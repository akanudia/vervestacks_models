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ZAF_grids_kan\SuppXLS\"/>
    </mc:Choice>
  </mc:AlternateContent>
  <xr:revisionPtr revIDLastSave="0" documentId="13_ncr:1_{CF40DA37-5777-4189-9114-1F5B94DA040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CF" sheetId="15" r:id="rId2"/>
    <sheet name="fuel_prices" sheetId="4" r:id="rId3"/>
    <sheet name="iea_data" sheetId="2" r:id="rId4"/>
    <sheet name="ar6_r10" sheetId="3" r:id="rId5"/>
  </sheets>
  <definedNames>
    <definedName name="_xlnm._FilterDatabase" localSheetId="0" hidden="1">Veda!$C$8:$H$136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1" i="1" l="1"/>
  <c r="M18" i="1"/>
  <c r="S3" i="1"/>
  <c r="R3" i="1"/>
  <c r="Q3" i="1"/>
  <c r="P3" i="1"/>
  <c r="O3" i="1"/>
  <c r="N3" i="1"/>
  <c r="B11" i="4"/>
  <c r="B10" i="1"/>
  <c r="B9" i="1"/>
  <c r="F48" i="1"/>
  <c r="F64" i="1" s="1"/>
  <c r="F80" i="1" s="1"/>
  <c r="F96" i="1" s="1"/>
  <c r="F112" i="1" s="1"/>
  <c r="F128" i="1" s="1"/>
  <c r="F40" i="1"/>
  <c r="F56" i="1" s="1"/>
  <c r="F72" i="1" s="1"/>
  <c r="F88" i="1" s="1"/>
  <c r="F104" i="1" s="1"/>
  <c r="F120" i="1" s="1"/>
  <c r="F136" i="1" s="1"/>
  <c r="F39" i="1"/>
  <c r="F55" i="1" s="1"/>
  <c r="F71" i="1" s="1"/>
  <c r="F87" i="1" s="1"/>
  <c r="F103" i="1" s="1"/>
  <c r="F119" i="1" s="1"/>
  <c r="F135" i="1" s="1"/>
  <c r="F38" i="1"/>
  <c r="F54" i="1" s="1"/>
  <c r="F70" i="1" s="1"/>
  <c r="F86" i="1" s="1"/>
  <c r="F102" i="1" s="1"/>
  <c r="F118" i="1" s="1"/>
  <c r="F134" i="1" s="1"/>
  <c r="F37" i="1"/>
  <c r="F53" i="1" s="1"/>
  <c r="F69" i="1" s="1"/>
  <c r="F85" i="1" s="1"/>
  <c r="F101" i="1" s="1"/>
  <c r="F117" i="1" s="1"/>
  <c r="F133" i="1" s="1"/>
  <c r="F36" i="1"/>
  <c r="F52" i="1" s="1"/>
  <c r="F68" i="1" s="1"/>
  <c r="F84" i="1" s="1"/>
  <c r="F100" i="1" s="1"/>
  <c r="F116" i="1" s="1"/>
  <c r="F132" i="1" s="1"/>
  <c r="F35" i="1"/>
  <c r="F51" i="1" s="1"/>
  <c r="F67" i="1" s="1"/>
  <c r="F83" i="1" s="1"/>
  <c r="F99" i="1" s="1"/>
  <c r="F115" i="1" s="1"/>
  <c r="F131" i="1" s="1"/>
  <c r="F34" i="1"/>
  <c r="F50" i="1" s="1"/>
  <c r="F66" i="1" s="1"/>
  <c r="F82" i="1" s="1"/>
  <c r="F98" i="1" s="1"/>
  <c r="F114" i="1" s="1"/>
  <c r="F130" i="1" s="1"/>
  <c r="F33" i="1"/>
  <c r="F49" i="1" s="1"/>
  <c r="F65" i="1" s="1"/>
  <c r="F81" i="1" s="1"/>
  <c r="F97" i="1" s="1"/>
  <c r="F113" i="1" s="1"/>
  <c r="F129" i="1" s="1"/>
  <c r="F32" i="1"/>
  <c r="F31" i="1"/>
  <c r="F47" i="1" s="1"/>
  <c r="F63" i="1" s="1"/>
  <c r="F79" i="1" s="1"/>
  <c r="F95" i="1" s="1"/>
  <c r="F111" i="1" s="1"/>
  <c r="F127" i="1" s="1"/>
  <c r="F30" i="1"/>
  <c r="F46" i="1" s="1"/>
  <c r="F62" i="1" s="1"/>
  <c r="F78" i="1" s="1"/>
  <c r="F94" i="1" s="1"/>
  <c r="F110" i="1" s="1"/>
  <c r="F126" i="1" s="1"/>
  <c r="F29" i="1"/>
  <c r="F45" i="1" s="1"/>
  <c r="F61" i="1" s="1"/>
  <c r="F77" i="1" s="1"/>
  <c r="F93" i="1" s="1"/>
  <c r="F109" i="1" s="1"/>
  <c r="F125" i="1" s="1"/>
  <c r="F28" i="1"/>
  <c r="F44" i="1" s="1"/>
  <c r="F60" i="1" s="1"/>
  <c r="F76" i="1" s="1"/>
  <c r="F92" i="1" s="1"/>
  <c r="F108" i="1" s="1"/>
  <c r="F124" i="1" s="1"/>
  <c r="F27" i="1"/>
  <c r="F43" i="1" s="1"/>
  <c r="F59" i="1" s="1"/>
  <c r="F75" i="1" s="1"/>
  <c r="F91" i="1" s="1"/>
  <c r="F107" i="1" s="1"/>
  <c r="F123" i="1" s="1"/>
  <c r="F26" i="1"/>
  <c r="F42" i="1" s="1"/>
  <c r="F58" i="1" s="1"/>
  <c r="F74" i="1" s="1"/>
  <c r="F90" i="1" s="1"/>
  <c r="F106" i="1" s="1"/>
  <c r="F122" i="1" s="1"/>
  <c r="F25" i="1"/>
  <c r="F41" i="1" s="1"/>
  <c r="F57" i="1" s="1"/>
  <c r="F73" i="1" s="1"/>
  <c r="F89" i="1" s="1"/>
  <c r="F105" i="1" s="1"/>
  <c r="F121" i="1" s="1"/>
  <c r="G24" i="1"/>
  <c r="G32" i="1" s="1"/>
  <c r="G40" i="1" s="1"/>
  <c r="G48" i="1" s="1"/>
  <c r="G56" i="1" s="1"/>
  <c r="G64" i="1" s="1"/>
  <c r="G72" i="1" s="1"/>
  <c r="G80" i="1" s="1"/>
  <c r="G88" i="1" s="1"/>
  <c r="G96" i="1" s="1"/>
  <c r="G104" i="1" s="1"/>
  <c r="G112" i="1" s="1"/>
  <c r="G120" i="1" s="1"/>
  <c r="G128" i="1" s="1"/>
  <c r="G136" i="1" s="1"/>
  <c r="G23" i="1"/>
  <c r="G31" i="1" s="1"/>
  <c r="G39" i="1" s="1"/>
  <c r="G47" i="1" s="1"/>
  <c r="G55" i="1" s="1"/>
  <c r="G63" i="1" s="1"/>
  <c r="G71" i="1" s="1"/>
  <c r="G79" i="1" s="1"/>
  <c r="G87" i="1" s="1"/>
  <c r="G95" i="1" s="1"/>
  <c r="G103" i="1" s="1"/>
  <c r="G111" i="1" s="1"/>
  <c r="G119" i="1" s="1"/>
  <c r="G127" i="1" s="1"/>
  <c r="G135" i="1" s="1"/>
  <c r="G22" i="1"/>
  <c r="G30" i="1" s="1"/>
  <c r="G38" i="1" s="1"/>
  <c r="G46" i="1" s="1"/>
  <c r="G54" i="1" s="1"/>
  <c r="G62" i="1" s="1"/>
  <c r="G70" i="1" s="1"/>
  <c r="G78" i="1" s="1"/>
  <c r="G86" i="1" s="1"/>
  <c r="G94" i="1" s="1"/>
  <c r="G102" i="1" s="1"/>
  <c r="G110" i="1" s="1"/>
  <c r="G118" i="1" s="1"/>
  <c r="G126" i="1" s="1"/>
  <c r="G134" i="1" s="1"/>
  <c r="G21" i="1"/>
  <c r="G29" i="1" s="1"/>
  <c r="G37" i="1" s="1"/>
  <c r="G45" i="1" s="1"/>
  <c r="G53" i="1" s="1"/>
  <c r="G61" i="1" s="1"/>
  <c r="G69" i="1" s="1"/>
  <c r="G77" i="1" s="1"/>
  <c r="G85" i="1" s="1"/>
  <c r="G93" i="1" s="1"/>
  <c r="G101" i="1" s="1"/>
  <c r="G109" i="1" s="1"/>
  <c r="G117" i="1" s="1"/>
  <c r="G125" i="1" s="1"/>
  <c r="G133" i="1" s="1"/>
  <c r="G20" i="1"/>
  <c r="G28" i="1" s="1"/>
  <c r="G36" i="1" s="1"/>
  <c r="G44" i="1" s="1"/>
  <c r="G52" i="1" s="1"/>
  <c r="G60" i="1" s="1"/>
  <c r="G68" i="1" s="1"/>
  <c r="G76" i="1" s="1"/>
  <c r="G84" i="1" s="1"/>
  <c r="G92" i="1" s="1"/>
  <c r="G100" i="1" s="1"/>
  <c r="G108" i="1" s="1"/>
  <c r="G116" i="1" s="1"/>
  <c r="G124" i="1" s="1"/>
  <c r="G132" i="1" s="1"/>
  <c r="G19" i="1"/>
  <c r="G27" i="1" s="1"/>
  <c r="G35" i="1" s="1"/>
  <c r="G43" i="1" s="1"/>
  <c r="G51" i="1" s="1"/>
  <c r="G59" i="1" s="1"/>
  <c r="G67" i="1" s="1"/>
  <c r="G75" i="1" s="1"/>
  <c r="G83" i="1" s="1"/>
  <c r="G91" i="1" s="1"/>
  <c r="G99" i="1" s="1"/>
  <c r="G107" i="1" s="1"/>
  <c r="G115" i="1" s="1"/>
  <c r="G123" i="1" s="1"/>
  <c r="G131" i="1" s="1"/>
  <c r="G18" i="1"/>
  <c r="G26" i="1" s="1"/>
  <c r="G17" i="1"/>
  <c r="G25" i="1" s="1"/>
  <c r="G33" i="1" s="1"/>
  <c r="G41" i="1" s="1"/>
  <c r="G49" i="1" s="1"/>
  <c r="G57" i="1" s="1"/>
  <c r="G65" i="1" s="1"/>
  <c r="G73" i="1" s="1"/>
  <c r="G81" i="1" s="1"/>
  <c r="G89" i="1" s="1"/>
  <c r="G97" i="1" s="1"/>
  <c r="G105" i="1" s="1"/>
  <c r="G113" i="1" s="1"/>
  <c r="G121" i="1" s="1"/>
  <c r="G129" i="1" s="1"/>
  <c r="G34" i="1" l="1"/>
  <c r="G42" i="1" s="1"/>
  <c r="G50" i="1" s="1"/>
  <c r="G58" i="1" s="1"/>
  <c r="G66" i="1" s="1"/>
  <c r="G74" i="1" s="1"/>
  <c r="G82" i="1" s="1"/>
  <c r="G90" i="1" s="1"/>
  <c r="G98" i="1" s="1"/>
  <c r="G106" i="1" s="1"/>
  <c r="G114" i="1" s="1"/>
  <c r="G122" i="1" s="1"/>
  <c r="G130" i="1" s="1"/>
  <c r="M21" i="1"/>
  <c r="M20" i="1"/>
  <c r="M19" i="1"/>
  <c r="D12" i="1"/>
  <c r="B12" i="1" s="1"/>
  <c r="D11" i="1"/>
  <c r="B11" i="1" s="1"/>
  <c r="O2" i="1"/>
  <c r="E16" i="1"/>
  <c r="E20" i="1" s="1"/>
  <c r="E24" i="1" s="1"/>
  <c r="E28" i="1" s="1"/>
  <c r="E32" i="1" s="1"/>
  <c r="E36" i="1" s="1"/>
  <c r="E40" i="1" s="1"/>
  <c r="E44" i="1" s="1"/>
  <c r="E48" i="1" s="1"/>
  <c r="E52" i="1" s="1"/>
  <c r="E56" i="1" s="1"/>
  <c r="E60" i="1" s="1"/>
  <c r="E64" i="1" s="1"/>
  <c r="E68" i="1" s="1"/>
  <c r="E72" i="1" s="1"/>
  <c r="E76" i="1" s="1"/>
  <c r="E80" i="1" s="1"/>
  <c r="E84" i="1" s="1"/>
  <c r="E88" i="1" s="1"/>
  <c r="E92" i="1" s="1"/>
  <c r="E96" i="1" s="1"/>
  <c r="E100" i="1" s="1"/>
  <c r="E104" i="1" s="1"/>
  <c r="E108" i="1" s="1"/>
  <c r="E112" i="1" s="1"/>
  <c r="E116" i="1" s="1"/>
  <c r="E120" i="1" s="1"/>
  <c r="E124" i="1" s="1"/>
  <c r="E128" i="1" s="1"/>
  <c r="E132" i="1" s="1"/>
  <c r="E136" i="1" s="1"/>
  <c r="E15" i="1"/>
  <c r="E19" i="1" s="1"/>
  <c r="E23" i="1" s="1"/>
  <c r="E27" i="1" s="1"/>
  <c r="E31" i="1" s="1"/>
  <c r="E35" i="1" s="1"/>
  <c r="E39" i="1" s="1"/>
  <c r="E43" i="1" s="1"/>
  <c r="E47" i="1" s="1"/>
  <c r="E51" i="1" s="1"/>
  <c r="E55" i="1" s="1"/>
  <c r="E59" i="1" s="1"/>
  <c r="E63" i="1" s="1"/>
  <c r="E67" i="1" s="1"/>
  <c r="E71" i="1" s="1"/>
  <c r="E75" i="1" s="1"/>
  <c r="E79" i="1" s="1"/>
  <c r="E83" i="1" s="1"/>
  <c r="E87" i="1" s="1"/>
  <c r="E91" i="1" s="1"/>
  <c r="E95" i="1" s="1"/>
  <c r="E99" i="1" s="1"/>
  <c r="E103" i="1" s="1"/>
  <c r="E107" i="1" s="1"/>
  <c r="E111" i="1" s="1"/>
  <c r="E115" i="1" s="1"/>
  <c r="E119" i="1" s="1"/>
  <c r="E123" i="1" s="1"/>
  <c r="E127" i="1" s="1"/>
  <c r="E131" i="1" s="1"/>
  <c r="E135" i="1" s="1"/>
  <c r="E14" i="1"/>
  <c r="E18" i="1" s="1"/>
  <c r="E22" i="1" s="1"/>
  <c r="E26" i="1" s="1"/>
  <c r="E30" i="1" s="1"/>
  <c r="E34" i="1" s="1"/>
  <c r="E38" i="1" s="1"/>
  <c r="E42" i="1" s="1"/>
  <c r="E46" i="1" s="1"/>
  <c r="E50" i="1" s="1"/>
  <c r="E54" i="1" s="1"/>
  <c r="E58" i="1" s="1"/>
  <c r="E62" i="1" s="1"/>
  <c r="E66" i="1" s="1"/>
  <c r="E70" i="1" s="1"/>
  <c r="E74" i="1" s="1"/>
  <c r="E78" i="1" s="1"/>
  <c r="E82" i="1" s="1"/>
  <c r="E86" i="1" s="1"/>
  <c r="E90" i="1" s="1"/>
  <c r="E94" i="1" s="1"/>
  <c r="E98" i="1" s="1"/>
  <c r="E102" i="1" s="1"/>
  <c r="E106" i="1" s="1"/>
  <c r="E110" i="1" s="1"/>
  <c r="E114" i="1" s="1"/>
  <c r="E118" i="1" s="1"/>
  <c r="E122" i="1" s="1"/>
  <c r="E126" i="1" s="1"/>
  <c r="E130" i="1" s="1"/>
  <c r="E134" i="1" s="1"/>
  <c r="E13" i="1"/>
  <c r="E17" i="1" s="1"/>
  <c r="E21" i="1" s="1"/>
  <c r="E25" i="1" s="1"/>
  <c r="E29" i="1" s="1"/>
  <c r="E33" i="1" s="1"/>
  <c r="E37" i="1" s="1"/>
  <c r="E41" i="1" s="1"/>
  <c r="E45" i="1" s="1"/>
  <c r="E49" i="1" s="1"/>
  <c r="E53" i="1" s="1"/>
  <c r="E57" i="1" s="1"/>
  <c r="E61" i="1" s="1"/>
  <c r="E65" i="1" s="1"/>
  <c r="E69" i="1" s="1"/>
  <c r="E73" i="1" s="1"/>
  <c r="E77" i="1" s="1"/>
  <c r="E81" i="1" s="1"/>
  <c r="E85" i="1" s="1"/>
  <c r="E89" i="1" s="1"/>
  <c r="E93" i="1" s="1"/>
  <c r="E97" i="1" s="1"/>
  <c r="E101" i="1" s="1"/>
  <c r="E105" i="1" s="1"/>
  <c r="E109" i="1" s="1"/>
  <c r="E113" i="1" s="1"/>
  <c r="E117" i="1" s="1"/>
  <c r="E121" i="1" s="1"/>
  <c r="E125" i="1" s="1"/>
  <c r="E129" i="1" s="1"/>
  <c r="E133" i="1" s="1"/>
  <c r="A8" i="15"/>
  <c r="A9" i="15"/>
  <c r="A10" i="15"/>
  <c r="A11" i="15"/>
  <c r="A12" i="15"/>
  <c r="A7" i="15"/>
  <c r="D13" i="1" l="1"/>
  <c r="B13" i="1" s="1"/>
  <c r="D14" i="1"/>
  <c r="B14" i="1" s="1"/>
  <c r="D16" i="1"/>
  <c r="B16" i="1" s="1"/>
  <c r="G8" i="15"/>
  <c r="G9" i="15"/>
  <c r="G10" i="15"/>
  <c r="G11" i="15"/>
  <c r="G12" i="15"/>
  <c r="G7" i="15"/>
  <c r="G11" i="4"/>
  <c r="F11" i="4"/>
  <c r="C11" i="4"/>
  <c r="M40" i="1"/>
  <c r="N40" i="1" s="1"/>
  <c r="O40" i="1" s="1"/>
  <c r="P40" i="1" s="1"/>
  <c r="Q40" i="1" s="1"/>
  <c r="R40" i="1" s="1"/>
  <c r="S40" i="1" s="1"/>
  <c r="M39" i="1"/>
  <c r="N39" i="1" s="1"/>
  <c r="O39" i="1" s="1"/>
  <c r="P39" i="1" s="1"/>
  <c r="Q39" i="1" s="1"/>
  <c r="R39" i="1" s="1"/>
  <c r="S39" i="1" s="1"/>
  <c r="M38" i="1"/>
  <c r="N38" i="1" s="1"/>
  <c r="O38" i="1" s="1"/>
  <c r="P38" i="1" s="1"/>
  <c r="Q38" i="1" s="1"/>
  <c r="R38" i="1" s="1"/>
  <c r="S38" i="1" s="1"/>
  <c r="M37" i="1"/>
  <c r="N37" i="1" s="1"/>
  <c r="O37" i="1" s="1"/>
  <c r="P37" i="1" s="1"/>
  <c r="Q37" i="1" s="1"/>
  <c r="R37" i="1" s="1"/>
  <c r="S37" i="1" s="1"/>
  <c r="E11" i="4"/>
  <c r="D11" i="4"/>
  <c r="C10" i="1"/>
  <c r="AN15" i="1"/>
  <c r="AN16" i="1"/>
  <c r="AN21" i="1" s="1"/>
  <c r="AN26" i="1" s="1"/>
  <c r="AN31" i="1" s="1"/>
  <c r="AN36" i="1" s="1"/>
  <c r="AN41" i="1" s="1"/>
  <c r="AN46" i="1" s="1"/>
  <c r="AN51" i="1" s="1"/>
  <c r="AN56" i="1" s="1"/>
  <c r="AN61" i="1" s="1"/>
  <c r="AN66" i="1" s="1"/>
  <c r="AN71" i="1" s="1"/>
  <c r="AN76" i="1" s="1"/>
  <c r="AN17" i="1"/>
  <c r="AN22" i="1" s="1"/>
  <c r="AN27" i="1" s="1"/>
  <c r="AN32" i="1" s="1"/>
  <c r="AN37" i="1" s="1"/>
  <c r="AN42" i="1" s="1"/>
  <c r="AN47" i="1" s="1"/>
  <c r="AN52" i="1" s="1"/>
  <c r="AN57" i="1" s="1"/>
  <c r="AN62" i="1" s="1"/>
  <c r="AN67" i="1" s="1"/>
  <c r="AN72" i="1" s="1"/>
  <c r="AN77" i="1" s="1"/>
  <c r="AN18" i="1"/>
  <c r="AN23" i="1" s="1"/>
  <c r="AN14" i="1"/>
  <c r="AN19" i="1" s="1"/>
  <c r="D15" i="1" l="1"/>
  <c r="B15" i="1" s="1"/>
  <c r="D18" i="1"/>
  <c r="B18" i="1" s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AN28" i="1"/>
  <c r="AN24" i="1"/>
  <c r="AN20" i="1"/>
  <c r="B2" i="1"/>
  <c r="L48" i="1"/>
  <c r="L47" i="1"/>
  <c r="L46" i="1"/>
  <c r="L45" i="1"/>
  <c r="F5" i="1" l="1"/>
  <c r="A1" i="15" s="1"/>
  <c r="G14" i="15" s="1"/>
  <c r="G18" i="15" s="1"/>
  <c r="G5" i="1"/>
  <c r="W32" i="1" s="1"/>
  <c r="E5" i="1"/>
  <c r="H5" i="1"/>
  <c r="W62" i="1" s="1"/>
  <c r="I5" i="1"/>
  <c r="D17" i="1"/>
  <c r="B17" i="1" s="1"/>
  <c r="D20" i="1"/>
  <c r="B20" i="1" s="1"/>
  <c r="AN33" i="1"/>
  <c r="AN25" i="1"/>
  <c r="AN29" i="1"/>
  <c r="W48" i="1"/>
  <c r="V48" i="1"/>
  <c r="W47" i="1"/>
  <c r="V47" i="1"/>
  <c r="W46" i="1"/>
  <c r="V46" i="1"/>
  <c r="W45" i="1"/>
  <c r="V45" i="1"/>
  <c r="U29" i="1"/>
  <c r="X29" i="1" s="1"/>
  <c r="U28" i="1"/>
  <c r="X28" i="1" s="1"/>
  <c r="AD27" i="1"/>
  <c r="AC27" i="1"/>
  <c r="AB27" i="1"/>
  <c r="AA27" i="1"/>
  <c r="Z27" i="1"/>
  <c r="Y27" i="1"/>
  <c r="X27" i="1"/>
  <c r="S17" i="1"/>
  <c r="S18" i="1" s="1"/>
  <c r="R17" i="1"/>
  <c r="R18" i="1" s="1"/>
  <c r="Q17" i="1"/>
  <c r="Q18" i="1" s="1"/>
  <c r="P17" i="1"/>
  <c r="P18" i="1" s="1"/>
  <c r="O17" i="1"/>
  <c r="O18" i="1" s="1"/>
  <c r="N17" i="1"/>
  <c r="N18" i="1" s="1"/>
  <c r="AC57" i="1" l="1"/>
  <c r="Y59" i="1"/>
  <c r="AG57" i="1"/>
  <c r="W57" i="1"/>
  <c r="H14" i="15"/>
  <c r="H18" i="15" s="1"/>
  <c r="W37" i="1"/>
  <c r="D19" i="1"/>
  <c r="B19" i="1" s="1"/>
  <c r="D22" i="1"/>
  <c r="B22" i="1" s="1"/>
  <c r="N19" i="1"/>
  <c r="N21" i="1"/>
  <c r="N20" i="1"/>
  <c r="O19" i="1"/>
  <c r="O21" i="1"/>
  <c r="O20" i="1"/>
  <c r="P19" i="1"/>
  <c r="P21" i="1"/>
  <c r="P20" i="1"/>
  <c r="Q19" i="1"/>
  <c r="Q21" i="1"/>
  <c r="Q20" i="1"/>
  <c r="R19" i="1"/>
  <c r="R21" i="1"/>
  <c r="R20" i="1"/>
  <c r="S20" i="1"/>
  <c r="S21" i="1"/>
  <c r="S19" i="1"/>
  <c r="S24" i="1"/>
  <c r="AD24" i="1" s="1"/>
  <c r="P24" i="1"/>
  <c r="AA24" i="1" s="1"/>
  <c r="O24" i="1"/>
  <c r="Z24" i="1" s="1"/>
  <c r="R24" i="1"/>
  <c r="AC24" i="1" s="1"/>
  <c r="N24" i="1"/>
  <c r="Q24" i="1"/>
  <c r="AB24" i="1" s="1"/>
  <c r="M24" i="1"/>
  <c r="O46" i="1"/>
  <c r="N44" i="1"/>
  <c r="P46" i="1"/>
  <c r="AN38" i="1"/>
  <c r="AN34" i="1"/>
  <c r="AN30" i="1"/>
  <c r="N45" i="1"/>
  <c r="M47" i="1"/>
  <c r="Q44" i="1"/>
  <c r="R44" i="1"/>
  <c r="O45" i="1"/>
  <c r="P45" i="1"/>
  <c r="M46" i="1"/>
  <c r="Q45" i="1"/>
  <c r="R45" i="1"/>
  <c r="Q46" i="1"/>
  <c r="R46" i="1"/>
  <c r="M48" i="1"/>
  <c r="R47" i="1"/>
  <c r="M45" i="1"/>
  <c r="O47" i="1"/>
  <c r="P47" i="1"/>
  <c r="N47" i="1"/>
  <c r="Q47" i="1"/>
  <c r="S47" i="1"/>
  <c r="S45" i="1"/>
  <c r="O44" i="1"/>
  <c r="P44" i="1"/>
  <c r="S46" i="1"/>
  <c r="S44" i="1"/>
  <c r="N46" i="1"/>
  <c r="W12" i="1"/>
  <c r="X14" i="1" s="1"/>
  <c r="D24" i="1" l="1"/>
  <c r="B24" i="1" s="1"/>
  <c r="D21" i="1"/>
  <c r="B21" i="1" s="1"/>
  <c r="AN43" i="1"/>
  <c r="AN39" i="1"/>
  <c r="AN35" i="1"/>
  <c r="X18" i="1"/>
  <c r="X19" i="1"/>
  <c r="X21" i="1"/>
  <c r="Y21" i="1" s="1"/>
  <c r="Z21" i="1" s="1"/>
  <c r="AA21" i="1" s="1"/>
  <c r="AB21" i="1" s="1"/>
  <c r="AC21" i="1" s="1"/>
  <c r="AD21" i="1" s="1"/>
  <c r="X20" i="1"/>
  <c r="D26" i="1" l="1"/>
  <c r="B26" i="1" s="1"/>
  <c r="D23" i="1"/>
  <c r="B23" i="1" s="1"/>
  <c r="AN48" i="1"/>
  <c r="AN40" i="1"/>
  <c r="AN44" i="1"/>
  <c r="X22" i="1"/>
  <c r="D25" i="1" l="1"/>
  <c r="B25" i="1" s="1"/>
  <c r="D28" i="1"/>
  <c r="B28" i="1" s="1"/>
  <c r="AN53" i="1"/>
  <c r="AN58" i="1" s="1"/>
  <c r="AN63" i="1" s="1"/>
  <c r="AN68" i="1" s="1"/>
  <c r="AN73" i="1" s="1"/>
  <c r="AN78" i="1" s="1"/>
  <c r="AN49" i="1"/>
  <c r="AN45" i="1"/>
  <c r="D30" i="1" l="1"/>
  <c r="B30" i="1" s="1"/>
  <c r="D27" i="1"/>
  <c r="B27" i="1" s="1"/>
  <c r="AN50" i="1"/>
  <c r="AN54" i="1"/>
  <c r="D29" i="1" l="1"/>
  <c r="B29" i="1" s="1"/>
  <c r="D32" i="1"/>
  <c r="B32" i="1" s="1"/>
  <c r="AN59" i="1"/>
  <c r="AN55" i="1"/>
  <c r="D34" i="1" l="1"/>
  <c r="B34" i="1" s="1"/>
  <c r="D31" i="1"/>
  <c r="B31" i="1" s="1"/>
  <c r="AN60" i="1"/>
  <c r="AN64" i="1"/>
  <c r="D36" i="1" l="1"/>
  <c r="B36" i="1" s="1"/>
  <c r="D33" i="1"/>
  <c r="B33" i="1" s="1"/>
  <c r="AN69" i="1"/>
  <c r="AN65" i="1"/>
  <c r="D35" i="1" l="1"/>
  <c r="B35" i="1" s="1"/>
  <c r="D38" i="1"/>
  <c r="B38" i="1" s="1"/>
  <c r="AN70" i="1"/>
  <c r="AN74" i="1"/>
  <c r="D40" i="1" l="1"/>
  <c r="D37" i="1"/>
  <c r="B37" i="1" s="1"/>
  <c r="AN75" i="1"/>
  <c r="D42" i="1" l="1"/>
  <c r="B40" i="1"/>
  <c r="D39" i="1"/>
  <c r="B39" i="1" l="1"/>
  <c r="D41" i="1"/>
  <c r="B42" i="1"/>
  <c r="D44" i="1"/>
  <c r="B41" i="1" l="1"/>
  <c r="D43" i="1"/>
  <c r="D46" i="1"/>
  <c r="B44" i="1"/>
  <c r="B46" i="1" l="1"/>
  <c r="D48" i="1"/>
  <c r="D45" i="1"/>
  <c r="B43" i="1"/>
  <c r="B48" i="1" l="1"/>
  <c r="D50" i="1"/>
  <c r="B45" i="1"/>
  <c r="D47" i="1"/>
  <c r="B50" i="1" l="1"/>
  <c r="D52" i="1"/>
  <c r="B47" i="1"/>
  <c r="D49" i="1"/>
  <c r="B49" i="1" l="1"/>
  <c r="D51" i="1"/>
  <c r="B52" i="1"/>
  <c r="D54" i="1"/>
  <c r="B51" i="1" l="1"/>
  <c r="D53" i="1"/>
  <c r="B54" i="1"/>
  <c r="D56" i="1"/>
  <c r="D58" i="1" s="1"/>
  <c r="D60" i="1" l="1"/>
  <c r="B58" i="1"/>
  <c r="B56" i="1"/>
  <c r="B53" i="1"/>
  <c r="D55" i="1"/>
  <c r="D57" i="1" s="1"/>
  <c r="D59" i="1" l="1"/>
  <c r="B57" i="1"/>
  <c r="D62" i="1"/>
  <c r="B60" i="1"/>
  <c r="B55" i="1"/>
  <c r="B62" i="1" l="1"/>
  <c r="D64" i="1"/>
  <c r="D61" i="1"/>
  <c r="B59" i="1"/>
  <c r="B61" i="1" l="1"/>
  <c r="D63" i="1"/>
  <c r="B64" i="1"/>
  <c r="D66" i="1"/>
  <c r="D65" i="1" l="1"/>
  <c r="B63" i="1"/>
  <c r="D5" i="1"/>
  <c r="D68" i="1"/>
  <c r="B66" i="1"/>
  <c r="D70" i="1" l="1"/>
  <c r="B68" i="1"/>
  <c r="R15" i="1"/>
  <c r="AC14" i="1" s="1"/>
  <c r="O15" i="1"/>
  <c r="Z14" i="1" s="1"/>
  <c r="N15" i="1"/>
  <c r="Y14" i="1" s="1"/>
  <c r="S15" i="1"/>
  <c r="AD14" i="1" s="1"/>
  <c r="M15" i="1"/>
  <c r="Q15" i="1"/>
  <c r="AB14" i="1" s="1"/>
  <c r="S48" i="1"/>
  <c r="P15" i="1"/>
  <c r="AA14" i="1" s="1"/>
  <c r="B65" i="1"/>
  <c r="D67" i="1"/>
  <c r="AA18" i="1" l="1"/>
  <c r="AA19" i="1"/>
  <c r="AA20" i="1"/>
  <c r="AA22" i="1"/>
  <c r="AD20" i="1"/>
  <c r="AD22" i="1" s="1"/>
  <c r="AD19" i="1"/>
  <c r="AD18" i="1"/>
  <c r="AC18" i="1"/>
  <c r="AC19" i="1"/>
  <c r="AC20" i="1"/>
  <c r="AC22" i="1"/>
  <c r="D69" i="1"/>
  <c r="B67" i="1"/>
  <c r="AB19" i="1"/>
  <c r="AB18" i="1"/>
  <c r="AB20" i="1"/>
  <c r="Y19" i="1"/>
  <c r="Y20" i="1"/>
  <c r="Y22" i="1" s="1"/>
  <c r="Y18" i="1"/>
  <c r="Z20" i="1"/>
  <c r="Z19" i="1"/>
  <c r="Z18" i="1"/>
  <c r="D72" i="1"/>
  <c r="B70" i="1"/>
  <c r="Z22" i="1" l="1"/>
  <c r="AB22" i="1"/>
  <c r="D71" i="1"/>
  <c r="B69" i="1"/>
  <c r="B72" i="1"/>
  <c r="D74" i="1"/>
  <c r="D76" i="1" l="1"/>
  <c r="B74" i="1"/>
  <c r="B71" i="1"/>
  <c r="D73" i="1"/>
  <c r="D75" i="1" l="1"/>
  <c r="B73" i="1"/>
  <c r="D78" i="1"/>
  <c r="B76" i="1"/>
  <c r="B78" i="1" l="1"/>
  <c r="D80" i="1"/>
  <c r="D77" i="1"/>
  <c r="B75" i="1"/>
  <c r="D79" i="1" l="1"/>
  <c r="B77" i="1"/>
  <c r="B80" i="1"/>
  <c r="D82" i="1"/>
  <c r="D84" i="1" l="1"/>
  <c r="B82" i="1"/>
  <c r="D81" i="1"/>
  <c r="B79" i="1"/>
  <c r="D83" i="1" l="1"/>
  <c r="B81" i="1"/>
  <c r="D86" i="1"/>
  <c r="B84" i="1"/>
  <c r="D88" i="1" l="1"/>
  <c r="B86" i="1"/>
  <c r="D85" i="1"/>
  <c r="B83" i="1"/>
  <c r="B85" i="1" l="1"/>
  <c r="D87" i="1"/>
  <c r="B88" i="1"/>
  <c r="D90" i="1"/>
  <c r="D89" i="1" l="1"/>
  <c r="B87" i="1"/>
  <c r="D92" i="1"/>
  <c r="B90" i="1"/>
  <c r="B92" i="1" l="1"/>
  <c r="D94" i="1"/>
  <c r="D91" i="1"/>
  <c r="B89" i="1"/>
  <c r="D93" i="1" l="1"/>
  <c r="B91" i="1"/>
  <c r="B94" i="1"/>
  <c r="D96" i="1"/>
  <c r="B96" i="1" l="1"/>
  <c r="D98" i="1"/>
  <c r="D95" i="1"/>
  <c r="B93" i="1"/>
  <c r="B95" i="1" l="1"/>
  <c r="D97" i="1"/>
  <c r="D100" i="1"/>
  <c r="B98" i="1"/>
  <c r="B100" i="1" l="1"/>
  <c r="D102" i="1"/>
  <c r="D99" i="1"/>
  <c r="B97" i="1"/>
  <c r="B99" i="1" l="1"/>
  <c r="D101" i="1"/>
  <c r="B102" i="1"/>
  <c r="D104" i="1"/>
  <c r="D106" i="1" l="1"/>
  <c r="B104" i="1"/>
  <c r="D103" i="1"/>
  <c r="B101" i="1"/>
  <c r="B103" i="1" l="1"/>
  <c r="D105" i="1"/>
  <c r="D108" i="1"/>
  <c r="B106" i="1"/>
  <c r="D107" i="1" l="1"/>
  <c r="B105" i="1"/>
  <c r="D110" i="1"/>
  <c r="B108" i="1"/>
  <c r="B110" i="1" l="1"/>
  <c r="D112" i="1"/>
  <c r="B107" i="1"/>
  <c r="D109" i="1"/>
  <c r="D114" i="1" l="1"/>
  <c r="B112" i="1"/>
  <c r="D111" i="1"/>
  <c r="B109" i="1"/>
  <c r="D113" i="1" l="1"/>
  <c r="B111" i="1"/>
  <c r="B114" i="1"/>
  <c r="D116" i="1"/>
  <c r="B116" i="1" l="1"/>
  <c r="D118" i="1"/>
  <c r="D115" i="1"/>
  <c r="B113" i="1"/>
  <c r="D117" i="1" l="1"/>
  <c r="B115" i="1"/>
  <c r="B118" i="1"/>
  <c r="D120" i="1"/>
  <c r="B120" i="1" l="1"/>
  <c r="D122" i="1"/>
  <c r="B117" i="1"/>
  <c r="D119" i="1"/>
  <c r="B119" i="1" l="1"/>
  <c r="D121" i="1"/>
  <c r="D124" i="1"/>
  <c r="B122" i="1"/>
  <c r="D126" i="1" l="1"/>
  <c r="B124" i="1"/>
  <c r="B121" i="1"/>
  <c r="D123" i="1"/>
  <c r="D125" i="1" l="1"/>
  <c r="B123" i="1"/>
  <c r="B126" i="1"/>
  <c r="D128" i="1"/>
  <c r="B128" i="1" l="1"/>
  <c r="D130" i="1"/>
  <c r="B125" i="1"/>
  <c r="D127" i="1"/>
  <c r="D129" i="1" l="1"/>
  <c r="B127" i="1"/>
  <c r="D132" i="1"/>
  <c r="B130" i="1"/>
  <c r="D134" i="1" l="1"/>
  <c r="B132" i="1"/>
  <c r="B129" i="1"/>
  <c r="D131" i="1"/>
  <c r="B131" i="1" l="1"/>
  <c r="D133" i="1"/>
  <c r="B134" i="1"/>
  <c r="D136" i="1"/>
  <c r="B136" i="1" s="1"/>
  <c r="D135" i="1" l="1"/>
  <c r="B135" i="1" s="1"/>
  <c r="B1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O2" authorId="0" shapeId="0" xr:uid="{3E464726-1383-487A-BC9B-27E3D5D65A9D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27-05-2026
1.22 overridden
</t>
        </r>
      </text>
    </comment>
    <comment ref="AR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<sst xmlns="http://schemas.openxmlformats.org/spreadsheetml/2006/main" count="1774" uniqueCount="165">
  <si>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</si>
  <si>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</si>
  <si>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</si>
  <si>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</si>
  <si>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</si>
  <si>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</si>
  <si>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</si>
  <si>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</si>
  <si>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</si>
  <si>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</si>
  <si>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</si>
  <si>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</si>
  <si>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</si>
  <si>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</si>
  <si>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</si>
  <si>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</si>
  <si>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</si>
  <si>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</si>
  <si>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</si>
  <si>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</si>
  <si>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</si>
  <si>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</si>
  <si>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</si>
  <si>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</si>
  <si>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</si>
  <si>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</si>
  <si>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</si>
  <si>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</si>
  <si>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</si>
  <si>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</si>
  <si>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</si>
  <si>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</si>
  <si>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</si>
  <si>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</si>
  <si>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</si>
  <si>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</si>
  <si>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</si>
  <si>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</si>
  <si>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</si>
  <si>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</si>
  <si>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</si>
  <si>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</si>
  <si>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</si>
  <si>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</si>
  <si>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</si>
  <si>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</si>
  <si>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</si>
  <si>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</si>
  <si>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</si>
  <si>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</si>
  <si>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</si>
  <si>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</si>
  <si>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</si>
  <si>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</si>
  <si>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</si>
  <si>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</si>
  <si>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</si>
  <si>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</si>
  <si>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</si>
  <si>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</si>
  <si>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</si>
  <si>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</si>
  <si>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</si>
  <si>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</si>
  <si>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</si>
  <si>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</si>
  <si>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</si>
  <si>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</si>
  <si>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</si>
  <si>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</si>
  <si>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</si>
  <si>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</si>
  <si>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</si>
  <si>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</si>
  <si>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</si>
  <si>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</si>
  <si>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</si>
  <si>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</si>
  <si>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</si>
  <si>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</si>
  <si>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</si>
  <si>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</si>
  <si>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</si>
  <si>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</si>
  <si>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</si>
  <si>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</si>
  <si>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</si>
  <si>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</si>
  <si>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</si>
  <si>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</si>
  <si>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</si>
  <si>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</si>
  <si>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</si>
  <si>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</si>
  <si>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~TFM_INS-TS: attribute=flo_cost;pset_pn=-IMP*Z</t>
  </si>
  <si>
    <t>bio price multiplier</t>
  </si>
  <si>
    <t>ZAF</t>
  </si>
  <si>
    <t>R10AFRICA</t>
  </si>
  <si>
    <t>Limited gas, abundant cheap coal</t>
  </si>
  <si>
    <t>co2price</t>
  </si>
  <si>
    <t>Mapping to the smoke test</t>
  </si>
  <si>
    <t>For the 24-hour smoke test (2 demand × 2 CO2 × 6 coal variants = 24 cells):</t>
  </si>
  <si>
    <t>Smoke-test cell</t>
  </si>
  <si>
    <t>Maps to</t>
  </si>
  <si>
    <t>MSL</t>
  </si>
  <si>
    <t>Ramp</t>
  </si>
  <si>
    <t>Cold starts</t>
  </si>
  <si>
    <t>CF1 (must-run reference)</t>
  </si>
  <si>
    <t>Meridian CF1</t>
  </si>
  <si>
    <t>0.50× design</t>
  </si>
  <si>
    <t>CF2 (reduced MSL only)</t>
  </si>
  <si>
    <t>Meridian CF2</t>
  </si>
  <si>
    <t>1.0× design</t>
  </si>
  <si>
    <t>CF3 (seasonal only, MSL held)</t>
  </si>
  <si>
    <t>Meridian CF3</t>
  </si>
  <si>
    <t>CF4 (seasonal + reduced MSL)</t>
  </si>
  <si>
    <t>Meridian CF4</t>
  </si>
  <si>
    <t>CF5 (seasonal + more starts)</t>
  </si>
  <si>
    <t>Meridian CF5</t>
  </si>
  <si>
    <t>CF6 (fully flexible)</t>
  </si>
  <si>
    <t>Meridian CF6</t>
  </si>
  <si>
    <t>1.5× design</t>
  </si>
  <si>
    <t>ramp</t>
  </si>
  <si>
    <t>Subcritical Coal, Supercritical Coal, IGCC</t>
  </si>
  <si>
    <t>pset_set</t>
  </si>
  <si>
    <t>ACT_MINLD</t>
  </si>
  <si>
    <t>ACT_UPS</t>
  </si>
  <si>
    <t>~TFM_UPD-AT</t>
  </si>
  <si>
    <t>coalflex</t>
  </si>
  <si>
    <t>CF1</t>
  </si>
  <si>
    <t>CF6</t>
  </si>
  <si>
    <t>Hi</t>
  </si>
  <si>
    <t>This is the q25 demand growth for C4 - the lowest demand cohort</t>
  </si>
  <si>
    <t>Lo</t>
  </si>
  <si>
    <t>DEF</t>
  </si>
  <si>
    <t>Y</t>
  </si>
  <si>
    <t>N</t>
  </si>
  <si>
    <t>timeslice</t>
  </si>
  <si>
    <t>value</t>
  </si>
  <si>
    <t>UC_N</t>
  </si>
  <si>
    <t>UC_RHSRTS</t>
  </si>
  <si>
    <t>DAYNITE</t>
  </si>
  <si>
    <t>UCE_Min-DispatchablePrd</t>
  </si>
  <si>
    <t>UC_RHSRT</t>
  </si>
  <si>
    <t>UCE_Min-DispatchableCAP</t>
  </si>
  <si>
    <t>GAS</t>
  </si>
  <si>
    <t>START</t>
  </si>
  <si>
    <t>pset_ci</t>
  </si>
  <si>
    <t>Share</t>
  </si>
  <si>
    <t>ELC?H</t>
  </si>
  <si>
    <t>pset_pd</t>
  </si>
  <si>
    <t>-Gas turbine*</t>
  </si>
  <si>
    <t>trancost</t>
  </si>
  <si>
    <t>Aggregators</t>
  </si>
  <si>
    <t>NCAP_COST</t>
  </si>
  <si>
    <t>grid, aggregators</t>
  </si>
  <si>
    <t>NCAP_DRATE</t>
  </si>
  <si>
    <t>NCAP_ELIFE</t>
  </si>
  <si>
    <t>CoaRet</t>
  </si>
  <si>
    <t>Pln</t>
  </si>
  <si>
    <t>Eco</t>
  </si>
  <si>
    <t>NCAP_TLIFE</t>
  </si>
  <si>
    <t>+25</t>
  </si>
  <si>
    <t>pset_pn</t>
  </si>
  <si>
    <t>ep_coal_sub*,-*rf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</si>
</sst>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65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2" fillId="3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5" fillId="0" borderId="3" xfId="9"/>
    <xf numFmtId="0" fontId="9" fillId="0" borderId="0" xfId="0" applyFont="1"/>
    <xf numFmtId="0" fontId="0" fillId="5" borderId="0" xfId="0" applyFill="1"/>
    <xf numFmtId="49" fontId="0" fillId="0" borderId="0" xfId="0" quotePrefix="1" applyNumberFormat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quotePrefix="1"/>
    <xf numFmtId="0" fontId="1" fillId="2" borderId="0" xfId="1" applyAlignment="1">
      <alignment horizontal="center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5" fillId="0" borderId="0" xfId="4" applyBorder="1"/>
    <xf numFmtId="0" fontId="0" fillId="0" borderId="0" xfId="0" applyBorder="1"/>
    <xf numFmtId="0" fontId="0" fillId="0" borderId="0" xfId="0" quotePrefix="1" applyBorder="1"/>
  </cellXfs>
  <cellStyles count="11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eutral 2" xfId="10" xr:uid="{70771F18-28AC-410C-89BC-44DF096C64A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Veda!$X$17:$AD$17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Veda!$X$14:$AD$14</c:f>
              <c:numCache>
                <c:formatCode>0</c:formatCode>
                <c:ptCount val="7"/>
                <c:pt idx="0">
                  <c:v>229.26</c:v>
                </c:pt>
                <c:pt idx="1">
                  <c:v>275.11199999999997</c:v>
                </c:pt>
                <c:pt idx="2">
                  <c:v>290.01390000000004</c:v>
                </c:pt>
                <c:pt idx="3">
                  <c:v>304.91579999999999</c:v>
                </c:pt>
                <c:pt idx="4">
                  <c:v>373.69379999999995</c:v>
                </c:pt>
                <c:pt idx="5">
                  <c:v>458.52</c:v>
                </c:pt>
                <c:pt idx="6">
                  <c:v>532.34172000000001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Veda!$M$17:$S$17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Veda!$M$24:$S$24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454817</xdr:colOff>
      <xdr:row>0</xdr:row>
      <xdr:rowOff>142875</xdr:rowOff>
    </xdr:from>
    <xdr:to>
      <xdr:col>30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481012</xdr:colOff>
      <xdr:row>24</xdr:row>
      <xdr:rowOff>171450</xdr:rowOff>
    </xdr:from>
    <xdr:to>
      <xdr:col>19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6"/>
  <sheetViews>
    <sheetView tabSelected="1" topLeftCell="A45" workbookViewId="0">
      <selection activeCell="X62" sqref="X62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7.19921875" bestFit="1" customWidth="1"/>
    <col min="5" max="5" width="7.73046875" bestFit="1" customWidth="1"/>
    <col min="6" max="6" width="7.1328125" bestFit="1" customWidth="1"/>
    <col min="7" max="7" width="3.86328125" bestFit="1" customWidth="1"/>
    <col min="8" max="8" width="6.59765625" bestFit="1" customWidth="1"/>
    <col min="9" max="9" width="7.33203125" bestFit="1" customWidth="1"/>
    <col min="10" max="10" width="1.73046875" bestFit="1" customWidth="1"/>
    <col min="11" max="11" width="24.53125" customWidth="1"/>
    <col min="12" max="12" width="9.6640625" bestFit="1" customWidth="1"/>
    <col min="13" max="14" width="5.265625" bestFit="1" customWidth="1"/>
    <col min="15" max="15" width="7.265625" bestFit="1" customWidth="1"/>
    <col min="16" max="18" width="5.265625" bestFit="1" customWidth="1"/>
    <col min="19" max="19" width="6.265625" bestFit="1" customWidth="1"/>
    <col min="23" max="23" width="14.6640625" bestFit="1" customWidth="1"/>
    <col min="29" max="29" width="14.6640625" bestFit="1" customWidth="1"/>
    <col min="30" max="30" width="5.265625" bestFit="1" customWidth="1"/>
    <col min="37" max="37" width="2.73046875" bestFit="1" customWidth="1"/>
    <col min="38" max="38" width="9.265625" bestFit="1" customWidth="1"/>
    <col min="39" max="39" width="6.265625" bestFit="1" customWidth="1"/>
    <col min="40" max="40" width="2.73046875" bestFit="1" customWidth="1"/>
    <col min="41" max="41" width="2.9296875" bestFit="1" customWidth="1"/>
    <col min="42" max="42" width="12.59765625" bestFit="1" customWidth="1"/>
  </cols>
  <sheetData>
    <row r="1" spans="1:44" x14ac:dyDescent="0.45">
      <c r="K1" s="16">
        <v>65</v>
      </c>
      <c r="L1">
        <v>66</v>
      </c>
      <c r="M1">
        <v>67</v>
      </c>
      <c r="N1">
        <v>68</v>
      </c>
      <c r="O1">
        <v>73</v>
      </c>
      <c r="P1">
        <v>74</v>
      </c>
      <c r="Q1">
        <v>75</v>
      </c>
      <c r="R1">
        <v>76</v>
      </c>
      <c r="S1">
        <v>81</v>
      </c>
      <c r="T1">
        <v>82</v>
      </c>
      <c r="U1">
        <v>83</v>
      </c>
      <c r="V1">
        <v>84</v>
      </c>
      <c r="W1">
        <v>89</v>
      </c>
      <c r="X1">
        <v>90</v>
      </c>
      <c r="Y1">
        <v>91</v>
      </c>
      <c r="Z1">
        <v>92</v>
      </c>
      <c r="AA1">
        <v>97</v>
      </c>
      <c r="AB1">
        <v>98</v>
      </c>
      <c r="AC1">
        <v>99</v>
      </c>
      <c r="AD1">
        <v>100</v>
      </c>
      <c r="AE1">
        <v>105</v>
      </c>
      <c r="AF1">
        <v>106</v>
      </c>
      <c r="AG1">
        <v>107</v>
      </c>
      <c r="AH1">
        <v>108</v>
      </c>
      <c r="AI1">
        <v>113</v>
      </c>
      <c r="AJ1">
        <v>114</v>
      </c>
      <c r="AK1">
        <v>115</v>
      </c>
      <c r="AL1">
        <v>116</v>
      </c>
      <c r="AM1">
        <v>121</v>
      </c>
      <c r="AN1">
        <v>122</v>
      </c>
      <c r="AO1">
        <v>123</v>
      </c>
      <c r="AP1">
        <v>124</v>
      </c>
    </row>
    <row r="2" spans="1:44" x14ac:dyDescent="0.45">
      <c r="B2" s="1" t="str">
        <f>"~Inputcell: "&amp;_xlfn.TEXTJOIN(",",TRUE,K1:EI1)</f>
        <v>~Inputcell: 65,66,67,68,73,74,75,76,81,82,83,84,89,90,91,92,97,98,99,100,105,106,107,108,113,114,115,116,121,122,123,124</v>
      </c>
      <c r="L2" t="s">
        <v>131</v>
      </c>
      <c r="M2">
        <v>1</v>
      </c>
      <c r="N2">
        <v>1.2</v>
      </c>
      <c r="O2">
        <f>AVERAGE(N2,P2)</f>
        <v>1.2650000000000001</v>
      </c>
      <c r="P2">
        <v>1.33</v>
      </c>
      <c r="Q2">
        <v>1.63</v>
      </c>
      <c r="R2">
        <v>2</v>
      </c>
      <c r="S2">
        <v>2.3220000000000001</v>
      </c>
      <c r="U2" s="2" t="s">
        <v>132</v>
      </c>
    </row>
    <row r="3" spans="1:44" x14ac:dyDescent="0.45">
      <c r="B3" s="9">
        <v>66</v>
      </c>
      <c r="L3" t="s">
        <v>133</v>
      </c>
      <c r="M3">
        <v>1</v>
      </c>
      <c r="N3">
        <f>1+(N2-1)/3.5</f>
        <v>1.0571428571428572</v>
      </c>
      <c r="O3">
        <f t="shared" ref="O3:S3" si="0">1+(O2-1)/3.5</f>
        <v>1.0757142857142858</v>
      </c>
      <c r="P3">
        <f t="shared" si="0"/>
        <v>1.0942857142857143</v>
      </c>
      <c r="Q3">
        <f t="shared" si="0"/>
        <v>1.18</v>
      </c>
      <c r="R3">
        <f t="shared" si="0"/>
        <v>1.2857142857142856</v>
      </c>
      <c r="S3">
        <f t="shared" si="0"/>
        <v>1.3777142857142857</v>
      </c>
    </row>
    <row r="5" spans="1:44" x14ac:dyDescent="0.45">
      <c r="D5" s="21" t="str">
        <f t="shared" ref="D5:I5" si="1">VLOOKUP($B$3,$C$9:$K$999,COLUMN()-2,FALSE)</f>
        <v>Hi</v>
      </c>
      <c r="E5" s="21">
        <f t="shared" si="1"/>
        <v>0</v>
      </c>
      <c r="F5" s="21" t="str">
        <f t="shared" si="1"/>
        <v>CF1</v>
      </c>
      <c r="G5" s="21" t="str">
        <f t="shared" si="1"/>
        <v>Y</v>
      </c>
      <c r="H5" s="21" t="str">
        <f t="shared" si="1"/>
        <v>Eco</v>
      </c>
      <c r="I5" s="21">
        <f t="shared" si="1"/>
        <v>0.1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44" x14ac:dyDescent="0.45">
      <c r="L6">
        <v>95</v>
      </c>
      <c r="M6">
        <v>0</v>
      </c>
      <c r="N6">
        <v>0</v>
      </c>
      <c r="O6">
        <v>3</v>
      </c>
      <c r="P6">
        <v>35</v>
      </c>
      <c r="Q6">
        <v>60</v>
      </c>
      <c r="R6">
        <v>80</v>
      </c>
      <c r="S6">
        <v>95</v>
      </c>
    </row>
    <row r="7" spans="1:44" x14ac:dyDescent="0.45">
      <c r="B7" s="14" t="s">
        <v>90</v>
      </c>
    </row>
    <row r="8" spans="1:44" ht="14.65" thickBot="1" x14ac:dyDescent="0.5">
      <c r="A8" s="4" t="s">
        <v>93</v>
      </c>
      <c r="B8" s="4" t="s">
        <v>91</v>
      </c>
      <c r="C8" s="4" t="s">
        <v>92</v>
      </c>
      <c r="D8" s="4" t="s">
        <v>17</v>
      </c>
      <c r="E8" s="4" t="s">
        <v>99</v>
      </c>
      <c r="F8" s="4" t="s">
        <v>128</v>
      </c>
      <c r="G8" s="4" t="s">
        <v>134</v>
      </c>
      <c r="H8" s="4" t="s">
        <v>158</v>
      </c>
      <c r="I8" s="4" t="s">
        <v>152</v>
      </c>
      <c r="J8" s="4"/>
      <c r="AR8" s="2" t="s">
        <v>95</v>
      </c>
    </row>
    <row r="9" spans="1:44" x14ac:dyDescent="0.45">
      <c r="A9">
        <v>5</v>
      </c>
      <c r="B9" t="str">
        <f>_xlfn.TEXTJOIN(".",TRUE,D9:I9)</f>
        <v>Lo.0.CF1.Y.Pln.1</v>
      </c>
      <c r="C9">
        <v>1</v>
      </c>
      <c r="D9" t="s">
        <v>133</v>
      </c>
      <c r="E9" s="15">
        <v>0</v>
      </c>
      <c r="F9" s="15" t="s">
        <v>129</v>
      </c>
      <c r="G9" s="15" t="s">
        <v>135</v>
      </c>
      <c r="H9" s="15" t="s">
        <v>159</v>
      </c>
      <c r="I9" s="22">
        <v>1</v>
      </c>
      <c r="K9" t="s">
        <v>1</v>
      </c>
      <c r="AN9" s="10">
        <v>1</v>
      </c>
      <c r="AO9" t="s">
        <v>0</v>
      </c>
      <c r="AP9" t="s">
        <v>85</v>
      </c>
      <c r="AQ9" s="12">
        <v>5</v>
      </c>
    </row>
    <row r="10" spans="1:44" x14ac:dyDescent="0.45">
      <c r="A10">
        <v>5</v>
      </c>
      <c r="B10" t="str">
        <f t="shared" ref="B10:B56" si="2">_xlfn.TEXTJOIN(".",TRUE,D10:I10)</f>
        <v>Hi.0.CF1.Y.Pln.1</v>
      </c>
      <c r="C10">
        <f>C9+1</f>
        <v>2</v>
      </c>
      <c r="D10" t="s">
        <v>131</v>
      </c>
      <c r="E10" s="15">
        <v>0</v>
      </c>
      <c r="F10" s="15" t="s">
        <v>129</v>
      </c>
      <c r="G10" s="15" t="s">
        <v>135</v>
      </c>
      <c r="H10" s="15" t="s">
        <v>159</v>
      </c>
      <c r="I10" s="22">
        <v>1</v>
      </c>
      <c r="K10" t="s">
        <v>3</v>
      </c>
      <c r="W10" t="s">
        <v>4</v>
      </c>
      <c r="AN10" s="10">
        <v>1</v>
      </c>
      <c r="AO10" t="s">
        <v>2</v>
      </c>
      <c r="AP10" t="s">
        <v>86</v>
      </c>
      <c r="AQ10" s="12">
        <v>4</v>
      </c>
    </row>
    <row r="11" spans="1:44" x14ac:dyDescent="0.45">
      <c r="A11">
        <v>5</v>
      </c>
      <c r="B11" t="str">
        <f t="shared" si="2"/>
        <v>Lo.95.CF1.Y.Pln.1</v>
      </c>
      <c r="C11">
        <f t="shared" ref="C11:C74" si="3">C10+1</f>
        <v>3</v>
      </c>
      <c r="D11" t="str">
        <f>D9</f>
        <v>Lo</v>
      </c>
      <c r="E11">
        <v>95</v>
      </c>
      <c r="F11" s="15" t="s">
        <v>129</v>
      </c>
      <c r="G11" s="15" t="s">
        <v>135</v>
      </c>
      <c r="H11" s="15" t="s">
        <v>159</v>
      </c>
      <c r="I11" s="22">
        <v>1</v>
      </c>
      <c r="K11" t="s">
        <v>6</v>
      </c>
      <c r="W11" s="1">
        <v>2022</v>
      </c>
      <c r="AN11" s="10">
        <v>1</v>
      </c>
      <c r="AO11" t="s">
        <v>5</v>
      </c>
      <c r="AP11" t="s">
        <v>87</v>
      </c>
      <c r="AQ11" s="12">
        <v>3</v>
      </c>
    </row>
    <row r="12" spans="1:44" ht="14.65" customHeight="1" thickBot="1" x14ac:dyDescent="0.5">
      <c r="A12">
        <v>5</v>
      </c>
      <c r="B12" t="str">
        <f t="shared" si="2"/>
        <v>Hi.95.CF1.Y.Pln.1</v>
      </c>
      <c r="C12">
        <f t="shared" si="3"/>
        <v>4</v>
      </c>
      <c r="D12" t="str">
        <f t="shared" ref="D12:D75" si="4">D10</f>
        <v>Hi</v>
      </c>
      <c r="E12">
        <v>95</v>
      </c>
      <c r="F12" s="15" t="s">
        <v>129</v>
      </c>
      <c r="G12" s="15" t="s">
        <v>135</v>
      </c>
      <c r="H12" s="15" t="s">
        <v>159</v>
      </c>
      <c r="I12" s="22">
        <v>1</v>
      </c>
      <c r="K12" t="s">
        <v>8</v>
      </c>
      <c r="W12" s="3">
        <f>SUMIFS(iea_data!I3:I9999,iea_data!$B$3:$B$9999,Veda!$W$11)+X28-X29</f>
        <v>229.26</v>
      </c>
      <c r="X12" s="2" t="s">
        <v>57</v>
      </c>
      <c r="AN12" s="10">
        <v>1</v>
      </c>
      <c r="AO12" t="s">
        <v>7</v>
      </c>
      <c r="AP12" t="s">
        <v>88</v>
      </c>
      <c r="AQ12" s="12">
        <v>3</v>
      </c>
    </row>
    <row r="13" spans="1:44" ht="14.65" customHeight="1" thickTop="1" x14ac:dyDescent="0.45">
      <c r="A13">
        <v>5</v>
      </c>
      <c r="B13" t="str">
        <f t="shared" si="2"/>
        <v>Lo.0.CF1.N.Pln.1</v>
      </c>
      <c r="C13">
        <f t="shared" si="3"/>
        <v>5</v>
      </c>
      <c r="D13" t="str">
        <f t="shared" si="4"/>
        <v>Lo</v>
      </c>
      <c r="E13">
        <f>E9</f>
        <v>0</v>
      </c>
      <c r="F13" s="15" t="s">
        <v>129</v>
      </c>
      <c r="G13" t="s">
        <v>136</v>
      </c>
      <c r="H13" s="15" t="s">
        <v>159</v>
      </c>
      <c r="I13" s="22">
        <v>1</v>
      </c>
      <c r="K13" t="s">
        <v>10</v>
      </c>
      <c r="AN13" s="10">
        <v>1</v>
      </c>
      <c r="AO13" t="s">
        <v>9</v>
      </c>
      <c r="AP13" t="s">
        <v>89</v>
      </c>
      <c r="AQ13" s="12">
        <v>1.5</v>
      </c>
    </row>
    <row r="14" spans="1:44" x14ac:dyDescent="0.45">
      <c r="A14">
        <v>5</v>
      </c>
      <c r="B14" t="str">
        <f t="shared" si="2"/>
        <v>Hi.0.CF1.N.Pln.1</v>
      </c>
      <c r="C14">
        <f t="shared" si="3"/>
        <v>6</v>
      </c>
      <c r="D14" t="str">
        <f t="shared" si="4"/>
        <v>Hi</v>
      </c>
      <c r="E14">
        <f t="shared" ref="E14" si="5">E10</f>
        <v>0</v>
      </c>
      <c r="F14" s="15" t="s">
        <v>129</v>
      </c>
      <c r="G14" t="s">
        <v>136</v>
      </c>
      <c r="H14" s="15" t="s">
        <v>159</v>
      </c>
      <c r="I14" s="22">
        <v>1</v>
      </c>
      <c r="X14" s="8">
        <f>W12</f>
        <v>229.26</v>
      </c>
      <c r="Y14" s="8">
        <f t="shared" ref="Y14:AD14" si="6">$W$12*N15</f>
        <v>275.11199999999997</v>
      </c>
      <c r="Z14" s="8">
        <f t="shared" si="6"/>
        <v>290.01390000000004</v>
      </c>
      <c r="AA14" s="8">
        <f t="shared" si="6"/>
        <v>304.91579999999999</v>
      </c>
      <c r="AB14" s="8">
        <f t="shared" si="6"/>
        <v>373.69379999999995</v>
      </c>
      <c r="AC14" s="8">
        <f t="shared" si="6"/>
        <v>458.52</v>
      </c>
      <c r="AD14" s="8">
        <f t="shared" si="6"/>
        <v>532.34172000000001</v>
      </c>
      <c r="AN14" s="10">
        <f>AN9+1</f>
        <v>2</v>
      </c>
    </row>
    <row r="15" spans="1:44" x14ac:dyDescent="0.45">
      <c r="A15">
        <v>5</v>
      </c>
      <c r="B15" t="str">
        <f t="shared" si="2"/>
        <v>Lo.95.CF1.N.Pln.1</v>
      </c>
      <c r="C15">
        <f t="shared" si="3"/>
        <v>7</v>
      </c>
      <c r="D15" t="str">
        <f t="shared" si="4"/>
        <v>Lo</v>
      </c>
      <c r="E15">
        <f t="shared" ref="E15" si="7">E11</f>
        <v>95</v>
      </c>
      <c r="F15" s="15" t="s">
        <v>129</v>
      </c>
      <c r="G15" t="s">
        <v>136</v>
      </c>
      <c r="H15" s="15" t="s">
        <v>159</v>
      </c>
      <c r="I15" s="22">
        <v>1</v>
      </c>
      <c r="K15" t="s">
        <v>11</v>
      </c>
      <c r="M15" s="11">
        <f t="shared" ref="M15:S15" si="8">SUMIF($L$2:$L$6,$D$5,M$2:M$6)</f>
        <v>1</v>
      </c>
      <c r="N15" s="11">
        <f t="shared" si="8"/>
        <v>1.2</v>
      </c>
      <c r="O15" s="11">
        <f t="shared" si="8"/>
        <v>1.2650000000000001</v>
      </c>
      <c r="P15" s="11">
        <f t="shared" si="8"/>
        <v>1.33</v>
      </c>
      <c r="Q15" s="11">
        <f t="shared" si="8"/>
        <v>1.63</v>
      </c>
      <c r="R15" s="11">
        <f t="shared" si="8"/>
        <v>2</v>
      </c>
      <c r="S15" s="11">
        <f t="shared" si="8"/>
        <v>2.3220000000000001</v>
      </c>
      <c r="AN15" s="10">
        <f t="shared" ref="AN15:AN78" si="9">AN10+1</f>
        <v>2</v>
      </c>
    </row>
    <row r="16" spans="1:44" ht="17.649999999999999" customHeight="1" thickBot="1" x14ac:dyDescent="0.6">
      <c r="A16">
        <v>5</v>
      </c>
      <c r="B16" t="str">
        <f t="shared" si="2"/>
        <v>Hi.95.CF1.N.Pln.1</v>
      </c>
      <c r="C16">
        <f t="shared" si="3"/>
        <v>8</v>
      </c>
      <c r="D16" t="str">
        <f t="shared" si="4"/>
        <v>Hi</v>
      </c>
      <c r="E16">
        <f t="shared" ref="E16" si="10">E12</f>
        <v>95</v>
      </c>
      <c r="F16" s="15" t="s">
        <v>129</v>
      </c>
      <c r="G16" t="s">
        <v>136</v>
      </c>
      <c r="H16" s="15" t="s">
        <v>159</v>
      </c>
      <c r="I16" s="22">
        <v>1</v>
      </c>
      <c r="W16" s="5" t="s">
        <v>12</v>
      </c>
      <c r="AN16" s="10">
        <f t="shared" si="9"/>
        <v>2</v>
      </c>
    </row>
    <row r="17" spans="1:40" ht="15" customHeight="1" thickTop="1" thickBot="1" x14ac:dyDescent="0.5">
      <c r="A17">
        <v>5</v>
      </c>
      <c r="B17" t="str">
        <f t="shared" si="2"/>
        <v>Lo.0.CF6.Y.Pln.1</v>
      </c>
      <c r="C17">
        <f t="shared" si="3"/>
        <v>9</v>
      </c>
      <c r="D17" t="str">
        <f t="shared" si="4"/>
        <v>Lo</v>
      </c>
      <c r="E17">
        <f t="shared" ref="E17" si="11">E13</f>
        <v>0</v>
      </c>
      <c r="F17" t="s">
        <v>130</v>
      </c>
      <c r="G17" t="str">
        <f>G9</f>
        <v>Y</v>
      </c>
      <c r="H17" s="15" t="s">
        <v>159</v>
      </c>
      <c r="I17" s="22">
        <v>1</v>
      </c>
      <c r="K17" s="7" t="s">
        <v>7</v>
      </c>
      <c r="M17" s="7">
        <v>2020</v>
      </c>
      <c r="N17" s="7">
        <f t="shared" ref="N17:S17" si="12">Y17</f>
        <v>2025</v>
      </c>
      <c r="O17" s="7">
        <f t="shared" si="12"/>
        <v>2030</v>
      </c>
      <c r="P17" s="7">
        <f t="shared" si="12"/>
        <v>2035</v>
      </c>
      <c r="Q17" s="7">
        <f t="shared" si="12"/>
        <v>2040</v>
      </c>
      <c r="R17" s="7">
        <f t="shared" si="12"/>
        <v>2045</v>
      </c>
      <c r="S17" s="7">
        <f t="shared" si="12"/>
        <v>2050</v>
      </c>
      <c r="W17" s="4" t="s">
        <v>13</v>
      </c>
      <c r="X17" s="4">
        <v>2022</v>
      </c>
      <c r="Y17" s="4">
        <v>2025</v>
      </c>
      <c r="Z17" s="4">
        <v>2030</v>
      </c>
      <c r="AA17" s="4">
        <v>2035</v>
      </c>
      <c r="AB17" s="4">
        <v>2040</v>
      </c>
      <c r="AC17" s="4">
        <v>2045</v>
      </c>
      <c r="AD17" s="4">
        <v>2050</v>
      </c>
      <c r="AE17" s="4" t="s">
        <v>14</v>
      </c>
      <c r="AN17" s="10">
        <f t="shared" si="9"/>
        <v>2</v>
      </c>
    </row>
    <row r="18" spans="1:40" x14ac:dyDescent="0.45">
      <c r="A18">
        <v>5</v>
      </c>
      <c r="B18" t="str">
        <f t="shared" si="2"/>
        <v>Hi.0.CF6.Y.Pln.1</v>
      </c>
      <c r="C18">
        <f t="shared" si="3"/>
        <v>10</v>
      </c>
      <c r="D18" t="str">
        <f t="shared" si="4"/>
        <v>Hi</v>
      </c>
      <c r="E18">
        <f t="shared" ref="E18" si="13">E14</f>
        <v>0</v>
      </c>
      <c r="F18" t="s">
        <v>130</v>
      </c>
      <c r="G18" t="str">
        <f t="shared" ref="G18:G81" si="14">G10</f>
        <v>Y</v>
      </c>
      <c r="H18" s="15" t="s">
        <v>159</v>
      </c>
      <c r="I18" s="22">
        <v>1</v>
      </c>
      <c r="K18" t="s">
        <v>15</v>
      </c>
      <c r="M18" s="11">
        <f>SUMIFS(ar6_r10!$K$2:$K$999,ar6_r10!$A$2:$A$999,$K$17,ar6_r10!$C$2:$C$999,Veda!M$17,ar6_r10!$M$2:$M$999,Veda!$K18)</f>
        <v>0</v>
      </c>
      <c r="N18" s="11">
        <f>SUMIFS(ar6_r10!$K$2:$K$999,ar6_r10!$A$2:$A$999,$K$17,ar6_r10!$C$2:$C$999,Veda!N$17,ar6_r10!$M$2:$M$999,Veda!$K18)</f>
        <v>0</v>
      </c>
      <c r="O18" s="11">
        <f>SUMIFS(ar6_r10!$K$2:$K$999,ar6_r10!$A$2:$A$999,$K$17,ar6_r10!$C$2:$C$999,Veda!O$17,ar6_r10!$M$2:$M$999,Veda!$K18)</f>
        <v>0</v>
      </c>
      <c r="P18" s="11">
        <f>SUMIFS(ar6_r10!$K$2:$K$999,ar6_r10!$A$2:$A$999,$K$17,ar6_r10!$C$2:$C$999,Veda!P$17,ar6_r10!$M$2:$M$999,Veda!$K18)</f>
        <v>0</v>
      </c>
      <c r="Q18" s="11">
        <f>SUMIFS(ar6_r10!$K$2:$K$999,ar6_r10!$A$2:$A$999,$K$17,ar6_r10!$C$2:$C$999,Veda!Q$17,ar6_r10!$M$2:$M$999,Veda!$K18)</f>
        <v>0</v>
      </c>
      <c r="R18" s="11">
        <f>SUMIFS(ar6_r10!$K$2:$K$999,ar6_r10!$A$2:$A$999,$K$17,ar6_r10!$C$2:$C$999,Veda!R$17,ar6_r10!$M$2:$M$999,Veda!$K18)</f>
        <v>0.01</v>
      </c>
      <c r="S18" s="11">
        <f>SUMIFS(ar6_r10!$K$2:$K$999,ar6_r10!$A$2:$A$999,$K$17,ar6_r10!$C$2:$C$999,Veda!S$17,ar6_r10!$M$2:$M$999,Veda!$K18)</f>
        <v>0.01</v>
      </c>
      <c r="W18" s="10" t="s">
        <v>16</v>
      </c>
      <c r="X18" s="6">
        <f t="shared" ref="X18:AD20" si="15">M18*X$14</f>
        <v>0</v>
      </c>
      <c r="Y18" s="6">
        <f t="shared" si="15"/>
        <v>0</v>
      </c>
      <c r="Z18" s="6">
        <f t="shared" si="15"/>
        <v>0</v>
      </c>
      <c r="AA18" s="6">
        <f t="shared" si="15"/>
        <v>0</v>
      </c>
      <c r="AB18" s="6">
        <f t="shared" si="15"/>
        <v>0</v>
      </c>
      <c r="AC18" s="6">
        <f t="shared" si="15"/>
        <v>4.5851999999999995</v>
      </c>
      <c r="AD18" s="6">
        <f t="shared" si="15"/>
        <v>5.3234172000000006</v>
      </c>
      <c r="AE18" t="s">
        <v>17</v>
      </c>
      <c r="AG18" s="2"/>
      <c r="AN18" s="10">
        <f t="shared" si="9"/>
        <v>2</v>
      </c>
    </row>
    <row r="19" spans="1:40" x14ac:dyDescent="0.45">
      <c r="A19">
        <v>5</v>
      </c>
      <c r="B19" t="str">
        <f t="shared" si="2"/>
        <v>Lo.95.CF6.Y.Pln.1</v>
      </c>
      <c r="C19">
        <f t="shared" si="3"/>
        <v>11</v>
      </c>
      <c r="D19" t="str">
        <f t="shared" si="4"/>
        <v>Lo</v>
      </c>
      <c r="E19">
        <f t="shared" ref="E19" si="16">E15</f>
        <v>95</v>
      </c>
      <c r="F19" t="s">
        <v>130</v>
      </c>
      <c r="G19" t="str">
        <f t="shared" si="14"/>
        <v>Y</v>
      </c>
      <c r="H19" s="15" t="s">
        <v>159</v>
      </c>
      <c r="I19" s="22">
        <v>1</v>
      </c>
      <c r="K19" t="s">
        <v>18</v>
      </c>
      <c r="M19" s="11">
        <f>SUMIFS(ar6_r10!$J$2:$J$999,ar6_r10!$A$2:$A$999,$K$17,ar6_r10!$C$2:$C$999,Veda!M$17,ar6_r10!$M$2:$M$999,Veda!$K19)</f>
        <v>0.4</v>
      </c>
      <c r="N19" s="11">
        <f>SUMIFS(ar6_r10!$J$2:$J$999,ar6_r10!$A$2:$A$999,$K$17,ar6_r10!$C$2:$C$999,Veda!N$17,ar6_r10!$M$2:$M$999,Veda!$K19)</f>
        <v>0.35</v>
      </c>
      <c r="O19" s="11">
        <f>SUMIFS(ar6_r10!$J$2:$J$999,ar6_r10!$A$2:$A$999,$K$17,ar6_r10!$C$2:$C$999,Veda!O$17,ar6_r10!$M$2:$M$999,Veda!$K19)</f>
        <v>0.33</v>
      </c>
      <c r="P19" s="11">
        <f>SUMIFS(ar6_r10!$J$2:$J$999,ar6_r10!$A$2:$A$999,$K$17,ar6_r10!$C$2:$C$999,Veda!P$17,ar6_r10!$M$2:$M$999,Veda!$K19)</f>
        <v>0.32</v>
      </c>
      <c r="Q19" s="11">
        <f>SUMIFS(ar6_r10!$J$2:$J$999,ar6_r10!$A$2:$A$999,$K$17,ar6_r10!$C$2:$C$999,Veda!Q$17,ar6_r10!$M$2:$M$999,Veda!$K19)</f>
        <v>0.31</v>
      </c>
      <c r="R19" s="11">
        <f>SUMIFS(ar6_r10!$J$2:$J$999,ar6_r10!$A$2:$A$999,$K$17,ar6_r10!$C$2:$C$999,Veda!R$17,ar6_r10!$M$2:$M$999,Veda!$K19)</f>
        <v>0.31</v>
      </c>
      <c r="S19" s="11">
        <f>SUMIFS(ar6_r10!$J$2:$J$999,ar6_r10!$A$2:$A$999,$K$17,ar6_r10!$C$2:$C$999,Veda!S$17,ar6_r10!$M$2:$M$999,Veda!$K19)</f>
        <v>0.31</v>
      </c>
      <c r="W19" s="10" t="s">
        <v>19</v>
      </c>
      <c r="X19" s="6">
        <f t="shared" si="15"/>
        <v>91.704000000000008</v>
      </c>
      <c r="Y19" s="6">
        <f t="shared" si="15"/>
        <v>96.28919999999998</v>
      </c>
      <c r="Z19" s="6">
        <f t="shared" si="15"/>
        <v>95.704587000000018</v>
      </c>
      <c r="AA19" s="6">
        <f t="shared" si="15"/>
        <v>97.573055999999994</v>
      </c>
      <c r="AB19" s="6">
        <f t="shared" si="15"/>
        <v>115.84507799999999</v>
      </c>
      <c r="AC19" s="6">
        <f t="shared" si="15"/>
        <v>142.1412</v>
      </c>
      <c r="AD19" s="6">
        <f t="shared" si="15"/>
        <v>165.0259332</v>
      </c>
      <c r="AE19" t="s">
        <v>17</v>
      </c>
      <c r="AN19" s="10">
        <f t="shared" si="9"/>
        <v>3</v>
      </c>
    </row>
    <row r="20" spans="1:40" x14ac:dyDescent="0.45">
      <c r="A20">
        <v>5</v>
      </c>
      <c r="B20" t="str">
        <f t="shared" si="2"/>
        <v>Hi.95.CF6.Y.Pln.1</v>
      </c>
      <c r="C20">
        <f t="shared" si="3"/>
        <v>12</v>
      </c>
      <c r="D20" t="str">
        <f t="shared" si="4"/>
        <v>Hi</v>
      </c>
      <c r="E20">
        <f t="shared" ref="E20:E83" si="17">E16</f>
        <v>95</v>
      </c>
      <c r="F20" t="s">
        <v>130</v>
      </c>
      <c r="G20" t="str">
        <f t="shared" si="14"/>
        <v>Y</v>
      </c>
      <c r="H20" s="15" t="s">
        <v>159</v>
      </c>
      <c r="I20" s="22">
        <v>1</v>
      </c>
      <c r="K20" t="s">
        <v>21</v>
      </c>
      <c r="M20" s="11">
        <f>SUMIFS(ar6_r10!$J$2:$J$999,ar6_r10!$A$2:$A$999,$K$17,ar6_r10!$C$2:$C$999,Veda!M$17,ar6_r10!$M$2:$M$999,Veda!$K20)</f>
        <v>0.47</v>
      </c>
      <c r="N20" s="11">
        <f>SUMIFS(ar6_r10!$J$2:$J$999,ar6_r10!$A$2:$A$999,$K$17,ar6_r10!$C$2:$C$999,Veda!N$17,ar6_r10!$M$2:$M$999,Veda!$K20)</f>
        <v>0.52</v>
      </c>
      <c r="O20" s="11">
        <f>SUMIFS(ar6_r10!$J$2:$J$999,ar6_r10!$A$2:$A$999,$K$17,ar6_r10!$C$2:$C$999,Veda!O$17,ar6_r10!$M$2:$M$999,Veda!$K20)</f>
        <v>0.54</v>
      </c>
      <c r="P20" s="11">
        <f>SUMIFS(ar6_r10!$J$2:$J$999,ar6_r10!$A$2:$A$999,$K$17,ar6_r10!$C$2:$C$999,Veda!P$17,ar6_r10!$M$2:$M$999,Veda!$K20)</f>
        <v>0.53</v>
      </c>
      <c r="Q20" s="11">
        <f>SUMIFS(ar6_r10!$J$2:$J$999,ar6_r10!$A$2:$A$999,$K$17,ar6_r10!$C$2:$C$999,Veda!Q$17,ar6_r10!$M$2:$M$999,Veda!$K20)</f>
        <v>0.52</v>
      </c>
      <c r="R20" s="11">
        <f>SUMIFS(ar6_r10!$J$2:$J$999,ar6_r10!$A$2:$A$999,$K$17,ar6_r10!$C$2:$C$999,Veda!R$17,ar6_r10!$M$2:$M$999,Veda!$K20)</f>
        <v>0.5</v>
      </c>
      <c r="S20" s="11">
        <f>SUMIFS(ar6_r10!$J$2:$J$999,ar6_r10!$A$2:$A$999,$K$17,ar6_r10!$C$2:$C$999,Veda!S$17,ar6_r10!$M$2:$M$999,Veda!$K20)</f>
        <v>0.48</v>
      </c>
      <c r="W20" s="10" t="s">
        <v>22</v>
      </c>
      <c r="X20" s="6">
        <f t="shared" si="15"/>
        <v>107.75219999999999</v>
      </c>
      <c r="Y20" s="6">
        <f t="shared" si="15"/>
        <v>143.05823999999998</v>
      </c>
      <c r="Z20" s="6">
        <f t="shared" si="15"/>
        <v>156.60750600000003</v>
      </c>
      <c r="AA20" s="6">
        <f t="shared" si="15"/>
        <v>161.60537400000001</v>
      </c>
      <c r="AB20" s="6">
        <f t="shared" si="15"/>
        <v>194.320776</v>
      </c>
      <c r="AC20" s="6">
        <f t="shared" si="15"/>
        <v>229.26</v>
      </c>
      <c r="AD20" s="6">
        <f t="shared" si="15"/>
        <v>255.52402559999999</v>
      </c>
      <c r="AE20" t="s">
        <v>17</v>
      </c>
      <c r="AN20" s="10">
        <f t="shared" si="9"/>
        <v>3</v>
      </c>
    </row>
    <row r="21" spans="1:40" x14ac:dyDescent="0.45">
      <c r="A21">
        <v>5</v>
      </c>
      <c r="B21" t="str">
        <f t="shared" si="2"/>
        <v>Lo.0.CF6.N.Pln.1</v>
      </c>
      <c r="C21">
        <f t="shared" si="3"/>
        <v>13</v>
      </c>
      <c r="D21" t="str">
        <f t="shared" si="4"/>
        <v>Lo</v>
      </c>
      <c r="E21">
        <f t="shared" si="17"/>
        <v>0</v>
      </c>
      <c r="F21" t="s">
        <v>130</v>
      </c>
      <c r="G21" t="str">
        <f t="shared" si="14"/>
        <v>N</v>
      </c>
      <c r="H21" s="15" t="s">
        <v>159</v>
      </c>
      <c r="I21" s="22">
        <v>1</v>
      </c>
      <c r="K21" t="s">
        <v>23</v>
      </c>
      <c r="M21" s="11">
        <f>SUMIFS(ar6_r10!$J$2:$J$999,ar6_r10!$A$2:$A$999,$K$17,ar6_r10!$C$2:$C$999,Veda!M$17,ar6_r10!$M$2:$M$999,Veda!$K21)</f>
        <v>0.01</v>
      </c>
      <c r="N21" s="11">
        <f>SUMIFS(ar6_r10!$J$2:$J$999,ar6_r10!$A$2:$A$999,$K$17,ar6_r10!$C$2:$C$999,Veda!N$17,ar6_r10!$M$2:$M$999,Veda!$K21)</f>
        <v>0.01</v>
      </c>
      <c r="O21" s="11">
        <f>SUMIFS(ar6_r10!$J$2:$J$999,ar6_r10!$A$2:$A$999,$K$17,ar6_r10!$C$2:$C$999,Veda!O$17,ar6_r10!$M$2:$M$999,Veda!$K21)</f>
        <v>0.01</v>
      </c>
      <c r="P21" s="11">
        <f>SUMIFS(ar6_r10!$J$2:$J$999,ar6_r10!$A$2:$A$999,$K$17,ar6_r10!$C$2:$C$999,Veda!P$17,ar6_r10!$M$2:$M$999,Veda!$K21)</f>
        <v>0.01</v>
      </c>
      <c r="Q21" s="11">
        <f>SUMIFS(ar6_r10!$J$2:$J$999,ar6_r10!$A$2:$A$999,$K$17,ar6_r10!$C$2:$C$999,Veda!Q$17,ar6_r10!$M$2:$M$999,Veda!$K21)</f>
        <v>0.01</v>
      </c>
      <c r="R21" s="11">
        <f>SUMIFS(ar6_r10!$J$2:$J$999,ar6_r10!$A$2:$A$999,$K$17,ar6_r10!$C$2:$C$999,Veda!R$17,ar6_r10!$M$2:$M$999,Veda!$K21)</f>
        <v>0.02</v>
      </c>
      <c r="S21" s="11">
        <f>SUMIFS(ar6_r10!$J$2:$J$999,ar6_r10!$A$2:$A$999,$K$17,ar6_r10!$C$2:$C$999,Veda!S$17,ar6_r10!$M$2:$M$999,Veda!$K21)</f>
        <v>0.02</v>
      </c>
      <c r="W21" s="10" t="s">
        <v>24</v>
      </c>
      <c r="X21" s="6">
        <f>M21*X$14</f>
        <v>2.2925999999999997</v>
      </c>
      <c r="Y21" s="6">
        <f t="shared" ref="Y21:AD21" si="18">X21</f>
        <v>2.2925999999999997</v>
      </c>
      <c r="Z21" s="6">
        <f t="shared" si="18"/>
        <v>2.2925999999999997</v>
      </c>
      <c r="AA21" s="6">
        <f t="shared" si="18"/>
        <v>2.2925999999999997</v>
      </c>
      <c r="AB21" s="6">
        <f t="shared" si="18"/>
        <v>2.2925999999999997</v>
      </c>
      <c r="AC21" s="6">
        <f t="shared" si="18"/>
        <v>2.2925999999999997</v>
      </c>
      <c r="AD21" s="6">
        <f t="shared" si="18"/>
        <v>2.2925999999999997</v>
      </c>
      <c r="AE21" t="s">
        <v>17</v>
      </c>
      <c r="AG21" s="2" t="s">
        <v>20</v>
      </c>
      <c r="AN21" s="10">
        <f t="shared" si="9"/>
        <v>3</v>
      </c>
    </row>
    <row r="22" spans="1:40" x14ac:dyDescent="0.45">
      <c r="A22">
        <v>5</v>
      </c>
      <c r="B22" t="str">
        <f t="shared" si="2"/>
        <v>Hi.0.CF6.N.Pln.1</v>
      </c>
      <c r="C22">
        <f t="shared" si="3"/>
        <v>14</v>
      </c>
      <c r="D22" t="str">
        <f t="shared" si="4"/>
        <v>Hi</v>
      </c>
      <c r="E22">
        <f t="shared" si="17"/>
        <v>0</v>
      </c>
      <c r="F22" t="s">
        <v>130</v>
      </c>
      <c r="G22" t="str">
        <f t="shared" si="14"/>
        <v>N</v>
      </c>
      <c r="H22" s="15" t="s">
        <v>159</v>
      </c>
      <c r="I22" s="22">
        <v>1</v>
      </c>
      <c r="W22" s="10" t="s">
        <v>25</v>
      </c>
      <c r="X22" s="6">
        <f t="shared" ref="X22:AD22" si="19">X14-SUM(X19:X21)</f>
        <v>27.511200000000002</v>
      </c>
      <c r="Y22" s="6">
        <f t="shared" si="19"/>
        <v>33.471960000000024</v>
      </c>
      <c r="Z22" s="6">
        <f t="shared" si="19"/>
        <v>35.409206999999981</v>
      </c>
      <c r="AA22" s="6">
        <f t="shared" si="19"/>
        <v>43.444770000000005</v>
      </c>
      <c r="AB22" s="6">
        <f t="shared" si="19"/>
        <v>61.235345999999993</v>
      </c>
      <c r="AC22" s="6">
        <f t="shared" si="19"/>
        <v>84.826199999999972</v>
      </c>
      <c r="AD22" s="6">
        <f t="shared" si="19"/>
        <v>109.4991612</v>
      </c>
      <c r="AE22" t="s">
        <v>17</v>
      </c>
      <c r="AN22" s="10">
        <f t="shared" si="9"/>
        <v>3</v>
      </c>
    </row>
    <row r="23" spans="1:40" x14ac:dyDescent="0.45">
      <c r="A23">
        <v>5</v>
      </c>
      <c r="B23" t="str">
        <f t="shared" si="2"/>
        <v>Lo.95.CF6.N.Pln.1</v>
      </c>
      <c r="C23">
        <f t="shared" si="3"/>
        <v>15</v>
      </c>
      <c r="D23" t="str">
        <f t="shared" si="4"/>
        <v>Lo</v>
      </c>
      <c r="E23">
        <f t="shared" si="17"/>
        <v>95</v>
      </c>
      <c r="F23" t="s">
        <v>130</v>
      </c>
      <c r="G23" t="str">
        <f t="shared" si="14"/>
        <v>N</v>
      </c>
      <c r="H23" s="15" t="s">
        <v>159</v>
      </c>
      <c r="I23" s="22">
        <v>1</v>
      </c>
      <c r="W23" t="s">
        <v>26</v>
      </c>
      <c r="AN23" s="10">
        <f t="shared" si="9"/>
        <v>3</v>
      </c>
    </row>
    <row r="24" spans="1:40" ht="14.65" customHeight="1" x14ac:dyDescent="0.45">
      <c r="A24">
        <v>5</v>
      </c>
      <c r="B24" t="str">
        <f t="shared" si="2"/>
        <v>Hi.95.CF6.N.Pln.1</v>
      </c>
      <c r="C24">
        <f t="shared" si="3"/>
        <v>16</v>
      </c>
      <c r="D24" t="str">
        <f t="shared" si="4"/>
        <v>Hi</v>
      </c>
      <c r="E24">
        <f t="shared" si="17"/>
        <v>95</v>
      </c>
      <c r="F24" t="s">
        <v>130</v>
      </c>
      <c r="G24" t="str">
        <f t="shared" si="14"/>
        <v>N</v>
      </c>
      <c r="H24" s="15" t="s">
        <v>159</v>
      </c>
      <c r="I24" s="22">
        <v>1</v>
      </c>
      <c r="K24" s="10" t="s">
        <v>27</v>
      </c>
      <c r="M24" s="11">
        <f t="shared" ref="M24:S24" si="20">SUMIF($L$2:$L$6,$E$5,M$2:M$6)</f>
        <v>0</v>
      </c>
      <c r="N24" s="11">
        <f t="shared" si="20"/>
        <v>0</v>
      </c>
      <c r="O24" s="11">
        <f t="shared" si="20"/>
        <v>0</v>
      </c>
      <c r="P24" s="11">
        <f t="shared" si="20"/>
        <v>0</v>
      </c>
      <c r="Q24" s="11">
        <f t="shared" si="20"/>
        <v>0</v>
      </c>
      <c r="R24" s="11">
        <f t="shared" si="20"/>
        <v>0</v>
      </c>
      <c r="S24" s="11">
        <f t="shared" si="20"/>
        <v>0</v>
      </c>
      <c r="W24" t="s">
        <v>28</v>
      </c>
      <c r="Y24">
        <v>0</v>
      </c>
      <c r="Z24" s="11">
        <f>O24/1000</f>
        <v>0</v>
      </c>
      <c r="AA24" s="11">
        <f>P24/1000</f>
        <v>0</v>
      </c>
      <c r="AB24" s="11">
        <f>Q24/1000</f>
        <v>0</v>
      </c>
      <c r="AC24" s="11">
        <f>R24/1000</f>
        <v>0</v>
      </c>
      <c r="AD24" s="11">
        <f>S24/1000</f>
        <v>0</v>
      </c>
      <c r="AE24" t="s">
        <v>29</v>
      </c>
      <c r="AN24" s="10">
        <f t="shared" si="9"/>
        <v>4</v>
      </c>
    </row>
    <row r="25" spans="1:40" ht="14.65" customHeight="1" x14ac:dyDescent="0.45">
      <c r="A25">
        <v>5</v>
      </c>
      <c r="B25" t="str">
        <f t="shared" si="2"/>
        <v>Lo.0.CF1.Y.Pln.0.25</v>
      </c>
      <c r="C25">
        <f t="shared" si="3"/>
        <v>17</v>
      </c>
      <c r="D25" t="str">
        <f t="shared" si="4"/>
        <v>Lo</v>
      </c>
      <c r="E25">
        <f t="shared" si="17"/>
        <v>0</v>
      </c>
      <c r="F25" t="str">
        <f>F9</f>
        <v>CF1</v>
      </c>
      <c r="G25" t="str">
        <f t="shared" si="14"/>
        <v>Y</v>
      </c>
      <c r="H25" s="15" t="s">
        <v>159</v>
      </c>
      <c r="I25" s="23">
        <v>0.25</v>
      </c>
      <c r="AN25" s="10">
        <f t="shared" si="9"/>
        <v>4</v>
      </c>
    </row>
    <row r="26" spans="1:40" ht="17.649999999999999" customHeight="1" thickBot="1" x14ac:dyDescent="0.6">
      <c r="A26">
        <v>5</v>
      </c>
      <c r="B26" t="str">
        <f t="shared" si="2"/>
        <v>Hi.0.CF1.Y.Pln.0.25</v>
      </c>
      <c r="C26">
        <f t="shared" si="3"/>
        <v>18</v>
      </c>
      <c r="D26" t="str">
        <f t="shared" si="4"/>
        <v>Hi</v>
      </c>
      <c r="E26">
        <f t="shared" si="17"/>
        <v>0</v>
      </c>
      <c r="F26" t="str">
        <f t="shared" ref="F26:F89" si="21">F10</f>
        <v>CF1</v>
      </c>
      <c r="G26" t="str">
        <f t="shared" si="14"/>
        <v>Y</v>
      </c>
      <c r="H26" s="15" t="s">
        <v>159</v>
      </c>
      <c r="I26" s="23">
        <v>0.25</v>
      </c>
      <c r="W26" s="5" t="s">
        <v>12</v>
      </c>
      <c r="AN26" s="10">
        <f t="shared" si="9"/>
        <v>4</v>
      </c>
    </row>
    <row r="27" spans="1:40" ht="15" customHeight="1" thickTop="1" thickBot="1" x14ac:dyDescent="0.5">
      <c r="A27">
        <v>5</v>
      </c>
      <c r="B27" t="str">
        <f t="shared" si="2"/>
        <v>Lo.95.CF1.Y.Pln.0.25</v>
      </c>
      <c r="C27">
        <f t="shared" si="3"/>
        <v>19</v>
      </c>
      <c r="D27" t="str">
        <f t="shared" si="4"/>
        <v>Lo</v>
      </c>
      <c r="E27">
        <f t="shared" si="17"/>
        <v>95</v>
      </c>
      <c r="F27" t="str">
        <f t="shared" si="21"/>
        <v>CF1</v>
      </c>
      <c r="G27" t="str">
        <f t="shared" si="14"/>
        <v>Y</v>
      </c>
      <c r="H27" s="15" t="s">
        <v>159</v>
      </c>
      <c r="I27" s="23">
        <v>0.25</v>
      </c>
      <c r="W27" s="4" t="s">
        <v>30</v>
      </c>
      <c r="X27" s="4">
        <f t="shared" ref="X27:AD27" si="22">X17</f>
        <v>2022</v>
      </c>
      <c r="Y27" s="4">
        <f t="shared" si="22"/>
        <v>2025</v>
      </c>
      <c r="Z27" s="4">
        <f t="shared" si="22"/>
        <v>2030</v>
      </c>
      <c r="AA27" s="4">
        <f t="shared" si="22"/>
        <v>2035</v>
      </c>
      <c r="AB27" s="4">
        <f t="shared" si="22"/>
        <v>2040</v>
      </c>
      <c r="AC27" s="4">
        <f t="shared" si="22"/>
        <v>2045</v>
      </c>
      <c r="AD27" s="4">
        <f t="shared" si="22"/>
        <v>2050</v>
      </c>
      <c r="AE27" s="4" t="s">
        <v>14</v>
      </c>
      <c r="AF27" s="4" t="s">
        <v>31</v>
      </c>
      <c r="AN27" s="10">
        <f t="shared" si="9"/>
        <v>4</v>
      </c>
    </row>
    <row r="28" spans="1:40" ht="14.65" customHeight="1" thickBot="1" x14ac:dyDescent="0.5">
      <c r="A28">
        <v>5</v>
      </c>
      <c r="B28" t="str">
        <f t="shared" si="2"/>
        <v>Hi.95.CF1.Y.Pln.0.25</v>
      </c>
      <c r="C28">
        <f t="shared" si="3"/>
        <v>20</v>
      </c>
      <c r="D28" t="str">
        <f t="shared" si="4"/>
        <v>Hi</v>
      </c>
      <c r="E28">
        <f t="shared" si="17"/>
        <v>95</v>
      </c>
      <c r="F28" t="str">
        <f t="shared" si="21"/>
        <v>CF1</v>
      </c>
      <c r="G28" t="str">
        <f t="shared" si="14"/>
        <v>Y</v>
      </c>
      <c r="H28" s="15" t="s">
        <v>159</v>
      </c>
      <c r="I28" s="23">
        <v>0.25</v>
      </c>
      <c r="U28" s="3">
        <f>SUMIFS(iea_data!G3:G9999,iea_data!$B$3:$B$9999,Veda!$W$11)</f>
        <v>10.76</v>
      </c>
      <c r="W28" t="s">
        <v>32</v>
      </c>
      <c r="X28" s="3">
        <f>U28</f>
        <v>10.76</v>
      </c>
      <c r="Z28" s="6"/>
      <c r="AA28" s="6"/>
      <c r="AB28" s="6"/>
      <c r="AC28" s="6"/>
      <c r="AD28" s="6"/>
      <c r="AE28" t="s">
        <v>33</v>
      </c>
      <c r="AF28" t="s">
        <v>34</v>
      </c>
      <c r="AN28" s="10">
        <f t="shared" si="9"/>
        <v>4</v>
      </c>
    </row>
    <row r="29" spans="1:40" ht="15" customHeight="1" thickTop="1" thickBot="1" x14ac:dyDescent="0.5">
      <c r="A29">
        <v>5</v>
      </c>
      <c r="B29" t="str">
        <f t="shared" si="2"/>
        <v>Lo.0.CF1.N.Pln.0.25</v>
      </c>
      <c r="C29">
        <f t="shared" si="3"/>
        <v>21</v>
      </c>
      <c r="D29" t="str">
        <f t="shared" si="4"/>
        <v>Lo</v>
      </c>
      <c r="E29">
        <f t="shared" si="17"/>
        <v>0</v>
      </c>
      <c r="F29" t="str">
        <f t="shared" si="21"/>
        <v>CF1</v>
      </c>
      <c r="G29" t="str">
        <f t="shared" si="14"/>
        <v>N</v>
      </c>
      <c r="H29" s="15" t="s">
        <v>159</v>
      </c>
      <c r="I29" s="23">
        <v>0.25</v>
      </c>
      <c r="U29" s="3">
        <f>SUMIFS(iea_data!H3:H9999,iea_data!$B$3:$B$9999,Veda!$W$11)</f>
        <v>-12.27</v>
      </c>
      <c r="W29" t="s">
        <v>35</v>
      </c>
      <c r="X29" s="3">
        <f>-1*U29</f>
        <v>12.27</v>
      </c>
      <c r="Z29" s="6"/>
      <c r="AA29" s="6"/>
      <c r="AB29" s="6"/>
      <c r="AC29" s="6"/>
      <c r="AD29" s="6"/>
      <c r="AE29" t="s">
        <v>33</v>
      </c>
      <c r="AF29" t="s">
        <v>34</v>
      </c>
      <c r="AN29" s="10">
        <f t="shared" si="9"/>
        <v>5</v>
      </c>
    </row>
    <row r="30" spans="1:40" ht="14.65" customHeight="1" thickTop="1" x14ac:dyDescent="0.45">
      <c r="A30">
        <v>5</v>
      </c>
      <c r="B30" t="str">
        <f t="shared" si="2"/>
        <v>Hi.0.CF1.N.Pln.0.25</v>
      </c>
      <c r="C30">
        <f t="shared" si="3"/>
        <v>22</v>
      </c>
      <c r="D30" t="str">
        <f t="shared" si="4"/>
        <v>Hi</v>
      </c>
      <c r="E30">
        <f t="shared" si="17"/>
        <v>0</v>
      </c>
      <c r="F30" t="str">
        <f t="shared" si="21"/>
        <v>CF1</v>
      </c>
      <c r="G30" t="str">
        <f t="shared" si="14"/>
        <v>N</v>
      </c>
      <c r="H30" s="15" t="s">
        <v>159</v>
      </c>
      <c r="I30" s="23">
        <v>0.25</v>
      </c>
      <c r="AN30" s="10">
        <f t="shared" si="9"/>
        <v>5</v>
      </c>
    </row>
    <row r="31" spans="1:40" x14ac:dyDescent="0.45">
      <c r="A31">
        <v>5</v>
      </c>
      <c r="B31" t="str">
        <f t="shared" si="2"/>
        <v>Lo.95.CF1.N.Pln.0.25</v>
      </c>
      <c r="C31">
        <f t="shared" si="3"/>
        <v>23</v>
      </c>
      <c r="D31" t="str">
        <f t="shared" si="4"/>
        <v>Lo</v>
      </c>
      <c r="E31">
        <f t="shared" si="17"/>
        <v>95</v>
      </c>
      <c r="F31" t="str">
        <f t="shared" si="21"/>
        <v>CF1</v>
      </c>
      <c r="G31" t="str">
        <f t="shared" si="14"/>
        <v>N</v>
      </c>
      <c r="H31" s="15" t="s">
        <v>159</v>
      </c>
      <c r="I31" s="23">
        <v>0.25</v>
      </c>
      <c r="AN31" s="10">
        <f t="shared" si="9"/>
        <v>5</v>
      </c>
    </row>
    <row r="32" spans="1:40" ht="17.649999999999999" thickBot="1" x14ac:dyDescent="0.6">
      <c r="A32">
        <v>5</v>
      </c>
      <c r="B32" t="str">
        <f t="shared" si="2"/>
        <v>Hi.95.CF1.N.Pln.0.25</v>
      </c>
      <c r="C32">
        <f t="shared" si="3"/>
        <v>24</v>
      </c>
      <c r="D32" t="str">
        <f t="shared" si="4"/>
        <v>Hi</v>
      </c>
      <c r="E32">
        <f t="shared" si="17"/>
        <v>95</v>
      </c>
      <c r="F32" t="str">
        <f t="shared" si="21"/>
        <v>CF1</v>
      </c>
      <c r="G32" t="str">
        <f t="shared" si="14"/>
        <v>N</v>
      </c>
      <c r="H32" s="15" t="s">
        <v>159</v>
      </c>
      <c r="I32" s="23">
        <v>0.25</v>
      </c>
      <c r="W32" s="5" t="str">
        <f>IF($G$5="N","~TFM_UPD","DEF correction active")</f>
        <v>DEF correction active</v>
      </c>
      <c r="AN32" s="10">
        <f t="shared" si="9"/>
        <v>5</v>
      </c>
    </row>
    <row r="33" spans="1:40" ht="15" thickTop="1" thickBot="1" x14ac:dyDescent="0.5">
      <c r="A33">
        <v>5</v>
      </c>
      <c r="B33" t="str">
        <f t="shared" si="2"/>
        <v>Lo.0.CF6.Y.Pln.0.25</v>
      </c>
      <c r="C33">
        <f t="shared" si="3"/>
        <v>25</v>
      </c>
      <c r="D33" t="str">
        <f t="shared" si="4"/>
        <v>Lo</v>
      </c>
      <c r="E33">
        <f t="shared" si="17"/>
        <v>0</v>
      </c>
      <c r="F33" t="str">
        <f t="shared" si="21"/>
        <v>CF6</v>
      </c>
      <c r="G33" t="str">
        <f t="shared" si="14"/>
        <v>Y</v>
      </c>
      <c r="H33" s="15" t="s">
        <v>159</v>
      </c>
      <c r="I33" s="23">
        <v>0.25</v>
      </c>
      <c r="W33" s="4" t="s">
        <v>14</v>
      </c>
      <c r="X33" s="4" t="s">
        <v>13</v>
      </c>
      <c r="Y33" s="4" t="s">
        <v>124</v>
      </c>
      <c r="Z33" s="4" t="s">
        <v>138</v>
      </c>
      <c r="AN33" s="10">
        <f t="shared" si="9"/>
        <v>5</v>
      </c>
    </row>
    <row r="34" spans="1:40" x14ac:dyDescent="0.45">
      <c r="A34">
        <v>5</v>
      </c>
      <c r="B34" t="str">
        <f t="shared" si="2"/>
        <v>Hi.0.CF6.Y.Pln.0.25</v>
      </c>
      <c r="C34">
        <f t="shared" si="3"/>
        <v>26</v>
      </c>
      <c r="D34" t="str">
        <f t="shared" si="4"/>
        <v>Hi</v>
      </c>
      <c r="E34">
        <f t="shared" si="17"/>
        <v>0</v>
      </c>
      <c r="F34" t="str">
        <f t="shared" si="21"/>
        <v>CF6</v>
      </c>
      <c r="G34" t="str">
        <f t="shared" si="14"/>
        <v>Y</v>
      </c>
      <c r="H34" s="15" t="s">
        <v>159</v>
      </c>
      <c r="I34" s="23">
        <v>0.25</v>
      </c>
      <c r="W34" t="s">
        <v>148</v>
      </c>
      <c r="X34" t="s">
        <v>149</v>
      </c>
      <c r="Y34" t="s">
        <v>153</v>
      </c>
      <c r="Z34">
        <v>0</v>
      </c>
      <c r="AN34" s="10">
        <f t="shared" si="9"/>
        <v>6</v>
      </c>
    </row>
    <row r="35" spans="1:40" x14ac:dyDescent="0.45">
      <c r="A35">
        <v>5</v>
      </c>
      <c r="B35" t="str">
        <f t="shared" si="2"/>
        <v>Lo.95.CF6.Y.Pln.0.25</v>
      </c>
      <c r="C35">
        <f t="shared" si="3"/>
        <v>27</v>
      </c>
      <c r="D35" t="str">
        <f t="shared" si="4"/>
        <v>Lo</v>
      </c>
      <c r="E35">
        <f t="shared" si="17"/>
        <v>95</v>
      </c>
      <c r="F35" t="str">
        <f t="shared" si="21"/>
        <v>CF6</v>
      </c>
      <c r="G35" t="str">
        <f t="shared" si="14"/>
        <v>Y</v>
      </c>
      <c r="H35" s="15" t="s">
        <v>159</v>
      </c>
      <c r="I35" s="23">
        <v>0.25</v>
      </c>
      <c r="AN35" s="10">
        <f t="shared" si="9"/>
        <v>6</v>
      </c>
    </row>
    <row r="36" spans="1:40" x14ac:dyDescent="0.45">
      <c r="A36">
        <v>5</v>
      </c>
      <c r="B36" t="str">
        <f t="shared" si="2"/>
        <v>Hi.95.CF6.Y.Pln.0.25</v>
      </c>
      <c r="C36">
        <f t="shared" si="3"/>
        <v>28</v>
      </c>
      <c r="D36" t="str">
        <f t="shared" si="4"/>
        <v>Hi</v>
      </c>
      <c r="E36">
        <f t="shared" si="17"/>
        <v>95</v>
      </c>
      <c r="F36" t="str">
        <f t="shared" si="21"/>
        <v>CF6</v>
      </c>
      <c r="G36" t="str">
        <f t="shared" si="14"/>
        <v>Y</v>
      </c>
      <c r="H36" s="15" t="s">
        <v>159</v>
      </c>
      <c r="I36" s="23">
        <v>0.25</v>
      </c>
      <c r="K36" s="2" t="s">
        <v>9</v>
      </c>
      <c r="AN36" s="10">
        <f t="shared" si="9"/>
        <v>6</v>
      </c>
    </row>
    <row r="37" spans="1:40" ht="17.649999999999999" thickBot="1" x14ac:dyDescent="0.6">
      <c r="A37">
        <v>5</v>
      </c>
      <c r="B37" t="str">
        <f t="shared" si="2"/>
        <v>Lo.0.CF6.N.Pln.0.25</v>
      </c>
      <c r="C37">
        <f t="shared" si="3"/>
        <v>29</v>
      </c>
      <c r="D37" t="str">
        <f t="shared" si="4"/>
        <v>Lo</v>
      </c>
      <c r="E37">
        <f t="shared" si="17"/>
        <v>0</v>
      </c>
      <c r="F37" t="str">
        <f t="shared" si="21"/>
        <v>CF6</v>
      </c>
      <c r="G37" t="str">
        <f t="shared" si="14"/>
        <v>N</v>
      </c>
      <c r="H37" s="15" t="s">
        <v>159</v>
      </c>
      <c r="I37" s="23">
        <v>0.25</v>
      </c>
      <c r="K37" t="s">
        <v>74</v>
      </c>
      <c r="M37" s="11">
        <f>SUMIFS(ar6_r10!$J$2:$J$999,ar6_r10!$A$2:$A$999,Veda!$K$36,ar6_r10!$C$2:$C$999,Veda!M$17,ar6_r10!$M$2:$M$999,Veda!$K37)</f>
        <v>1</v>
      </c>
      <c r="N37" s="11">
        <f>M37</f>
        <v>1</v>
      </c>
      <c r="O37" s="11">
        <f>N37*(1+$U37)^5</f>
        <v>1.0510100500999999</v>
      </c>
      <c r="P37" s="11">
        <f t="shared" ref="P37:S37" si="23">O37*(1+$U37)^5</f>
        <v>1.1046221254112043</v>
      </c>
      <c r="Q37" s="11">
        <f t="shared" si="23"/>
        <v>1.1609689553699982</v>
      </c>
      <c r="R37" s="11">
        <f t="shared" si="23"/>
        <v>1.2201900399479664</v>
      </c>
      <c r="S37" s="11">
        <f t="shared" si="23"/>
        <v>1.2824319950172332</v>
      </c>
      <c r="U37">
        <v>0.01</v>
      </c>
      <c r="W37" s="5" t="str">
        <f>IF($G$5="N","~TFM_INS: limtype=LO","DEF correction active")</f>
        <v>DEF correction active</v>
      </c>
      <c r="AN37" s="10">
        <f t="shared" si="9"/>
        <v>6</v>
      </c>
    </row>
    <row r="38" spans="1:40" ht="15" thickTop="1" thickBot="1" x14ac:dyDescent="0.5">
      <c r="A38">
        <v>5</v>
      </c>
      <c r="B38" t="str">
        <f t="shared" si="2"/>
        <v>Hi.0.CF6.N.Pln.0.25</v>
      </c>
      <c r="C38">
        <f t="shared" si="3"/>
        <v>30</v>
      </c>
      <c r="D38" t="str">
        <f t="shared" si="4"/>
        <v>Hi</v>
      </c>
      <c r="E38">
        <f t="shared" si="17"/>
        <v>0</v>
      </c>
      <c r="F38" t="str">
        <f t="shared" si="21"/>
        <v>CF6</v>
      </c>
      <c r="G38" t="str">
        <f t="shared" si="14"/>
        <v>N</v>
      </c>
      <c r="H38" s="15" t="s">
        <v>159</v>
      </c>
      <c r="I38" s="23">
        <v>0.25</v>
      </c>
      <c r="K38" t="s">
        <v>75</v>
      </c>
      <c r="M38" s="11">
        <f>SUMIFS(ar6_r10!$J$2:$J$999,ar6_r10!$A$2:$A$999,Veda!$K$36,ar6_r10!$C$2:$C$999,Veda!M$17,ar6_r10!$M$2:$M$999,Veda!$K38)</f>
        <v>1</v>
      </c>
      <c r="N38" s="11">
        <f t="shared" ref="N38:S38" si="24">M38</f>
        <v>1</v>
      </c>
      <c r="O38" s="11">
        <f t="shared" si="24"/>
        <v>1</v>
      </c>
      <c r="P38" s="11">
        <f t="shared" si="24"/>
        <v>1</v>
      </c>
      <c r="Q38" s="11">
        <f t="shared" si="24"/>
        <v>1</v>
      </c>
      <c r="R38" s="11">
        <f t="shared" si="24"/>
        <v>1</v>
      </c>
      <c r="S38" s="11">
        <f t="shared" si="24"/>
        <v>1</v>
      </c>
      <c r="W38" s="4" t="s">
        <v>14</v>
      </c>
      <c r="X38" s="4" t="s">
        <v>137</v>
      </c>
      <c r="Y38" s="4" t="s">
        <v>37</v>
      </c>
      <c r="Z38" s="4" t="s">
        <v>138</v>
      </c>
      <c r="AA38" s="4" t="s">
        <v>139</v>
      </c>
      <c r="AN38" s="10">
        <f t="shared" si="9"/>
        <v>6</v>
      </c>
    </row>
    <row r="39" spans="1:40" x14ac:dyDescent="0.45">
      <c r="A39">
        <v>5</v>
      </c>
      <c r="B39" t="str">
        <f t="shared" si="2"/>
        <v>Lo.95.CF6.N.Pln.0.25</v>
      </c>
      <c r="C39">
        <f t="shared" si="3"/>
        <v>31</v>
      </c>
      <c r="D39" t="str">
        <f t="shared" si="4"/>
        <v>Lo</v>
      </c>
      <c r="E39">
        <f t="shared" si="17"/>
        <v>95</v>
      </c>
      <c r="F39" t="str">
        <f t="shared" si="21"/>
        <v>CF6</v>
      </c>
      <c r="G39" t="str">
        <f t="shared" si="14"/>
        <v>N</v>
      </c>
      <c r="H39" s="15" t="s">
        <v>159</v>
      </c>
      <c r="I39" s="23">
        <v>0.25</v>
      </c>
      <c r="K39" t="s">
        <v>76</v>
      </c>
      <c r="M39" s="11">
        <f>SUMIFS(ar6_r10!$J$2:$J$999,ar6_r10!$A$2:$A$999,Veda!$K$36,ar6_r10!$C$2:$C$999,Veda!M$17,ar6_r10!$M$2:$M$999,Veda!$K39)</f>
        <v>1</v>
      </c>
      <c r="N39" s="11">
        <f t="shared" ref="N39:S39" si="25">M39</f>
        <v>1</v>
      </c>
      <c r="O39" s="11">
        <f t="shared" si="25"/>
        <v>1</v>
      </c>
      <c r="P39" s="11">
        <f t="shared" si="25"/>
        <v>1</v>
      </c>
      <c r="Q39" s="11">
        <f t="shared" si="25"/>
        <v>1</v>
      </c>
      <c r="R39" s="11">
        <f t="shared" si="25"/>
        <v>1</v>
      </c>
      <c r="S39" s="11">
        <f t="shared" si="25"/>
        <v>1</v>
      </c>
      <c r="W39" t="s">
        <v>140</v>
      </c>
      <c r="X39" t="s">
        <v>141</v>
      </c>
      <c r="Y39">
        <v>0</v>
      </c>
      <c r="Z39">
        <v>-13</v>
      </c>
      <c r="AA39" t="s">
        <v>142</v>
      </c>
      <c r="AN39" s="10">
        <f t="shared" si="9"/>
        <v>7</v>
      </c>
    </row>
    <row r="40" spans="1:40" x14ac:dyDescent="0.45">
      <c r="A40">
        <v>5</v>
      </c>
      <c r="B40" t="str">
        <f t="shared" si="2"/>
        <v>Hi.95.CF6.N.Pln.0.25</v>
      </c>
      <c r="C40">
        <f t="shared" si="3"/>
        <v>32</v>
      </c>
      <c r="D40" t="str">
        <f t="shared" si="4"/>
        <v>Hi</v>
      </c>
      <c r="E40">
        <f t="shared" si="17"/>
        <v>95</v>
      </c>
      <c r="F40" t="str">
        <f t="shared" si="21"/>
        <v>CF6</v>
      </c>
      <c r="G40" t="str">
        <f t="shared" si="14"/>
        <v>N</v>
      </c>
      <c r="H40" s="15" t="s">
        <v>159</v>
      </c>
      <c r="I40" s="23">
        <v>0.25</v>
      </c>
      <c r="K40" t="s">
        <v>77</v>
      </c>
      <c r="M40" s="11">
        <f>SUMIFS(ar6_r10!$J$2:$J$999,ar6_r10!$A$2:$A$999,Veda!$K$36,ar6_r10!$C$2:$C$999,Veda!M$17,ar6_r10!$M$2:$M$999,Veda!$K40)</f>
        <v>1</v>
      </c>
      <c r="N40" s="11">
        <f t="shared" ref="N40:S40" si="26">M40</f>
        <v>1</v>
      </c>
      <c r="O40" s="11">
        <f t="shared" si="26"/>
        <v>1</v>
      </c>
      <c r="P40" s="11">
        <f t="shared" si="26"/>
        <v>1</v>
      </c>
      <c r="Q40" s="11">
        <f t="shared" si="26"/>
        <v>1</v>
      </c>
      <c r="R40" s="11">
        <f t="shared" si="26"/>
        <v>1</v>
      </c>
      <c r="S40" s="11">
        <f t="shared" si="26"/>
        <v>1</v>
      </c>
      <c r="W40" t="s">
        <v>143</v>
      </c>
      <c r="Y40">
        <v>0</v>
      </c>
      <c r="Z40">
        <v>-13</v>
      </c>
      <c r="AA40" t="s">
        <v>144</v>
      </c>
      <c r="AN40" s="10">
        <f t="shared" si="9"/>
        <v>7</v>
      </c>
    </row>
    <row r="41" spans="1:40" x14ac:dyDescent="0.45">
      <c r="A41">
        <v>5</v>
      </c>
      <c r="B41" t="str">
        <f t="shared" si="2"/>
        <v>Lo.0.CF1.Y.Pln.2</v>
      </c>
      <c r="C41">
        <f t="shared" si="3"/>
        <v>33</v>
      </c>
      <c r="D41" t="str">
        <f t="shared" si="4"/>
        <v>Lo</v>
      </c>
      <c r="E41">
        <f t="shared" si="17"/>
        <v>0</v>
      </c>
      <c r="F41" t="str">
        <f t="shared" si="21"/>
        <v>CF1</v>
      </c>
      <c r="G41" t="str">
        <f t="shared" si="14"/>
        <v>Y</v>
      </c>
      <c r="H41" s="15" t="s">
        <v>159</v>
      </c>
      <c r="I41" s="23">
        <v>2</v>
      </c>
      <c r="AN41" s="10">
        <f t="shared" si="9"/>
        <v>7</v>
      </c>
    </row>
    <row r="42" spans="1:40" x14ac:dyDescent="0.45">
      <c r="A42">
        <v>5</v>
      </c>
      <c r="B42" t="str">
        <f t="shared" si="2"/>
        <v>Hi.0.CF1.Y.Pln.2</v>
      </c>
      <c r="C42">
        <f t="shared" si="3"/>
        <v>34</v>
      </c>
      <c r="D42" t="str">
        <f t="shared" si="4"/>
        <v>Hi</v>
      </c>
      <c r="E42">
        <f t="shared" si="17"/>
        <v>0</v>
      </c>
      <c r="F42" t="str">
        <f t="shared" si="21"/>
        <v>CF1</v>
      </c>
      <c r="G42" t="str">
        <f t="shared" si="14"/>
        <v>Y</v>
      </c>
      <c r="H42" s="15" t="s">
        <v>159</v>
      </c>
      <c r="I42" s="23">
        <v>2</v>
      </c>
      <c r="AN42" s="10">
        <f t="shared" si="9"/>
        <v>7</v>
      </c>
    </row>
    <row r="43" spans="1:40" x14ac:dyDescent="0.45">
      <c r="A43">
        <v>5</v>
      </c>
      <c r="B43" t="str">
        <f t="shared" si="2"/>
        <v>Lo.95.CF1.Y.Pln.2</v>
      </c>
      <c r="C43">
        <f t="shared" si="3"/>
        <v>35</v>
      </c>
      <c r="D43" t="str">
        <f t="shared" si="4"/>
        <v>Lo</v>
      </c>
      <c r="E43">
        <f t="shared" si="17"/>
        <v>95</v>
      </c>
      <c r="F43" t="str">
        <f t="shared" si="21"/>
        <v>CF1</v>
      </c>
      <c r="G43" t="str">
        <f t="shared" si="14"/>
        <v>Y</v>
      </c>
      <c r="H43" s="15" t="s">
        <v>159</v>
      </c>
      <c r="I43" s="23">
        <v>2</v>
      </c>
      <c r="K43" t="s">
        <v>94</v>
      </c>
      <c r="AN43" s="10">
        <f t="shared" si="9"/>
        <v>7</v>
      </c>
    </row>
    <row r="44" spans="1:40" x14ac:dyDescent="0.45">
      <c r="A44">
        <v>5</v>
      </c>
      <c r="B44" t="str">
        <f t="shared" si="2"/>
        <v>Hi.95.CF1.Y.Pln.2</v>
      </c>
      <c r="C44">
        <f t="shared" si="3"/>
        <v>36</v>
      </c>
      <c r="D44" t="str">
        <f t="shared" si="4"/>
        <v>Hi</v>
      </c>
      <c r="E44">
        <f t="shared" si="17"/>
        <v>95</v>
      </c>
      <c r="F44" t="str">
        <f t="shared" si="21"/>
        <v>CF1</v>
      </c>
      <c r="G44" t="str">
        <f t="shared" si="14"/>
        <v>Y</v>
      </c>
      <c r="H44" s="15" t="s">
        <v>159</v>
      </c>
      <c r="I44" s="23">
        <v>2</v>
      </c>
      <c r="K44" t="s">
        <v>13</v>
      </c>
      <c r="L44" t="s">
        <v>84</v>
      </c>
      <c r="M44">
        <v>2022</v>
      </c>
      <c r="N44">
        <f>N17</f>
        <v>2025</v>
      </c>
      <c r="O44">
        <f t="shared" ref="O44:S44" si="27">O17</f>
        <v>2030</v>
      </c>
      <c r="P44">
        <f t="shared" si="27"/>
        <v>2035</v>
      </c>
      <c r="Q44">
        <f t="shared" si="27"/>
        <v>2040</v>
      </c>
      <c r="R44">
        <f t="shared" si="27"/>
        <v>2045</v>
      </c>
      <c r="S44">
        <f t="shared" si="27"/>
        <v>2050</v>
      </c>
      <c r="V44" t="s">
        <v>82</v>
      </c>
      <c r="W44" t="s">
        <v>83</v>
      </c>
      <c r="AN44" s="10">
        <f t="shared" si="9"/>
        <v>8</v>
      </c>
    </row>
    <row r="45" spans="1:40" x14ac:dyDescent="0.45">
      <c r="A45">
        <v>5</v>
      </c>
      <c r="B45" t="str">
        <f t="shared" si="2"/>
        <v>Lo.0.CF1.N.Pln.2</v>
      </c>
      <c r="C45">
        <f t="shared" si="3"/>
        <v>37</v>
      </c>
      <c r="D45" t="str">
        <f t="shared" si="4"/>
        <v>Lo</v>
      </c>
      <c r="E45">
        <f t="shared" si="17"/>
        <v>0</v>
      </c>
      <c r="F45" t="str">
        <f t="shared" si="21"/>
        <v>CF1</v>
      </c>
      <c r="G45" t="str">
        <f t="shared" si="14"/>
        <v>N</v>
      </c>
      <c r="H45" s="15" t="s">
        <v>159</v>
      </c>
      <c r="I45" s="23">
        <v>2</v>
      </c>
      <c r="K45" t="s">
        <v>78</v>
      </c>
      <c r="L45" t="str">
        <f>K45</f>
        <v>Gas</v>
      </c>
      <c r="M45">
        <f t="shared" ref="M45:S48" si="28">AVERAGE($V45:$W45)*M37</f>
        <v>25.2</v>
      </c>
      <c r="N45">
        <f t="shared" si="28"/>
        <v>25.2</v>
      </c>
      <c r="O45">
        <f t="shared" si="28"/>
        <v>26.485453262519997</v>
      </c>
      <c r="P45">
        <f t="shared" si="28"/>
        <v>27.836477560362347</v>
      </c>
      <c r="Q45">
        <f t="shared" si="28"/>
        <v>29.256417675323956</v>
      </c>
      <c r="R45">
        <f t="shared" si="28"/>
        <v>30.748789006688753</v>
      </c>
      <c r="S45">
        <f t="shared" si="28"/>
        <v>32.317286274434274</v>
      </c>
      <c r="V45">
        <f>HLOOKUP($K45&amp;"_"&amp;V$44,fuel_prices!$B$10:$I$11,2,FALSE)</f>
        <v>25.2</v>
      </c>
      <c r="W45">
        <f>HLOOKUP($K45&amp;"_"&amp;W$44,fuel_prices!$B$10:$I$11,2,FALSE)</f>
        <v>25.2</v>
      </c>
      <c r="AN45" s="10">
        <f t="shared" si="9"/>
        <v>8</v>
      </c>
    </row>
    <row r="46" spans="1:40" x14ac:dyDescent="0.45">
      <c r="A46">
        <v>5</v>
      </c>
      <c r="B46" t="str">
        <f t="shared" si="2"/>
        <v>Hi.0.CF1.N.Pln.2</v>
      </c>
      <c r="C46">
        <f t="shared" si="3"/>
        <v>38</v>
      </c>
      <c r="D46" t="str">
        <f t="shared" si="4"/>
        <v>Hi</v>
      </c>
      <c r="E46">
        <f t="shared" si="17"/>
        <v>0</v>
      </c>
      <c r="F46" t="str">
        <f t="shared" si="21"/>
        <v>CF1</v>
      </c>
      <c r="G46" t="str">
        <f t="shared" si="14"/>
        <v>N</v>
      </c>
      <c r="H46" s="15" t="s">
        <v>159</v>
      </c>
      <c r="I46" s="23">
        <v>2</v>
      </c>
      <c r="K46" t="s">
        <v>79</v>
      </c>
      <c r="L46" t="str">
        <f t="shared" ref="L46:L48" si="29">K46</f>
        <v>Coal</v>
      </c>
      <c r="M46">
        <f t="shared" si="28"/>
        <v>4.68</v>
      </c>
      <c r="N46">
        <f t="shared" si="28"/>
        <v>4.68</v>
      </c>
      <c r="O46">
        <f t="shared" si="28"/>
        <v>4.68</v>
      </c>
      <c r="P46">
        <f t="shared" si="28"/>
        <v>4.68</v>
      </c>
      <c r="Q46">
        <f t="shared" si="28"/>
        <v>4.68</v>
      </c>
      <c r="R46">
        <f t="shared" si="28"/>
        <v>4.68</v>
      </c>
      <c r="S46">
        <f t="shared" si="28"/>
        <v>4.68</v>
      </c>
      <c r="V46">
        <f>HLOOKUP($K46&amp;"_"&amp;V$44,fuel_prices!$B$10:$I$11,2,FALSE)</f>
        <v>4.32</v>
      </c>
      <c r="W46">
        <f>HLOOKUP($K46&amp;"_"&amp;W$44,fuel_prices!$B$10:$I$11,2,FALSE)</f>
        <v>5.04</v>
      </c>
      <c r="AN46" s="10">
        <f t="shared" si="9"/>
        <v>8</v>
      </c>
    </row>
    <row r="47" spans="1:40" x14ac:dyDescent="0.45">
      <c r="A47">
        <v>5</v>
      </c>
      <c r="B47" t="str">
        <f t="shared" si="2"/>
        <v>Lo.95.CF1.N.Pln.2</v>
      </c>
      <c r="C47">
        <f t="shared" si="3"/>
        <v>39</v>
      </c>
      <c r="D47" t="str">
        <f t="shared" si="4"/>
        <v>Lo</v>
      </c>
      <c r="E47">
        <f t="shared" si="17"/>
        <v>95</v>
      </c>
      <c r="F47" t="str">
        <f t="shared" si="21"/>
        <v>CF1</v>
      </c>
      <c r="G47" t="str">
        <f t="shared" si="14"/>
        <v>N</v>
      </c>
      <c r="H47" s="15" t="s">
        <v>159</v>
      </c>
      <c r="I47" s="23">
        <v>2</v>
      </c>
      <c r="K47" t="s">
        <v>80</v>
      </c>
      <c r="L47" t="str">
        <f t="shared" si="29"/>
        <v>Oil</v>
      </c>
      <c r="M47">
        <f t="shared" si="28"/>
        <v>79.2</v>
      </c>
      <c r="N47">
        <f t="shared" si="28"/>
        <v>79.2</v>
      </c>
      <c r="O47">
        <f t="shared" si="28"/>
        <v>79.2</v>
      </c>
      <c r="P47">
        <f t="shared" si="28"/>
        <v>79.2</v>
      </c>
      <c r="Q47">
        <f t="shared" si="28"/>
        <v>79.2</v>
      </c>
      <c r="R47">
        <f t="shared" si="28"/>
        <v>79.2</v>
      </c>
      <c r="S47">
        <f t="shared" si="28"/>
        <v>79.2</v>
      </c>
      <c r="V47">
        <f>HLOOKUP($K47&amp;"_"&amp;V$44,fuel_prices!$B$10:$I$11,2,FALSE)</f>
        <v>79.2</v>
      </c>
      <c r="W47">
        <f>HLOOKUP($K47&amp;"_"&amp;W$44,fuel_prices!$B$10:$I$11,2,FALSE)</f>
        <v>79.2</v>
      </c>
      <c r="AN47" s="10">
        <f t="shared" si="9"/>
        <v>8</v>
      </c>
    </row>
    <row r="48" spans="1:40" x14ac:dyDescent="0.45">
      <c r="A48">
        <v>5</v>
      </c>
      <c r="B48" t="str">
        <f t="shared" si="2"/>
        <v>Hi.95.CF1.N.Pln.2</v>
      </c>
      <c r="C48">
        <f t="shared" si="3"/>
        <v>40</v>
      </c>
      <c r="D48" t="str">
        <f t="shared" si="4"/>
        <v>Hi</v>
      </c>
      <c r="E48">
        <f t="shared" si="17"/>
        <v>95</v>
      </c>
      <c r="F48" t="str">
        <f t="shared" si="21"/>
        <v>CF1</v>
      </c>
      <c r="G48" t="str">
        <f t="shared" si="14"/>
        <v>N</v>
      </c>
      <c r="H48" s="15" t="s">
        <v>159</v>
      </c>
      <c r="I48" s="23">
        <v>2</v>
      </c>
      <c r="K48" t="s">
        <v>81</v>
      </c>
      <c r="L48" t="str">
        <f t="shared" si="29"/>
        <v>Bioenergy</v>
      </c>
      <c r="M48">
        <f t="shared" si="28"/>
        <v>22</v>
      </c>
      <c r="S48" t="e">
        <f>VLOOKUP($D$5,$AO$9:$AQ$15,3,FALSE)*M48</f>
        <v>#N/A</v>
      </c>
      <c r="V48">
        <f>HLOOKUP($K48&amp;"_"&amp;V$44,fuel_prices!$B$10:$I$11,2,FALSE)</f>
        <v>18</v>
      </c>
      <c r="W48">
        <f>HLOOKUP($K48&amp;"_"&amp;W$44,fuel_prices!$B$10:$I$11,2,FALSE)</f>
        <v>26</v>
      </c>
      <c r="AN48" s="10">
        <f t="shared" si="9"/>
        <v>8</v>
      </c>
    </row>
    <row r="49" spans="1:40" x14ac:dyDescent="0.45">
      <c r="A49">
        <v>5</v>
      </c>
      <c r="B49" t="str">
        <f t="shared" si="2"/>
        <v>Lo.0.CF6.Y.Pln.2</v>
      </c>
      <c r="C49">
        <f t="shared" si="3"/>
        <v>41</v>
      </c>
      <c r="D49" t="str">
        <f t="shared" si="4"/>
        <v>Lo</v>
      </c>
      <c r="E49">
        <f t="shared" si="17"/>
        <v>0</v>
      </c>
      <c r="F49" t="str">
        <f t="shared" si="21"/>
        <v>CF6</v>
      </c>
      <c r="G49" t="str">
        <f t="shared" si="14"/>
        <v>Y</v>
      </c>
      <c r="H49" s="15" t="s">
        <v>159</v>
      </c>
      <c r="I49" s="23">
        <v>2</v>
      </c>
      <c r="AN49" s="10">
        <f t="shared" si="9"/>
        <v>9</v>
      </c>
    </row>
    <row r="50" spans="1:40" x14ac:dyDescent="0.45">
      <c r="A50">
        <v>5</v>
      </c>
      <c r="B50" t="str">
        <f t="shared" si="2"/>
        <v>Hi.0.CF6.Y.Pln.2</v>
      </c>
      <c r="C50">
        <f t="shared" si="3"/>
        <v>42</v>
      </c>
      <c r="D50" t="str">
        <f t="shared" si="4"/>
        <v>Hi</v>
      </c>
      <c r="E50">
        <f t="shared" si="17"/>
        <v>0</v>
      </c>
      <c r="F50" t="str">
        <f t="shared" si="21"/>
        <v>CF6</v>
      </c>
      <c r="G50" t="str">
        <f t="shared" si="14"/>
        <v>Y</v>
      </c>
      <c r="H50" s="15" t="s">
        <v>159</v>
      </c>
      <c r="I50" s="23">
        <v>2</v>
      </c>
      <c r="AN50" s="10">
        <f t="shared" si="9"/>
        <v>9</v>
      </c>
    </row>
    <row r="51" spans="1:40" ht="17.649999999999999" thickBot="1" x14ac:dyDescent="0.6">
      <c r="A51">
        <v>5</v>
      </c>
      <c r="B51" t="str">
        <f t="shared" si="2"/>
        <v>Lo.95.CF6.Y.Pln.2</v>
      </c>
      <c r="C51">
        <f t="shared" si="3"/>
        <v>43</v>
      </c>
      <c r="D51" t="str">
        <f t="shared" si="4"/>
        <v>Lo</v>
      </c>
      <c r="E51">
        <f t="shared" si="17"/>
        <v>95</v>
      </c>
      <c r="F51" t="str">
        <f t="shared" si="21"/>
        <v>CF6</v>
      </c>
      <c r="G51" t="str">
        <f t="shared" si="14"/>
        <v>Y</v>
      </c>
      <c r="H51" s="15" t="s">
        <v>159</v>
      </c>
      <c r="I51" s="23">
        <v>2</v>
      </c>
      <c r="U51" t="s">
        <v>135</v>
      </c>
      <c r="W51" s="5" t="str">
        <f>IF($U$51="N","~TFM_INS: limtype=LO","GAS available")</f>
        <v>GAS available</v>
      </c>
      <c r="AN51" s="10">
        <f t="shared" si="9"/>
        <v>9</v>
      </c>
    </row>
    <row r="52" spans="1:40" ht="15" thickTop="1" thickBot="1" x14ac:dyDescent="0.5">
      <c r="A52">
        <v>5</v>
      </c>
      <c r="B52" t="str">
        <f t="shared" si="2"/>
        <v>Hi.95.CF6.Y.Pln.2</v>
      </c>
      <c r="C52">
        <f t="shared" si="3"/>
        <v>44</v>
      </c>
      <c r="D52" t="str">
        <f t="shared" si="4"/>
        <v>Hi</v>
      </c>
      <c r="E52">
        <f t="shared" si="17"/>
        <v>95</v>
      </c>
      <c r="F52" t="str">
        <f t="shared" si="21"/>
        <v>CF6</v>
      </c>
      <c r="G52" t="str">
        <f t="shared" si="14"/>
        <v>Y</v>
      </c>
      <c r="H52" s="15" t="s">
        <v>159</v>
      </c>
      <c r="I52" s="23">
        <v>2</v>
      </c>
      <c r="W52" s="4" t="s">
        <v>14</v>
      </c>
      <c r="X52" s="4" t="s">
        <v>150</v>
      </c>
      <c r="Y52" s="4" t="s">
        <v>37</v>
      </c>
      <c r="Z52" s="4" t="s">
        <v>138</v>
      </c>
      <c r="AA52" s="4" t="s">
        <v>147</v>
      </c>
      <c r="AN52" s="10">
        <f t="shared" si="9"/>
        <v>9</v>
      </c>
    </row>
    <row r="53" spans="1:40" x14ac:dyDescent="0.45">
      <c r="A53">
        <v>5</v>
      </c>
      <c r="B53" t="str">
        <f t="shared" si="2"/>
        <v>Lo.0.CF6.N.Pln.2</v>
      </c>
      <c r="C53">
        <f t="shared" si="3"/>
        <v>45</v>
      </c>
      <c r="D53" t="str">
        <f t="shared" si="4"/>
        <v>Lo</v>
      </c>
      <c r="E53">
        <f t="shared" si="17"/>
        <v>0</v>
      </c>
      <c r="F53" t="str">
        <f t="shared" si="21"/>
        <v>CF6</v>
      </c>
      <c r="G53" t="str">
        <f t="shared" si="14"/>
        <v>N</v>
      </c>
      <c r="H53" s="15" t="s">
        <v>159</v>
      </c>
      <c r="I53" s="23">
        <v>2</v>
      </c>
      <c r="W53" t="s">
        <v>146</v>
      </c>
      <c r="X53" s="20" t="s">
        <v>151</v>
      </c>
      <c r="Z53">
        <v>2100</v>
      </c>
      <c r="AA53" t="s">
        <v>145</v>
      </c>
      <c r="AN53" s="10">
        <f t="shared" si="9"/>
        <v>9</v>
      </c>
    </row>
    <row r="54" spans="1:40" x14ac:dyDescent="0.45">
      <c r="A54">
        <v>5</v>
      </c>
      <c r="B54" t="str">
        <f t="shared" si="2"/>
        <v>Hi.0.CF6.N.Pln.2</v>
      </c>
      <c r="C54">
        <f t="shared" si="3"/>
        <v>46</v>
      </c>
      <c r="D54" t="str">
        <f t="shared" si="4"/>
        <v>Hi</v>
      </c>
      <c r="E54">
        <f t="shared" si="17"/>
        <v>0</v>
      </c>
      <c r="F54" t="str">
        <f t="shared" si="21"/>
        <v>CF6</v>
      </c>
      <c r="G54" t="str">
        <f t="shared" si="14"/>
        <v>N</v>
      </c>
      <c r="H54" s="15" t="s">
        <v>159</v>
      </c>
      <c r="I54" s="23">
        <v>2</v>
      </c>
      <c r="AN54" s="10">
        <f t="shared" si="9"/>
        <v>10</v>
      </c>
    </row>
    <row r="55" spans="1:40" x14ac:dyDescent="0.45">
      <c r="A55">
        <v>5</v>
      </c>
      <c r="B55" t="str">
        <f t="shared" si="2"/>
        <v>Lo.95.CF6.N.Pln.2</v>
      </c>
      <c r="C55">
        <f t="shared" si="3"/>
        <v>47</v>
      </c>
      <c r="D55" t="str">
        <f t="shared" si="4"/>
        <v>Lo</v>
      </c>
      <c r="E55">
        <f t="shared" si="17"/>
        <v>95</v>
      </c>
      <c r="F55" t="str">
        <f t="shared" si="21"/>
        <v>CF6</v>
      </c>
      <c r="G55" t="str">
        <f t="shared" si="14"/>
        <v>N</v>
      </c>
      <c r="H55" s="15" t="s">
        <v>159</v>
      </c>
      <c r="I55" s="23">
        <v>2</v>
      </c>
      <c r="AN55" s="10">
        <f t="shared" si="9"/>
        <v>10</v>
      </c>
    </row>
    <row r="56" spans="1:40" x14ac:dyDescent="0.45">
      <c r="A56">
        <v>5</v>
      </c>
      <c r="B56" t="str">
        <f t="shared" si="2"/>
        <v>Hi.95.CF6.N.Pln.2</v>
      </c>
      <c r="C56">
        <f t="shared" si="3"/>
        <v>48</v>
      </c>
      <c r="D56" t="str">
        <f t="shared" si="4"/>
        <v>Hi</v>
      </c>
      <c r="E56">
        <f t="shared" si="17"/>
        <v>95</v>
      </c>
      <c r="F56" t="str">
        <f t="shared" si="21"/>
        <v>CF6</v>
      </c>
      <c r="G56" t="str">
        <f t="shared" si="14"/>
        <v>N</v>
      </c>
      <c r="H56" s="15" t="s">
        <v>159</v>
      </c>
      <c r="I56" s="23">
        <v>2</v>
      </c>
      <c r="AN56" s="10">
        <f t="shared" si="9"/>
        <v>10</v>
      </c>
    </row>
    <row r="57" spans="1:40" ht="17.649999999999999" thickBot="1" x14ac:dyDescent="0.6">
      <c r="A57">
        <v>5</v>
      </c>
      <c r="B57" t="str">
        <f t="shared" ref="B57:B72" si="30">_xlfn.TEXTJOIN(".",TRUE,D57:I57)</f>
        <v>Lo.0.CF1.Y.Pln.0.1</v>
      </c>
      <c r="C57">
        <f t="shared" si="3"/>
        <v>49</v>
      </c>
      <c r="D57" t="str">
        <f t="shared" si="4"/>
        <v>Lo</v>
      </c>
      <c r="E57">
        <f t="shared" si="17"/>
        <v>0</v>
      </c>
      <c r="F57" t="str">
        <f t="shared" si="21"/>
        <v>CF1</v>
      </c>
      <c r="G57" t="str">
        <f t="shared" si="14"/>
        <v>Y</v>
      </c>
      <c r="H57" s="15" t="s">
        <v>159</v>
      </c>
      <c r="I57" s="23">
        <v>0.1</v>
      </c>
      <c r="W57" s="5" t="str">
        <f>IF($I$5&lt;&gt;1,"~TFM_UPD","Transmission costs default")</f>
        <v>~TFM_UPD</v>
      </c>
      <c r="AC57" s="5" t="str">
        <f>IF($I$5&lt;1,"~TFM_INS","No hurdle rate")</f>
        <v>~TFM_INS</v>
      </c>
      <c r="AG57" s="5" t="str">
        <f>IF($I$5&gt;1,"~TFM_INS","No ELife")</f>
        <v>No ELife</v>
      </c>
      <c r="AN57" s="10">
        <f t="shared" si="9"/>
        <v>10</v>
      </c>
    </row>
    <row r="58" spans="1:40" ht="15" thickTop="1" thickBot="1" x14ac:dyDescent="0.5">
      <c r="A58">
        <v>5</v>
      </c>
      <c r="B58" t="str">
        <f t="shared" si="30"/>
        <v>Hi.0.CF1.Y.Pln.0.1</v>
      </c>
      <c r="C58">
        <f t="shared" si="3"/>
        <v>50</v>
      </c>
      <c r="D58" t="str">
        <f t="shared" si="4"/>
        <v>Hi</v>
      </c>
      <c r="E58">
        <f t="shared" si="17"/>
        <v>0</v>
      </c>
      <c r="F58" t="str">
        <f t="shared" si="21"/>
        <v>CF1</v>
      </c>
      <c r="G58" t="str">
        <f t="shared" si="14"/>
        <v>Y</v>
      </c>
      <c r="H58" s="15" t="s">
        <v>159</v>
      </c>
      <c r="I58" s="23">
        <v>0.1</v>
      </c>
      <c r="W58" s="4" t="s">
        <v>14</v>
      </c>
      <c r="X58" s="4" t="s">
        <v>150</v>
      </c>
      <c r="Y58" s="4" t="s">
        <v>138</v>
      </c>
      <c r="Z58" s="4" t="s">
        <v>124</v>
      </c>
      <c r="AC58" s="4" t="s">
        <v>14</v>
      </c>
      <c r="AD58" s="4" t="s">
        <v>138</v>
      </c>
      <c r="AE58" s="4" t="s">
        <v>124</v>
      </c>
      <c r="AG58" s="4" t="s">
        <v>14</v>
      </c>
      <c r="AH58" s="4" t="s">
        <v>138</v>
      </c>
      <c r="AI58" s="4" t="s">
        <v>124</v>
      </c>
      <c r="AN58" s="10">
        <f t="shared" si="9"/>
        <v>10</v>
      </c>
    </row>
    <row r="59" spans="1:40" x14ac:dyDescent="0.45">
      <c r="A59">
        <v>5</v>
      </c>
      <c r="B59" t="str">
        <f t="shared" si="30"/>
        <v>Lo.95.CF1.Y.Pln.0.1</v>
      </c>
      <c r="C59">
        <f t="shared" si="3"/>
        <v>51</v>
      </c>
      <c r="D59" t="str">
        <f t="shared" si="4"/>
        <v>Lo</v>
      </c>
      <c r="E59">
        <f t="shared" si="17"/>
        <v>95</v>
      </c>
      <c r="F59" t="str">
        <f t="shared" si="21"/>
        <v>CF1</v>
      </c>
      <c r="G59" t="str">
        <f t="shared" si="14"/>
        <v>Y</v>
      </c>
      <c r="H59" s="15" t="s">
        <v>159</v>
      </c>
      <c r="I59" s="23">
        <v>0.1</v>
      </c>
      <c r="W59" t="s">
        <v>154</v>
      </c>
      <c r="X59" s="20"/>
      <c r="Y59" t="str">
        <f>"*"&amp;$I$5</f>
        <v>*0.1</v>
      </c>
      <c r="Z59" t="s">
        <v>155</v>
      </c>
      <c r="AC59" t="s">
        <v>156</v>
      </c>
      <c r="AD59">
        <v>0.02</v>
      </c>
      <c r="AE59" t="s">
        <v>155</v>
      </c>
      <c r="AG59" t="s">
        <v>157</v>
      </c>
      <c r="AH59">
        <v>30</v>
      </c>
      <c r="AI59" t="s">
        <v>155</v>
      </c>
      <c r="AN59" s="10">
        <f t="shared" si="9"/>
        <v>11</v>
      </c>
    </row>
    <row r="60" spans="1:40" x14ac:dyDescent="0.45">
      <c r="A60">
        <v>5</v>
      </c>
      <c r="B60" t="str">
        <f t="shared" si="30"/>
        <v>Hi.95.CF1.Y.Pln.0.1</v>
      </c>
      <c r="C60">
        <f t="shared" si="3"/>
        <v>52</v>
      </c>
      <c r="D60" t="str">
        <f t="shared" si="4"/>
        <v>Hi</v>
      </c>
      <c r="E60">
        <f t="shared" si="17"/>
        <v>95</v>
      </c>
      <c r="F60" t="str">
        <f t="shared" si="21"/>
        <v>CF1</v>
      </c>
      <c r="G60" t="str">
        <f t="shared" si="14"/>
        <v>Y</v>
      </c>
      <c r="H60" s="15" t="s">
        <v>159</v>
      </c>
      <c r="I60" s="23">
        <v>0.1</v>
      </c>
      <c r="AN60" s="10">
        <f t="shared" si="9"/>
        <v>11</v>
      </c>
    </row>
    <row r="61" spans="1:40" x14ac:dyDescent="0.45">
      <c r="A61">
        <v>5</v>
      </c>
      <c r="B61" t="str">
        <f t="shared" si="30"/>
        <v>Lo.0.CF1.N.Pln.0.1</v>
      </c>
      <c r="C61">
        <f t="shared" si="3"/>
        <v>53</v>
      </c>
      <c r="D61" t="str">
        <f t="shared" si="4"/>
        <v>Lo</v>
      </c>
      <c r="E61">
        <f t="shared" si="17"/>
        <v>0</v>
      </c>
      <c r="F61" t="str">
        <f t="shared" si="21"/>
        <v>CF1</v>
      </c>
      <c r="G61" t="str">
        <f t="shared" si="14"/>
        <v>N</v>
      </c>
      <c r="H61" s="15" t="s">
        <v>159</v>
      </c>
      <c r="I61" s="23">
        <v>0.1</v>
      </c>
      <c r="AN61" s="10">
        <f t="shared" si="9"/>
        <v>11</v>
      </c>
    </row>
    <row r="62" spans="1:40" ht="17.649999999999999" thickBot="1" x14ac:dyDescent="0.6">
      <c r="A62">
        <v>5</v>
      </c>
      <c r="B62" t="str">
        <f t="shared" si="30"/>
        <v>Hi.0.CF1.N.Pln.0.1</v>
      </c>
      <c r="C62">
        <f t="shared" si="3"/>
        <v>54</v>
      </c>
      <c r="D62" t="str">
        <f t="shared" si="4"/>
        <v>Hi</v>
      </c>
      <c r="E62">
        <f t="shared" si="17"/>
        <v>0</v>
      </c>
      <c r="F62" t="str">
        <f t="shared" si="21"/>
        <v>CF1</v>
      </c>
      <c r="G62" t="str">
        <f t="shared" si="14"/>
        <v>N</v>
      </c>
      <c r="H62" s="15" t="s">
        <v>159</v>
      </c>
      <c r="I62" s="23">
        <v>0.1</v>
      </c>
      <c r="W62" s="5" t="str">
        <f>IF($H$5&lt;&gt;"Pln","~TFM_UPD","Coal plants retire as per plan")</f>
        <v>~TFM_UPD</v>
      </c>
      <c r="AN62" s="10">
        <f t="shared" si="9"/>
        <v>11</v>
      </c>
    </row>
    <row r="63" spans="1:40" ht="14.65" thickTop="1" x14ac:dyDescent="0.45">
      <c r="A63">
        <v>5</v>
      </c>
      <c r="B63" t="str">
        <f t="shared" si="30"/>
        <v>Lo.95.CF1.N.Pln.0.1</v>
      </c>
      <c r="C63">
        <f t="shared" si="3"/>
        <v>55</v>
      </c>
      <c r="D63" t="str">
        <f t="shared" si="4"/>
        <v>Lo</v>
      </c>
      <c r="E63">
        <f t="shared" si="17"/>
        <v>95</v>
      </c>
      <c r="F63" t="str">
        <f t="shared" si="21"/>
        <v>CF1</v>
      </c>
      <c r="G63" t="str">
        <f t="shared" si="14"/>
        <v>N</v>
      </c>
      <c r="H63" s="15" t="s">
        <v>159</v>
      </c>
      <c r="I63" s="23">
        <v>0.1</v>
      </c>
      <c r="W63" s="24" t="s">
        <v>14</v>
      </c>
      <c r="X63" s="24" t="s">
        <v>150</v>
      </c>
      <c r="Y63" s="24" t="s">
        <v>138</v>
      </c>
      <c r="Z63" s="24" t="s">
        <v>163</v>
      </c>
      <c r="AN63" s="10">
        <f t="shared" si="9"/>
        <v>11</v>
      </c>
    </row>
    <row r="64" spans="1:40" x14ac:dyDescent="0.45">
      <c r="A64">
        <v>5</v>
      </c>
      <c r="B64" t="str">
        <f t="shared" si="30"/>
        <v>Hi.95.CF1.N.Pln.0.1</v>
      </c>
      <c r="C64">
        <f t="shared" si="3"/>
        <v>56</v>
      </c>
      <c r="D64" t="str">
        <f t="shared" si="4"/>
        <v>Hi</v>
      </c>
      <c r="E64">
        <f t="shared" si="17"/>
        <v>95</v>
      </c>
      <c r="F64" t="str">
        <f t="shared" si="21"/>
        <v>CF1</v>
      </c>
      <c r="G64" t="str">
        <f t="shared" si="14"/>
        <v>N</v>
      </c>
      <c r="H64" s="15" t="s">
        <v>159</v>
      </c>
      <c r="I64" s="23">
        <v>0.1</v>
      </c>
      <c r="W64" s="25" t="s">
        <v>161</v>
      </c>
      <c r="X64" s="26"/>
      <c r="Y64" s="26" t="s">
        <v>162</v>
      </c>
      <c r="Z64" s="25" t="s">
        <v>164</v>
      </c>
      <c r="AN64" s="10">
        <f t="shared" si="9"/>
        <v>12</v>
      </c>
    </row>
    <row r="65" spans="1:40" x14ac:dyDescent="0.45">
      <c r="A65">
        <v>5</v>
      </c>
      <c r="B65" t="str">
        <f t="shared" si="30"/>
        <v>Lo.0.CF6.Y.Pln.0.1</v>
      </c>
      <c r="C65">
        <f t="shared" si="3"/>
        <v>57</v>
      </c>
      <c r="D65" t="str">
        <f t="shared" si="4"/>
        <v>Lo</v>
      </c>
      <c r="E65">
        <f t="shared" si="17"/>
        <v>0</v>
      </c>
      <c r="F65" t="str">
        <f t="shared" si="21"/>
        <v>CF6</v>
      </c>
      <c r="G65" t="str">
        <f t="shared" si="14"/>
        <v>Y</v>
      </c>
      <c r="H65" s="15" t="s">
        <v>159</v>
      </c>
      <c r="I65" s="23">
        <v>0.1</v>
      </c>
      <c r="AN65" s="10">
        <f t="shared" si="9"/>
        <v>12</v>
      </c>
    </row>
    <row r="66" spans="1:40" x14ac:dyDescent="0.45">
      <c r="A66">
        <v>5</v>
      </c>
      <c r="B66" t="str">
        <f t="shared" si="30"/>
        <v>Hi.0.CF6.Y.Pln.0.1</v>
      </c>
      <c r="C66">
        <f t="shared" si="3"/>
        <v>58</v>
      </c>
      <c r="D66" t="str">
        <f t="shared" si="4"/>
        <v>Hi</v>
      </c>
      <c r="E66">
        <f t="shared" si="17"/>
        <v>0</v>
      </c>
      <c r="F66" t="str">
        <f t="shared" si="21"/>
        <v>CF6</v>
      </c>
      <c r="G66" t="str">
        <f t="shared" si="14"/>
        <v>Y</v>
      </c>
      <c r="H66" s="15" t="s">
        <v>159</v>
      </c>
      <c r="I66" s="23">
        <v>0.1</v>
      </c>
      <c r="AN66" s="10">
        <f t="shared" si="9"/>
        <v>12</v>
      </c>
    </row>
    <row r="67" spans="1:40" x14ac:dyDescent="0.45">
      <c r="A67">
        <v>5</v>
      </c>
      <c r="B67" t="str">
        <f t="shared" si="30"/>
        <v>Lo.95.CF6.Y.Pln.0.1</v>
      </c>
      <c r="C67">
        <f t="shared" si="3"/>
        <v>59</v>
      </c>
      <c r="D67" t="str">
        <f t="shared" si="4"/>
        <v>Lo</v>
      </c>
      <c r="E67">
        <f t="shared" si="17"/>
        <v>95</v>
      </c>
      <c r="F67" t="str">
        <f t="shared" si="21"/>
        <v>CF6</v>
      </c>
      <c r="G67" t="str">
        <f t="shared" si="14"/>
        <v>Y</v>
      </c>
      <c r="H67" s="15" t="s">
        <v>159</v>
      </c>
      <c r="I67" s="23">
        <v>0.1</v>
      </c>
      <c r="AN67" s="10">
        <f t="shared" si="9"/>
        <v>12</v>
      </c>
    </row>
    <row r="68" spans="1:40" x14ac:dyDescent="0.45">
      <c r="A68">
        <v>5</v>
      </c>
      <c r="B68" t="str">
        <f t="shared" si="30"/>
        <v>Hi.95.CF6.Y.Pln.0.1</v>
      </c>
      <c r="C68">
        <f t="shared" si="3"/>
        <v>60</v>
      </c>
      <c r="D68" t="str">
        <f t="shared" si="4"/>
        <v>Hi</v>
      </c>
      <c r="E68">
        <f t="shared" si="17"/>
        <v>95</v>
      </c>
      <c r="F68" t="str">
        <f t="shared" si="21"/>
        <v>CF6</v>
      </c>
      <c r="G68" t="str">
        <f t="shared" si="14"/>
        <v>Y</v>
      </c>
      <c r="H68" s="15" t="s">
        <v>159</v>
      </c>
      <c r="I68" s="23">
        <v>0.1</v>
      </c>
      <c r="AN68" s="10">
        <f t="shared" si="9"/>
        <v>12</v>
      </c>
    </row>
    <row r="69" spans="1:40" x14ac:dyDescent="0.45">
      <c r="A69">
        <v>5</v>
      </c>
      <c r="B69" t="str">
        <f t="shared" si="30"/>
        <v>Lo.0.CF6.N.Pln.0.1</v>
      </c>
      <c r="C69">
        <f t="shared" si="3"/>
        <v>61</v>
      </c>
      <c r="D69" t="str">
        <f t="shared" si="4"/>
        <v>Lo</v>
      </c>
      <c r="E69">
        <f t="shared" si="17"/>
        <v>0</v>
      </c>
      <c r="F69" t="str">
        <f t="shared" si="21"/>
        <v>CF6</v>
      </c>
      <c r="G69" t="str">
        <f t="shared" si="14"/>
        <v>N</v>
      </c>
      <c r="H69" s="15" t="s">
        <v>159</v>
      </c>
      <c r="I69" s="23">
        <v>0.1</v>
      </c>
      <c r="AN69" s="10">
        <f t="shared" si="9"/>
        <v>13</v>
      </c>
    </row>
    <row r="70" spans="1:40" x14ac:dyDescent="0.45">
      <c r="A70">
        <v>5</v>
      </c>
      <c r="B70" t="str">
        <f t="shared" si="30"/>
        <v>Hi.0.CF6.N.Pln.0.1</v>
      </c>
      <c r="C70">
        <f t="shared" si="3"/>
        <v>62</v>
      </c>
      <c r="D70" t="str">
        <f t="shared" si="4"/>
        <v>Hi</v>
      </c>
      <c r="E70">
        <f t="shared" si="17"/>
        <v>0</v>
      </c>
      <c r="F70" t="str">
        <f t="shared" si="21"/>
        <v>CF6</v>
      </c>
      <c r="G70" t="str">
        <f t="shared" si="14"/>
        <v>N</v>
      </c>
      <c r="H70" s="15" t="s">
        <v>159</v>
      </c>
      <c r="I70" s="23">
        <v>0.1</v>
      </c>
      <c r="AN70" s="10">
        <f t="shared" si="9"/>
        <v>13</v>
      </c>
    </row>
    <row r="71" spans="1:40" x14ac:dyDescent="0.45">
      <c r="A71">
        <v>5</v>
      </c>
      <c r="B71" t="str">
        <f t="shared" si="30"/>
        <v>Lo.95.CF6.N.Pln.0.1</v>
      </c>
      <c r="C71">
        <f t="shared" si="3"/>
        <v>63</v>
      </c>
      <c r="D71" t="str">
        <f t="shared" si="4"/>
        <v>Lo</v>
      </c>
      <c r="E71">
        <f t="shared" si="17"/>
        <v>95</v>
      </c>
      <c r="F71" t="str">
        <f t="shared" si="21"/>
        <v>CF6</v>
      </c>
      <c r="G71" t="str">
        <f t="shared" si="14"/>
        <v>N</v>
      </c>
      <c r="H71" s="15" t="s">
        <v>159</v>
      </c>
      <c r="I71" s="23">
        <v>0.1</v>
      </c>
      <c r="AN71" s="10">
        <f t="shared" si="9"/>
        <v>13</v>
      </c>
    </row>
    <row r="72" spans="1:40" x14ac:dyDescent="0.45">
      <c r="A72">
        <v>5</v>
      </c>
      <c r="B72" t="str">
        <f t="shared" si="30"/>
        <v>Hi.95.CF6.N.Pln.0.1</v>
      </c>
      <c r="C72">
        <f t="shared" si="3"/>
        <v>64</v>
      </c>
      <c r="D72" t="str">
        <f t="shared" si="4"/>
        <v>Hi</v>
      </c>
      <c r="E72">
        <f t="shared" si="17"/>
        <v>95</v>
      </c>
      <c r="F72" t="str">
        <f t="shared" si="21"/>
        <v>CF6</v>
      </c>
      <c r="G72" t="str">
        <f t="shared" si="14"/>
        <v>N</v>
      </c>
      <c r="H72" s="15" t="s">
        <v>159</v>
      </c>
      <c r="I72" s="23">
        <v>0.1</v>
      </c>
      <c r="AN72" s="10">
        <f t="shared" si="9"/>
        <v>13</v>
      </c>
    </row>
    <row r="73" spans="1:40" x14ac:dyDescent="0.45">
      <c r="A73">
        <v>5</v>
      </c>
      <c r="B73" t="str">
        <f t="shared" ref="B73:B136" si="31">_xlfn.TEXTJOIN(".",TRUE,D73:I73)</f>
        <v>Lo.0.CF1.Y.Eco.0.1</v>
      </c>
      <c r="C73">
        <f t="shared" si="3"/>
        <v>65</v>
      </c>
      <c r="D73" t="str">
        <f t="shared" si="4"/>
        <v>Lo</v>
      </c>
      <c r="E73">
        <f t="shared" si="17"/>
        <v>0</v>
      </c>
      <c r="F73" t="str">
        <f t="shared" si="21"/>
        <v>CF1</v>
      </c>
      <c r="G73" t="str">
        <f t="shared" si="14"/>
        <v>Y</v>
      </c>
      <c r="H73" s="15" t="s">
        <v>160</v>
      </c>
      <c r="I73" s="23">
        <v>0.1</v>
      </c>
      <c r="AN73" s="10">
        <f t="shared" si="9"/>
        <v>13</v>
      </c>
    </row>
    <row r="74" spans="1:40" x14ac:dyDescent="0.45">
      <c r="A74">
        <v>5</v>
      </c>
      <c r="B74" t="str">
        <f t="shared" si="31"/>
        <v>Hi.0.CF1.Y.Eco.0.1</v>
      </c>
      <c r="C74">
        <f t="shared" si="3"/>
        <v>66</v>
      </c>
      <c r="D74" t="str">
        <f t="shared" si="4"/>
        <v>Hi</v>
      </c>
      <c r="E74">
        <f t="shared" si="17"/>
        <v>0</v>
      </c>
      <c r="F74" t="str">
        <f t="shared" si="21"/>
        <v>CF1</v>
      </c>
      <c r="G74" t="str">
        <f t="shared" si="14"/>
        <v>Y</v>
      </c>
      <c r="H74" s="15" t="s">
        <v>160</v>
      </c>
      <c r="I74" s="23">
        <v>0.1</v>
      </c>
      <c r="AN74" s="10">
        <f t="shared" si="9"/>
        <v>14</v>
      </c>
    </row>
    <row r="75" spans="1:40" x14ac:dyDescent="0.45">
      <c r="A75">
        <v>5</v>
      </c>
      <c r="B75" t="str">
        <f t="shared" si="31"/>
        <v>Lo.95.CF1.Y.Eco.0.1</v>
      </c>
      <c r="C75">
        <f t="shared" ref="C75:C138" si="32">C74+1</f>
        <v>67</v>
      </c>
      <c r="D75" t="str">
        <f t="shared" si="4"/>
        <v>Lo</v>
      </c>
      <c r="E75">
        <f t="shared" si="17"/>
        <v>95</v>
      </c>
      <c r="F75" t="str">
        <f t="shared" si="21"/>
        <v>CF1</v>
      </c>
      <c r="G75" t="str">
        <f t="shared" si="14"/>
        <v>Y</v>
      </c>
      <c r="H75" s="15" t="s">
        <v>160</v>
      </c>
      <c r="I75" s="23">
        <v>0.1</v>
      </c>
      <c r="AN75" s="10">
        <f t="shared" si="9"/>
        <v>14</v>
      </c>
    </row>
    <row r="76" spans="1:40" x14ac:dyDescent="0.45">
      <c r="A76">
        <v>5</v>
      </c>
      <c r="B76" t="str">
        <f t="shared" si="31"/>
        <v>Hi.95.CF1.Y.Eco.0.1</v>
      </c>
      <c r="C76">
        <f t="shared" si="32"/>
        <v>68</v>
      </c>
      <c r="D76" t="str">
        <f t="shared" ref="D76:D139" si="33">D74</f>
        <v>Hi</v>
      </c>
      <c r="E76">
        <f t="shared" si="17"/>
        <v>95</v>
      </c>
      <c r="F76" t="str">
        <f t="shared" si="21"/>
        <v>CF1</v>
      </c>
      <c r="G76" t="str">
        <f t="shared" si="14"/>
        <v>Y</v>
      </c>
      <c r="H76" s="15" t="s">
        <v>160</v>
      </c>
      <c r="I76" s="23">
        <v>0.1</v>
      </c>
      <c r="AN76" s="10">
        <f t="shared" si="9"/>
        <v>14</v>
      </c>
    </row>
    <row r="77" spans="1:40" x14ac:dyDescent="0.45">
      <c r="A77">
        <v>5</v>
      </c>
      <c r="B77" t="str">
        <f t="shared" si="31"/>
        <v>Lo.0.CF1.N.Eco.0.1</v>
      </c>
      <c r="C77">
        <f t="shared" si="32"/>
        <v>69</v>
      </c>
      <c r="D77" t="str">
        <f t="shared" si="33"/>
        <v>Lo</v>
      </c>
      <c r="E77">
        <f t="shared" si="17"/>
        <v>0</v>
      </c>
      <c r="F77" t="str">
        <f t="shared" si="21"/>
        <v>CF1</v>
      </c>
      <c r="G77" t="str">
        <f t="shared" si="14"/>
        <v>N</v>
      </c>
      <c r="H77" s="15" t="s">
        <v>160</v>
      </c>
      <c r="I77" s="23">
        <v>0.1</v>
      </c>
      <c r="AN77" s="10">
        <f t="shared" si="9"/>
        <v>14</v>
      </c>
    </row>
    <row r="78" spans="1:40" x14ac:dyDescent="0.45">
      <c r="A78">
        <v>5</v>
      </c>
      <c r="B78" t="str">
        <f t="shared" si="31"/>
        <v>Hi.0.CF1.N.Eco.0.1</v>
      </c>
      <c r="C78">
        <f t="shared" si="32"/>
        <v>70</v>
      </c>
      <c r="D78" t="str">
        <f t="shared" si="33"/>
        <v>Hi</v>
      </c>
      <c r="E78">
        <f t="shared" si="17"/>
        <v>0</v>
      </c>
      <c r="F78" t="str">
        <f t="shared" si="21"/>
        <v>CF1</v>
      </c>
      <c r="G78" t="str">
        <f t="shared" si="14"/>
        <v>N</v>
      </c>
      <c r="H78" s="15" t="s">
        <v>160</v>
      </c>
      <c r="I78" s="23">
        <v>0.1</v>
      </c>
      <c r="AN78" s="10">
        <f t="shared" si="9"/>
        <v>14</v>
      </c>
    </row>
    <row r="79" spans="1:40" x14ac:dyDescent="0.45">
      <c r="A79">
        <v>5</v>
      </c>
      <c r="B79" t="str">
        <f t="shared" si="31"/>
        <v>Lo.95.CF1.N.Eco.0.1</v>
      </c>
      <c r="C79">
        <f t="shared" si="32"/>
        <v>71</v>
      </c>
      <c r="D79" t="str">
        <f t="shared" si="33"/>
        <v>Lo</v>
      </c>
      <c r="E79">
        <f t="shared" si="17"/>
        <v>95</v>
      </c>
      <c r="F79" t="str">
        <f t="shared" si="21"/>
        <v>CF1</v>
      </c>
      <c r="G79" t="str">
        <f t="shared" si="14"/>
        <v>N</v>
      </c>
      <c r="H79" s="15" t="s">
        <v>160</v>
      </c>
      <c r="I79" s="23">
        <v>0.1</v>
      </c>
    </row>
    <row r="80" spans="1:40" x14ac:dyDescent="0.45">
      <c r="A80">
        <v>5</v>
      </c>
      <c r="B80" t="str">
        <f t="shared" si="31"/>
        <v>Hi.95.CF1.N.Eco.0.1</v>
      </c>
      <c r="C80">
        <f t="shared" si="32"/>
        <v>72</v>
      </c>
      <c r="D80" t="str">
        <f t="shared" si="33"/>
        <v>Hi</v>
      </c>
      <c r="E80">
        <f t="shared" si="17"/>
        <v>95</v>
      </c>
      <c r="F80" t="str">
        <f t="shared" si="21"/>
        <v>CF1</v>
      </c>
      <c r="G80" t="str">
        <f t="shared" si="14"/>
        <v>N</v>
      </c>
      <c r="H80" s="15" t="s">
        <v>160</v>
      </c>
      <c r="I80" s="23">
        <v>0.1</v>
      </c>
    </row>
    <row r="81" spans="1:9" x14ac:dyDescent="0.45">
      <c r="A81">
        <v>5</v>
      </c>
      <c r="B81" t="str">
        <f t="shared" si="31"/>
        <v>Lo.0.CF6.Y.Eco.0.1</v>
      </c>
      <c r="C81">
        <f t="shared" si="32"/>
        <v>73</v>
      </c>
      <c r="D81" t="str">
        <f t="shared" si="33"/>
        <v>Lo</v>
      </c>
      <c r="E81">
        <f t="shared" si="17"/>
        <v>0</v>
      </c>
      <c r="F81" t="str">
        <f t="shared" si="21"/>
        <v>CF6</v>
      </c>
      <c r="G81" t="str">
        <f t="shared" si="14"/>
        <v>Y</v>
      </c>
      <c r="H81" s="15" t="s">
        <v>160</v>
      </c>
      <c r="I81" s="23">
        <v>0.1</v>
      </c>
    </row>
    <row r="82" spans="1:9" x14ac:dyDescent="0.45">
      <c r="A82">
        <v>5</v>
      </c>
      <c r="B82" t="str">
        <f t="shared" si="31"/>
        <v>Hi.0.CF6.Y.Eco.0.1</v>
      </c>
      <c r="C82">
        <f t="shared" si="32"/>
        <v>74</v>
      </c>
      <c r="D82" t="str">
        <f t="shared" si="33"/>
        <v>Hi</v>
      </c>
      <c r="E82">
        <f t="shared" si="17"/>
        <v>0</v>
      </c>
      <c r="F82" t="str">
        <f t="shared" si="21"/>
        <v>CF6</v>
      </c>
      <c r="G82" t="str">
        <f t="shared" ref="G82:G145" si="34">G74</f>
        <v>Y</v>
      </c>
      <c r="H82" s="15" t="s">
        <v>160</v>
      </c>
      <c r="I82" s="23">
        <v>0.1</v>
      </c>
    </row>
    <row r="83" spans="1:9" x14ac:dyDescent="0.45">
      <c r="A83">
        <v>5</v>
      </c>
      <c r="B83" t="str">
        <f t="shared" si="31"/>
        <v>Lo.95.CF6.Y.Eco.0.1</v>
      </c>
      <c r="C83">
        <f t="shared" si="32"/>
        <v>75</v>
      </c>
      <c r="D83" t="str">
        <f t="shared" si="33"/>
        <v>Lo</v>
      </c>
      <c r="E83">
        <f t="shared" si="17"/>
        <v>95</v>
      </c>
      <c r="F83" t="str">
        <f t="shared" si="21"/>
        <v>CF6</v>
      </c>
      <c r="G83" t="str">
        <f t="shared" si="34"/>
        <v>Y</v>
      </c>
      <c r="H83" s="15" t="s">
        <v>160</v>
      </c>
      <c r="I83" s="23">
        <v>0.1</v>
      </c>
    </row>
    <row r="84" spans="1:9" x14ac:dyDescent="0.45">
      <c r="A84">
        <v>5</v>
      </c>
      <c r="B84" t="str">
        <f t="shared" si="31"/>
        <v>Hi.95.CF6.Y.Eco.0.1</v>
      </c>
      <c r="C84">
        <f t="shared" si="32"/>
        <v>76</v>
      </c>
      <c r="D84" t="str">
        <f t="shared" si="33"/>
        <v>Hi</v>
      </c>
      <c r="E84">
        <f t="shared" ref="E84:E147" si="35">E80</f>
        <v>95</v>
      </c>
      <c r="F84" t="str">
        <f t="shared" si="21"/>
        <v>CF6</v>
      </c>
      <c r="G84" t="str">
        <f t="shared" si="34"/>
        <v>Y</v>
      </c>
      <c r="H84" s="15" t="s">
        <v>160</v>
      </c>
      <c r="I84" s="23">
        <v>0.1</v>
      </c>
    </row>
    <row r="85" spans="1:9" x14ac:dyDescent="0.45">
      <c r="A85">
        <v>5</v>
      </c>
      <c r="B85" t="str">
        <f t="shared" si="31"/>
        <v>Lo.0.CF6.N.Eco.0.1</v>
      </c>
      <c r="C85">
        <f t="shared" si="32"/>
        <v>77</v>
      </c>
      <c r="D85" t="str">
        <f t="shared" si="33"/>
        <v>Lo</v>
      </c>
      <c r="E85">
        <f t="shared" si="35"/>
        <v>0</v>
      </c>
      <c r="F85" t="str">
        <f t="shared" si="21"/>
        <v>CF6</v>
      </c>
      <c r="G85" t="str">
        <f t="shared" si="34"/>
        <v>N</v>
      </c>
      <c r="H85" s="15" t="s">
        <v>160</v>
      </c>
      <c r="I85" s="23">
        <v>0.1</v>
      </c>
    </row>
    <row r="86" spans="1:9" x14ac:dyDescent="0.45">
      <c r="A86">
        <v>5</v>
      </c>
      <c r="B86" t="str">
        <f t="shared" si="31"/>
        <v>Hi.0.CF6.N.Eco.0.1</v>
      </c>
      <c r="C86">
        <f t="shared" si="32"/>
        <v>78</v>
      </c>
      <c r="D86" t="str">
        <f t="shared" si="33"/>
        <v>Hi</v>
      </c>
      <c r="E86">
        <f t="shared" si="35"/>
        <v>0</v>
      </c>
      <c r="F86" t="str">
        <f t="shared" si="21"/>
        <v>CF6</v>
      </c>
      <c r="G86" t="str">
        <f t="shared" si="34"/>
        <v>N</v>
      </c>
      <c r="H86" s="15" t="s">
        <v>160</v>
      </c>
      <c r="I86" s="23">
        <v>0.1</v>
      </c>
    </row>
    <row r="87" spans="1:9" x14ac:dyDescent="0.45">
      <c r="A87">
        <v>5</v>
      </c>
      <c r="B87" t="str">
        <f t="shared" si="31"/>
        <v>Lo.95.CF6.N.Eco.0.1</v>
      </c>
      <c r="C87">
        <f t="shared" si="32"/>
        <v>79</v>
      </c>
      <c r="D87" t="str">
        <f t="shared" si="33"/>
        <v>Lo</v>
      </c>
      <c r="E87">
        <f t="shared" si="35"/>
        <v>95</v>
      </c>
      <c r="F87" t="str">
        <f t="shared" si="21"/>
        <v>CF6</v>
      </c>
      <c r="G87" t="str">
        <f t="shared" si="34"/>
        <v>N</v>
      </c>
      <c r="H87" s="15" t="s">
        <v>160</v>
      </c>
      <c r="I87" s="23">
        <v>0.1</v>
      </c>
    </row>
    <row r="88" spans="1:9" x14ac:dyDescent="0.45">
      <c r="A88">
        <v>5</v>
      </c>
      <c r="B88" t="str">
        <f t="shared" si="31"/>
        <v>Hi.95.CF6.N.Eco.0.1</v>
      </c>
      <c r="C88">
        <f t="shared" si="32"/>
        <v>80</v>
      </c>
      <c r="D88" t="str">
        <f t="shared" si="33"/>
        <v>Hi</v>
      </c>
      <c r="E88">
        <f t="shared" si="35"/>
        <v>95</v>
      </c>
      <c r="F88" t="str">
        <f t="shared" si="21"/>
        <v>CF6</v>
      </c>
      <c r="G88" t="str">
        <f t="shared" si="34"/>
        <v>N</v>
      </c>
      <c r="H88" s="15" t="s">
        <v>160</v>
      </c>
      <c r="I88" s="23">
        <v>0.1</v>
      </c>
    </row>
    <row r="89" spans="1:9" x14ac:dyDescent="0.45">
      <c r="A89">
        <v>5</v>
      </c>
      <c r="B89" t="str">
        <f t="shared" si="31"/>
        <v>Lo.0.CF1.Y.Eco.0.1</v>
      </c>
      <c r="C89">
        <f t="shared" si="32"/>
        <v>81</v>
      </c>
      <c r="D89" t="str">
        <f t="shared" si="33"/>
        <v>Lo</v>
      </c>
      <c r="E89">
        <f t="shared" si="35"/>
        <v>0</v>
      </c>
      <c r="F89" t="str">
        <f t="shared" si="21"/>
        <v>CF1</v>
      </c>
      <c r="G89" t="str">
        <f t="shared" si="34"/>
        <v>Y</v>
      </c>
      <c r="H89" s="15" t="s">
        <v>160</v>
      </c>
      <c r="I89" s="23">
        <v>0.1</v>
      </c>
    </row>
    <row r="90" spans="1:9" x14ac:dyDescent="0.45">
      <c r="A90">
        <v>5</v>
      </c>
      <c r="B90" t="str">
        <f t="shared" si="31"/>
        <v>Hi.0.CF1.Y.Eco.0.1</v>
      </c>
      <c r="C90">
        <f t="shared" si="32"/>
        <v>82</v>
      </c>
      <c r="D90" t="str">
        <f t="shared" si="33"/>
        <v>Hi</v>
      </c>
      <c r="E90">
        <f t="shared" si="35"/>
        <v>0</v>
      </c>
      <c r="F90" t="str">
        <f t="shared" ref="F90:F153" si="36">F74</f>
        <v>CF1</v>
      </c>
      <c r="G90" t="str">
        <f t="shared" si="34"/>
        <v>Y</v>
      </c>
      <c r="H90" s="15" t="s">
        <v>160</v>
      </c>
      <c r="I90" s="23">
        <v>0.1</v>
      </c>
    </row>
    <row r="91" spans="1:9" x14ac:dyDescent="0.45">
      <c r="A91">
        <v>5</v>
      </c>
      <c r="B91" t="str">
        <f t="shared" si="31"/>
        <v>Lo.95.CF1.Y.Eco.0.1</v>
      </c>
      <c r="C91">
        <f t="shared" si="32"/>
        <v>83</v>
      </c>
      <c r="D91" t="str">
        <f t="shared" si="33"/>
        <v>Lo</v>
      </c>
      <c r="E91">
        <f t="shared" si="35"/>
        <v>95</v>
      </c>
      <c r="F91" t="str">
        <f t="shared" si="36"/>
        <v>CF1</v>
      </c>
      <c r="G91" t="str">
        <f t="shared" si="34"/>
        <v>Y</v>
      </c>
      <c r="H91" s="15" t="s">
        <v>160</v>
      </c>
      <c r="I91" s="23">
        <v>0.1</v>
      </c>
    </row>
    <row r="92" spans="1:9" x14ac:dyDescent="0.45">
      <c r="A92">
        <v>5</v>
      </c>
      <c r="B92" t="str">
        <f t="shared" si="31"/>
        <v>Hi.95.CF1.Y.Eco.0.1</v>
      </c>
      <c r="C92">
        <f t="shared" si="32"/>
        <v>84</v>
      </c>
      <c r="D92" t="str">
        <f t="shared" si="33"/>
        <v>Hi</v>
      </c>
      <c r="E92">
        <f t="shared" si="35"/>
        <v>95</v>
      </c>
      <c r="F92" t="str">
        <f t="shared" si="36"/>
        <v>CF1</v>
      </c>
      <c r="G92" t="str">
        <f t="shared" si="34"/>
        <v>Y</v>
      </c>
      <c r="H92" s="15" t="s">
        <v>160</v>
      </c>
      <c r="I92" s="23">
        <v>0.1</v>
      </c>
    </row>
    <row r="93" spans="1:9" x14ac:dyDescent="0.45">
      <c r="A93">
        <v>5</v>
      </c>
      <c r="B93" t="str">
        <f t="shared" si="31"/>
        <v>Lo.0.CF1.N.Eco.0.1</v>
      </c>
      <c r="C93">
        <f t="shared" si="32"/>
        <v>85</v>
      </c>
      <c r="D93" t="str">
        <f t="shared" si="33"/>
        <v>Lo</v>
      </c>
      <c r="E93">
        <f t="shared" si="35"/>
        <v>0</v>
      </c>
      <c r="F93" t="str">
        <f t="shared" si="36"/>
        <v>CF1</v>
      </c>
      <c r="G93" t="str">
        <f t="shared" si="34"/>
        <v>N</v>
      </c>
      <c r="H93" s="15" t="s">
        <v>160</v>
      </c>
      <c r="I93" s="23">
        <v>0.1</v>
      </c>
    </row>
    <row r="94" spans="1:9" x14ac:dyDescent="0.45">
      <c r="A94">
        <v>5</v>
      </c>
      <c r="B94" t="str">
        <f t="shared" si="31"/>
        <v>Hi.0.CF1.N.Eco.0.1</v>
      </c>
      <c r="C94">
        <f t="shared" si="32"/>
        <v>86</v>
      </c>
      <c r="D94" t="str">
        <f t="shared" si="33"/>
        <v>Hi</v>
      </c>
      <c r="E94">
        <f t="shared" si="35"/>
        <v>0</v>
      </c>
      <c r="F94" t="str">
        <f t="shared" si="36"/>
        <v>CF1</v>
      </c>
      <c r="G94" t="str">
        <f t="shared" si="34"/>
        <v>N</v>
      </c>
      <c r="H94" s="15" t="s">
        <v>160</v>
      </c>
      <c r="I94" s="23">
        <v>0.1</v>
      </c>
    </row>
    <row r="95" spans="1:9" x14ac:dyDescent="0.45">
      <c r="A95">
        <v>5</v>
      </c>
      <c r="B95" t="str">
        <f t="shared" si="31"/>
        <v>Lo.95.CF1.N.Eco.0.1</v>
      </c>
      <c r="C95">
        <f t="shared" si="32"/>
        <v>87</v>
      </c>
      <c r="D95" t="str">
        <f t="shared" si="33"/>
        <v>Lo</v>
      </c>
      <c r="E95">
        <f t="shared" si="35"/>
        <v>95</v>
      </c>
      <c r="F95" t="str">
        <f t="shared" si="36"/>
        <v>CF1</v>
      </c>
      <c r="G95" t="str">
        <f t="shared" si="34"/>
        <v>N</v>
      </c>
      <c r="H95" s="15" t="s">
        <v>160</v>
      </c>
      <c r="I95" s="23">
        <v>0.1</v>
      </c>
    </row>
    <row r="96" spans="1:9" x14ac:dyDescent="0.45">
      <c r="A96">
        <v>5</v>
      </c>
      <c r="B96" t="str">
        <f t="shared" si="31"/>
        <v>Hi.95.CF1.N.Eco.0.1</v>
      </c>
      <c r="C96">
        <f t="shared" si="32"/>
        <v>88</v>
      </c>
      <c r="D96" t="str">
        <f t="shared" si="33"/>
        <v>Hi</v>
      </c>
      <c r="E96">
        <f t="shared" si="35"/>
        <v>95</v>
      </c>
      <c r="F96" t="str">
        <f t="shared" si="36"/>
        <v>CF1</v>
      </c>
      <c r="G96" t="str">
        <f t="shared" si="34"/>
        <v>N</v>
      </c>
      <c r="H96" s="15" t="s">
        <v>160</v>
      </c>
      <c r="I96" s="23">
        <v>0.1</v>
      </c>
    </row>
    <row r="97" spans="1:9" x14ac:dyDescent="0.45">
      <c r="A97">
        <v>5</v>
      </c>
      <c r="B97" t="str">
        <f t="shared" si="31"/>
        <v>Lo.0.CF6.Y.Eco.0.1</v>
      </c>
      <c r="C97">
        <f t="shared" si="32"/>
        <v>89</v>
      </c>
      <c r="D97" t="str">
        <f t="shared" si="33"/>
        <v>Lo</v>
      </c>
      <c r="E97">
        <f t="shared" si="35"/>
        <v>0</v>
      </c>
      <c r="F97" t="str">
        <f t="shared" si="36"/>
        <v>CF6</v>
      </c>
      <c r="G97" t="str">
        <f t="shared" si="34"/>
        <v>Y</v>
      </c>
      <c r="H97" s="15" t="s">
        <v>160</v>
      </c>
      <c r="I97" s="23">
        <v>0.1</v>
      </c>
    </row>
    <row r="98" spans="1:9" x14ac:dyDescent="0.45">
      <c r="A98">
        <v>5</v>
      </c>
      <c r="B98" t="str">
        <f t="shared" si="31"/>
        <v>Hi.0.CF6.Y.Eco.0.1</v>
      </c>
      <c r="C98">
        <f t="shared" si="32"/>
        <v>90</v>
      </c>
      <c r="D98" t="str">
        <f t="shared" si="33"/>
        <v>Hi</v>
      </c>
      <c r="E98">
        <f t="shared" si="35"/>
        <v>0</v>
      </c>
      <c r="F98" t="str">
        <f t="shared" si="36"/>
        <v>CF6</v>
      </c>
      <c r="G98" t="str">
        <f t="shared" si="34"/>
        <v>Y</v>
      </c>
      <c r="H98" s="15" t="s">
        <v>160</v>
      </c>
      <c r="I98" s="23">
        <v>0.1</v>
      </c>
    </row>
    <row r="99" spans="1:9" x14ac:dyDescent="0.45">
      <c r="A99">
        <v>5</v>
      </c>
      <c r="B99" t="str">
        <f t="shared" si="31"/>
        <v>Lo.95.CF6.Y.Eco.0.1</v>
      </c>
      <c r="C99">
        <f t="shared" si="32"/>
        <v>91</v>
      </c>
      <c r="D99" t="str">
        <f t="shared" si="33"/>
        <v>Lo</v>
      </c>
      <c r="E99">
        <f t="shared" si="35"/>
        <v>95</v>
      </c>
      <c r="F99" t="str">
        <f t="shared" si="36"/>
        <v>CF6</v>
      </c>
      <c r="G99" t="str">
        <f t="shared" si="34"/>
        <v>Y</v>
      </c>
      <c r="H99" s="15" t="s">
        <v>160</v>
      </c>
      <c r="I99" s="23">
        <v>0.1</v>
      </c>
    </row>
    <row r="100" spans="1:9" x14ac:dyDescent="0.45">
      <c r="A100">
        <v>5</v>
      </c>
      <c r="B100" t="str">
        <f t="shared" si="31"/>
        <v>Hi.95.CF6.Y.Eco.0.1</v>
      </c>
      <c r="C100">
        <f t="shared" si="32"/>
        <v>92</v>
      </c>
      <c r="D100" t="str">
        <f t="shared" si="33"/>
        <v>Hi</v>
      </c>
      <c r="E100">
        <f t="shared" si="35"/>
        <v>95</v>
      </c>
      <c r="F100" t="str">
        <f t="shared" si="36"/>
        <v>CF6</v>
      </c>
      <c r="G100" t="str">
        <f t="shared" si="34"/>
        <v>Y</v>
      </c>
      <c r="H100" s="15" t="s">
        <v>160</v>
      </c>
      <c r="I100" s="23">
        <v>0.1</v>
      </c>
    </row>
    <row r="101" spans="1:9" x14ac:dyDescent="0.45">
      <c r="A101">
        <v>5</v>
      </c>
      <c r="B101" t="str">
        <f t="shared" si="31"/>
        <v>Lo.0.CF6.N.Eco.0.1</v>
      </c>
      <c r="C101">
        <f t="shared" si="32"/>
        <v>93</v>
      </c>
      <c r="D101" t="str">
        <f t="shared" si="33"/>
        <v>Lo</v>
      </c>
      <c r="E101">
        <f t="shared" si="35"/>
        <v>0</v>
      </c>
      <c r="F101" t="str">
        <f t="shared" si="36"/>
        <v>CF6</v>
      </c>
      <c r="G101" t="str">
        <f t="shared" si="34"/>
        <v>N</v>
      </c>
      <c r="H101" s="15" t="s">
        <v>160</v>
      </c>
      <c r="I101" s="23">
        <v>0.1</v>
      </c>
    </row>
    <row r="102" spans="1:9" x14ac:dyDescent="0.45">
      <c r="A102">
        <v>5</v>
      </c>
      <c r="B102" t="str">
        <f t="shared" si="31"/>
        <v>Hi.0.CF6.N.Eco.0.1</v>
      </c>
      <c r="C102">
        <f t="shared" si="32"/>
        <v>94</v>
      </c>
      <c r="D102" t="str">
        <f t="shared" si="33"/>
        <v>Hi</v>
      </c>
      <c r="E102">
        <f t="shared" si="35"/>
        <v>0</v>
      </c>
      <c r="F102" t="str">
        <f t="shared" si="36"/>
        <v>CF6</v>
      </c>
      <c r="G102" t="str">
        <f t="shared" si="34"/>
        <v>N</v>
      </c>
      <c r="H102" s="15" t="s">
        <v>160</v>
      </c>
      <c r="I102" s="23">
        <v>0.1</v>
      </c>
    </row>
    <row r="103" spans="1:9" x14ac:dyDescent="0.45">
      <c r="A103">
        <v>5</v>
      </c>
      <c r="B103" t="str">
        <f t="shared" si="31"/>
        <v>Lo.95.CF6.N.Eco.0.1</v>
      </c>
      <c r="C103">
        <f t="shared" si="32"/>
        <v>95</v>
      </c>
      <c r="D103" t="str">
        <f t="shared" si="33"/>
        <v>Lo</v>
      </c>
      <c r="E103">
        <f t="shared" si="35"/>
        <v>95</v>
      </c>
      <c r="F103" t="str">
        <f t="shared" si="36"/>
        <v>CF6</v>
      </c>
      <c r="G103" t="str">
        <f t="shared" si="34"/>
        <v>N</v>
      </c>
      <c r="H103" s="15" t="s">
        <v>160</v>
      </c>
      <c r="I103" s="23">
        <v>0.1</v>
      </c>
    </row>
    <row r="104" spans="1:9" x14ac:dyDescent="0.45">
      <c r="A104">
        <v>5</v>
      </c>
      <c r="B104" t="str">
        <f t="shared" si="31"/>
        <v>Hi.95.CF6.N.Eco.0.1</v>
      </c>
      <c r="C104">
        <f t="shared" si="32"/>
        <v>96</v>
      </c>
      <c r="D104" t="str">
        <f t="shared" si="33"/>
        <v>Hi</v>
      </c>
      <c r="E104">
        <f t="shared" si="35"/>
        <v>95</v>
      </c>
      <c r="F104" t="str">
        <f t="shared" si="36"/>
        <v>CF6</v>
      </c>
      <c r="G104" t="str">
        <f t="shared" si="34"/>
        <v>N</v>
      </c>
      <c r="H104" s="15" t="s">
        <v>160</v>
      </c>
      <c r="I104" s="23">
        <v>0.1</v>
      </c>
    </row>
    <row r="105" spans="1:9" x14ac:dyDescent="0.45">
      <c r="A105">
        <v>5</v>
      </c>
      <c r="B105" t="str">
        <f t="shared" si="31"/>
        <v>Lo.0.CF1.Y.Eco.0.1</v>
      </c>
      <c r="C105">
        <f t="shared" si="32"/>
        <v>97</v>
      </c>
      <c r="D105" t="str">
        <f t="shared" si="33"/>
        <v>Lo</v>
      </c>
      <c r="E105">
        <f t="shared" si="35"/>
        <v>0</v>
      </c>
      <c r="F105" t="str">
        <f t="shared" si="36"/>
        <v>CF1</v>
      </c>
      <c r="G105" t="str">
        <f t="shared" si="34"/>
        <v>Y</v>
      </c>
      <c r="H105" s="15" t="s">
        <v>160</v>
      </c>
      <c r="I105" s="23">
        <v>0.1</v>
      </c>
    </row>
    <row r="106" spans="1:9" x14ac:dyDescent="0.45">
      <c r="A106">
        <v>5</v>
      </c>
      <c r="B106" t="str">
        <f t="shared" si="31"/>
        <v>Hi.0.CF1.Y.Eco.0.1</v>
      </c>
      <c r="C106">
        <f t="shared" si="32"/>
        <v>98</v>
      </c>
      <c r="D106" t="str">
        <f t="shared" si="33"/>
        <v>Hi</v>
      </c>
      <c r="E106">
        <f t="shared" si="35"/>
        <v>0</v>
      </c>
      <c r="F106" t="str">
        <f t="shared" si="36"/>
        <v>CF1</v>
      </c>
      <c r="G106" t="str">
        <f t="shared" si="34"/>
        <v>Y</v>
      </c>
      <c r="H106" s="15" t="s">
        <v>160</v>
      </c>
      <c r="I106" s="23">
        <v>0.1</v>
      </c>
    </row>
    <row r="107" spans="1:9" x14ac:dyDescent="0.45">
      <c r="A107">
        <v>5</v>
      </c>
      <c r="B107" t="str">
        <f t="shared" si="31"/>
        <v>Lo.95.CF1.Y.Eco.0.1</v>
      </c>
      <c r="C107">
        <f t="shared" si="32"/>
        <v>99</v>
      </c>
      <c r="D107" t="str">
        <f t="shared" si="33"/>
        <v>Lo</v>
      </c>
      <c r="E107">
        <f t="shared" si="35"/>
        <v>95</v>
      </c>
      <c r="F107" t="str">
        <f t="shared" si="36"/>
        <v>CF1</v>
      </c>
      <c r="G107" t="str">
        <f t="shared" si="34"/>
        <v>Y</v>
      </c>
      <c r="H107" s="15" t="s">
        <v>160</v>
      </c>
      <c r="I107" s="23">
        <v>0.1</v>
      </c>
    </row>
    <row r="108" spans="1:9" x14ac:dyDescent="0.45">
      <c r="A108">
        <v>5</v>
      </c>
      <c r="B108" t="str">
        <f t="shared" si="31"/>
        <v>Hi.95.CF1.Y.Eco.0.1</v>
      </c>
      <c r="C108">
        <f t="shared" si="32"/>
        <v>100</v>
      </c>
      <c r="D108" t="str">
        <f t="shared" si="33"/>
        <v>Hi</v>
      </c>
      <c r="E108">
        <f t="shared" si="35"/>
        <v>95</v>
      </c>
      <c r="F108" t="str">
        <f t="shared" si="36"/>
        <v>CF1</v>
      </c>
      <c r="G108" t="str">
        <f t="shared" si="34"/>
        <v>Y</v>
      </c>
      <c r="H108" s="15" t="s">
        <v>160</v>
      </c>
      <c r="I108" s="23">
        <v>0.1</v>
      </c>
    </row>
    <row r="109" spans="1:9" x14ac:dyDescent="0.45">
      <c r="A109">
        <v>5</v>
      </c>
      <c r="B109" t="str">
        <f t="shared" si="31"/>
        <v>Lo.0.CF1.N.Eco.0.1</v>
      </c>
      <c r="C109">
        <f t="shared" si="32"/>
        <v>101</v>
      </c>
      <c r="D109" t="str">
        <f t="shared" si="33"/>
        <v>Lo</v>
      </c>
      <c r="E109">
        <f t="shared" si="35"/>
        <v>0</v>
      </c>
      <c r="F109" t="str">
        <f t="shared" si="36"/>
        <v>CF1</v>
      </c>
      <c r="G109" t="str">
        <f t="shared" si="34"/>
        <v>N</v>
      </c>
      <c r="H109" s="15" t="s">
        <v>160</v>
      </c>
      <c r="I109" s="23">
        <v>0.1</v>
      </c>
    </row>
    <row r="110" spans="1:9" x14ac:dyDescent="0.45">
      <c r="A110">
        <v>5</v>
      </c>
      <c r="B110" t="str">
        <f t="shared" si="31"/>
        <v>Hi.0.CF1.N.Eco.0.1</v>
      </c>
      <c r="C110">
        <f t="shared" si="32"/>
        <v>102</v>
      </c>
      <c r="D110" t="str">
        <f t="shared" si="33"/>
        <v>Hi</v>
      </c>
      <c r="E110">
        <f t="shared" si="35"/>
        <v>0</v>
      </c>
      <c r="F110" t="str">
        <f t="shared" si="36"/>
        <v>CF1</v>
      </c>
      <c r="G110" t="str">
        <f t="shared" si="34"/>
        <v>N</v>
      </c>
      <c r="H110" s="15" t="s">
        <v>160</v>
      </c>
      <c r="I110" s="23">
        <v>0.1</v>
      </c>
    </row>
    <row r="111" spans="1:9" x14ac:dyDescent="0.45">
      <c r="A111">
        <v>5</v>
      </c>
      <c r="B111" t="str">
        <f t="shared" si="31"/>
        <v>Lo.95.CF1.N.Eco.0.1</v>
      </c>
      <c r="C111">
        <f t="shared" si="32"/>
        <v>103</v>
      </c>
      <c r="D111" t="str">
        <f t="shared" si="33"/>
        <v>Lo</v>
      </c>
      <c r="E111">
        <f t="shared" si="35"/>
        <v>95</v>
      </c>
      <c r="F111" t="str">
        <f t="shared" si="36"/>
        <v>CF1</v>
      </c>
      <c r="G111" t="str">
        <f t="shared" si="34"/>
        <v>N</v>
      </c>
      <c r="H111" s="15" t="s">
        <v>160</v>
      </c>
      <c r="I111" s="23">
        <v>0.1</v>
      </c>
    </row>
    <row r="112" spans="1:9" x14ac:dyDescent="0.45">
      <c r="A112">
        <v>5</v>
      </c>
      <c r="B112" t="str">
        <f t="shared" si="31"/>
        <v>Hi.95.CF1.N.Eco.0.1</v>
      </c>
      <c r="C112">
        <f t="shared" si="32"/>
        <v>104</v>
      </c>
      <c r="D112" t="str">
        <f t="shared" si="33"/>
        <v>Hi</v>
      </c>
      <c r="E112">
        <f t="shared" si="35"/>
        <v>95</v>
      </c>
      <c r="F112" t="str">
        <f t="shared" si="36"/>
        <v>CF1</v>
      </c>
      <c r="G112" t="str">
        <f t="shared" si="34"/>
        <v>N</v>
      </c>
      <c r="H112" s="15" t="s">
        <v>160</v>
      </c>
      <c r="I112" s="23">
        <v>0.1</v>
      </c>
    </row>
    <row r="113" spans="1:9" x14ac:dyDescent="0.45">
      <c r="A113">
        <v>5</v>
      </c>
      <c r="B113" t="str">
        <f t="shared" si="31"/>
        <v>Lo.0.CF6.Y.Eco.0.1</v>
      </c>
      <c r="C113">
        <f t="shared" si="32"/>
        <v>105</v>
      </c>
      <c r="D113" t="str">
        <f t="shared" si="33"/>
        <v>Lo</v>
      </c>
      <c r="E113">
        <f t="shared" si="35"/>
        <v>0</v>
      </c>
      <c r="F113" t="str">
        <f t="shared" si="36"/>
        <v>CF6</v>
      </c>
      <c r="G113" t="str">
        <f t="shared" si="34"/>
        <v>Y</v>
      </c>
      <c r="H113" s="15" t="s">
        <v>160</v>
      </c>
      <c r="I113" s="23">
        <v>0.1</v>
      </c>
    </row>
    <row r="114" spans="1:9" x14ac:dyDescent="0.45">
      <c r="A114">
        <v>5</v>
      </c>
      <c r="B114" t="str">
        <f t="shared" si="31"/>
        <v>Hi.0.CF6.Y.Eco.0.1</v>
      </c>
      <c r="C114">
        <f t="shared" si="32"/>
        <v>106</v>
      </c>
      <c r="D114" t="str">
        <f t="shared" si="33"/>
        <v>Hi</v>
      </c>
      <c r="E114">
        <f t="shared" si="35"/>
        <v>0</v>
      </c>
      <c r="F114" t="str">
        <f t="shared" si="36"/>
        <v>CF6</v>
      </c>
      <c r="G114" t="str">
        <f t="shared" si="34"/>
        <v>Y</v>
      </c>
      <c r="H114" s="15" t="s">
        <v>160</v>
      </c>
      <c r="I114" s="23">
        <v>0.1</v>
      </c>
    </row>
    <row r="115" spans="1:9" x14ac:dyDescent="0.45">
      <c r="A115">
        <v>5</v>
      </c>
      <c r="B115" t="str">
        <f t="shared" si="31"/>
        <v>Lo.95.CF6.Y.Eco.0.1</v>
      </c>
      <c r="C115">
        <f t="shared" si="32"/>
        <v>107</v>
      </c>
      <c r="D115" t="str">
        <f t="shared" si="33"/>
        <v>Lo</v>
      </c>
      <c r="E115">
        <f t="shared" si="35"/>
        <v>95</v>
      </c>
      <c r="F115" t="str">
        <f t="shared" si="36"/>
        <v>CF6</v>
      </c>
      <c r="G115" t="str">
        <f t="shared" si="34"/>
        <v>Y</v>
      </c>
      <c r="H115" s="15" t="s">
        <v>160</v>
      </c>
      <c r="I115" s="23">
        <v>0.1</v>
      </c>
    </row>
    <row r="116" spans="1:9" x14ac:dyDescent="0.45">
      <c r="A116">
        <v>5</v>
      </c>
      <c r="B116" t="str">
        <f t="shared" si="31"/>
        <v>Hi.95.CF6.Y.Eco.0.1</v>
      </c>
      <c r="C116">
        <f t="shared" si="32"/>
        <v>108</v>
      </c>
      <c r="D116" t="str">
        <f t="shared" si="33"/>
        <v>Hi</v>
      </c>
      <c r="E116">
        <f t="shared" si="35"/>
        <v>95</v>
      </c>
      <c r="F116" t="str">
        <f t="shared" si="36"/>
        <v>CF6</v>
      </c>
      <c r="G116" t="str">
        <f t="shared" si="34"/>
        <v>Y</v>
      </c>
      <c r="H116" s="15" t="s">
        <v>160</v>
      </c>
      <c r="I116" s="23">
        <v>0.1</v>
      </c>
    </row>
    <row r="117" spans="1:9" x14ac:dyDescent="0.45">
      <c r="A117">
        <v>5</v>
      </c>
      <c r="B117" t="str">
        <f t="shared" si="31"/>
        <v>Lo.0.CF6.N.Eco.0.1</v>
      </c>
      <c r="C117">
        <f t="shared" si="32"/>
        <v>109</v>
      </c>
      <c r="D117" t="str">
        <f t="shared" si="33"/>
        <v>Lo</v>
      </c>
      <c r="E117">
        <f t="shared" si="35"/>
        <v>0</v>
      </c>
      <c r="F117" t="str">
        <f t="shared" si="36"/>
        <v>CF6</v>
      </c>
      <c r="G117" t="str">
        <f t="shared" si="34"/>
        <v>N</v>
      </c>
      <c r="H117" s="15" t="s">
        <v>160</v>
      </c>
      <c r="I117" s="23">
        <v>0.1</v>
      </c>
    </row>
    <row r="118" spans="1:9" x14ac:dyDescent="0.45">
      <c r="A118">
        <v>5</v>
      </c>
      <c r="B118" t="str">
        <f t="shared" si="31"/>
        <v>Hi.0.CF6.N.Eco.0.1</v>
      </c>
      <c r="C118">
        <f t="shared" si="32"/>
        <v>110</v>
      </c>
      <c r="D118" t="str">
        <f t="shared" si="33"/>
        <v>Hi</v>
      </c>
      <c r="E118">
        <f t="shared" si="35"/>
        <v>0</v>
      </c>
      <c r="F118" t="str">
        <f t="shared" si="36"/>
        <v>CF6</v>
      </c>
      <c r="G118" t="str">
        <f t="shared" si="34"/>
        <v>N</v>
      </c>
      <c r="H118" s="15" t="s">
        <v>160</v>
      </c>
      <c r="I118" s="23">
        <v>0.1</v>
      </c>
    </row>
    <row r="119" spans="1:9" x14ac:dyDescent="0.45">
      <c r="A119">
        <v>5</v>
      </c>
      <c r="B119" t="str">
        <f t="shared" si="31"/>
        <v>Lo.95.CF6.N.Eco.0.1</v>
      </c>
      <c r="C119">
        <f t="shared" si="32"/>
        <v>111</v>
      </c>
      <c r="D119" t="str">
        <f t="shared" si="33"/>
        <v>Lo</v>
      </c>
      <c r="E119">
        <f t="shared" si="35"/>
        <v>95</v>
      </c>
      <c r="F119" t="str">
        <f t="shared" si="36"/>
        <v>CF6</v>
      </c>
      <c r="G119" t="str">
        <f t="shared" si="34"/>
        <v>N</v>
      </c>
      <c r="H119" s="15" t="s">
        <v>160</v>
      </c>
      <c r="I119" s="23">
        <v>0.1</v>
      </c>
    </row>
    <row r="120" spans="1:9" x14ac:dyDescent="0.45">
      <c r="A120">
        <v>5</v>
      </c>
      <c r="B120" t="str">
        <f t="shared" si="31"/>
        <v>Hi.95.CF6.N.Eco.0.1</v>
      </c>
      <c r="C120">
        <f t="shared" si="32"/>
        <v>112</v>
      </c>
      <c r="D120" t="str">
        <f t="shared" si="33"/>
        <v>Hi</v>
      </c>
      <c r="E120">
        <f t="shared" si="35"/>
        <v>95</v>
      </c>
      <c r="F120" t="str">
        <f t="shared" si="36"/>
        <v>CF6</v>
      </c>
      <c r="G120" t="str">
        <f t="shared" si="34"/>
        <v>N</v>
      </c>
      <c r="H120" s="15" t="s">
        <v>160</v>
      </c>
      <c r="I120" s="23">
        <v>0.1</v>
      </c>
    </row>
    <row r="121" spans="1:9" x14ac:dyDescent="0.45">
      <c r="A121">
        <v>5</v>
      </c>
      <c r="B121" t="str">
        <f t="shared" si="31"/>
        <v>Lo.0.CF1.Y.Eco.0.1</v>
      </c>
      <c r="C121">
        <f t="shared" si="32"/>
        <v>113</v>
      </c>
      <c r="D121" t="str">
        <f t="shared" si="33"/>
        <v>Lo</v>
      </c>
      <c r="E121">
        <f t="shared" si="35"/>
        <v>0</v>
      </c>
      <c r="F121" t="str">
        <f t="shared" si="36"/>
        <v>CF1</v>
      </c>
      <c r="G121" t="str">
        <f t="shared" si="34"/>
        <v>Y</v>
      </c>
      <c r="H121" s="15" t="s">
        <v>160</v>
      </c>
      <c r="I121" s="23">
        <v>0.1</v>
      </c>
    </row>
    <row r="122" spans="1:9" x14ac:dyDescent="0.45">
      <c r="A122">
        <v>5</v>
      </c>
      <c r="B122" t="str">
        <f t="shared" si="31"/>
        <v>Hi.0.CF1.Y.Eco.0.1</v>
      </c>
      <c r="C122">
        <f t="shared" si="32"/>
        <v>114</v>
      </c>
      <c r="D122" t="str">
        <f t="shared" si="33"/>
        <v>Hi</v>
      </c>
      <c r="E122">
        <f t="shared" si="35"/>
        <v>0</v>
      </c>
      <c r="F122" t="str">
        <f t="shared" si="36"/>
        <v>CF1</v>
      </c>
      <c r="G122" t="str">
        <f t="shared" si="34"/>
        <v>Y</v>
      </c>
      <c r="H122" s="15" t="s">
        <v>160</v>
      </c>
      <c r="I122" s="23">
        <v>0.1</v>
      </c>
    </row>
    <row r="123" spans="1:9" x14ac:dyDescent="0.45">
      <c r="A123">
        <v>5</v>
      </c>
      <c r="B123" t="str">
        <f t="shared" si="31"/>
        <v>Lo.95.CF1.Y.Eco.0.1</v>
      </c>
      <c r="C123">
        <f t="shared" si="32"/>
        <v>115</v>
      </c>
      <c r="D123" t="str">
        <f t="shared" si="33"/>
        <v>Lo</v>
      </c>
      <c r="E123">
        <f t="shared" si="35"/>
        <v>95</v>
      </c>
      <c r="F123" t="str">
        <f t="shared" si="36"/>
        <v>CF1</v>
      </c>
      <c r="G123" t="str">
        <f t="shared" si="34"/>
        <v>Y</v>
      </c>
      <c r="H123" s="15" t="s">
        <v>160</v>
      </c>
      <c r="I123" s="23">
        <v>0.1</v>
      </c>
    </row>
    <row r="124" spans="1:9" x14ac:dyDescent="0.45">
      <c r="A124">
        <v>5</v>
      </c>
      <c r="B124" t="str">
        <f t="shared" si="31"/>
        <v>Hi.95.CF1.Y.Eco.0.1</v>
      </c>
      <c r="C124">
        <f t="shared" si="32"/>
        <v>116</v>
      </c>
      <c r="D124" t="str">
        <f t="shared" si="33"/>
        <v>Hi</v>
      </c>
      <c r="E124">
        <f t="shared" si="35"/>
        <v>95</v>
      </c>
      <c r="F124" t="str">
        <f t="shared" si="36"/>
        <v>CF1</v>
      </c>
      <c r="G124" t="str">
        <f t="shared" si="34"/>
        <v>Y</v>
      </c>
      <c r="H124" s="15" t="s">
        <v>160</v>
      </c>
      <c r="I124" s="23">
        <v>0.1</v>
      </c>
    </row>
    <row r="125" spans="1:9" x14ac:dyDescent="0.45">
      <c r="A125">
        <v>5</v>
      </c>
      <c r="B125" t="str">
        <f t="shared" si="31"/>
        <v>Lo.0.CF1.N.Eco.0.1</v>
      </c>
      <c r="C125">
        <f t="shared" si="32"/>
        <v>117</v>
      </c>
      <c r="D125" t="str">
        <f t="shared" si="33"/>
        <v>Lo</v>
      </c>
      <c r="E125">
        <f t="shared" si="35"/>
        <v>0</v>
      </c>
      <c r="F125" t="str">
        <f t="shared" si="36"/>
        <v>CF1</v>
      </c>
      <c r="G125" t="str">
        <f t="shared" si="34"/>
        <v>N</v>
      </c>
      <c r="H125" s="15" t="s">
        <v>160</v>
      </c>
      <c r="I125" s="23">
        <v>0.1</v>
      </c>
    </row>
    <row r="126" spans="1:9" x14ac:dyDescent="0.45">
      <c r="A126">
        <v>5</v>
      </c>
      <c r="B126" t="str">
        <f t="shared" si="31"/>
        <v>Hi.0.CF1.N.Eco.0.1</v>
      </c>
      <c r="C126">
        <f t="shared" si="32"/>
        <v>118</v>
      </c>
      <c r="D126" t="str">
        <f t="shared" si="33"/>
        <v>Hi</v>
      </c>
      <c r="E126">
        <f t="shared" si="35"/>
        <v>0</v>
      </c>
      <c r="F126" t="str">
        <f t="shared" si="36"/>
        <v>CF1</v>
      </c>
      <c r="G126" t="str">
        <f t="shared" si="34"/>
        <v>N</v>
      </c>
      <c r="H126" s="15" t="s">
        <v>160</v>
      </c>
      <c r="I126" s="23">
        <v>0.1</v>
      </c>
    </row>
    <row r="127" spans="1:9" x14ac:dyDescent="0.45">
      <c r="A127">
        <v>5</v>
      </c>
      <c r="B127" t="str">
        <f t="shared" si="31"/>
        <v>Lo.95.CF1.N.Eco.0.1</v>
      </c>
      <c r="C127">
        <f t="shared" si="32"/>
        <v>119</v>
      </c>
      <c r="D127" t="str">
        <f t="shared" si="33"/>
        <v>Lo</v>
      </c>
      <c r="E127">
        <f t="shared" si="35"/>
        <v>95</v>
      </c>
      <c r="F127" t="str">
        <f t="shared" si="36"/>
        <v>CF1</v>
      </c>
      <c r="G127" t="str">
        <f t="shared" si="34"/>
        <v>N</v>
      </c>
      <c r="H127" s="15" t="s">
        <v>160</v>
      </c>
      <c r="I127" s="23">
        <v>0.1</v>
      </c>
    </row>
    <row r="128" spans="1:9" x14ac:dyDescent="0.45">
      <c r="A128">
        <v>5</v>
      </c>
      <c r="B128" t="str">
        <f t="shared" si="31"/>
        <v>Hi.95.CF1.N.Eco.0.1</v>
      </c>
      <c r="C128">
        <f t="shared" si="32"/>
        <v>120</v>
      </c>
      <c r="D128" t="str">
        <f t="shared" si="33"/>
        <v>Hi</v>
      </c>
      <c r="E128">
        <f t="shared" si="35"/>
        <v>95</v>
      </c>
      <c r="F128" t="str">
        <f t="shared" si="36"/>
        <v>CF1</v>
      </c>
      <c r="G128" t="str">
        <f t="shared" si="34"/>
        <v>N</v>
      </c>
      <c r="H128" s="15" t="s">
        <v>160</v>
      </c>
      <c r="I128" s="23">
        <v>0.1</v>
      </c>
    </row>
    <row r="129" spans="1:9" x14ac:dyDescent="0.45">
      <c r="A129">
        <v>5</v>
      </c>
      <c r="B129" t="str">
        <f t="shared" si="31"/>
        <v>Lo.0.CF6.Y.Eco.0.1</v>
      </c>
      <c r="C129">
        <f t="shared" si="32"/>
        <v>121</v>
      </c>
      <c r="D129" t="str">
        <f t="shared" si="33"/>
        <v>Lo</v>
      </c>
      <c r="E129">
        <f t="shared" si="35"/>
        <v>0</v>
      </c>
      <c r="F129" t="str">
        <f t="shared" si="36"/>
        <v>CF6</v>
      </c>
      <c r="G129" t="str">
        <f t="shared" si="34"/>
        <v>Y</v>
      </c>
      <c r="H129" s="15" t="s">
        <v>160</v>
      </c>
      <c r="I129" s="23">
        <v>0.1</v>
      </c>
    </row>
    <row r="130" spans="1:9" x14ac:dyDescent="0.45">
      <c r="A130">
        <v>5</v>
      </c>
      <c r="B130" t="str">
        <f t="shared" si="31"/>
        <v>Hi.0.CF6.Y.Eco.0.1</v>
      </c>
      <c r="C130">
        <f t="shared" si="32"/>
        <v>122</v>
      </c>
      <c r="D130" t="str">
        <f t="shared" si="33"/>
        <v>Hi</v>
      </c>
      <c r="E130">
        <f t="shared" si="35"/>
        <v>0</v>
      </c>
      <c r="F130" t="str">
        <f t="shared" si="36"/>
        <v>CF6</v>
      </c>
      <c r="G130" t="str">
        <f t="shared" si="34"/>
        <v>Y</v>
      </c>
      <c r="H130" s="15" t="s">
        <v>160</v>
      </c>
      <c r="I130" s="23">
        <v>0.1</v>
      </c>
    </row>
    <row r="131" spans="1:9" x14ac:dyDescent="0.45">
      <c r="A131">
        <v>5</v>
      </c>
      <c r="B131" t="str">
        <f t="shared" si="31"/>
        <v>Lo.95.CF6.Y.Eco.0.1</v>
      </c>
      <c r="C131">
        <f t="shared" si="32"/>
        <v>123</v>
      </c>
      <c r="D131" t="str">
        <f t="shared" si="33"/>
        <v>Lo</v>
      </c>
      <c r="E131">
        <f t="shared" si="35"/>
        <v>95</v>
      </c>
      <c r="F131" t="str">
        <f t="shared" si="36"/>
        <v>CF6</v>
      </c>
      <c r="G131" t="str">
        <f t="shared" si="34"/>
        <v>Y</v>
      </c>
      <c r="H131" s="15" t="s">
        <v>160</v>
      </c>
      <c r="I131" s="23">
        <v>0.1</v>
      </c>
    </row>
    <row r="132" spans="1:9" x14ac:dyDescent="0.45">
      <c r="A132">
        <v>5</v>
      </c>
      <c r="B132" t="str">
        <f t="shared" si="31"/>
        <v>Hi.95.CF6.Y.Eco.0.1</v>
      </c>
      <c r="C132">
        <f t="shared" si="32"/>
        <v>124</v>
      </c>
      <c r="D132" t="str">
        <f t="shared" si="33"/>
        <v>Hi</v>
      </c>
      <c r="E132">
        <f t="shared" si="35"/>
        <v>95</v>
      </c>
      <c r="F132" t="str">
        <f t="shared" si="36"/>
        <v>CF6</v>
      </c>
      <c r="G132" t="str">
        <f t="shared" si="34"/>
        <v>Y</v>
      </c>
      <c r="H132" s="15" t="s">
        <v>160</v>
      </c>
      <c r="I132" s="23">
        <v>0.1</v>
      </c>
    </row>
    <row r="133" spans="1:9" x14ac:dyDescent="0.45">
      <c r="A133">
        <v>5</v>
      </c>
      <c r="B133" t="str">
        <f t="shared" si="31"/>
        <v>Lo.0.CF6.N.Eco.0.1</v>
      </c>
      <c r="C133">
        <f t="shared" si="32"/>
        <v>125</v>
      </c>
      <c r="D133" t="str">
        <f t="shared" si="33"/>
        <v>Lo</v>
      </c>
      <c r="E133">
        <f t="shared" si="35"/>
        <v>0</v>
      </c>
      <c r="F133" t="str">
        <f t="shared" si="36"/>
        <v>CF6</v>
      </c>
      <c r="G133" t="str">
        <f t="shared" si="34"/>
        <v>N</v>
      </c>
      <c r="H133" s="15" t="s">
        <v>160</v>
      </c>
      <c r="I133" s="23">
        <v>0.1</v>
      </c>
    </row>
    <row r="134" spans="1:9" x14ac:dyDescent="0.45">
      <c r="A134">
        <v>5</v>
      </c>
      <c r="B134" t="str">
        <f t="shared" si="31"/>
        <v>Hi.0.CF6.N.Eco.0.1</v>
      </c>
      <c r="C134">
        <f t="shared" si="32"/>
        <v>126</v>
      </c>
      <c r="D134" t="str">
        <f t="shared" si="33"/>
        <v>Hi</v>
      </c>
      <c r="E134">
        <f t="shared" si="35"/>
        <v>0</v>
      </c>
      <c r="F134" t="str">
        <f t="shared" si="36"/>
        <v>CF6</v>
      </c>
      <c r="G134" t="str">
        <f t="shared" si="34"/>
        <v>N</v>
      </c>
      <c r="H134" s="15" t="s">
        <v>160</v>
      </c>
      <c r="I134" s="23">
        <v>0.1</v>
      </c>
    </row>
    <row r="135" spans="1:9" x14ac:dyDescent="0.45">
      <c r="A135">
        <v>5</v>
      </c>
      <c r="B135" t="str">
        <f t="shared" si="31"/>
        <v>Lo.95.CF6.N.Eco.0.1</v>
      </c>
      <c r="C135">
        <f t="shared" si="32"/>
        <v>127</v>
      </c>
      <c r="D135" t="str">
        <f t="shared" si="33"/>
        <v>Lo</v>
      </c>
      <c r="E135">
        <f t="shared" si="35"/>
        <v>95</v>
      </c>
      <c r="F135" t="str">
        <f t="shared" si="36"/>
        <v>CF6</v>
      </c>
      <c r="G135" t="str">
        <f t="shared" si="34"/>
        <v>N</v>
      </c>
      <c r="H135" s="15" t="s">
        <v>160</v>
      </c>
      <c r="I135" s="23">
        <v>0.1</v>
      </c>
    </row>
    <row r="136" spans="1:9" x14ac:dyDescent="0.45">
      <c r="A136">
        <v>5</v>
      </c>
      <c r="B136" t="str">
        <f t="shared" si="31"/>
        <v>Hi.95.CF6.N.Eco.0.1</v>
      </c>
      <c r="C136">
        <f t="shared" si="32"/>
        <v>128</v>
      </c>
      <c r="D136" t="str">
        <f t="shared" si="33"/>
        <v>Hi</v>
      </c>
      <c r="E136">
        <f t="shared" si="35"/>
        <v>95</v>
      </c>
      <c r="F136" t="str">
        <f t="shared" si="36"/>
        <v>CF6</v>
      </c>
      <c r="G136" t="str">
        <f t="shared" si="34"/>
        <v>N</v>
      </c>
      <c r="H136" s="15" t="s">
        <v>160</v>
      </c>
      <c r="I136" s="23">
        <v>0.1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4745-3322-4C1F-9C31-A0A8C865A4ED}">
  <dimension ref="A1:I18"/>
  <sheetViews>
    <sheetView workbookViewId="0"/>
  </sheetViews>
  <sheetFormatPr defaultRowHeight="14.25" x14ac:dyDescent="0.45"/>
  <cols>
    <col min="2" max="2" width="26.796875" customWidth="1"/>
    <col min="3" max="3" width="11" bestFit="1" customWidth="1"/>
    <col min="4" max="4" width="4.06640625" bestFit="1" customWidth="1"/>
    <col min="5" max="5" width="10.73046875" bestFit="1" customWidth="1"/>
    <col min="6" max="6" width="9.33203125" bestFit="1" customWidth="1"/>
    <col min="7" max="7" width="9.9296875" bestFit="1" customWidth="1"/>
    <col min="8" max="8" width="8" bestFit="1" customWidth="1"/>
  </cols>
  <sheetData>
    <row r="1" spans="1:8" x14ac:dyDescent="0.45">
      <c r="A1" t="str">
        <f>Veda!F5</f>
        <v>CF1</v>
      </c>
    </row>
    <row r="2" spans="1:8" ht="23.25" x14ac:dyDescent="0.45">
      <c r="B2" s="18" t="s">
        <v>100</v>
      </c>
    </row>
    <row r="4" spans="1:8" x14ac:dyDescent="0.45">
      <c r="B4" t="s">
        <v>101</v>
      </c>
    </row>
    <row r="6" spans="1:8" x14ac:dyDescent="0.45">
      <c r="B6" s="19" t="s">
        <v>102</v>
      </c>
      <c r="C6" s="19" t="s">
        <v>103</v>
      </c>
      <c r="D6" s="19" t="s">
        <v>104</v>
      </c>
      <c r="E6" s="19" t="s">
        <v>105</v>
      </c>
      <c r="F6" s="19" t="s">
        <v>106</v>
      </c>
      <c r="G6" s="19" t="s">
        <v>104</v>
      </c>
      <c r="H6" s="19" t="s">
        <v>122</v>
      </c>
    </row>
    <row r="7" spans="1:8" x14ac:dyDescent="0.45">
      <c r="A7" t="str">
        <f>LEFT(B7,3)</f>
        <v>CF1</v>
      </c>
      <c r="B7" s="17" t="s">
        <v>107</v>
      </c>
      <c r="C7" s="17" t="s">
        <v>108</v>
      </c>
      <c r="D7" s="17">
        <v>0.7</v>
      </c>
      <c r="E7" s="17" t="s">
        <v>109</v>
      </c>
      <c r="F7" s="17">
        <v>0</v>
      </c>
      <c r="G7" s="11">
        <f>D7/0.7</f>
        <v>1</v>
      </c>
      <c r="H7">
        <v>0.5</v>
      </c>
    </row>
    <row r="8" spans="1:8" x14ac:dyDescent="0.45">
      <c r="A8" t="str">
        <f t="shared" ref="A8:A12" si="0">LEFT(B8,3)</f>
        <v>CF2</v>
      </c>
      <c r="B8" s="17" t="s">
        <v>110</v>
      </c>
      <c r="C8" s="17" t="s">
        <v>111</v>
      </c>
      <c r="D8" s="17">
        <v>0.5</v>
      </c>
      <c r="E8" s="17" t="s">
        <v>112</v>
      </c>
      <c r="F8" s="17">
        <v>0</v>
      </c>
      <c r="G8" s="11">
        <f t="shared" ref="G8:G12" si="1">D8/0.7</f>
        <v>0.7142857142857143</v>
      </c>
      <c r="H8">
        <v>1</v>
      </c>
    </row>
    <row r="9" spans="1:8" x14ac:dyDescent="0.45">
      <c r="A9" t="str">
        <f t="shared" si="0"/>
        <v>CF3</v>
      </c>
      <c r="B9" s="17" t="s">
        <v>113</v>
      </c>
      <c r="C9" s="17" t="s">
        <v>114</v>
      </c>
      <c r="D9" s="17">
        <v>0.7</v>
      </c>
      <c r="E9" s="17" t="s">
        <v>112</v>
      </c>
      <c r="F9" s="17">
        <v>1</v>
      </c>
      <c r="G9" s="11">
        <f t="shared" si="1"/>
        <v>1</v>
      </c>
      <c r="H9">
        <v>1</v>
      </c>
    </row>
    <row r="10" spans="1:8" x14ac:dyDescent="0.45">
      <c r="A10" t="str">
        <f t="shared" si="0"/>
        <v>CF4</v>
      </c>
      <c r="B10" s="17" t="s">
        <v>115</v>
      </c>
      <c r="C10" s="17" t="s">
        <v>116</v>
      </c>
      <c r="D10" s="17">
        <v>0.5</v>
      </c>
      <c r="E10" s="17" t="s">
        <v>112</v>
      </c>
      <c r="F10" s="17">
        <v>1</v>
      </c>
      <c r="G10" s="11">
        <f t="shared" si="1"/>
        <v>0.7142857142857143</v>
      </c>
      <c r="H10">
        <v>1</v>
      </c>
    </row>
    <row r="11" spans="1:8" x14ac:dyDescent="0.45">
      <c r="A11" t="str">
        <f t="shared" si="0"/>
        <v>CF5</v>
      </c>
      <c r="B11" s="17" t="s">
        <v>117</v>
      </c>
      <c r="C11" s="17" t="s">
        <v>118</v>
      </c>
      <c r="D11" s="17">
        <v>0.7</v>
      </c>
      <c r="E11" s="17" t="s">
        <v>112</v>
      </c>
      <c r="F11" s="17">
        <v>6</v>
      </c>
      <c r="G11" s="11">
        <f t="shared" si="1"/>
        <v>1</v>
      </c>
      <c r="H11">
        <v>1</v>
      </c>
    </row>
    <row r="12" spans="1:8" x14ac:dyDescent="0.45">
      <c r="A12" t="str">
        <f t="shared" si="0"/>
        <v>CF6</v>
      </c>
      <c r="B12" s="17" t="s">
        <v>119</v>
      </c>
      <c r="C12" s="17" t="s">
        <v>120</v>
      </c>
      <c r="D12" s="17">
        <v>0.4</v>
      </c>
      <c r="E12" s="17" t="s">
        <v>121</v>
      </c>
      <c r="F12" s="17">
        <v>12</v>
      </c>
      <c r="G12" s="11">
        <f t="shared" si="1"/>
        <v>0.57142857142857151</v>
      </c>
      <c r="H12">
        <v>1.5</v>
      </c>
    </row>
    <row r="14" spans="1:8" x14ac:dyDescent="0.45">
      <c r="G14" s="11">
        <f>SUMIF($A$7:$A$12,$A$1,G7:G12)</f>
        <v>1</v>
      </c>
      <c r="H14" s="11">
        <f>SUMIF($A$7:$A$12,$A$1,H7:H12)</f>
        <v>0.5</v>
      </c>
    </row>
    <row r="16" spans="1:8" x14ac:dyDescent="0.45">
      <c r="G16" t="s">
        <v>127</v>
      </c>
    </row>
    <row r="17" spans="7:9" ht="14.65" thickBot="1" x14ac:dyDescent="0.5">
      <c r="G17" s="13" t="s">
        <v>125</v>
      </c>
      <c r="H17" s="13" t="s">
        <v>126</v>
      </c>
      <c r="I17" s="13" t="s">
        <v>124</v>
      </c>
    </row>
    <row r="18" spans="7:9" x14ac:dyDescent="0.45">
      <c r="G18" t="str">
        <f>"*"&amp;G14</f>
        <v>*1</v>
      </c>
      <c r="H18" t="str">
        <f>"*"&amp;H14</f>
        <v>*0.5</v>
      </c>
      <c r="I18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activeCell="B11" sqref="B1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96</v>
      </c>
      <c r="B11">
        <f>7*3.6</f>
        <v>25.2</v>
      </c>
      <c r="C11">
        <f>B11</f>
        <v>25.2</v>
      </c>
      <c r="D11">
        <f>1.2*3.6</f>
        <v>4.32</v>
      </c>
      <c r="E11">
        <f>1.4*3.6</f>
        <v>5.04</v>
      </c>
      <c r="F11">
        <f>22*3.6</f>
        <v>79.2</v>
      </c>
      <c r="G11">
        <f>F11</f>
        <v>79.2</v>
      </c>
      <c r="H11">
        <v>18</v>
      </c>
      <c r="I11">
        <v>26</v>
      </c>
      <c r="J11" t="s">
        <v>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/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96</v>
      </c>
      <c r="B11">
        <v>2000</v>
      </c>
      <c r="C11">
        <v>142.38999999999999</v>
      </c>
      <c r="D11">
        <v>49.83</v>
      </c>
      <c r="E11">
        <v>3.43</v>
      </c>
      <c r="F11">
        <v>0.03</v>
      </c>
      <c r="G11">
        <v>15.72</v>
      </c>
      <c r="H11">
        <v>-3.39</v>
      </c>
      <c r="I11">
        <v>207.84</v>
      </c>
    </row>
    <row r="12" spans="1:9" x14ac:dyDescent="0.45">
      <c r="A12" t="s">
        <v>96</v>
      </c>
      <c r="B12">
        <v>2001</v>
      </c>
      <c r="C12">
        <v>146.94</v>
      </c>
      <c r="D12">
        <v>57.1</v>
      </c>
      <c r="E12">
        <v>3.48</v>
      </c>
      <c r="F12">
        <v>0.02</v>
      </c>
      <c r="G12">
        <v>9.1999999999999993</v>
      </c>
      <c r="H12">
        <v>-7</v>
      </c>
      <c r="I12">
        <v>208.17</v>
      </c>
    </row>
    <row r="13" spans="1:9" x14ac:dyDescent="0.45">
      <c r="A13" t="s">
        <v>96</v>
      </c>
      <c r="B13">
        <v>2002</v>
      </c>
      <c r="C13">
        <v>154.36000000000001</v>
      </c>
      <c r="D13">
        <v>53.29</v>
      </c>
      <c r="E13">
        <v>3.3</v>
      </c>
      <c r="F13">
        <v>0.02</v>
      </c>
      <c r="G13">
        <v>9.5</v>
      </c>
      <c r="H13">
        <v>-7.24</v>
      </c>
      <c r="I13">
        <v>218.56</v>
      </c>
    </row>
    <row r="14" spans="1:9" x14ac:dyDescent="0.45">
      <c r="A14" t="s">
        <v>96</v>
      </c>
      <c r="B14">
        <v>2003</v>
      </c>
      <c r="C14">
        <v>149.13999999999999</v>
      </c>
      <c r="D14">
        <v>60.29</v>
      </c>
      <c r="E14">
        <v>3.27</v>
      </c>
      <c r="F14">
        <v>0.02</v>
      </c>
      <c r="G14">
        <v>8.19</v>
      </c>
      <c r="H14">
        <v>-10.26</v>
      </c>
      <c r="I14">
        <v>231.25</v>
      </c>
    </row>
    <row r="15" spans="1:9" x14ac:dyDescent="0.45">
      <c r="A15" t="s">
        <v>96</v>
      </c>
      <c r="B15">
        <v>2004</v>
      </c>
      <c r="C15">
        <v>161.47999999999999</v>
      </c>
      <c r="D15">
        <v>67.38</v>
      </c>
      <c r="E15">
        <v>3.29</v>
      </c>
      <c r="F15">
        <v>0.02</v>
      </c>
      <c r="G15">
        <v>9.82</v>
      </c>
      <c r="H15">
        <v>-13.25</v>
      </c>
      <c r="I15">
        <v>240.93</v>
      </c>
    </row>
    <row r="16" spans="1:9" x14ac:dyDescent="0.45">
      <c r="A16" t="s">
        <v>96</v>
      </c>
      <c r="B16">
        <v>2005</v>
      </c>
      <c r="C16">
        <v>155.32</v>
      </c>
      <c r="D16">
        <v>69.59</v>
      </c>
      <c r="E16">
        <v>3.28</v>
      </c>
      <c r="F16">
        <v>0.02</v>
      </c>
      <c r="G16">
        <v>11.08</v>
      </c>
      <c r="H16">
        <v>-13.42</v>
      </c>
      <c r="I16">
        <v>242.06</v>
      </c>
    </row>
    <row r="17" spans="1:9" x14ac:dyDescent="0.45">
      <c r="A17" t="s">
        <v>96</v>
      </c>
      <c r="B17">
        <v>2006</v>
      </c>
      <c r="C17">
        <v>161.09</v>
      </c>
      <c r="D17">
        <v>74.34</v>
      </c>
      <c r="E17">
        <v>3.28</v>
      </c>
      <c r="F17">
        <v>0.02</v>
      </c>
      <c r="G17">
        <v>10.62</v>
      </c>
      <c r="H17">
        <v>-13.59</v>
      </c>
      <c r="I17">
        <v>250.85</v>
      </c>
    </row>
    <row r="18" spans="1:9" x14ac:dyDescent="0.45">
      <c r="A18" t="s">
        <v>96</v>
      </c>
      <c r="B18">
        <v>2007</v>
      </c>
      <c r="C18">
        <v>165.17</v>
      </c>
      <c r="D18">
        <v>77.16</v>
      </c>
      <c r="E18">
        <v>3.15</v>
      </c>
      <c r="F18">
        <v>0.02</v>
      </c>
      <c r="G18">
        <v>11.35</v>
      </c>
      <c r="H18">
        <v>-14.5</v>
      </c>
      <c r="I18">
        <v>260.5</v>
      </c>
    </row>
    <row r="19" spans="1:9" x14ac:dyDescent="0.45">
      <c r="A19" t="s">
        <v>96</v>
      </c>
      <c r="B19">
        <v>2008</v>
      </c>
      <c r="C19">
        <v>166.07</v>
      </c>
      <c r="D19">
        <v>75.489999999999995</v>
      </c>
      <c r="E19">
        <v>3.09</v>
      </c>
      <c r="F19">
        <v>0.02</v>
      </c>
      <c r="G19">
        <v>10.57</v>
      </c>
      <c r="H19">
        <v>-14.17</v>
      </c>
      <c r="I19">
        <v>255.52</v>
      </c>
    </row>
    <row r="20" spans="1:9" x14ac:dyDescent="0.45">
      <c r="A20" t="s">
        <v>96</v>
      </c>
      <c r="B20">
        <v>2009</v>
      </c>
      <c r="C20">
        <v>165.68</v>
      </c>
      <c r="D20">
        <v>73.45</v>
      </c>
      <c r="E20">
        <v>2.9</v>
      </c>
      <c r="F20">
        <v>0.02</v>
      </c>
      <c r="G20">
        <v>12.3</v>
      </c>
      <c r="H20">
        <v>-14.05</v>
      </c>
      <c r="I20">
        <v>246.82</v>
      </c>
    </row>
    <row r="21" spans="1:9" x14ac:dyDescent="0.45">
      <c r="A21" t="s">
        <v>96</v>
      </c>
      <c r="B21">
        <v>2010</v>
      </c>
      <c r="C21">
        <v>171.41</v>
      </c>
      <c r="D21">
        <v>76.430000000000007</v>
      </c>
      <c r="E21">
        <v>2.94</v>
      </c>
      <c r="F21">
        <v>0.02</v>
      </c>
      <c r="G21">
        <v>12.19</v>
      </c>
      <c r="H21">
        <v>-14.67</v>
      </c>
      <c r="I21">
        <v>256.64999999999998</v>
      </c>
    </row>
    <row r="22" spans="1:9" x14ac:dyDescent="0.45">
      <c r="A22" t="s">
        <v>96</v>
      </c>
      <c r="B22">
        <v>2011</v>
      </c>
      <c r="C22">
        <v>171.22</v>
      </c>
      <c r="D22">
        <v>76.88</v>
      </c>
      <c r="E22">
        <v>3.12</v>
      </c>
      <c r="F22">
        <v>0.03</v>
      </c>
      <c r="G22">
        <v>11.89</v>
      </c>
      <c r="H22">
        <v>-14.96</v>
      </c>
      <c r="I22">
        <v>259.58</v>
      </c>
    </row>
    <row r="23" spans="1:9" x14ac:dyDescent="0.45">
      <c r="A23" t="s">
        <v>96</v>
      </c>
      <c r="B23">
        <v>2012</v>
      </c>
      <c r="C23">
        <v>166.95</v>
      </c>
      <c r="D23">
        <v>73.7</v>
      </c>
      <c r="E23">
        <v>3.21</v>
      </c>
      <c r="F23">
        <v>0.03</v>
      </c>
      <c r="G23">
        <v>10.01</v>
      </c>
      <c r="H23">
        <v>-15.04</v>
      </c>
      <c r="I23">
        <v>254.91</v>
      </c>
    </row>
    <row r="24" spans="1:9" x14ac:dyDescent="0.45">
      <c r="A24" t="s">
        <v>96</v>
      </c>
      <c r="B24">
        <v>2013</v>
      </c>
      <c r="C24">
        <v>166.45</v>
      </c>
      <c r="D24">
        <v>73.319999999999993</v>
      </c>
      <c r="E24">
        <v>3.12</v>
      </c>
      <c r="F24">
        <v>0.03</v>
      </c>
      <c r="G24">
        <v>9.43</v>
      </c>
      <c r="H24">
        <v>-13.93</v>
      </c>
      <c r="I24">
        <v>253.19</v>
      </c>
    </row>
    <row r="25" spans="1:9" x14ac:dyDescent="0.45">
      <c r="A25" t="s">
        <v>96</v>
      </c>
      <c r="B25">
        <v>2014</v>
      </c>
      <c r="C25">
        <v>164.85</v>
      </c>
      <c r="D25">
        <v>72.84</v>
      </c>
      <c r="E25">
        <v>3.1</v>
      </c>
      <c r="F25">
        <v>0.03</v>
      </c>
      <c r="G25">
        <v>11.18</v>
      </c>
      <c r="H25">
        <v>-13.84</v>
      </c>
      <c r="I25">
        <v>249.47</v>
      </c>
    </row>
    <row r="26" spans="1:9" x14ac:dyDescent="0.45">
      <c r="A26" t="s">
        <v>96</v>
      </c>
      <c r="B26">
        <v>2015</v>
      </c>
      <c r="C26">
        <v>156.46</v>
      </c>
      <c r="D26">
        <v>76.28</v>
      </c>
      <c r="E26">
        <v>2.85</v>
      </c>
      <c r="F26">
        <v>0.03</v>
      </c>
      <c r="G26">
        <v>13.06</v>
      </c>
      <c r="H26">
        <v>-14.61</v>
      </c>
      <c r="I26">
        <v>246.74</v>
      </c>
    </row>
    <row r="27" spans="1:9" x14ac:dyDescent="0.45">
      <c r="A27" t="s">
        <v>96</v>
      </c>
      <c r="B27">
        <v>2016</v>
      </c>
      <c r="C27">
        <v>155.34</v>
      </c>
      <c r="D27">
        <v>91.49</v>
      </c>
      <c r="E27">
        <v>2.85</v>
      </c>
      <c r="F27">
        <v>0.05</v>
      </c>
      <c r="G27">
        <v>10.56</v>
      </c>
      <c r="H27">
        <v>-16.55</v>
      </c>
      <c r="I27">
        <v>249.45</v>
      </c>
    </row>
    <row r="28" spans="1:9" x14ac:dyDescent="0.45">
      <c r="A28" t="s">
        <v>96</v>
      </c>
      <c r="B28">
        <v>2017</v>
      </c>
      <c r="C28">
        <v>153.65</v>
      </c>
      <c r="D28">
        <v>91.84</v>
      </c>
      <c r="E28">
        <v>3.15</v>
      </c>
      <c r="F28">
        <v>0.05</v>
      </c>
      <c r="G28">
        <v>8.57</v>
      </c>
      <c r="H28">
        <v>-15.2</v>
      </c>
      <c r="I28">
        <v>250.66</v>
      </c>
    </row>
    <row r="29" spans="1:9" x14ac:dyDescent="0.45">
      <c r="A29" t="s">
        <v>96</v>
      </c>
      <c r="B29">
        <v>2018</v>
      </c>
      <c r="C29">
        <v>155.27000000000001</v>
      </c>
      <c r="D29">
        <v>93.03</v>
      </c>
      <c r="E29">
        <v>2.83</v>
      </c>
      <c r="F29">
        <v>0.05</v>
      </c>
      <c r="G29">
        <v>9.69</v>
      </c>
      <c r="H29">
        <v>-14.39</v>
      </c>
      <c r="I29">
        <v>251.81</v>
      </c>
    </row>
    <row r="30" spans="1:9" x14ac:dyDescent="0.45">
      <c r="A30" t="s">
        <v>96</v>
      </c>
      <c r="B30">
        <v>2019</v>
      </c>
      <c r="C30">
        <v>151.53</v>
      </c>
      <c r="D30">
        <v>91.54</v>
      </c>
      <c r="E30">
        <v>2.6</v>
      </c>
      <c r="F30">
        <v>0.05</v>
      </c>
      <c r="G30">
        <v>9.8000000000000007</v>
      </c>
      <c r="H30">
        <v>-14.98</v>
      </c>
      <c r="I30">
        <v>247.58</v>
      </c>
    </row>
    <row r="31" spans="1:9" x14ac:dyDescent="0.45">
      <c r="A31" t="s">
        <v>96</v>
      </c>
      <c r="B31">
        <v>2020</v>
      </c>
      <c r="C31">
        <v>148.1</v>
      </c>
      <c r="D31">
        <v>87.15</v>
      </c>
      <c r="E31">
        <v>1.93</v>
      </c>
      <c r="F31">
        <v>0.05</v>
      </c>
      <c r="G31">
        <v>9.83</v>
      </c>
      <c r="H31">
        <v>-13.65</v>
      </c>
      <c r="I31">
        <v>234.73</v>
      </c>
    </row>
    <row r="32" spans="1:9" x14ac:dyDescent="0.45">
      <c r="A32" t="s">
        <v>96</v>
      </c>
      <c r="B32">
        <v>2021</v>
      </c>
      <c r="C32">
        <v>146.36000000000001</v>
      </c>
      <c r="D32">
        <v>88.85</v>
      </c>
      <c r="E32">
        <v>2.13</v>
      </c>
      <c r="F32">
        <v>0.06</v>
      </c>
      <c r="G32">
        <v>10.14</v>
      </c>
      <c r="H32">
        <v>-13.7</v>
      </c>
      <c r="I32">
        <v>239.64</v>
      </c>
    </row>
    <row r="33" spans="1:9" x14ac:dyDescent="0.45">
      <c r="A33" t="s">
        <v>96</v>
      </c>
      <c r="B33">
        <v>2022</v>
      </c>
      <c r="C33">
        <v>140.80000000000001</v>
      </c>
      <c r="D33">
        <v>85.66</v>
      </c>
      <c r="E33">
        <v>1.67</v>
      </c>
      <c r="F33">
        <v>0.05</v>
      </c>
      <c r="G33">
        <v>10.76</v>
      </c>
      <c r="H33">
        <v>-12.27</v>
      </c>
      <c r="I33">
        <v>230.77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/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97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97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97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97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97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97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97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97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97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97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97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97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97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97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97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97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97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97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97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97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97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97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97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97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97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97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97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97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97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97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97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97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97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97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97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97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97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97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97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97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97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97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97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97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97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97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97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97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97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97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97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97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97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97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97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97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97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97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97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97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97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97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97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97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97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97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97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97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97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97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97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97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97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97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97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97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97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97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97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97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97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97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97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97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97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97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97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97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97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97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97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97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97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97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97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97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97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97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97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97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97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97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97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97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97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97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97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97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97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97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97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97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97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97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97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97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97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97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97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97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97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97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97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97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97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97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97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97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97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97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97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97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97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97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97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97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97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97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97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97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97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97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97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97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97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97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97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97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97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97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97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97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97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97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97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97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97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97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97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97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97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97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97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97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97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97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97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97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97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97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97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97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97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97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97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97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97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97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97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97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97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97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97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97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97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97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97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97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97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97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97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97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97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97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97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97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97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97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97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97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97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97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97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97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97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97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97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97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97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97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97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97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97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97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97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97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97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97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97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97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97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97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97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97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97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97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97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97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97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97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97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97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97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97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97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97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97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97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97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97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97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97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97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97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97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97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97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97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97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97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97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97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97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97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97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97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97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97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97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97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97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97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97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97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97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97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97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97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97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97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97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97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97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97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97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97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97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97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97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97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97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97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97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97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97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97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97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97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97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97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97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97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97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97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97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97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97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97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97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97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97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97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97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97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97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97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97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97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97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97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97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97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97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97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97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97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97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97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97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97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97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97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97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97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97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97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97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97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97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97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97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97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97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97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97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97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97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97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97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97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97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97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97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97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97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97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97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97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97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97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Veda</vt:lpstr>
      <vt:lpstr>CF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2026-05-30T13:07:09Z</dcterms:modified>
</cp:coreProperties>
</file>