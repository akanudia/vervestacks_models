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BF02B6A7-B1A0-4E95-8655-170A94326AB1}" xr6:coauthVersionLast="47" xr6:coauthVersionMax="47" xr10:uidLastSave="{00000000-0000-0000-0000-000000000000}"/>
  <bookViews>
    <workbookView xWindow="-98" yWindow="-98" windowWidth="28996" windowHeight="17475" firstSheet="4" activeTab="10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C70" i="70" s="1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6" i="70"/>
  <c r="C133" i="70"/>
  <c r="Z7" i="70"/>
  <c r="AA7" i="70"/>
  <c r="AB7" i="70"/>
  <c r="AC7" i="70"/>
  <c r="AD7" i="70"/>
  <c r="AE7" i="70"/>
  <c r="Z8" i="70"/>
  <c r="AA8" i="70"/>
  <c r="AB8" i="70"/>
  <c r="AC8" i="70"/>
  <c r="AD8" i="70"/>
  <c r="AE8" i="70"/>
  <c r="Z9" i="70"/>
  <c r="AA9" i="70"/>
  <c r="AB9" i="70"/>
  <c r="AC9" i="70"/>
  <c r="AD9" i="70"/>
  <c r="AE9" i="70"/>
  <c r="Z10" i="70"/>
  <c r="AA10" i="70"/>
  <c r="AB10" i="70"/>
  <c r="AC10" i="70"/>
  <c r="AD10" i="70"/>
  <c r="AE10" i="70"/>
  <c r="Z11" i="70"/>
  <c r="AA11" i="70"/>
  <c r="AB11" i="70"/>
  <c r="AC11" i="70"/>
  <c r="AD11" i="70"/>
  <c r="AE11" i="70"/>
  <c r="Z12" i="70"/>
  <c r="AA12" i="70"/>
  <c r="AB12" i="70"/>
  <c r="AC12" i="70"/>
  <c r="AD12" i="70"/>
  <c r="AE12" i="70"/>
  <c r="Z13" i="70"/>
  <c r="AA13" i="70"/>
  <c r="AB13" i="70"/>
  <c r="AC13" i="70"/>
  <c r="AD13" i="70"/>
  <c r="AE13" i="70"/>
  <c r="Z14" i="70"/>
  <c r="AA14" i="70"/>
  <c r="AB14" i="70"/>
  <c r="AC14" i="70"/>
  <c r="AD14" i="70"/>
  <c r="AE14" i="70"/>
  <c r="Z15" i="70"/>
  <c r="AA15" i="70"/>
  <c r="AB15" i="70"/>
  <c r="AC15" i="70"/>
  <c r="AD15" i="70"/>
  <c r="AE15" i="70"/>
  <c r="Z16" i="70"/>
  <c r="AA16" i="70"/>
  <c r="AB16" i="70"/>
  <c r="AC16" i="70"/>
  <c r="AD16" i="70"/>
  <c r="AE16" i="70"/>
  <c r="Z17" i="70"/>
  <c r="AA17" i="70"/>
  <c r="AB17" i="70"/>
  <c r="AC17" i="70"/>
  <c r="AD17" i="70"/>
  <c r="AE17" i="70"/>
  <c r="Z18" i="70"/>
  <c r="AA18" i="70"/>
  <c r="AB18" i="70"/>
  <c r="AC18" i="70"/>
  <c r="AD18" i="70"/>
  <c r="AE18" i="70"/>
  <c r="Z19" i="70"/>
  <c r="AA19" i="70"/>
  <c r="AB19" i="70"/>
  <c r="AC19" i="70"/>
  <c r="AD19" i="70"/>
  <c r="AE19" i="70"/>
  <c r="Z20" i="70"/>
  <c r="AA20" i="70"/>
  <c r="AB20" i="70"/>
  <c r="AC20" i="70"/>
  <c r="AD20" i="70"/>
  <c r="AE20" i="70"/>
  <c r="Z21" i="70"/>
  <c r="AA21" i="70"/>
  <c r="AB21" i="70"/>
  <c r="AC21" i="70"/>
  <c r="AD21" i="70"/>
  <c r="AE21" i="70"/>
  <c r="Z22" i="70"/>
  <c r="AA22" i="70"/>
  <c r="AB22" i="70"/>
  <c r="AC22" i="70"/>
  <c r="AD22" i="70"/>
  <c r="AE22" i="70"/>
  <c r="Z23" i="70"/>
  <c r="AA23" i="70"/>
  <c r="AB23" i="70"/>
  <c r="AC23" i="70"/>
  <c r="AD23" i="70"/>
  <c r="AE23" i="70"/>
  <c r="Z24" i="70"/>
  <c r="AA24" i="70"/>
  <c r="AB24" i="70"/>
  <c r="AC24" i="70"/>
  <c r="AD24" i="70"/>
  <c r="AE24" i="70"/>
  <c r="Z25" i="70"/>
  <c r="AA25" i="70"/>
  <c r="AB25" i="70"/>
  <c r="AC25" i="70"/>
  <c r="AD25" i="70"/>
  <c r="AE25" i="70"/>
  <c r="Z26" i="70"/>
  <c r="AA26" i="70"/>
  <c r="AB26" i="70"/>
  <c r="AC26" i="70"/>
  <c r="AD26" i="70"/>
  <c r="AE26" i="70"/>
  <c r="Z27" i="70"/>
  <c r="AA27" i="70"/>
  <c r="AB27" i="70"/>
  <c r="AC27" i="70"/>
  <c r="AD27" i="70"/>
  <c r="AE27" i="70"/>
  <c r="Z28" i="70"/>
  <c r="AA28" i="70"/>
  <c r="AB28" i="70"/>
  <c r="AC28" i="70"/>
  <c r="AD28" i="70"/>
  <c r="AE28" i="70"/>
  <c r="Z29" i="70"/>
  <c r="AA29" i="70"/>
  <c r="AB29" i="70"/>
  <c r="AC29" i="70"/>
  <c r="AD29" i="70"/>
  <c r="AE29" i="70"/>
  <c r="Z30" i="70"/>
  <c r="AA30" i="70"/>
  <c r="AB30" i="70"/>
  <c r="AC30" i="70"/>
  <c r="AD30" i="70"/>
  <c r="AE30" i="70"/>
  <c r="Z31" i="70"/>
  <c r="AA31" i="70"/>
  <c r="AB31" i="70"/>
  <c r="AC31" i="70"/>
  <c r="AD31" i="70"/>
  <c r="AE31" i="70"/>
  <c r="Z32" i="70"/>
  <c r="AA32" i="70"/>
  <c r="AB32" i="70"/>
  <c r="AC32" i="70"/>
  <c r="AD32" i="70"/>
  <c r="AE32" i="70"/>
  <c r="Z33" i="70"/>
  <c r="AA33" i="70"/>
  <c r="AB33" i="70"/>
  <c r="AC33" i="70"/>
  <c r="AD33" i="70"/>
  <c r="AE33" i="70"/>
  <c r="Z34" i="70"/>
  <c r="AA34" i="70"/>
  <c r="AB34" i="70"/>
  <c r="AC34" i="70"/>
  <c r="AD34" i="70"/>
  <c r="AE34" i="70"/>
  <c r="Z35" i="70"/>
  <c r="AA35" i="70"/>
  <c r="AB35" i="70"/>
  <c r="AC35" i="70"/>
  <c r="AD35" i="70"/>
  <c r="AE35" i="70"/>
  <c r="Z36" i="70"/>
  <c r="AA36" i="70"/>
  <c r="AB36" i="70"/>
  <c r="AC36" i="70"/>
  <c r="AD36" i="70"/>
  <c r="AE36" i="70"/>
  <c r="Z37" i="70"/>
  <c r="AA37" i="70"/>
  <c r="AB37" i="70"/>
  <c r="AC37" i="70"/>
  <c r="AD37" i="70"/>
  <c r="AE37" i="70"/>
  <c r="Z38" i="70"/>
  <c r="AA38" i="70"/>
  <c r="AB38" i="70"/>
  <c r="AC38" i="70"/>
  <c r="AD38" i="70"/>
  <c r="AE38" i="70"/>
  <c r="Z39" i="70"/>
  <c r="AA39" i="70"/>
  <c r="AB39" i="70"/>
  <c r="AC39" i="70"/>
  <c r="AD39" i="70"/>
  <c r="AE39" i="70"/>
  <c r="Z40" i="70"/>
  <c r="AA40" i="70"/>
  <c r="AB40" i="70"/>
  <c r="AC40" i="70"/>
  <c r="AD40" i="70"/>
  <c r="AE40" i="70"/>
  <c r="Z41" i="70"/>
  <c r="AA41" i="70"/>
  <c r="AB41" i="70"/>
  <c r="AC41" i="70"/>
  <c r="AD41" i="70"/>
  <c r="AE41" i="70"/>
  <c r="Z42" i="70"/>
  <c r="AA42" i="70"/>
  <c r="AB42" i="70"/>
  <c r="AC42" i="70"/>
  <c r="AD42" i="70"/>
  <c r="AE42" i="70"/>
  <c r="Z43" i="70"/>
  <c r="AA43" i="70"/>
  <c r="AB43" i="70"/>
  <c r="AC43" i="70"/>
  <c r="AD43" i="70"/>
  <c r="AE43" i="70"/>
  <c r="Z44" i="70"/>
  <c r="AA44" i="70"/>
  <c r="AB44" i="70"/>
  <c r="AC44" i="70"/>
  <c r="AD44" i="70"/>
  <c r="AE44" i="70"/>
  <c r="Z45" i="70"/>
  <c r="AA45" i="70"/>
  <c r="AB45" i="70"/>
  <c r="AC45" i="70"/>
  <c r="AD45" i="70"/>
  <c r="AE45" i="70"/>
  <c r="Z46" i="70"/>
  <c r="AA46" i="70"/>
  <c r="AB46" i="70"/>
  <c r="AC46" i="70"/>
  <c r="AD46" i="70"/>
  <c r="AE46" i="70"/>
  <c r="Z47" i="70"/>
  <c r="AA47" i="70"/>
  <c r="AB47" i="70"/>
  <c r="AC47" i="70"/>
  <c r="AD47" i="70"/>
  <c r="AE47" i="70"/>
  <c r="Z48" i="70"/>
  <c r="AA48" i="70"/>
  <c r="AB48" i="70"/>
  <c r="AC48" i="70"/>
  <c r="AD48" i="70"/>
  <c r="AE48" i="70"/>
  <c r="Z49" i="70"/>
  <c r="AA49" i="70"/>
  <c r="AB49" i="70"/>
  <c r="AC49" i="70"/>
  <c r="AD49" i="70"/>
  <c r="AE49" i="70"/>
  <c r="Z50" i="70"/>
  <c r="AA50" i="70"/>
  <c r="AB50" i="70"/>
  <c r="AC50" i="70"/>
  <c r="AD50" i="70"/>
  <c r="AE50" i="70"/>
  <c r="Z51" i="70"/>
  <c r="AA51" i="70"/>
  <c r="AB51" i="70"/>
  <c r="AC51" i="70"/>
  <c r="AD51" i="70"/>
  <c r="AE51" i="70"/>
  <c r="Z52" i="70"/>
  <c r="AA52" i="70"/>
  <c r="AB52" i="70"/>
  <c r="AC52" i="70"/>
  <c r="AD52" i="70"/>
  <c r="AE52" i="70"/>
  <c r="Z53" i="70"/>
  <c r="AA53" i="70"/>
  <c r="AB53" i="70"/>
  <c r="AC53" i="70"/>
  <c r="AD53" i="70"/>
  <c r="AE53" i="70"/>
  <c r="Z54" i="70"/>
  <c r="AA54" i="70"/>
  <c r="AB54" i="70"/>
  <c r="AC54" i="70"/>
  <c r="AD54" i="70"/>
  <c r="AE54" i="70"/>
  <c r="Z55" i="70"/>
  <c r="AA55" i="70"/>
  <c r="AB55" i="70"/>
  <c r="AC55" i="70"/>
  <c r="AD55" i="70"/>
  <c r="AE55" i="70"/>
  <c r="Z56" i="70"/>
  <c r="AA56" i="70"/>
  <c r="AB56" i="70"/>
  <c r="AC56" i="70"/>
  <c r="AD56" i="70"/>
  <c r="AE56" i="70"/>
  <c r="Z57" i="70"/>
  <c r="AA57" i="70"/>
  <c r="AB57" i="70"/>
  <c r="AC57" i="70"/>
  <c r="AD57" i="70"/>
  <c r="AE57" i="70"/>
  <c r="Z58" i="70"/>
  <c r="AA58" i="70"/>
  <c r="AB58" i="70"/>
  <c r="AC58" i="70"/>
  <c r="AD58" i="70"/>
  <c r="AE58" i="70"/>
  <c r="Z59" i="70"/>
  <c r="AA59" i="70"/>
  <c r="AB59" i="70"/>
  <c r="AC59" i="70"/>
  <c r="AD59" i="70"/>
  <c r="AE59" i="70"/>
  <c r="Z60" i="70"/>
  <c r="AA60" i="70"/>
  <c r="AB60" i="70"/>
  <c r="AC60" i="70"/>
  <c r="AD60" i="70"/>
  <c r="AE60" i="70"/>
  <c r="Z61" i="70"/>
  <c r="AA61" i="70"/>
  <c r="AB61" i="70"/>
  <c r="AC61" i="70"/>
  <c r="AD61" i="70"/>
  <c r="AE61" i="70"/>
  <c r="Z62" i="70"/>
  <c r="AA62" i="70"/>
  <c r="AB62" i="70"/>
  <c r="AC62" i="70"/>
  <c r="AD62" i="70"/>
  <c r="AE62" i="70"/>
  <c r="Z63" i="70"/>
  <c r="AA63" i="70"/>
  <c r="AB63" i="70"/>
  <c r="AC63" i="70"/>
  <c r="AD63" i="70"/>
  <c r="AE63" i="70"/>
  <c r="Z64" i="70"/>
  <c r="AA64" i="70"/>
  <c r="AB64" i="70"/>
  <c r="AC64" i="70"/>
  <c r="AD64" i="70"/>
  <c r="AE64" i="70"/>
  <c r="Z65" i="70"/>
  <c r="AA65" i="70"/>
  <c r="AB65" i="70"/>
  <c r="AC65" i="70"/>
  <c r="AD65" i="70"/>
  <c r="AE65" i="70"/>
  <c r="Z66" i="70"/>
  <c r="AA66" i="70"/>
  <c r="AB66" i="70"/>
  <c r="AC66" i="70"/>
  <c r="AD66" i="70"/>
  <c r="AE66" i="70"/>
  <c r="Z67" i="70"/>
  <c r="AA67" i="70"/>
  <c r="AB67" i="70"/>
  <c r="AC67" i="70"/>
  <c r="AD67" i="70"/>
  <c r="AE67" i="70"/>
  <c r="Z68" i="70"/>
  <c r="AA68" i="70"/>
  <c r="AB68" i="70"/>
  <c r="AC68" i="70"/>
  <c r="AD68" i="70"/>
  <c r="AE68" i="70"/>
  <c r="Z69" i="70"/>
  <c r="AA69" i="70"/>
  <c r="AB69" i="70"/>
  <c r="AC69" i="70"/>
  <c r="AD69" i="70"/>
  <c r="AE69" i="70"/>
  <c r="Z70" i="70"/>
  <c r="AA70" i="70"/>
  <c r="AB70" i="70"/>
  <c r="AC70" i="70"/>
  <c r="AD70" i="70"/>
  <c r="AE70" i="70"/>
  <c r="Z71" i="70"/>
  <c r="AA71" i="70"/>
  <c r="AB71" i="70"/>
  <c r="AC71" i="70"/>
  <c r="AD71" i="70"/>
  <c r="AE71" i="70"/>
  <c r="Z72" i="70"/>
  <c r="AA72" i="70"/>
  <c r="AB72" i="70"/>
  <c r="AC72" i="70"/>
  <c r="AD72" i="70"/>
  <c r="AE72" i="70"/>
  <c r="Z73" i="70"/>
  <c r="AA73" i="70"/>
  <c r="AB73" i="70"/>
  <c r="AC73" i="70"/>
  <c r="AD73" i="70"/>
  <c r="AE73" i="70"/>
  <c r="Z74" i="70"/>
  <c r="AA74" i="70"/>
  <c r="AB74" i="70"/>
  <c r="AC74" i="70"/>
  <c r="AD74" i="70"/>
  <c r="AE74" i="70"/>
  <c r="Z75" i="70"/>
  <c r="AA75" i="70"/>
  <c r="AB75" i="70"/>
  <c r="AC75" i="70"/>
  <c r="AD75" i="70"/>
  <c r="AE75" i="70"/>
  <c r="Z76" i="70"/>
  <c r="AA76" i="70"/>
  <c r="AB76" i="70"/>
  <c r="AC76" i="70"/>
  <c r="C76" i="70" s="1"/>
  <c r="AD76" i="70"/>
  <c r="AE76" i="70"/>
  <c r="Z77" i="70"/>
  <c r="AA77" i="70"/>
  <c r="AB77" i="70"/>
  <c r="AC77" i="70"/>
  <c r="AD77" i="70"/>
  <c r="AE77" i="70"/>
  <c r="Z78" i="70"/>
  <c r="AA78" i="70"/>
  <c r="AB78" i="70"/>
  <c r="AC78" i="70"/>
  <c r="AD78" i="70"/>
  <c r="AE78" i="70"/>
  <c r="C78" i="70" s="1"/>
  <c r="Z79" i="70"/>
  <c r="AA79" i="70"/>
  <c r="AB79" i="70"/>
  <c r="AC79" i="70"/>
  <c r="AD79" i="70"/>
  <c r="AE79" i="70"/>
  <c r="Z80" i="70"/>
  <c r="AA80" i="70"/>
  <c r="AB80" i="70"/>
  <c r="AC80" i="70"/>
  <c r="AD80" i="70"/>
  <c r="AE80" i="70"/>
  <c r="Z81" i="70"/>
  <c r="AA81" i="70"/>
  <c r="AB81" i="70"/>
  <c r="AC81" i="70"/>
  <c r="AD81" i="70"/>
  <c r="AE81" i="70"/>
  <c r="Z82" i="70"/>
  <c r="AA82" i="70"/>
  <c r="AB82" i="70"/>
  <c r="AC82" i="70"/>
  <c r="AD82" i="70"/>
  <c r="AE82" i="70"/>
  <c r="Z83" i="70"/>
  <c r="AA83" i="70"/>
  <c r="AB83" i="70"/>
  <c r="AC83" i="70"/>
  <c r="AD83" i="70"/>
  <c r="AE83" i="70"/>
  <c r="C83" i="70" s="1"/>
  <c r="Z84" i="70"/>
  <c r="AA84" i="70"/>
  <c r="AB84" i="70"/>
  <c r="AC84" i="70"/>
  <c r="AD84" i="70"/>
  <c r="AE84" i="70"/>
  <c r="Z85" i="70"/>
  <c r="AA85" i="70"/>
  <c r="AB85" i="70"/>
  <c r="AC85" i="70"/>
  <c r="AD85" i="70"/>
  <c r="AE85" i="70"/>
  <c r="Z86" i="70"/>
  <c r="AA86" i="70"/>
  <c r="AB86" i="70"/>
  <c r="AC86" i="70"/>
  <c r="AD86" i="70"/>
  <c r="AE86" i="70"/>
  <c r="Z87" i="70"/>
  <c r="AA87" i="70"/>
  <c r="AB87" i="70"/>
  <c r="AC87" i="70"/>
  <c r="AD87" i="70"/>
  <c r="AE87" i="70"/>
  <c r="Z88" i="70"/>
  <c r="AA88" i="70"/>
  <c r="AB88" i="70"/>
  <c r="AC88" i="70"/>
  <c r="AD88" i="70"/>
  <c r="AE88" i="70"/>
  <c r="Z89" i="70"/>
  <c r="AA89" i="70"/>
  <c r="AB89" i="70"/>
  <c r="AC89" i="70"/>
  <c r="AD89" i="70"/>
  <c r="AE89" i="70"/>
  <c r="Z90" i="70"/>
  <c r="AA90" i="70"/>
  <c r="AB90" i="70"/>
  <c r="AC90" i="70"/>
  <c r="AD90" i="70"/>
  <c r="AE90" i="70"/>
  <c r="Z91" i="70"/>
  <c r="AA91" i="70"/>
  <c r="AB91" i="70"/>
  <c r="AC91" i="70"/>
  <c r="AD91" i="70"/>
  <c r="AE91" i="70"/>
  <c r="Z92" i="70"/>
  <c r="AA92" i="70"/>
  <c r="AB92" i="70"/>
  <c r="AC92" i="70"/>
  <c r="AD92" i="70"/>
  <c r="AE92" i="70"/>
  <c r="Z93" i="70"/>
  <c r="AA93" i="70"/>
  <c r="AB93" i="70"/>
  <c r="AC93" i="70"/>
  <c r="AD93" i="70"/>
  <c r="AE93" i="70"/>
  <c r="Z94" i="70"/>
  <c r="AA94" i="70"/>
  <c r="AB94" i="70"/>
  <c r="AC94" i="70"/>
  <c r="AD94" i="70"/>
  <c r="AE94" i="70"/>
  <c r="Z95" i="70"/>
  <c r="AA95" i="70"/>
  <c r="AB95" i="70"/>
  <c r="AC95" i="70"/>
  <c r="AD95" i="70"/>
  <c r="AE95" i="70"/>
  <c r="Z96" i="70"/>
  <c r="AA96" i="70"/>
  <c r="AB96" i="70"/>
  <c r="AC96" i="70"/>
  <c r="AD96" i="70"/>
  <c r="AE96" i="70"/>
  <c r="C96" i="70" s="1"/>
  <c r="Z97" i="70"/>
  <c r="AA97" i="70"/>
  <c r="AB97" i="70"/>
  <c r="AC97" i="70"/>
  <c r="AD97" i="70"/>
  <c r="AE97" i="70"/>
  <c r="Z98" i="70"/>
  <c r="AA98" i="70"/>
  <c r="AB98" i="70"/>
  <c r="AC98" i="70"/>
  <c r="C98" i="70" s="1"/>
  <c r="AD98" i="70"/>
  <c r="AE98" i="70"/>
  <c r="Z99" i="70"/>
  <c r="AA99" i="70"/>
  <c r="AB99" i="70"/>
  <c r="AC99" i="70"/>
  <c r="AD99" i="70"/>
  <c r="AE99" i="70"/>
  <c r="C99" i="70" s="1"/>
  <c r="Z100" i="70"/>
  <c r="AA100" i="70"/>
  <c r="AB100" i="70"/>
  <c r="AC100" i="70"/>
  <c r="AD100" i="70"/>
  <c r="AE100" i="70"/>
  <c r="Z101" i="70"/>
  <c r="AA101" i="70"/>
  <c r="AB101" i="70"/>
  <c r="AC101" i="70"/>
  <c r="AD101" i="70"/>
  <c r="AE101" i="70"/>
  <c r="Z102" i="70"/>
  <c r="AA102" i="70"/>
  <c r="AB102" i="70"/>
  <c r="AC102" i="70"/>
  <c r="AD102" i="70"/>
  <c r="AE102" i="70"/>
  <c r="Z103" i="70"/>
  <c r="AA103" i="70"/>
  <c r="AB103" i="70"/>
  <c r="AC103" i="70"/>
  <c r="AD103" i="70"/>
  <c r="AE103" i="70"/>
  <c r="Z104" i="70"/>
  <c r="AA104" i="70"/>
  <c r="AB104" i="70"/>
  <c r="AC104" i="70"/>
  <c r="AD104" i="70"/>
  <c r="AE104" i="70"/>
  <c r="Z105" i="70"/>
  <c r="AA105" i="70"/>
  <c r="AB105" i="70"/>
  <c r="AC105" i="70"/>
  <c r="AD105" i="70"/>
  <c r="AE105" i="70"/>
  <c r="Z106" i="70"/>
  <c r="AA106" i="70"/>
  <c r="AB106" i="70"/>
  <c r="AC106" i="70"/>
  <c r="AD106" i="70"/>
  <c r="AE106" i="70"/>
  <c r="Z107" i="70"/>
  <c r="AA107" i="70"/>
  <c r="AB107" i="70"/>
  <c r="AC107" i="70"/>
  <c r="AD107" i="70"/>
  <c r="AE107" i="70"/>
  <c r="Z108" i="70"/>
  <c r="AA108" i="70"/>
  <c r="AB108" i="70"/>
  <c r="AC108" i="70"/>
  <c r="AD108" i="70"/>
  <c r="AE108" i="70"/>
  <c r="Z109" i="70"/>
  <c r="AA109" i="70"/>
  <c r="AB109" i="70"/>
  <c r="AC109" i="70"/>
  <c r="AD109" i="70"/>
  <c r="AE109" i="70"/>
  <c r="Z110" i="70"/>
  <c r="AA110" i="70"/>
  <c r="AB110" i="70"/>
  <c r="AC110" i="70"/>
  <c r="AD110" i="70"/>
  <c r="AE110" i="70"/>
  <c r="Z111" i="70"/>
  <c r="AA111" i="70"/>
  <c r="AB111" i="70"/>
  <c r="AC111" i="70"/>
  <c r="AD111" i="70"/>
  <c r="AE111" i="70"/>
  <c r="Z112" i="70"/>
  <c r="AA112" i="70"/>
  <c r="AB112" i="70"/>
  <c r="AC112" i="70"/>
  <c r="AD112" i="70"/>
  <c r="AE112" i="70"/>
  <c r="Z113" i="70"/>
  <c r="AA113" i="70"/>
  <c r="AB113" i="70"/>
  <c r="AC113" i="70"/>
  <c r="AD113" i="70"/>
  <c r="AE113" i="70"/>
  <c r="Z114" i="70"/>
  <c r="AA114" i="70"/>
  <c r="AB114" i="70"/>
  <c r="AC114" i="70"/>
  <c r="AD114" i="70"/>
  <c r="AE114" i="70"/>
  <c r="Z115" i="70"/>
  <c r="AA115" i="70"/>
  <c r="AB115" i="70"/>
  <c r="AC115" i="70"/>
  <c r="AD115" i="70"/>
  <c r="AE115" i="70"/>
  <c r="Z116" i="70"/>
  <c r="AA116" i="70"/>
  <c r="AB116" i="70"/>
  <c r="AC116" i="70"/>
  <c r="AD116" i="70"/>
  <c r="AE116" i="70"/>
  <c r="Z117" i="70"/>
  <c r="AA117" i="70"/>
  <c r="AB117" i="70"/>
  <c r="AC117" i="70"/>
  <c r="AD117" i="70"/>
  <c r="AE117" i="70"/>
  <c r="Z118" i="70"/>
  <c r="AA118" i="70"/>
  <c r="AB118" i="70"/>
  <c r="AC118" i="70"/>
  <c r="AD118" i="70"/>
  <c r="AE118" i="70"/>
  <c r="Z119" i="70"/>
  <c r="AA119" i="70"/>
  <c r="AB119" i="70"/>
  <c r="AC119" i="70"/>
  <c r="AD119" i="70"/>
  <c r="AE119" i="70"/>
  <c r="Z120" i="70"/>
  <c r="AA120" i="70"/>
  <c r="AB120" i="70"/>
  <c r="AC120" i="70"/>
  <c r="AD120" i="70"/>
  <c r="AE120" i="70"/>
  <c r="Z121" i="70"/>
  <c r="AA121" i="70"/>
  <c r="AB121" i="70"/>
  <c r="AC121" i="70"/>
  <c r="AD121" i="70"/>
  <c r="AE121" i="70"/>
  <c r="Z122" i="70"/>
  <c r="AA122" i="70"/>
  <c r="AB122" i="70"/>
  <c r="AC122" i="70"/>
  <c r="AD122" i="70"/>
  <c r="AE122" i="70"/>
  <c r="C122" i="70" s="1"/>
  <c r="Z123" i="70"/>
  <c r="AA123" i="70"/>
  <c r="AB123" i="70"/>
  <c r="AC123" i="70"/>
  <c r="AD123" i="70"/>
  <c r="AE123" i="70"/>
  <c r="Z124" i="70"/>
  <c r="AA124" i="70"/>
  <c r="AB124" i="70"/>
  <c r="AC124" i="70"/>
  <c r="AD124" i="70"/>
  <c r="AE124" i="70"/>
  <c r="Z125" i="70"/>
  <c r="AA125" i="70"/>
  <c r="AB125" i="70"/>
  <c r="AC125" i="70"/>
  <c r="AD125" i="70"/>
  <c r="AE125" i="70"/>
  <c r="Z126" i="70"/>
  <c r="AA126" i="70"/>
  <c r="AB126" i="70"/>
  <c r="AC126" i="70"/>
  <c r="AD126" i="70"/>
  <c r="AE126" i="70"/>
  <c r="Z127" i="70"/>
  <c r="AA127" i="70"/>
  <c r="AB127" i="70"/>
  <c r="AC127" i="70"/>
  <c r="AD127" i="70"/>
  <c r="AE127" i="70"/>
  <c r="Z128" i="70"/>
  <c r="AA128" i="70"/>
  <c r="AB128" i="70"/>
  <c r="AC128" i="70"/>
  <c r="AD128" i="70"/>
  <c r="AE128" i="70"/>
  <c r="Z129" i="70"/>
  <c r="AA129" i="70"/>
  <c r="AB129" i="70"/>
  <c r="AC129" i="70"/>
  <c r="AD129" i="70"/>
  <c r="AE129" i="70"/>
  <c r="Z130" i="70"/>
  <c r="AA130" i="70"/>
  <c r="AB130" i="70"/>
  <c r="AC130" i="70"/>
  <c r="AD130" i="70"/>
  <c r="AE130" i="70"/>
  <c r="Z131" i="70"/>
  <c r="AA131" i="70"/>
  <c r="AB131" i="70"/>
  <c r="AC131" i="70"/>
  <c r="AD131" i="70"/>
  <c r="AE131" i="70"/>
  <c r="Z132" i="70"/>
  <c r="AA132" i="70"/>
  <c r="AB132" i="70"/>
  <c r="AC132" i="70"/>
  <c r="AD132" i="70"/>
  <c r="AE132" i="70"/>
  <c r="Z133" i="70"/>
  <c r="AA133" i="70"/>
  <c r="AB133" i="70"/>
  <c r="AC133" i="70"/>
  <c r="AD133" i="70"/>
  <c r="AE133" i="70"/>
  <c r="AE6" i="70"/>
  <c r="AD6" i="70"/>
  <c r="AC6" i="70"/>
  <c r="AA6" i="70"/>
  <c r="Z6" i="70"/>
  <c r="C130" i="70"/>
  <c r="C129" i="70"/>
  <c r="C128" i="70"/>
  <c r="C84" i="70"/>
  <c r="C74" i="70"/>
  <c r="C73" i="70"/>
  <c r="N133" i="70"/>
  <c r="M133" i="70"/>
  <c r="L133" i="70"/>
  <c r="K133" i="70"/>
  <c r="J133" i="70"/>
  <c r="I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B122" i="70"/>
  <c r="N121" i="70"/>
  <c r="M121" i="70"/>
  <c r="L121" i="70"/>
  <c r="K121" i="70"/>
  <c r="J121" i="70"/>
  <c r="I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C113" i="70" l="1"/>
  <c r="C91" i="70"/>
  <c r="C93" i="70"/>
  <c r="C111" i="70"/>
  <c r="C89" i="70"/>
  <c r="C114" i="70"/>
  <c r="C103" i="70"/>
  <c r="C81" i="70"/>
  <c r="C106" i="70"/>
  <c r="C88" i="70"/>
  <c r="C6" i="70"/>
  <c r="C69" i="70"/>
  <c r="C115" i="70"/>
  <c r="C56" i="70"/>
  <c r="C82" i="70"/>
  <c r="C23" i="70"/>
  <c r="C24" i="70"/>
  <c r="C97" i="70"/>
  <c r="C46" i="70"/>
  <c r="C112" i="70"/>
  <c r="C41" i="70"/>
  <c r="C18" i="70"/>
  <c r="C131" i="70"/>
  <c r="C87" i="70"/>
  <c r="C80" i="70"/>
  <c r="C102" i="70"/>
  <c r="C95" i="70"/>
  <c r="C117" i="70"/>
  <c r="C10" i="70"/>
  <c r="C9" i="70"/>
  <c r="C52" i="70"/>
  <c r="C58" i="70"/>
  <c r="C71" i="70"/>
  <c r="C104" i="70"/>
  <c r="C126" i="70"/>
  <c r="C75" i="70"/>
  <c r="C86" i="70"/>
  <c r="C25" i="70"/>
  <c r="C47" i="70"/>
  <c r="C60" i="70"/>
  <c r="C79" i="70"/>
  <c r="C101" i="70"/>
  <c r="C72" i="70"/>
  <c r="C105" i="70"/>
  <c r="C127" i="70"/>
  <c r="C39" i="70"/>
  <c r="C16" i="70"/>
  <c r="C109" i="70"/>
  <c r="C35" i="70"/>
  <c r="C12" i="70"/>
  <c r="C132" i="70"/>
  <c r="C110" i="70"/>
  <c r="C8" i="70"/>
  <c r="C85" i="70"/>
  <c r="C107" i="70"/>
  <c r="C125" i="70"/>
  <c r="C100" i="70"/>
  <c r="C120" i="70"/>
  <c r="C108" i="70"/>
  <c r="C55" i="70"/>
  <c r="C119" i="70"/>
  <c r="C123" i="70"/>
  <c r="C90" i="70"/>
  <c r="C116" i="70"/>
  <c r="C40" i="70"/>
  <c r="C94" i="70"/>
  <c r="C65" i="70"/>
  <c r="C61" i="70"/>
  <c r="C124" i="70"/>
  <c r="C77" i="70"/>
  <c r="C32" i="70"/>
  <c r="C53" i="70"/>
  <c r="C30" i="70"/>
  <c r="C92" i="70"/>
  <c r="C59" i="70"/>
  <c r="C66" i="70"/>
  <c r="C67" i="70"/>
  <c r="C64" i="70"/>
  <c r="C57" i="70"/>
  <c r="C63" i="70"/>
  <c r="C54" i="70"/>
  <c r="C68" i="70"/>
  <c r="C62" i="70"/>
  <c r="C38" i="70"/>
  <c r="C26" i="70"/>
  <c r="C45" i="70"/>
  <c r="C50" i="70"/>
  <c r="C48" i="70"/>
  <c r="C43" i="70"/>
  <c r="C42" i="70"/>
  <c r="C27" i="70"/>
  <c r="C20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<sst xmlns="http://schemas.openxmlformats.org/spreadsheetml/2006/main" count="7855" uniqueCount="1246">
  <si>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</si>
  <si>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</si>
  <si>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</si>
  <si>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</si>
  <si>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</si>
  <si>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</si>
  <si>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</si>
  <si>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</si>
  <si>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</si>
  <si>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</si>
  <si>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</si>
  <si>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</si>
  <si>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</si>
  <si>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</si>
  <si>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</si>
  <si>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</si>
  <si>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</si>
  <si>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</si>
  <si>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</si>
  <si>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</si>
  <si>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</si>
  <si>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</si>
  <si>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</si>
  <si>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</si>
  <si>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</si>
  <si>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</si>
  <si>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</si>
  <si>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</si>
  <si>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</si>
  <si>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</si>
  <si>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</si>
  <si>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</si>
  <si>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</si>
  <si>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</si>
  <si>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</si>
  <si>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</si>
  <si>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</si>
  <si>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</si>
  <si>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</si>
  <si>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</si>
  <si>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</si>
  <si>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</si>
  <si>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</si>
  <si>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</si>
  <si>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</si>
  <si>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</si>
  <si>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</si>
  <si>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</si>
  <si>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</si>
  <si>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</si>
  <si>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</si>
  <si>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</si>
  <si>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</si>
  <si>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</si>
  <si>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</si>
  <si>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</si>
  <si>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</si>
  <si>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</si>
  <si>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</si>
  <si>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</si>
  <si>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</si>
  <si>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</si>
  <si>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</si>
  <si>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</si>
  <si>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</si>
  <si>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</si>
  <si>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</si>
  <si>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</si>
  <si>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</si>
  <si>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</si>
  <si>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</si>
  <si>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</si>
  <si>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</si>
  <si>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</si>
  <si>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</si>
  <si>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</si>
  <si>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</si>
  <si>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</si>
  <si>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</si>
  <si>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</si>
  <si>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</si>
  <si>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</si>
  <si>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</si>
  <si>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</si>
  <si>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</si>
  <si>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</si>
  <si>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</si>
  <si>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</si>
  <si>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</si>
  <si>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</si>
  <si>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</si>
  <si>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</si>
  <si>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</si>
  <si>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</si>
  <si>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</si>
  <si>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</si>
  <si>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</si>
  <si>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</si>
  <si>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</si>
  <si>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</si>
  <si>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</si>
  <si>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</si>
  <si>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</si>
  <si>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</si>
  <si>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</si>
  <si>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</si>
  <si>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</si>
  <si>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</si>
  <si>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</si>
  <si>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</si>
  <si>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</si>
  <si>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</si>
  <si>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</si>
  <si>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</si>
  <si>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</si>
  <si>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</si>
  <si>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</si>
  <si>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</si>
  <si>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</si>
  <si>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</si>
  <si>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</si>
  <si>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</si>
  <si>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</si>
  <si>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</si>
  <si>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</si>
  <si>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</si>
  <si>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</si>
  <si>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</si>
  <si>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</si>
  <si>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</si>
  <si>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</si>
  <si>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</si>
  <si>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</si>
  <si>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</si>
  <si>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</si>
  <si>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</si>
  <si>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</si>
  <si>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</si>
  <si>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</si>
  <si>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</si>
  <si>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</si>
  <si>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</si>
  <si>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</si>
  <si>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</si>
  <si>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</si>
  <si>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</si>
  <si>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</si>
  <si>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</si>
  <si>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</si>
  <si>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</si>
  <si>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</si>
  <si>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</si>
  <si>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</si>
  <si>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</si>
  <si>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</si>
  <si>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</si>
  <si>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</si>
  <si>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</si>
  <si>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</si>
  <si>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</si>
  <si>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</si>
  <si>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</si>
  <si>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</si>
  <si>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</si>
  <si>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</si>
  <si>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</si>
  <si>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</si>
  <si>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</si>
  <si>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</si>
  <si>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</si>
  <si>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</si>
  <si>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</si>
  <si>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</si>
  <si>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</si>
  <si>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</si>
  <si>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</si>
  <si>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</si>
  <si>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</si>
  <si>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</si>
  <si>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</si>
  <si>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</si>
  <si>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</si>
  <si>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</si>
  <si>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</si>
  <si>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</si>
  <si>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</si>
  <si>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</si>
  <si>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</si>
  <si>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</si>
  <si>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</si>
  <si>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</si>
  <si>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</si>
  <si>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</si>
  <si>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</si>
  <si>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</si>
  <si>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</si>
  <si>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</si>
  <si>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</si>
  <si>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</si>
  <si>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</si>
  <si>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</si>
  <si>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</si>
  <si>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</si>
  <si>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</si>
  <si>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</si>
  <si>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</si>
  <si>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</si>
  <si>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</si>
  <si>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</si>
  <si>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</si>
  <si>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</si>
  <si>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</si>
  <si>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</si>
  <si>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</si>
  <si>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</si>
  <si>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</si>
  <si>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</si>
  <si>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</si>
  <si>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</si>
  <si>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</si>
  <si>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</si>
  <si>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</si>
  <si>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</si>
  <si>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</si>
  <si>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</si>
  <si>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</si>
  <si>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</si>
  <si>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</si>
  <si>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</si>
  <si>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</si>
  <si>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</si>
  <si>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</si>
  <si>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</si>
  <si>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</si>
  <si>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</si>
  <si>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</si>
  <si>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</si>
  <si>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</si>
  <si>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</si>
  <si>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</si>
  <si>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</si>
  <si>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</si>
  <si>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</si>
  <si>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</si>
  <si>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</si>
  <si>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</si>
  <si>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</si>
  <si>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</si>
  <si>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</si>
  <si>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</si>
  <si>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</si>
  <si>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</si>
  <si>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</si>
  <si>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</si>
  <si>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</si>
  <si>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</si>
  <si>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</si>
  <si>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</si>
  <si>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</si>
  <si>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</si>
  <si>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</si>
  <si>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</si>
  <si>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</si>
  <si>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</si>
  <si>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</si>
  <si>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</si>
  <si>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</si>
  <si>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</si>
  <si>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</si>
  <si>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</si>
  <si>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</si>
  <si>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</si>
  <si>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</si>
  <si>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</si>
  <si>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</si>
  <si>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</si>
  <si>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</si>
  <si>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</si>
  <si>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</si>
  <si>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</si>
  <si>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</si>
  <si>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</si>
  <si>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</si>
  <si>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</si>
  <si>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</si>
  <si>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</si>
  <si>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</si>
  <si>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</si>
  <si>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</si>
  <si>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</si>
  <si>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</si>
  <si>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</si>
  <si>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</si>
  <si>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</si>
  <si>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</si>
  <si>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</si>
  <si>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</si>
  <si>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</si>
  <si>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</si>
  <si>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</si>
  <si>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</si>
  <si>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</si>
  <si>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</si>
  <si>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</si>
  <si>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</si>
  <si>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</si>
  <si>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</si>
  <si>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</si>
  <si>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</si>
  <si>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</si>
  <si>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</si>
  <si>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</si>
  <si>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</si>
  <si>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</si>
  <si>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</si>
  <si>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</si>
  <si>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</si>
  <si>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</si>
  <si>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</si>
  <si>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</si>
  <si>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</si>
  <si>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</si>
  <si>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</si>
  <si>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</si>
  <si>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</si>
  <si>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</si>
  <si>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</si>
  <si>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</si>
  <si>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</si>
  <si>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</si>
  <si>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</si>
  <si>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</si>
  <si>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</si>
  <si>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</si>
  <si>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</si>
  <si>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</si>
  <si>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</si>
  <si>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</si>
  <si>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</si>
  <si>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</si>
  <si>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</si>
  <si>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</si>
  <si>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</si>
  <si>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</si>
  <si>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</si>
  <si>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</si>
  <si>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</si>
  <si>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</si>
  <si>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</si>
  <si>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</si>
  <si>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</si>
  <si>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</si>
  <si>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</si>
  <si>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</si>
  <si>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</si>
  <si>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</si>
  <si>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</si>
  <si>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</si>
  <si>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</si>
  <si>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</si>
  <si>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</si>
  <si>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</si>
  <si>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</si>
  <si>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</si>
  <si>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</si>
  <si>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</si>
  <si>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</si>
  <si>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</si>
  <si>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</si>
  <si>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</si>
  <si>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</si>
  <si>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</si>
  <si>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</si>
  <si>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</si>
  <si>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</si>
  <si>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</si>
  <si>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</si>
  <si>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</si>
  <si>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</si>
  <si>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</si>
  <si>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</si>
  <si>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</si>
  <si>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</si>
  <si>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</si>
  <si>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</si>
  <si>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</si>
  <si>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</si>
  <si>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</si>
  <si>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</si>
  <si>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</si>
  <si>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</si>
  <si>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</si>
  <si>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</si>
  <si>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</si>
  <si>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</si>
  <si>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</si>
  <si>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</si>
  <si>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</si>
  <si>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</si>
  <si>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</si>
  <si>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</si>
  <si>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</si>
  <si>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</si>
  <si>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</si>
  <si>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</si>
  <si>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</si>
  <si>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</si>
  <si>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</si>
  <si>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</si>
  <si>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</si>
  <si>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</si>
  <si>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</si>
  <si>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</si>
  <si>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</si>
  <si>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</si>
  <si>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</si>
  <si>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</si>
  <si>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</si>
  <si>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</si>
  <si>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</si>
  <si>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</si>
  <si>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</si>
  <si>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</si>
  <si>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</si>
  <si>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</si>
  <si>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</si>
  <si>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</si>
  <si>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</si>
  <si>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</si>
  <si>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</si>
  <si>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</si>
  <si>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</si>
  <si>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</si>
  <si>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</si>
  <si>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</si>
  <si>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</si>
  <si>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</si>
  <si>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</si>
  <si>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</si>
  <si>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</si>
  <si>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</si>
  <si>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</si>
  <si>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</si>
  <si>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</si>
  <si>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</si>
  <si>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</si>
  <si>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</si>
  <si>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</si>
  <si>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</si>
  <si>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</si>
  <si>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</si>
  <si>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</si>
  <si>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</si>
  <si>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</si>
  <si>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</si>
  <si>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</si>
  <si>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</si>
  <si>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</si>
  <si>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</si>
  <si>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</si>
  <si>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</si>
  <si>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</si>
  <si>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</si>
  <si>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</si>
  <si>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</si>
  <si>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</si>
  <si>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</si>
  <si>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</si>
  <si>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</si>
  <si>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</si>
  <si>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</si>
  <si>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</si>
  <si>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</si>
  <si>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</si>
  <si>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</si>
  <si>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</si>
  <si>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</si>
  <si>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</si>
  <si>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</si>
  <si>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</si>
  <si>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</si>
  <si>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</si>
  <si>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</si>
  <si>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</si>
  <si>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</si>
  <si>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</si>
  <si>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</si>
  <si>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</si>
  <si>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</si>
  <si>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</si>
  <si>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</si>
  <si>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</si>
  <si>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</si>
  <si>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</si>
  <si>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</si>
  <si>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</si>
  <si>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</si>
  <si>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</si>
  <si>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</si>
  <si>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</si>
  <si>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</si>
  <si>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</si>
  <si>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</si>
  <si>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</si>
  <si>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</si>
  <si>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</si>
  <si>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</si>
  <si>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</si>
  <si>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</si>
  <si>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</si>
  <si>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</si>
  <si>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</si>
  <si>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</si>
  <si>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</si>
  <si>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</si>
  <si>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</si>
  <si>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</si>
  <si>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</si>
  <si>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</si>
  <si>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</si>
  <si>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</si>
  <si>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</si>
  <si>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</si>
  <si>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</si>
  <si>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</si>
  <si>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</si>
  <si>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</si>
  <si>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</si>
  <si>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</si>
  <si>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</si>
  <si>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</si>
  <si>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</si>
  <si>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</si>
  <si>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</si>
  <si>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</si>
  <si>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</si>
  <si>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</si>
  <si>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</si>
  <si>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</si>
  <si>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</si>
  <si>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</si>
  <si>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</si>
  <si>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</si>
  <si>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</si>
  <si>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</si>
  <si>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</si>
  <si>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</si>
  <si>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</si>
  <si>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</si>
  <si>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</si>
  <si>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</si>
  <si>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</si>
  <si>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</si>
  <si>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</si>
  <si>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</si>
  <si>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</si>
  <si>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</si>
  <si>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</si>
  <si>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</si>
  <si>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</si>
  <si>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</si>
  <si>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</si>
  <si>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</si>
  <si>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</si>
  <si>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</si>
  <si>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</si>
  <si>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</si>
  <si>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</si>
  <si>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</si>
  <si>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</si>
  <si>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</si>
  <si>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</si>
  <si>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</si>
  <si>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</si>
  <si>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</si>
  <si>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</si>
  <si>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</si>
  <si>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</si>
  <si>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</si>
  <si>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</si>
  <si>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</si>
  <si>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</si>
  <si>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</si>
  <si>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</si>
  <si>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</si>
  <si>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</si>
  <si>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</si>
  <si>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</si>
  <si>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</si>
  <si>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</si>
  <si>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</si>
  <si>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</si>
  <si>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</si>
  <si>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</si>
  <si>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</si>
  <si>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</si>
  <si>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</si>
  <si>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</si>
  <si>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</si>
  <si>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</si>
  <si>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</si>
  <si>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</si>
  <si>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</si>
  <si>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</si>
  <si>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</si>
  <si>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</si>
  <si>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</si>
  <si>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</si>
  <si>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</si>
  <si>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</si>
  <si>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</si>
  <si>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</si>
  <si>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</si>
  <si>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</si>
  <si>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</si>
  <si>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</si>
  <si>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</si>
  <si>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</si>
  <si>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</si>
  <si>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</si>
  <si>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</si>
  <si>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</si>
  <si>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</si>
  <si>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</si>
  <si>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</si>
  <si>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</si>
  <si>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</si>
  <si>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</si>
  <si>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</si>
  <si>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</si>
  <si>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</si>
  <si>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</si>
  <si>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</si>
  <si>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</si>
  <si>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</si>
  <si>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</si>
  <si>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</si>
  <si>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</si>
  <si>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</si>
  <si>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</si>
  <si>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</si>
  <si>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</si>
  <si>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</si>
  <si>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</si>
  <si>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</si>
  <si>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</si>
  <si>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</si>
  <si>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</si>
  <si>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</si>
  <si>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</si>
  <si>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</si>
  <si>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</si>
  <si>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</si>
  <si>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</si>
  <si>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</si>
  <si>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</si>
  <si>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</si>
  <si>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</si>
  <si>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</si>
  <si>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</si>
  <si>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</si>
  <si>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</si>
  <si>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</si>
  <si>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</si>
  <si>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</si>
  <si>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</si>
  <si>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</si>
  <si>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</si>
  <si>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</si>
  <si>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</si>
  <si>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</si>
  <si>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</si>
  <si>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</si>
  <si>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</si>
  <si>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</si>
  <si>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</si>
  <si>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</si>
  <si>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</si>
  <si>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</si>
  <si>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</si>
  <si>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</si>
  <si>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</si>
  <si>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</si>
  <si>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</si>
  <si>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</si>
  <si>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</si>
  <si>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</si>
  <si>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</si>
  <si>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</si>
  <si>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</si>
  <si>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</si>
  <si>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</si>
  <si>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</si>
  <si>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</si>
  <si>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</si>
  <si>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</si>
  <si>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</si>
  <si>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</si>
  <si>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</si>
  <si>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</si>
  <si>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</si>
  <si>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</si>
  <si>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</si>
  <si>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</si>
  <si>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</si>
  <si>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</si>
  <si>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</si>
  <si>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</si>
  <si>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</si>
  <si>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</si>
  <si>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</si>
  <si>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</si>
  <si>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</si>
  <si>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</si>
  <si>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</si>
  <si>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</si>
  <si>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</si>
  <si>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</si>
  <si>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</si>
  <si>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</si>
  <si>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</si>
  <si>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</si>
  <si>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</si>
  <si>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</si>
  <si>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</si>
  <si>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</si>
  <si>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</si>
  <si>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</si>
  <si>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</si>
  <si>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</si>
  <si>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</si>
  <si>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</si>
  <si>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</si>
  <si>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</si>
  <si>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</si>
  <si>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</si>
  <si>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</si>
  <si>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</si>
  <si>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</si>
  <si>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</si>
  <si>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</si>
  <si>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</si>
  <si>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</si>
  <si>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</si>
  <si>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</si>
  <si>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</si>
  <si>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</si>
  <si>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</si>
  <si>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</si>
  <si>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</si>
  <si>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</si>
  <si>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</si>
  <si>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</si>
  <si>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</si>
  <si>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</si>
  <si>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</si>
  <si>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</si>
  <si>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</si>
  <si>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</si>
  <si>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</si>
  <si>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</si>
  <si>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</si>
  <si>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</si>
  <si>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</si>
  <si>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</si>
  <si>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</si>
  <si>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</si>
  <si>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</si>
  <si>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</si>
  <si>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</si>
  <si>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</si>
  <si>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</si>
  <si>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</si>
  <si>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</si>
  <si>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</si>
  <si>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</si>
  <si>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</si>
  <si>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</si>
  <si>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</si>
  <si>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</si>
  <si>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</si>
  <si>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</si>
  <si>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</si>
  <si>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</si>
  <si>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</si>
  <si>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</si>
  <si>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</si>
  <si>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</si>
  <si>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</si>
  <si>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</si>
  <si>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</si>
  <si>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</si>
  <si>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</si>
  <si>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</si>
  <si>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</si>
  <si>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</si>
  <si>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</si>
  <si>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</si>
  <si>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</si>
  <si>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</si>
  <si>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</si>
  <si>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</si>
  <si>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</si>
  <si>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</si>
  <si>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</si>
  <si>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</si>
  <si>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</si>
  <si>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</si>
  <si>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</si>
  <si>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</si>
  <si>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</si>
  <si>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</si>
  <si>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</si>
  <si>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</si>
  <si>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</si>
  <si>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</si>
  <si>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</si>
  <si>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</si>
  <si>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</si>
  <si>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</si>
  <si>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</si>
  <si>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</si>
  <si>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</si>
  <si>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</si>
  <si>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</si>
  <si>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</si>
  <si>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</si>
  <si>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</si>
  <si>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</si>
  <si>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</si>
  <si>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</si>
  <si>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</si>
  <si>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</si>
  <si>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</si>
  <si>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</si>
  <si>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</si>
  <si>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</si>
  <si>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</si>
  <si>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</si>
  <si>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</si>
  <si>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</si>
  <si>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</si>
  <si>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</si>
  <si>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</si>
  <si>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</si>
  <si>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</si>
  <si>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</si>
  <si>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</si>
  <si>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</si>
  <si>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</si>
  <si>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</si>
  <si>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</si>
  <si>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</si>
  <si>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</si>
  <si>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</si>
  <si>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</si>
  <si>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</si>
  <si>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</si>
  <si>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</si>
  <si>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</si>
  <si>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</si>
  <si>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</si>
  <si>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</si>
  <si>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</si>
  <si>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</si>
  <si>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</si>
  <si>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</si>
  <si>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</si>
  <si>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</si>
  <si>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</si>
  <si>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</si>
  <si>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</si>
  <si>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</si>
  <si>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</si>
  <si>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</si>
  <si>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</si>
  <si>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</si>
  <si>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</si>
  <si>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</si>
  <si>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</si>
  <si>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</si>
  <si>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</si>
  <si>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</si>
  <si>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</si>
  <si>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</si>
  <si>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</si>
  <si>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</si>
  <si>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</si>
  <si>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</si>
  <si>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</si>
  <si>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</si>
  <si>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</si>
  <si>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</si>
  <si>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</si>
  <si>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</si>
  <si>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</si>
  <si>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</si>
  <si>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</si>
  <si>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</si>
  <si>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</si>
  <si>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</si>
  <si>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</si>
  <si>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</si>
  <si>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</si>
  <si>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</si>
  <si>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</si>
  <si>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</si>
  <si>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</si>
  <si>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</si>
  <si>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</si>
  <si>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</si>
  <si>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</si>
  <si>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</si>
  <si>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</si>
  <si>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</si>
  <si>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</si>
  <si>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</si>
  <si>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</si>
  <si>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</si>
  <si>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</si>
  <si>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</si>
  <si>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</si>
  <si>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</si>
  <si>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</si>
  <si>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</si>
  <si>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</si>
  <si>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</si>
  <si>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</si>
  <si>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</si>
  <si>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</si>
  <si>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</si>
  <si>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</si>
  <si>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</si>
  <si>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</si>
  <si>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</si>
  <si>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</si>
  <si>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</si>
  <si>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</si>
  <si>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</si>
  <si>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</si>
  <si>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</si>
  <si>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</si>
  <si>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</si>
  <si>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</si>
  <si>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</si>
  <si>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</si>
  <si>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</si>
  <si>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</si>
  <si>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</si>
  <si>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</si>
  <si>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</si>
  <si>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</si>
  <si>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</si>
  <si>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</si>
  <si>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</si>
  <si>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</si>
  <si>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</si>
  <si>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</si>
  <si>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</si>
  <si>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</si>
  <si>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</si>
  <si>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</si>
  <si>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</si>
  <si>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</si>
  <si>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</si>
  <si>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</si>
  <si>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</si>
  <si>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</si>
  <si>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</si>
  <si>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</si>
  <si>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</si>
  <si>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</si>
  <si>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</si>
  <si>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</si>
  <si>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</si>
  <si>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</si>
  <si>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</si>
  <si>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</si>
  <si>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</si>
  <si>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</si>
  <si>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</si>
  <si>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</si>
  <si>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</si>
  <si>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</si>
  <si>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</si>
  <si>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</si>
  <si>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</si>
  <si>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</si>
  <si>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</si>
  <si>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</si>
  <si>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</si>
  <si>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</si>
  <si>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</si>
  <si>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</si>
  <si>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</si>
  <si>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</si>
  <si>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</si>
  <si>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</si>
  <si>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</si>
  <si>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</si>
  <si>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</si>
  <si>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</si>
  <si>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</si>
  <si>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</si>
  <si>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</si>
  <si>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</si>
  <si>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</si>
  <si>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</si>
  <si>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</si>
  <si>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</si>
  <si>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</si>
  <si>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</si>
  <si>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</si>
  <si>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</si>
  <si>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</si>
  <si>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</si>
  <si>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</si>
  <si>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</si>
  <si>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</si>
  <si>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</si>
  <si>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</si>
  <si>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</si>
  <si>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</si>
  <si>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</si>
  <si>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</si>
  <si>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</si>
  <si>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</si>
  <si>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</si>
  <si>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</si>
  <si>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</si>
  <si>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</si>
  <si>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</si>
  <si>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</si>
  <si>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</si>
  <si>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</si>
  <si>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</si>
  <si>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</si>
  <si>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</si>
  <si>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</si>
  <si>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</si>
  <si>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</si>
  <si>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</si>
  <si>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</si>
  <si>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</si>
  <si>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</si>
  <si>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</si>
  <si>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</si>
  <si>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</si>
  <si>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</si>
  <si>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</si>
  <si>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</si>
  <si>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</si>
  <si>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</si>
  <si>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</si>
  <si>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</si>
  <si>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</si>
  <si>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</si>
  <si>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</si>
  <si>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</si>
  <si>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</si>
  <si>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</si>
  <si>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</si>
  <si>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</si>
  <si>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</si>
  <si>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</si>
  <si>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</si>
  <si>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</si>
  <si>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</si>
  <si>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</si>
  <si>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</si>
  <si>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</si>
  <si>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</si>
  <si>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</si>
  <si>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</si>
  <si>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</si>
  <si>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</si>
  <si>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</si>
  <si>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</si>
  <si>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</si>
  <si>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</si>
  <si>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</si>
  <si>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</si>
  <si>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</si>
  <si>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</si>
  <si>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</si>
  <si>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</si>
  <si>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</si>
  <si>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</si>
  <si>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</si>
  <si>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</si>
  <si>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</si>
  <si>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</si>
  <si>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</si>
  <si>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</si>
  <si>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</si>
  <si>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</si>
  <si>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</si>
  <si>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</si>
  <si>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</si>
  <si>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</si>
  <si>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</si>
  <si>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</si>
  <si>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</si>
  <si>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</si>
  <si>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</si>
  <si>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</si>
  <si>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</si>
  <si>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</si>
  <si>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</si>
  <si>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</si>
  <si>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</si>
  <si>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</si>
  <si>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</si>
  <si>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</si>
  <si>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</si>
  <si>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</si>
  <si>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</si>
  <si>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</si>
  <si>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</si>
  <si>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</si>
  <si>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</si>
  <si>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</si>
  <si>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</si>
  <si>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</si>
  <si>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</si>
  <si>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</si>
  <si>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</si>
  <si>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</si>
  <si>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</si>
  <si>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</si>
  <si>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</si>
  <si>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</si>
  <si>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</si>
  <si>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</si>
  <si>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</si>
  <si>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</si>
  <si>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</si>
  <si>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</si>
  <si>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</si>
  <si>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</si>
  <si>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</si>
  <si>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</si>
  <si>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</si>
  <si>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</si>
  <si>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</si>
  <si>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</si>
  <si>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</si>
  <si>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</si>
  <si>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</si>
  <si>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</si>
  <si>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</si>
  <si>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</si>
  <si>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</si>
  <si>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</si>
  <si>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</si>
  <si>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</si>
  <si>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</si>
  <si>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</si>
  <si>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</si>
  <si>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</si>
  <si>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</si>
  <si>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</si>
  <si>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</si>
  <si>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</si>
  <si>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</si>
  <si>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</si>
  <si>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</si>
  <si>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</si>
  <si>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</si>
  <si>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</si>
  <si>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</si>
  <si>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</si>
  <si>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</si>
  <si>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</si>
  <si>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</si>
  <si>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</si>
  <si>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</si>
  <si>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</si>
  <si>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</si>
  <si>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</si>
  <si>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</si>
  <si>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</si>
  <si>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</si>
  <si>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</si>
  <si>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</si>
  <si>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</si>
  <si>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</si>
  <si>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</si>
  <si>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</si>
  <si>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</si>
  <si>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</si>
  <si>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</si>
  <si>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</si>
  <si>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</si>
  <si>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</si>
  <si>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</si>
  <si>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</si>
  <si>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</si>
  <si>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</si>
  <si>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</si>
  <si>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</si>
  <si>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</si>
  <si>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</si>
  <si>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</si>
  <si>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</si>
  <si>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</si>
  <si>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</si>
  <si>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</si>
  <si>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</si>
  <si>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</si>
  <si>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</si>
  <si>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</si>
  <si>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</si>
  <si>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</si>
  <si>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</si>
  <si>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</si>
  <si>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</si>
  <si>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</si>
  <si>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</si>
  <si>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</si>
  <si>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</si>
  <si>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</si>
  <si>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</si>
  <si>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</si>
  <si>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</si>
  <si>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</si>
  <si>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</si>
  <si>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</si>
  <si>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</si>
  <si>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</si>
  <si>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</si>
  <si>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</si>
  <si>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</si>
  <si>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</si>
  <si>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</si>
  <si>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DEM</t>
  </si>
  <si>
    <t>elc_*</t>
  </si>
  <si>
    <t>Price_Fuel</t>
  </si>
  <si>
    <t>Price_Electricity</t>
  </si>
  <si>
    <t>TxCost</t>
  </si>
  <si>
    <t>CO2 intensity</t>
  </si>
  <si>
    <t>Efficiency</t>
  </si>
  <si>
    <t>kg/Mwh</t>
  </si>
  <si>
    <t>pc</t>
  </si>
  <si>
    <t>Elec Fuel Consumption</t>
  </si>
  <si>
    <t>mt/TWh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</si>
</sst>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opLeftCell="C1" zoomScaleNormal="100" workbookViewId="0">
      <selection activeCell="X6" sqref="X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9.39843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1186</v>
      </c>
      <c r="X1" t="s">
        <v>1095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sg_TxCost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1103</v>
      </c>
      <c r="X5" t="s">
        <v>1239</v>
      </c>
    </row>
    <row r="6" spans="2:31">
      <c r="B6" t="str">
        <f>"vs~"&amp;TEXT(R6,"0000")</f>
        <v>vs~0001</v>
      </c>
      <c r="C6" t="str">
        <f>H6</f>
        <v>Tx1.00x·DEF·Pln·Lo·$00·CF1</v>
      </c>
      <c r="H6" t="str">
        <f>_xlfn.TEXTJOIN(CHAR(183),TRUE,AE6,AC6:AD6)&amp;CHAR(183)&amp;_xlfn.TEXTJOIN(CHAR(183),TRUE,Z6:AB6)</f>
        <v>Tx1.00x·DEF·Pln·Lo·$00·CF1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1104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1105</v>
      </c>
      <c r="X6">
        <v>1</v>
      </c>
      <c r="Z6" t="str">
        <f>S6</f>
        <v>Lo</v>
      </c>
      <c r="AA6" t="str">
        <f>TEXT(T6,"$00")</f>
        <v>$00</v>
      </c>
      <c r="AB6" t="str">
        <f>U6</f>
        <v>CF1</v>
      </c>
      <c r="AC6" t="str">
        <f>IF(V6="Y","DEF","NoDEF")</f>
        <v>DEF</v>
      </c>
      <c r="AD6" t="str">
        <f>W6</f>
        <v>Pln</v>
      </c>
      <c r="AE6" t="str">
        <f>TEXT(X6,"Tx0.00x")</f>
        <v>Tx1.00x</v>
      </c>
    </row>
    <row r="7" spans="2:31">
      <c r="B7" t="str">
        <f t="shared" ref="B7:B17" si="1">"vs~"&amp;TEXT(R7,"0000")</f>
        <v>vs~0002</v>
      </c>
      <c r="C7" t="str">
        <f t="shared" ref="C7:C17" si="2">H7</f>
        <v>Tx1.00x·DEF·Pln·Hi·$00·CF1</v>
      </c>
      <c r="H7" t="str">
        <f t="shared" ref="H7:H70" si="3">_xlfn.TEXTJOIN(CHAR(183),TRUE,AE7,AC7:AD7)&amp;CHAR(183)&amp;_xlfn.TEXTJOIN(CHAR(183),TRUE,Z7:AB7)</f>
        <v>Tx1.00x·DEF·Pln·Hi·$00·CF1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1106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1105</v>
      </c>
      <c r="X7">
        <v>1</v>
      </c>
      <c r="Z7" t="str">
        <f t="shared" ref="Z7:Z70" si="9">S7</f>
        <v>Hi</v>
      </c>
      <c r="AA7" t="str">
        <f t="shared" ref="AA7:AA70" si="10">TEXT(T7,"$00")</f>
        <v>$00</v>
      </c>
      <c r="AB7" t="str">
        <f t="shared" ref="AB7:AB70" si="11">U7</f>
        <v>CF1</v>
      </c>
      <c r="AC7" t="str">
        <f t="shared" ref="AC7:AC70" si="12">IF(V7="Y","DEF","NoDEF")</f>
        <v>DEF</v>
      </c>
      <c r="AD7" t="str">
        <f t="shared" ref="AD7:AD70" si="13">W7</f>
        <v>Pln</v>
      </c>
      <c r="AE7" t="str">
        <f t="shared" ref="AE7:AE70" si="14">TEXT(X7,"Tx0.00x")</f>
        <v>Tx1.00x</v>
      </c>
    </row>
    <row r="8" spans="2:31">
      <c r="B8" t="str">
        <f t="shared" si="1"/>
        <v>vs~0003</v>
      </c>
      <c r="C8" t="str">
        <f t="shared" si="2"/>
        <v>Tx1.00x·DEF·Pln·Lo·$95·CF1</v>
      </c>
      <c r="H8" t="str">
        <f t="shared" si="3"/>
        <v>Tx1.00x·DEF·Pln·Lo·$95·CF1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1107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1105</v>
      </c>
      <c r="X8">
        <v>1</v>
      </c>
      <c r="Z8" t="str">
        <f t="shared" si="9"/>
        <v>Lo</v>
      </c>
      <c r="AA8" t="str">
        <f t="shared" si="10"/>
        <v>$95</v>
      </c>
      <c r="AB8" t="str">
        <f t="shared" si="11"/>
        <v>CF1</v>
      </c>
      <c r="AC8" t="str">
        <f t="shared" si="12"/>
        <v>DEF</v>
      </c>
      <c r="AD8" t="str">
        <f t="shared" si="13"/>
        <v>Pln</v>
      </c>
      <c r="AE8" t="str">
        <f t="shared" si="14"/>
        <v>Tx1.00x</v>
      </c>
    </row>
    <row r="9" spans="2:31">
      <c r="B9" t="str">
        <f t="shared" si="1"/>
        <v>vs~0004</v>
      </c>
      <c r="C9" t="str">
        <f t="shared" si="2"/>
        <v>Tx1.00x·DEF·Pln·Hi·$95·CF1</v>
      </c>
      <c r="H9" t="str">
        <f t="shared" si="3"/>
        <v>Tx1.00x·DEF·Pln·Hi·$95·CF1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1108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1105</v>
      </c>
      <c r="X9">
        <v>1</v>
      </c>
      <c r="Z9" t="str">
        <f t="shared" si="9"/>
        <v>Hi</v>
      </c>
      <c r="AA9" t="str">
        <f t="shared" si="10"/>
        <v>$95</v>
      </c>
      <c r="AB9" t="str">
        <f t="shared" si="11"/>
        <v>CF1</v>
      </c>
      <c r="AC9" t="str">
        <f t="shared" si="12"/>
        <v>DEF</v>
      </c>
      <c r="AD9" t="str">
        <f t="shared" si="13"/>
        <v>Pln</v>
      </c>
      <c r="AE9" t="str">
        <f t="shared" si="14"/>
        <v>Tx1.00x</v>
      </c>
    </row>
    <row r="10" spans="2:31">
      <c r="B10" t="str">
        <f t="shared" si="1"/>
        <v>vs~0005</v>
      </c>
      <c r="C10" t="str">
        <f t="shared" si="2"/>
        <v>Tx1.00x·NoDEF·Pln·Lo·$00·CF1</v>
      </c>
      <c r="H10" t="str">
        <f t="shared" si="3"/>
        <v>Tx1.00x·NoDEF·Pln·Lo·$00·CF1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1109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1105</v>
      </c>
      <c r="X10">
        <v>1</v>
      </c>
      <c r="Z10" t="str">
        <f t="shared" si="9"/>
        <v>Lo</v>
      </c>
      <c r="AA10" t="str">
        <f t="shared" si="10"/>
        <v>$00</v>
      </c>
      <c r="AB10" t="str">
        <f t="shared" si="11"/>
        <v>CF1</v>
      </c>
      <c r="AC10" t="str">
        <f t="shared" si="12"/>
        <v>NoDEF</v>
      </c>
      <c r="AD10" t="str">
        <f t="shared" si="13"/>
        <v>Pln</v>
      </c>
      <c r="AE10" t="str">
        <f t="shared" si="14"/>
        <v>Tx1.00x</v>
      </c>
    </row>
    <row r="11" spans="2:31">
      <c r="B11" t="str">
        <f t="shared" si="1"/>
        <v>vs~0006</v>
      </c>
      <c r="C11" t="str">
        <f t="shared" si="2"/>
        <v>Tx1.00x·NoDEF·Pln·Hi·$00·CF1</v>
      </c>
      <c r="H11" t="str">
        <f t="shared" si="3"/>
        <v>Tx1.00x·NoDEF·Pln·Hi·$00·CF1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1110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1105</v>
      </c>
      <c r="X11">
        <v>1</v>
      </c>
      <c r="Z11" t="str">
        <f t="shared" si="9"/>
        <v>Hi</v>
      </c>
      <c r="AA11" t="str">
        <f t="shared" si="10"/>
        <v>$00</v>
      </c>
      <c r="AB11" t="str">
        <f t="shared" si="11"/>
        <v>CF1</v>
      </c>
      <c r="AC11" t="str">
        <f t="shared" si="12"/>
        <v>NoDEF</v>
      </c>
      <c r="AD11" t="str">
        <f t="shared" si="13"/>
        <v>Pln</v>
      </c>
      <c r="AE11" t="str">
        <f t="shared" si="14"/>
        <v>Tx1.00x</v>
      </c>
    </row>
    <row r="12" spans="2:31">
      <c r="B12" t="str">
        <f t="shared" si="1"/>
        <v>vs~0007</v>
      </c>
      <c r="C12" t="str">
        <f t="shared" si="2"/>
        <v>Tx1.00x·NoDEF·Pln·Lo·$95·CF1</v>
      </c>
      <c r="H12" t="str">
        <f t="shared" si="3"/>
        <v>Tx1.00x·NoDEF·Pln·Lo·$95·CF1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1111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1105</v>
      </c>
      <c r="X12">
        <v>1</v>
      </c>
      <c r="Z12" t="str">
        <f t="shared" si="9"/>
        <v>Lo</v>
      </c>
      <c r="AA12" t="str">
        <f t="shared" si="10"/>
        <v>$95</v>
      </c>
      <c r="AB12" t="str">
        <f t="shared" si="11"/>
        <v>CF1</v>
      </c>
      <c r="AC12" t="str">
        <f t="shared" si="12"/>
        <v>NoDEF</v>
      </c>
      <c r="AD12" t="str">
        <f t="shared" si="13"/>
        <v>Pln</v>
      </c>
      <c r="AE12" t="str">
        <f t="shared" si="14"/>
        <v>Tx1.00x</v>
      </c>
    </row>
    <row r="13" spans="2:31">
      <c r="B13" t="str">
        <f t="shared" si="1"/>
        <v>vs~0008</v>
      </c>
      <c r="C13" t="str">
        <f t="shared" si="2"/>
        <v>Tx1.00x·NoDEF·Pln·Hi·$95·CF1</v>
      </c>
      <c r="H13" t="str">
        <f t="shared" si="3"/>
        <v>Tx1.00x·NoDEF·Pln·Hi·$95·CF1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1112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1105</v>
      </c>
      <c r="X13">
        <v>1</v>
      </c>
      <c r="Z13" t="str">
        <f t="shared" si="9"/>
        <v>Hi</v>
      </c>
      <c r="AA13" t="str">
        <f t="shared" si="10"/>
        <v>$95</v>
      </c>
      <c r="AB13" t="str">
        <f t="shared" si="11"/>
        <v>CF1</v>
      </c>
      <c r="AC13" t="str">
        <f t="shared" si="12"/>
        <v>NoDEF</v>
      </c>
      <c r="AD13" t="str">
        <f t="shared" si="13"/>
        <v>Pln</v>
      </c>
      <c r="AE13" t="str">
        <f t="shared" si="14"/>
        <v>Tx1.00x</v>
      </c>
    </row>
    <row r="14" spans="2:31">
      <c r="B14" t="str">
        <f t="shared" si="1"/>
        <v>vs~0009</v>
      </c>
      <c r="C14" t="str">
        <f t="shared" si="2"/>
        <v>Tx1.00x·DEF·Pln·Lo·$00·CF6</v>
      </c>
      <c r="H14" t="str">
        <f t="shared" si="3"/>
        <v>Tx1.00x·DEF·Pln·Lo·$00·CF6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1113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1105</v>
      </c>
      <c r="X14">
        <v>1</v>
      </c>
      <c r="Z14" t="str">
        <f t="shared" si="9"/>
        <v>Lo</v>
      </c>
      <c r="AA14" t="str">
        <f t="shared" si="10"/>
        <v>$00</v>
      </c>
      <c r="AB14" t="str">
        <f t="shared" si="11"/>
        <v>CF6</v>
      </c>
      <c r="AC14" t="str">
        <f t="shared" si="12"/>
        <v>DEF</v>
      </c>
      <c r="AD14" t="str">
        <f t="shared" si="13"/>
        <v>Pln</v>
      </c>
      <c r="AE14" t="str">
        <f t="shared" si="14"/>
        <v>Tx1.00x</v>
      </c>
    </row>
    <row r="15" spans="2:31">
      <c r="B15" t="str">
        <f t="shared" si="1"/>
        <v>vs~0010</v>
      </c>
      <c r="C15" t="str">
        <f t="shared" si="2"/>
        <v>Tx1.00x·DEF·Pln·Hi·$00·CF6</v>
      </c>
      <c r="H15" t="str">
        <f t="shared" si="3"/>
        <v>Tx1.00x·DEF·Pln·Hi·$00·CF6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1114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1105</v>
      </c>
      <c r="X15">
        <v>1</v>
      </c>
      <c r="Z15" t="str">
        <f t="shared" si="9"/>
        <v>Hi</v>
      </c>
      <c r="AA15" t="str">
        <f t="shared" si="10"/>
        <v>$00</v>
      </c>
      <c r="AB15" t="str">
        <f t="shared" si="11"/>
        <v>CF6</v>
      </c>
      <c r="AC15" t="str">
        <f t="shared" si="12"/>
        <v>DEF</v>
      </c>
      <c r="AD15" t="str">
        <f t="shared" si="13"/>
        <v>Pln</v>
      </c>
      <c r="AE15" t="str">
        <f t="shared" si="14"/>
        <v>Tx1.00x</v>
      </c>
    </row>
    <row r="16" spans="2:31">
      <c r="B16" t="str">
        <f t="shared" si="1"/>
        <v>vs~0011</v>
      </c>
      <c r="C16" t="str">
        <f t="shared" si="2"/>
        <v>Tx1.00x·DEF·Pln·Lo·$95·CF6</v>
      </c>
      <c r="H16" t="str">
        <f t="shared" si="3"/>
        <v>Tx1.00x·DEF·Pln·Lo·$95·CF6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1115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1105</v>
      </c>
      <c r="X16">
        <v>1</v>
      </c>
      <c r="Z16" t="str">
        <f t="shared" si="9"/>
        <v>Lo</v>
      </c>
      <c r="AA16" t="str">
        <f t="shared" si="10"/>
        <v>$95</v>
      </c>
      <c r="AB16" t="str">
        <f t="shared" si="11"/>
        <v>CF6</v>
      </c>
      <c r="AC16" t="str">
        <f t="shared" si="12"/>
        <v>DEF</v>
      </c>
      <c r="AD16" t="str">
        <f t="shared" si="13"/>
        <v>Pln</v>
      </c>
      <c r="AE16" t="str">
        <f t="shared" si="14"/>
        <v>Tx1.00x</v>
      </c>
    </row>
    <row r="17" spans="2:31">
      <c r="B17" t="str">
        <f t="shared" si="1"/>
        <v>vs~0012</v>
      </c>
      <c r="C17" t="str">
        <f t="shared" si="2"/>
        <v>Tx1.00x·DEF·Pln·Hi·$95·CF6</v>
      </c>
      <c r="H17" t="str">
        <f t="shared" si="3"/>
        <v>Tx1.00x·DEF·Pln·Hi·$95·CF6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1116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1105</v>
      </c>
      <c r="X17">
        <v>1</v>
      </c>
      <c r="Z17" t="str">
        <f t="shared" si="9"/>
        <v>Hi</v>
      </c>
      <c r="AA17" t="str">
        <f t="shared" si="10"/>
        <v>$95</v>
      </c>
      <c r="AB17" t="str">
        <f t="shared" si="11"/>
        <v>CF6</v>
      </c>
      <c r="AC17" t="str">
        <f t="shared" si="12"/>
        <v>DEF</v>
      </c>
      <c r="AD17" t="str">
        <f t="shared" si="13"/>
        <v>Pln</v>
      </c>
      <c r="AE17" t="str">
        <f t="shared" si="14"/>
        <v>Tx1.00x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Tx1.00x·NoDEF·Pln·Lo·$00·CF6</v>
      </c>
      <c r="H18" t="str">
        <f t="shared" si="3"/>
        <v>Tx1.00x·NoDEF·Pln·Lo·$00·CF6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1117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1105</v>
      </c>
      <c r="X18">
        <v>1</v>
      </c>
      <c r="Z18" t="str">
        <f t="shared" si="9"/>
        <v>Lo</v>
      </c>
      <c r="AA18" t="str">
        <f t="shared" si="10"/>
        <v>$00</v>
      </c>
      <c r="AB18" t="str">
        <f t="shared" si="11"/>
        <v>CF6</v>
      </c>
      <c r="AC18" t="str">
        <f t="shared" si="12"/>
        <v>NoDEF</v>
      </c>
      <c r="AD18" t="str">
        <f t="shared" si="13"/>
        <v>Pln</v>
      </c>
      <c r="AE18" t="str">
        <f t="shared" si="14"/>
        <v>Tx1.00x</v>
      </c>
    </row>
    <row r="19" spans="2:31">
      <c r="B19" t="str">
        <f t="shared" si="15"/>
        <v>vs~0014</v>
      </c>
      <c r="C19" t="str">
        <f t="shared" si="16"/>
        <v>Tx1.00x·NoDEF·Pln·Hi·$00·CF6</v>
      </c>
      <c r="H19" t="str">
        <f t="shared" si="3"/>
        <v>Tx1.00x·NoDEF·Pln·Hi·$00·CF6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1118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1105</v>
      </c>
      <c r="X19">
        <v>1</v>
      </c>
      <c r="Z19" t="str">
        <f t="shared" si="9"/>
        <v>Hi</v>
      </c>
      <c r="AA19" t="str">
        <f t="shared" si="10"/>
        <v>$00</v>
      </c>
      <c r="AB19" t="str">
        <f t="shared" si="11"/>
        <v>CF6</v>
      </c>
      <c r="AC19" t="str">
        <f t="shared" si="12"/>
        <v>NoDEF</v>
      </c>
      <c r="AD19" t="str">
        <f t="shared" si="13"/>
        <v>Pln</v>
      </c>
      <c r="AE19" t="str">
        <f t="shared" si="14"/>
        <v>Tx1.00x</v>
      </c>
    </row>
    <row r="20" spans="2:31">
      <c r="B20" t="str">
        <f t="shared" si="15"/>
        <v>vs~0015</v>
      </c>
      <c r="C20" t="str">
        <f t="shared" si="16"/>
        <v>Tx1.00x·NoDEF·Pln·Lo·$95·CF6</v>
      </c>
      <c r="H20" t="str">
        <f t="shared" si="3"/>
        <v>Tx1.00x·NoDEF·Pln·Lo·$95·CF6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1119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1105</v>
      </c>
      <c r="X20">
        <v>1</v>
      </c>
      <c r="Z20" t="str">
        <f t="shared" si="9"/>
        <v>Lo</v>
      </c>
      <c r="AA20" t="str">
        <f t="shared" si="10"/>
        <v>$95</v>
      </c>
      <c r="AB20" t="str">
        <f t="shared" si="11"/>
        <v>CF6</v>
      </c>
      <c r="AC20" t="str">
        <f t="shared" si="12"/>
        <v>NoDEF</v>
      </c>
      <c r="AD20" t="str">
        <f t="shared" si="13"/>
        <v>Pln</v>
      </c>
      <c r="AE20" t="str">
        <f t="shared" si="14"/>
        <v>Tx1.00x</v>
      </c>
    </row>
    <row r="21" spans="2:31">
      <c r="B21" t="str">
        <f t="shared" si="15"/>
        <v>vs~0016</v>
      </c>
      <c r="C21" t="str">
        <f t="shared" si="16"/>
        <v>Tx1.00x·NoDEF·Pln·Hi·$95·CF6</v>
      </c>
      <c r="H21" t="str">
        <f t="shared" si="3"/>
        <v>Tx1.00x·NoDEF·Pln·Hi·$95·CF6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1120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1105</v>
      </c>
      <c r="X21">
        <v>1</v>
      </c>
      <c r="Z21" t="str">
        <f t="shared" si="9"/>
        <v>Hi</v>
      </c>
      <c r="AA21" t="str">
        <f t="shared" si="10"/>
        <v>$95</v>
      </c>
      <c r="AB21" t="str">
        <f t="shared" si="11"/>
        <v>CF6</v>
      </c>
      <c r="AC21" t="str">
        <f t="shared" si="12"/>
        <v>NoDEF</v>
      </c>
      <c r="AD21" t="str">
        <f t="shared" si="13"/>
        <v>Pln</v>
      </c>
      <c r="AE21" t="str">
        <f t="shared" si="14"/>
        <v>Tx1.00x</v>
      </c>
    </row>
    <row r="22" spans="2:31">
      <c r="B22" t="str">
        <f t="shared" si="15"/>
        <v>vs~0017</v>
      </c>
      <c r="C22" t="str">
        <f t="shared" si="16"/>
        <v>Tx0.25x·DEF·Pln·Lo·$00·CF1</v>
      </c>
      <c r="H22" t="str">
        <f t="shared" si="3"/>
        <v>Tx0.25x·DEF·Pln·Lo·$00·CF1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1121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1105</v>
      </c>
      <c r="X22">
        <v>0.25</v>
      </c>
      <c r="Z22" t="str">
        <f t="shared" si="9"/>
        <v>Lo</v>
      </c>
      <c r="AA22" t="str">
        <f t="shared" si="10"/>
        <v>$00</v>
      </c>
      <c r="AB22" t="str">
        <f t="shared" si="11"/>
        <v>CF1</v>
      </c>
      <c r="AC22" t="str">
        <f t="shared" si="12"/>
        <v>DEF</v>
      </c>
      <c r="AD22" t="str">
        <f t="shared" si="13"/>
        <v>Pln</v>
      </c>
      <c r="AE22" t="str">
        <f t="shared" si="14"/>
        <v>Tx0.25x</v>
      </c>
    </row>
    <row r="23" spans="2:31">
      <c r="B23" t="str">
        <f t="shared" si="15"/>
        <v>vs~0018</v>
      </c>
      <c r="C23" t="str">
        <f t="shared" si="16"/>
        <v>Tx0.25x·DEF·Pln·Hi·$00·CF1</v>
      </c>
      <c r="H23" t="str">
        <f t="shared" si="3"/>
        <v>Tx0.25x·DEF·Pln·Hi·$00·CF1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1122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1105</v>
      </c>
      <c r="X23">
        <v>0.25</v>
      </c>
      <c r="Z23" t="str">
        <f t="shared" si="9"/>
        <v>Hi</v>
      </c>
      <c r="AA23" t="str">
        <f t="shared" si="10"/>
        <v>$00</v>
      </c>
      <c r="AB23" t="str">
        <f t="shared" si="11"/>
        <v>CF1</v>
      </c>
      <c r="AC23" t="str">
        <f t="shared" si="12"/>
        <v>DEF</v>
      </c>
      <c r="AD23" t="str">
        <f t="shared" si="13"/>
        <v>Pln</v>
      </c>
      <c r="AE23" t="str">
        <f t="shared" si="14"/>
        <v>Tx0.25x</v>
      </c>
    </row>
    <row r="24" spans="2:31">
      <c r="B24" t="str">
        <f t="shared" si="15"/>
        <v>vs~0019</v>
      </c>
      <c r="C24" t="str">
        <f t="shared" si="16"/>
        <v>Tx0.25x·DEF·Pln·Lo·$95·CF1</v>
      </c>
      <c r="H24" t="str">
        <f t="shared" si="3"/>
        <v>Tx0.25x·DEF·Pln·Lo·$95·CF1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1123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1105</v>
      </c>
      <c r="X24">
        <v>0.25</v>
      </c>
      <c r="Z24" t="str">
        <f t="shared" si="9"/>
        <v>Lo</v>
      </c>
      <c r="AA24" t="str">
        <f t="shared" si="10"/>
        <v>$95</v>
      </c>
      <c r="AB24" t="str">
        <f t="shared" si="11"/>
        <v>CF1</v>
      </c>
      <c r="AC24" t="str">
        <f t="shared" si="12"/>
        <v>DEF</v>
      </c>
      <c r="AD24" t="str">
        <f t="shared" si="13"/>
        <v>Pln</v>
      </c>
      <c r="AE24" t="str">
        <f t="shared" si="14"/>
        <v>Tx0.25x</v>
      </c>
    </row>
    <row r="25" spans="2:31">
      <c r="B25" t="str">
        <f t="shared" si="15"/>
        <v>vs~0020</v>
      </c>
      <c r="C25" t="str">
        <f t="shared" si="16"/>
        <v>Tx0.25x·DEF·Pln·Hi·$95·CF1</v>
      </c>
      <c r="H25" t="str">
        <f t="shared" si="3"/>
        <v>Tx0.25x·DEF·Pln·Hi·$95·CF1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1124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1105</v>
      </c>
      <c r="X25">
        <v>0.25</v>
      </c>
      <c r="Z25" t="str">
        <f t="shared" si="9"/>
        <v>Hi</v>
      </c>
      <c r="AA25" t="str">
        <f t="shared" si="10"/>
        <v>$95</v>
      </c>
      <c r="AB25" t="str">
        <f t="shared" si="11"/>
        <v>CF1</v>
      </c>
      <c r="AC25" t="str">
        <f t="shared" si="12"/>
        <v>DEF</v>
      </c>
      <c r="AD25" t="str">
        <f t="shared" si="13"/>
        <v>Pln</v>
      </c>
      <c r="AE25" t="str">
        <f t="shared" si="14"/>
        <v>Tx0.25x</v>
      </c>
    </row>
    <row r="26" spans="2:31">
      <c r="B26" t="str">
        <f t="shared" si="15"/>
        <v>vs~0021</v>
      </c>
      <c r="C26" t="str">
        <f t="shared" si="16"/>
        <v>Tx0.25x·NoDEF·Pln·Lo·$00·CF1</v>
      </c>
      <c r="H26" t="str">
        <f t="shared" si="3"/>
        <v>Tx0.25x·NoDEF·Pln·Lo·$00·CF1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1125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1105</v>
      </c>
      <c r="X26">
        <v>0.25</v>
      </c>
      <c r="Z26" t="str">
        <f t="shared" si="9"/>
        <v>Lo</v>
      </c>
      <c r="AA26" t="str">
        <f t="shared" si="10"/>
        <v>$00</v>
      </c>
      <c r="AB26" t="str">
        <f t="shared" si="11"/>
        <v>CF1</v>
      </c>
      <c r="AC26" t="str">
        <f t="shared" si="12"/>
        <v>NoDEF</v>
      </c>
      <c r="AD26" t="str">
        <f t="shared" si="13"/>
        <v>Pln</v>
      </c>
      <c r="AE26" t="str">
        <f t="shared" si="14"/>
        <v>Tx0.25x</v>
      </c>
    </row>
    <row r="27" spans="2:31">
      <c r="B27" t="str">
        <f t="shared" si="15"/>
        <v>vs~0022</v>
      </c>
      <c r="C27" t="str">
        <f t="shared" si="16"/>
        <v>Tx0.25x·NoDEF·Pln·Hi·$00·CF1</v>
      </c>
      <c r="H27" t="str">
        <f t="shared" si="3"/>
        <v>Tx0.25x·NoDEF·Pln·Hi·$00·CF1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1126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1105</v>
      </c>
      <c r="X27">
        <v>0.25</v>
      </c>
      <c r="Z27" t="str">
        <f t="shared" si="9"/>
        <v>Hi</v>
      </c>
      <c r="AA27" t="str">
        <f t="shared" si="10"/>
        <v>$00</v>
      </c>
      <c r="AB27" t="str">
        <f t="shared" si="11"/>
        <v>CF1</v>
      </c>
      <c r="AC27" t="str">
        <f t="shared" si="12"/>
        <v>NoDEF</v>
      </c>
      <c r="AD27" t="str">
        <f t="shared" si="13"/>
        <v>Pln</v>
      </c>
      <c r="AE27" t="str">
        <f t="shared" si="14"/>
        <v>Tx0.25x</v>
      </c>
    </row>
    <row r="28" spans="2:31">
      <c r="B28" t="str">
        <f t="shared" si="15"/>
        <v>vs~0023</v>
      </c>
      <c r="C28" t="str">
        <f t="shared" si="16"/>
        <v>Tx0.25x·NoDEF·Pln·Lo·$95·CF1</v>
      </c>
      <c r="H28" t="str">
        <f t="shared" si="3"/>
        <v>Tx0.25x·NoDEF·Pln·Lo·$95·CF1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1127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1105</v>
      </c>
      <c r="X28">
        <v>0.25</v>
      </c>
      <c r="Z28" t="str">
        <f t="shared" si="9"/>
        <v>Lo</v>
      </c>
      <c r="AA28" t="str">
        <f t="shared" si="10"/>
        <v>$95</v>
      </c>
      <c r="AB28" t="str">
        <f t="shared" si="11"/>
        <v>CF1</v>
      </c>
      <c r="AC28" t="str">
        <f t="shared" si="12"/>
        <v>NoDEF</v>
      </c>
      <c r="AD28" t="str">
        <f t="shared" si="13"/>
        <v>Pln</v>
      </c>
      <c r="AE28" t="str">
        <f t="shared" si="14"/>
        <v>Tx0.25x</v>
      </c>
    </row>
    <row r="29" spans="2:31">
      <c r="B29" t="str">
        <f t="shared" si="15"/>
        <v>vs~0024</v>
      </c>
      <c r="C29" t="str">
        <f t="shared" si="16"/>
        <v>Tx0.25x·NoDEF·Pln·Hi·$95·CF1</v>
      </c>
      <c r="H29" t="str">
        <f t="shared" si="3"/>
        <v>Tx0.25x·NoDEF·Pln·Hi·$95·CF1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1128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1105</v>
      </c>
      <c r="X29">
        <v>0.25</v>
      </c>
      <c r="Z29" t="str">
        <f t="shared" si="9"/>
        <v>Hi</v>
      </c>
      <c r="AA29" t="str">
        <f t="shared" si="10"/>
        <v>$95</v>
      </c>
      <c r="AB29" t="str">
        <f t="shared" si="11"/>
        <v>CF1</v>
      </c>
      <c r="AC29" t="str">
        <f t="shared" si="12"/>
        <v>NoDEF</v>
      </c>
      <c r="AD29" t="str">
        <f t="shared" si="13"/>
        <v>Pln</v>
      </c>
      <c r="AE29" t="str">
        <f t="shared" si="14"/>
        <v>Tx0.25x</v>
      </c>
    </row>
    <row r="30" spans="2:31">
      <c r="B30" t="str">
        <f t="shared" si="15"/>
        <v>vs~0025</v>
      </c>
      <c r="C30" t="str">
        <f t="shared" si="16"/>
        <v>Tx0.25x·DEF·Pln·Lo·$00·CF6</v>
      </c>
      <c r="H30" t="str">
        <f t="shared" si="3"/>
        <v>Tx0.25x·DEF·Pln·Lo·$00·CF6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1129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1105</v>
      </c>
      <c r="X30">
        <v>0.25</v>
      </c>
      <c r="Z30" t="str">
        <f t="shared" si="9"/>
        <v>Lo</v>
      </c>
      <c r="AA30" t="str">
        <f t="shared" si="10"/>
        <v>$00</v>
      </c>
      <c r="AB30" t="str">
        <f t="shared" si="11"/>
        <v>CF6</v>
      </c>
      <c r="AC30" t="str">
        <f t="shared" si="12"/>
        <v>DEF</v>
      </c>
      <c r="AD30" t="str">
        <f t="shared" si="13"/>
        <v>Pln</v>
      </c>
      <c r="AE30" t="str">
        <f t="shared" si="14"/>
        <v>Tx0.25x</v>
      </c>
    </row>
    <row r="31" spans="2:31">
      <c r="B31" t="str">
        <f t="shared" si="15"/>
        <v>vs~0026</v>
      </c>
      <c r="C31" t="str">
        <f t="shared" si="16"/>
        <v>Tx0.25x·DEF·Pln·Hi·$00·CF6</v>
      </c>
      <c r="H31" t="str">
        <f t="shared" si="3"/>
        <v>Tx0.25x·DEF·Pln·Hi·$00·CF6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1130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1105</v>
      </c>
      <c r="X31">
        <v>0.25</v>
      </c>
      <c r="Z31" t="str">
        <f t="shared" si="9"/>
        <v>Hi</v>
      </c>
      <c r="AA31" t="str">
        <f t="shared" si="10"/>
        <v>$00</v>
      </c>
      <c r="AB31" t="str">
        <f t="shared" si="11"/>
        <v>CF6</v>
      </c>
      <c r="AC31" t="str">
        <f t="shared" si="12"/>
        <v>DEF</v>
      </c>
      <c r="AD31" t="str">
        <f t="shared" si="13"/>
        <v>Pln</v>
      </c>
      <c r="AE31" t="str">
        <f t="shared" si="14"/>
        <v>Tx0.25x</v>
      </c>
    </row>
    <row r="32" spans="2:31">
      <c r="B32" t="str">
        <f t="shared" si="15"/>
        <v>vs~0027</v>
      </c>
      <c r="C32" t="str">
        <f t="shared" si="16"/>
        <v>Tx0.25x·DEF·Pln·Lo·$95·CF6</v>
      </c>
      <c r="H32" t="str">
        <f t="shared" si="3"/>
        <v>Tx0.25x·DEF·Pln·Lo·$95·CF6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1131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1105</v>
      </c>
      <c r="X32">
        <v>0.25</v>
      </c>
      <c r="Z32" t="str">
        <f t="shared" si="9"/>
        <v>Lo</v>
      </c>
      <c r="AA32" t="str">
        <f t="shared" si="10"/>
        <v>$95</v>
      </c>
      <c r="AB32" t="str">
        <f t="shared" si="11"/>
        <v>CF6</v>
      </c>
      <c r="AC32" t="str">
        <f t="shared" si="12"/>
        <v>DEF</v>
      </c>
      <c r="AD32" t="str">
        <f t="shared" si="13"/>
        <v>Pln</v>
      </c>
      <c r="AE32" t="str">
        <f t="shared" si="14"/>
        <v>Tx0.25x</v>
      </c>
    </row>
    <row r="33" spans="2:31">
      <c r="B33" t="str">
        <f t="shared" si="15"/>
        <v>vs~0028</v>
      </c>
      <c r="C33" t="str">
        <f t="shared" si="16"/>
        <v>Tx0.25x·DEF·Pln·Hi·$95·CF6</v>
      </c>
      <c r="H33" t="str">
        <f t="shared" si="3"/>
        <v>Tx0.25x·DEF·Pln·Hi·$95·CF6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1132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1105</v>
      </c>
      <c r="X33">
        <v>0.25</v>
      </c>
      <c r="Z33" t="str">
        <f t="shared" si="9"/>
        <v>Hi</v>
      </c>
      <c r="AA33" t="str">
        <f t="shared" si="10"/>
        <v>$95</v>
      </c>
      <c r="AB33" t="str">
        <f t="shared" si="11"/>
        <v>CF6</v>
      </c>
      <c r="AC33" t="str">
        <f t="shared" si="12"/>
        <v>DEF</v>
      </c>
      <c r="AD33" t="str">
        <f t="shared" si="13"/>
        <v>Pln</v>
      </c>
      <c r="AE33" t="str">
        <f t="shared" si="14"/>
        <v>Tx0.25x</v>
      </c>
    </row>
    <row r="34" spans="2:31">
      <c r="B34" t="str">
        <f t="shared" si="15"/>
        <v>vs~0029</v>
      </c>
      <c r="C34" t="str">
        <f t="shared" si="16"/>
        <v>Tx0.25x·NoDEF·Pln·Lo·$00·CF6</v>
      </c>
      <c r="H34" t="str">
        <f t="shared" si="3"/>
        <v>Tx0.25x·NoDEF·Pln·Lo·$00·CF6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1133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1105</v>
      </c>
      <c r="X34">
        <v>0.25</v>
      </c>
      <c r="Z34" t="str">
        <f t="shared" si="9"/>
        <v>Lo</v>
      </c>
      <c r="AA34" t="str">
        <f t="shared" si="10"/>
        <v>$00</v>
      </c>
      <c r="AB34" t="str">
        <f t="shared" si="11"/>
        <v>CF6</v>
      </c>
      <c r="AC34" t="str">
        <f t="shared" si="12"/>
        <v>NoDEF</v>
      </c>
      <c r="AD34" t="str">
        <f t="shared" si="13"/>
        <v>Pln</v>
      </c>
      <c r="AE34" t="str">
        <f t="shared" si="14"/>
        <v>Tx0.25x</v>
      </c>
    </row>
    <row r="35" spans="2:31">
      <c r="B35" t="str">
        <f t="shared" si="15"/>
        <v>vs~0030</v>
      </c>
      <c r="C35" t="str">
        <f t="shared" si="16"/>
        <v>Tx0.25x·NoDEF·Pln·Hi·$00·CF6</v>
      </c>
      <c r="H35" t="str">
        <f t="shared" si="3"/>
        <v>Tx0.25x·NoDEF·Pln·Hi·$00·CF6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1134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1105</v>
      </c>
      <c r="X35">
        <v>0.25</v>
      </c>
      <c r="Z35" t="str">
        <f t="shared" si="9"/>
        <v>Hi</v>
      </c>
      <c r="AA35" t="str">
        <f t="shared" si="10"/>
        <v>$00</v>
      </c>
      <c r="AB35" t="str">
        <f t="shared" si="11"/>
        <v>CF6</v>
      </c>
      <c r="AC35" t="str">
        <f t="shared" si="12"/>
        <v>NoDEF</v>
      </c>
      <c r="AD35" t="str">
        <f t="shared" si="13"/>
        <v>Pln</v>
      </c>
      <c r="AE35" t="str">
        <f t="shared" si="14"/>
        <v>Tx0.25x</v>
      </c>
    </row>
    <row r="36" spans="2:31">
      <c r="B36" t="str">
        <f t="shared" si="15"/>
        <v>vs~0031</v>
      </c>
      <c r="C36" t="str">
        <f t="shared" si="16"/>
        <v>Tx0.25x·NoDEF·Pln·Lo·$95·CF6</v>
      </c>
      <c r="H36" t="str">
        <f t="shared" si="3"/>
        <v>Tx0.25x·NoDEF·Pln·Lo·$95·CF6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1135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1105</v>
      </c>
      <c r="X36">
        <v>0.25</v>
      </c>
      <c r="Z36" t="str">
        <f t="shared" si="9"/>
        <v>Lo</v>
      </c>
      <c r="AA36" t="str">
        <f t="shared" si="10"/>
        <v>$95</v>
      </c>
      <c r="AB36" t="str">
        <f t="shared" si="11"/>
        <v>CF6</v>
      </c>
      <c r="AC36" t="str">
        <f t="shared" si="12"/>
        <v>NoDEF</v>
      </c>
      <c r="AD36" t="str">
        <f t="shared" si="13"/>
        <v>Pln</v>
      </c>
      <c r="AE36" t="str">
        <f t="shared" si="14"/>
        <v>Tx0.25x</v>
      </c>
    </row>
    <row r="37" spans="2:31">
      <c r="B37" t="str">
        <f t="shared" si="15"/>
        <v>vs~0032</v>
      </c>
      <c r="C37" t="str">
        <f t="shared" si="16"/>
        <v>Tx0.25x·NoDEF·Pln·Hi·$95·CF6</v>
      </c>
      <c r="H37" t="str">
        <f t="shared" si="3"/>
        <v>Tx0.25x·NoDEF·Pln·Hi·$95·CF6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1136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1105</v>
      </c>
      <c r="X37">
        <v>0.25</v>
      </c>
      <c r="Z37" t="str">
        <f t="shared" si="9"/>
        <v>Hi</v>
      </c>
      <c r="AA37" t="str">
        <f t="shared" si="10"/>
        <v>$95</v>
      </c>
      <c r="AB37" t="str">
        <f t="shared" si="11"/>
        <v>CF6</v>
      </c>
      <c r="AC37" t="str">
        <f t="shared" si="12"/>
        <v>NoDEF</v>
      </c>
      <c r="AD37" t="str">
        <f t="shared" si="13"/>
        <v>Pln</v>
      </c>
      <c r="AE37" t="str">
        <f t="shared" si="14"/>
        <v>Tx0.25x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Tx2.00x·DEF·Pln·Lo·$00·CF1</v>
      </c>
      <c r="H38" t="str">
        <f t="shared" si="3"/>
        <v>Tx2.00x·DEF·Pln·Lo·$00·CF1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1137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1105</v>
      </c>
      <c r="X38">
        <v>2</v>
      </c>
      <c r="Z38" t="str">
        <f t="shared" si="9"/>
        <v>Lo</v>
      </c>
      <c r="AA38" t="str">
        <f t="shared" si="10"/>
        <v>$00</v>
      </c>
      <c r="AB38" t="str">
        <f t="shared" si="11"/>
        <v>CF1</v>
      </c>
      <c r="AC38" t="str">
        <f t="shared" si="12"/>
        <v>DEF</v>
      </c>
      <c r="AD38" t="str">
        <f t="shared" si="13"/>
        <v>Pln</v>
      </c>
      <c r="AE38" t="str">
        <f t="shared" si="14"/>
        <v>Tx2.00x</v>
      </c>
    </row>
    <row r="39" spans="2:31">
      <c r="B39" t="str">
        <f t="shared" si="17"/>
        <v>vs~0034</v>
      </c>
      <c r="C39" t="str">
        <f t="shared" si="18"/>
        <v>Tx2.00x·DEF·Pln·Hi·$00·CF1</v>
      </c>
      <c r="H39" t="str">
        <f t="shared" si="3"/>
        <v>Tx2.00x·DEF·Pln·Hi·$00·CF1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1138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1105</v>
      </c>
      <c r="X39">
        <v>2</v>
      </c>
      <c r="Z39" t="str">
        <f t="shared" si="9"/>
        <v>Hi</v>
      </c>
      <c r="AA39" t="str">
        <f t="shared" si="10"/>
        <v>$00</v>
      </c>
      <c r="AB39" t="str">
        <f t="shared" si="11"/>
        <v>CF1</v>
      </c>
      <c r="AC39" t="str">
        <f t="shared" si="12"/>
        <v>DEF</v>
      </c>
      <c r="AD39" t="str">
        <f t="shared" si="13"/>
        <v>Pln</v>
      </c>
      <c r="AE39" t="str">
        <f t="shared" si="14"/>
        <v>Tx2.00x</v>
      </c>
    </row>
    <row r="40" spans="2:31">
      <c r="B40" t="str">
        <f t="shared" si="17"/>
        <v>vs~0035</v>
      </c>
      <c r="C40" t="str">
        <f t="shared" si="18"/>
        <v>Tx2.00x·DEF·Pln·Lo·$95·CF1</v>
      </c>
      <c r="H40" t="str">
        <f t="shared" si="3"/>
        <v>Tx2.00x·DEF·Pln·Lo·$95·CF1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1139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1105</v>
      </c>
      <c r="X40">
        <v>2</v>
      </c>
      <c r="Z40" t="str">
        <f t="shared" si="9"/>
        <v>Lo</v>
      </c>
      <c r="AA40" t="str">
        <f t="shared" si="10"/>
        <v>$95</v>
      </c>
      <c r="AB40" t="str">
        <f t="shared" si="11"/>
        <v>CF1</v>
      </c>
      <c r="AC40" t="str">
        <f t="shared" si="12"/>
        <v>DEF</v>
      </c>
      <c r="AD40" t="str">
        <f t="shared" si="13"/>
        <v>Pln</v>
      </c>
      <c r="AE40" t="str">
        <f t="shared" si="14"/>
        <v>Tx2.00x</v>
      </c>
    </row>
    <row r="41" spans="2:31">
      <c r="B41" t="str">
        <f t="shared" si="17"/>
        <v>vs~0036</v>
      </c>
      <c r="C41" t="str">
        <f t="shared" si="18"/>
        <v>Tx2.00x·DEF·Pln·Hi·$95·CF1</v>
      </c>
      <c r="H41" t="str">
        <f t="shared" si="3"/>
        <v>Tx2.00x·DEF·Pln·Hi·$95·CF1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1140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1105</v>
      </c>
      <c r="X41">
        <v>2</v>
      </c>
      <c r="Z41" t="str">
        <f t="shared" si="9"/>
        <v>Hi</v>
      </c>
      <c r="AA41" t="str">
        <f t="shared" si="10"/>
        <v>$95</v>
      </c>
      <c r="AB41" t="str">
        <f t="shared" si="11"/>
        <v>CF1</v>
      </c>
      <c r="AC41" t="str">
        <f t="shared" si="12"/>
        <v>DEF</v>
      </c>
      <c r="AD41" t="str">
        <f t="shared" si="13"/>
        <v>Pln</v>
      </c>
      <c r="AE41" t="str">
        <f t="shared" si="14"/>
        <v>Tx2.00x</v>
      </c>
    </row>
    <row r="42" spans="2:31">
      <c r="B42" t="str">
        <f t="shared" si="17"/>
        <v>vs~0037</v>
      </c>
      <c r="C42" t="str">
        <f t="shared" si="18"/>
        <v>Tx2.00x·NoDEF·Pln·Lo·$00·CF1</v>
      </c>
      <c r="H42" t="str">
        <f t="shared" si="3"/>
        <v>Tx2.00x·NoDEF·Pln·Lo·$00·CF1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1141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1105</v>
      </c>
      <c r="X42">
        <v>2</v>
      </c>
      <c r="Z42" t="str">
        <f t="shared" si="9"/>
        <v>Lo</v>
      </c>
      <c r="AA42" t="str">
        <f t="shared" si="10"/>
        <v>$00</v>
      </c>
      <c r="AB42" t="str">
        <f t="shared" si="11"/>
        <v>CF1</v>
      </c>
      <c r="AC42" t="str">
        <f t="shared" si="12"/>
        <v>NoDEF</v>
      </c>
      <c r="AD42" t="str">
        <f t="shared" si="13"/>
        <v>Pln</v>
      </c>
      <c r="AE42" t="str">
        <f t="shared" si="14"/>
        <v>Tx2.00x</v>
      </c>
    </row>
    <row r="43" spans="2:31">
      <c r="B43" t="str">
        <f t="shared" si="17"/>
        <v>vs~0038</v>
      </c>
      <c r="C43" t="str">
        <f t="shared" si="18"/>
        <v>Tx2.00x·NoDEF·Pln·Hi·$00·CF1</v>
      </c>
      <c r="H43" t="str">
        <f t="shared" si="3"/>
        <v>Tx2.00x·NoDEF·Pln·Hi·$00·CF1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1142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1105</v>
      </c>
      <c r="X43">
        <v>2</v>
      </c>
      <c r="Z43" t="str">
        <f t="shared" si="9"/>
        <v>Hi</v>
      </c>
      <c r="AA43" t="str">
        <f t="shared" si="10"/>
        <v>$00</v>
      </c>
      <c r="AB43" t="str">
        <f t="shared" si="11"/>
        <v>CF1</v>
      </c>
      <c r="AC43" t="str">
        <f t="shared" si="12"/>
        <v>NoDEF</v>
      </c>
      <c r="AD43" t="str">
        <f t="shared" si="13"/>
        <v>Pln</v>
      </c>
      <c r="AE43" t="str">
        <f t="shared" si="14"/>
        <v>Tx2.00x</v>
      </c>
    </row>
    <row r="44" spans="2:31">
      <c r="B44" t="str">
        <f t="shared" si="17"/>
        <v>vs~0039</v>
      </c>
      <c r="C44" t="str">
        <f t="shared" si="18"/>
        <v>Tx2.00x·NoDEF·Pln·Lo·$95·CF1</v>
      </c>
      <c r="H44" t="str">
        <f t="shared" si="3"/>
        <v>Tx2.00x·NoDEF·Pln·Lo·$95·CF1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1143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1105</v>
      </c>
      <c r="X44">
        <v>2</v>
      </c>
      <c r="Z44" t="str">
        <f t="shared" si="9"/>
        <v>Lo</v>
      </c>
      <c r="AA44" t="str">
        <f t="shared" si="10"/>
        <v>$95</v>
      </c>
      <c r="AB44" t="str">
        <f t="shared" si="11"/>
        <v>CF1</v>
      </c>
      <c r="AC44" t="str">
        <f t="shared" si="12"/>
        <v>NoDEF</v>
      </c>
      <c r="AD44" t="str">
        <f t="shared" si="13"/>
        <v>Pln</v>
      </c>
      <c r="AE44" t="str">
        <f t="shared" si="14"/>
        <v>Tx2.00x</v>
      </c>
    </row>
    <row r="45" spans="2:31">
      <c r="B45" t="str">
        <f t="shared" si="17"/>
        <v>vs~0040</v>
      </c>
      <c r="C45" t="str">
        <f t="shared" si="18"/>
        <v>Tx2.00x·NoDEF·Pln·Hi·$95·CF1</v>
      </c>
      <c r="H45" t="str">
        <f t="shared" si="3"/>
        <v>Tx2.00x·NoDEF·Pln·Hi·$95·CF1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1144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1105</v>
      </c>
      <c r="X45">
        <v>2</v>
      </c>
      <c r="Z45" t="str">
        <f t="shared" si="9"/>
        <v>Hi</v>
      </c>
      <c r="AA45" t="str">
        <f t="shared" si="10"/>
        <v>$95</v>
      </c>
      <c r="AB45" t="str">
        <f t="shared" si="11"/>
        <v>CF1</v>
      </c>
      <c r="AC45" t="str">
        <f t="shared" si="12"/>
        <v>NoDEF</v>
      </c>
      <c r="AD45" t="str">
        <f t="shared" si="13"/>
        <v>Pln</v>
      </c>
      <c r="AE45" t="str">
        <f t="shared" si="14"/>
        <v>Tx2.00x</v>
      </c>
    </row>
    <row r="46" spans="2:31">
      <c r="B46" t="str">
        <f t="shared" si="17"/>
        <v>vs~0041</v>
      </c>
      <c r="C46" t="str">
        <f t="shared" si="18"/>
        <v>Tx2.00x·DEF·Pln·Lo·$00·CF6</v>
      </c>
      <c r="H46" t="str">
        <f t="shared" si="3"/>
        <v>Tx2.00x·DEF·Pln·Lo·$00·CF6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1145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1105</v>
      </c>
      <c r="X46">
        <v>2</v>
      </c>
      <c r="Z46" t="str">
        <f t="shared" si="9"/>
        <v>Lo</v>
      </c>
      <c r="AA46" t="str">
        <f t="shared" si="10"/>
        <v>$00</v>
      </c>
      <c r="AB46" t="str">
        <f t="shared" si="11"/>
        <v>CF6</v>
      </c>
      <c r="AC46" t="str">
        <f t="shared" si="12"/>
        <v>DEF</v>
      </c>
      <c r="AD46" t="str">
        <f t="shared" si="13"/>
        <v>Pln</v>
      </c>
      <c r="AE46" t="str">
        <f t="shared" si="14"/>
        <v>Tx2.00x</v>
      </c>
    </row>
    <row r="47" spans="2:31">
      <c r="B47" t="str">
        <f t="shared" si="17"/>
        <v>vs~0042</v>
      </c>
      <c r="C47" t="str">
        <f t="shared" si="18"/>
        <v>Tx2.00x·DEF·Pln·Hi·$00·CF6</v>
      </c>
      <c r="H47" t="str">
        <f t="shared" si="3"/>
        <v>Tx2.00x·DEF·Pln·Hi·$00·CF6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1146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1105</v>
      </c>
      <c r="X47">
        <v>2</v>
      </c>
      <c r="Z47" t="str">
        <f t="shared" si="9"/>
        <v>Hi</v>
      </c>
      <c r="AA47" t="str">
        <f t="shared" si="10"/>
        <v>$00</v>
      </c>
      <c r="AB47" t="str">
        <f t="shared" si="11"/>
        <v>CF6</v>
      </c>
      <c r="AC47" t="str">
        <f t="shared" si="12"/>
        <v>DEF</v>
      </c>
      <c r="AD47" t="str">
        <f t="shared" si="13"/>
        <v>Pln</v>
      </c>
      <c r="AE47" t="str">
        <f t="shared" si="14"/>
        <v>Tx2.00x</v>
      </c>
    </row>
    <row r="48" spans="2:31">
      <c r="B48" t="str">
        <f t="shared" si="17"/>
        <v>vs~0043</v>
      </c>
      <c r="C48" t="str">
        <f t="shared" si="18"/>
        <v>Tx2.00x·DEF·Pln·Lo·$95·CF6</v>
      </c>
      <c r="H48" t="str">
        <f t="shared" si="3"/>
        <v>Tx2.00x·DEF·Pln·Lo·$95·CF6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1147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1105</v>
      </c>
      <c r="X48">
        <v>2</v>
      </c>
      <c r="Z48" t="str">
        <f t="shared" si="9"/>
        <v>Lo</v>
      </c>
      <c r="AA48" t="str">
        <f t="shared" si="10"/>
        <v>$95</v>
      </c>
      <c r="AB48" t="str">
        <f t="shared" si="11"/>
        <v>CF6</v>
      </c>
      <c r="AC48" t="str">
        <f t="shared" si="12"/>
        <v>DEF</v>
      </c>
      <c r="AD48" t="str">
        <f t="shared" si="13"/>
        <v>Pln</v>
      </c>
      <c r="AE48" t="str">
        <f t="shared" si="14"/>
        <v>Tx2.00x</v>
      </c>
    </row>
    <row r="49" spans="2:31">
      <c r="B49" t="str">
        <f t="shared" si="17"/>
        <v>vs~0044</v>
      </c>
      <c r="C49" t="str">
        <f t="shared" si="18"/>
        <v>Tx2.00x·DEF·Pln·Hi·$95·CF6</v>
      </c>
      <c r="H49" t="str">
        <f t="shared" si="3"/>
        <v>Tx2.00x·DEF·Pln·Hi·$95·CF6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1148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1105</v>
      </c>
      <c r="X49">
        <v>2</v>
      </c>
      <c r="Z49" t="str">
        <f t="shared" si="9"/>
        <v>Hi</v>
      </c>
      <c r="AA49" t="str">
        <f t="shared" si="10"/>
        <v>$95</v>
      </c>
      <c r="AB49" t="str">
        <f t="shared" si="11"/>
        <v>CF6</v>
      </c>
      <c r="AC49" t="str">
        <f t="shared" si="12"/>
        <v>DEF</v>
      </c>
      <c r="AD49" t="str">
        <f t="shared" si="13"/>
        <v>Pln</v>
      </c>
      <c r="AE49" t="str">
        <f t="shared" si="14"/>
        <v>Tx2.00x</v>
      </c>
    </row>
    <row r="50" spans="2:31">
      <c r="B50" t="str">
        <f t="shared" si="17"/>
        <v>vs~0045</v>
      </c>
      <c r="C50" t="str">
        <f t="shared" si="18"/>
        <v>Tx2.00x·NoDEF·Pln·Lo·$00·CF6</v>
      </c>
      <c r="H50" t="str">
        <f t="shared" si="3"/>
        <v>Tx2.00x·NoDEF·Pln·Lo·$00·CF6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1149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1105</v>
      </c>
      <c r="X50">
        <v>2</v>
      </c>
      <c r="Z50" t="str">
        <f t="shared" si="9"/>
        <v>Lo</v>
      </c>
      <c r="AA50" t="str">
        <f t="shared" si="10"/>
        <v>$00</v>
      </c>
      <c r="AB50" t="str">
        <f t="shared" si="11"/>
        <v>CF6</v>
      </c>
      <c r="AC50" t="str">
        <f t="shared" si="12"/>
        <v>NoDEF</v>
      </c>
      <c r="AD50" t="str">
        <f t="shared" si="13"/>
        <v>Pln</v>
      </c>
      <c r="AE50" t="str">
        <f t="shared" si="14"/>
        <v>Tx2.00x</v>
      </c>
    </row>
    <row r="51" spans="2:31">
      <c r="B51" t="str">
        <f t="shared" si="17"/>
        <v>vs~0046</v>
      </c>
      <c r="C51" t="str">
        <f t="shared" si="18"/>
        <v>Tx2.00x·NoDEF·Pln·Hi·$00·CF6</v>
      </c>
      <c r="H51" t="str">
        <f t="shared" si="3"/>
        <v>Tx2.00x·NoDEF·Pln·Hi·$00·CF6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1150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1105</v>
      </c>
      <c r="X51">
        <v>2</v>
      </c>
      <c r="Z51" t="str">
        <f t="shared" si="9"/>
        <v>Hi</v>
      </c>
      <c r="AA51" t="str">
        <f t="shared" si="10"/>
        <v>$00</v>
      </c>
      <c r="AB51" t="str">
        <f t="shared" si="11"/>
        <v>CF6</v>
      </c>
      <c r="AC51" t="str">
        <f t="shared" si="12"/>
        <v>NoDEF</v>
      </c>
      <c r="AD51" t="str">
        <f t="shared" si="13"/>
        <v>Pln</v>
      </c>
      <c r="AE51" t="str">
        <f t="shared" si="14"/>
        <v>Tx2.00x</v>
      </c>
    </row>
    <row r="52" spans="2:31">
      <c r="B52" t="str">
        <f t="shared" si="17"/>
        <v>vs~0047</v>
      </c>
      <c r="C52" t="str">
        <f t="shared" si="18"/>
        <v>Tx2.00x·NoDEF·Pln·Lo·$95·CF6</v>
      </c>
      <c r="H52" t="str">
        <f t="shared" si="3"/>
        <v>Tx2.00x·NoDEF·Pln·Lo·$95·CF6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1151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1105</v>
      </c>
      <c r="X52">
        <v>2</v>
      </c>
      <c r="Z52" t="str">
        <f t="shared" si="9"/>
        <v>Lo</v>
      </c>
      <c r="AA52" t="str">
        <f t="shared" si="10"/>
        <v>$95</v>
      </c>
      <c r="AB52" t="str">
        <f t="shared" si="11"/>
        <v>CF6</v>
      </c>
      <c r="AC52" t="str">
        <f t="shared" si="12"/>
        <v>NoDEF</v>
      </c>
      <c r="AD52" t="str">
        <f t="shared" si="13"/>
        <v>Pln</v>
      </c>
      <c r="AE52" t="str">
        <f t="shared" si="14"/>
        <v>Tx2.00x</v>
      </c>
    </row>
    <row r="53" spans="2:31">
      <c r="B53" t="str">
        <f t="shared" si="17"/>
        <v>vs~0048</v>
      </c>
      <c r="C53" t="str">
        <f t="shared" si="18"/>
        <v>Tx2.00x·NoDEF·Pln·Hi·$95·CF6</v>
      </c>
      <c r="H53" t="str">
        <f t="shared" si="3"/>
        <v>Tx2.00x·NoDEF·Pln·Hi·$95·CF6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1152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1105</v>
      </c>
      <c r="X53">
        <v>2</v>
      </c>
      <c r="Z53" t="str">
        <f t="shared" si="9"/>
        <v>Hi</v>
      </c>
      <c r="AA53" t="str">
        <f t="shared" si="10"/>
        <v>$95</v>
      </c>
      <c r="AB53" t="str">
        <f t="shared" si="11"/>
        <v>CF6</v>
      </c>
      <c r="AC53" t="str">
        <f t="shared" si="12"/>
        <v>NoDEF</v>
      </c>
      <c r="AD53" t="str">
        <f t="shared" si="13"/>
        <v>Pln</v>
      </c>
      <c r="AE53" t="str">
        <f t="shared" si="14"/>
        <v>Tx2.00x</v>
      </c>
    </row>
    <row r="54" spans="2:31">
      <c r="B54" t="str">
        <f t="shared" ref="B54:B69" si="23">"vs~"&amp;TEXT(R54,"0000")</f>
        <v>vs~0049</v>
      </c>
      <c r="C54" t="str">
        <f t="shared" ref="C54:C69" si="24">H54</f>
        <v>Tx0.10x·DEF·Pln·Lo·$00·CF1</v>
      </c>
      <c r="H54" t="str">
        <f t="shared" si="3"/>
        <v>Tx0.10x·DEF·Pln·Lo·$00·CF1</v>
      </c>
      <c r="I54" t="str">
        <f t="shared" ref="I54:I69" si="25">S54</f>
        <v>Lo</v>
      </c>
      <c r="J54" t="str">
        <f t="shared" ref="J54:J69" si="26">TEXT(T54,"00")</f>
        <v>00</v>
      </c>
      <c r="K54" t="str">
        <f t="shared" ref="K54:K69" si="27">U54</f>
        <v>CF1</v>
      </c>
      <c r="L54" t="str">
        <f t="shared" ref="L54:M69" si="28">V54</f>
        <v>Y</v>
      </c>
      <c r="M54" t="str">
        <f t="shared" si="28"/>
        <v>Pln</v>
      </c>
      <c r="N54" t="str">
        <f t="shared" si="8"/>
        <v>0.10</v>
      </c>
      <c r="P54">
        <v>5</v>
      </c>
      <c r="Q54" t="s">
        <v>1153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1105</v>
      </c>
      <c r="X54">
        <v>0.1</v>
      </c>
      <c r="Z54" t="str">
        <f t="shared" si="9"/>
        <v>Lo</v>
      </c>
      <c r="AA54" t="str">
        <f t="shared" si="10"/>
        <v>$00</v>
      </c>
      <c r="AB54" t="str">
        <f t="shared" si="11"/>
        <v>CF1</v>
      </c>
      <c r="AC54" t="str">
        <f t="shared" si="12"/>
        <v>DEF</v>
      </c>
      <c r="AD54" t="str">
        <f t="shared" si="13"/>
        <v>Pln</v>
      </c>
      <c r="AE54" t="str">
        <f t="shared" si="14"/>
        <v>Tx0.10x</v>
      </c>
    </row>
    <row r="55" spans="2:31">
      <c r="B55" t="str">
        <f t="shared" si="23"/>
        <v>vs~0050</v>
      </c>
      <c r="C55" t="str">
        <f t="shared" si="24"/>
        <v>Tx0.10x·DEF·Pln·Hi·$00·CF1</v>
      </c>
      <c r="H55" t="str">
        <f t="shared" si="3"/>
        <v>Tx0.10x·DEF·Pln·Hi·$00·CF1</v>
      </c>
      <c r="I55" t="str">
        <f t="shared" si="25"/>
        <v>Hi</v>
      </c>
      <c r="J55" t="str">
        <f t="shared" si="26"/>
        <v>00</v>
      </c>
      <c r="K55" t="str">
        <f t="shared" si="27"/>
        <v>CF1</v>
      </c>
      <c r="L55" t="str">
        <f t="shared" si="28"/>
        <v>Y</v>
      </c>
      <c r="M55" t="str">
        <f t="shared" si="28"/>
        <v>Pln</v>
      </c>
      <c r="N55" t="str">
        <f t="shared" si="8"/>
        <v>0.10</v>
      </c>
      <c r="P55">
        <v>5</v>
      </c>
      <c r="Q55" t="s">
        <v>1154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1105</v>
      </c>
      <c r="X55">
        <v>0.1</v>
      </c>
      <c r="Z55" t="str">
        <f t="shared" si="9"/>
        <v>Hi</v>
      </c>
      <c r="AA55" t="str">
        <f t="shared" si="10"/>
        <v>$00</v>
      </c>
      <c r="AB55" t="str">
        <f t="shared" si="11"/>
        <v>CF1</v>
      </c>
      <c r="AC55" t="str">
        <f t="shared" si="12"/>
        <v>DEF</v>
      </c>
      <c r="AD55" t="str">
        <f t="shared" si="13"/>
        <v>Pln</v>
      </c>
      <c r="AE55" t="str">
        <f t="shared" si="14"/>
        <v>Tx0.10x</v>
      </c>
    </row>
    <row r="56" spans="2:31">
      <c r="B56" t="str">
        <f t="shared" si="23"/>
        <v>vs~0051</v>
      </c>
      <c r="C56" t="str">
        <f t="shared" si="24"/>
        <v>Tx0.10x·DEF·Pln·Lo·$95·CF1</v>
      </c>
      <c r="H56" t="str">
        <f t="shared" si="3"/>
        <v>Tx0.10x·DEF·Pln·Lo·$95·CF1</v>
      </c>
      <c r="I56" t="str">
        <f t="shared" si="25"/>
        <v>Lo</v>
      </c>
      <c r="J56" t="str">
        <f t="shared" si="26"/>
        <v>95</v>
      </c>
      <c r="K56" t="str">
        <f t="shared" si="27"/>
        <v>CF1</v>
      </c>
      <c r="L56" t="str">
        <f t="shared" si="28"/>
        <v>Y</v>
      </c>
      <c r="M56" t="str">
        <f t="shared" si="28"/>
        <v>Pln</v>
      </c>
      <c r="N56" t="str">
        <f t="shared" si="8"/>
        <v>0.10</v>
      </c>
      <c r="P56">
        <v>5</v>
      </c>
      <c r="Q56" t="s">
        <v>1155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1105</v>
      </c>
      <c r="X56">
        <v>0.1</v>
      </c>
      <c r="Z56" t="str">
        <f t="shared" si="9"/>
        <v>Lo</v>
      </c>
      <c r="AA56" t="str">
        <f t="shared" si="10"/>
        <v>$95</v>
      </c>
      <c r="AB56" t="str">
        <f t="shared" si="11"/>
        <v>CF1</v>
      </c>
      <c r="AC56" t="str">
        <f t="shared" si="12"/>
        <v>DEF</v>
      </c>
      <c r="AD56" t="str">
        <f t="shared" si="13"/>
        <v>Pln</v>
      </c>
      <c r="AE56" t="str">
        <f t="shared" si="14"/>
        <v>Tx0.10x</v>
      </c>
    </row>
    <row r="57" spans="2:31">
      <c r="B57" t="str">
        <f t="shared" si="23"/>
        <v>vs~0052</v>
      </c>
      <c r="C57" t="str">
        <f t="shared" si="24"/>
        <v>Tx0.10x·DEF·Pln·Hi·$95·CF1</v>
      </c>
      <c r="H57" t="str">
        <f t="shared" si="3"/>
        <v>Tx0.10x·DEF·Pln·Hi·$95·CF1</v>
      </c>
      <c r="I57" t="str">
        <f t="shared" si="25"/>
        <v>Hi</v>
      </c>
      <c r="J57" t="str">
        <f t="shared" si="26"/>
        <v>95</v>
      </c>
      <c r="K57" t="str">
        <f t="shared" si="27"/>
        <v>CF1</v>
      </c>
      <c r="L57" t="str">
        <f t="shared" si="28"/>
        <v>Y</v>
      </c>
      <c r="M57" t="str">
        <f t="shared" si="28"/>
        <v>Pln</v>
      </c>
      <c r="N57" t="str">
        <f t="shared" si="8"/>
        <v>0.10</v>
      </c>
      <c r="P57">
        <v>5</v>
      </c>
      <c r="Q57" t="s">
        <v>1156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1105</v>
      </c>
      <c r="X57">
        <v>0.1</v>
      </c>
      <c r="Z57" t="str">
        <f t="shared" si="9"/>
        <v>Hi</v>
      </c>
      <c r="AA57" t="str">
        <f t="shared" si="10"/>
        <v>$95</v>
      </c>
      <c r="AB57" t="str">
        <f t="shared" si="11"/>
        <v>CF1</v>
      </c>
      <c r="AC57" t="str">
        <f t="shared" si="12"/>
        <v>DEF</v>
      </c>
      <c r="AD57" t="str">
        <f t="shared" si="13"/>
        <v>Pln</v>
      </c>
      <c r="AE57" t="str">
        <f t="shared" si="14"/>
        <v>Tx0.10x</v>
      </c>
    </row>
    <row r="58" spans="2:31">
      <c r="B58" t="str">
        <f t="shared" si="23"/>
        <v>vs~0053</v>
      </c>
      <c r="C58" t="str">
        <f t="shared" si="24"/>
        <v>Tx0.10x·NoDEF·Pln·Lo·$00·CF1</v>
      </c>
      <c r="H58" t="str">
        <f t="shared" si="3"/>
        <v>Tx0.10x·NoDEF·Pln·Lo·$00·CF1</v>
      </c>
      <c r="I58" t="str">
        <f t="shared" si="25"/>
        <v>Lo</v>
      </c>
      <c r="J58" t="str">
        <f t="shared" si="26"/>
        <v>00</v>
      </c>
      <c r="K58" t="str">
        <f t="shared" si="27"/>
        <v>CF1</v>
      </c>
      <c r="L58" t="str">
        <f t="shared" si="28"/>
        <v>N</v>
      </c>
      <c r="M58" t="str">
        <f t="shared" si="28"/>
        <v>Pln</v>
      </c>
      <c r="N58" t="str">
        <f t="shared" si="8"/>
        <v>0.10</v>
      </c>
      <c r="P58">
        <v>5</v>
      </c>
      <c r="Q58" t="s">
        <v>1157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1105</v>
      </c>
      <c r="X58">
        <v>0.1</v>
      </c>
      <c r="Z58" t="str">
        <f t="shared" si="9"/>
        <v>Lo</v>
      </c>
      <c r="AA58" t="str">
        <f t="shared" si="10"/>
        <v>$00</v>
      </c>
      <c r="AB58" t="str">
        <f t="shared" si="11"/>
        <v>CF1</v>
      </c>
      <c r="AC58" t="str">
        <f t="shared" si="12"/>
        <v>NoDEF</v>
      </c>
      <c r="AD58" t="str">
        <f t="shared" si="13"/>
        <v>Pln</v>
      </c>
      <c r="AE58" t="str">
        <f t="shared" si="14"/>
        <v>Tx0.10x</v>
      </c>
    </row>
    <row r="59" spans="2:31">
      <c r="B59" t="str">
        <f t="shared" si="23"/>
        <v>vs~0054</v>
      </c>
      <c r="C59" t="str">
        <f t="shared" si="24"/>
        <v>Tx0.10x·NoDEF·Pln·Hi·$00·CF1</v>
      </c>
      <c r="H59" t="str">
        <f t="shared" si="3"/>
        <v>Tx0.10x·NoDEF·Pln·Hi·$00·CF1</v>
      </c>
      <c r="I59" t="str">
        <f t="shared" si="25"/>
        <v>Hi</v>
      </c>
      <c r="J59" t="str">
        <f t="shared" si="26"/>
        <v>00</v>
      </c>
      <c r="K59" t="str">
        <f t="shared" si="27"/>
        <v>CF1</v>
      </c>
      <c r="L59" t="str">
        <f t="shared" si="28"/>
        <v>N</v>
      </c>
      <c r="M59" t="str">
        <f t="shared" si="28"/>
        <v>Pln</v>
      </c>
      <c r="N59" t="str">
        <f t="shared" si="8"/>
        <v>0.10</v>
      </c>
      <c r="P59">
        <v>5</v>
      </c>
      <c r="Q59" t="s">
        <v>1158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1105</v>
      </c>
      <c r="X59">
        <v>0.1</v>
      </c>
      <c r="Z59" t="str">
        <f t="shared" si="9"/>
        <v>Hi</v>
      </c>
      <c r="AA59" t="str">
        <f t="shared" si="10"/>
        <v>$00</v>
      </c>
      <c r="AB59" t="str">
        <f t="shared" si="11"/>
        <v>CF1</v>
      </c>
      <c r="AC59" t="str">
        <f t="shared" si="12"/>
        <v>NoDEF</v>
      </c>
      <c r="AD59" t="str">
        <f t="shared" si="13"/>
        <v>Pln</v>
      </c>
      <c r="AE59" t="str">
        <f t="shared" si="14"/>
        <v>Tx0.10x</v>
      </c>
    </row>
    <row r="60" spans="2:31">
      <c r="B60" t="str">
        <f t="shared" si="23"/>
        <v>vs~0055</v>
      </c>
      <c r="C60" t="str">
        <f t="shared" si="24"/>
        <v>Tx0.10x·NoDEF·Pln·Lo·$95·CF1</v>
      </c>
      <c r="H60" t="str">
        <f t="shared" si="3"/>
        <v>Tx0.10x·NoDEF·Pln·Lo·$95·CF1</v>
      </c>
      <c r="I60" t="str">
        <f t="shared" si="25"/>
        <v>Lo</v>
      </c>
      <c r="J60" t="str">
        <f t="shared" si="26"/>
        <v>95</v>
      </c>
      <c r="K60" t="str">
        <f t="shared" si="27"/>
        <v>CF1</v>
      </c>
      <c r="L60" t="str">
        <f t="shared" si="28"/>
        <v>N</v>
      </c>
      <c r="M60" t="str">
        <f t="shared" si="28"/>
        <v>Pln</v>
      </c>
      <c r="N60" t="str">
        <f t="shared" si="8"/>
        <v>0.10</v>
      </c>
      <c r="P60">
        <v>5</v>
      </c>
      <c r="Q60" t="s">
        <v>1159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1105</v>
      </c>
      <c r="X60">
        <v>0.1</v>
      </c>
      <c r="Z60" t="str">
        <f t="shared" si="9"/>
        <v>Lo</v>
      </c>
      <c r="AA60" t="str">
        <f t="shared" si="10"/>
        <v>$95</v>
      </c>
      <c r="AB60" t="str">
        <f t="shared" si="11"/>
        <v>CF1</v>
      </c>
      <c r="AC60" t="str">
        <f t="shared" si="12"/>
        <v>NoDEF</v>
      </c>
      <c r="AD60" t="str">
        <f t="shared" si="13"/>
        <v>Pln</v>
      </c>
      <c r="AE60" t="str">
        <f t="shared" si="14"/>
        <v>Tx0.10x</v>
      </c>
    </row>
    <row r="61" spans="2:31">
      <c r="B61" t="str">
        <f t="shared" si="23"/>
        <v>vs~0056</v>
      </c>
      <c r="C61" t="str">
        <f t="shared" si="24"/>
        <v>Tx0.10x·NoDEF·Pln·Hi·$95·CF1</v>
      </c>
      <c r="H61" t="str">
        <f t="shared" si="3"/>
        <v>Tx0.10x·NoDEF·Pln·Hi·$95·CF1</v>
      </c>
      <c r="I61" t="str">
        <f t="shared" si="25"/>
        <v>Hi</v>
      </c>
      <c r="J61" t="str">
        <f t="shared" si="26"/>
        <v>95</v>
      </c>
      <c r="K61" t="str">
        <f t="shared" si="27"/>
        <v>CF1</v>
      </c>
      <c r="L61" t="str">
        <f t="shared" si="28"/>
        <v>N</v>
      </c>
      <c r="M61" t="str">
        <f t="shared" si="28"/>
        <v>Pln</v>
      </c>
      <c r="N61" t="str">
        <f t="shared" si="8"/>
        <v>0.10</v>
      </c>
      <c r="P61">
        <v>5</v>
      </c>
      <c r="Q61" t="s">
        <v>1160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1105</v>
      </c>
      <c r="X61">
        <v>0.1</v>
      </c>
      <c r="Z61" t="str">
        <f t="shared" si="9"/>
        <v>Hi</v>
      </c>
      <c r="AA61" t="str">
        <f t="shared" si="10"/>
        <v>$95</v>
      </c>
      <c r="AB61" t="str">
        <f t="shared" si="11"/>
        <v>CF1</v>
      </c>
      <c r="AC61" t="str">
        <f t="shared" si="12"/>
        <v>NoDEF</v>
      </c>
      <c r="AD61" t="str">
        <f t="shared" si="13"/>
        <v>Pln</v>
      </c>
      <c r="AE61" t="str">
        <f t="shared" si="14"/>
        <v>Tx0.10x</v>
      </c>
    </row>
    <row r="62" spans="2:31">
      <c r="B62" t="str">
        <f t="shared" si="23"/>
        <v>vs~0057</v>
      </c>
      <c r="C62" t="str">
        <f t="shared" si="24"/>
        <v>Tx0.10x·DEF·Pln·Lo·$00·CF6</v>
      </c>
      <c r="H62" t="str">
        <f t="shared" si="3"/>
        <v>Tx0.10x·DEF·Pln·Lo·$00·CF6</v>
      </c>
      <c r="I62" t="str">
        <f t="shared" si="25"/>
        <v>Lo</v>
      </c>
      <c r="J62" t="str">
        <f t="shared" si="26"/>
        <v>00</v>
      </c>
      <c r="K62" t="str">
        <f t="shared" si="27"/>
        <v>CF6</v>
      </c>
      <c r="L62" t="str">
        <f t="shared" si="28"/>
        <v>Y</v>
      </c>
      <c r="M62" t="str">
        <f t="shared" si="28"/>
        <v>Pln</v>
      </c>
      <c r="N62" t="str">
        <f t="shared" si="8"/>
        <v>0.10</v>
      </c>
      <c r="P62">
        <v>5</v>
      </c>
      <c r="Q62" t="s">
        <v>1161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1105</v>
      </c>
      <c r="X62">
        <v>0.1</v>
      </c>
      <c r="Z62" t="str">
        <f t="shared" si="9"/>
        <v>Lo</v>
      </c>
      <c r="AA62" t="str">
        <f t="shared" si="10"/>
        <v>$00</v>
      </c>
      <c r="AB62" t="str">
        <f t="shared" si="11"/>
        <v>CF6</v>
      </c>
      <c r="AC62" t="str">
        <f t="shared" si="12"/>
        <v>DEF</v>
      </c>
      <c r="AD62" t="str">
        <f t="shared" si="13"/>
        <v>Pln</v>
      </c>
      <c r="AE62" t="str">
        <f t="shared" si="14"/>
        <v>Tx0.10x</v>
      </c>
    </row>
    <row r="63" spans="2:31">
      <c r="B63" t="str">
        <f t="shared" si="23"/>
        <v>vs~0058</v>
      </c>
      <c r="C63" t="str">
        <f t="shared" si="24"/>
        <v>Tx0.10x·DEF·Pln·Hi·$00·CF6</v>
      </c>
      <c r="H63" t="str">
        <f t="shared" si="3"/>
        <v>Tx0.10x·DEF·Pln·Hi·$00·CF6</v>
      </c>
      <c r="I63" t="str">
        <f t="shared" si="25"/>
        <v>Hi</v>
      </c>
      <c r="J63" t="str">
        <f t="shared" si="26"/>
        <v>00</v>
      </c>
      <c r="K63" t="str">
        <f t="shared" si="27"/>
        <v>CF6</v>
      </c>
      <c r="L63" t="str">
        <f t="shared" si="28"/>
        <v>Y</v>
      </c>
      <c r="M63" t="str">
        <f t="shared" si="28"/>
        <v>Pln</v>
      </c>
      <c r="N63" t="str">
        <f t="shared" si="8"/>
        <v>0.10</v>
      </c>
      <c r="P63">
        <v>5</v>
      </c>
      <c r="Q63" t="s">
        <v>1162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1105</v>
      </c>
      <c r="X63">
        <v>0.1</v>
      </c>
      <c r="Z63" t="str">
        <f t="shared" si="9"/>
        <v>Hi</v>
      </c>
      <c r="AA63" t="str">
        <f t="shared" si="10"/>
        <v>$00</v>
      </c>
      <c r="AB63" t="str">
        <f t="shared" si="11"/>
        <v>CF6</v>
      </c>
      <c r="AC63" t="str">
        <f t="shared" si="12"/>
        <v>DEF</v>
      </c>
      <c r="AD63" t="str">
        <f t="shared" si="13"/>
        <v>Pln</v>
      </c>
      <c r="AE63" t="str">
        <f t="shared" si="14"/>
        <v>Tx0.10x</v>
      </c>
    </row>
    <row r="64" spans="2:31">
      <c r="B64" t="str">
        <f t="shared" si="23"/>
        <v>vs~0059</v>
      </c>
      <c r="C64" t="str">
        <f t="shared" si="24"/>
        <v>Tx0.10x·DEF·Pln·Lo·$95·CF6</v>
      </c>
      <c r="H64" t="str">
        <f t="shared" si="3"/>
        <v>Tx0.10x·DEF·Pln·Lo·$95·CF6</v>
      </c>
      <c r="I64" t="str">
        <f t="shared" si="25"/>
        <v>Lo</v>
      </c>
      <c r="J64" t="str">
        <f t="shared" si="26"/>
        <v>95</v>
      </c>
      <c r="K64" t="str">
        <f t="shared" si="27"/>
        <v>CF6</v>
      </c>
      <c r="L64" t="str">
        <f t="shared" si="28"/>
        <v>Y</v>
      </c>
      <c r="M64" t="str">
        <f t="shared" si="28"/>
        <v>Pln</v>
      </c>
      <c r="N64" t="str">
        <f t="shared" si="8"/>
        <v>0.10</v>
      </c>
      <c r="P64">
        <v>5</v>
      </c>
      <c r="Q64" t="s">
        <v>1163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1105</v>
      </c>
      <c r="X64">
        <v>0.1</v>
      </c>
      <c r="Z64" t="str">
        <f t="shared" si="9"/>
        <v>Lo</v>
      </c>
      <c r="AA64" t="str">
        <f t="shared" si="10"/>
        <v>$95</v>
      </c>
      <c r="AB64" t="str">
        <f t="shared" si="11"/>
        <v>CF6</v>
      </c>
      <c r="AC64" t="str">
        <f t="shared" si="12"/>
        <v>DEF</v>
      </c>
      <c r="AD64" t="str">
        <f t="shared" si="13"/>
        <v>Pln</v>
      </c>
      <c r="AE64" t="str">
        <f t="shared" si="14"/>
        <v>Tx0.10x</v>
      </c>
    </row>
    <row r="65" spans="2:31">
      <c r="B65" t="str">
        <f t="shared" si="23"/>
        <v>vs~0060</v>
      </c>
      <c r="C65" t="str">
        <f t="shared" si="24"/>
        <v>Tx0.10x·DEF·Pln·Hi·$95·CF6</v>
      </c>
      <c r="H65" t="str">
        <f t="shared" si="3"/>
        <v>Tx0.10x·DEF·Pln·Hi·$95·CF6</v>
      </c>
      <c r="I65" t="str">
        <f t="shared" si="25"/>
        <v>Hi</v>
      </c>
      <c r="J65" t="str">
        <f t="shared" si="26"/>
        <v>95</v>
      </c>
      <c r="K65" t="str">
        <f t="shared" si="27"/>
        <v>CF6</v>
      </c>
      <c r="L65" t="str">
        <f t="shared" si="28"/>
        <v>Y</v>
      </c>
      <c r="M65" t="str">
        <f t="shared" si="28"/>
        <v>Pln</v>
      </c>
      <c r="N65" t="str">
        <f t="shared" si="8"/>
        <v>0.10</v>
      </c>
      <c r="P65">
        <v>5</v>
      </c>
      <c r="Q65" t="s">
        <v>1164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1105</v>
      </c>
      <c r="X65">
        <v>0.1</v>
      </c>
      <c r="Z65" t="str">
        <f t="shared" si="9"/>
        <v>Hi</v>
      </c>
      <c r="AA65" t="str">
        <f t="shared" si="10"/>
        <v>$95</v>
      </c>
      <c r="AB65" t="str">
        <f t="shared" si="11"/>
        <v>CF6</v>
      </c>
      <c r="AC65" t="str">
        <f t="shared" si="12"/>
        <v>DEF</v>
      </c>
      <c r="AD65" t="str">
        <f t="shared" si="13"/>
        <v>Pln</v>
      </c>
      <c r="AE65" t="str">
        <f t="shared" si="14"/>
        <v>Tx0.10x</v>
      </c>
    </row>
    <row r="66" spans="2:31">
      <c r="B66" t="str">
        <f t="shared" si="23"/>
        <v>vs~0061</v>
      </c>
      <c r="C66" t="str">
        <f t="shared" si="24"/>
        <v>Tx0.10x·NoDEF·Pln·Lo·$00·CF6</v>
      </c>
      <c r="H66" t="str">
        <f t="shared" si="3"/>
        <v>Tx0.10x·NoDEF·Pln·Lo·$00·CF6</v>
      </c>
      <c r="I66" t="str">
        <f t="shared" si="25"/>
        <v>Lo</v>
      </c>
      <c r="J66" t="str">
        <f t="shared" si="26"/>
        <v>00</v>
      </c>
      <c r="K66" t="str">
        <f t="shared" si="27"/>
        <v>CF6</v>
      </c>
      <c r="L66" t="str">
        <f t="shared" si="28"/>
        <v>N</v>
      </c>
      <c r="M66" t="str">
        <f t="shared" si="28"/>
        <v>Pln</v>
      </c>
      <c r="N66" t="str">
        <f t="shared" si="8"/>
        <v>0.10</v>
      </c>
      <c r="P66">
        <v>5</v>
      </c>
      <c r="Q66" t="s">
        <v>1165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1105</v>
      </c>
      <c r="X66">
        <v>0.1</v>
      </c>
      <c r="Z66" t="str">
        <f t="shared" si="9"/>
        <v>Lo</v>
      </c>
      <c r="AA66" t="str">
        <f t="shared" si="10"/>
        <v>$00</v>
      </c>
      <c r="AB66" t="str">
        <f t="shared" si="11"/>
        <v>CF6</v>
      </c>
      <c r="AC66" t="str">
        <f t="shared" si="12"/>
        <v>NoDEF</v>
      </c>
      <c r="AD66" t="str">
        <f t="shared" si="13"/>
        <v>Pln</v>
      </c>
      <c r="AE66" t="str">
        <f t="shared" si="14"/>
        <v>Tx0.10x</v>
      </c>
    </row>
    <row r="67" spans="2:31">
      <c r="B67" t="str">
        <f t="shared" si="23"/>
        <v>vs~0062</v>
      </c>
      <c r="C67" t="str">
        <f t="shared" si="24"/>
        <v>Tx0.10x·NoDEF·Pln·Hi·$00·CF6</v>
      </c>
      <c r="H67" t="str">
        <f t="shared" si="3"/>
        <v>Tx0.10x·NoDEF·Pln·Hi·$00·CF6</v>
      </c>
      <c r="I67" t="str">
        <f t="shared" si="25"/>
        <v>Hi</v>
      </c>
      <c r="J67" t="str">
        <f t="shared" si="26"/>
        <v>00</v>
      </c>
      <c r="K67" t="str">
        <f t="shared" si="27"/>
        <v>CF6</v>
      </c>
      <c r="L67" t="str">
        <f t="shared" si="28"/>
        <v>N</v>
      </c>
      <c r="M67" t="str">
        <f t="shared" si="28"/>
        <v>Pln</v>
      </c>
      <c r="N67" t="str">
        <f t="shared" si="8"/>
        <v>0.10</v>
      </c>
      <c r="P67">
        <v>5</v>
      </c>
      <c r="Q67" t="s">
        <v>1166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1105</v>
      </c>
      <c r="X67">
        <v>0.1</v>
      </c>
      <c r="Z67" t="str">
        <f t="shared" si="9"/>
        <v>Hi</v>
      </c>
      <c r="AA67" t="str">
        <f t="shared" si="10"/>
        <v>$00</v>
      </c>
      <c r="AB67" t="str">
        <f t="shared" si="11"/>
        <v>CF6</v>
      </c>
      <c r="AC67" t="str">
        <f t="shared" si="12"/>
        <v>NoDEF</v>
      </c>
      <c r="AD67" t="str">
        <f t="shared" si="13"/>
        <v>Pln</v>
      </c>
      <c r="AE67" t="str">
        <f t="shared" si="14"/>
        <v>Tx0.10x</v>
      </c>
    </row>
    <row r="68" spans="2:31">
      <c r="B68" t="str">
        <f t="shared" si="23"/>
        <v>vs~0063</v>
      </c>
      <c r="C68" t="str">
        <f t="shared" si="24"/>
        <v>Tx0.10x·NoDEF·Pln·Lo·$95·CF6</v>
      </c>
      <c r="H68" t="str">
        <f t="shared" si="3"/>
        <v>Tx0.10x·NoDEF·Pln·Lo·$95·CF6</v>
      </c>
      <c r="I68" t="str">
        <f t="shared" si="25"/>
        <v>Lo</v>
      </c>
      <c r="J68" t="str">
        <f t="shared" si="26"/>
        <v>95</v>
      </c>
      <c r="K68" t="str">
        <f t="shared" si="27"/>
        <v>CF6</v>
      </c>
      <c r="L68" t="str">
        <f t="shared" si="28"/>
        <v>N</v>
      </c>
      <c r="M68" t="str">
        <f t="shared" si="28"/>
        <v>Pln</v>
      </c>
      <c r="N68" t="str">
        <f t="shared" si="8"/>
        <v>0.10</v>
      </c>
      <c r="P68">
        <v>5</v>
      </c>
      <c r="Q68" t="s">
        <v>1167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1105</v>
      </c>
      <c r="X68">
        <v>0.1</v>
      </c>
      <c r="Z68" t="str">
        <f t="shared" si="9"/>
        <v>Lo</v>
      </c>
      <c r="AA68" t="str">
        <f t="shared" si="10"/>
        <v>$95</v>
      </c>
      <c r="AB68" t="str">
        <f t="shared" si="11"/>
        <v>CF6</v>
      </c>
      <c r="AC68" t="str">
        <f t="shared" si="12"/>
        <v>NoDEF</v>
      </c>
      <c r="AD68" t="str">
        <f t="shared" si="13"/>
        <v>Pln</v>
      </c>
      <c r="AE68" t="str">
        <f t="shared" si="14"/>
        <v>Tx0.10x</v>
      </c>
    </row>
    <row r="69" spans="2:31">
      <c r="B69" t="str">
        <f t="shared" si="23"/>
        <v>vs~0064</v>
      </c>
      <c r="C69" t="str">
        <f t="shared" si="24"/>
        <v>Tx0.10x·NoDEF·Pln·Hi·$95·CF6</v>
      </c>
      <c r="H69" t="str">
        <f t="shared" si="3"/>
        <v>Tx0.10x·NoDEF·Pln·Hi·$95·CF6</v>
      </c>
      <c r="I69" t="str">
        <f t="shared" si="25"/>
        <v>Hi</v>
      </c>
      <c r="J69" t="str">
        <f t="shared" si="26"/>
        <v>95</v>
      </c>
      <c r="K69" t="str">
        <f t="shared" si="27"/>
        <v>CF6</v>
      </c>
      <c r="L69" t="str">
        <f t="shared" si="28"/>
        <v>N</v>
      </c>
      <c r="M69" t="str">
        <f t="shared" si="28"/>
        <v>Pln</v>
      </c>
      <c r="N69" t="str">
        <f t="shared" si="8"/>
        <v>0.10</v>
      </c>
      <c r="P69">
        <v>5</v>
      </c>
      <c r="Q69" t="s">
        <v>1168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1105</v>
      </c>
      <c r="X69">
        <v>0.1</v>
      </c>
      <c r="Z69" t="str">
        <f t="shared" si="9"/>
        <v>Hi</v>
      </c>
      <c r="AA69" t="str">
        <f t="shared" si="10"/>
        <v>$95</v>
      </c>
      <c r="AB69" t="str">
        <f t="shared" si="11"/>
        <v>CF6</v>
      </c>
      <c r="AC69" t="str">
        <f t="shared" si="12"/>
        <v>NoDEF</v>
      </c>
      <c r="AD69" t="str">
        <f t="shared" si="13"/>
        <v>Pln</v>
      </c>
      <c r="AE69" t="str">
        <f t="shared" si="14"/>
        <v>Tx0.10x</v>
      </c>
    </row>
    <row r="70" spans="2:31">
      <c r="B70" t="str">
        <f t="shared" ref="B70:B133" si="29">"vs~"&amp;TEXT(R70,"0000")</f>
        <v>vs~0065</v>
      </c>
      <c r="C70" t="str">
        <f t="shared" ref="C70:C133" si="30">H70</f>
        <v>Tx1.00x·DEF·Eco·Lo·$00·CF1</v>
      </c>
      <c r="H70" t="str">
        <f t="shared" si="3"/>
        <v>Tx1.00x·DEF·Eco·Lo·$00·CF1</v>
      </c>
      <c r="I70" t="str">
        <f t="shared" ref="I70:I133" si="31">S70</f>
        <v>Lo</v>
      </c>
      <c r="J70" t="str">
        <f t="shared" ref="J70:J133" si="32">TEXT(T70,"00")</f>
        <v>00</v>
      </c>
      <c r="K70" t="str">
        <f t="shared" ref="K70:K133" si="33">U70</f>
        <v>CF1</v>
      </c>
      <c r="L70" t="str">
        <f t="shared" ref="L70:L133" si="34">V70</f>
        <v>Y</v>
      </c>
      <c r="M70" t="str">
        <f t="shared" ref="M70:M133" si="35">W70</f>
        <v>Eco</v>
      </c>
      <c r="N70" t="str">
        <f t="shared" ref="N70:N133" si="36">TEXT(X70,"0.00")</f>
        <v>1.00</v>
      </c>
      <c r="P70">
        <v>5</v>
      </c>
      <c r="Q70" t="s">
        <v>1187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1170</v>
      </c>
      <c r="X70">
        <v>1</v>
      </c>
      <c r="Z70" t="str">
        <f t="shared" si="9"/>
        <v>Lo</v>
      </c>
      <c r="AA70" t="str">
        <f t="shared" si="10"/>
        <v>$00</v>
      </c>
      <c r="AB70" t="str">
        <f t="shared" si="11"/>
        <v>CF1</v>
      </c>
      <c r="AC70" t="str">
        <f t="shared" si="12"/>
        <v>DEF</v>
      </c>
      <c r="AD70" t="str">
        <f t="shared" si="13"/>
        <v>Eco</v>
      </c>
      <c r="AE70" t="str">
        <f t="shared" si="14"/>
        <v>Tx1.00x</v>
      </c>
    </row>
    <row r="71" spans="2:31">
      <c r="B71" t="str">
        <f t="shared" si="29"/>
        <v>vs~0066</v>
      </c>
      <c r="C71" t="str">
        <f t="shared" si="30"/>
        <v>Tx1.00x·DEF·Eco·Hi·$00·CF1</v>
      </c>
      <c r="H71" t="str">
        <f t="shared" ref="H71:H133" si="37">_xlfn.TEXTJOIN(CHAR(183),TRUE,AE71,AC71:AD71)&amp;CHAR(183)&amp;_xlfn.TEXTJOIN(CHAR(183),TRUE,Z71:AB71)</f>
        <v>Tx1.00x·DEF·Eco·Hi·$00·CF1</v>
      </c>
      <c r="I71" t="str">
        <f t="shared" si="31"/>
        <v>Hi</v>
      </c>
      <c r="J71" t="str">
        <f t="shared" si="32"/>
        <v>00</v>
      </c>
      <c r="K71" t="str">
        <f t="shared" si="33"/>
        <v>CF1</v>
      </c>
      <c r="L71" t="str">
        <f t="shared" si="34"/>
        <v>Y</v>
      </c>
      <c r="M71" t="str">
        <f t="shared" si="35"/>
        <v>Eco</v>
      </c>
      <c r="N71" t="str">
        <f t="shared" si="36"/>
        <v>1.00</v>
      </c>
      <c r="P71">
        <v>5</v>
      </c>
      <c r="Q71" t="s">
        <v>1188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1170</v>
      </c>
      <c r="X71">
        <v>1</v>
      </c>
      <c r="Z71" t="str">
        <f t="shared" ref="Z71:Z133" si="38">S71</f>
        <v>Hi</v>
      </c>
      <c r="AA71" t="str">
        <f t="shared" ref="AA71:AA133" si="39">TEXT(T71,"$00")</f>
        <v>$00</v>
      </c>
      <c r="AB71" t="str">
        <f t="shared" ref="AB71:AB133" si="40">U71</f>
        <v>CF1</v>
      </c>
      <c r="AC71" t="str">
        <f t="shared" ref="AC71:AC133" si="41">IF(V71="Y","DEF","NoDEF")</f>
        <v>DEF</v>
      </c>
      <c r="AD71" t="str">
        <f t="shared" ref="AD71:AD133" si="42">W71</f>
        <v>Eco</v>
      </c>
      <c r="AE71" t="str">
        <f t="shared" ref="AE71:AE133" si="43">TEXT(X71,"Tx0.00x")</f>
        <v>Tx1.00x</v>
      </c>
    </row>
    <row r="72" spans="2:31">
      <c r="B72" t="str">
        <f t="shared" si="29"/>
        <v>vs~0067</v>
      </c>
      <c r="C72" t="str">
        <f t="shared" si="30"/>
        <v>Tx1.00x·DEF·Eco·Lo·$95·CF1</v>
      </c>
      <c r="H72" t="str">
        <f t="shared" si="37"/>
        <v>Tx1.00x·DEF·Eco·Lo·$95·CF1</v>
      </c>
      <c r="I72" t="str">
        <f t="shared" si="31"/>
        <v>Lo</v>
      </c>
      <c r="J72" t="str">
        <f t="shared" si="32"/>
        <v>95</v>
      </c>
      <c r="K72" t="str">
        <f t="shared" si="33"/>
        <v>CF1</v>
      </c>
      <c r="L72" t="str">
        <f t="shared" si="34"/>
        <v>Y</v>
      </c>
      <c r="M72" t="str">
        <f t="shared" si="35"/>
        <v>Eco</v>
      </c>
      <c r="N72" t="str">
        <f t="shared" si="36"/>
        <v>1.00</v>
      </c>
      <c r="P72">
        <v>5</v>
      </c>
      <c r="Q72" t="s">
        <v>1189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1170</v>
      </c>
      <c r="X72">
        <v>1</v>
      </c>
      <c r="Z72" t="str">
        <f t="shared" si="38"/>
        <v>Lo</v>
      </c>
      <c r="AA72" t="str">
        <f t="shared" si="39"/>
        <v>$95</v>
      </c>
      <c r="AB72" t="str">
        <f t="shared" si="40"/>
        <v>CF1</v>
      </c>
      <c r="AC72" t="str">
        <f t="shared" si="41"/>
        <v>DEF</v>
      </c>
      <c r="AD72" t="str">
        <f t="shared" si="42"/>
        <v>Eco</v>
      </c>
      <c r="AE72" t="str">
        <f t="shared" si="43"/>
        <v>Tx1.00x</v>
      </c>
    </row>
    <row r="73" spans="2:31">
      <c r="B73" t="str">
        <f t="shared" si="29"/>
        <v>vs~0068</v>
      </c>
      <c r="C73" t="str">
        <f t="shared" si="30"/>
        <v>Tx1.00x·DEF·Eco·Hi·$95·CF1</v>
      </c>
      <c r="H73" t="str">
        <f t="shared" si="37"/>
        <v>Tx1.00x·DEF·Eco·Hi·$95·CF1</v>
      </c>
      <c r="I73" t="str">
        <f t="shared" si="31"/>
        <v>Hi</v>
      </c>
      <c r="J73" t="str">
        <f t="shared" si="32"/>
        <v>95</v>
      </c>
      <c r="K73" t="str">
        <f t="shared" si="33"/>
        <v>CF1</v>
      </c>
      <c r="L73" t="str">
        <f t="shared" si="34"/>
        <v>Y</v>
      </c>
      <c r="M73" t="str">
        <f t="shared" si="35"/>
        <v>Eco</v>
      </c>
      <c r="N73" t="str">
        <f t="shared" si="36"/>
        <v>1.00</v>
      </c>
      <c r="P73">
        <v>5</v>
      </c>
      <c r="Q73" t="s">
        <v>1190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1170</v>
      </c>
      <c r="X73">
        <v>1</v>
      </c>
      <c r="Z73" t="str">
        <f t="shared" si="38"/>
        <v>Hi</v>
      </c>
      <c r="AA73" t="str">
        <f t="shared" si="39"/>
        <v>$95</v>
      </c>
      <c r="AB73" t="str">
        <f t="shared" si="40"/>
        <v>CF1</v>
      </c>
      <c r="AC73" t="str">
        <f t="shared" si="41"/>
        <v>DEF</v>
      </c>
      <c r="AD73" t="str">
        <f t="shared" si="42"/>
        <v>Eco</v>
      </c>
      <c r="AE73" t="str">
        <f t="shared" si="43"/>
        <v>Tx1.00x</v>
      </c>
    </row>
    <row r="74" spans="2:31">
      <c r="B74" t="str">
        <f t="shared" si="29"/>
        <v>vs~0069</v>
      </c>
      <c r="C74" t="str">
        <f t="shared" si="30"/>
        <v>Tx1.00x·NoDEF·Eco·Lo·$00·CF1</v>
      </c>
      <c r="H74" t="str">
        <f t="shared" si="37"/>
        <v>Tx1.00x·NoDEF·Eco·Lo·$00·CF1</v>
      </c>
      <c r="I74" t="str">
        <f t="shared" si="31"/>
        <v>Lo</v>
      </c>
      <c r="J74" t="str">
        <f t="shared" si="32"/>
        <v>00</v>
      </c>
      <c r="K74" t="str">
        <f t="shared" si="33"/>
        <v>CF1</v>
      </c>
      <c r="L74" t="str">
        <f t="shared" si="34"/>
        <v>N</v>
      </c>
      <c r="M74" t="str">
        <f t="shared" si="35"/>
        <v>Eco</v>
      </c>
      <c r="N74" t="str">
        <f t="shared" si="36"/>
        <v>1.00</v>
      </c>
      <c r="P74">
        <v>5</v>
      </c>
      <c r="Q74" t="s">
        <v>1191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1170</v>
      </c>
      <c r="X74">
        <v>1</v>
      </c>
      <c r="Z74" t="str">
        <f t="shared" si="38"/>
        <v>Lo</v>
      </c>
      <c r="AA74" t="str">
        <f t="shared" si="39"/>
        <v>$00</v>
      </c>
      <c r="AB74" t="str">
        <f t="shared" si="40"/>
        <v>CF1</v>
      </c>
      <c r="AC74" t="str">
        <f t="shared" si="41"/>
        <v>NoDEF</v>
      </c>
      <c r="AD74" t="str">
        <f t="shared" si="42"/>
        <v>Eco</v>
      </c>
      <c r="AE74" t="str">
        <f t="shared" si="43"/>
        <v>Tx1.00x</v>
      </c>
    </row>
    <row r="75" spans="2:31">
      <c r="B75" t="str">
        <f t="shared" si="29"/>
        <v>vs~0070</v>
      </c>
      <c r="C75" t="str">
        <f t="shared" si="30"/>
        <v>Tx1.00x·NoDEF·Eco·Hi·$00·CF1</v>
      </c>
      <c r="H75" t="str">
        <f t="shared" si="37"/>
        <v>Tx1.00x·NoDEF·Eco·Hi·$00·CF1</v>
      </c>
      <c r="I75" t="str">
        <f t="shared" si="31"/>
        <v>Hi</v>
      </c>
      <c r="J75" t="str">
        <f t="shared" si="32"/>
        <v>00</v>
      </c>
      <c r="K75" t="str">
        <f t="shared" si="33"/>
        <v>CF1</v>
      </c>
      <c r="L75" t="str">
        <f t="shared" si="34"/>
        <v>N</v>
      </c>
      <c r="M75" t="str">
        <f t="shared" si="35"/>
        <v>Eco</v>
      </c>
      <c r="N75" t="str">
        <f t="shared" si="36"/>
        <v>1.00</v>
      </c>
      <c r="P75">
        <v>5</v>
      </c>
      <c r="Q75" t="s">
        <v>1192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1170</v>
      </c>
      <c r="X75">
        <v>1</v>
      </c>
      <c r="Z75" t="str">
        <f t="shared" si="38"/>
        <v>Hi</v>
      </c>
      <c r="AA75" t="str">
        <f t="shared" si="39"/>
        <v>$00</v>
      </c>
      <c r="AB75" t="str">
        <f t="shared" si="40"/>
        <v>CF1</v>
      </c>
      <c r="AC75" t="str">
        <f t="shared" si="41"/>
        <v>NoDEF</v>
      </c>
      <c r="AD75" t="str">
        <f t="shared" si="42"/>
        <v>Eco</v>
      </c>
      <c r="AE75" t="str">
        <f t="shared" si="43"/>
        <v>Tx1.00x</v>
      </c>
    </row>
    <row r="76" spans="2:31">
      <c r="B76" t="str">
        <f t="shared" si="29"/>
        <v>vs~0071</v>
      </c>
      <c r="C76" t="str">
        <f t="shared" si="30"/>
        <v>Tx1.00x·NoDEF·Eco·Lo·$95·CF1</v>
      </c>
      <c r="H76" t="str">
        <f t="shared" si="37"/>
        <v>Tx1.00x·NoDEF·Eco·Lo·$95·CF1</v>
      </c>
      <c r="I76" t="str">
        <f t="shared" si="31"/>
        <v>Lo</v>
      </c>
      <c r="J76" t="str">
        <f t="shared" si="32"/>
        <v>95</v>
      </c>
      <c r="K76" t="str">
        <f t="shared" si="33"/>
        <v>CF1</v>
      </c>
      <c r="L76" t="str">
        <f t="shared" si="34"/>
        <v>N</v>
      </c>
      <c r="M76" t="str">
        <f t="shared" si="35"/>
        <v>Eco</v>
      </c>
      <c r="N76" t="str">
        <f t="shared" si="36"/>
        <v>1.00</v>
      </c>
      <c r="P76">
        <v>5</v>
      </c>
      <c r="Q76" t="s">
        <v>1193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1170</v>
      </c>
      <c r="X76">
        <v>1</v>
      </c>
      <c r="Z76" t="str">
        <f t="shared" si="38"/>
        <v>Lo</v>
      </c>
      <c r="AA76" t="str">
        <f t="shared" si="39"/>
        <v>$95</v>
      </c>
      <c r="AB76" t="str">
        <f t="shared" si="40"/>
        <v>CF1</v>
      </c>
      <c r="AC76" t="str">
        <f t="shared" si="41"/>
        <v>NoDEF</v>
      </c>
      <c r="AD76" t="str">
        <f t="shared" si="42"/>
        <v>Eco</v>
      </c>
      <c r="AE76" t="str">
        <f t="shared" si="43"/>
        <v>Tx1.00x</v>
      </c>
    </row>
    <row r="77" spans="2:31">
      <c r="B77" t="str">
        <f t="shared" si="29"/>
        <v>vs~0072</v>
      </c>
      <c r="C77" t="str">
        <f t="shared" si="30"/>
        <v>Tx1.00x·NoDEF·Eco·Hi·$95·CF1</v>
      </c>
      <c r="H77" t="str">
        <f t="shared" si="37"/>
        <v>Tx1.00x·NoDEF·Eco·Hi·$95·CF1</v>
      </c>
      <c r="I77" t="str">
        <f t="shared" si="31"/>
        <v>Hi</v>
      </c>
      <c r="J77" t="str">
        <f t="shared" si="32"/>
        <v>95</v>
      </c>
      <c r="K77" t="str">
        <f t="shared" si="33"/>
        <v>CF1</v>
      </c>
      <c r="L77" t="str">
        <f t="shared" si="34"/>
        <v>N</v>
      </c>
      <c r="M77" t="str">
        <f t="shared" si="35"/>
        <v>Eco</v>
      </c>
      <c r="N77" t="str">
        <f t="shared" si="36"/>
        <v>1.00</v>
      </c>
      <c r="P77">
        <v>5</v>
      </c>
      <c r="Q77" t="s">
        <v>1194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1170</v>
      </c>
      <c r="X77">
        <v>1</v>
      </c>
      <c r="Z77" t="str">
        <f t="shared" si="38"/>
        <v>Hi</v>
      </c>
      <c r="AA77" t="str">
        <f t="shared" si="39"/>
        <v>$95</v>
      </c>
      <c r="AB77" t="str">
        <f t="shared" si="40"/>
        <v>CF1</v>
      </c>
      <c r="AC77" t="str">
        <f t="shared" si="41"/>
        <v>NoDEF</v>
      </c>
      <c r="AD77" t="str">
        <f t="shared" si="42"/>
        <v>Eco</v>
      </c>
      <c r="AE77" t="str">
        <f t="shared" si="43"/>
        <v>Tx1.00x</v>
      </c>
    </row>
    <row r="78" spans="2:31">
      <c r="B78" t="str">
        <f t="shared" si="29"/>
        <v>vs~0073</v>
      </c>
      <c r="C78" t="str">
        <f t="shared" si="30"/>
        <v>Tx1.00x·DEF·Eco·Lo·$00·CF6</v>
      </c>
      <c r="H78" t="str">
        <f t="shared" si="37"/>
        <v>Tx1.00x·DEF·Eco·Lo·$00·CF6</v>
      </c>
      <c r="I78" t="str">
        <f t="shared" si="31"/>
        <v>Lo</v>
      </c>
      <c r="J78" t="str">
        <f t="shared" si="32"/>
        <v>00</v>
      </c>
      <c r="K78" t="str">
        <f t="shared" si="33"/>
        <v>CF6</v>
      </c>
      <c r="L78" t="str">
        <f t="shared" si="34"/>
        <v>Y</v>
      </c>
      <c r="M78" t="str">
        <f t="shared" si="35"/>
        <v>Eco</v>
      </c>
      <c r="N78" t="str">
        <f t="shared" si="36"/>
        <v>1.00</v>
      </c>
      <c r="P78">
        <v>5</v>
      </c>
      <c r="Q78" t="s">
        <v>1195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1170</v>
      </c>
      <c r="X78">
        <v>1</v>
      </c>
      <c r="Z78" t="str">
        <f t="shared" si="38"/>
        <v>Lo</v>
      </c>
      <c r="AA78" t="str">
        <f t="shared" si="39"/>
        <v>$00</v>
      </c>
      <c r="AB78" t="str">
        <f t="shared" si="40"/>
        <v>CF6</v>
      </c>
      <c r="AC78" t="str">
        <f t="shared" si="41"/>
        <v>DEF</v>
      </c>
      <c r="AD78" t="str">
        <f t="shared" si="42"/>
        <v>Eco</v>
      </c>
      <c r="AE78" t="str">
        <f t="shared" si="43"/>
        <v>Tx1.00x</v>
      </c>
    </row>
    <row r="79" spans="2:31">
      <c r="B79" t="str">
        <f t="shared" si="29"/>
        <v>vs~0074</v>
      </c>
      <c r="C79" t="str">
        <f t="shared" si="30"/>
        <v>Tx1.00x·DEF·Eco·Hi·$00·CF6</v>
      </c>
      <c r="H79" t="str">
        <f t="shared" si="37"/>
        <v>Tx1.00x·DEF·Eco·Hi·$00·CF6</v>
      </c>
      <c r="I79" t="str">
        <f t="shared" si="31"/>
        <v>Hi</v>
      </c>
      <c r="J79" t="str">
        <f t="shared" si="32"/>
        <v>00</v>
      </c>
      <c r="K79" t="str">
        <f t="shared" si="33"/>
        <v>CF6</v>
      </c>
      <c r="L79" t="str">
        <f t="shared" si="34"/>
        <v>Y</v>
      </c>
      <c r="M79" t="str">
        <f t="shared" si="35"/>
        <v>Eco</v>
      </c>
      <c r="N79" t="str">
        <f t="shared" si="36"/>
        <v>1.00</v>
      </c>
      <c r="P79">
        <v>5</v>
      </c>
      <c r="Q79" t="s">
        <v>1196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1170</v>
      </c>
      <c r="X79">
        <v>1</v>
      </c>
      <c r="Z79" t="str">
        <f t="shared" si="38"/>
        <v>Hi</v>
      </c>
      <c r="AA79" t="str">
        <f t="shared" si="39"/>
        <v>$00</v>
      </c>
      <c r="AB79" t="str">
        <f t="shared" si="40"/>
        <v>CF6</v>
      </c>
      <c r="AC79" t="str">
        <f t="shared" si="41"/>
        <v>DEF</v>
      </c>
      <c r="AD79" t="str">
        <f t="shared" si="42"/>
        <v>Eco</v>
      </c>
      <c r="AE79" t="str">
        <f t="shared" si="43"/>
        <v>Tx1.00x</v>
      </c>
    </row>
    <row r="80" spans="2:31">
      <c r="B80" t="str">
        <f t="shared" si="29"/>
        <v>vs~0075</v>
      </c>
      <c r="C80" t="str">
        <f t="shared" si="30"/>
        <v>Tx1.00x·DEF·Eco·Lo·$95·CF6</v>
      </c>
      <c r="H80" t="str">
        <f t="shared" si="37"/>
        <v>Tx1.00x·DEF·Eco·Lo·$95·CF6</v>
      </c>
      <c r="I80" t="str">
        <f t="shared" si="31"/>
        <v>Lo</v>
      </c>
      <c r="J80" t="str">
        <f t="shared" si="32"/>
        <v>95</v>
      </c>
      <c r="K80" t="str">
        <f t="shared" si="33"/>
        <v>CF6</v>
      </c>
      <c r="L80" t="str">
        <f t="shared" si="34"/>
        <v>Y</v>
      </c>
      <c r="M80" t="str">
        <f t="shared" si="35"/>
        <v>Eco</v>
      </c>
      <c r="N80" t="str">
        <f t="shared" si="36"/>
        <v>1.00</v>
      </c>
      <c r="P80">
        <v>5</v>
      </c>
      <c r="Q80" t="s">
        <v>1197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1170</v>
      </c>
      <c r="X80">
        <v>1</v>
      </c>
      <c r="Z80" t="str">
        <f t="shared" si="38"/>
        <v>Lo</v>
      </c>
      <c r="AA80" t="str">
        <f t="shared" si="39"/>
        <v>$95</v>
      </c>
      <c r="AB80" t="str">
        <f t="shared" si="40"/>
        <v>CF6</v>
      </c>
      <c r="AC80" t="str">
        <f t="shared" si="41"/>
        <v>DEF</v>
      </c>
      <c r="AD80" t="str">
        <f t="shared" si="42"/>
        <v>Eco</v>
      </c>
      <c r="AE80" t="str">
        <f t="shared" si="43"/>
        <v>Tx1.00x</v>
      </c>
    </row>
    <row r="81" spans="2:31">
      <c r="B81" t="str">
        <f t="shared" si="29"/>
        <v>vs~0076</v>
      </c>
      <c r="C81" t="str">
        <f t="shared" si="30"/>
        <v>Tx1.00x·DEF·Eco·Hi·$95·CF6</v>
      </c>
      <c r="H81" t="str">
        <f t="shared" si="37"/>
        <v>Tx1.00x·DEF·Eco·Hi·$95·CF6</v>
      </c>
      <c r="I81" t="str">
        <f t="shared" si="31"/>
        <v>Hi</v>
      </c>
      <c r="J81" t="str">
        <f t="shared" si="32"/>
        <v>95</v>
      </c>
      <c r="K81" t="str">
        <f t="shared" si="33"/>
        <v>CF6</v>
      </c>
      <c r="L81" t="str">
        <f t="shared" si="34"/>
        <v>Y</v>
      </c>
      <c r="M81" t="str">
        <f t="shared" si="35"/>
        <v>Eco</v>
      </c>
      <c r="N81" t="str">
        <f t="shared" si="36"/>
        <v>1.00</v>
      </c>
      <c r="P81">
        <v>5</v>
      </c>
      <c r="Q81" t="s">
        <v>1198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1170</v>
      </c>
      <c r="X81">
        <v>1</v>
      </c>
      <c r="Z81" t="str">
        <f t="shared" si="38"/>
        <v>Hi</v>
      </c>
      <c r="AA81" t="str">
        <f t="shared" si="39"/>
        <v>$95</v>
      </c>
      <c r="AB81" t="str">
        <f t="shared" si="40"/>
        <v>CF6</v>
      </c>
      <c r="AC81" t="str">
        <f t="shared" si="41"/>
        <v>DEF</v>
      </c>
      <c r="AD81" t="str">
        <f t="shared" si="42"/>
        <v>Eco</v>
      </c>
      <c r="AE81" t="str">
        <f t="shared" si="43"/>
        <v>Tx1.00x</v>
      </c>
    </row>
    <row r="82" spans="2:31">
      <c r="B82" t="str">
        <f t="shared" si="29"/>
        <v>vs~0077</v>
      </c>
      <c r="C82" t="str">
        <f t="shared" si="30"/>
        <v>Tx1.00x·NoDEF·Eco·Lo·$00·CF6</v>
      </c>
      <c r="H82" t="str">
        <f t="shared" si="37"/>
        <v>Tx1.00x·NoDEF·Eco·Lo·$00·CF6</v>
      </c>
      <c r="I82" t="str">
        <f t="shared" si="31"/>
        <v>Lo</v>
      </c>
      <c r="J82" t="str">
        <f t="shared" si="32"/>
        <v>00</v>
      </c>
      <c r="K82" t="str">
        <f t="shared" si="33"/>
        <v>CF6</v>
      </c>
      <c r="L82" t="str">
        <f t="shared" si="34"/>
        <v>N</v>
      </c>
      <c r="M82" t="str">
        <f t="shared" si="35"/>
        <v>Eco</v>
      </c>
      <c r="N82" t="str">
        <f t="shared" si="36"/>
        <v>1.00</v>
      </c>
      <c r="P82">
        <v>5</v>
      </c>
      <c r="Q82" t="s">
        <v>1199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1170</v>
      </c>
      <c r="X82">
        <v>1</v>
      </c>
      <c r="Z82" t="str">
        <f t="shared" si="38"/>
        <v>Lo</v>
      </c>
      <c r="AA82" t="str">
        <f t="shared" si="39"/>
        <v>$00</v>
      </c>
      <c r="AB82" t="str">
        <f t="shared" si="40"/>
        <v>CF6</v>
      </c>
      <c r="AC82" t="str">
        <f t="shared" si="41"/>
        <v>NoDEF</v>
      </c>
      <c r="AD82" t="str">
        <f t="shared" si="42"/>
        <v>Eco</v>
      </c>
      <c r="AE82" t="str">
        <f t="shared" si="43"/>
        <v>Tx1.00x</v>
      </c>
    </row>
    <row r="83" spans="2:31">
      <c r="B83" t="str">
        <f t="shared" si="29"/>
        <v>vs~0078</v>
      </c>
      <c r="C83" t="str">
        <f t="shared" si="30"/>
        <v>Tx1.00x·NoDEF·Eco·Hi·$00·CF6</v>
      </c>
      <c r="H83" t="str">
        <f t="shared" si="37"/>
        <v>Tx1.00x·NoDEF·Eco·Hi·$00·CF6</v>
      </c>
      <c r="I83" t="str">
        <f t="shared" si="31"/>
        <v>Hi</v>
      </c>
      <c r="J83" t="str">
        <f t="shared" si="32"/>
        <v>00</v>
      </c>
      <c r="K83" t="str">
        <f t="shared" si="33"/>
        <v>CF6</v>
      </c>
      <c r="L83" t="str">
        <f t="shared" si="34"/>
        <v>N</v>
      </c>
      <c r="M83" t="str">
        <f t="shared" si="35"/>
        <v>Eco</v>
      </c>
      <c r="N83" t="str">
        <f t="shared" si="36"/>
        <v>1.00</v>
      </c>
      <c r="P83">
        <v>5</v>
      </c>
      <c r="Q83" t="s">
        <v>1200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1170</v>
      </c>
      <c r="X83">
        <v>1</v>
      </c>
      <c r="Z83" t="str">
        <f t="shared" si="38"/>
        <v>Hi</v>
      </c>
      <c r="AA83" t="str">
        <f t="shared" si="39"/>
        <v>$00</v>
      </c>
      <c r="AB83" t="str">
        <f t="shared" si="40"/>
        <v>CF6</v>
      </c>
      <c r="AC83" t="str">
        <f t="shared" si="41"/>
        <v>NoDEF</v>
      </c>
      <c r="AD83" t="str">
        <f t="shared" si="42"/>
        <v>Eco</v>
      </c>
      <c r="AE83" t="str">
        <f t="shared" si="43"/>
        <v>Tx1.00x</v>
      </c>
    </row>
    <row r="84" spans="2:31">
      <c r="B84" t="str">
        <f t="shared" si="29"/>
        <v>vs~0079</v>
      </c>
      <c r="C84" t="str">
        <f t="shared" si="30"/>
        <v>Tx1.00x·NoDEF·Eco·Lo·$95·CF6</v>
      </c>
      <c r="H84" t="str">
        <f t="shared" si="37"/>
        <v>Tx1.00x·NoDEF·Eco·Lo·$95·CF6</v>
      </c>
      <c r="I84" t="str">
        <f t="shared" si="31"/>
        <v>Lo</v>
      </c>
      <c r="J84" t="str">
        <f t="shared" si="32"/>
        <v>95</v>
      </c>
      <c r="K84" t="str">
        <f t="shared" si="33"/>
        <v>CF6</v>
      </c>
      <c r="L84" t="str">
        <f t="shared" si="34"/>
        <v>N</v>
      </c>
      <c r="M84" t="str">
        <f t="shared" si="35"/>
        <v>Eco</v>
      </c>
      <c r="N84" t="str">
        <f t="shared" si="36"/>
        <v>1.00</v>
      </c>
      <c r="P84">
        <v>5</v>
      </c>
      <c r="Q84" t="s">
        <v>1201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1170</v>
      </c>
      <c r="X84">
        <v>1</v>
      </c>
      <c r="Z84" t="str">
        <f t="shared" si="38"/>
        <v>Lo</v>
      </c>
      <c r="AA84" t="str">
        <f t="shared" si="39"/>
        <v>$95</v>
      </c>
      <c r="AB84" t="str">
        <f t="shared" si="40"/>
        <v>CF6</v>
      </c>
      <c r="AC84" t="str">
        <f t="shared" si="41"/>
        <v>NoDEF</v>
      </c>
      <c r="AD84" t="str">
        <f t="shared" si="42"/>
        <v>Eco</v>
      </c>
      <c r="AE84" t="str">
        <f t="shared" si="43"/>
        <v>Tx1.00x</v>
      </c>
    </row>
    <row r="85" spans="2:31">
      <c r="B85" t="str">
        <f t="shared" si="29"/>
        <v>vs~0080</v>
      </c>
      <c r="C85" t="str">
        <f t="shared" si="30"/>
        <v>Tx1.00x·NoDEF·Eco·Hi·$95·CF6</v>
      </c>
      <c r="H85" t="str">
        <f t="shared" si="37"/>
        <v>Tx1.00x·NoDEF·Eco·Hi·$95·CF6</v>
      </c>
      <c r="I85" t="str">
        <f t="shared" si="31"/>
        <v>Hi</v>
      </c>
      <c r="J85" t="str">
        <f t="shared" si="32"/>
        <v>95</v>
      </c>
      <c r="K85" t="str">
        <f t="shared" si="33"/>
        <v>CF6</v>
      </c>
      <c r="L85" t="str">
        <f t="shared" si="34"/>
        <v>N</v>
      </c>
      <c r="M85" t="str">
        <f t="shared" si="35"/>
        <v>Eco</v>
      </c>
      <c r="N85" t="str">
        <f t="shared" si="36"/>
        <v>1.00</v>
      </c>
      <c r="P85">
        <v>5</v>
      </c>
      <c r="Q85" t="s">
        <v>1202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1170</v>
      </c>
      <c r="X85">
        <v>1</v>
      </c>
      <c r="Z85" t="str">
        <f t="shared" si="38"/>
        <v>Hi</v>
      </c>
      <c r="AA85" t="str">
        <f t="shared" si="39"/>
        <v>$95</v>
      </c>
      <c r="AB85" t="str">
        <f t="shared" si="40"/>
        <v>CF6</v>
      </c>
      <c r="AC85" t="str">
        <f t="shared" si="41"/>
        <v>NoDEF</v>
      </c>
      <c r="AD85" t="str">
        <f t="shared" si="42"/>
        <v>Eco</v>
      </c>
      <c r="AE85" t="str">
        <f t="shared" si="43"/>
        <v>Tx1.00x</v>
      </c>
    </row>
    <row r="86" spans="2:31">
      <c r="B86" t="str">
        <f t="shared" si="29"/>
        <v>vs~0081</v>
      </c>
      <c r="C86" t="str">
        <f t="shared" si="30"/>
        <v>Tx0.25x·DEF·Eco·Lo·$00·CF1</v>
      </c>
      <c r="H86" t="str">
        <f t="shared" si="37"/>
        <v>Tx0.25x·DEF·Eco·Lo·$00·CF1</v>
      </c>
      <c r="I86" t="str">
        <f t="shared" si="31"/>
        <v>Lo</v>
      </c>
      <c r="J86" t="str">
        <f t="shared" si="32"/>
        <v>00</v>
      </c>
      <c r="K86" t="str">
        <f t="shared" si="33"/>
        <v>CF1</v>
      </c>
      <c r="L86" t="str">
        <f t="shared" si="34"/>
        <v>Y</v>
      </c>
      <c r="M86" t="str">
        <f t="shared" si="35"/>
        <v>Eco</v>
      </c>
      <c r="N86" t="str">
        <f t="shared" si="36"/>
        <v>0.25</v>
      </c>
      <c r="P86">
        <v>5</v>
      </c>
      <c r="Q86" t="s">
        <v>1203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1170</v>
      </c>
      <c r="X86">
        <v>0.25</v>
      </c>
      <c r="Z86" t="str">
        <f t="shared" si="38"/>
        <v>Lo</v>
      </c>
      <c r="AA86" t="str">
        <f t="shared" si="39"/>
        <v>$00</v>
      </c>
      <c r="AB86" t="str">
        <f t="shared" si="40"/>
        <v>CF1</v>
      </c>
      <c r="AC86" t="str">
        <f t="shared" si="41"/>
        <v>DEF</v>
      </c>
      <c r="AD86" t="str">
        <f t="shared" si="42"/>
        <v>Eco</v>
      </c>
      <c r="AE86" t="str">
        <f t="shared" si="43"/>
        <v>Tx0.25x</v>
      </c>
    </row>
    <row r="87" spans="2:31">
      <c r="B87" t="str">
        <f t="shared" si="29"/>
        <v>vs~0082</v>
      </c>
      <c r="C87" t="str">
        <f t="shared" si="30"/>
        <v>Tx0.25x·DEF·Eco·Hi·$00·CF1</v>
      </c>
      <c r="H87" t="str">
        <f t="shared" si="37"/>
        <v>Tx0.25x·DEF·Eco·Hi·$00·CF1</v>
      </c>
      <c r="I87" t="str">
        <f t="shared" si="31"/>
        <v>Hi</v>
      </c>
      <c r="J87" t="str">
        <f t="shared" si="32"/>
        <v>00</v>
      </c>
      <c r="K87" t="str">
        <f t="shared" si="33"/>
        <v>CF1</v>
      </c>
      <c r="L87" t="str">
        <f t="shared" si="34"/>
        <v>Y</v>
      </c>
      <c r="M87" t="str">
        <f t="shared" si="35"/>
        <v>Eco</v>
      </c>
      <c r="N87" t="str">
        <f t="shared" si="36"/>
        <v>0.25</v>
      </c>
      <c r="P87">
        <v>5</v>
      </c>
      <c r="Q87" t="s">
        <v>1204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1170</v>
      </c>
      <c r="X87">
        <v>0.25</v>
      </c>
      <c r="Z87" t="str">
        <f t="shared" si="38"/>
        <v>Hi</v>
      </c>
      <c r="AA87" t="str">
        <f t="shared" si="39"/>
        <v>$00</v>
      </c>
      <c r="AB87" t="str">
        <f t="shared" si="40"/>
        <v>CF1</v>
      </c>
      <c r="AC87" t="str">
        <f t="shared" si="41"/>
        <v>DEF</v>
      </c>
      <c r="AD87" t="str">
        <f t="shared" si="42"/>
        <v>Eco</v>
      </c>
      <c r="AE87" t="str">
        <f t="shared" si="43"/>
        <v>Tx0.25x</v>
      </c>
    </row>
    <row r="88" spans="2:31">
      <c r="B88" t="str">
        <f t="shared" si="29"/>
        <v>vs~0083</v>
      </c>
      <c r="C88" t="str">
        <f t="shared" si="30"/>
        <v>Tx0.25x·DEF·Eco·Lo·$95·CF1</v>
      </c>
      <c r="H88" t="str">
        <f t="shared" si="37"/>
        <v>Tx0.25x·DEF·Eco·Lo·$95·CF1</v>
      </c>
      <c r="I88" t="str">
        <f t="shared" si="31"/>
        <v>Lo</v>
      </c>
      <c r="J88" t="str">
        <f t="shared" si="32"/>
        <v>95</v>
      </c>
      <c r="K88" t="str">
        <f t="shared" si="33"/>
        <v>CF1</v>
      </c>
      <c r="L88" t="str">
        <f t="shared" si="34"/>
        <v>Y</v>
      </c>
      <c r="M88" t="str">
        <f t="shared" si="35"/>
        <v>Eco</v>
      </c>
      <c r="N88" t="str">
        <f t="shared" si="36"/>
        <v>0.25</v>
      </c>
      <c r="P88">
        <v>5</v>
      </c>
      <c r="Q88" t="s">
        <v>1205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1170</v>
      </c>
      <c r="X88">
        <v>0.25</v>
      </c>
      <c r="Z88" t="str">
        <f t="shared" si="38"/>
        <v>Lo</v>
      </c>
      <c r="AA88" t="str">
        <f t="shared" si="39"/>
        <v>$95</v>
      </c>
      <c r="AB88" t="str">
        <f t="shared" si="40"/>
        <v>CF1</v>
      </c>
      <c r="AC88" t="str">
        <f t="shared" si="41"/>
        <v>DEF</v>
      </c>
      <c r="AD88" t="str">
        <f t="shared" si="42"/>
        <v>Eco</v>
      </c>
      <c r="AE88" t="str">
        <f t="shared" si="43"/>
        <v>Tx0.25x</v>
      </c>
    </row>
    <row r="89" spans="2:31">
      <c r="B89" t="str">
        <f t="shared" si="29"/>
        <v>vs~0084</v>
      </c>
      <c r="C89" t="str">
        <f t="shared" si="30"/>
        <v>Tx0.25x·DEF·Eco·Hi·$95·CF1</v>
      </c>
      <c r="H89" t="str">
        <f t="shared" si="37"/>
        <v>Tx0.25x·DEF·Eco·Hi·$95·CF1</v>
      </c>
      <c r="I89" t="str">
        <f t="shared" si="31"/>
        <v>Hi</v>
      </c>
      <c r="J89" t="str">
        <f t="shared" si="32"/>
        <v>95</v>
      </c>
      <c r="K89" t="str">
        <f t="shared" si="33"/>
        <v>CF1</v>
      </c>
      <c r="L89" t="str">
        <f t="shared" si="34"/>
        <v>Y</v>
      </c>
      <c r="M89" t="str">
        <f t="shared" si="35"/>
        <v>Eco</v>
      </c>
      <c r="N89" t="str">
        <f t="shared" si="36"/>
        <v>0.25</v>
      </c>
      <c r="P89">
        <v>5</v>
      </c>
      <c r="Q89" t="s">
        <v>1206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1170</v>
      </c>
      <c r="X89">
        <v>0.25</v>
      </c>
      <c r="Z89" t="str">
        <f t="shared" si="38"/>
        <v>Hi</v>
      </c>
      <c r="AA89" t="str">
        <f t="shared" si="39"/>
        <v>$95</v>
      </c>
      <c r="AB89" t="str">
        <f t="shared" si="40"/>
        <v>CF1</v>
      </c>
      <c r="AC89" t="str">
        <f t="shared" si="41"/>
        <v>DEF</v>
      </c>
      <c r="AD89" t="str">
        <f t="shared" si="42"/>
        <v>Eco</v>
      </c>
      <c r="AE89" t="str">
        <f t="shared" si="43"/>
        <v>Tx0.25x</v>
      </c>
    </row>
    <row r="90" spans="2:31">
      <c r="B90" t="str">
        <f t="shared" si="29"/>
        <v>vs~0085</v>
      </c>
      <c r="C90" t="str">
        <f t="shared" si="30"/>
        <v>Tx0.25x·NoDEF·Eco·Lo·$00·CF1</v>
      </c>
      <c r="H90" t="str">
        <f t="shared" si="37"/>
        <v>Tx0.25x·NoDEF·Eco·Lo·$00·CF1</v>
      </c>
      <c r="I90" t="str">
        <f t="shared" si="31"/>
        <v>Lo</v>
      </c>
      <c r="J90" t="str">
        <f t="shared" si="32"/>
        <v>00</v>
      </c>
      <c r="K90" t="str">
        <f t="shared" si="33"/>
        <v>CF1</v>
      </c>
      <c r="L90" t="str">
        <f t="shared" si="34"/>
        <v>N</v>
      </c>
      <c r="M90" t="str">
        <f t="shared" si="35"/>
        <v>Eco</v>
      </c>
      <c r="N90" t="str">
        <f t="shared" si="36"/>
        <v>0.25</v>
      </c>
      <c r="P90">
        <v>5</v>
      </c>
      <c r="Q90" t="s">
        <v>1207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1170</v>
      </c>
      <c r="X90">
        <v>0.25</v>
      </c>
      <c r="Z90" t="str">
        <f t="shared" si="38"/>
        <v>Lo</v>
      </c>
      <c r="AA90" t="str">
        <f t="shared" si="39"/>
        <v>$00</v>
      </c>
      <c r="AB90" t="str">
        <f t="shared" si="40"/>
        <v>CF1</v>
      </c>
      <c r="AC90" t="str">
        <f t="shared" si="41"/>
        <v>NoDEF</v>
      </c>
      <c r="AD90" t="str">
        <f t="shared" si="42"/>
        <v>Eco</v>
      </c>
      <c r="AE90" t="str">
        <f t="shared" si="43"/>
        <v>Tx0.25x</v>
      </c>
    </row>
    <row r="91" spans="2:31">
      <c r="B91" t="str">
        <f t="shared" si="29"/>
        <v>vs~0086</v>
      </c>
      <c r="C91" t="str">
        <f t="shared" si="30"/>
        <v>Tx0.25x·NoDEF·Eco·Hi·$00·CF1</v>
      </c>
      <c r="H91" t="str">
        <f t="shared" si="37"/>
        <v>Tx0.25x·NoDEF·Eco·Hi·$00·CF1</v>
      </c>
      <c r="I91" t="str">
        <f t="shared" si="31"/>
        <v>Hi</v>
      </c>
      <c r="J91" t="str">
        <f t="shared" si="32"/>
        <v>00</v>
      </c>
      <c r="K91" t="str">
        <f t="shared" si="33"/>
        <v>CF1</v>
      </c>
      <c r="L91" t="str">
        <f t="shared" si="34"/>
        <v>N</v>
      </c>
      <c r="M91" t="str">
        <f t="shared" si="35"/>
        <v>Eco</v>
      </c>
      <c r="N91" t="str">
        <f t="shared" si="36"/>
        <v>0.25</v>
      </c>
      <c r="P91">
        <v>5</v>
      </c>
      <c r="Q91" t="s">
        <v>1208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1170</v>
      </c>
      <c r="X91">
        <v>0.25</v>
      </c>
      <c r="Z91" t="str">
        <f t="shared" si="38"/>
        <v>Hi</v>
      </c>
      <c r="AA91" t="str">
        <f t="shared" si="39"/>
        <v>$00</v>
      </c>
      <c r="AB91" t="str">
        <f t="shared" si="40"/>
        <v>CF1</v>
      </c>
      <c r="AC91" t="str">
        <f t="shared" si="41"/>
        <v>NoDEF</v>
      </c>
      <c r="AD91" t="str">
        <f t="shared" si="42"/>
        <v>Eco</v>
      </c>
      <c r="AE91" t="str">
        <f t="shared" si="43"/>
        <v>Tx0.25x</v>
      </c>
    </row>
    <row r="92" spans="2:31">
      <c r="B92" t="str">
        <f t="shared" si="29"/>
        <v>vs~0087</v>
      </c>
      <c r="C92" t="str">
        <f t="shared" si="30"/>
        <v>Tx0.25x·NoDEF·Eco·Lo·$95·CF1</v>
      </c>
      <c r="H92" t="str">
        <f t="shared" si="37"/>
        <v>Tx0.25x·NoDEF·Eco·Lo·$95·CF1</v>
      </c>
      <c r="I92" t="str">
        <f t="shared" si="31"/>
        <v>Lo</v>
      </c>
      <c r="J92" t="str">
        <f t="shared" si="32"/>
        <v>95</v>
      </c>
      <c r="K92" t="str">
        <f t="shared" si="33"/>
        <v>CF1</v>
      </c>
      <c r="L92" t="str">
        <f t="shared" si="34"/>
        <v>N</v>
      </c>
      <c r="M92" t="str">
        <f t="shared" si="35"/>
        <v>Eco</v>
      </c>
      <c r="N92" t="str">
        <f t="shared" si="36"/>
        <v>0.25</v>
      </c>
      <c r="P92">
        <v>5</v>
      </c>
      <c r="Q92" t="s">
        <v>1209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1170</v>
      </c>
      <c r="X92">
        <v>0.25</v>
      </c>
      <c r="Z92" t="str">
        <f t="shared" si="38"/>
        <v>Lo</v>
      </c>
      <c r="AA92" t="str">
        <f t="shared" si="39"/>
        <v>$95</v>
      </c>
      <c r="AB92" t="str">
        <f t="shared" si="40"/>
        <v>CF1</v>
      </c>
      <c r="AC92" t="str">
        <f t="shared" si="41"/>
        <v>NoDEF</v>
      </c>
      <c r="AD92" t="str">
        <f t="shared" si="42"/>
        <v>Eco</v>
      </c>
      <c r="AE92" t="str">
        <f t="shared" si="43"/>
        <v>Tx0.25x</v>
      </c>
    </row>
    <row r="93" spans="2:31">
      <c r="B93" t="str">
        <f t="shared" si="29"/>
        <v>vs~0088</v>
      </c>
      <c r="C93" t="str">
        <f t="shared" si="30"/>
        <v>Tx0.25x·NoDEF·Eco·Hi·$95·CF1</v>
      </c>
      <c r="H93" t="str">
        <f t="shared" si="37"/>
        <v>Tx0.25x·NoDEF·Eco·Hi·$95·CF1</v>
      </c>
      <c r="I93" t="str">
        <f t="shared" si="31"/>
        <v>Hi</v>
      </c>
      <c r="J93" t="str">
        <f t="shared" si="32"/>
        <v>95</v>
      </c>
      <c r="K93" t="str">
        <f t="shared" si="33"/>
        <v>CF1</v>
      </c>
      <c r="L93" t="str">
        <f t="shared" si="34"/>
        <v>N</v>
      </c>
      <c r="M93" t="str">
        <f t="shared" si="35"/>
        <v>Eco</v>
      </c>
      <c r="N93" t="str">
        <f t="shared" si="36"/>
        <v>0.25</v>
      </c>
      <c r="P93">
        <v>5</v>
      </c>
      <c r="Q93" t="s">
        <v>1210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1170</v>
      </c>
      <c r="X93">
        <v>0.25</v>
      </c>
      <c r="Z93" t="str">
        <f t="shared" si="38"/>
        <v>Hi</v>
      </c>
      <c r="AA93" t="str">
        <f t="shared" si="39"/>
        <v>$95</v>
      </c>
      <c r="AB93" t="str">
        <f t="shared" si="40"/>
        <v>CF1</v>
      </c>
      <c r="AC93" t="str">
        <f t="shared" si="41"/>
        <v>NoDEF</v>
      </c>
      <c r="AD93" t="str">
        <f t="shared" si="42"/>
        <v>Eco</v>
      </c>
      <c r="AE93" t="str">
        <f t="shared" si="43"/>
        <v>Tx0.25x</v>
      </c>
    </row>
    <row r="94" spans="2:31">
      <c r="B94" t="str">
        <f t="shared" si="29"/>
        <v>vs~0089</v>
      </c>
      <c r="C94" t="str">
        <f t="shared" si="30"/>
        <v>Tx0.25x·DEF·Eco·Lo·$00·CF6</v>
      </c>
      <c r="H94" t="str">
        <f t="shared" si="37"/>
        <v>Tx0.25x·DEF·Eco·Lo·$00·CF6</v>
      </c>
      <c r="I94" t="str">
        <f t="shared" si="31"/>
        <v>Lo</v>
      </c>
      <c r="J94" t="str">
        <f t="shared" si="32"/>
        <v>00</v>
      </c>
      <c r="K94" t="str">
        <f t="shared" si="33"/>
        <v>CF6</v>
      </c>
      <c r="L94" t="str">
        <f t="shared" si="34"/>
        <v>Y</v>
      </c>
      <c r="M94" t="str">
        <f t="shared" si="35"/>
        <v>Eco</v>
      </c>
      <c r="N94" t="str">
        <f t="shared" si="36"/>
        <v>0.25</v>
      </c>
      <c r="P94">
        <v>5</v>
      </c>
      <c r="Q94" t="s">
        <v>1211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1170</v>
      </c>
      <c r="X94">
        <v>0.25</v>
      </c>
      <c r="Z94" t="str">
        <f t="shared" si="38"/>
        <v>Lo</v>
      </c>
      <c r="AA94" t="str">
        <f t="shared" si="39"/>
        <v>$00</v>
      </c>
      <c r="AB94" t="str">
        <f t="shared" si="40"/>
        <v>CF6</v>
      </c>
      <c r="AC94" t="str">
        <f t="shared" si="41"/>
        <v>DEF</v>
      </c>
      <c r="AD94" t="str">
        <f t="shared" si="42"/>
        <v>Eco</v>
      </c>
      <c r="AE94" t="str">
        <f t="shared" si="43"/>
        <v>Tx0.25x</v>
      </c>
    </row>
    <row r="95" spans="2:31">
      <c r="B95" t="str">
        <f t="shared" si="29"/>
        <v>vs~0090</v>
      </c>
      <c r="C95" t="str">
        <f t="shared" si="30"/>
        <v>Tx0.25x·DEF·Eco·Hi·$00·CF6</v>
      </c>
      <c r="H95" t="str">
        <f t="shared" si="37"/>
        <v>Tx0.25x·DEF·Eco·Hi·$00·CF6</v>
      </c>
      <c r="I95" t="str">
        <f t="shared" si="31"/>
        <v>Hi</v>
      </c>
      <c r="J95" t="str">
        <f t="shared" si="32"/>
        <v>00</v>
      </c>
      <c r="K95" t="str">
        <f t="shared" si="33"/>
        <v>CF6</v>
      </c>
      <c r="L95" t="str">
        <f t="shared" si="34"/>
        <v>Y</v>
      </c>
      <c r="M95" t="str">
        <f t="shared" si="35"/>
        <v>Eco</v>
      </c>
      <c r="N95" t="str">
        <f t="shared" si="36"/>
        <v>0.25</v>
      </c>
      <c r="P95">
        <v>5</v>
      </c>
      <c r="Q95" t="s">
        <v>1212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1170</v>
      </c>
      <c r="X95">
        <v>0.25</v>
      </c>
      <c r="Z95" t="str">
        <f t="shared" si="38"/>
        <v>Hi</v>
      </c>
      <c r="AA95" t="str">
        <f t="shared" si="39"/>
        <v>$00</v>
      </c>
      <c r="AB95" t="str">
        <f t="shared" si="40"/>
        <v>CF6</v>
      </c>
      <c r="AC95" t="str">
        <f t="shared" si="41"/>
        <v>DEF</v>
      </c>
      <c r="AD95" t="str">
        <f t="shared" si="42"/>
        <v>Eco</v>
      </c>
      <c r="AE95" t="str">
        <f t="shared" si="43"/>
        <v>Tx0.25x</v>
      </c>
    </row>
    <row r="96" spans="2:31">
      <c r="B96" t="str">
        <f t="shared" si="29"/>
        <v>vs~0091</v>
      </c>
      <c r="C96" t="str">
        <f t="shared" si="30"/>
        <v>Tx0.25x·DEF·Eco·Lo·$95·CF6</v>
      </c>
      <c r="H96" t="str">
        <f t="shared" si="37"/>
        <v>Tx0.25x·DEF·Eco·Lo·$95·CF6</v>
      </c>
      <c r="I96" t="str">
        <f t="shared" si="31"/>
        <v>Lo</v>
      </c>
      <c r="J96" t="str">
        <f t="shared" si="32"/>
        <v>95</v>
      </c>
      <c r="K96" t="str">
        <f t="shared" si="33"/>
        <v>CF6</v>
      </c>
      <c r="L96" t="str">
        <f t="shared" si="34"/>
        <v>Y</v>
      </c>
      <c r="M96" t="str">
        <f t="shared" si="35"/>
        <v>Eco</v>
      </c>
      <c r="N96" t="str">
        <f t="shared" si="36"/>
        <v>0.25</v>
      </c>
      <c r="P96">
        <v>5</v>
      </c>
      <c r="Q96" t="s">
        <v>1213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1170</v>
      </c>
      <c r="X96">
        <v>0.25</v>
      </c>
      <c r="Z96" t="str">
        <f t="shared" si="38"/>
        <v>Lo</v>
      </c>
      <c r="AA96" t="str">
        <f t="shared" si="39"/>
        <v>$95</v>
      </c>
      <c r="AB96" t="str">
        <f t="shared" si="40"/>
        <v>CF6</v>
      </c>
      <c r="AC96" t="str">
        <f t="shared" si="41"/>
        <v>DEF</v>
      </c>
      <c r="AD96" t="str">
        <f t="shared" si="42"/>
        <v>Eco</v>
      </c>
      <c r="AE96" t="str">
        <f t="shared" si="43"/>
        <v>Tx0.25x</v>
      </c>
    </row>
    <row r="97" spans="2:31">
      <c r="B97" t="str">
        <f t="shared" si="29"/>
        <v>vs~0092</v>
      </c>
      <c r="C97" t="str">
        <f t="shared" si="30"/>
        <v>Tx0.25x·DEF·Eco·Hi·$95·CF6</v>
      </c>
      <c r="H97" t="str">
        <f t="shared" si="37"/>
        <v>Tx0.25x·DEF·Eco·Hi·$95·CF6</v>
      </c>
      <c r="I97" t="str">
        <f t="shared" si="31"/>
        <v>Hi</v>
      </c>
      <c r="J97" t="str">
        <f t="shared" si="32"/>
        <v>95</v>
      </c>
      <c r="K97" t="str">
        <f t="shared" si="33"/>
        <v>CF6</v>
      </c>
      <c r="L97" t="str">
        <f t="shared" si="34"/>
        <v>Y</v>
      </c>
      <c r="M97" t="str">
        <f t="shared" si="35"/>
        <v>Eco</v>
      </c>
      <c r="N97" t="str">
        <f t="shared" si="36"/>
        <v>0.25</v>
      </c>
      <c r="P97">
        <v>5</v>
      </c>
      <c r="Q97" t="s">
        <v>1214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1170</v>
      </c>
      <c r="X97">
        <v>0.25</v>
      </c>
      <c r="Z97" t="str">
        <f t="shared" si="38"/>
        <v>Hi</v>
      </c>
      <c r="AA97" t="str">
        <f t="shared" si="39"/>
        <v>$95</v>
      </c>
      <c r="AB97" t="str">
        <f t="shared" si="40"/>
        <v>CF6</v>
      </c>
      <c r="AC97" t="str">
        <f t="shared" si="41"/>
        <v>DEF</v>
      </c>
      <c r="AD97" t="str">
        <f t="shared" si="42"/>
        <v>Eco</v>
      </c>
      <c r="AE97" t="str">
        <f t="shared" si="43"/>
        <v>Tx0.25x</v>
      </c>
    </row>
    <row r="98" spans="2:31">
      <c r="B98" t="str">
        <f t="shared" si="29"/>
        <v>vs~0093</v>
      </c>
      <c r="C98" t="str">
        <f t="shared" si="30"/>
        <v>Tx0.25x·NoDEF·Eco·Lo·$00·CF6</v>
      </c>
      <c r="H98" t="str">
        <f t="shared" si="37"/>
        <v>Tx0.25x·NoDEF·Eco·Lo·$00·CF6</v>
      </c>
      <c r="I98" t="str">
        <f t="shared" si="31"/>
        <v>Lo</v>
      </c>
      <c r="J98" t="str">
        <f t="shared" si="32"/>
        <v>00</v>
      </c>
      <c r="K98" t="str">
        <f t="shared" si="33"/>
        <v>CF6</v>
      </c>
      <c r="L98" t="str">
        <f t="shared" si="34"/>
        <v>N</v>
      </c>
      <c r="M98" t="str">
        <f t="shared" si="35"/>
        <v>Eco</v>
      </c>
      <c r="N98" t="str">
        <f t="shared" si="36"/>
        <v>0.25</v>
      </c>
      <c r="P98">
        <v>5</v>
      </c>
      <c r="Q98" t="s">
        <v>1215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1170</v>
      </c>
      <c r="X98">
        <v>0.25</v>
      </c>
      <c r="Z98" t="str">
        <f t="shared" si="38"/>
        <v>Lo</v>
      </c>
      <c r="AA98" t="str">
        <f t="shared" si="39"/>
        <v>$00</v>
      </c>
      <c r="AB98" t="str">
        <f t="shared" si="40"/>
        <v>CF6</v>
      </c>
      <c r="AC98" t="str">
        <f t="shared" si="41"/>
        <v>NoDEF</v>
      </c>
      <c r="AD98" t="str">
        <f t="shared" si="42"/>
        <v>Eco</v>
      </c>
      <c r="AE98" t="str">
        <f t="shared" si="43"/>
        <v>Tx0.25x</v>
      </c>
    </row>
    <row r="99" spans="2:31">
      <c r="B99" t="str">
        <f t="shared" si="29"/>
        <v>vs~0094</v>
      </c>
      <c r="C99" t="str">
        <f t="shared" si="30"/>
        <v>Tx0.25x·NoDEF·Eco·Hi·$00·CF6</v>
      </c>
      <c r="H99" t="str">
        <f t="shared" si="37"/>
        <v>Tx0.25x·NoDEF·Eco·Hi·$00·CF6</v>
      </c>
      <c r="I99" t="str">
        <f t="shared" si="31"/>
        <v>Hi</v>
      </c>
      <c r="J99" t="str">
        <f t="shared" si="32"/>
        <v>00</v>
      </c>
      <c r="K99" t="str">
        <f t="shared" si="33"/>
        <v>CF6</v>
      </c>
      <c r="L99" t="str">
        <f t="shared" si="34"/>
        <v>N</v>
      </c>
      <c r="M99" t="str">
        <f t="shared" si="35"/>
        <v>Eco</v>
      </c>
      <c r="N99" t="str">
        <f t="shared" si="36"/>
        <v>0.25</v>
      </c>
      <c r="P99">
        <v>5</v>
      </c>
      <c r="Q99" t="s">
        <v>1216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1170</v>
      </c>
      <c r="X99">
        <v>0.25</v>
      </c>
      <c r="Z99" t="str">
        <f t="shared" si="38"/>
        <v>Hi</v>
      </c>
      <c r="AA99" t="str">
        <f t="shared" si="39"/>
        <v>$00</v>
      </c>
      <c r="AB99" t="str">
        <f t="shared" si="40"/>
        <v>CF6</v>
      </c>
      <c r="AC99" t="str">
        <f t="shared" si="41"/>
        <v>NoDEF</v>
      </c>
      <c r="AD99" t="str">
        <f t="shared" si="42"/>
        <v>Eco</v>
      </c>
      <c r="AE99" t="str">
        <f t="shared" si="43"/>
        <v>Tx0.25x</v>
      </c>
    </row>
    <row r="100" spans="2:31">
      <c r="B100" t="str">
        <f t="shared" si="29"/>
        <v>vs~0095</v>
      </c>
      <c r="C100" t="str">
        <f t="shared" si="30"/>
        <v>Tx0.25x·NoDEF·Eco·Lo·$95·CF6</v>
      </c>
      <c r="H100" t="str">
        <f t="shared" si="37"/>
        <v>Tx0.25x·NoDEF·Eco·Lo·$95·CF6</v>
      </c>
      <c r="I100" t="str">
        <f t="shared" si="31"/>
        <v>Lo</v>
      </c>
      <c r="J100" t="str">
        <f t="shared" si="32"/>
        <v>95</v>
      </c>
      <c r="K100" t="str">
        <f t="shared" si="33"/>
        <v>CF6</v>
      </c>
      <c r="L100" t="str">
        <f t="shared" si="34"/>
        <v>N</v>
      </c>
      <c r="M100" t="str">
        <f t="shared" si="35"/>
        <v>Eco</v>
      </c>
      <c r="N100" t="str">
        <f t="shared" si="36"/>
        <v>0.25</v>
      </c>
      <c r="P100">
        <v>5</v>
      </c>
      <c r="Q100" t="s">
        <v>1217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1170</v>
      </c>
      <c r="X100">
        <v>0.25</v>
      </c>
      <c r="Z100" t="str">
        <f t="shared" si="38"/>
        <v>Lo</v>
      </c>
      <c r="AA100" t="str">
        <f t="shared" si="39"/>
        <v>$95</v>
      </c>
      <c r="AB100" t="str">
        <f t="shared" si="40"/>
        <v>CF6</v>
      </c>
      <c r="AC100" t="str">
        <f t="shared" si="41"/>
        <v>NoDEF</v>
      </c>
      <c r="AD100" t="str">
        <f t="shared" si="42"/>
        <v>Eco</v>
      </c>
      <c r="AE100" t="str">
        <f t="shared" si="43"/>
        <v>Tx0.25x</v>
      </c>
    </row>
    <row r="101" spans="2:31">
      <c r="B101" t="str">
        <f t="shared" si="29"/>
        <v>vs~0096</v>
      </c>
      <c r="C101" t="str">
        <f t="shared" si="30"/>
        <v>Tx0.25x·NoDEF·Eco·Hi·$95·CF6</v>
      </c>
      <c r="H101" t="str">
        <f t="shared" si="37"/>
        <v>Tx0.25x·NoDEF·Eco·Hi·$95·CF6</v>
      </c>
      <c r="I101" t="str">
        <f t="shared" si="31"/>
        <v>Hi</v>
      </c>
      <c r="J101" t="str">
        <f t="shared" si="32"/>
        <v>95</v>
      </c>
      <c r="K101" t="str">
        <f t="shared" si="33"/>
        <v>CF6</v>
      </c>
      <c r="L101" t="str">
        <f t="shared" si="34"/>
        <v>N</v>
      </c>
      <c r="M101" t="str">
        <f t="shared" si="35"/>
        <v>Eco</v>
      </c>
      <c r="N101" t="str">
        <f t="shared" si="36"/>
        <v>0.25</v>
      </c>
      <c r="P101">
        <v>5</v>
      </c>
      <c r="Q101" t="s">
        <v>1218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1170</v>
      </c>
      <c r="X101">
        <v>0.25</v>
      </c>
      <c r="Z101" t="str">
        <f t="shared" si="38"/>
        <v>Hi</v>
      </c>
      <c r="AA101" t="str">
        <f t="shared" si="39"/>
        <v>$95</v>
      </c>
      <c r="AB101" t="str">
        <f t="shared" si="40"/>
        <v>CF6</v>
      </c>
      <c r="AC101" t="str">
        <f t="shared" si="41"/>
        <v>NoDEF</v>
      </c>
      <c r="AD101" t="str">
        <f t="shared" si="42"/>
        <v>Eco</v>
      </c>
      <c r="AE101" t="str">
        <f t="shared" si="43"/>
        <v>Tx0.25x</v>
      </c>
    </row>
    <row r="102" spans="2:31">
      <c r="B102" t="str">
        <f t="shared" si="29"/>
        <v>vs~0097</v>
      </c>
      <c r="C102" t="str">
        <f t="shared" si="30"/>
        <v>Tx2.00x·DEF·Eco·Lo·$00·CF1</v>
      </c>
      <c r="H102" t="str">
        <f t="shared" si="37"/>
        <v>Tx2.00x·DEF·Eco·Lo·$00·CF1</v>
      </c>
      <c r="I102" t="str">
        <f t="shared" si="31"/>
        <v>Lo</v>
      </c>
      <c r="J102" t="str">
        <f t="shared" si="32"/>
        <v>00</v>
      </c>
      <c r="K102" t="str">
        <f t="shared" si="33"/>
        <v>CF1</v>
      </c>
      <c r="L102" t="str">
        <f t="shared" si="34"/>
        <v>Y</v>
      </c>
      <c r="M102" t="str">
        <f t="shared" si="35"/>
        <v>Eco</v>
      </c>
      <c r="N102" t="str">
        <f t="shared" si="36"/>
        <v>2.00</v>
      </c>
      <c r="P102">
        <v>5</v>
      </c>
      <c r="Q102" t="s">
        <v>1219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1170</v>
      </c>
      <c r="X102">
        <v>2</v>
      </c>
      <c r="Z102" t="str">
        <f t="shared" si="38"/>
        <v>Lo</v>
      </c>
      <c r="AA102" t="str">
        <f t="shared" si="39"/>
        <v>$00</v>
      </c>
      <c r="AB102" t="str">
        <f t="shared" si="40"/>
        <v>CF1</v>
      </c>
      <c r="AC102" t="str">
        <f t="shared" si="41"/>
        <v>DEF</v>
      </c>
      <c r="AD102" t="str">
        <f t="shared" si="42"/>
        <v>Eco</v>
      </c>
      <c r="AE102" t="str">
        <f t="shared" si="43"/>
        <v>Tx2.00x</v>
      </c>
    </row>
    <row r="103" spans="2:31">
      <c r="B103" t="str">
        <f t="shared" si="29"/>
        <v>vs~0098</v>
      </c>
      <c r="C103" t="str">
        <f t="shared" si="30"/>
        <v>Tx2.00x·DEF·Eco·Hi·$00·CF1</v>
      </c>
      <c r="H103" t="str">
        <f t="shared" si="37"/>
        <v>Tx2.00x·DEF·Eco·Hi·$00·CF1</v>
      </c>
      <c r="I103" t="str">
        <f t="shared" si="31"/>
        <v>Hi</v>
      </c>
      <c r="J103" t="str">
        <f t="shared" si="32"/>
        <v>00</v>
      </c>
      <c r="K103" t="str">
        <f t="shared" si="33"/>
        <v>CF1</v>
      </c>
      <c r="L103" t="str">
        <f t="shared" si="34"/>
        <v>Y</v>
      </c>
      <c r="M103" t="str">
        <f t="shared" si="35"/>
        <v>Eco</v>
      </c>
      <c r="N103" t="str">
        <f t="shared" si="36"/>
        <v>2.00</v>
      </c>
      <c r="P103">
        <v>5</v>
      </c>
      <c r="Q103" t="s">
        <v>1220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1170</v>
      </c>
      <c r="X103">
        <v>2</v>
      </c>
      <c r="Z103" t="str">
        <f t="shared" si="38"/>
        <v>Hi</v>
      </c>
      <c r="AA103" t="str">
        <f t="shared" si="39"/>
        <v>$00</v>
      </c>
      <c r="AB103" t="str">
        <f t="shared" si="40"/>
        <v>CF1</v>
      </c>
      <c r="AC103" t="str">
        <f t="shared" si="41"/>
        <v>DEF</v>
      </c>
      <c r="AD103" t="str">
        <f t="shared" si="42"/>
        <v>Eco</v>
      </c>
      <c r="AE103" t="str">
        <f t="shared" si="43"/>
        <v>Tx2.00x</v>
      </c>
    </row>
    <row r="104" spans="2:31">
      <c r="B104" t="str">
        <f t="shared" si="29"/>
        <v>vs~0099</v>
      </c>
      <c r="C104" t="str">
        <f t="shared" si="30"/>
        <v>Tx2.00x·DEF·Eco·Lo·$95·CF1</v>
      </c>
      <c r="H104" t="str">
        <f t="shared" si="37"/>
        <v>Tx2.00x·DEF·Eco·Lo·$95·CF1</v>
      </c>
      <c r="I104" t="str">
        <f t="shared" si="31"/>
        <v>Lo</v>
      </c>
      <c r="J104" t="str">
        <f t="shared" si="32"/>
        <v>95</v>
      </c>
      <c r="K104" t="str">
        <f t="shared" si="33"/>
        <v>CF1</v>
      </c>
      <c r="L104" t="str">
        <f t="shared" si="34"/>
        <v>Y</v>
      </c>
      <c r="M104" t="str">
        <f t="shared" si="35"/>
        <v>Eco</v>
      </c>
      <c r="N104" t="str">
        <f t="shared" si="36"/>
        <v>2.00</v>
      </c>
      <c r="P104">
        <v>5</v>
      </c>
      <c r="Q104" t="s">
        <v>1221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1170</v>
      </c>
      <c r="X104">
        <v>2</v>
      </c>
      <c r="Z104" t="str">
        <f t="shared" si="38"/>
        <v>Lo</v>
      </c>
      <c r="AA104" t="str">
        <f t="shared" si="39"/>
        <v>$95</v>
      </c>
      <c r="AB104" t="str">
        <f t="shared" si="40"/>
        <v>CF1</v>
      </c>
      <c r="AC104" t="str">
        <f t="shared" si="41"/>
        <v>DEF</v>
      </c>
      <c r="AD104" t="str">
        <f t="shared" si="42"/>
        <v>Eco</v>
      </c>
      <c r="AE104" t="str">
        <f t="shared" si="43"/>
        <v>Tx2.00x</v>
      </c>
    </row>
    <row r="105" spans="2:31">
      <c r="B105" t="str">
        <f t="shared" si="29"/>
        <v>vs~0100</v>
      </c>
      <c r="C105" t="str">
        <f t="shared" si="30"/>
        <v>Tx2.00x·DEF·Eco·Hi·$95·CF1</v>
      </c>
      <c r="H105" t="str">
        <f t="shared" si="37"/>
        <v>Tx2.00x·DEF·Eco·Hi·$95·CF1</v>
      </c>
      <c r="I105" t="str">
        <f t="shared" si="31"/>
        <v>Hi</v>
      </c>
      <c r="J105" t="str">
        <f t="shared" si="32"/>
        <v>95</v>
      </c>
      <c r="K105" t="str">
        <f t="shared" si="33"/>
        <v>CF1</v>
      </c>
      <c r="L105" t="str">
        <f t="shared" si="34"/>
        <v>Y</v>
      </c>
      <c r="M105" t="str">
        <f t="shared" si="35"/>
        <v>Eco</v>
      </c>
      <c r="N105" t="str">
        <f t="shared" si="36"/>
        <v>2.00</v>
      </c>
      <c r="P105">
        <v>5</v>
      </c>
      <c r="Q105" t="s">
        <v>1222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1170</v>
      </c>
      <c r="X105">
        <v>2</v>
      </c>
      <c r="Z105" t="str">
        <f t="shared" si="38"/>
        <v>Hi</v>
      </c>
      <c r="AA105" t="str">
        <f t="shared" si="39"/>
        <v>$95</v>
      </c>
      <c r="AB105" t="str">
        <f t="shared" si="40"/>
        <v>CF1</v>
      </c>
      <c r="AC105" t="str">
        <f t="shared" si="41"/>
        <v>DEF</v>
      </c>
      <c r="AD105" t="str">
        <f t="shared" si="42"/>
        <v>Eco</v>
      </c>
      <c r="AE105" t="str">
        <f t="shared" si="43"/>
        <v>Tx2.00x</v>
      </c>
    </row>
    <row r="106" spans="2:31">
      <c r="B106" t="str">
        <f t="shared" si="29"/>
        <v>vs~0101</v>
      </c>
      <c r="C106" t="str">
        <f t="shared" si="30"/>
        <v>Tx2.00x·NoDEF·Eco·Lo·$00·CF1</v>
      </c>
      <c r="H106" t="str">
        <f t="shared" si="37"/>
        <v>Tx2.00x·NoDEF·Eco·Lo·$00·CF1</v>
      </c>
      <c r="I106" t="str">
        <f t="shared" si="31"/>
        <v>Lo</v>
      </c>
      <c r="J106" t="str">
        <f t="shared" si="32"/>
        <v>00</v>
      </c>
      <c r="K106" t="str">
        <f t="shared" si="33"/>
        <v>CF1</v>
      </c>
      <c r="L106" t="str">
        <f t="shared" si="34"/>
        <v>N</v>
      </c>
      <c r="M106" t="str">
        <f t="shared" si="35"/>
        <v>Eco</v>
      </c>
      <c r="N106" t="str">
        <f t="shared" si="36"/>
        <v>2.00</v>
      </c>
      <c r="P106">
        <v>5</v>
      </c>
      <c r="Q106" t="s">
        <v>1223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1170</v>
      </c>
      <c r="X106">
        <v>2</v>
      </c>
      <c r="Z106" t="str">
        <f t="shared" si="38"/>
        <v>Lo</v>
      </c>
      <c r="AA106" t="str">
        <f t="shared" si="39"/>
        <v>$00</v>
      </c>
      <c r="AB106" t="str">
        <f t="shared" si="40"/>
        <v>CF1</v>
      </c>
      <c r="AC106" t="str">
        <f t="shared" si="41"/>
        <v>NoDEF</v>
      </c>
      <c r="AD106" t="str">
        <f t="shared" si="42"/>
        <v>Eco</v>
      </c>
      <c r="AE106" t="str">
        <f t="shared" si="43"/>
        <v>Tx2.00x</v>
      </c>
    </row>
    <row r="107" spans="2:31">
      <c r="B107" t="str">
        <f t="shared" si="29"/>
        <v>vs~0102</v>
      </c>
      <c r="C107" t="str">
        <f t="shared" si="30"/>
        <v>Tx2.00x·NoDEF·Eco·Hi·$00·CF1</v>
      </c>
      <c r="H107" t="str">
        <f t="shared" si="37"/>
        <v>Tx2.00x·NoDEF·Eco·Hi·$00·CF1</v>
      </c>
      <c r="I107" t="str">
        <f t="shared" si="31"/>
        <v>Hi</v>
      </c>
      <c r="J107" t="str">
        <f t="shared" si="32"/>
        <v>00</v>
      </c>
      <c r="K107" t="str">
        <f t="shared" si="33"/>
        <v>CF1</v>
      </c>
      <c r="L107" t="str">
        <f t="shared" si="34"/>
        <v>N</v>
      </c>
      <c r="M107" t="str">
        <f t="shared" si="35"/>
        <v>Eco</v>
      </c>
      <c r="N107" t="str">
        <f t="shared" si="36"/>
        <v>2.00</v>
      </c>
      <c r="P107">
        <v>5</v>
      </c>
      <c r="Q107" t="s">
        <v>1224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1170</v>
      </c>
      <c r="X107">
        <v>2</v>
      </c>
      <c r="Z107" t="str">
        <f t="shared" si="38"/>
        <v>Hi</v>
      </c>
      <c r="AA107" t="str">
        <f t="shared" si="39"/>
        <v>$00</v>
      </c>
      <c r="AB107" t="str">
        <f t="shared" si="40"/>
        <v>CF1</v>
      </c>
      <c r="AC107" t="str">
        <f t="shared" si="41"/>
        <v>NoDEF</v>
      </c>
      <c r="AD107" t="str">
        <f t="shared" si="42"/>
        <v>Eco</v>
      </c>
      <c r="AE107" t="str">
        <f t="shared" si="43"/>
        <v>Tx2.00x</v>
      </c>
    </row>
    <row r="108" spans="2:31">
      <c r="B108" t="str">
        <f t="shared" si="29"/>
        <v>vs~0103</v>
      </c>
      <c r="C108" t="str">
        <f t="shared" si="30"/>
        <v>Tx2.00x·NoDEF·Eco·Lo·$95·CF1</v>
      </c>
      <c r="H108" t="str">
        <f t="shared" si="37"/>
        <v>Tx2.00x·NoDEF·Eco·Lo·$95·CF1</v>
      </c>
      <c r="I108" t="str">
        <f t="shared" si="31"/>
        <v>Lo</v>
      </c>
      <c r="J108" t="str">
        <f t="shared" si="32"/>
        <v>95</v>
      </c>
      <c r="K108" t="str">
        <f t="shared" si="33"/>
        <v>CF1</v>
      </c>
      <c r="L108" t="str">
        <f t="shared" si="34"/>
        <v>N</v>
      </c>
      <c r="M108" t="str">
        <f t="shared" si="35"/>
        <v>Eco</v>
      </c>
      <c r="N108" t="str">
        <f t="shared" si="36"/>
        <v>2.00</v>
      </c>
      <c r="P108">
        <v>5</v>
      </c>
      <c r="Q108" t="s">
        <v>1225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1170</v>
      </c>
      <c r="X108">
        <v>2</v>
      </c>
      <c r="Z108" t="str">
        <f t="shared" si="38"/>
        <v>Lo</v>
      </c>
      <c r="AA108" t="str">
        <f t="shared" si="39"/>
        <v>$95</v>
      </c>
      <c r="AB108" t="str">
        <f t="shared" si="40"/>
        <v>CF1</v>
      </c>
      <c r="AC108" t="str">
        <f t="shared" si="41"/>
        <v>NoDEF</v>
      </c>
      <c r="AD108" t="str">
        <f t="shared" si="42"/>
        <v>Eco</v>
      </c>
      <c r="AE108" t="str">
        <f t="shared" si="43"/>
        <v>Tx2.00x</v>
      </c>
    </row>
    <row r="109" spans="2:31">
      <c r="B109" t="str">
        <f t="shared" si="29"/>
        <v>vs~0104</v>
      </c>
      <c r="C109" t="str">
        <f t="shared" si="30"/>
        <v>Tx2.00x·NoDEF·Eco·Hi·$95·CF1</v>
      </c>
      <c r="H109" t="str">
        <f t="shared" si="37"/>
        <v>Tx2.00x·NoDEF·Eco·Hi·$95·CF1</v>
      </c>
      <c r="I109" t="str">
        <f t="shared" si="31"/>
        <v>Hi</v>
      </c>
      <c r="J109" t="str">
        <f t="shared" si="32"/>
        <v>95</v>
      </c>
      <c r="K109" t="str">
        <f t="shared" si="33"/>
        <v>CF1</v>
      </c>
      <c r="L109" t="str">
        <f t="shared" si="34"/>
        <v>N</v>
      </c>
      <c r="M109" t="str">
        <f t="shared" si="35"/>
        <v>Eco</v>
      </c>
      <c r="N109" t="str">
        <f t="shared" si="36"/>
        <v>2.00</v>
      </c>
      <c r="P109">
        <v>5</v>
      </c>
      <c r="Q109" t="s">
        <v>1226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1170</v>
      </c>
      <c r="X109">
        <v>2</v>
      </c>
      <c r="Z109" t="str">
        <f t="shared" si="38"/>
        <v>Hi</v>
      </c>
      <c r="AA109" t="str">
        <f t="shared" si="39"/>
        <v>$95</v>
      </c>
      <c r="AB109" t="str">
        <f t="shared" si="40"/>
        <v>CF1</v>
      </c>
      <c r="AC109" t="str">
        <f t="shared" si="41"/>
        <v>NoDEF</v>
      </c>
      <c r="AD109" t="str">
        <f t="shared" si="42"/>
        <v>Eco</v>
      </c>
      <c r="AE109" t="str">
        <f t="shared" si="43"/>
        <v>Tx2.00x</v>
      </c>
    </row>
    <row r="110" spans="2:31">
      <c r="B110" t="str">
        <f t="shared" si="29"/>
        <v>vs~0105</v>
      </c>
      <c r="C110" t="str">
        <f t="shared" si="30"/>
        <v>Tx2.00x·DEF·Eco·Lo·$00·CF6</v>
      </c>
      <c r="H110" t="str">
        <f t="shared" si="37"/>
        <v>Tx2.00x·DEF·Eco·Lo·$00·CF6</v>
      </c>
      <c r="I110" t="str">
        <f t="shared" si="31"/>
        <v>Lo</v>
      </c>
      <c r="J110" t="str">
        <f t="shared" si="32"/>
        <v>00</v>
      </c>
      <c r="K110" t="str">
        <f t="shared" si="33"/>
        <v>CF6</v>
      </c>
      <c r="L110" t="str">
        <f t="shared" si="34"/>
        <v>Y</v>
      </c>
      <c r="M110" t="str">
        <f t="shared" si="35"/>
        <v>Eco</v>
      </c>
      <c r="N110" t="str">
        <f t="shared" si="36"/>
        <v>2.00</v>
      </c>
      <c r="P110">
        <v>5</v>
      </c>
      <c r="Q110" t="s">
        <v>1227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1170</v>
      </c>
      <c r="X110">
        <v>2</v>
      </c>
      <c r="Z110" t="str">
        <f t="shared" si="38"/>
        <v>Lo</v>
      </c>
      <c r="AA110" t="str">
        <f t="shared" si="39"/>
        <v>$00</v>
      </c>
      <c r="AB110" t="str">
        <f t="shared" si="40"/>
        <v>CF6</v>
      </c>
      <c r="AC110" t="str">
        <f t="shared" si="41"/>
        <v>DEF</v>
      </c>
      <c r="AD110" t="str">
        <f t="shared" si="42"/>
        <v>Eco</v>
      </c>
      <c r="AE110" t="str">
        <f t="shared" si="43"/>
        <v>Tx2.00x</v>
      </c>
    </row>
    <row r="111" spans="2:31">
      <c r="B111" t="str">
        <f t="shared" si="29"/>
        <v>vs~0106</v>
      </c>
      <c r="C111" t="str">
        <f t="shared" si="30"/>
        <v>Tx2.00x·DEF·Eco·Hi·$00·CF6</v>
      </c>
      <c r="H111" t="str">
        <f t="shared" si="37"/>
        <v>Tx2.00x·DEF·Eco·Hi·$00·CF6</v>
      </c>
      <c r="I111" t="str">
        <f t="shared" si="31"/>
        <v>Hi</v>
      </c>
      <c r="J111" t="str">
        <f t="shared" si="32"/>
        <v>00</v>
      </c>
      <c r="K111" t="str">
        <f t="shared" si="33"/>
        <v>CF6</v>
      </c>
      <c r="L111" t="str">
        <f t="shared" si="34"/>
        <v>Y</v>
      </c>
      <c r="M111" t="str">
        <f t="shared" si="35"/>
        <v>Eco</v>
      </c>
      <c r="N111" t="str">
        <f t="shared" si="36"/>
        <v>2.00</v>
      </c>
      <c r="P111">
        <v>5</v>
      </c>
      <c r="Q111" t="s">
        <v>1228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1170</v>
      </c>
      <c r="X111">
        <v>2</v>
      </c>
      <c r="Z111" t="str">
        <f t="shared" si="38"/>
        <v>Hi</v>
      </c>
      <c r="AA111" t="str">
        <f t="shared" si="39"/>
        <v>$00</v>
      </c>
      <c r="AB111" t="str">
        <f t="shared" si="40"/>
        <v>CF6</v>
      </c>
      <c r="AC111" t="str">
        <f t="shared" si="41"/>
        <v>DEF</v>
      </c>
      <c r="AD111" t="str">
        <f t="shared" si="42"/>
        <v>Eco</v>
      </c>
      <c r="AE111" t="str">
        <f t="shared" si="43"/>
        <v>Tx2.00x</v>
      </c>
    </row>
    <row r="112" spans="2:31">
      <c r="B112" t="str">
        <f t="shared" si="29"/>
        <v>vs~0107</v>
      </c>
      <c r="C112" t="str">
        <f t="shared" si="30"/>
        <v>Tx2.00x·DEF·Eco·Lo·$95·CF6</v>
      </c>
      <c r="H112" t="str">
        <f t="shared" si="37"/>
        <v>Tx2.00x·DEF·Eco·Lo·$95·CF6</v>
      </c>
      <c r="I112" t="str">
        <f t="shared" si="31"/>
        <v>Lo</v>
      </c>
      <c r="J112" t="str">
        <f t="shared" si="32"/>
        <v>95</v>
      </c>
      <c r="K112" t="str">
        <f t="shared" si="33"/>
        <v>CF6</v>
      </c>
      <c r="L112" t="str">
        <f t="shared" si="34"/>
        <v>Y</v>
      </c>
      <c r="M112" t="str">
        <f t="shared" si="35"/>
        <v>Eco</v>
      </c>
      <c r="N112" t="str">
        <f t="shared" si="36"/>
        <v>2.00</v>
      </c>
      <c r="P112">
        <v>5</v>
      </c>
      <c r="Q112" t="s">
        <v>1229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1170</v>
      </c>
      <c r="X112">
        <v>2</v>
      </c>
      <c r="Z112" t="str">
        <f t="shared" si="38"/>
        <v>Lo</v>
      </c>
      <c r="AA112" t="str">
        <f t="shared" si="39"/>
        <v>$95</v>
      </c>
      <c r="AB112" t="str">
        <f t="shared" si="40"/>
        <v>CF6</v>
      </c>
      <c r="AC112" t="str">
        <f t="shared" si="41"/>
        <v>DEF</v>
      </c>
      <c r="AD112" t="str">
        <f t="shared" si="42"/>
        <v>Eco</v>
      </c>
      <c r="AE112" t="str">
        <f t="shared" si="43"/>
        <v>Tx2.00x</v>
      </c>
    </row>
    <row r="113" spans="2:31">
      <c r="B113" t="str">
        <f t="shared" si="29"/>
        <v>vs~0108</v>
      </c>
      <c r="C113" t="str">
        <f t="shared" si="30"/>
        <v>Tx2.00x·DEF·Eco·Hi·$95·CF6</v>
      </c>
      <c r="H113" t="str">
        <f t="shared" si="37"/>
        <v>Tx2.00x·DEF·Eco·Hi·$95·CF6</v>
      </c>
      <c r="I113" t="str">
        <f t="shared" si="31"/>
        <v>Hi</v>
      </c>
      <c r="J113" t="str">
        <f t="shared" si="32"/>
        <v>95</v>
      </c>
      <c r="K113" t="str">
        <f t="shared" si="33"/>
        <v>CF6</v>
      </c>
      <c r="L113" t="str">
        <f t="shared" si="34"/>
        <v>Y</v>
      </c>
      <c r="M113" t="str">
        <f t="shared" si="35"/>
        <v>Eco</v>
      </c>
      <c r="N113" t="str">
        <f t="shared" si="36"/>
        <v>2.00</v>
      </c>
      <c r="P113">
        <v>5</v>
      </c>
      <c r="Q113" t="s">
        <v>1230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1170</v>
      </c>
      <c r="X113">
        <v>2</v>
      </c>
      <c r="Z113" t="str">
        <f t="shared" si="38"/>
        <v>Hi</v>
      </c>
      <c r="AA113" t="str">
        <f t="shared" si="39"/>
        <v>$95</v>
      </c>
      <c r="AB113" t="str">
        <f t="shared" si="40"/>
        <v>CF6</v>
      </c>
      <c r="AC113" t="str">
        <f t="shared" si="41"/>
        <v>DEF</v>
      </c>
      <c r="AD113" t="str">
        <f t="shared" si="42"/>
        <v>Eco</v>
      </c>
      <c r="AE113" t="str">
        <f t="shared" si="43"/>
        <v>Tx2.00x</v>
      </c>
    </row>
    <row r="114" spans="2:31">
      <c r="B114" t="str">
        <f t="shared" si="29"/>
        <v>vs~0109</v>
      </c>
      <c r="C114" t="str">
        <f t="shared" si="30"/>
        <v>Tx2.00x·NoDEF·Eco·Lo·$00·CF6</v>
      </c>
      <c r="H114" t="str">
        <f t="shared" si="37"/>
        <v>Tx2.00x·NoDEF·Eco·Lo·$00·CF6</v>
      </c>
      <c r="I114" t="str">
        <f t="shared" si="31"/>
        <v>Lo</v>
      </c>
      <c r="J114" t="str">
        <f t="shared" si="32"/>
        <v>00</v>
      </c>
      <c r="K114" t="str">
        <f t="shared" si="33"/>
        <v>CF6</v>
      </c>
      <c r="L114" t="str">
        <f t="shared" si="34"/>
        <v>N</v>
      </c>
      <c r="M114" t="str">
        <f t="shared" si="35"/>
        <v>Eco</v>
      </c>
      <c r="N114" t="str">
        <f t="shared" si="36"/>
        <v>2.00</v>
      </c>
      <c r="P114">
        <v>5</v>
      </c>
      <c r="Q114" t="s">
        <v>1231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1170</v>
      </c>
      <c r="X114">
        <v>2</v>
      </c>
      <c r="Z114" t="str">
        <f t="shared" si="38"/>
        <v>Lo</v>
      </c>
      <c r="AA114" t="str">
        <f t="shared" si="39"/>
        <v>$00</v>
      </c>
      <c r="AB114" t="str">
        <f t="shared" si="40"/>
        <v>CF6</v>
      </c>
      <c r="AC114" t="str">
        <f t="shared" si="41"/>
        <v>NoDEF</v>
      </c>
      <c r="AD114" t="str">
        <f t="shared" si="42"/>
        <v>Eco</v>
      </c>
      <c r="AE114" t="str">
        <f t="shared" si="43"/>
        <v>Tx2.00x</v>
      </c>
    </row>
    <row r="115" spans="2:31">
      <c r="B115" t="str">
        <f t="shared" si="29"/>
        <v>vs~0110</v>
      </c>
      <c r="C115" t="str">
        <f t="shared" si="30"/>
        <v>Tx2.00x·NoDEF·Eco·Hi·$00·CF6</v>
      </c>
      <c r="H115" t="str">
        <f t="shared" si="37"/>
        <v>Tx2.00x·NoDEF·Eco·Hi·$00·CF6</v>
      </c>
      <c r="I115" t="str">
        <f t="shared" si="31"/>
        <v>Hi</v>
      </c>
      <c r="J115" t="str">
        <f t="shared" si="32"/>
        <v>00</v>
      </c>
      <c r="K115" t="str">
        <f t="shared" si="33"/>
        <v>CF6</v>
      </c>
      <c r="L115" t="str">
        <f t="shared" si="34"/>
        <v>N</v>
      </c>
      <c r="M115" t="str">
        <f t="shared" si="35"/>
        <v>Eco</v>
      </c>
      <c r="N115" t="str">
        <f t="shared" si="36"/>
        <v>2.00</v>
      </c>
      <c r="P115">
        <v>5</v>
      </c>
      <c r="Q115" t="s">
        <v>1232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1170</v>
      </c>
      <c r="X115">
        <v>2</v>
      </c>
      <c r="Z115" t="str">
        <f t="shared" si="38"/>
        <v>Hi</v>
      </c>
      <c r="AA115" t="str">
        <f t="shared" si="39"/>
        <v>$00</v>
      </c>
      <c r="AB115" t="str">
        <f t="shared" si="40"/>
        <v>CF6</v>
      </c>
      <c r="AC115" t="str">
        <f t="shared" si="41"/>
        <v>NoDEF</v>
      </c>
      <c r="AD115" t="str">
        <f t="shared" si="42"/>
        <v>Eco</v>
      </c>
      <c r="AE115" t="str">
        <f t="shared" si="43"/>
        <v>Tx2.00x</v>
      </c>
    </row>
    <row r="116" spans="2:31">
      <c r="B116" t="str">
        <f t="shared" si="29"/>
        <v>vs~0111</v>
      </c>
      <c r="C116" t="str">
        <f t="shared" si="30"/>
        <v>Tx2.00x·NoDEF·Eco·Lo·$95·CF6</v>
      </c>
      <c r="H116" t="str">
        <f t="shared" si="37"/>
        <v>Tx2.00x·NoDEF·Eco·Lo·$95·CF6</v>
      </c>
      <c r="I116" t="str">
        <f t="shared" si="31"/>
        <v>Lo</v>
      </c>
      <c r="J116" t="str">
        <f t="shared" si="32"/>
        <v>95</v>
      </c>
      <c r="K116" t="str">
        <f t="shared" si="33"/>
        <v>CF6</v>
      </c>
      <c r="L116" t="str">
        <f t="shared" si="34"/>
        <v>N</v>
      </c>
      <c r="M116" t="str">
        <f t="shared" si="35"/>
        <v>Eco</v>
      </c>
      <c r="N116" t="str">
        <f t="shared" si="36"/>
        <v>2.00</v>
      </c>
      <c r="P116">
        <v>5</v>
      </c>
      <c r="Q116" t="s">
        <v>1233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1170</v>
      </c>
      <c r="X116">
        <v>2</v>
      </c>
      <c r="Z116" t="str">
        <f t="shared" si="38"/>
        <v>Lo</v>
      </c>
      <c r="AA116" t="str">
        <f t="shared" si="39"/>
        <v>$95</v>
      </c>
      <c r="AB116" t="str">
        <f t="shared" si="40"/>
        <v>CF6</v>
      </c>
      <c r="AC116" t="str">
        <f t="shared" si="41"/>
        <v>NoDEF</v>
      </c>
      <c r="AD116" t="str">
        <f t="shared" si="42"/>
        <v>Eco</v>
      </c>
      <c r="AE116" t="str">
        <f t="shared" si="43"/>
        <v>Tx2.00x</v>
      </c>
    </row>
    <row r="117" spans="2:31">
      <c r="B117" t="str">
        <f t="shared" si="29"/>
        <v>vs~0112</v>
      </c>
      <c r="C117" t="str">
        <f t="shared" si="30"/>
        <v>Tx2.00x·NoDEF·Eco·Hi·$95·CF6</v>
      </c>
      <c r="H117" t="str">
        <f t="shared" si="37"/>
        <v>Tx2.00x·NoDEF·Eco·Hi·$95·CF6</v>
      </c>
      <c r="I117" t="str">
        <f t="shared" si="31"/>
        <v>Hi</v>
      </c>
      <c r="J117" t="str">
        <f t="shared" si="32"/>
        <v>95</v>
      </c>
      <c r="K117" t="str">
        <f t="shared" si="33"/>
        <v>CF6</v>
      </c>
      <c r="L117" t="str">
        <f t="shared" si="34"/>
        <v>N</v>
      </c>
      <c r="M117" t="str">
        <f t="shared" si="35"/>
        <v>Eco</v>
      </c>
      <c r="N117" t="str">
        <f t="shared" si="36"/>
        <v>2.00</v>
      </c>
      <c r="P117">
        <v>5</v>
      </c>
      <c r="Q117" t="s">
        <v>1234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1170</v>
      </c>
      <c r="X117">
        <v>2</v>
      </c>
      <c r="Z117" t="str">
        <f t="shared" si="38"/>
        <v>Hi</v>
      </c>
      <c r="AA117" t="str">
        <f t="shared" si="39"/>
        <v>$95</v>
      </c>
      <c r="AB117" t="str">
        <f t="shared" si="40"/>
        <v>CF6</v>
      </c>
      <c r="AC117" t="str">
        <f t="shared" si="41"/>
        <v>NoDEF</v>
      </c>
      <c r="AD117" t="str">
        <f t="shared" si="42"/>
        <v>Eco</v>
      </c>
      <c r="AE117" t="str">
        <f t="shared" si="43"/>
        <v>Tx2.00x</v>
      </c>
    </row>
    <row r="118" spans="2:31">
      <c r="B118" t="str">
        <f t="shared" si="29"/>
        <v>vs~0113</v>
      </c>
      <c r="C118" t="str">
        <f t="shared" si="30"/>
        <v>Tx0.10x·DEF·Eco·Lo·$00·CF1</v>
      </c>
      <c r="H118" t="str">
        <f t="shared" si="37"/>
        <v>Tx0.10x·DEF·Eco·Lo·$00·CF1</v>
      </c>
      <c r="I118" t="str">
        <f t="shared" si="31"/>
        <v>Lo</v>
      </c>
      <c r="J118" t="str">
        <f t="shared" si="32"/>
        <v>00</v>
      </c>
      <c r="K118" t="str">
        <f t="shared" si="33"/>
        <v>CF1</v>
      </c>
      <c r="L118" t="str">
        <f t="shared" si="34"/>
        <v>Y</v>
      </c>
      <c r="M118" t="str">
        <f t="shared" si="35"/>
        <v>Eco</v>
      </c>
      <c r="N118" t="str">
        <f t="shared" si="36"/>
        <v>0.10</v>
      </c>
      <c r="P118">
        <v>5</v>
      </c>
      <c r="Q118" t="s">
        <v>1169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1170</v>
      </c>
      <c r="X118">
        <v>0.1</v>
      </c>
      <c r="Z118" t="str">
        <f t="shared" si="38"/>
        <v>Lo</v>
      </c>
      <c r="AA118" t="str">
        <f t="shared" si="39"/>
        <v>$00</v>
      </c>
      <c r="AB118" t="str">
        <f t="shared" si="40"/>
        <v>CF1</v>
      </c>
      <c r="AC118" t="str">
        <f t="shared" si="41"/>
        <v>DEF</v>
      </c>
      <c r="AD118" t="str">
        <f t="shared" si="42"/>
        <v>Eco</v>
      </c>
      <c r="AE118" t="str">
        <f t="shared" si="43"/>
        <v>Tx0.10x</v>
      </c>
    </row>
    <row r="119" spans="2:31">
      <c r="B119" t="str">
        <f t="shared" si="29"/>
        <v>vs~0114</v>
      </c>
      <c r="C119" t="str">
        <f t="shared" si="30"/>
        <v>Tx0.10x·DEF·Eco·Hi·$00·CF1</v>
      </c>
      <c r="H119" t="str">
        <f t="shared" si="37"/>
        <v>Tx0.10x·DEF·Eco·Hi·$00·CF1</v>
      </c>
      <c r="I119" t="str">
        <f t="shared" si="31"/>
        <v>Hi</v>
      </c>
      <c r="J119" t="str">
        <f t="shared" si="32"/>
        <v>00</v>
      </c>
      <c r="K119" t="str">
        <f t="shared" si="33"/>
        <v>CF1</v>
      </c>
      <c r="L119" t="str">
        <f t="shared" si="34"/>
        <v>Y</v>
      </c>
      <c r="M119" t="str">
        <f t="shared" si="35"/>
        <v>Eco</v>
      </c>
      <c r="N119" t="str">
        <f t="shared" si="36"/>
        <v>0.10</v>
      </c>
      <c r="P119">
        <v>5</v>
      </c>
      <c r="Q119" t="s">
        <v>1171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1170</v>
      </c>
      <c r="X119">
        <v>0.1</v>
      </c>
      <c r="Z119" t="str">
        <f t="shared" si="38"/>
        <v>Hi</v>
      </c>
      <c r="AA119" t="str">
        <f t="shared" si="39"/>
        <v>$00</v>
      </c>
      <c r="AB119" t="str">
        <f t="shared" si="40"/>
        <v>CF1</v>
      </c>
      <c r="AC119" t="str">
        <f t="shared" si="41"/>
        <v>DEF</v>
      </c>
      <c r="AD119" t="str">
        <f t="shared" si="42"/>
        <v>Eco</v>
      </c>
      <c r="AE119" t="str">
        <f t="shared" si="43"/>
        <v>Tx0.10x</v>
      </c>
    </row>
    <row r="120" spans="2:31">
      <c r="B120" t="str">
        <f t="shared" si="29"/>
        <v>vs~0115</v>
      </c>
      <c r="C120" t="str">
        <f t="shared" si="30"/>
        <v>Tx0.10x·DEF·Eco·Lo·$95·CF1</v>
      </c>
      <c r="H120" t="str">
        <f t="shared" si="37"/>
        <v>Tx0.10x·DEF·Eco·Lo·$95·CF1</v>
      </c>
      <c r="I120" t="str">
        <f t="shared" si="31"/>
        <v>Lo</v>
      </c>
      <c r="J120" t="str">
        <f t="shared" si="32"/>
        <v>95</v>
      </c>
      <c r="K120" t="str">
        <f t="shared" si="33"/>
        <v>CF1</v>
      </c>
      <c r="L120" t="str">
        <f t="shared" si="34"/>
        <v>Y</v>
      </c>
      <c r="M120" t="str">
        <f t="shared" si="35"/>
        <v>Eco</v>
      </c>
      <c r="N120" t="str">
        <f t="shared" si="36"/>
        <v>0.10</v>
      </c>
      <c r="P120">
        <v>5</v>
      </c>
      <c r="Q120" t="s">
        <v>1172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1170</v>
      </c>
      <c r="X120">
        <v>0.1</v>
      </c>
      <c r="Z120" t="str">
        <f t="shared" si="38"/>
        <v>Lo</v>
      </c>
      <c r="AA120" t="str">
        <f t="shared" si="39"/>
        <v>$95</v>
      </c>
      <c r="AB120" t="str">
        <f t="shared" si="40"/>
        <v>CF1</v>
      </c>
      <c r="AC120" t="str">
        <f t="shared" si="41"/>
        <v>DEF</v>
      </c>
      <c r="AD120" t="str">
        <f t="shared" si="42"/>
        <v>Eco</v>
      </c>
      <c r="AE120" t="str">
        <f t="shared" si="43"/>
        <v>Tx0.10x</v>
      </c>
    </row>
    <row r="121" spans="2:31">
      <c r="B121" t="str">
        <f t="shared" si="29"/>
        <v>vs~0116</v>
      </c>
      <c r="C121" t="str">
        <f t="shared" si="30"/>
        <v>Tx0.10x·DEF·Eco·Hi·$95·CF1</v>
      </c>
      <c r="H121" t="str">
        <f t="shared" si="37"/>
        <v>Tx0.10x·DEF·Eco·Hi·$95·CF1</v>
      </c>
      <c r="I121" t="str">
        <f t="shared" si="31"/>
        <v>Hi</v>
      </c>
      <c r="J121" t="str">
        <f t="shared" si="32"/>
        <v>95</v>
      </c>
      <c r="K121" t="str">
        <f t="shared" si="33"/>
        <v>CF1</v>
      </c>
      <c r="L121" t="str">
        <f t="shared" si="34"/>
        <v>Y</v>
      </c>
      <c r="M121" t="str">
        <f t="shared" si="35"/>
        <v>Eco</v>
      </c>
      <c r="N121" t="str">
        <f t="shared" si="36"/>
        <v>0.10</v>
      </c>
      <c r="P121">
        <v>5</v>
      </c>
      <c r="Q121" t="s">
        <v>1173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1170</v>
      </c>
      <c r="X121">
        <v>0.1</v>
      </c>
      <c r="Z121" t="str">
        <f t="shared" si="38"/>
        <v>Hi</v>
      </c>
      <c r="AA121" t="str">
        <f t="shared" si="39"/>
        <v>$95</v>
      </c>
      <c r="AB121" t="str">
        <f t="shared" si="40"/>
        <v>CF1</v>
      </c>
      <c r="AC121" t="str">
        <f t="shared" si="41"/>
        <v>DEF</v>
      </c>
      <c r="AD121" t="str">
        <f t="shared" si="42"/>
        <v>Eco</v>
      </c>
      <c r="AE121" t="str">
        <f t="shared" si="43"/>
        <v>Tx0.10x</v>
      </c>
    </row>
    <row r="122" spans="2:31">
      <c r="B122" t="str">
        <f t="shared" si="29"/>
        <v>vs~0117</v>
      </c>
      <c r="C122" t="str">
        <f t="shared" si="30"/>
        <v>Tx0.10x·NoDEF·Eco·Lo·$00·CF1</v>
      </c>
      <c r="H122" t="str">
        <f t="shared" si="37"/>
        <v>Tx0.10x·NoDEF·Eco·Lo·$00·CF1</v>
      </c>
      <c r="I122" t="str">
        <f t="shared" si="31"/>
        <v>Lo</v>
      </c>
      <c r="J122" t="str">
        <f t="shared" si="32"/>
        <v>00</v>
      </c>
      <c r="K122" t="str">
        <f t="shared" si="33"/>
        <v>CF1</v>
      </c>
      <c r="L122" t="str">
        <f t="shared" si="34"/>
        <v>N</v>
      </c>
      <c r="M122" t="str">
        <f t="shared" si="35"/>
        <v>Eco</v>
      </c>
      <c r="N122" t="str">
        <f t="shared" si="36"/>
        <v>0.10</v>
      </c>
      <c r="P122">
        <v>5</v>
      </c>
      <c r="Q122" t="s">
        <v>1174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1170</v>
      </c>
      <c r="X122">
        <v>0.1</v>
      </c>
      <c r="Z122" t="str">
        <f t="shared" si="38"/>
        <v>Lo</v>
      </c>
      <c r="AA122" t="str">
        <f t="shared" si="39"/>
        <v>$00</v>
      </c>
      <c r="AB122" t="str">
        <f t="shared" si="40"/>
        <v>CF1</v>
      </c>
      <c r="AC122" t="str">
        <f t="shared" si="41"/>
        <v>NoDEF</v>
      </c>
      <c r="AD122" t="str">
        <f t="shared" si="42"/>
        <v>Eco</v>
      </c>
      <c r="AE122" t="str">
        <f t="shared" si="43"/>
        <v>Tx0.10x</v>
      </c>
    </row>
    <row r="123" spans="2:31">
      <c r="B123" t="str">
        <f t="shared" si="29"/>
        <v>vs~0118</v>
      </c>
      <c r="C123" t="str">
        <f t="shared" si="30"/>
        <v>Tx0.10x·NoDEF·Eco·Hi·$00·CF1</v>
      </c>
      <c r="H123" t="str">
        <f t="shared" si="37"/>
        <v>Tx0.10x·NoDEF·Eco·Hi·$00·CF1</v>
      </c>
      <c r="I123" t="str">
        <f t="shared" si="31"/>
        <v>Hi</v>
      </c>
      <c r="J123" t="str">
        <f t="shared" si="32"/>
        <v>00</v>
      </c>
      <c r="K123" t="str">
        <f t="shared" si="33"/>
        <v>CF1</v>
      </c>
      <c r="L123" t="str">
        <f t="shared" si="34"/>
        <v>N</v>
      </c>
      <c r="M123" t="str">
        <f t="shared" si="35"/>
        <v>Eco</v>
      </c>
      <c r="N123" t="str">
        <f t="shared" si="36"/>
        <v>0.10</v>
      </c>
      <c r="P123">
        <v>5</v>
      </c>
      <c r="Q123" t="s">
        <v>1175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1170</v>
      </c>
      <c r="X123">
        <v>0.1</v>
      </c>
      <c r="Z123" t="str">
        <f t="shared" si="38"/>
        <v>Hi</v>
      </c>
      <c r="AA123" t="str">
        <f t="shared" si="39"/>
        <v>$00</v>
      </c>
      <c r="AB123" t="str">
        <f t="shared" si="40"/>
        <v>CF1</v>
      </c>
      <c r="AC123" t="str">
        <f t="shared" si="41"/>
        <v>NoDEF</v>
      </c>
      <c r="AD123" t="str">
        <f t="shared" si="42"/>
        <v>Eco</v>
      </c>
      <c r="AE123" t="str">
        <f t="shared" si="43"/>
        <v>Tx0.10x</v>
      </c>
    </row>
    <row r="124" spans="2:31">
      <c r="B124" t="str">
        <f t="shared" si="29"/>
        <v>vs~0119</v>
      </c>
      <c r="C124" t="str">
        <f t="shared" si="30"/>
        <v>Tx0.10x·NoDEF·Eco·Lo·$95·CF1</v>
      </c>
      <c r="H124" t="str">
        <f t="shared" si="37"/>
        <v>Tx0.10x·NoDEF·Eco·Lo·$95·CF1</v>
      </c>
      <c r="I124" t="str">
        <f t="shared" si="31"/>
        <v>Lo</v>
      </c>
      <c r="J124" t="str">
        <f t="shared" si="32"/>
        <v>95</v>
      </c>
      <c r="K124" t="str">
        <f t="shared" si="33"/>
        <v>CF1</v>
      </c>
      <c r="L124" t="str">
        <f t="shared" si="34"/>
        <v>N</v>
      </c>
      <c r="M124" t="str">
        <f t="shared" si="35"/>
        <v>Eco</v>
      </c>
      <c r="N124" t="str">
        <f t="shared" si="36"/>
        <v>0.10</v>
      </c>
      <c r="P124">
        <v>5</v>
      </c>
      <c r="Q124" t="s">
        <v>1176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1170</v>
      </c>
      <c r="X124">
        <v>0.1</v>
      </c>
      <c r="Z124" t="str">
        <f t="shared" si="38"/>
        <v>Lo</v>
      </c>
      <c r="AA124" t="str">
        <f t="shared" si="39"/>
        <v>$95</v>
      </c>
      <c r="AB124" t="str">
        <f t="shared" si="40"/>
        <v>CF1</v>
      </c>
      <c r="AC124" t="str">
        <f t="shared" si="41"/>
        <v>NoDEF</v>
      </c>
      <c r="AD124" t="str">
        <f t="shared" si="42"/>
        <v>Eco</v>
      </c>
      <c r="AE124" t="str">
        <f t="shared" si="43"/>
        <v>Tx0.10x</v>
      </c>
    </row>
    <row r="125" spans="2:31">
      <c r="B125" t="str">
        <f t="shared" si="29"/>
        <v>vs~0120</v>
      </c>
      <c r="C125" t="str">
        <f t="shared" si="30"/>
        <v>Tx0.10x·NoDEF·Eco·Hi·$95·CF1</v>
      </c>
      <c r="H125" t="str">
        <f t="shared" si="37"/>
        <v>Tx0.10x·NoDEF·Eco·Hi·$95·CF1</v>
      </c>
      <c r="I125" t="str">
        <f t="shared" si="31"/>
        <v>Hi</v>
      </c>
      <c r="J125" t="str">
        <f t="shared" si="32"/>
        <v>95</v>
      </c>
      <c r="K125" t="str">
        <f t="shared" si="33"/>
        <v>CF1</v>
      </c>
      <c r="L125" t="str">
        <f t="shared" si="34"/>
        <v>N</v>
      </c>
      <c r="M125" t="str">
        <f t="shared" si="35"/>
        <v>Eco</v>
      </c>
      <c r="N125" t="str">
        <f t="shared" si="36"/>
        <v>0.10</v>
      </c>
      <c r="P125">
        <v>5</v>
      </c>
      <c r="Q125" t="s">
        <v>1177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1170</v>
      </c>
      <c r="X125">
        <v>0.1</v>
      </c>
      <c r="Z125" t="str">
        <f t="shared" si="38"/>
        <v>Hi</v>
      </c>
      <c r="AA125" t="str">
        <f t="shared" si="39"/>
        <v>$95</v>
      </c>
      <c r="AB125" t="str">
        <f t="shared" si="40"/>
        <v>CF1</v>
      </c>
      <c r="AC125" t="str">
        <f t="shared" si="41"/>
        <v>NoDEF</v>
      </c>
      <c r="AD125" t="str">
        <f t="shared" si="42"/>
        <v>Eco</v>
      </c>
      <c r="AE125" t="str">
        <f t="shared" si="43"/>
        <v>Tx0.10x</v>
      </c>
    </row>
    <row r="126" spans="2:31">
      <c r="B126" t="str">
        <f t="shared" si="29"/>
        <v>vs~0121</v>
      </c>
      <c r="C126" t="str">
        <f t="shared" si="30"/>
        <v>Tx0.10x·DEF·Eco·Lo·$00·CF6</v>
      </c>
      <c r="H126" t="str">
        <f t="shared" si="37"/>
        <v>Tx0.10x·DEF·Eco·Lo·$00·CF6</v>
      </c>
      <c r="I126" t="str">
        <f t="shared" si="31"/>
        <v>Lo</v>
      </c>
      <c r="J126" t="str">
        <f t="shared" si="32"/>
        <v>00</v>
      </c>
      <c r="K126" t="str">
        <f t="shared" si="33"/>
        <v>CF6</v>
      </c>
      <c r="L126" t="str">
        <f t="shared" si="34"/>
        <v>Y</v>
      </c>
      <c r="M126" t="str">
        <f t="shared" si="35"/>
        <v>Eco</v>
      </c>
      <c r="N126" t="str">
        <f t="shared" si="36"/>
        <v>0.10</v>
      </c>
      <c r="P126">
        <v>5</v>
      </c>
      <c r="Q126" t="s">
        <v>1178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1170</v>
      </c>
      <c r="X126">
        <v>0.1</v>
      </c>
      <c r="Z126" t="str">
        <f t="shared" si="38"/>
        <v>Lo</v>
      </c>
      <c r="AA126" t="str">
        <f t="shared" si="39"/>
        <v>$00</v>
      </c>
      <c r="AB126" t="str">
        <f t="shared" si="40"/>
        <v>CF6</v>
      </c>
      <c r="AC126" t="str">
        <f t="shared" si="41"/>
        <v>DEF</v>
      </c>
      <c r="AD126" t="str">
        <f t="shared" si="42"/>
        <v>Eco</v>
      </c>
      <c r="AE126" t="str">
        <f t="shared" si="43"/>
        <v>Tx0.10x</v>
      </c>
    </row>
    <row r="127" spans="2:31">
      <c r="B127" t="str">
        <f t="shared" si="29"/>
        <v>vs~0122</v>
      </c>
      <c r="C127" t="str">
        <f t="shared" si="30"/>
        <v>Tx0.10x·DEF·Eco·Hi·$00·CF6</v>
      </c>
      <c r="H127" t="str">
        <f t="shared" si="37"/>
        <v>Tx0.10x·DEF·Eco·Hi·$00·CF6</v>
      </c>
      <c r="I127" t="str">
        <f t="shared" si="31"/>
        <v>Hi</v>
      </c>
      <c r="J127" t="str">
        <f t="shared" si="32"/>
        <v>00</v>
      </c>
      <c r="K127" t="str">
        <f t="shared" si="33"/>
        <v>CF6</v>
      </c>
      <c r="L127" t="str">
        <f t="shared" si="34"/>
        <v>Y</v>
      </c>
      <c r="M127" t="str">
        <f t="shared" si="35"/>
        <v>Eco</v>
      </c>
      <c r="N127" t="str">
        <f t="shared" si="36"/>
        <v>0.10</v>
      </c>
      <c r="P127">
        <v>5</v>
      </c>
      <c r="Q127" t="s">
        <v>1179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1170</v>
      </c>
      <c r="X127">
        <v>0.1</v>
      </c>
      <c r="Z127" t="str">
        <f t="shared" si="38"/>
        <v>Hi</v>
      </c>
      <c r="AA127" t="str">
        <f t="shared" si="39"/>
        <v>$00</v>
      </c>
      <c r="AB127" t="str">
        <f t="shared" si="40"/>
        <v>CF6</v>
      </c>
      <c r="AC127" t="str">
        <f t="shared" si="41"/>
        <v>DEF</v>
      </c>
      <c r="AD127" t="str">
        <f t="shared" si="42"/>
        <v>Eco</v>
      </c>
      <c r="AE127" t="str">
        <f t="shared" si="43"/>
        <v>Tx0.10x</v>
      </c>
    </row>
    <row r="128" spans="2:31">
      <c r="B128" t="str">
        <f t="shared" si="29"/>
        <v>vs~0123</v>
      </c>
      <c r="C128" t="str">
        <f t="shared" si="30"/>
        <v>Tx0.10x·DEF·Eco·Lo·$95·CF6</v>
      </c>
      <c r="H128" t="str">
        <f t="shared" si="37"/>
        <v>Tx0.10x·DEF·Eco·Lo·$95·CF6</v>
      </c>
      <c r="I128" t="str">
        <f t="shared" si="31"/>
        <v>Lo</v>
      </c>
      <c r="J128" t="str">
        <f t="shared" si="32"/>
        <v>95</v>
      </c>
      <c r="K128" t="str">
        <f t="shared" si="33"/>
        <v>CF6</v>
      </c>
      <c r="L128" t="str">
        <f t="shared" si="34"/>
        <v>Y</v>
      </c>
      <c r="M128" t="str">
        <f t="shared" si="35"/>
        <v>Eco</v>
      </c>
      <c r="N128" t="str">
        <f t="shared" si="36"/>
        <v>0.10</v>
      </c>
      <c r="P128">
        <v>5</v>
      </c>
      <c r="Q128" t="s">
        <v>1180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1170</v>
      </c>
      <c r="X128">
        <v>0.1</v>
      </c>
      <c r="Z128" t="str">
        <f t="shared" si="38"/>
        <v>Lo</v>
      </c>
      <c r="AA128" t="str">
        <f t="shared" si="39"/>
        <v>$95</v>
      </c>
      <c r="AB128" t="str">
        <f t="shared" si="40"/>
        <v>CF6</v>
      </c>
      <c r="AC128" t="str">
        <f t="shared" si="41"/>
        <v>DEF</v>
      </c>
      <c r="AD128" t="str">
        <f t="shared" si="42"/>
        <v>Eco</v>
      </c>
      <c r="AE128" t="str">
        <f t="shared" si="43"/>
        <v>Tx0.10x</v>
      </c>
    </row>
    <row r="129" spans="2:31">
      <c r="B129" t="str">
        <f t="shared" si="29"/>
        <v>vs~0124</v>
      </c>
      <c r="C129" t="str">
        <f t="shared" si="30"/>
        <v>Tx0.10x·DEF·Eco·Hi·$95·CF6</v>
      </c>
      <c r="H129" t="str">
        <f t="shared" si="37"/>
        <v>Tx0.10x·DEF·Eco·Hi·$95·CF6</v>
      </c>
      <c r="I129" t="str">
        <f t="shared" si="31"/>
        <v>Hi</v>
      </c>
      <c r="J129" t="str">
        <f t="shared" si="32"/>
        <v>95</v>
      </c>
      <c r="K129" t="str">
        <f t="shared" si="33"/>
        <v>CF6</v>
      </c>
      <c r="L129" t="str">
        <f t="shared" si="34"/>
        <v>Y</v>
      </c>
      <c r="M129" t="str">
        <f t="shared" si="35"/>
        <v>Eco</v>
      </c>
      <c r="N129" t="str">
        <f t="shared" si="36"/>
        <v>0.10</v>
      </c>
      <c r="P129">
        <v>5</v>
      </c>
      <c r="Q129" t="s">
        <v>1181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1170</v>
      </c>
      <c r="X129">
        <v>0.1</v>
      </c>
      <c r="Z129" t="str">
        <f t="shared" si="38"/>
        <v>Hi</v>
      </c>
      <c r="AA129" t="str">
        <f t="shared" si="39"/>
        <v>$95</v>
      </c>
      <c r="AB129" t="str">
        <f t="shared" si="40"/>
        <v>CF6</v>
      </c>
      <c r="AC129" t="str">
        <f t="shared" si="41"/>
        <v>DEF</v>
      </c>
      <c r="AD129" t="str">
        <f t="shared" si="42"/>
        <v>Eco</v>
      </c>
      <c r="AE129" t="str">
        <f t="shared" si="43"/>
        <v>Tx0.10x</v>
      </c>
    </row>
    <row r="130" spans="2:31">
      <c r="B130" t="str">
        <f t="shared" si="29"/>
        <v>vs~0125</v>
      </c>
      <c r="C130" t="str">
        <f t="shared" si="30"/>
        <v>Tx0.10x·NoDEF·Eco·Lo·$00·CF6</v>
      </c>
      <c r="H130" t="str">
        <f t="shared" si="37"/>
        <v>Tx0.10x·NoDEF·Eco·Lo·$00·CF6</v>
      </c>
      <c r="I130" t="str">
        <f t="shared" si="31"/>
        <v>Lo</v>
      </c>
      <c r="J130" t="str">
        <f t="shared" si="32"/>
        <v>00</v>
      </c>
      <c r="K130" t="str">
        <f t="shared" si="33"/>
        <v>CF6</v>
      </c>
      <c r="L130" t="str">
        <f t="shared" si="34"/>
        <v>N</v>
      </c>
      <c r="M130" t="str">
        <f t="shared" si="35"/>
        <v>Eco</v>
      </c>
      <c r="N130" t="str">
        <f t="shared" si="36"/>
        <v>0.10</v>
      </c>
      <c r="P130">
        <v>5</v>
      </c>
      <c r="Q130" t="s">
        <v>1182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1170</v>
      </c>
      <c r="X130">
        <v>0.1</v>
      </c>
      <c r="Z130" t="str">
        <f t="shared" si="38"/>
        <v>Lo</v>
      </c>
      <c r="AA130" t="str">
        <f t="shared" si="39"/>
        <v>$00</v>
      </c>
      <c r="AB130" t="str">
        <f t="shared" si="40"/>
        <v>CF6</v>
      </c>
      <c r="AC130" t="str">
        <f t="shared" si="41"/>
        <v>NoDEF</v>
      </c>
      <c r="AD130" t="str">
        <f t="shared" si="42"/>
        <v>Eco</v>
      </c>
      <c r="AE130" t="str">
        <f t="shared" si="43"/>
        <v>Tx0.10x</v>
      </c>
    </row>
    <row r="131" spans="2:31">
      <c r="B131" t="str">
        <f t="shared" si="29"/>
        <v>vs~0126</v>
      </c>
      <c r="C131" t="str">
        <f t="shared" si="30"/>
        <v>Tx0.10x·NoDEF·Eco·Hi·$00·CF6</v>
      </c>
      <c r="H131" t="str">
        <f t="shared" si="37"/>
        <v>Tx0.10x·NoDEF·Eco·Hi·$00·CF6</v>
      </c>
      <c r="I131" t="str">
        <f t="shared" si="31"/>
        <v>Hi</v>
      </c>
      <c r="J131" t="str">
        <f t="shared" si="32"/>
        <v>00</v>
      </c>
      <c r="K131" t="str">
        <f t="shared" si="33"/>
        <v>CF6</v>
      </c>
      <c r="L131" t="str">
        <f t="shared" si="34"/>
        <v>N</v>
      </c>
      <c r="M131" t="str">
        <f t="shared" si="35"/>
        <v>Eco</v>
      </c>
      <c r="N131" t="str">
        <f t="shared" si="36"/>
        <v>0.10</v>
      </c>
      <c r="P131">
        <v>5</v>
      </c>
      <c r="Q131" t="s">
        <v>1183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1170</v>
      </c>
      <c r="X131">
        <v>0.1</v>
      </c>
      <c r="Z131" t="str">
        <f t="shared" si="38"/>
        <v>Hi</v>
      </c>
      <c r="AA131" t="str">
        <f t="shared" si="39"/>
        <v>$00</v>
      </c>
      <c r="AB131" t="str">
        <f t="shared" si="40"/>
        <v>CF6</v>
      </c>
      <c r="AC131" t="str">
        <f t="shared" si="41"/>
        <v>NoDEF</v>
      </c>
      <c r="AD131" t="str">
        <f t="shared" si="42"/>
        <v>Eco</v>
      </c>
      <c r="AE131" t="str">
        <f t="shared" si="43"/>
        <v>Tx0.10x</v>
      </c>
    </row>
    <row r="132" spans="2:31">
      <c r="B132" t="str">
        <f t="shared" si="29"/>
        <v>vs~0127</v>
      </c>
      <c r="C132" t="str">
        <f t="shared" si="30"/>
        <v>Tx0.10x·NoDEF·Eco·Lo·$95·CF6</v>
      </c>
      <c r="H132" t="str">
        <f t="shared" si="37"/>
        <v>Tx0.10x·NoDEF·Eco·Lo·$95·CF6</v>
      </c>
      <c r="I132" t="str">
        <f t="shared" si="31"/>
        <v>Lo</v>
      </c>
      <c r="J132" t="str">
        <f t="shared" si="32"/>
        <v>95</v>
      </c>
      <c r="K132" t="str">
        <f t="shared" si="33"/>
        <v>CF6</v>
      </c>
      <c r="L132" t="str">
        <f t="shared" si="34"/>
        <v>N</v>
      </c>
      <c r="M132" t="str">
        <f t="shared" si="35"/>
        <v>Eco</v>
      </c>
      <c r="N132" t="str">
        <f t="shared" si="36"/>
        <v>0.10</v>
      </c>
      <c r="P132">
        <v>5</v>
      </c>
      <c r="Q132" t="s">
        <v>1184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1170</v>
      </c>
      <c r="X132">
        <v>0.1</v>
      </c>
      <c r="Z132" t="str">
        <f t="shared" si="38"/>
        <v>Lo</v>
      </c>
      <c r="AA132" t="str">
        <f t="shared" si="39"/>
        <v>$95</v>
      </c>
      <c r="AB132" t="str">
        <f t="shared" si="40"/>
        <v>CF6</v>
      </c>
      <c r="AC132" t="str">
        <f t="shared" si="41"/>
        <v>NoDEF</v>
      </c>
      <c r="AD132" t="str">
        <f t="shared" si="42"/>
        <v>Eco</v>
      </c>
      <c r="AE132" t="str">
        <f t="shared" si="43"/>
        <v>Tx0.10x</v>
      </c>
    </row>
    <row r="133" spans="2:31">
      <c r="B133" t="str">
        <f t="shared" si="29"/>
        <v>vs~0128</v>
      </c>
      <c r="C133" t="str">
        <f t="shared" si="30"/>
        <v>Tx0.10x·NoDEF·Eco·Hi·$95·CF6</v>
      </c>
      <c r="H133" t="str">
        <f t="shared" si="37"/>
        <v>Tx0.10x·NoDEF·Eco·Hi·$95·CF6</v>
      </c>
      <c r="I133" t="str">
        <f t="shared" si="31"/>
        <v>Hi</v>
      </c>
      <c r="J133" t="str">
        <f t="shared" si="32"/>
        <v>95</v>
      </c>
      <c r="K133" t="str">
        <f t="shared" si="33"/>
        <v>CF6</v>
      </c>
      <c r="L133" t="str">
        <f t="shared" si="34"/>
        <v>N</v>
      </c>
      <c r="M133" t="str">
        <f t="shared" si="35"/>
        <v>Eco</v>
      </c>
      <c r="N133" t="str">
        <f t="shared" si="36"/>
        <v>0.10</v>
      </c>
      <c r="P133">
        <v>5</v>
      </c>
      <c r="Q133" t="s">
        <v>1185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1170</v>
      </c>
      <c r="X133">
        <v>0.1</v>
      </c>
      <c r="Z133" t="str">
        <f t="shared" si="38"/>
        <v>Hi</v>
      </c>
      <c r="AA133" t="str">
        <f t="shared" si="39"/>
        <v>$95</v>
      </c>
      <c r="AB133" t="str">
        <f t="shared" si="40"/>
        <v>CF6</v>
      </c>
      <c r="AC133" t="str">
        <f t="shared" si="41"/>
        <v>NoDEF</v>
      </c>
      <c r="AD133" t="str">
        <f t="shared" si="42"/>
        <v>Eco</v>
      </c>
      <c r="AE133" t="str">
        <f t="shared" si="43"/>
        <v>Tx0.10x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0"/>
  <sheetViews>
    <sheetView zoomScaleNormal="100" workbookViewId="0">
      <pane ySplit="2" topLeftCell="A3" activePane="bottomLeft" state="frozen"/>
      <selection pane="bottomLeft" activeCell="N6" sqref="N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141</v>
      </c>
      <c r="C6" t="s">
        <v>277</v>
      </c>
      <c r="D6" s="2" t="s">
        <v>137</v>
      </c>
      <c r="H6" t="s">
        <v>25</v>
      </c>
      <c r="K6" t="s">
        <v>140</v>
      </c>
      <c r="N6" t="s">
        <v>1244</v>
      </c>
      <c r="T6" s="3"/>
      <c r="U6" s="3"/>
    </row>
    <row r="7" spans="1:21">
      <c r="A7" t="s">
        <v>54</v>
      </c>
      <c r="C7" t="s">
        <v>132</v>
      </c>
      <c r="D7" s="2"/>
      <c r="H7" t="s">
        <v>25</v>
      </c>
      <c r="I7" s="2" t="s">
        <v>91</v>
      </c>
      <c r="K7" t="s">
        <v>287</v>
      </c>
      <c r="N7" t="s">
        <v>37</v>
      </c>
      <c r="Q7" t="s">
        <v>110</v>
      </c>
      <c r="T7" s="3"/>
      <c r="U7" s="3"/>
    </row>
    <row r="8" spans="1:21">
      <c r="A8" t="s">
        <v>4</v>
      </c>
      <c r="I8" s="2" t="s">
        <v>116</v>
      </c>
      <c r="K8" t="s">
        <v>118</v>
      </c>
      <c r="N8" t="s">
        <v>120</v>
      </c>
      <c r="T8" s="3"/>
      <c r="U8" s="3"/>
    </row>
    <row r="9" spans="1:21">
      <c r="A9" t="s">
        <v>4</v>
      </c>
      <c r="I9" s="2" t="s">
        <v>117</v>
      </c>
      <c r="K9" t="s">
        <v>119</v>
      </c>
      <c r="N9" t="s">
        <v>121</v>
      </c>
      <c r="T9" s="3"/>
      <c r="U9" s="3"/>
    </row>
    <row r="10" spans="1:21">
      <c r="A10" t="s">
        <v>1099</v>
      </c>
      <c r="C10" t="s">
        <v>1096</v>
      </c>
      <c r="D10" s="2" t="s">
        <v>109</v>
      </c>
      <c r="K10" t="s">
        <v>232</v>
      </c>
      <c r="M10" t="s">
        <v>1100</v>
      </c>
      <c r="N10" t="s">
        <v>1101</v>
      </c>
      <c r="T10" s="3"/>
      <c r="U10" s="3"/>
    </row>
    <row r="11" spans="1:21">
      <c r="A11" t="s">
        <v>280</v>
      </c>
      <c r="C11" t="s">
        <v>1096</v>
      </c>
      <c r="D11" s="2" t="s">
        <v>109</v>
      </c>
      <c r="K11" t="s">
        <v>232</v>
      </c>
      <c r="N11" t="s">
        <v>75</v>
      </c>
    </row>
    <row r="12" spans="1:21">
      <c r="A12" t="s">
        <v>283</v>
      </c>
      <c r="C12" t="s">
        <v>1096</v>
      </c>
      <c r="D12" s="2" t="s">
        <v>109</v>
      </c>
      <c r="K12" t="s">
        <v>232</v>
      </c>
      <c r="N12" t="s">
        <v>75</v>
      </c>
    </row>
    <row r="13" spans="1:21">
      <c r="A13" t="s">
        <v>281</v>
      </c>
      <c r="C13" t="s">
        <v>107</v>
      </c>
      <c r="D13" s="2" t="s">
        <v>109</v>
      </c>
      <c r="K13" t="s">
        <v>232</v>
      </c>
      <c r="N13" t="s">
        <v>274</v>
      </c>
    </row>
    <row r="14" spans="1:21">
      <c r="A14" t="s">
        <v>284</v>
      </c>
      <c r="C14" t="s">
        <v>107</v>
      </c>
      <c r="D14" s="2" t="s">
        <v>109</v>
      </c>
      <c r="K14" t="s">
        <v>232</v>
      </c>
      <c r="N14" t="s">
        <v>274</v>
      </c>
    </row>
    <row r="15" spans="1:21">
      <c r="A15" t="s">
        <v>282</v>
      </c>
      <c r="C15" t="s">
        <v>107</v>
      </c>
      <c r="D15" s="2" t="s">
        <v>109</v>
      </c>
      <c r="K15" t="s">
        <v>232</v>
      </c>
      <c r="N15" t="s">
        <v>275</v>
      </c>
    </row>
    <row r="16" spans="1:21">
      <c r="A16" t="s">
        <v>279</v>
      </c>
      <c r="C16" t="s">
        <v>277</v>
      </c>
      <c r="D16" s="2"/>
      <c r="I16" t="s">
        <v>278</v>
      </c>
      <c r="K16" t="s">
        <v>232</v>
      </c>
      <c r="N16" t="s">
        <v>276</v>
      </c>
    </row>
    <row r="17" spans="1:17">
      <c r="A17" s="4" t="s">
        <v>28</v>
      </c>
      <c r="B17" s="4" t="s">
        <v>50</v>
      </c>
      <c r="H17" t="s">
        <v>25</v>
      </c>
      <c r="I17" t="s">
        <v>278</v>
      </c>
      <c r="K17" t="s">
        <v>288</v>
      </c>
      <c r="N17" t="s">
        <v>1237</v>
      </c>
      <c r="P17" t="s">
        <v>40</v>
      </c>
      <c r="Q17" t="s">
        <v>41</v>
      </c>
    </row>
    <row r="18" spans="1:17">
      <c r="A18" s="4" t="s">
        <v>28</v>
      </c>
      <c r="B18" s="4" t="s">
        <v>50</v>
      </c>
      <c r="I18" t="s">
        <v>128</v>
      </c>
      <c r="K18" t="s">
        <v>129</v>
      </c>
      <c r="N18" t="s">
        <v>130</v>
      </c>
    </row>
    <row r="19" spans="1:17">
      <c r="A19" s="4" t="s">
        <v>28</v>
      </c>
      <c r="B19" s="4" t="s">
        <v>50</v>
      </c>
      <c r="H19" t="s">
        <v>1235</v>
      </c>
      <c r="I19" t="s">
        <v>1236</v>
      </c>
      <c r="K19" t="s">
        <v>288</v>
      </c>
      <c r="N19" t="s">
        <v>1238</v>
      </c>
      <c r="Q19" t="s">
        <v>110</v>
      </c>
    </row>
    <row r="20" spans="1:17">
      <c r="A20" t="s">
        <v>42</v>
      </c>
      <c r="K20" t="s">
        <v>76</v>
      </c>
      <c r="N20" t="s">
        <v>43</v>
      </c>
      <c r="P20" t="s">
        <v>45</v>
      </c>
      <c r="Q20" t="s">
        <v>44</v>
      </c>
    </row>
    <row r="21" spans="1:17">
      <c r="A21" s="4" t="s">
        <v>51</v>
      </c>
      <c r="B21" s="4" t="s">
        <v>34</v>
      </c>
      <c r="K21" t="s">
        <v>288</v>
      </c>
      <c r="N21" t="s">
        <v>55</v>
      </c>
      <c r="Q21" t="s">
        <v>39</v>
      </c>
    </row>
    <row r="22" spans="1:17">
      <c r="A22" s="4" t="s">
        <v>230</v>
      </c>
      <c r="K22" t="s">
        <v>232</v>
      </c>
      <c r="N22" t="s">
        <v>233</v>
      </c>
      <c r="Q22" t="s">
        <v>44</v>
      </c>
    </row>
    <row r="23" spans="1:17">
      <c r="A23" s="4" t="s">
        <v>231</v>
      </c>
      <c r="K23" t="s">
        <v>232</v>
      </c>
      <c r="N23" t="s">
        <v>234</v>
      </c>
      <c r="Q23" t="s">
        <v>44</v>
      </c>
    </row>
    <row r="24" spans="1:17">
      <c r="A24" t="s">
        <v>6</v>
      </c>
      <c r="C24" t="s">
        <v>1102</v>
      </c>
      <c r="K24" t="s">
        <v>7</v>
      </c>
      <c r="N24" t="s">
        <v>240</v>
      </c>
    </row>
    <row r="25" spans="1:17">
      <c r="A25" t="s">
        <v>34</v>
      </c>
      <c r="C25" t="s">
        <v>1102</v>
      </c>
      <c r="K25" t="s">
        <v>7</v>
      </c>
      <c r="N25" t="s">
        <v>241</v>
      </c>
    </row>
    <row r="26" spans="1:17">
      <c r="A26" s="4" t="s">
        <v>141</v>
      </c>
      <c r="D26" t="s">
        <v>247</v>
      </c>
      <c r="I26" t="s">
        <v>248</v>
      </c>
      <c r="K26" t="s">
        <v>140</v>
      </c>
      <c r="N26" t="s">
        <v>142</v>
      </c>
    </row>
    <row r="27" spans="1:17">
      <c r="A27" t="s">
        <v>141</v>
      </c>
      <c r="I27" t="s">
        <v>250</v>
      </c>
      <c r="K27" t="s">
        <v>140</v>
      </c>
      <c r="N27" t="s">
        <v>268</v>
      </c>
      <c r="P27" t="s">
        <v>265</v>
      </c>
      <c r="Q27" t="s">
        <v>249</v>
      </c>
    </row>
    <row r="28" spans="1:17">
      <c r="A28" t="s">
        <v>4</v>
      </c>
      <c r="I28" t="s">
        <v>250</v>
      </c>
      <c r="K28" t="s">
        <v>140</v>
      </c>
      <c r="N28" t="s">
        <v>269</v>
      </c>
      <c r="P28" t="s">
        <v>265</v>
      </c>
      <c r="Q28" t="s">
        <v>249</v>
      </c>
    </row>
    <row r="29" spans="1:17">
      <c r="A29" t="s">
        <v>6</v>
      </c>
      <c r="F29" t="s">
        <v>272</v>
      </c>
      <c r="G29" t="s">
        <v>272</v>
      </c>
      <c r="K29" t="s">
        <v>7</v>
      </c>
      <c r="N29" t="s">
        <v>270</v>
      </c>
      <c r="P29" t="s">
        <v>266</v>
      </c>
      <c r="Q29" t="s">
        <v>39</v>
      </c>
    </row>
    <row r="30" spans="1:17">
      <c r="A30" t="s">
        <v>34</v>
      </c>
      <c r="F30" t="s">
        <v>272</v>
      </c>
      <c r="G30" t="s">
        <v>272</v>
      </c>
      <c r="K30" t="s">
        <v>7</v>
      </c>
      <c r="N30" t="s">
        <v>271</v>
      </c>
      <c r="P30" t="s">
        <v>267</v>
      </c>
      <c r="Q30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5"/>
  <sheetViews>
    <sheetView zoomScaleNormal="100" workbookViewId="0">
      <selection activeCell="F4" sqref="F4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I3" t="s">
        <v>103</v>
      </c>
      <c r="J3" t="s">
        <v>39</v>
      </c>
    </row>
    <row r="4" spans="3:11">
      <c r="C4" t="s">
        <v>120</v>
      </c>
      <c r="D4" t="s">
        <v>74</v>
      </c>
      <c r="E4" t="s">
        <v>1240</v>
      </c>
      <c r="F4" t="s">
        <v>1245</v>
      </c>
      <c r="I4" t="s">
        <v>103</v>
      </c>
      <c r="J4" t="s">
        <v>39</v>
      </c>
    </row>
    <row r="5" spans="3:11">
      <c r="C5" t="s">
        <v>74</v>
      </c>
      <c r="D5" t="s">
        <v>1244</v>
      </c>
      <c r="E5" t="s">
        <v>1241</v>
      </c>
      <c r="F5" t="s">
        <v>1243</v>
      </c>
      <c r="I5" t="s">
        <v>103</v>
      </c>
      <c r="J5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tabSelected="1"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29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tr">
        <f t="shared" si="0"/>
        <v>EV Batt</v>
      </c>
      <c r="D23" t="s">
        <v>90</v>
      </c>
    </row>
    <row r="24" spans="1:5">
      <c r="A24" t="s">
        <v>63</v>
      </c>
      <c r="C24" t="str">
        <f t="shared" si="0"/>
        <v>Demand</v>
      </c>
      <c r="D24" t="s">
        <v>142</v>
      </c>
    </row>
    <row r="25" spans="1:5">
      <c r="A25" t="s">
        <v>63</v>
      </c>
      <c r="C25" t="str">
        <f t="shared" si="0"/>
        <v>Transformers Dn</v>
      </c>
      <c r="D25" t="s">
        <v>208</v>
      </c>
    </row>
    <row r="26" spans="1:5">
      <c r="A26" t="s">
        <v>63</v>
      </c>
      <c r="C26" t="str">
        <f t="shared" si="0"/>
        <v>Transformers Up</v>
      </c>
      <c r="D26" t="s">
        <v>209</v>
      </c>
    </row>
    <row r="27" spans="1:5">
      <c r="A27" t="s">
        <v>63</v>
      </c>
      <c r="C27" t="s">
        <v>1097</v>
      </c>
      <c r="D27" t="s">
        <v>1098</v>
      </c>
    </row>
    <row r="28" spans="1:5">
      <c r="A28" t="s">
        <v>63</v>
      </c>
      <c r="C28" t="str">
        <f t="shared" si="0"/>
        <v>Aggregators</v>
      </c>
      <c r="D28" t="s">
        <v>206</v>
      </c>
    </row>
    <row r="29" spans="1:5">
      <c r="A29" t="s">
        <v>63</v>
      </c>
      <c r="C29" t="str">
        <f t="shared" si="0"/>
        <v>DUMMY_IMP</v>
      </c>
      <c r="D29" t="s">
        <v>207</v>
      </c>
    </row>
    <row r="30" spans="1:5">
      <c r="A30" t="s">
        <v>63</v>
      </c>
      <c r="B30" t="s">
        <v>344</v>
      </c>
      <c r="C30" t="s">
        <v>122</v>
      </c>
      <c r="E30" t="s">
        <v>126</v>
      </c>
    </row>
    <row r="31" spans="1:5">
      <c r="A31" t="s">
        <v>63</v>
      </c>
      <c r="B31" t="s">
        <v>344</v>
      </c>
      <c r="C31" t="s">
        <v>123</v>
      </c>
      <c r="E31" t="s">
        <v>127</v>
      </c>
    </row>
    <row r="32" spans="1:5">
      <c r="A32" t="s">
        <v>63</v>
      </c>
      <c r="B32" t="s">
        <v>345</v>
      </c>
      <c r="C32" t="s">
        <v>124</v>
      </c>
      <c r="E32" t="s">
        <v>126</v>
      </c>
    </row>
    <row r="33" spans="1:5">
      <c r="A33" t="s">
        <v>63</v>
      </c>
      <c r="B33" t="s">
        <v>345</v>
      </c>
      <c r="C33" t="s">
        <v>125</v>
      </c>
      <c r="E33" t="s">
        <v>127</v>
      </c>
    </row>
    <row r="34" spans="1:5">
      <c r="A34" t="s">
        <v>63</v>
      </c>
      <c r="B34" t="s">
        <v>92</v>
      </c>
      <c r="C34" t="s">
        <v>3</v>
      </c>
    </row>
    <row r="35" spans="1:5">
      <c r="A35" t="s">
        <v>63</v>
      </c>
      <c r="B35" t="s">
        <v>93</v>
      </c>
      <c r="C35" t="s">
        <v>94</v>
      </c>
    </row>
    <row r="36" spans="1:5">
      <c r="A36" t="s">
        <v>63</v>
      </c>
      <c r="B36" t="s">
        <v>105</v>
      </c>
      <c r="C36" t="s">
        <v>106</v>
      </c>
    </row>
    <row r="37" spans="1:5">
      <c r="A37" t="s">
        <v>242</v>
      </c>
      <c r="B37" t="s">
        <v>243</v>
      </c>
      <c r="C37" t="s">
        <v>244</v>
      </c>
    </row>
    <row r="38" spans="1:5">
      <c r="A38" t="s">
        <v>242</v>
      </c>
      <c r="B38" t="s">
        <v>245</v>
      </c>
      <c r="C38" t="s">
        <v>90</v>
      </c>
    </row>
    <row r="39" spans="1:5">
      <c r="A39" t="s">
        <v>242</v>
      </c>
      <c r="B39" t="s">
        <v>246</v>
      </c>
      <c r="C39" t="s">
        <v>222</v>
      </c>
    </row>
    <row r="40" spans="1:5">
      <c r="A40" t="s">
        <v>252</v>
      </c>
      <c r="B40" t="s">
        <v>112</v>
      </c>
      <c r="C40" t="s">
        <v>251</v>
      </c>
    </row>
    <row r="41" spans="1:5">
      <c r="A41" t="s">
        <v>252</v>
      </c>
      <c r="B41" t="s">
        <v>253</v>
      </c>
      <c r="C41" t="s">
        <v>254</v>
      </c>
    </row>
    <row r="42" spans="1:5">
      <c r="A42" t="s">
        <v>252</v>
      </c>
      <c r="B42" t="s">
        <v>255</v>
      </c>
      <c r="C42" t="s">
        <v>256</v>
      </c>
    </row>
    <row r="43" spans="1:5">
      <c r="A43" t="s">
        <v>252</v>
      </c>
      <c r="B43" t="s">
        <v>257</v>
      </c>
      <c r="C43" t="s">
        <v>258</v>
      </c>
    </row>
    <row r="44" spans="1:5">
      <c r="A44" t="s">
        <v>252</v>
      </c>
      <c r="B44" t="s">
        <v>259</v>
      </c>
      <c r="C44" t="s">
        <v>260</v>
      </c>
    </row>
    <row r="45" spans="1:5">
      <c r="A45" t="s">
        <v>252</v>
      </c>
      <c r="B45" t="s">
        <v>261</v>
      </c>
      <c r="C45" t="s">
        <v>262</v>
      </c>
    </row>
    <row r="46" spans="1:5">
      <c r="A46" t="s">
        <v>252</v>
      </c>
      <c r="B46" t="s">
        <v>263</v>
      </c>
      <c r="C46" t="s">
        <v>264</v>
      </c>
    </row>
    <row r="47" spans="1:5">
      <c r="A47" t="s">
        <v>273</v>
      </c>
      <c r="C47" t="str">
        <f>E47</f>
        <v>bioenergy</v>
      </c>
      <c r="E47" t="s">
        <v>164</v>
      </c>
    </row>
    <row r="48" spans="1:5">
      <c r="A48" t="s">
        <v>273</v>
      </c>
      <c r="C48" t="str">
        <f t="shared" ref="C48:C55" si="1">E48</f>
        <v>coal</v>
      </c>
      <c r="E48" t="s">
        <v>126</v>
      </c>
    </row>
    <row r="49" spans="1:5">
      <c r="A49" t="s">
        <v>273</v>
      </c>
      <c r="C49" t="str">
        <f t="shared" si="1"/>
        <v>gas</v>
      </c>
      <c r="E49" t="s">
        <v>127</v>
      </c>
    </row>
    <row r="50" spans="1:5">
      <c r="A50" t="s">
        <v>273</v>
      </c>
      <c r="C50" t="str">
        <f t="shared" si="1"/>
        <v>hydro</v>
      </c>
      <c r="E50" t="s">
        <v>212</v>
      </c>
    </row>
    <row r="51" spans="1:5">
      <c r="A51" t="s">
        <v>273</v>
      </c>
      <c r="C51" t="str">
        <f t="shared" si="1"/>
        <v>nuclear</v>
      </c>
      <c r="E51" t="s">
        <v>166</v>
      </c>
    </row>
    <row r="52" spans="1:5">
      <c r="A52" t="s">
        <v>273</v>
      </c>
      <c r="C52" t="str">
        <f t="shared" si="1"/>
        <v>oil</v>
      </c>
      <c r="E52" t="s">
        <v>213</v>
      </c>
    </row>
    <row r="53" spans="1:5">
      <c r="A53" t="s">
        <v>273</v>
      </c>
      <c r="C53" t="str">
        <f t="shared" si="1"/>
        <v>solar</v>
      </c>
      <c r="E53" t="s">
        <v>214</v>
      </c>
    </row>
    <row r="54" spans="1:5">
      <c r="A54" t="s">
        <v>273</v>
      </c>
      <c r="C54" t="str">
        <f t="shared" si="1"/>
        <v>windoff</v>
      </c>
      <c r="E54" t="s">
        <v>216</v>
      </c>
    </row>
    <row r="55" spans="1:5">
      <c r="A55" t="s">
        <v>273</v>
      </c>
      <c r="C55" t="str">
        <f t="shared" si="1"/>
        <v>windon</v>
      </c>
      <c r="E55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9"/>
  <sheetViews>
    <sheetView zoomScaleNormal="100" workbookViewId="0">
      <selection activeCell="A14" sqref="A14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7.33203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  <row r="8" spans="1:4">
      <c r="A8" t="s">
        <v>77</v>
      </c>
      <c r="B8" t="s">
        <v>1245</v>
      </c>
      <c r="C8" t="s">
        <v>1242</v>
      </c>
      <c r="D8">
        <v>1000</v>
      </c>
    </row>
    <row r="9" spans="1:4">
      <c r="A9" t="s">
        <v>77</v>
      </c>
      <c r="B9" t="s">
        <v>1243</v>
      </c>
      <c r="C9" t="s">
        <v>104</v>
      </c>
      <c r="D9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2026-06-02T04:47:14Z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