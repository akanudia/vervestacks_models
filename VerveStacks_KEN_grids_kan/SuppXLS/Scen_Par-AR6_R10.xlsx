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SuppXLS\"/>
    </mc:Choice>
  </mc:AlternateContent>
  <xr:revisionPtr revIDLastSave="0" documentId="8_{7C547BC1-EBE8-4534-9953-C472DCCCDC3E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<sst xmlns="http://schemas.openxmlformats.org/spreadsheetml/2006/main" count="15512" uniqueCount="308">
  <si>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</si>
  <si>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</si>
  <si>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</si>
  <si>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</si>
  <si>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</si>
  <si>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</si>
  <si>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</si>
  <si>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</si>
  <si>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</si>
  <si>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</si>
  <si>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</si>
  <si>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</si>
  <si>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</si>
  <si>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</si>
  <si>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</si>
  <si>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</si>
  <si>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</si>
  <si>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</si>
  <si>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</si>
  <si>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</si>
  <si>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</si>
  <si>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</si>
  <si>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</si>
  <si>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</si>
  <si>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</si>
  <si>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</si>
  <si>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</si>
  <si>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</si>
  <si>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</si>
  <si>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</si>
  <si>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</si>
  <si>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</si>
  <si>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</si>
  <si>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</si>
  <si>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</si>
  <si>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</si>
  <si>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</si>
  <si>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</si>
  <si>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</si>
  <si>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</si>
  <si>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</si>
  <si>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</si>
  <si>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</si>
  <si>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</si>
  <si>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</si>
  <si>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</si>
  <si>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</si>
  <si>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</si>
  <si>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</si>
  <si>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</si>
  <si>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</si>
  <si>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</si>
  <si>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</si>
  <si>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</si>
  <si>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</si>
  <si>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</si>
  <si>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</si>
  <si>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</si>
  <si>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</si>
  <si>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</si>
  <si>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</si>
  <si>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</si>
  <si>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</si>
  <si>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</si>
  <si>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</si>
  <si>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</si>
  <si>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</si>
  <si>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</si>
  <si>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</si>
  <si>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</si>
  <si>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</si>
  <si>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</si>
  <si>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</si>
  <si>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</si>
  <si>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</si>
  <si>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</si>
  <si>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</si>
  <si>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</si>
  <si>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</si>
  <si>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</si>
  <si>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</si>
  <si>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</si>
  <si>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</si>
  <si>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</si>
  <si>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</si>
  <si>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</si>
  <si>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</si>
  <si>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</si>
  <si>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</si>
  <si>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</si>
  <si>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</si>
  <si>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</si>
  <si>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</si>
  <si>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</si>
  <si>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</si>
  <si>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</si>
  <si>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</si>
  <si>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</si>
  <si>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</si>
  <si>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</si>
  <si>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</si>
  <si>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</si>
  <si>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</si>
  <si>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</si>
  <si>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</si>
  <si>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</si>
  <si>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</si>
  <si>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</si>
  <si>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</si>
  <si>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</si>
  <si>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</si>
  <si>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</si>
  <si>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</si>
  <si>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</si>
  <si>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</si>
  <si>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</si>
  <si>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</si>
  <si>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</si>
  <si>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</si>
  <si>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</si>
  <si>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</si>
  <si>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</si>
  <si>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</si>
  <si>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</si>
  <si>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</si>
  <si>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</si>
  <si>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</si>
  <si>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</si>
  <si>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</si>
  <si>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</si>
  <si>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</si>
  <si>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</si>
  <si>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</si>
  <si>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</si>
  <si>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</si>
  <si>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</si>
  <si>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</si>
  <si>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</si>
  <si>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</si>
  <si>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</si>
  <si>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</si>
  <si>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</si>
  <si>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</si>
  <si>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KEN</t>
  </si>
  <si>
    <t>R10AFRICA</t>
  </si>
  <si>
    <t>Geothermal, agricultural residues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</si>
  <si>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</si>
  <si>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</si>
  <si>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</si>
  <si>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</si>
  <si>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</si>
  <si>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</si>
  <si>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</si>
  <si>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</si>
  <si>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</si>
  <si>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</si>
  <si>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</si>
  <si>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</si>
  <si>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</si>
  <si>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</si>
  <si>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</si>
  <si>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</si>
  <si>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</si>
  <si>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</si>
  <si>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</si>
  <si>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</si>
  <si>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</si>
  <si>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</si>
  <si>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</si>
  <si>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</si>
  <si>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</si>
  <si>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</si>
  <si>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</si>
  <si>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</si>
  <si>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</si>
  <si>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</si>
  <si>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</si>
  <si>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</si>
  <si>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</si>
  <si>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</si>
  <si>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</si>
  <si>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</si>
  <si>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</si>
  <si>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</si>
  <si>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</si>
  <si>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</si>
  <si>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</si>
  <si>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</si>
  <si>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</si>
  <si>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</si>
  <si>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</si>
  <si>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</si>
  <si>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</si>
  <si>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</si>
  <si>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</si>
  <si>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</si>
  <si>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</si>
  <si>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</si>
  <si>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</si>
  <si>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</si>
  <si>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</si>
  <si>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</si>
  <si>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</si>
  <si>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</si>
  <si>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</si>
  <si>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</si>
  <si>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</si>
  <si>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</si>
  <si>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</si>
  <si>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</si>
  <si>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</si>
  <si>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</si>
  <si>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</si>
  <si>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</si>
  <si>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</si>
  <si>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</si>
  <si>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</si>
  <si>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</si>
  <si>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</si>
  <si>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</si>
  <si>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</si>
  <si>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</si>
  <si>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</si>
  <si>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</si>
  <si>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</si>
  <si>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</si>
  <si>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</si>
  <si>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</si>
  <si>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</si>
  <si>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</si>
  <si>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</si>
  <si>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</si>
  <si>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</si>
  <si>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</si>
  <si>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</si>
  <si>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</si>
  <si>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</si>
  <si>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</si>
  <si>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</si>
  <si>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S02aH01,S03aH01,S01aH01,S04aH01</t>
  </si>
  <si>
    <t>N</t>
  </si>
  <si>
    <t>S01aH02,S04aH02,S03aH02,S04aH03,S03aH03,S02aH02,S02aH03,S01aH03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</si>
  <si>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</si>
  <si>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</si>
  <si>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</si>
  <si>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</si>
  <si>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</si>
  <si>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</si>
  <si>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</si>
  <si>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</si>
  <si>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</si>
  <si>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</si>
  <si>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</si>
  <si>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</si>
  <si>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</si>
  <si>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</si>
  <si>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</si>
  <si>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</si>
  <si>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</si>
  <si>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</si>
  <si>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</si>
  <si>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</si>
  <si>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</si>
  <si>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</si>
  <si>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</si>
  <si>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</si>
  <si>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</si>
  <si>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</si>
  <si>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</si>
  <si>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</si>
  <si>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</si>
  <si>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</si>
  <si>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</si>
  <si>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</si>
  <si>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</si>
  <si>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</si>
  <si>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</si>
  <si>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</si>
  <si>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</si>
  <si>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</si>
  <si>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</si>
  <si>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</si>
  <si>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</si>
  <si>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S01aH04,S07aH02,S03aH02,S03aH04,S03aH03,S06aH04,S04aH03,S07aH04,S04aH02,S02aH03,S07aH03,S02aH02,S01aH02,S04aH04,S02aH04,S01aH03,S05aH02,S05aH03,S05aH04,S06aH02,S06aH03</t>
  </si>
  <si>
    <t>S05aH01,S07aH06,S06aH06,S02aH05,S02aH01,S05aH06,S07aH05,S01aH01,S04aH01,S04aH06,S04aH05,S06aH01,S03aH01,S01aH05,S03aH06,S06aH05,S02aH06,S03aH05,S05aH05,S01aH06,S07aH01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</si>
  <si>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</si>
  <si>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</si>
  <si>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</si>
  <si>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</si>
  <si>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</si>
  <si>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</si>
  <si>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</si>
  <si>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</si>
  <si>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</si>
  <si>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</si>
  <si>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</si>
  <si>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</si>
  <si>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</si>
  <si>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</si>
  <si>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</si>
  <si>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</si>
  <si>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</si>
  <si>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</si>
  <si>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</si>
  <si>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</si>
  <si>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</si>
  <si>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FaD,WaP,RaD,RaP,FaP,SaP,SaD,WaD</t>
  </si>
  <si>
    <t>RaP,RaN,WaP,FaN,FaP,SaP,SaN,WaN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</si>
</sst>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13.23</c:v>
                </c:pt>
                <c:pt idx="1">
                  <c:v>16.802099999999999</c:v>
                </c:pt>
                <c:pt idx="2">
                  <c:v>22.226399999999998</c:v>
                </c:pt>
                <c:pt idx="3">
                  <c:v>29.899799999999999</c:v>
                </c:pt>
                <c:pt idx="4">
                  <c:v>38.631599999999999</c:v>
                </c:pt>
                <c:pt idx="5">
                  <c:v>59.270400000000009</c:v>
                </c:pt>
                <c:pt idx="6">
                  <c:v>79.512299999999996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48.97</c:v>
                </c:pt>
                <c:pt idx="3">
                  <c:v>87.7</c:v>
                </c:pt>
                <c:pt idx="4">
                  <c:v>122.55</c:v>
                </c:pt>
                <c:pt idx="5">
                  <c:v>179.54</c:v>
                </c:pt>
                <c:pt idx="6">
                  <c:v>211.71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13.23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13.23</v>
      </c>
      <c r="U14" s="8">
        <f t="shared" ref="U14:Z14" si="3">$S$12*J15</f>
        <v>16.802099999999999</v>
      </c>
      <c r="V14" s="8">
        <f t="shared" si="3"/>
        <v>22.226399999999998</v>
      </c>
      <c r="W14" s="8">
        <f t="shared" si="3"/>
        <v>29.899799999999999</v>
      </c>
      <c r="X14" s="8">
        <f t="shared" si="3"/>
        <v>38.631599999999999</v>
      </c>
      <c r="Y14" s="8">
        <f t="shared" si="3"/>
        <v>59.270400000000009</v>
      </c>
      <c r="Z14" s="8">
        <f t="shared" si="3"/>
        <v>79.512299999999996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1.27</v>
      </c>
      <c r="K15" s="11">
        <f>SUMIFS(ar6_r10!$F$2:$F$999,ar6_r10!$A$2:$A$999,Veda!$E$5,ar6_r10!$C$2:$C$999,Veda!K$17,ar6_r10!$M$2:$M$999,Veda!$G15)</f>
        <v>1.68</v>
      </c>
      <c r="L15" s="11">
        <f>SUMIFS(ar6_r10!$F$2:$F$999,ar6_r10!$A$2:$A$999,Veda!$E$5,ar6_r10!$C$2:$C$999,Veda!L$17,ar6_r10!$M$2:$M$999,Veda!$G15)</f>
        <v>2.2599999999999998</v>
      </c>
      <c r="M15" s="11">
        <f>SUMIFS(ar6_r10!$F$2:$F$999,ar6_r10!$A$2:$A$999,Veda!$E$5,ar6_r10!$C$2:$C$999,Veda!M$17,ar6_r10!$M$2:$M$999,Veda!$G15)</f>
        <v>2.92</v>
      </c>
      <c r="N15" s="11">
        <f>SUMIFS(ar6_r10!$F$2:$F$999,ar6_r10!$A$2:$A$999,Veda!$E$5,ar6_r10!$C$2:$C$999,Veda!N$17,ar6_r10!$M$2:$M$999,Veda!$G15)</f>
        <v>4.4800000000000004</v>
      </c>
      <c r="O15" s="11">
        <f>SUMIFS(ar6_r10!$F$2:$F$999,ar6_r10!$A$2:$A$999,Veda!$E$5,ar6_r10!$C$2:$C$999,Veda!O$17,ar6_r10!$M$2:$M$999,Veda!$G15)</f>
        <v>6.01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0.29899799999999999</v>
      </c>
      <c r="X18" s="6">
        <f t="shared" si="7"/>
        <v>0.77263199999999999</v>
      </c>
      <c r="Y18" s="6">
        <f t="shared" si="7"/>
        <v>1.1854080000000002</v>
      </c>
      <c r="Z18" s="6">
        <f t="shared" si="7"/>
        <v>2.3853689999999999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0.45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0.42</v>
      </c>
      <c r="M19" s="11">
        <f>SUMIFS(ar6_r10!$F$2:$F$999,ar6_r10!$A$2:$A$999,Veda!$E$5,ar6_r10!$C$2:$C$999,Veda!M$17,ar6_r10!$M$2:$M$999,Veda!$G19)</f>
        <v>0.4</v>
      </c>
      <c r="N19" s="11">
        <f>SUMIFS(ar6_r10!$F$2:$F$999,ar6_r10!$A$2:$A$999,Veda!$E$5,ar6_r10!$C$2:$C$999,Veda!N$17,ar6_r10!$M$2:$M$999,Veda!$G19)</f>
        <v>0.41</v>
      </c>
      <c r="O19" s="11">
        <f>SUMIFS(ar6_r10!$F$2:$F$999,ar6_r10!$A$2:$A$999,Veda!$E$5,ar6_r10!$C$2:$C$999,Veda!O$17,ar6_r10!$M$2:$M$999,Veda!$G19)</f>
        <v>0.38</v>
      </c>
      <c r="S19" s="10" t="s">
        <v>19</v>
      </c>
      <c r="T19" s="6">
        <f t="shared" si="7"/>
        <v>6.4827000000000004</v>
      </c>
      <c r="U19" s="6">
        <f t="shared" si="7"/>
        <v>7.5609450000000002</v>
      </c>
      <c r="V19" s="6">
        <f t="shared" si="7"/>
        <v>9.5573519999999998</v>
      </c>
      <c r="W19" s="6">
        <f t="shared" si="7"/>
        <v>12.557915999999999</v>
      </c>
      <c r="X19" s="6">
        <f t="shared" si="7"/>
        <v>15.452640000000001</v>
      </c>
      <c r="Y19" s="6">
        <f t="shared" si="7"/>
        <v>24.300864000000001</v>
      </c>
      <c r="Z19" s="6">
        <f t="shared" si="7"/>
        <v>30.214673999999999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0.49</v>
      </c>
      <c r="J20" s="11">
        <f>SUMIFS(ar6_r10!$F$2:$F$999,ar6_r10!$A$2:$A$999,Veda!$E$5,ar6_r10!$C$2:$C$999,Veda!J$17,ar6_r10!$M$2:$M$999,Veda!$G20)</f>
        <v>0.52</v>
      </c>
      <c r="K20" s="11">
        <f>SUMIFS(ar6_r10!$F$2:$F$999,ar6_r10!$A$2:$A$999,Veda!$E$5,ar6_r10!$C$2:$C$999,Veda!K$17,ar6_r10!$M$2:$M$999,Veda!$G20)</f>
        <v>0.54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0.51</v>
      </c>
      <c r="N20" s="11">
        <f>SUMIFS(ar6_r10!$F$2:$F$999,ar6_r10!$A$2:$A$999,Veda!$E$5,ar6_r10!$C$2:$C$999,Veda!N$17,ar6_r10!$M$2:$M$999,Veda!$G20)</f>
        <v>0.48</v>
      </c>
      <c r="O20" s="11">
        <f>SUMIFS(ar6_r10!$F$2:$F$999,ar6_r10!$A$2:$A$999,Veda!$E$5,ar6_r10!$C$2:$C$999,Veda!O$17,ar6_r10!$M$2:$M$999,Veda!$G20)</f>
        <v>0.47</v>
      </c>
      <c r="S20" s="10" t="s">
        <v>22</v>
      </c>
      <c r="T20" s="6">
        <f t="shared" si="7"/>
        <v>6.4827000000000004</v>
      </c>
      <c r="U20" s="6">
        <f t="shared" si="7"/>
        <v>8.7370920000000005</v>
      </c>
      <c r="V20" s="6">
        <f t="shared" si="7"/>
        <v>12.002255999999999</v>
      </c>
      <c r="W20" s="6">
        <f t="shared" si="7"/>
        <v>15.248898000000001</v>
      </c>
      <c r="X20" s="6">
        <f t="shared" si="7"/>
        <v>19.702116</v>
      </c>
      <c r="Y20" s="6">
        <f t="shared" si="7"/>
        <v>28.449792000000002</v>
      </c>
      <c r="Z20" s="6">
        <f t="shared" si="7"/>
        <v>37.370780999999994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0.05</v>
      </c>
      <c r="S21" s="10" t="s">
        <v>24</v>
      </c>
      <c r="T21" s="6">
        <f>I21*T$14</f>
        <v>0.1323</v>
      </c>
      <c r="U21" s="6">
        <f t="shared" ref="U21:Z21" si="8">T21</f>
        <v>0.1323</v>
      </c>
      <c r="V21" s="6">
        <f t="shared" si="8"/>
        <v>0.1323</v>
      </c>
      <c r="W21" s="6">
        <f t="shared" si="8"/>
        <v>0.1323</v>
      </c>
      <c r="X21" s="6">
        <f t="shared" si="8"/>
        <v>0.1323</v>
      </c>
      <c r="Y21" s="6">
        <f t="shared" si="8"/>
        <v>0.1323</v>
      </c>
      <c r="Z21" s="6">
        <f t="shared" si="8"/>
        <v>0.1323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0.13229999999999897</v>
      </c>
      <c r="U22" s="6">
        <f t="shared" si="9"/>
        <v>0.37176299999999785</v>
      </c>
      <c r="V22" s="6">
        <f t="shared" si="9"/>
        <v>0.53449200000000019</v>
      </c>
      <c r="W22" s="6">
        <f t="shared" si="9"/>
        <v>1.960685999999999</v>
      </c>
      <c r="X22" s="6">
        <f t="shared" si="9"/>
        <v>3.3445439999999991</v>
      </c>
      <c r="Y22" s="6">
        <f t="shared" si="9"/>
        <v>6.3874440000000021</v>
      </c>
      <c r="Z22" s="6">
        <f t="shared" si="9"/>
        <v>11.794544999999999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48.97</v>
      </c>
      <c r="L24" s="8">
        <f>SUMIFS(ar6_r10!$F$2:$F$999,ar6_r10!$A$2:$A$999,Veda!$E$5,ar6_r10!$C$2:$C$999,Veda!L$17,ar6_r10!$M$2:$M$999,Veda!$G24)</f>
        <v>87.7</v>
      </c>
      <c r="M24" s="8">
        <f>SUMIFS(ar6_r10!$F$2:$F$999,ar6_r10!$A$2:$A$999,Veda!$E$5,ar6_r10!$C$2:$C$999,Veda!M$17,ar6_r10!$M$2:$M$999,Veda!$G24)</f>
        <v>122.55</v>
      </c>
      <c r="N24" s="8">
        <f>SUMIFS(ar6_r10!$F$2:$F$999,ar6_r10!$A$2:$A$999,Veda!$E$5,ar6_r10!$C$2:$C$999,Veda!N$17,ar6_r10!$M$2:$M$999,Veda!$G24)</f>
        <v>179.54</v>
      </c>
      <c r="O24" s="8">
        <f>SUMIFS(ar6_r10!$F$2:$F$999,ar6_r10!$A$2:$A$999,Veda!$E$5,ar6_r10!$C$2:$C$999,Veda!O$17,ar6_r10!$M$2:$M$999,Veda!$G24)</f>
        <v>211.71</v>
      </c>
      <c r="S24" t="s">
        <v>28</v>
      </c>
      <c r="U24">
        <v>0</v>
      </c>
      <c r="V24" s="11">
        <f>K24/1000</f>
        <v>4.897E-2</v>
      </c>
      <c r="W24" s="11">
        <f>L24/1000</f>
        <v>8.77E-2</v>
      </c>
      <c r="X24" s="11">
        <f>M24/1000</f>
        <v>0.12254999999999999</v>
      </c>
      <c r="Y24" s="11">
        <f>N24/1000</f>
        <v>0.17954000000000001</v>
      </c>
      <c r="Z24" s="11">
        <f>O24/1000</f>
        <v>0.21171000000000001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0.32</v>
      </c>
      <c r="S28" t="s">
        <v>32</v>
      </c>
      <c r="T28" s="3">
        <f>Q28</f>
        <v>0.32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-0.02</v>
      </c>
      <c r="S29" t="s">
        <v>35</v>
      </c>
      <c r="T29" s="3">
        <f>-1*Q29</f>
        <v>0.02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29.15</v>
      </c>
      <c r="J45">
        <f t="shared" si="12"/>
        <v>30.315999999999999</v>
      </c>
      <c r="K45">
        <f t="shared" si="12"/>
        <v>39.935500000000005</v>
      </c>
      <c r="L45">
        <f t="shared" si="12"/>
        <v>37.894999999999996</v>
      </c>
      <c r="M45">
        <f t="shared" si="12"/>
        <v>45.182499999999997</v>
      </c>
      <c r="N45">
        <f t="shared" si="12"/>
        <v>47.514499999999991</v>
      </c>
      <c r="O45">
        <f t="shared" si="12"/>
        <v>49.846499999999999</v>
      </c>
      <c r="R45">
        <f>HLOOKUP($G45&amp;"_"&amp;R$44,fuel_prices!$B$10:$I$11,2,FALSE)</f>
        <v>24</v>
      </c>
      <c r="S45">
        <f>HLOOKUP($G45&amp;"_"&amp;S$44,fuel_prices!$B$10:$I$11,2,FALSE)</f>
        <v>34.299999999999997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15.606</v>
      </c>
      <c r="K46">
        <f t="shared" si="12"/>
        <v>17.34</v>
      </c>
      <c r="L46">
        <f t="shared" si="12"/>
        <v>19.363</v>
      </c>
      <c r="M46">
        <f t="shared" si="12"/>
        <v>21.963999999999999</v>
      </c>
      <c r="N46">
        <f t="shared" si="12"/>
        <v>21.096999999999998</v>
      </c>
      <c r="O46">
        <f t="shared" si="12"/>
        <v>22.686499999999999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57.499999999999993</v>
      </c>
      <c r="K47">
        <f t="shared" si="12"/>
        <v>80</v>
      </c>
      <c r="L47">
        <f t="shared" si="12"/>
        <v>66.5</v>
      </c>
      <c r="M47">
        <f t="shared" si="12"/>
        <v>73.5</v>
      </c>
      <c r="N47">
        <f t="shared" si="12"/>
        <v>80.5</v>
      </c>
      <c r="O47">
        <f t="shared" si="12"/>
        <v>88.5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16</v>
      </c>
      <c r="O48">
        <f>VLOOKUP($E$5,$AK$9:$AM$15,3,FALSE)*I48</f>
        <v>48</v>
      </c>
      <c r="R48">
        <f>HLOOKUP($G48&amp;"_"&amp;R$44,fuel_prices!$B$10:$I$11,2,FALSE)</f>
        <v>12</v>
      </c>
      <c r="S48">
        <f>HLOOKUP($G48&amp;"_"&amp;S$44,fuel_prices!$B$10:$I$11,2,FALSE)</f>
        <v>20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24</v>
      </c>
      <c r="C11">
        <v>34.299999999999997</v>
      </c>
      <c r="D11">
        <v>12.2</v>
      </c>
      <c r="E11">
        <v>16.7</v>
      </c>
      <c r="F11">
        <v>45</v>
      </c>
      <c r="G11">
        <v>55</v>
      </c>
      <c r="H11">
        <v>12</v>
      </c>
      <c r="I11">
        <v>20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3</v>
      </c>
      <c r="D11">
        <v>1.57</v>
      </c>
      <c r="E11">
        <v>0</v>
      </c>
      <c r="F11">
        <v>0</v>
      </c>
      <c r="G11">
        <v>0.2</v>
      </c>
      <c r="H11">
        <v>0</v>
      </c>
      <c r="I11">
        <v>4.01</v>
      </c>
    </row>
    <row r="12" spans="1:9" x14ac:dyDescent="0.45">
      <c r="A12" t="s">
        <v>143</v>
      </c>
      <c r="B12">
        <v>2001</v>
      </c>
      <c r="C12">
        <v>3.3</v>
      </c>
      <c r="D12">
        <v>1.67</v>
      </c>
      <c r="E12">
        <v>0</v>
      </c>
      <c r="F12">
        <v>0</v>
      </c>
      <c r="G12">
        <v>0.17</v>
      </c>
      <c r="H12">
        <v>0</v>
      </c>
      <c r="I12">
        <v>4.51</v>
      </c>
    </row>
    <row r="13" spans="1:9" x14ac:dyDescent="0.45">
      <c r="A13" t="s">
        <v>143</v>
      </c>
      <c r="B13">
        <v>2002</v>
      </c>
      <c r="C13">
        <v>3.54</v>
      </c>
      <c r="D13">
        <v>1.75</v>
      </c>
      <c r="E13">
        <v>0</v>
      </c>
      <c r="F13">
        <v>0</v>
      </c>
      <c r="G13">
        <v>0.22</v>
      </c>
      <c r="H13">
        <v>0</v>
      </c>
      <c r="I13">
        <v>4.67</v>
      </c>
    </row>
    <row r="14" spans="1:9" x14ac:dyDescent="0.45">
      <c r="A14" t="s">
        <v>143</v>
      </c>
      <c r="B14">
        <v>2003</v>
      </c>
      <c r="C14">
        <v>3.48</v>
      </c>
      <c r="D14">
        <v>1.49</v>
      </c>
      <c r="E14">
        <v>0</v>
      </c>
      <c r="F14">
        <v>0</v>
      </c>
      <c r="G14">
        <v>0.19</v>
      </c>
      <c r="H14">
        <v>0</v>
      </c>
      <c r="I14">
        <v>4.99</v>
      </c>
    </row>
    <row r="15" spans="1:9" x14ac:dyDescent="0.45">
      <c r="A15" t="s">
        <v>143</v>
      </c>
      <c r="B15">
        <v>2004</v>
      </c>
      <c r="C15">
        <v>3.74</v>
      </c>
      <c r="D15">
        <v>1.58</v>
      </c>
      <c r="E15">
        <v>0</v>
      </c>
      <c r="F15">
        <v>0</v>
      </c>
      <c r="G15">
        <v>0.16</v>
      </c>
      <c r="H15">
        <v>0</v>
      </c>
      <c r="I15">
        <v>5.34</v>
      </c>
    </row>
    <row r="16" spans="1:9" x14ac:dyDescent="0.45">
      <c r="A16" t="s">
        <v>143</v>
      </c>
      <c r="B16">
        <v>2005</v>
      </c>
      <c r="C16">
        <v>3.98</v>
      </c>
      <c r="D16">
        <v>1.69</v>
      </c>
      <c r="E16">
        <v>0</v>
      </c>
      <c r="F16">
        <v>0</v>
      </c>
      <c r="G16">
        <v>0.03</v>
      </c>
      <c r="H16">
        <v>-0.02</v>
      </c>
      <c r="I16">
        <v>5.71</v>
      </c>
    </row>
    <row r="17" spans="1:9" x14ac:dyDescent="0.45">
      <c r="A17" t="s">
        <v>143</v>
      </c>
      <c r="B17">
        <v>2006</v>
      </c>
      <c r="C17">
        <v>4.22</v>
      </c>
      <c r="D17">
        <v>1.79</v>
      </c>
      <c r="E17">
        <v>0</v>
      </c>
      <c r="F17">
        <v>0</v>
      </c>
      <c r="G17">
        <v>0.01</v>
      </c>
      <c r="H17">
        <v>-0.05</v>
      </c>
      <c r="I17">
        <v>6.05</v>
      </c>
    </row>
    <row r="18" spans="1:9" x14ac:dyDescent="0.45">
      <c r="A18" t="s">
        <v>143</v>
      </c>
      <c r="B18">
        <v>2007</v>
      </c>
      <c r="C18">
        <v>4.47</v>
      </c>
      <c r="D18">
        <v>1.88</v>
      </c>
      <c r="E18">
        <v>0</v>
      </c>
      <c r="F18">
        <v>0</v>
      </c>
      <c r="G18">
        <v>0.02</v>
      </c>
      <c r="H18">
        <v>-0.06</v>
      </c>
      <c r="I18">
        <v>6.49</v>
      </c>
    </row>
    <row r="19" spans="1:9" x14ac:dyDescent="0.45">
      <c r="A19" t="s">
        <v>143</v>
      </c>
      <c r="B19">
        <v>2008</v>
      </c>
      <c r="C19">
        <v>4.3</v>
      </c>
      <c r="D19">
        <v>2.2799999999999998</v>
      </c>
      <c r="E19">
        <v>0</v>
      </c>
      <c r="F19">
        <v>0</v>
      </c>
      <c r="G19">
        <v>0.02</v>
      </c>
      <c r="H19">
        <v>-0.04</v>
      </c>
      <c r="I19">
        <v>6.62</v>
      </c>
    </row>
    <row r="20" spans="1:9" x14ac:dyDescent="0.45">
      <c r="A20" t="s">
        <v>143</v>
      </c>
      <c r="B20">
        <v>2009</v>
      </c>
      <c r="C20">
        <v>4.3499999999999996</v>
      </c>
      <c r="D20">
        <v>2.33</v>
      </c>
      <c r="E20">
        <v>0</v>
      </c>
      <c r="F20">
        <v>0</v>
      </c>
      <c r="G20">
        <v>0.04</v>
      </c>
      <c r="H20">
        <v>-0.03</v>
      </c>
      <c r="I20">
        <v>6.74</v>
      </c>
    </row>
    <row r="21" spans="1:9" x14ac:dyDescent="0.45">
      <c r="A21" t="s">
        <v>143</v>
      </c>
      <c r="B21">
        <v>2010</v>
      </c>
      <c r="C21">
        <v>4.51</v>
      </c>
      <c r="D21">
        <v>2.5099999999999998</v>
      </c>
      <c r="E21">
        <v>0</v>
      </c>
      <c r="F21">
        <v>0</v>
      </c>
      <c r="G21">
        <v>0.03</v>
      </c>
      <c r="H21">
        <v>-0.03</v>
      </c>
      <c r="I21">
        <v>7.16</v>
      </c>
    </row>
    <row r="22" spans="1:9" x14ac:dyDescent="0.45">
      <c r="A22" t="s">
        <v>143</v>
      </c>
      <c r="B22">
        <v>2011</v>
      </c>
      <c r="C22">
        <v>4.8499999999999996</v>
      </c>
      <c r="D22">
        <v>2.8</v>
      </c>
      <c r="E22">
        <v>0</v>
      </c>
      <c r="F22">
        <v>0</v>
      </c>
      <c r="G22">
        <v>0.03</v>
      </c>
      <c r="H22">
        <v>-0.04</v>
      </c>
      <c r="I22">
        <v>7.72</v>
      </c>
    </row>
    <row r="23" spans="1:9" x14ac:dyDescent="0.45">
      <c r="A23" t="s">
        <v>143</v>
      </c>
      <c r="B23">
        <v>2012</v>
      </c>
      <c r="C23">
        <v>5.0599999999999996</v>
      </c>
      <c r="D23">
        <v>2.97</v>
      </c>
      <c r="E23">
        <v>0</v>
      </c>
      <c r="F23">
        <v>0</v>
      </c>
      <c r="G23">
        <v>0.04</v>
      </c>
      <c r="H23">
        <v>-0.03</v>
      </c>
      <c r="I23">
        <v>7.98</v>
      </c>
    </row>
    <row r="24" spans="1:9" x14ac:dyDescent="0.45">
      <c r="A24" t="s">
        <v>143</v>
      </c>
      <c r="B24">
        <v>2013</v>
      </c>
      <c r="C24">
        <v>5.34</v>
      </c>
      <c r="D24">
        <v>3.31</v>
      </c>
      <c r="E24">
        <v>0</v>
      </c>
      <c r="F24">
        <v>0</v>
      </c>
      <c r="G24">
        <v>0.05</v>
      </c>
      <c r="H24">
        <v>-0.04</v>
      </c>
      <c r="I24">
        <v>8.64</v>
      </c>
    </row>
    <row r="25" spans="1:9" x14ac:dyDescent="0.45">
      <c r="A25" t="s">
        <v>143</v>
      </c>
      <c r="B25">
        <v>2014</v>
      </c>
      <c r="C25">
        <v>5.86</v>
      </c>
      <c r="D25">
        <v>3.49</v>
      </c>
      <c r="E25">
        <v>0</v>
      </c>
      <c r="F25">
        <v>0</v>
      </c>
      <c r="G25">
        <v>0.16</v>
      </c>
      <c r="H25">
        <v>-0.03</v>
      </c>
      <c r="I25">
        <v>9.1999999999999993</v>
      </c>
    </row>
    <row r="26" spans="1:9" x14ac:dyDescent="0.45">
      <c r="A26" t="s">
        <v>143</v>
      </c>
      <c r="B26">
        <v>2015</v>
      </c>
      <c r="C26">
        <v>5.97</v>
      </c>
      <c r="D26">
        <v>3.78</v>
      </c>
      <c r="E26">
        <v>0</v>
      </c>
      <c r="F26">
        <v>0</v>
      </c>
      <c r="G26">
        <v>0.06</v>
      </c>
      <c r="H26">
        <v>-0.05</v>
      </c>
      <c r="I26">
        <v>9.74</v>
      </c>
    </row>
    <row r="27" spans="1:9" x14ac:dyDescent="0.45">
      <c r="A27" t="s">
        <v>143</v>
      </c>
      <c r="B27">
        <v>2016</v>
      </c>
      <c r="C27">
        <v>6.42</v>
      </c>
      <c r="D27">
        <v>3.87</v>
      </c>
      <c r="E27">
        <v>0</v>
      </c>
      <c r="F27">
        <v>0</v>
      </c>
      <c r="G27">
        <v>0.09</v>
      </c>
      <c r="H27">
        <v>-0.04</v>
      </c>
      <c r="I27">
        <v>10.26</v>
      </c>
    </row>
    <row r="28" spans="1:9" x14ac:dyDescent="0.45">
      <c r="A28" t="s">
        <v>143</v>
      </c>
      <c r="B28">
        <v>2017</v>
      </c>
      <c r="C28">
        <v>6.37</v>
      </c>
      <c r="D28">
        <v>4.17</v>
      </c>
      <c r="E28">
        <v>0</v>
      </c>
      <c r="F28">
        <v>0</v>
      </c>
      <c r="G28">
        <v>0.23</v>
      </c>
      <c r="H28">
        <v>-0.01</v>
      </c>
      <c r="I28">
        <v>10.36</v>
      </c>
    </row>
    <row r="29" spans="1:9" x14ac:dyDescent="0.45">
      <c r="A29" t="s">
        <v>143</v>
      </c>
      <c r="B29">
        <v>2018</v>
      </c>
      <c r="C29">
        <v>7.04</v>
      </c>
      <c r="D29">
        <v>4.34</v>
      </c>
      <c r="E29">
        <v>0</v>
      </c>
      <c r="F29">
        <v>0</v>
      </c>
      <c r="G29">
        <v>0.13</v>
      </c>
      <c r="H29">
        <v>-0.04</v>
      </c>
      <c r="I29">
        <v>11.29</v>
      </c>
    </row>
    <row r="30" spans="1:9" x14ac:dyDescent="0.45">
      <c r="A30" t="s">
        <v>143</v>
      </c>
      <c r="B30">
        <v>2019</v>
      </c>
      <c r="C30">
        <v>7.43</v>
      </c>
      <c r="D30">
        <v>4.41</v>
      </c>
      <c r="E30">
        <v>0</v>
      </c>
      <c r="F30">
        <v>0</v>
      </c>
      <c r="G30">
        <v>0.21</v>
      </c>
      <c r="H30">
        <v>-0.02</v>
      </c>
      <c r="I30">
        <v>11.56</v>
      </c>
    </row>
    <row r="31" spans="1:9" x14ac:dyDescent="0.45">
      <c r="A31" t="s">
        <v>143</v>
      </c>
      <c r="B31">
        <v>2020</v>
      </c>
      <c r="C31">
        <v>7.36</v>
      </c>
      <c r="D31">
        <v>4.5199999999999996</v>
      </c>
      <c r="E31">
        <v>0</v>
      </c>
      <c r="F31">
        <v>0</v>
      </c>
      <c r="G31">
        <v>0.14000000000000001</v>
      </c>
      <c r="H31">
        <v>-0.02</v>
      </c>
      <c r="I31">
        <v>11.69</v>
      </c>
    </row>
    <row r="32" spans="1:9" x14ac:dyDescent="0.45">
      <c r="A32" t="s">
        <v>143</v>
      </c>
      <c r="B32">
        <v>2021</v>
      </c>
      <c r="C32">
        <v>7.89</v>
      </c>
      <c r="D32">
        <v>4.84</v>
      </c>
      <c r="E32">
        <v>0</v>
      </c>
      <c r="F32">
        <v>0</v>
      </c>
      <c r="G32">
        <v>0.28999999999999998</v>
      </c>
      <c r="H32">
        <v>-0.02</v>
      </c>
      <c r="I32">
        <v>12.38</v>
      </c>
    </row>
    <row r="33" spans="1:9" x14ac:dyDescent="0.45">
      <c r="A33" t="s">
        <v>143</v>
      </c>
      <c r="B33">
        <v>2022</v>
      </c>
      <c r="C33">
        <v>8.2799999999999994</v>
      </c>
      <c r="D33">
        <v>5.05</v>
      </c>
      <c r="E33">
        <v>0</v>
      </c>
      <c r="F33">
        <v>0</v>
      </c>
      <c r="G33">
        <v>0.32</v>
      </c>
      <c r="H33">
        <v>-0.02</v>
      </c>
      <c r="I33">
        <v>12.93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237</v>
      </c>
      <c r="D10" t="s">
        <v>124</v>
      </c>
      <c r="F10" t="s">
        <v>237</v>
      </c>
      <c r="G10" t="s">
        <v>126</v>
      </c>
      <c r="I10" t="s">
        <v>237</v>
      </c>
      <c r="J10" t="s">
        <v>106</v>
      </c>
      <c r="L10" t="s">
        <v>237</v>
      </c>
      <c r="M10" t="s">
        <v>131</v>
      </c>
    </row>
    <row r="11" spans="1:13" x14ac:dyDescent="0.45">
      <c r="B11" s="15"/>
      <c r="C11" s="15" t="s">
        <v>238</v>
      </c>
      <c r="D11" t="s">
        <v>239</v>
      </c>
      <c r="F11" t="s">
        <v>238</v>
      </c>
      <c r="G11" t="s">
        <v>283</v>
      </c>
      <c r="I11" t="s">
        <v>238</v>
      </c>
      <c r="J11" t="s">
        <v>287</v>
      </c>
      <c r="L11" t="s">
        <v>238</v>
      </c>
      <c r="M11" t="s">
        <v>306</v>
      </c>
    </row>
    <row r="12" spans="1:13" x14ac:dyDescent="0.45">
      <c r="B12" s="15"/>
      <c r="C12" s="15" t="s">
        <v>240</v>
      </c>
      <c r="D12" t="s">
        <v>241</v>
      </c>
      <c r="F12" t="s">
        <v>240</v>
      </c>
      <c r="G12" t="s">
        <v>284</v>
      </c>
      <c r="I12" t="s">
        <v>240</v>
      </c>
      <c r="J12" t="s">
        <v>287</v>
      </c>
      <c r="L12" t="s">
        <v>240</v>
      </c>
      <c r="M12" t="s">
        <v>307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66B28-01F1-425A-A72B-D955EDCF585B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236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242</v>
      </c>
      <c r="AK10" t="s">
        <v>47</v>
      </c>
      <c r="AL10" t="s">
        <v>121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155</v>
      </c>
      <c r="G11" t="s">
        <v>153</v>
      </c>
      <c r="I11" t="s">
        <v>162</v>
      </c>
      <c r="J11" t="s">
        <v>163</v>
      </c>
      <c r="K11">
        <v>9.868665546861824E-2</v>
      </c>
      <c r="L11" t="s">
        <v>164</v>
      </c>
      <c r="N11" t="s">
        <v>203</v>
      </c>
      <c r="O11" t="s">
        <v>163</v>
      </c>
      <c r="P11">
        <v>2.7689616774231672E-2</v>
      </c>
      <c r="Q11" t="s">
        <v>164</v>
      </c>
      <c r="S11" t="s">
        <v>226</v>
      </c>
      <c r="T11" t="s">
        <v>163</v>
      </c>
      <c r="U11">
        <v>6.2506251895940571E-2</v>
      </c>
      <c r="V11" t="s">
        <v>164</v>
      </c>
      <c r="X11">
        <v>6.3698630136986303E-2</v>
      </c>
      <c r="Y11">
        <v>6.6229106067009769E-2</v>
      </c>
      <c r="Z11" t="s">
        <v>163</v>
      </c>
      <c r="AA11" t="s">
        <v>25</v>
      </c>
      <c r="AC11" t="s">
        <v>22</v>
      </c>
      <c r="AD11" t="s">
        <v>163</v>
      </c>
      <c r="AE11">
        <v>6.7851093379944397E-2</v>
      </c>
      <c r="AG11" t="s">
        <v>96</v>
      </c>
      <c r="AH11" t="s">
        <v>163</v>
      </c>
      <c r="AI11">
        <v>0.17895650589472112</v>
      </c>
      <c r="AK11">
        <v>2020</v>
      </c>
      <c r="AL11" t="s">
        <v>152</v>
      </c>
      <c r="AM11">
        <v>0.56925996204933582</v>
      </c>
      <c r="AN11" t="s">
        <v>245</v>
      </c>
    </row>
    <row r="12" spans="1:40" x14ac:dyDescent="0.45">
      <c r="C12" t="s">
        <v>156</v>
      </c>
      <c r="E12" t="s">
        <v>157</v>
      </c>
      <c r="G12" t="s">
        <v>153</v>
      </c>
      <c r="I12" t="s">
        <v>162</v>
      </c>
      <c r="J12" t="s">
        <v>165</v>
      </c>
      <c r="K12">
        <v>5.944245324464627E-3</v>
      </c>
      <c r="L12" t="s">
        <v>164</v>
      </c>
      <c r="N12" t="s">
        <v>203</v>
      </c>
      <c r="O12" t="s">
        <v>165</v>
      </c>
      <c r="P12">
        <v>3.32498548592423E-3</v>
      </c>
      <c r="Q12" t="s">
        <v>164</v>
      </c>
      <c r="S12" t="s">
        <v>226</v>
      </c>
      <c r="T12" t="s">
        <v>165</v>
      </c>
      <c r="U12">
        <v>6.0651849653076241E-3</v>
      </c>
      <c r="V12" t="s">
        <v>164</v>
      </c>
      <c r="X12">
        <v>3.5388127853881279E-3</v>
      </c>
      <c r="Y12">
        <v>5.3435430806586613E-3</v>
      </c>
      <c r="Z12" t="s">
        <v>165</v>
      </c>
      <c r="AA12" t="s">
        <v>25</v>
      </c>
      <c r="AC12" t="s">
        <v>22</v>
      </c>
      <c r="AD12" t="s">
        <v>165</v>
      </c>
      <c r="AE12">
        <v>4.3889936948748563E-3</v>
      </c>
      <c r="AG12" t="s">
        <v>96</v>
      </c>
      <c r="AH12" t="s">
        <v>165</v>
      </c>
      <c r="AI12">
        <v>5.8284339472389757E-3</v>
      </c>
      <c r="AK12">
        <v>2020</v>
      </c>
      <c r="AL12" t="s">
        <v>156</v>
      </c>
      <c r="AM12">
        <v>0.57198630286374841</v>
      </c>
      <c r="AN12" t="s">
        <v>245</v>
      </c>
    </row>
    <row r="13" spans="1:40" x14ac:dyDescent="0.45">
      <c r="C13" t="s">
        <v>158</v>
      </c>
      <c r="E13" t="s">
        <v>159</v>
      </c>
      <c r="G13" t="s">
        <v>153</v>
      </c>
      <c r="I13" t="s">
        <v>162</v>
      </c>
      <c r="J13" t="s">
        <v>166</v>
      </c>
      <c r="K13">
        <v>0</v>
      </c>
      <c r="L13" t="s">
        <v>164</v>
      </c>
      <c r="N13" t="s">
        <v>203</v>
      </c>
      <c r="O13" t="s">
        <v>166</v>
      </c>
      <c r="P13">
        <v>1.3127330428711387E-2</v>
      </c>
      <c r="Q13" t="s">
        <v>164</v>
      </c>
      <c r="S13" t="s">
        <v>226</v>
      </c>
      <c r="T13" t="s">
        <v>166</v>
      </c>
      <c r="U13">
        <v>2.8537852664727185E-2</v>
      </c>
      <c r="V13" t="s">
        <v>164</v>
      </c>
      <c r="X13">
        <v>1.7694063926940638E-2</v>
      </c>
      <c r="Y13">
        <v>1.3358857701646654E-2</v>
      </c>
      <c r="Z13" t="s">
        <v>166</v>
      </c>
      <c r="AA13" t="s">
        <v>25</v>
      </c>
      <c r="AC13" t="s">
        <v>22</v>
      </c>
      <c r="AD13" t="s">
        <v>166</v>
      </c>
      <c r="AE13">
        <v>1.3918176603029927E-2</v>
      </c>
      <c r="AG13" t="s">
        <v>96</v>
      </c>
      <c r="AH13" t="s">
        <v>166</v>
      </c>
      <c r="AI13">
        <v>0.16133203178517608</v>
      </c>
      <c r="AK13">
        <v>2020</v>
      </c>
      <c r="AL13" t="s">
        <v>158</v>
      </c>
      <c r="AM13">
        <v>0.5496069395500135</v>
      </c>
      <c r="AN13" t="s">
        <v>245</v>
      </c>
    </row>
    <row r="14" spans="1:40" x14ac:dyDescent="0.45">
      <c r="C14" t="s">
        <v>160</v>
      </c>
      <c r="I14" t="s">
        <v>162</v>
      </c>
      <c r="J14" t="s">
        <v>167</v>
      </c>
      <c r="K14">
        <v>0.17626548615515403</v>
      </c>
      <c r="L14" t="s">
        <v>164</v>
      </c>
      <c r="N14" t="s">
        <v>203</v>
      </c>
      <c r="O14" t="s">
        <v>167</v>
      </c>
      <c r="P14">
        <v>4.5701984803914637E-2</v>
      </c>
      <c r="Q14" t="s">
        <v>164</v>
      </c>
      <c r="S14" t="s">
        <v>226</v>
      </c>
      <c r="T14" t="s">
        <v>167</v>
      </c>
      <c r="U14">
        <v>5.5160058120897193E-2</v>
      </c>
      <c r="V14" t="s">
        <v>164</v>
      </c>
      <c r="X14">
        <v>0.12123287671232877</v>
      </c>
      <c r="Y14">
        <v>0.12604894380495407</v>
      </c>
      <c r="Z14" t="s">
        <v>167</v>
      </c>
      <c r="AA14" t="s">
        <v>25</v>
      </c>
      <c r="AC14" t="s">
        <v>22</v>
      </c>
      <c r="AD14" t="s">
        <v>167</v>
      </c>
      <c r="AE14">
        <v>0.12802258544638129</v>
      </c>
      <c r="AG14" t="s">
        <v>96</v>
      </c>
      <c r="AH14" t="s">
        <v>167</v>
      </c>
      <c r="AI14">
        <v>0.19337833209257194</v>
      </c>
      <c r="AK14">
        <v>2020</v>
      </c>
      <c r="AL14" t="s">
        <v>160</v>
      </c>
      <c r="AM14">
        <v>0.63488298545224553</v>
      </c>
      <c r="AN14" t="s">
        <v>245</v>
      </c>
    </row>
    <row r="15" spans="1:40" x14ac:dyDescent="0.45">
      <c r="I15" t="s">
        <v>162</v>
      </c>
      <c r="J15" t="s">
        <v>168</v>
      </c>
      <c r="K15">
        <v>1.073600550927672E-2</v>
      </c>
      <c r="L15" t="s">
        <v>164</v>
      </c>
      <c r="N15" t="s">
        <v>203</v>
      </c>
      <c r="O15" t="s">
        <v>168</v>
      </c>
      <c r="P15">
        <v>1.1225891078283189E-2</v>
      </c>
      <c r="Q15" t="s">
        <v>164</v>
      </c>
      <c r="S15" t="s">
        <v>226</v>
      </c>
      <c r="T15" t="s">
        <v>168</v>
      </c>
      <c r="U15">
        <v>7.0783009838238948E-3</v>
      </c>
      <c r="V15" t="s">
        <v>164</v>
      </c>
      <c r="X15">
        <v>6.735159817351598E-3</v>
      </c>
      <c r="Y15">
        <v>1.016996908899552E-2</v>
      </c>
      <c r="Z15" t="s">
        <v>168</v>
      </c>
      <c r="AA15" t="s">
        <v>25</v>
      </c>
      <c r="AC15" t="s">
        <v>22</v>
      </c>
      <c r="AD15" t="s">
        <v>168</v>
      </c>
      <c r="AE15">
        <v>8.2684274875578691E-3</v>
      </c>
      <c r="AG15" t="s">
        <v>96</v>
      </c>
      <c r="AH15" t="s">
        <v>168</v>
      </c>
      <c r="AI15">
        <v>1.8397987412374528E-2</v>
      </c>
      <c r="AK15">
        <v>2021</v>
      </c>
      <c r="AL15" t="s">
        <v>152</v>
      </c>
      <c r="AM15">
        <v>0.51575393848462125</v>
      </c>
      <c r="AN15" t="s">
        <v>245</v>
      </c>
    </row>
    <row r="16" spans="1:40" x14ac:dyDescent="0.45">
      <c r="I16" t="s">
        <v>162</v>
      </c>
      <c r="J16" t="s">
        <v>169</v>
      </c>
      <c r="K16">
        <v>0</v>
      </c>
      <c r="L16" t="s">
        <v>164</v>
      </c>
      <c r="N16" t="s">
        <v>203</v>
      </c>
      <c r="O16" t="s">
        <v>169</v>
      </c>
      <c r="P16">
        <v>4.1226975121785789E-2</v>
      </c>
      <c r="Q16" t="s">
        <v>164</v>
      </c>
      <c r="S16" t="s">
        <v>226</v>
      </c>
      <c r="T16" t="s">
        <v>169</v>
      </c>
      <c r="U16">
        <v>3.0420573848305099E-2</v>
      </c>
      <c r="V16" t="s">
        <v>164</v>
      </c>
      <c r="X16">
        <v>3.3675799086757989E-2</v>
      </c>
      <c r="Y16">
        <v>2.5424922722488794E-2</v>
      </c>
      <c r="Z16" t="s">
        <v>169</v>
      </c>
      <c r="AA16" t="s">
        <v>25</v>
      </c>
      <c r="AC16" t="s">
        <v>22</v>
      </c>
      <c r="AD16" t="s">
        <v>169</v>
      </c>
      <c r="AE16">
        <v>2.6535806305299284E-2</v>
      </c>
      <c r="AG16" t="s">
        <v>96</v>
      </c>
      <c r="AH16" t="s">
        <v>169</v>
      </c>
      <c r="AI16">
        <v>0.16880125310973937</v>
      </c>
      <c r="AK16">
        <v>2021</v>
      </c>
      <c r="AL16" t="s">
        <v>156</v>
      </c>
      <c r="AM16">
        <v>0.48449612403100778</v>
      </c>
      <c r="AN16" t="s">
        <v>245</v>
      </c>
    </row>
    <row r="17" spans="9:40" x14ac:dyDescent="0.45">
      <c r="I17" t="s">
        <v>162</v>
      </c>
      <c r="J17" t="s">
        <v>170</v>
      </c>
      <c r="K17">
        <v>0.50319956476800387</v>
      </c>
      <c r="L17" t="s">
        <v>164</v>
      </c>
      <c r="N17" t="s">
        <v>203</v>
      </c>
      <c r="O17" t="s">
        <v>170</v>
      </c>
      <c r="P17">
        <v>0.45436965344174557</v>
      </c>
      <c r="Q17" t="s">
        <v>164</v>
      </c>
      <c r="S17" t="s">
        <v>226</v>
      </c>
      <c r="T17" t="s">
        <v>170</v>
      </c>
      <c r="U17">
        <v>0.51359098104061474</v>
      </c>
      <c r="V17" t="s">
        <v>164</v>
      </c>
      <c r="X17">
        <v>0.4397260273972603</v>
      </c>
      <c r="Y17">
        <v>0.45719447414000292</v>
      </c>
      <c r="Z17" t="s">
        <v>170</v>
      </c>
      <c r="AA17" t="s">
        <v>25</v>
      </c>
      <c r="AC17" t="s">
        <v>22</v>
      </c>
      <c r="AD17" t="s">
        <v>170</v>
      </c>
      <c r="AE17">
        <v>0.4602621360534459</v>
      </c>
      <c r="AG17" t="s">
        <v>96</v>
      </c>
      <c r="AH17" t="s">
        <v>170</v>
      </c>
      <c r="AI17">
        <v>0.18656153387555352</v>
      </c>
      <c r="AK17">
        <v>2021</v>
      </c>
      <c r="AL17" t="s">
        <v>158</v>
      </c>
      <c r="AM17">
        <v>0.48218899963086015</v>
      </c>
      <c r="AN17" t="s">
        <v>245</v>
      </c>
    </row>
    <row r="18" spans="9:40" x14ac:dyDescent="0.45">
      <c r="I18" t="s">
        <v>162</v>
      </c>
      <c r="J18" t="s">
        <v>171</v>
      </c>
      <c r="K18">
        <v>1.8460532919122707E-2</v>
      </c>
      <c r="L18" t="s">
        <v>164</v>
      </c>
      <c r="N18" t="s">
        <v>203</v>
      </c>
      <c r="O18" t="s">
        <v>171</v>
      </c>
      <c r="P18">
        <v>8.0098612622860776E-2</v>
      </c>
      <c r="Q18" t="s">
        <v>164</v>
      </c>
      <c r="S18" t="s">
        <v>226</v>
      </c>
      <c r="T18" t="s">
        <v>171</v>
      </c>
      <c r="U18">
        <v>3.4509131738835221E-2</v>
      </c>
      <c r="V18" t="s">
        <v>164</v>
      </c>
      <c r="X18">
        <v>2.4429223744292239E-2</v>
      </c>
      <c r="Y18">
        <v>3.6887684492288818E-2</v>
      </c>
      <c r="Z18" t="s">
        <v>171</v>
      </c>
      <c r="AA18" t="s">
        <v>25</v>
      </c>
      <c r="AC18" t="s">
        <v>22</v>
      </c>
      <c r="AD18" t="s">
        <v>171</v>
      </c>
      <c r="AE18">
        <v>2.9819158940398584E-2</v>
      </c>
      <c r="AG18" t="s">
        <v>96</v>
      </c>
      <c r="AH18" t="s">
        <v>171</v>
      </c>
      <c r="AI18">
        <v>1.4577071810894182E-2</v>
      </c>
      <c r="AK18">
        <v>2021</v>
      </c>
      <c r="AL18" t="s">
        <v>160</v>
      </c>
      <c r="AM18">
        <v>0.49986454947070103</v>
      </c>
      <c r="AN18" t="s">
        <v>245</v>
      </c>
    </row>
    <row r="19" spans="9:40" x14ac:dyDescent="0.45">
      <c r="I19" t="s">
        <v>162</v>
      </c>
      <c r="J19" t="s">
        <v>172</v>
      </c>
      <c r="K19">
        <v>0</v>
      </c>
      <c r="L19" t="s">
        <v>164</v>
      </c>
      <c r="N19" t="s">
        <v>203</v>
      </c>
      <c r="O19" t="s">
        <v>172</v>
      </c>
      <c r="P19">
        <v>0.23547299760444881</v>
      </c>
      <c r="Q19" t="s">
        <v>164</v>
      </c>
      <c r="S19" t="s">
        <v>226</v>
      </c>
      <c r="T19" t="s">
        <v>172</v>
      </c>
      <c r="U19">
        <v>0.18787990436114846</v>
      </c>
      <c r="V19" t="s">
        <v>164</v>
      </c>
      <c r="X19">
        <v>0.12214611872146118</v>
      </c>
      <c r="Y19">
        <v>9.2219211230722062E-2</v>
      </c>
      <c r="Z19" t="s">
        <v>172</v>
      </c>
      <c r="AA19" t="s">
        <v>25</v>
      </c>
      <c r="AC19" t="s">
        <v>22</v>
      </c>
      <c r="AD19" t="s">
        <v>172</v>
      </c>
      <c r="AE19">
        <v>9.3870104849560543E-2</v>
      </c>
      <c r="AG19" t="s">
        <v>96</v>
      </c>
      <c r="AH19" t="s">
        <v>172</v>
      </c>
      <c r="AI19">
        <v>0.18715719901642935</v>
      </c>
      <c r="AK19">
        <v>2022</v>
      </c>
      <c r="AL19" t="s">
        <v>152</v>
      </c>
      <c r="AM19">
        <v>0.50012503125781449</v>
      </c>
      <c r="AN19" t="s">
        <v>245</v>
      </c>
    </row>
    <row r="20" spans="9:40" x14ac:dyDescent="0.45">
      <c r="I20" t="s">
        <v>162</v>
      </c>
      <c r="J20" t="s">
        <v>173</v>
      </c>
      <c r="K20">
        <v>0.17792584595509531</v>
      </c>
      <c r="L20" t="s">
        <v>164</v>
      </c>
      <c r="N20" t="s">
        <v>203</v>
      </c>
      <c r="O20" t="s">
        <v>173</v>
      </c>
      <c r="P20">
        <v>5.4111417377735463E-2</v>
      </c>
      <c r="Q20" t="s">
        <v>164</v>
      </c>
      <c r="S20" t="s">
        <v>226</v>
      </c>
      <c r="T20" t="s">
        <v>173</v>
      </c>
      <c r="U20">
        <v>4.5567933958110277E-2</v>
      </c>
      <c r="V20" t="s">
        <v>164</v>
      </c>
      <c r="X20">
        <v>0.12534246575342467</v>
      </c>
      <c r="Y20">
        <v>0.13032178935766436</v>
      </c>
      <c r="Z20" t="s">
        <v>173</v>
      </c>
      <c r="AA20" t="s">
        <v>25</v>
      </c>
      <c r="AC20" t="s">
        <v>22</v>
      </c>
      <c r="AD20" t="s">
        <v>173</v>
      </c>
      <c r="AE20">
        <v>0.13195296716169638</v>
      </c>
      <c r="AG20" t="s">
        <v>96</v>
      </c>
      <c r="AH20" t="s">
        <v>173</v>
      </c>
      <c r="AI20">
        <v>0.18305963174568607</v>
      </c>
      <c r="AK20">
        <v>2022</v>
      </c>
      <c r="AL20" t="s">
        <v>156</v>
      </c>
      <c r="AM20">
        <v>0.39518808273496941</v>
      </c>
      <c r="AN20" t="s">
        <v>245</v>
      </c>
    </row>
    <row r="21" spans="9:40" x14ac:dyDescent="0.45">
      <c r="I21" t="s">
        <v>162</v>
      </c>
      <c r="J21" t="s">
        <v>174</v>
      </c>
      <c r="K21">
        <v>8.7816639002650972E-3</v>
      </c>
      <c r="L21" t="s">
        <v>164</v>
      </c>
      <c r="N21" t="s">
        <v>203</v>
      </c>
      <c r="O21" t="s">
        <v>174</v>
      </c>
      <c r="P21">
        <v>9.9530987640687567E-3</v>
      </c>
      <c r="Q21" t="s">
        <v>164</v>
      </c>
      <c r="S21" t="s">
        <v>226</v>
      </c>
      <c r="T21" t="s">
        <v>174</v>
      </c>
      <c r="U21">
        <v>5.3964151101300595E-3</v>
      </c>
      <c r="V21" t="s">
        <v>164</v>
      </c>
      <c r="X21">
        <v>6.9634703196347035E-3</v>
      </c>
      <c r="Y21">
        <v>1.0514713803876726E-2</v>
      </c>
      <c r="Z21" t="s">
        <v>174</v>
      </c>
      <c r="AA21" t="s">
        <v>25</v>
      </c>
      <c r="AC21" t="s">
        <v>22</v>
      </c>
      <c r="AD21" t="s">
        <v>174</v>
      </c>
      <c r="AE21">
        <v>8.5712481804993638E-3</v>
      </c>
      <c r="AG21" t="s">
        <v>96</v>
      </c>
      <c r="AH21" t="s">
        <v>174</v>
      </c>
      <c r="AI21">
        <v>9.8551977523233525E-3</v>
      </c>
      <c r="AK21">
        <v>2022</v>
      </c>
      <c r="AL21" t="s">
        <v>158</v>
      </c>
      <c r="AM21">
        <v>0.40062098858047845</v>
      </c>
      <c r="AN21" t="s">
        <v>245</v>
      </c>
    </row>
    <row r="22" spans="9:40" x14ac:dyDescent="0.45">
      <c r="I22" t="s">
        <v>162</v>
      </c>
      <c r="J22" t="s">
        <v>175</v>
      </c>
      <c r="K22">
        <v>0</v>
      </c>
      <c r="L22" t="s">
        <v>164</v>
      </c>
      <c r="N22" t="s">
        <v>203</v>
      </c>
      <c r="O22" t="s">
        <v>175</v>
      </c>
      <c r="P22">
        <v>2.369743649629321E-2</v>
      </c>
      <c r="Q22" t="s">
        <v>164</v>
      </c>
      <c r="S22" t="s">
        <v>226</v>
      </c>
      <c r="T22" t="s">
        <v>175</v>
      </c>
      <c r="U22">
        <v>2.328741131216204E-2</v>
      </c>
      <c r="V22" t="s">
        <v>164</v>
      </c>
      <c r="X22">
        <v>3.4817351598173514E-2</v>
      </c>
      <c r="Y22">
        <v>2.6286784509691803E-2</v>
      </c>
      <c r="Z22" t="s">
        <v>175</v>
      </c>
      <c r="AA22" t="s">
        <v>25</v>
      </c>
      <c r="AC22" t="s">
        <v>22</v>
      </c>
      <c r="AD22" t="s">
        <v>175</v>
      </c>
      <c r="AE22">
        <v>2.653930189731165E-2</v>
      </c>
      <c r="AG22" t="s">
        <v>96</v>
      </c>
      <c r="AH22" t="s">
        <v>175</v>
      </c>
      <c r="AI22">
        <v>0.1721400805679465</v>
      </c>
      <c r="AK22">
        <v>2022</v>
      </c>
      <c r="AL22" t="s">
        <v>160</v>
      </c>
      <c r="AM22">
        <v>0.35764149370676002</v>
      </c>
      <c r="AN22" t="s">
        <v>245</v>
      </c>
    </row>
    <row r="23" spans="9:40" x14ac:dyDescent="0.45">
      <c r="I23" t="s">
        <v>176</v>
      </c>
      <c r="J23" t="s">
        <v>163</v>
      </c>
      <c r="K23">
        <v>9.0235947239151265E-2</v>
      </c>
      <c r="L23" t="s">
        <v>164</v>
      </c>
      <c r="N23" t="s">
        <v>204</v>
      </c>
      <c r="O23" t="s">
        <v>163</v>
      </c>
      <c r="P23">
        <v>1.2613218775419124E-2</v>
      </c>
      <c r="Q23" t="s">
        <v>164</v>
      </c>
      <c r="S23" t="s">
        <v>227</v>
      </c>
      <c r="T23" t="s">
        <v>163</v>
      </c>
      <c r="U23">
        <v>5.9730416540539441E-2</v>
      </c>
      <c r="V23" t="s">
        <v>164</v>
      </c>
      <c r="AC23" t="s">
        <v>19</v>
      </c>
      <c r="AD23" t="s">
        <v>163</v>
      </c>
      <c r="AE23">
        <v>6.3870134905405662E-2</v>
      </c>
      <c r="AK23">
        <v>2025</v>
      </c>
      <c r="AL23" t="s">
        <v>152</v>
      </c>
      <c r="AM23">
        <v>0.432</v>
      </c>
      <c r="AN23" t="s">
        <v>245</v>
      </c>
    </row>
    <row r="24" spans="9:40" x14ac:dyDescent="0.45">
      <c r="I24" t="s">
        <v>176</v>
      </c>
      <c r="J24" t="s">
        <v>165</v>
      </c>
      <c r="K24">
        <v>5.963930500691752E-3</v>
      </c>
      <c r="L24" t="s">
        <v>164</v>
      </c>
      <c r="N24" t="s">
        <v>204</v>
      </c>
      <c r="O24" t="s">
        <v>165</v>
      </c>
      <c r="P24">
        <v>1.0453940533173937E-3</v>
      </c>
      <c r="Q24" t="s">
        <v>164</v>
      </c>
      <c r="S24" t="s">
        <v>227</v>
      </c>
      <c r="T24" t="s">
        <v>165</v>
      </c>
      <c r="U24">
        <v>6.974055401066815E-3</v>
      </c>
      <c r="V24" t="s">
        <v>164</v>
      </c>
      <c r="AC24" t="s">
        <v>19</v>
      </c>
      <c r="AD24" t="s">
        <v>165</v>
      </c>
      <c r="AE24">
        <v>3.5803408670080357E-3</v>
      </c>
      <c r="AK24">
        <v>2025</v>
      </c>
      <c r="AL24" t="s">
        <v>156</v>
      </c>
      <c r="AM24">
        <v>0.35720000000000002</v>
      </c>
      <c r="AN24" t="s">
        <v>245</v>
      </c>
    </row>
    <row r="25" spans="9:40" x14ac:dyDescent="0.45">
      <c r="I25" t="s">
        <v>176</v>
      </c>
      <c r="J25" t="s">
        <v>166</v>
      </c>
      <c r="K25">
        <v>0</v>
      </c>
      <c r="L25" t="s">
        <v>164</v>
      </c>
      <c r="N25" t="s">
        <v>204</v>
      </c>
      <c r="O25" t="s">
        <v>166</v>
      </c>
      <c r="P25">
        <v>6.2636198653739711E-3</v>
      </c>
      <c r="Q25" t="s">
        <v>164</v>
      </c>
      <c r="S25" t="s">
        <v>227</v>
      </c>
      <c r="T25" t="s">
        <v>166</v>
      </c>
      <c r="U25">
        <v>2.6787453430698858E-2</v>
      </c>
      <c r="V25" t="s">
        <v>164</v>
      </c>
      <c r="AC25" t="s">
        <v>19</v>
      </c>
      <c r="AD25" t="s">
        <v>166</v>
      </c>
      <c r="AE25">
        <v>1.7487075735120018E-2</v>
      </c>
      <c r="AK25">
        <v>2025</v>
      </c>
      <c r="AL25" t="s">
        <v>158</v>
      </c>
      <c r="AM25">
        <v>0.3714142857142857</v>
      </c>
      <c r="AN25" t="s">
        <v>245</v>
      </c>
    </row>
    <row r="26" spans="9:40" x14ac:dyDescent="0.45">
      <c r="I26" t="s">
        <v>176</v>
      </c>
      <c r="J26" t="s">
        <v>167</v>
      </c>
      <c r="K26">
        <v>0.1667370754078531</v>
      </c>
      <c r="L26" t="s">
        <v>164</v>
      </c>
      <c r="N26" t="s">
        <v>204</v>
      </c>
      <c r="O26" t="s">
        <v>167</v>
      </c>
      <c r="P26">
        <v>3.4761223839876183E-2</v>
      </c>
      <c r="Q26" t="s">
        <v>164</v>
      </c>
      <c r="S26" t="s">
        <v>227</v>
      </c>
      <c r="T26" t="s">
        <v>167</v>
      </c>
      <c r="U26">
        <v>6.4444035571163932E-2</v>
      </c>
      <c r="V26" t="s">
        <v>164</v>
      </c>
      <c r="AC26" t="s">
        <v>19</v>
      </c>
      <c r="AD26" t="s">
        <v>167</v>
      </c>
      <c r="AE26">
        <v>0.12154214401298176</v>
      </c>
      <c r="AK26">
        <v>2025</v>
      </c>
      <c r="AL26" t="s">
        <v>160</v>
      </c>
      <c r="AM26">
        <v>0.4</v>
      </c>
      <c r="AN26" t="s">
        <v>245</v>
      </c>
    </row>
    <row r="27" spans="9:40" x14ac:dyDescent="0.45">
      <c r="I27" t="s">
        <v>176</v>
      </c>
      <c r="J27" t="s">
        <v>168</v>
      </c>
      <c r="K27">
        <v>1.0914039536611535E-2</v>
      </c>
      <c r="L27" t="s">
        <v>164</v>
      </c>
      <c r="N27" t="s">
        <v>204</v>
      </c>
      <c r="O27" t="s">
        <v>168</v>
      </c>
      <c r="P27">
        <v>5.2975958516202669E-3</v>
      </c>
      <c r="Q27" t="s">
        <v>164</v>
      </c>
      <c r="S27" t="s">
        <v>227</v>
      </c>
      <c r="T27" t="s">
        <v>168</v>
      </c>
      <c r="U27">
        <v>9.0549396560940902E-3</v>
      </c>
      <c r="V27" t="s">
        <v>164</v>
      </c>
      <c r="AC27" t="s">
        <v>19</v>
      </c>
      <c r="AD27" t="s">
        <v>168</v>
      </c>
      <c r="AE27">
        <v>6.8120583695169129E-3</v>
      </c>
      <c r="AK27">
        <v>2026</v>
      </c>
      <c r="AL27" t="s">
        <v>152</v>
      </c>
      <c r="AM27">
        <v>0.47899999999999998</v>
      </c>
      <c r="AN27" t="s">
        <v>245</v>
      </c>
    </row>
    <row r="28" spans="9:40" x14ac:dyDescent="0.45">
      <c r="I28" t="s">
        <v>176</v>
      </c>
      <c r="J28" t="s">
        <v>169</v>
      </c>
      <c r="K28">
        <v>0</v>
      </c>
      <c r="L28" t="s">
        <v>164</v>
      </c>
      <c r="N28" t="s">
        <v>204</v>
      </c>
      <c r="O28" t="s">
        <v>169</v>
      </c>
      <c r="P28">
        <v>3.4122675305315785E-2</v>
      </c>
      <c r="Q28" t="s">
        <v>164</v>
      </c>
      <c r="S28" t="s">
        <v>227</v>
      </c>
      <c r="T28" t="s">
        <v>169</v>
      </c>
      <c r="U28">
        <v>2.9428003846689817E-2</v>
      </c>
      <c r="V28" t="s">
        <v>164</v>
      </c>
      <c r="AC28" t="s">
        <v>19</v>
      </c>
      <c r="AD28" t="s">
        <v>169</v>
      </c>
      <c r="AE28">
        <v>3.3295462206325864E-2</v>
      </c>
      <c r="AK28">
        <v>2026</v>
      </c>
      <c r="AL28" t="s">
        <v>156</v>
      </c>
      <c r="AM28">
        <v>0.43340000000000001</v>
      </c>
      <c r="AN28" t="s">
        <v>245</v>
      </c>
    </row>
    <row r="29" spans="9:40" x14ac:dyDescent="0.45">
      <c r="I29" t="s">
        <v>176</v>
      </c>
      <c r="J29" t="s">
        <v>170</v>
      </c>
      <c r="K29">
        <v>0.51798612642373321</v>
      </c>
      <c r="L29" t="s">
        <v>164</v>
      </c>
      <c r="N29" t="s">
        <v>204</v>
      </c>
      <c r="O29" t="s">
        <v>170</v>
      </c>
      <c r="P29">
        <v>0.55068443226961716</v>
      </c>
      <c r="Q29" t="s">
        <v>164</v>
      </c>
      <c r="S29" t="s">
        <v>227</v>
      </c>
      <c r="T29" t="s">
        <v>170</v>
      </c>
      <c r="U29">
        <v>0.52057198690262241</v>
      </c>
      <c r="V29" t="s">
        <v>164</v>
      </c>
      <c r="AC29" t="s">
        <v>19</v>
      </c>
      <c r="AD29" t="s">
        <v>170</v>
      </c>
      <c r="AE29">
        <v>0.44086918948696785</v>
      </c>
      <c r="AK29">
        <v>2026</v>
      </c>
      <c r="AL29" t="s">
        <v>158</v>
      </c>
      <c r="AM29">
        <v>0.44557142857142856</v>
      </c>
      <c r="AN29" t="s">
        <v>245</v>
      </c>
    </row>
    <row r="30" spans="9:40" x14ac:dyDescent="0.45">
      <c r="I30" t="s">
        <v>176</v>
      </c>
      <c r="J30" t="s">
        <v>171</v>
      </c>
      <c r="K30">
        <v>2.8318272710571225E-2</v>
      </c>
      <c r="L30" t="s">
        <v>164</v>
      </c>
      <c r="N30" t="s">
        <v>204</v>
      </c>
      <c r="O30" t="s">
        <v>171</v>
      </c>
      <c r="P30">
        <v>5.6239869362650172E-2</v>
      </c>
      <c r="Q30" t="s">
        <v>164</v>
      </c>
      <c r="S30" t="s">
        <v>227</v>
      </c>
      <c r="T30" t="s">
        <v>171</v>
      </c>
      <c r="U30">
        <v>3.3989884264727648E-2</v>
      </c>
      <c r="V30" t="s">
        <v>164</v>
      </c>
      <c r="AC30" t="s">
        <v>19</v>
      </c>
      <c r="AD30" t="s">
        <v>171</v>
      </c>
      <c r="AE30">
        <v>2.471221939434028E-2</v>
      </c>
      <c r="AK30">
        <v>2026</v>
      </c>
      <c r="AL30" t="s">
        <v>160</v>
      </c>
      <c r="AM30">
        <v>0.47309999999999997</v>
      </c>
      <c r="AN30" t="s">
        <v>245</v>
      </c>
    </row>
    <row r="31" spans="9:40" x14ac:dyDescent="0.45">
      <c r="I31" t="s">
        <v>176</v>
      </c>
      <c r="J31" t="s">
        <v>172</v>
      </c>
      <c r="K31">
        <v>0</v>
      </c>
      <c r="L31" t="s">
        <v>164</v>
      </c>
      <c r="N31" t="s">
        <v>204</v>
      </c>
      <c r="O31" t="s">
        <v>172</v>
      </c>
      <c r="P31">
        <v>0.2605964394871762</v>
      </c>
      <c r="Q31" t="s">
        <v>164</v>
      </c>
      <c r="S31" t="s">
        <v>227</v>
      </c>
      <c r="T31" t="s">
        <v>172</v>
      </c>
      <c r="U31">
        <v>0.17573983730842332</v>
      </c>
      <c r="V31" t="s">
        <v>164</v>
      </c>
      <c r="AC31" t="s">
        <v>19</v>
      </c>
      <c r="AD31" t="s">
        <v>172</v>
      </c>
      <c r="AE31">
        <v>0.1207083818608381</v>
      </c>
      <c r="AK31">
        <v>2027</v>
      </c>
      <c r="AL31" t="s">
        <v>152</v>
      </c>
      <c r="AM31">
        <v>0.55959999999999999</v>
      </c>
      <c r="AN31" t="s">
        <v>245</v>
      </c>
    </row>
    <row r="32" spans="9:40" x14ac:dyDescent="0.45">
      <c r="I32" t="s">
        <v>176</v>
      </c>
      <c r="J32" t="s">
        <v>173</v>
      </c>
      <c r="K32">
        <v>0.17104420085526195</v>
      </c>
      <c r="L32" t="s">
        <v>164</v>
      </c>
      <c r="N32" t="s">
        <v>204</v>
      </c>
      <c r="O32" t="s">
        <v>173</v>
      </c>
      <c r="P32">
        <v>2.0619078988243507E-2</v>
      </c>
      <c r="Q32" t="s">
        <v>164</v>
      </c>
      <c r="S32" t="s">
        <v>227</v>
      </c>
      <c r="T32" t="s">
        <v>173</v>
      </c>
      <c r="U32">
        <v>4.6408234786692808E-2</v>
      </c>
      <c r="V32" t="s">
        <v>164</v>
      </c>
      <c r="AC32" t="s">
        <v>19</v>
      </c>
      <c r="AD32" t="s">
        <v>173</v>
      </c>
      <c r="AE32">
        <v>0.12568602977120738</v>
      </c>
      <c r="AK32">
        <v>2027</v>
      </c>
      <c r="AL32" t="s">
        <v>156</v>
      </c>
      <c r="AM32">
        <v>0.47370000000000001</v>
      </c>
      <c r="AN32" t="s">
        <v>245</v>
      </c>
    </row>
    <row r="33" spans="9:40" x14ac:dyDescent="0.45">
      <c r="I33" t="s">
        <v>176</v>
      </c>
      <c r="J33" t="s">
        <v>174</v>
      </c>
      <c r="K33">
        <v>8.8004073261253018E-3</v>
      </c>
      <c r="L33" t="s">
        <v>164</v>
      </c>
      <c r="N33" t="s">
        <v>204</v>
      </c>
      <c r="O33" t="s">
        <v>174</v>
      </c>
      <c r="P33">
        <v>3.4277957095496083E-3</v>
      </c>
      <c r="Q33" t="s">
        <v>164</v>
      </c>
      <c r="S33" t="s">
        <v>227</v>
      </c>
      <c r="T33" t="s">
        <v>174</v>
      </c>
      <c r="U33">
        <v>5.9675237639545808E-3</v>
      </c>
      <c r="V33" t="s">
        <v>164</v>
      </c>
      <c r="AC33" t="s">
        <v>19</v>
      </c>
      <c r="AD33" t="s">
        <v>174</v>
      </c>
      <c r="AE33">
        <v>7.0466373932159335E-3</v>
      </c>
      <c r="AK33">
        <v>2027</v>
      </c>
      <c r="AL33" t="s">
        <v>158</v>
      </c>
      <c r="AM33">
        <v>0.50291428571428576</v>
      </c>
      <c r="AN33" t="s">
        <v>245</v>
      </c>
    </row>
    <row r="34" spans="9:40" x14ac:dyDescent="0.45">
      <c r="I34" t="s">
        <v>176</v>
      </c>
      <c r="J34" t="s">
        <v>175</v>
      </c>
      <c r="K34">
        <v>0</v>
      </c>
      <c r="L34" t="s">
        <v>164</v>
      </c>
      <c r="N34" t="s">
        <v>204</v>
      </c>
      <c r="O34" t="s">
        <v>175</v>
      </c>
      <c r="P34">
        <v>1.4328656491842211E-2</v>
      </c>
      <c r="Q34" t="s">
        <v>164</v>
      </c>
      <c r="S34" t="s">
        <v>227</v>
      </c>
      <c r="T34" t="s">
        <v>175</v>
      </c>
      <c r="U34">
        <v>2.0903628527328928E-2</v>
      </c>
      <c r="V34" t="s">
        <v>164</v>
      </c>
      <c r="AC34" t="s">
        <v>19</v>
      </c>
      <c r="AD34" t="s">
        <v>175</v>
      </c>
      <c r="AE34">
        <v>3.4390325997072209E-2</v>
      </c>
      <c r="AK34">
        <v>2027</v>
      </c>
      <c r="AL34" t="s">
        <v>160</v>
      </c>
      <c r="AM34">
        <v>0.52364999999999995</v>
      </c>
      <c r="AN34" t="s">
        <v>245</v>
      </c>
    </row>
    <row r="35" spans="9:40" x14ac:dyDescent="0.45">
      <c r="I35" t="s">
        <v>177</v>
      </c>
      <c r="J35" t="s">
        <v>163</v>
      </c>
      <c r="K35">
        <v>9.3522991600819852E-2</v>
      </c>
      <c r="L35" t="s">
        <v>164</v>
      </c>
      <c r="N35" t="s">
        <v>205</v>
      </c>
      <c r="O35" t="s">
        <v>163</v>
      </c>
      <c r="P35">
        <v>4.9571988545498588E-2</v>
      </c>
      <c r="Q35" t="s">
        <v>164</v>
      </c>
      <c r="S35" t="s">
        <v>228</v>
      </c>
      <c r="T35" t="s">
        <v>163</v>
      </c>
      <c r="U35">
        <v>4.3112434936711352E-2</v>
      </c>
      <c r="V35" t="s">
        <v>164</v>
      </c>
      <c r="AK35">
        <v>2028</v>
      </c>
      <c r="AL35" t="s">
        <v>152</v>
      </c>
      <c r="AM35">
        <v>0.58360000000000001</v>
      </c>
      <c r="AN35" t="s">
        <v>245</v>
      </c>
    </row>
    <row r="36" spans="9:40" x14ac:dyDescent="0.45">
      <c r="I36" t="s">
        <v>177</v>
      </c>
      <c r="J36" t="s">
        <v>165</v>
      </c>
      <c r="K36">
        <v>3.0153021587973209E-3</v>
      </c>
      <c r="L36" t="s">
        <v>164</v>
      </c>
      <c r="N36" t="s">
        <v>205</v>
      </c>
      <c r="O36" t="s">
        <v>165</v>
      </c>
      <c r="P36">
        <v>5.5408486811506742E-3</v>
      </c>
      <c r="Q36" t="s">
        <v>164</v>
      </c>
      <c r="S36" t="s">
        <v>228</v>
      </c>
      <c r="T36" t="s">
        <v>165</v>
      </c>
      <c r="U36">
        <v>5.1384215216308095E-3</v>
      </c>
      <c r="V36" t="s">
        <v>164</v>
      </c>
      <c r="AK36">
        <v>2028</v>
      </c>
      <c r="AL36" t="s">
        <v>156</v>
      </c>
      <c r="AM36">
        <v>0.44505</v>
      </c>
      <c r="AN36" t="s">
        <v>245</v>
      </c>
    </row>
    <row r="37" spans="9:40" x14ac:dyDescent="0.45">
      <c r="I37" t="s">
        <v>177</v>
      </c>
      <c r="J37" t="s">
        <v>166</v>
      </c>
      <c r="K37">
        <v>0</v>
      </c>
      <c r="L37" t="s">
        <v>164</v>
      </c>
      <c r="N37" t="s">
        <v>205</v>
      </c>
      <c r="O37" t="s">
        <v>166</v>
      </c>
      <c r="P37">
        <v>2.3658127720550804E-2</v>
      </c>
      <c r="Q37" t="s">
        <v>164</v>
      </c>
      <c r="S37" t="s">
        <v>228</v>
      </c>
      <c r="T37" t="s">
        <v>166</v>
      </c>
      <c r="U37">
        <v>2.2108461727793176E-2</v>
      </c>
      <c r="V37" t="s">
        <v>164</v>
      </c>
      <c r="AK37">
        <v>2028</v>
      </c>
      <c r="AL37" t="s">
        <v>158</v>
      </c>
      <c r="AM37">
        <v>0.51547142857142858</v>
      </c>
      <c r="AN37" t="s">
        <v>245</v>
      </c>
    </row>
    <row r="38" spans="9:40" x14ac:dyDescent="0.45">
      <c r="I38" t="s">
        <v>177</v>
      </c>
      <c r="J38" t="s">
        <v>167</v>
      </c>
      <c r="K38">
        <v>0.16864842648891362</v>
      </c>
      <c r="L38" t="s">
        <v>164</v>
      </c>
      <c r="N38" t="s">
        <v>205</v>
      </c>
      <c r="O38" t="s">
        <v>167</v>
      </c>
      <c r="P38">
        <v>5.8017151415161131E-2</v>
      </c>
      <c r="Q38" t="s">
        <v>164</v>
      </c>
      <c r="S38" t="s">
        <v>228</v>
      </c>
      <c r="T38" t="s">
        <v>167</v>
      </c>
      <c r="U38">
        <v>4.8681095436008251E-2</v>
      </c>
      <c r="V38" t="s">
        <v>164</v>
      </c>
      <c r="AK38">
        <v>2028</v>
      </c>
      <c r="AL38" t="s">
        <v>160</v>
      </c>
      <c r="AM38">
        <v>0.51844999999999997</v>
      </c>
      <c r="AN38" t="s">
        <v>245</v>
      </c>
    </row>
    <row r="39" spans="9:40" x14ac:dyDescent="0.45">
      <c r="I39" t="s">
        <v>177</v>
      </c>
      <c r="J39" t="s">
        <v>168</v>
      </c>
      <c r="K39">
        <v>6.0771297700779117E-3</v>
      </c>
      <c r="L39" t="s">
        <v>164</v>
      </c>
      <c r="N39" t="s">
        <v>205</v>
      </c>
      <c r="O39" t="s">
        <v>168</v>
      </c>
      <c r="P39">
        <v>7.5160638255807781E-3</v>
      </c>
      <c r="Q39" t="s">
        <v>164</v>
      </c>
      <c r="S39" t="s">
        <v>228</v>
      </c>
      <c r="T39" t="s">
        <v>168</v>
      </c>
      <c r="U39">
        <v>6.7575969689768894E-3</v>
      </c>
      <c r="V39" t="s">
        <v>164</v>
      </c>
      <c r="AK39">
        <v>2029</v>
      </c>
      <c r="AL39" t="s">
        <v>152</v>
      </c>
      <c r="AM39">
        <v>0.50649999999999995</v>
      </c>
      <c r="AN39" t="s">
        <v>245</v>
      </c>
    </row>
    <row r="40" spans="9:40" x14ac:dyDescent="0.45">
      <c r="I40" t="s">
        <v>177</v>
      </c>
      <c r="J40" t="s">
        <v>169</v>
      </c>
      <c r="K40">
        <v>0</v>
      </c>
      <c r="L40" t="s">
        <v>164</v>
      </c>
      <c r="N40" t="s">
        <v>205</v>
      </c>
      <c r="O40" t="s">
        <v>169</v>
      </c>
      <c r="P40">
        <v>2.8879442167993638E-2</v>
      </c>
      <c r="Q40" t="s">
        <v>164</v>
      </c>
      <c r="S40" t="s">
        <v>228</v>
      </c>
      <c r="T40" t="s">
        <v>169</v>
      </c>
      <c r="U40">
        <v>2.5416730051025894E-2</v>
      </c>
      <c r="V40" t="s">
        <v>164</v>
      </c>
      <c r="AK40">
        <v>2029</v>
      </c>
      <c r="AL40" t="s">
        <v>156</v>
      </c>
      <c r="AM40">
        <v>0.48714999999999997</v>
      </c>
      <c r="AN40" t="s">
        <v>245</v>
      </c>
    </row>
    <row r="41" spans="9:40" x14ac:dyDescent="0.45">
      <c r="I41" t="s">
        <v>177</v>
      </c>
      <c r="J41" t="s">
        <v>170</v>
      </c>
      <c r="K41">
        <v>0.54265673062861675</v>
      </c>
      <c r="L41" t="s">
        <v>164</v>
      </c>
      <c r="N41" t="s">
        <v>205</v>
      </c>
      <c r="O41" t="s">
        <v>170</v>
      </c>
      <c r="P41">
        <v>0.5406836192131973</v>
      </c>
      <c r="Q41" t="s">
        <v>164</v>
      </c>
      <c r="S41" t="s">
        <v>228</v>
      </c>
      <c r="T41" t="s">
        <v>170</v>
      </c>
      <c r="U41">
        <v>0.55832360923185942</v>
      </c>
      <c r="V41" t="s">
        <v>164</v>
      </c>
      <c r="AK41">
        <v>2029</v>
      </c>
      <c r="AL41" t="s">
        <v>158</v>
      </c>
      <c r="AM41">
        <v>0.51167142857142855</v>
      </c>
      <c r="AN41" t="s">
        <v>245</v>
      </c>
    </row>
    <row r="42" spans="9:40" x14ac:dyDescent="0.45">
      <c r="I42" t="s">
        <v>177</v>
      </c>
      <c r="J42" t="s">
        <v>171</v>
      </c>
      <c r="K42">
        <v>9.7579507907224645E-3</v>
      </c>
      <c r="L42" t="s">
        <v>164</v>
      </c>
      <c r="N42" t="s">
        <v>205</v>
      </c>
      <c r="O42" t="s">
        <v>171</v>
      </c>
      <c r="P42">
        <v>3.6168843425740449E-2</v>
      </c>
      <c r="Q42" t="s">
        <v>164</v>
      </c>
      <c r="S42" t="s">
        <v>228</v>
      </c>
      <c r="T42" t="s">
        <v>171</v>
      </c>
      <c r="U42">
        <v>3.8180633383364186E-2</v>
      </c>
      <c r="V42" t="s">
        <v>164</v>
      </c>
      <c r="AK42">
        <v>2029</v>
      </c>
      <c r="AL42" t="s">
        <v>160</v>
      </c>
      <c r="AM42">
        <v>0.57304999999999995</v>
      </c>
      <c r="AN42" t="s">
        <v>245</v>
      </c>
    </row>
    <row r="43" spans="9:40" x14ac:dyDescent="0.45">
      <c r="I43" t="s">
        <v>177</v>
      </c>
      <c r="J43" t="s">
        <v>172</v>
      </c>
      <c r="K43">
        <v>0</v>
      </c>
      <c r="L43" t="s">
        <v>164</v>
      </c>
      <c r="N43" t="s">
        <v>205</v>
      </c>
      <c r="O43" t="s">
        <v>172</v>
      </c>
      <c r="P43">
        <v>0.1784191088912607</v>
      </c>
      <c r="Q43" t="s">
        <v>164</v>
      </c>
      <c r="S43" t="s">
        <v>228</v>
      </c>
      <c r="T43" t="s">
        <v>172</v>
      </c>
      <c r="U43">
        <v>0.19072106235961903</v>
      </c>
      <c r="V43" t="s">
        <v>164</v>
      </c>
      <c r="AK43">
        <v>2030</v>
      </c>
      <c r="AL43" t="s">
        <v>152</v>
      </c>
      <c r="AM43">
        <v>0.5393</v>
      </c>
      <c r="AN43" t="s">
        <v>245</v>
      </c>
    </row>
    <row r="44" spans="9:40" x14ac:dyDescent="0.45">
      <c r="I44" t="s">
        <v>177</v>
      </c>
      <c r="J44" t="s">
        <v>173</v>
      </c>
      <c r="K44">
        <v>0.17632146856205203</v>
      </c>
      <c r="L44" t="s">
        <v>164</v>
      </c>
      <c r="N44" t="s">
        <v>205</v>
      </c>
      <c r="O44" t="s">
        <v>173</v>
      </c>
      <c r="P44">
        <v>4.5063626631253073E-2</v>
      </c>
      <c r="Q44" t="s">
        <v>164</v>
      </c>
      <c r="S44" t="s">
        <v>228</v>
      </c>
      <c r="T44" t="s">
        <v>173</v>
      </c>
      <c r="U44">
        <v>3.8240176247461018E-2</v>
      </c>
      <c r="V44" t="s">
        <v>164</v>
      </c>
      <c r="AK44">
        <v>2030</v>
      </c>
      <c r="AL44" t="s">
        <v>156</v>
      </c>
      <c r="AM44">
        <v>0.5</v>
      </c>
      <c r="AN44" t="s">
        <v>245</v>
      </c>
    </row>
    <row r="45" spans="9:40" x14ac:dyDescent="0.45">
      <c r="I45" t="s">
        <v>177</v>
      </c>
      <c r="J45" t="s">
        <v>174</v>
      </c>
      <c r="K45">
        <v>0</v>
      </c>
      <c r="L45" t="s">
        <v>164</v>
      </c>
      <c r="N45" t="s">
        <v>205</v>
      </c>
      <c r="O45" t="s">
        <v>174</v>
      </c>
      <c r="P45">
        <v>5.3260980264595494E-3</v>
      </c>
      <c r="Q45" t="s">
        <v>164</v>
      </c>
      <c r="S45" t="s">
        <v>228</v>
      </c>
      <c r="T45" t="s">
        <v>174</v>
      </c>
      <c r="U45">
        <v>4.8661273136362372E-3</v>
      </c>
      <c r="V45" t="s">
        <v>164</v>
      </c>
      <c r="AK45">
        <v>2030</v>
      </c>
      <c r="AL45" t="s">
        <v>158</v>
      </c>
      <c r="AM45">
        <v>0.49820000000000003</v>
      </c>
      <c r="AN45" t="s">
        <v>245</v>
      </c>
    </row>
    <row r="46" spans="9:40" x14ac:dyDescent="0.45">
      <c r="I46" t="s">
        <v>177</v>
      </c>
      <c r="J46" t="s">
        <v>175</v>
      </c>
      <c r="K46">
        <v>0</v>
      </c>
      <c r="L46" t="s">
        <v>164</v>
      </c>
      <c r="N46" t="s">
        <v>205</v>
      </c>
      <c r="O46" t="s">
        <v>175</v>
      </c>
      <c r="P46">
        <v>2.115508145615214E-2</v>
      </c>
      <c r="Q46" t="s">
        <v>164</v>
      </c>
      <c r="S46" t="s">
        <v>228</v>
      </c>
      <c r="T46" t="s">
        <v>175</v>
      </c>
      <c r="U46">
        <v>1.8453650821913872E-2</v>
      </c>
      <c r="V46" t="s">
        <v>164</v>
      </c>
      <c r="AK46">
        <v>2030</v>
      </c>
      <c r="AL46" t="s">
        <v>160</v>
      </c>
      <c r="AM46">
        <v>0.61504999999999999</v>
      </c>
      <c r="AN46" t="s">
        <v>245</v>
      </c>
    </row>
    <row r="47" spans="9:40" x14ac:dyDescent="0.45">
      <c r="I47" t="s">
        <v>178</v>
      </c>
      <c r="J47" t="s">
        <v>163</v>
      </c>
      <c r="K47">
        <v>9.1178146568009794E-2</v>
      </c>
      <c r="L47" t="s">
        <v>164</v>
      </c>
      <c r="N47" t="s">
        <v>206</v>
      </c>
      <c r="O47" t="s">
        <v>163</v>
      </c>
      <c r="P47">
        <v>1.3353443588146933E-2</v>
      </c>
      <c r="Q47" t="s">
        <v>164</v>
      </c>
      <c r="S47" t="s">
        <v>229</v>
      </c>
      <c r="T47" t="s">
        <v>163</v>
      </c>
      <c r="U47">
        <v>3.4274046436785957E-2</v>
      </c>
      <c r="V47" t="s">
        <v>164</v>
      </c>
      <c r="AK47">
        <v>2031</v>
      </c>
      <c r="AL47" t="s">
        <v>152</v>
      </c>
      <c r="AM47">
        <v>0.50139999999999996</v>
      </c>
      <c r="AN47" t="s">
        <v>245</v>
      </c>
    </row>
    <row r="48" spans="9:40" x14ac:dyDescent="0.45">
      <c r="I48" t="s">
        <v>178</v>
      </c>
      <c r="J48" t="s">
        <v>165</v>
      </c>
      <c r="K48">
        <v>3.8759946631941023E-3</v>
      </c>
      <c r="L48" t="s">
        <v>164</v>
      </c>
      <c r="N48" t="s">
        <v>206</v>
      </c>
      <c r="O48" t="s">
        <v>165</v>
      </c>
      <c r="P48">
        <v>3.0109119552780982E-3</v>
      </c>
      <c r="Q48" t="s">
        <v>164</v>
      </c>
      <c r="S48" t="s">
        <v>229</v>
      </c>
      <c r="T48" t="s">
        <v>165</v>
      </c>
      <c r="U48">
        <v>5.3032715788913307E-3</v>
      </c>
      <c r="V48" t="s">
        <v>164</v>
      </c>
      <c r="AK48">
        <v>2031</v>
      </c>
      <c r="AL48" t="s">
        <v>156</v>
      </c>
      <c r="AM48">
        <v>0.40554999999999997</v>
      </c>
      <c r="AN48" t="s">
        <v>245</v>
      </c>
    </row>
    <row r="49" spans="9:40" x14ac:dyDescent="0.45">
      <c r="I49" t="s">
        <v>178</v>
      </c>
      <c r="J49" t="s">
        <v>166</v>
      </c>
      <c r="K49">
        <v>0</v>
      </c>
      <c r="L49" t="s">
        <v>164</v>
      </c>
      <c r="N49" t="s">
        <v>206</v>
      </c>
      <c r="O49" t="s">
        <v>166</v>
      </c>
      <c r="P49">
        <v>1.6544657016734327E-2</v>
      </c>
      <c r="Q49" t="s">
        <v>164</v>
      </c>
      <c r="S49" t="s">
        <v>229</v>
      </c>
      <c r="T49" t="s">
        <v>166</v>
      </c>
      <c r="U49">
        <v>2.2669676296310587E-2</v>
      </c>
      <c r="V49" t="s">
        <v>164</v>
      </c>
      <c r="AK49">
        <v>2031</v>
      </c>
      <c r="AL49" t="s">
        <v>158</v>
      </c>
      <c r="AM49">
        <v>0.43618571428571429</v>
      </c>
      <c r="AN49" t="s">
        <v>245</v>
      </c>
    </row>
    <row r="50" spans="9:40" x14ac:dyDescent="0.45">
      <c r="I50" t="s">
        <v>178</v>
      </c>
      <c r="J50" t="s">
        <v>167</v>
      </c>
      <c r="K50">
        <v>0.16586032430800721</v>
      </c>
      <c r="L50" t="s">
        <v>164</v>
      </c>
      <c r="N50" t="s">
        <v>206</v>
      </c>
      <c r="O50" t="s">
        <v>167</v>
      </c>
      <c r="P50">
        <v>3.1815906739411239E-2</v>
      </c>
      <c r="Q50" t="s">
        <v>164</v>
      </c>
      <c r="S50" t="s">
        <v>229</v>
      </c>
      <c r="T50" t="s">
        <v>167</v>
      </c>
      <c r="U50">
        <v>4.5482211997994224E-2</v>
      </c>
      <c r="V50" t="s">
        <v>164</v>
      </c>
      <c r="AK50">
        <v>2031</v>
      </c>
      <c r="AL50" t="s">
        <v>160</v>
      </c>
      <c r="AM50">
        <v>0.49709999999999999</v>
      </c>
      <c r="AN50" t="s">
        <v>245</v>
      </c>
    </row>
    <row r="51" spans="9:40" x14ac:dyDescent="0.45">
      <c r="I51" t="s">
        <v>178</v>
      </c>
      <c r="J51" t="s">
        <v>168</v>
      </c>
      <c r="K51">
        <v>6.335016126236161E-3</v>
      </c>
      <c r="L51" t="s">
        <v>164</v>
      </c>
      <c r="N51" t="s">
        <v>206</v>
      </c>
      <c r="O51" t="s">
        <v>168</v>
      </c>
      <c r="P51">
        <v>8.4047612226009153E-3</v>
      </c>
      <c r="Q51" t="s">
        <v>164</v>
      </c>
      <c r="S51" t="s">
        <v>229</v>
      </c>
      <c r="T51" t="s">
        <v>168</v>
      </c>
      <c r="U51">
        <v>7.3807860053299729E-3</v>
      </c>
      <c r="V51" t="s">
        <v>164</v>
      </c>
      <c r="AK51">
        <v>2032</v>
      </c>
      <c r="AL51" t="s">
        <v>152</v>
      </c>
      <c r="AM51">
        <v>0.4763</v>
      </c>
      <c r="AN51" t="s">
        <v>245</v>
      </c>
    </row>
    <row r="52" spans="9:40" x14ac:dyDescent="0.45">
      <c r="I52" t="s">
        <v>178</v>
      </c>
      <c r="J52" t="s">
        <v>169</v>
      </c>
      <c r="K52">
        <v>0</v>
      </c>
      <c r="L52" t="s">
        <v>164</v>
      </c>
      <c r="N52" t="s">
        <v>206</v>
      </c>
      <c r="O52" t="s">
        <v>169</v>
      </c>
      <c r="P52">
        <v>3.5199815243649756E-2</v>
      </c>
      <c r="Q52" t="s">
        <v>164</v>
      </c>
      <c r="S52" t="s">
        <v>229</v>
      </c>
      <c r="T52" t="s">
        <v>169</v>
      </c>
      <c r="U52">
        <v>2.8658412883548975E-2</v>
      </c>
      <c r="V52" t="s">
        <v>164</v>
      </c>
      <c r="AK52">
        <v>2032</v>
      </c>
      <c r="AL52" t="s">
        <v>156</v>
      </c>
      <c r="AM52">
        <v>0.40095000000000003</v>
      </c>
      <c r="AN52" t="s">
        <v>245</v>
      </c>
    </row>
    <row r="53" spans="9:40" x14ac:dyDescent="0.45">
      <c r="I53" t="s">
        <v>178</v>
      </c>
      <c r="J53" t="s">
        <v>170</v>
      </c>
      <c r="K53">
        <v>0.54532110799880673</v>
      </c>
      <c r="L53" t="s">
        <v>164</v>
      </c>
      <c r="N53" t="s">
        <v>206</v>
      </c>
      <c r="O53" t="s">
        <v>170</v>
      </c>
      <c r="P53">
        <v>0.57959574859994845</v>
      </c>
      <c r="Q53" t="s">
        <v>164</v>
      </c>
      <c r="S53" t="s">
        <v>229</v>
      </c>
      <c r="T53" t="s">
        <v>170</v>
      </c>
      <c r="U53">
        <v>0.56422235798410003</v>
      </c>
      <c r="V53" t="s">
        <v>164</v>
      </c>
      <c r="AK53">
        <v>2032</v>
      </c>
      <c r="AL53" t="s">
        <v>158</v>
      </c>
      <c r="AM53">
        <v>0.44098571428571426</v>
      </c>
      <c r="AN53" t="s">
        <v>245</v>
      </c>
    </row>
    <row r="54" spans="9:40" x14ac:dyDescent="0.45">
      <c r="I54" t="s">
        <v>178</v>
      </c>
      <c r="J54" t="s">
        <v>171</v>
      </c>
      <c r="K54">
        <v>1.4269641478577642E-2</v>
      </c>
      <c r="L54" t="s">
        <v>164</v>
      </c>
      <c r="N54" t="s">
        <v>206</v>
      </c>
      <c r="O54" t="s">
        <v>171</v>
      </c>
      <c r="P54">
        <v>5.4863981018749869E-2</v>
      </c>
      <c r="Q54" t="s">
        <v>164</v>
      </c>
      <c r="S54" t="s">
        <v>229</v>
      </c>
      <c r="T54" t="s">
        <v>171</v>
      </c>
      <c r="U54">
        <v>3.9078569497844232E-2</v>
      </c>
      <c r="V54" t="s">
        <v>164</v>
      </c>
      <c r="AK54">
        <v>2032</v>
      </c>
      <c r="AL54" t="s">
        <v>160</v>
      </c>
      <c r="AM54">
        <v>0.51394999999999991</v>
      </c>
      <c r="AN54" t="s">
        <v>245</v>
      </c>
    </row>
    <row r="55" spans="9:40" x14ac:dyDescent="0.45">
      <c r="I55" t="s">
        <v>178</v>
      </c>
      <c r="J55" t="s">
        <v>172</v>
      </c>
      <c r="K55">
        <v>0</v>
      </c>
      <c r="L55" t="s">
        <v>164</v>
      </c>
      <c r="N55" t="s">
        <v>206</v>
      </c>
      <c r="O55" t="s">
        <v>172</v>
      </c>
      <c r="P55">
        <v>0.21037820525614404</v>
      </c>
      <c r="Q55" t="s">
        <v>164</v>
      </c>
      <c r="S55" t="s">
        <v>229</v>
      </c>
      <c r="T55" t="s">
        <v>172</v>
      </c>
      <c r="U55">
        <v>0.19286435273569413</v>
      </c>
      <c r="V55" t="s">
        <v>164</v>
      </c>
      <c r="AK55">
        <v>2033</v>
      </c>
      <c r="AL55" t="s">
        <v>152</v>
      </c>
      <c r="AM55">
        <v>0.44779999999999998</v>
      </c>
      <c r="AN55" t="s">
        <v>245</v>
      </c>
    </row>
    <row r="56" spans="9:40" x14ac:dyDescent="0.45">
      <c r="I56" t="s">
        <v>178</v>
      </c>
      <c r="J56" t="s">
        <v>173</v>
      </c>
      <c r="K56">
        <v>0.17246415159262021</v>
      </c>
      <c r="L56" t="s">
        <v>164</v>
      </c>
      <c r="N56" t="s">
        <v>206</v>
      </c>
      <c r="O56" t="s">
        <v>173</v>
      </c>
      <c r="P56">
        <v>2.2993379060911871E-2</v>
      </c>
      <c r="Q56" t="s">
        <v>164</v>
      </c>
      <c r="S56" t="s">
        <v>229</v>
      </c>
      <c r="T56" t="s">
        <v>173</v>
      </c>
      <c r="U56">
        <v>3.3876257385564698E-2</v>
      </c>
      <c r="V56" t="s">
        <v>164</v>
      </c>
      <c r="AK56">
        <v>2033</v>
      </c>
      <c r="AL56" t="s">
        <v>156</v>
      </c>
      <c r="AM56">
        <v>0.42720000000000002</v>
      </c>
      <c r="AN56" t="s">
        <v>245</v>
      </c>
    </row>
    <row r="57" spans="9:40" x14ac:dyDescent="0.45">
      <c r="I57" t="s">
        <v>178</v>
      </c>
      <c r="J57" t="s">
        <v>174</v>
      </c>
      <c r="K57">
        <v>6.9561726454816294E-4</v>
      </c>
      <c r="L57" t="s">
        <v>164</v>
      </c>
      <c r="N57" t="s">
        <v>206</v>
      </c>
      <c r="O57" t="s">
        <v>174</v>
      </c>
      <c r="P57">
        <v>5.2808339859804028E-3</v>
      </c>
      <c r="Q57" t="s">
        <v>164</v>
      </c>
      <c r="S57" t="s">
        <v>229</v>
      </c>
      <c r="T57" t="s">
        <v>174</v>
      </c>
      <c r="U57">
        <v>5.2540694968559801E-3</v>
      </c>
      <c r="V57" t="s">
        <v>164</v>
      </c>
      <c r="AK57">
        <v>2033</v>
      </c>
      <c r="AL57" t="s">
        <v>158</v>
      </c>
      <c r="AM57">
        <v>0.43954285714285712</v>
      </c>
      <c r="AN57" t="s">
        <v>245</v>
      </c>
    </row>
    <row r="58" spans="9:40" x14ac:dyDescent="0.45">
      <c r="I58" t="s">
        <v>178</v>
      </c>
      <c r="J58" t="s">
        <v>175</v>
      </c>
      <c r="K58">
        <v>0</v>
      </c>
      <c r="L58" t="s">
        <v>164</v>
      </c>
      <c r="N58" t="s">
        <v>206</v>
      </c>
      <c r="O58" t="s">
        <v>175</v>
      </c>
      <c r="P58">
        <v>1.8558356312443895E-2</v>
      </c>
      <c r="Q58" t="s">
        <v>164</v>
      </c>
      <c r="S58" t="s">
        <v>229</v>
      </c>
      <c r="T58" t="s">
        <v>175</v>
      </c>
      <c r="U58">
        <v>2.0935987701076048E-2</v>
      </c>
      <c r="V58" t="s">
        <v>164</v>
      </c>
      <c r="AK58">
        <v>2033</v>
      </c>
      <c r="AL58" t="s">
        <v>160</v>
      </c>
      <c r="AM58">
        <v>0.49225000000000002</v>
      </c>
      <c r="AN58" t="s">
        <v>245</v>
      </c>
    </row>
    <row r="59" spans="9:40" x14ac:dyDescent="0.45">
      <c r="I59" t="s">
        <v>179</v>
      </c>
      <c r="J59" t="s">
        <v>163</v>
      </c>
      <c r="K59">
        <v>9.5474439433243435E-2</v>
      </c>
      <c r="L59" t="s">
        <v>164</v>
      </c>
      <c r="N59" t="s">
        <v>207</v>
      </c>
      <c r="O59" t="s">
        <v>163</v>
      </c>
      <c r="P59">
        <v>3.2385339563970099E-2</v>
      </c>
      <c r="Q59" t="s">
        <v>164</v>
      </c>
      <c r="S59" t="s">
        <v>230</v>
      </c>
      <c r="T59" t="s">
        <v>163</v>
      </c>
      <c r="U59">
        <v>5.1295425389250172E-2</v>
      </c>
      <c r="V59" t="s">
        <v>164</v>
      </c>
      <c r="AK59">
        <v>2034</v>
      </c>
      <c r="AL59" t="s">
        <v>152</v>
      </c>
      <c r="AM59">
        <v>0.4698</v>
      </c>
      <c r="AN59" t="s">
        <v>245</v>
      </c>
    </row>
    <row r="60" spans="9:40" x14ac:dyDescent="0.45">
      <c r="I60" t="s">
        <v>179</v>
      </c>
      <c r="J60" t="s">
        <v>165</v>
      </c>
      <c r="K60">
        <v>3.7370381214102823E-3</v>
      </c>
      <c r="L60" t="s">
        <v>164</v>
      </c>
      <c r="N60" t="s">
        <v>207</v>
      </c>
      <c r="O60" t="s">
        <v>165</v>
      </c>
      <c r="P60">
        <v>5.0606299044759885E-3</v>
      </c>
      <c r="Q60" t="s">
        <v>164</v>
      </c>
      <c r="S60" t="s">
        <v>230</v>
      </c>
      <c r="T60" t="s">
        <v>165</v>
      </c>
      <c r="U60">
        <v>6.2374983806388791E-3</v>
      </c>
      <c r="V60" t="s">
        <v>164</v>
      </c>
      <c r="AK60">
        <v>2034</v>
      </c>
      <c r="AL60" t="s">
        <v>156</v>
      </c>
      <c r="AM60">
        <v>0.42699999999999999</v>
      </c>
      <c r="AN60" t="s">
        <v>245</v>
      </c>
    </row>
    <row r="61" spans="9:40" x14ac:dyDescent="0.45">
      <c r="I61" t="s">
        <v>179</v>
      </c>
      <c r="J61" t="s">
        <v>166</v>
      </c>
      <c r="K61">
        <v>0</v>
      </c>
      <c r="L61" t="s">
        <v>164</v>
      </c>
      <c r="N61" t="s">
        <v>207</v>
      </c>
      <c r="O61" t="s">
        <v>166</v>
      </c>
      <c r="P61">
        <v>2.5836474690710893E-2</v>
      </c>
      <c r="Q61" t="s">
        <v>164</v>
      </c>
      <c r="S61" t="s">
        <v>230</v>
      </c>
      <c r="T61" t="s">
        <v>166</v>
      </c>
      <c r="U61">
        <v>2.6261022596790584E-2</v>
      </c>
      <c r="V61" t="s">
        <v>164</v>
      </c>
      <c r="AK61">
        <v>2034</v>
      </c>
      <c r="AL61" t="s">
        <v>158</v>
      </c>
      <c r="AM61">
        <v>0.43405714285714286</v>
      </c>
      <c r="AN61" t="s">
        <v>245</v>
      </c>
    </row>
    <row r="62" spans="9:40" x14ac:dyDescent="0.45">
      <c r="I62" t="s">
        <v>179</v>
      </c>
      <c r="J62" t="s">
        <v>167</v>
      </c>
      <c r="K62">
        <v>0.17349401557050201</v>
      </c>
      <c r="L62" t="s">
        <v>164</v>
      </c>
      <c r="N62" t="s">
        <v>207</v>
      </c>
      <c r="O62" t="s">
        <v>167</v>
      </c>
      <c r="P62">
        <v>4.3749509272126244E-2</v>
      </c>
      <c r="Q62" t="s">
        <v>164</v>
      </c>
      <c r="S62" t="s">
        <v>230</v>
      </c>
      <c r="T62" t="s">
        <v>167</v>
      </c>
      <c r="U62">
        <v>6.3016522710266143E-2</v>
      </c>
      <c r="V62" t="s">
        <v>164</v>
      </c>
      <c r="AK62">
        <v>2034</v>
      </c>
      <c r="AL62" t="s">
        <v>160</v>
      </c>
      <c r="AM62">
        <v>0.48735000000000001</v>
      </c>
      <c r="AN62" t="s">
        <v>245</v>
      </c>
    </row>
    <row r="63" spans="9:40" x14ac:dyDescent="0.45">
      <c r="I63" t="s">
        <v>179</v>
      </c>
      <c r="J63" t="s">
        <v>168</v>
      </c>
      <c r="K63">
        <v>7.512161590890778E-3</v>
      </c>
      <c r="L63" t="s">
        <v>164</v>
      </c>
      <c r="N63" t="s">
        <v>207</v>
      </c>
      <c r="O63" t="s">
        <v>168</v>
      </c>
      <c r="P63">
        <v>9.1351640700925909E-3</v>
      </c>
      <c r="Q63" t="s">
        <v>164</v>
      </c>
      <c r="S63" t="s">
        <v>230</v>
      </c>
      <c r="T63" t="s">
        <v>168</v>
      </c>
      <c r="U63">
        <v>7.7500387284316075E-3</v>
      </c>
      <c r="V63" t="s">
        <v>164</v>
      </c>
      <c r="AK63">
        <v>2035</v>
      </c>
      <c r="AL63" t="s">
        <v>152</v>
      </c>
      <c r="AM63">
        <v>0.41949999999999998</v>
      </c>
      <c r="AN63" t="s">
        <v>245</v>
      </c>
    </row>
    <row r="64" spans="9:40" x14ac:dyDescent="0.45">
      <c r="I64" t="s">
        <v>179</v>
      </c>
      <c r="J64" t="s">
        <v>169</v>
      </c>
      <c r="K64">
        <v>0</v>
      </c>
      <c r="L64" t="s">
        <v>164</v>
      </c>
      <c r="N64" t="s">
        <v>207</v>
      </c>
      <c r="O64" t="s">
        <v>169</v>
      </c>
      <c r="P64">
        <v>4.0685163859358206E-2</v>
      </c>
      <c r="Q64" t="s">
        <v>164</v>
      </c>
      <c r="S64" t="s">
        <v>230</v>
      </c>
      <c r="T64" t="s">
        <v>169</v>
      </c>
      <c r="U64">
        <v>3.1748243542400745E-2</v>
      </c>
      <c r="V64" t="s">
        <v>164</v>
      </c>
      <c r="AK64">
        <v>2035</v>
      </c>
      <c r="AL64" t="s">
        <v>156</v>
      </c>
      <c r="AM64">
        <v>0.4022</v>
      </c>
      <c r="AN64" t="s">
        <v>245</v>
      </c>
    </row>
    <row r="65" spans="9:40" x14ac:dyDescent="0.45">
      <c r="I65" t="s">
        <v>179</v>
      </c>
      <c r="J65" t="s">
        <v>170</v>
      </c>
      <c r="K65">
        <v>0.53880541383572433</v>
      </c>
      <c r="L65" t="s">
        <v>164</v>
      </c>
      <c r="N65" t="s">
        <v>207</v>
      </c>
      <c r="O65" t="s">
        <v>170</v>
      </c>
      <c r="P65">
        <v>0.56164509718114586</v>
      </c>
      <c r="Q65" t="s">
        <v>164</v>
      </c>
      <c r="S65" t="s">
        <v>230</v>
      </c>
      <c r="T65" t="s">
        <v>170</v>
      </c>
      <c r="U65">
        <v>0.52886532609653403</v>
      </c>
      <c r="V65" t="s">
        <v>164</v>
      </c>
      <c r="AK65">
        <v>2035</v>
      </c>
      <c r="AL65" t="s">
        <v>158</v>
      </c>
      <c r="AM65">
        <v>0.43875714285714285</v>
      </c>
      <c r="AN65" t="s">
        <v>245</v>
      </c>
    </row>
    <row r="66" spans="9:40" x14ac:dyDescent="0.45">
      <c r="I66" t="s">
        <v>179</v>
      </c>
      <c r="J66" t="s">
        <v>171</v>
      </c>
      <c r="K66">
        <v>9.1781329737390411E-3</v>
      </c>
      <c r="L66" t="s">
        <v>164</v>
      </c>
      <c r="N66" t="s">
        <v>207</v>
      </c>
      <c r="O66" t="s">
        <v>171</v>
      </c>
      <c r="P66">
        <v>4.5045912958795536E-2</v>
      </c>
      <c r="Q66" t="s">
        <v>164</v>
      </c>
      <c r="S66" t="s">
        <v>230</v>
      </c>
      <c r="T66" t="s">
        <v>171</v>
      </c>
      <c r="U66">
        <v>3.5109884302685537E-2</v>
      </c>
      <c r="V66" t="s">
        <v>164</v>
      </c>
      <c r="AK66">
        <v>2035</v>
      </c>
      <c r="AL66" t="s">
        <v>160</v>
      </c>
      <c r="AM66">
        <v>0.52234999999999998</v>
      </c>
      <c r="AN66" t="s">
        <v>245</v>
      </c>
    </row>
    <row r="67" spans="9:40" x14ac:dyDescent="0.45">
      <c r="I67" t="s">
        <v>179</v>
      </c>
      <c r="J67" t="s">
        <v>172</v>
      </c>
      <c r="K67">
        <v>0</v>
      </c>
      <c r="L67" t="s">
        <v>164</v>
      </c>
      <c r="N67" t="s">
        <v>207</v>
      </c>
      <c r="O67" t="s">
        <v>172</v>
      </c>
      <c r="P67">
        <v>0.17294477292170998</v>
      </c>
      <c r="Q67" t="s">
        <v>164</v>
      </c>
      <c r="S67" t="s">
        <v>230</v>
      </c>
      <c r="T67" t="s">
        <v>172</v>
      </c>
      <c r="U67">
        <v>0.17365219215781622</v>
      </c>
      <c r="V67" t="s">
        <v>164</v>
      </c>
      <c r="AK67">
        <v>2036</v>
      </c>
      <c r="AL67" t="s">
        <v>152</v>
      </c>
      <c r="AM67">
        <v>0.49199999999999999</v>
      </c>
      <c r="AN67" t="s">
        <v>245</v>
      </c>
    </row>
    <row r="68" spans="9:40" x14ac:dyDescent="0.45">
      <c r="I68" t="s">
        <v>179</v>
      </c>
      <c r="J68" t="s">
        <v>173</v>
      </c>
      <c r="K68">
        <v>0.16950369863565731</v>
      </c>
      <c r="L68" t="s">
        <v>164</v>
      </c>
      <c r="N68" t="s">
        <v>207</v>
      </c>
      <c r="O68" t="s">
        <v>173</v>
      </c>
      <c r="P68">
        <v>3.3330263083861597E-2</v>
      </c>
      <c r="Q68" t="s">
        <v>164</v>
      </c>
      <c r="S68" t="s">
        <v>230</v>
      </c>
      <c r="T68" t="s">
        <v>173</v>
      </c>
      <c r="U68">
        <v>4.7388110564722058E-2</v>
      </c>
      <c r="V68" t="s">
        <v>164</v>
      </c>
      <c r="AK68">
        <v>2036</v>
      </c>
      <c r="AL68" t="s">
        <v>156</v>
      </c>
      <c r="AM68">
        <v>0.39150000000000001</v>
      </c>
      <c r="AN68" t="s">
        <v>245</v>
      </c>
    </row>
    <row r="69" spans="9:40" x14ac:dyDescent="0.45">
      <c r="I69" t="s">
        <v>179</v>
      </c>
      <c r="J69" t="s">
        <v>174</v>
      </c>
      <c r="K69">
        <v>2.2950998388293065E-3</v>
      </c>
      <c r="L69" t="s">
        <v>164</v>
      </c>
      <c r="N69" t="s">
        <v>207</v>
      </c>
      <c r="O69" t="s">
        <v>174</v>
      </c>
      <c r="P69">
        <v>5.2192333427728893E-3</v>
      </c>
      <c r="Q69" t="s">
        <v>164</v>
      </c>
      <c r="S69" t="s">
        <v>230</v>
      </c>
      <c r="T69" t="s">
        <v>174</v>
      </c>
      <c r="U69">
        <v>5.3850078287008421E-3</v>
      </c>
      <c r="V69" t="s">
        <v>164</v>
      </c>
      <c r="AK69">
        <v>2036</v>
      </c>
      <c r="AL69" t="s">
        <v>158</v>
      </c>
      <c r="AM69">
        <v>0.45168571428571436</v>
      </c>
      <c r="AN69" t="s">
        <v>245</v>
      </c>
    </row>
    <row r="70" spans="9:40" x14ac:dyDescent="0.45">
      <c r="I70" t="s">
        <v>179</v>
      </c>
      <c r="J70" t="s">
        <v>175</v>
      </c>
      <c r="K70">
        <v>0</v>
      </c>
      <c r="L70" t="s">
        <v>164</v>
      </c>
      <c r="N70" t="s">
        <v>207</v>
      </c>
      <c r="O70" t="s">
        <v>175</v>
      </c>
      <c r="P70">
        <v>2.4962439150978798E-2</v>
      </c>
      <c r="Q70" t="s">
        <v>164</v>
      </c>
      <c r="S70" t="s">
        <v>230</v>
      </c>
      <c r="T70" t="s">
        <v>175</v>
      </c>
      <c r="U70">
        <v>2.329072770176464E-2</v>
      </c>
      <c r="V70" t="s">
        <v>164</v>
      </c>
      <c r="AK70">
        <v>2036</v>
      </c>
      <c r="AL70" t="s">
        <v>160</v>
      </c>
      <c r="AM70">
        <v>0.51005</v>
      </c>
      <c r="AN70" t="s">
        <v>245</v>
      </c>
    </row>
    <row r="71" spans="9:40" x14ac:dyDescent="0.45">
      <c r="I71" t="s">
        <v>180</v>
      </c>
      <c r="J71" t="s">
        <v>163</v>
      </c>
      <c r="K71">
        <v>0.10432168625137578</v>
      </c>
      <c r="L71" t="s">
        <v>164</v>
      </c>
      <c r="N71" t="s">
        <v>208</v>
      </c>
      <c r="O71" t="s">
        <v>163</v>
      </c>
      <c r="P71">
        <v>2.3353538232594669E-2</v>
      </c>
      <c r="Q71" t="s">
        <v>164</v>
      </c>
      <c r="S71" t="s">
        <v>231</v>
      </c>
      <c r="T71" t="s">
        <v>163</v>
      </c>
      <c r="U71">
        <v>7.4093652251177589E-2</v>
      </c>
      <c r="V71" t="s">
        <v>164</v>
      </c>
      <c r="AK71">
        <v>2037</v>
      </c>
      <c r="AL71" t="s">
        <v>152</v>
      </c>
      <c r="AM71">
        <v>0.4405</v>
      </c>
      <c r="AN71" t="s">
        <v>245</v>
      </c>
    </row>
    <row r="72" spans="9:40" x14ac:dyDescent="0.45">
      <c r="I72" t="s">
        <v>180</v>
      </c>
      <c r="J72" t="s">
        <v>165</v>
      </c>
      <c r="K72">
        <v>4.727717964813037E-3</v>
      </c>
      <c r="L72" t="s">
        <v>164</v>
      </c>
      <c r="N72" t="s">
        <v>208</v>
      </c>
      <c r="O72" t="s">
        <v>165</v>
      </c>
      <c r="P72">
        <v>1.1463727373723662E-3</v>
      </c>
      <c r="Q72" t="s">
        <v>164</v>
      </c>
      <c r="S72" t="s">
        <v>231</v>
      </c>
      <c r="T72" t="s">
        <v>165</v>
      </c>
      <c r="U72">
        <v>5.2604208250330645E-3</v>
      </c>
      <c r="V72" t="s">
        <v>164</v>
      </c>
      <c r="AK72">
        <v>2037</v>
      </c>
      <c r="AL72" t="s">
        <v>156</v>
      </c>
      <c r="AM72">
        <v>0.39929999999999999</v>
      </c>
      <c r="AN72" t="s">
        <v>245</v>
      </c>
    </row>
    <row r="73" spans="9:40" x14ac:dyDescent="0.45">
      <c r="I73" t="s">
        <v>180</v>
      </c>
      <c r="J73" t="s">
        <v>166</v>
      </c>
      <c r="K73">
        <v>0</v>
      </c>
      <c r="L73" t="s">
        <v>164</v>
      </c>
      <c r="N73" t="s">
        <v>208</v>
      </c>
      <c r="O73" t="s">
        <v>166</v>
      </c>
      <c r="P73">
        <v>1.9889290579230605E-2</v>
      </c>
      <c r="Q73" t="s">
        <v>164</v>
      </c>
      <c r="S73" t="s">
        <v>231</v>
      </c>
      <c r="T73" t="s">
        <v>166</v>
      </c>
      <c r="U73">
        <v>2.8418748754272995E-2</v>
      </c>
      <c r="V73" t="s">
        <v>164</v>
      </c>
      <c r="AK73">
        <v>2037</v>
      </c>
      <c r="AL73" t="s">
        <v>158</v>
      </c>
      <c r="AM73">
        <v>0.45615714285714287</v>
      </c>
      <c r="AN73" t="s">
        <v>245</v>
      </c>
    </row>
    <row r="74" spans="9:40" x14ac:dyDescent="0.45">
      <c r="I74" t="s">
        <v>180</v>
      </c>
      <c r="J74" t="s">
        <v>167</v>
      </c>
      <c r="K74">
        <v>0.18489768067773441</v>
      </c>
      <c r="L74" t="s">
        <v>164</v>
      </c>
      <c r="N74" t="s">
        <v>208</v>
      </c>
      <c r="O74" t="s">
        <v>167</v>
      </c>
      <c r="P74">
        <v>3.9885524416185709E-2</v>
      </c>
      <c r="Q74" t="s">
        <v>164</v>
      </c>
      <c r="S74" t="s">
        <v>231</v>
      </c>
      <c r="T74" t="s">
        <v>167</v>
      </c>
      <c r="U74">
        <v>6.6289968430363916E-2</v>
      </c>
      <c r="V74" t="s">
        <v>164</v>
      </c>
      <c r="AK74">
        <v>2037</v>
      </c>
      <c r="AL74" t="s">
        <v>160</v>
      </c>
      <c r="AM74">
        <v>0.49175000000000002</v>
      </c>
      <c r="AN74" t="s">
        <v>245</v>
      </c>
    </row>
    <row r="75" spans="9:40" x14ac:dyDescent="0.45">
      <c r="I75" t="s">
        <v>180</v>
      </c>
      <c r="J75" t="s">
        <v>168</v>
      </c>
      <c r="K75">
        <v>9.0723251732204926E-3</v>
      </c>
      <c r="L75" t="s">
        <v>164</v>
      </c>
      <c r="N75" t="s">
        <v>208</v>
      </c>
      <c r="O75" t="s">
        <v>168</v>
      </c>
      <c r="P75">
        <v>3.4470337457542539E-3</v>
      </c>
      <c r="Q75" t="s">
        <v>164</v>
      </c>
      <c r="S75" t="s">
        <v>231</v>
      </c>
      <c r="T75" t="s">
        <v>168</v>
      </c>
      <c r="U75">
        <v>4.8274118494664011E-3</v>
      </c>
      <c r="V75" t="s">
        <v>164</v>
      </c>
      <c r="AK75">
        <v>2038</v>
      </c>
      <c r="AL75" t="s">
        <v>152</v>
      </c>
      <c r="AM75">
        <v>0.47739999999999999</v>
      </c>
      <c r="AN75" t="s">
        <v>245</v>
      </c>
    </row>
    <row r="76" spans="9:40" x14ac:dyDescent="0.45">
      <c r="I76" t="s">
        <v>180</v>
      </c>
      <c r="J76" t="s">
        <v>169</v>
      </c>
      <c r="K76">
        <v>0</v>
      </c>
      <c r="L76" t="s">
        <v>164</v>
      </c>
      <c r="N76" t="s">
        <v>208</v>
      </c>
      <c r="O76" t="s">
        <v>169</v>
      </c>
      <c r="P76">
        <v>4.5038255698912004E-2</v>
      </c>
      <c r="Q76" t="s">
        <v>164</v>
      </c>
      <c r="S76" t="s">
        <v>231</v>
      </c>
      <c r="T76" t="s">
        <v>169</v>
      </c>
      <c r="U76">
        <v>2.908828407246539E-2</v>
      </c>
      <c r="V76" t="s">
        <v>164</v>
      </c>
      <c r="AK76">
        <v>2038</v>
      </c>
      <c r="AL76" t="s">
        <v>156</v>
      </c>
      <c r="AM76">
        <v>0.38170000000000004</v>
      </c>
      <c r="AN76" t="s">
        <v>245</v>
      </c>
    </row>
    <row r="77" spans="9:40" x14ac:dyDescent="0.45">
      <c r="I77" t="s">
        <v>180</v>
      </c>
      <c r="J77" t="s">
        <v>170</v>
      </c>
      <c r="K77">
        <v>0.52260249624890642</v>
      </c>
      <c r="L77" t="s">
        <v>164</v>
      </c>
      <c r="N77" t="s">
        <v>208</v>
      </c>
      <c r="O77" t="s">
        <v>170</v>
      </c>
      <c r="P77">
        <v>0.54121695508415446</v>
      </c>
      <c r="Q77" t="s">
        <v>164</v>
      </c>
      <c r="S77" t="s">
        <v>231</v>
      </c>
      <c r="T77" t="s">
        <v>170</v>
      </c>
      <c r="U77">
        <v>0.49320328272928488</v>
      </c>
      <c r="V77" t="s">
        <v>164</v>
      </c>
      <c r="AK77">
        <v>2038</v>
      </c>
      <c r="AL77" t="s">
        <v>158</v>
      </c>
      <c r="AM77">
        <v>0.43968571428571429</v>
      </c>
      <c r="AN77" t="s">
        <v>245</v>
      </c>
    </row>
    <row r="78" spans="9:40" x14ac:dyDescent="0.45">
      <c r="I78" t="s">
        <v>180</v>
      </c>
      <c r="J78" t="s">
        <v>171</v>
      </c>
      <c r="K78">
        <v>3.0387690778902222E-3</v>
      </c>
      <c r="L78" t="s">
        <v>164</v>
      </c>
      <c r="N78" t="s">
        <v>208</v>
      </c>
      <c r="O78" t="s">
        <v>171</v>
      </c>
      <c r="P78">
        <v>4.5734411979849926E-2</v>
      </c>
      <c r="Q78" t="s">
        <v>164</v>
      </c>
      <c r="S78" t="s">
        <v>231</v>
      </c>
      <c r="T78" t="s">
        <v>171</v>
      </c>
      <c r="U78">
        <v>3.1121072958402409E-2</v>
      </c>
      <c r="V78" t="s">
        <v>164</v>
      </c>
      <c r="AK78">
        <v>2038</v>
      </c>
      <c r="AL78" t="s">
        <v>160</v>
      </c>
      <c r="AM78">
        <v>0.48785000000000001</v>
      </c>
      <c r="AN78" t="s">
        <v>245</v>
      </c>
    </row>
    <row r="79" spans="9:40" x14ac:dyDescent="0.45">
      <c r="I79" t="s">
        <v>180</v>
      </c>
      <c r="J79" t="s">
        <v>172</v>
      </c>
      <c r="K79">
        <v>0</v>
      </c>
      <c r="L79" t="s">
        <v>164</v>
      </c>
      <c r="N79" t="s">
        <v>208</v>
      </c>
      <c r="O79" t="s">
        <v>172</v>
      </c>
      <c r="P79">
        <v>0.22692030951872807</v>
      </c>
      <c r="Q79" t="s">
        <v>164</v>
      </c>
      <c r="S79" t="s">
        <v>231</v>
      </c>
      <c r="T79" t="s">
        <v>172</v>
      </c>
      <c r="U79">
        <v>0.17734403702337148</v>
      </c>
      <c r="V79" t="s">
        <v>164</v>
      </c>
      <c r="AK79">
        <v>2039</v>
      </c>
      <c r="AL79" t="s">
        <v>152</v>
      </c>
      <c r="AM79">
        <v>0.46189999999999998</v>
      </c>
      <c r="AN79" t="s">
        <v>245</v>
      </c>
    </row>
    <row r="80" spans="9:40" x14ac:dyDescent="0.45">
      <c r="I80" t="s">
        <v>180</v>
      </c>
      <c r="J80" t="s">
        <v>173</v>
      </c>
      <c r="K80">
        <v>0.17032103034594673</v>
      </c>
      <c r="L80" t="s">
        <v>164</v>
      </c>
      <c r="N80" t="s">
        <v>208</v>
      </c>
      <c r="O80" t="s">
        <v>173</v>
      </c>
      <c r="P80">
        <v>2.670617104826082E-2</v>
      </c>
      <c r="Q80" t="s">
        <v>164</v>
      </c>
      <c r="S80" t="s">
        <v>231</v>
      </c>
      <c r="T80" t="s">
        <v>173</v>
      </c>
      <c r="U80">
        <v>6.0761434344809372E-2</v>
      </c>
      <c r="V80" t="s">
        <v>164</v>
      </c>
      <c r="AK80">
        <v>2039</v>
      </c>
      <c r="AL80" t="s">
        <v>156</v>
      </c>
      <c r="AM80">
        <v>0.43054999999999999</v>
      </c>
      <c r="AN80" t="s">
        <v>245</v>
      </c>
    </row>
    <row r="81" spans="9:40" x14ac:dyDescent="0.45">
      <c r="I81" t="s">
        <v>180</v>
      </c>
      <c r="J81" t="s">
        <v>174</v>
      </c>
      <c r="K81">
        <v>1.0182942601132993E-3</v>
      </c>
      <c r="L81" t="s">
        <v>164</v>
      </c>
      <c r="N81" t="s">
        <v>208</v>
      </c>
      <c r="O81" t="s">
        <v>174</v>
      </c>
      <c r="P81">
        <v>2.9401657526260125E-3</v>
      </c>
      <c r="Q81" t="s">
        <v>164</v>
      </c>
      <c r="S81" t="s">
        <v>231</v>
      </c>
      <c r="T81" t="s">
        <v>174</v>
      </c>
      <c r="U81">
        <v>4.6854409630982304E-3</v>
      </c>
      <c r="V81" t="s">
        <v>164</v>
      </c>
      <c r="AK81">
        <v>2039</v>
      </c>
      <c r="AL81" t="s">
        <v>158</v>
      </c>
      <c r="AM81">
        <v>0.43668571428571429</v>
      </c>
      <c r="AN81" t="s">
        <v>245</v>
      </c>
    </row>
    <row r="82" spans="9:40" x14ac:dyDescent="0.45">
      <c r="I82" t="s">
        <v>180</v>
      </c>
      <c r="J82" t="s">
        <v>175</v>
      </c>
      <c r="K82">
        <v>0</v>
      </c>
      <c r="L82" t="s">
        <v>164</v>
      </c>
      <c r="N82" t="s">
        <v>208</v>
      </c>
      <c r="O82" t="s">
        <v>175</v>
      </c>
      <c r="P82">
        <v>2.3721971206330714E-2</v>
      </c>
      <c r="Q82" t="s">
        <v>164</v>
      </c>
      <c r="S82" t="s">
        <v>231</v>
      </c>
      <c r="T82" t="s">
        <v>175</v>
      </c>
      <c r="U82">
        <v>2.4906245798254772E-2</v>
      </c>
      <c r="V82" t="s">
        <v>164</v>
      </c>
      <c r="AK82">
        <v>2039</v>
      </c>
      <c r="AL82" t="s">
        <v>160</v>
      </c>
      <c r="AM82">
        <v>0.46460000000000001</v>
      </c>
      <c r="AN82" t="s">
        <v>245</v>
      </c>
    </row>
    <row r="83" spans="9:40" x14ac:dyDescent="0.45">
      <c r="I83" t="s">
        <v>181</v>
      </c>
      <c r="J83" t="s">
        <v>163</v>
      </c>
      <c r="K83">
        <v>0.10104195326761126</v>
      </c>
      <c r="L83" t="s">
        <v>164</v>
      </c>
      <c r="N83" t="s">
        <v>209</v>
      </c>
      <c r="O83" t="s">
        <v>163</v>
      </c>
      <c r="P83">
        <v>2.2657040163923475E-2</v>
      </c>
      <c r="Q83" t="s">
        <v>164</v>
      </c>
      <c r="S83" t="s">
        <v>232</v>
      </c>
      <c r="T83" t="s">
        <v>163</v>
      </c>
      <c r="U83">
        <v>5.9930204283345376E-2</v>
      </c>
      <c r="V83" t="s">
        <v>164</v>
      </c>
      <c r="AK83">
        <v>2040</v>
      </c>
      <c r="AL83" t="s">
        <v>152</v>
      </c>
      <c r="AM83">
        <v>0.48</v>
      </c>
      <c r="AN83" t="s">
        <v>245</v>
      </c>
    </row>
    <row r="84" spans="9:40" x14ac:dyDescent="0.45">
      <c r="I84" t="s">
        <v>181</v>
      </c>
      <c r="J84" t="s">
        <v>165</v>
      </c>
      <c r="K84">
        <v>3.9706872259145315E-3</v>
      </c>
      <c r="L84" t="s">
        <v>164</v>
      </c>
      <c r="N84" t="s">
        <v>209</v>
      </c>
      <c r="O84" t="s">
        <v>165</v>
      </c>
      <c r="P84">
        <v>5.3910535641249816E-4</v>
      </c>
      <c r="Q84" t="s">
        <v>164</v>
      </c>
      <c r="S84" t="s">
        <v>232</v>
      </c>
      <c r="T84" t="s">
        <v>165</v>
      </c>
      <c r="U84">
        <v>5.1139519917068653E-3</v>
      </c>
      <c r="V84" t="s">
        <v>164</v>
      </c>
      <c r="AK84">
        <v>2040</v>
      </c>
      <c r="AL84" t="s">
        <v>156</v>
      </c>
      <c r="AM84">
        <v>0.4118</v>
      </c>
      <c r="AN84" t="s">
        <v>245</v>
      </c>
    </row>
    <row r="85" spans="9:40" x14ac:dyDescent="0.45">
      <c r="I85" t="s">
        <v>181</v>
      </c>
      <c r="J85" t="s">
        <v>166</v>
      </c>
      <c r="K85">
        <v>0</v>
      </c>
      <c r="L85" t="s">
        <v>164</v>
      </c>
      <c r="N85" t="s">
        <v>209</v>
      </c>
      <c r="O85" t="s">
        <v>166</v>
      </c>
      <c r="P85">
        <v>5.7738417129468336E-3</v>
      </c>
      <c r="Q85" t="s">
        <v>164</v>
      </c>
      <c r="S85" t="s">
        <v>232</v>
      </c>
      <c r="T85" t="s">
        <v>166</v>
      </c>
      <c r="U85">
        <v>2.9218447169992966E-2</v>
      </c>
      <c r="V85" t="s">
        <v>164</v>
      </c>
      <c r="AK85">
        <v>2040</v>
      </c>
      <c r="AL85" t="s">
        <v>158</v>
      </c>
      <c r="AM85">
        <v>0.4355714285714285</v>
      </c>
      <c r="AN85" t="s">
        <v>245</v>
      </c>
    </row>
    <row r="86" spans="9:40" x14ac:dyDescent="0.45">
      <c r="I86" t="s">
        <v>181</v>
      </c>
      <c r="J86" t="s">
        <v>167</v>
      </c>
      <c r="K86">
        <v>0.18729041158072607</v>
      </c>
      <c r="L86" t="s">
        <v>164</v>
      </c>
      <c r="N86" t="s">
        <v>209</v>
      </c>
      <c r="O86" t="s">
        <v>167</v>
      </c>
      <c r="P86">
        <v>5.8306182586970977E-2</v>
      </c>
      <c r="Q86" t="s">
        <v>164</v>
      </c>
      <c r="S86" t="s">
        <v>232</v>
      </c>
      <c r="T86" t="s">
        <v>167</v>
      </c>
      <c r="U86">
        <v>4.5803431388920672E-2</v>
      </c>
      <c r="V86" t="s">
        <v>164</v>
      </c>
      <c r="AK86">
        <v>2040</v>
      </c>
      <c r="AL86" t="s">
        <v>160</v>
      </c>
      <c r="AM86">
        <v>0.51679999999999993</v>
      </c>
      <c r="AN86" t="s">
        <v>245</v>
      </c>
    </row>
    <row r="87" spans="9:40" x14ac:dyDescent="0.45">
      <c r="I87" t="s">
        <v>181</v>
      </c>
      <c r="J87" t="s">
        <v>168</v>
      </c>
      <c r="K87">
        <v>8.115651032633505E-3</v>
      </c>
      <c r="L87" t="s">
        <v>164</v>
      </c>
      <c r="N87" t="s">
        <v>209</v>
      </c>
      <c r="O87" t="s">
        <v>168</v>
      </c>
      <c r="P87">
        <v>1.7783165341687863E-3</v>
      </c>
      <c r="Q87" t="s">
        <v>164</v>
      </c>
      <c r="S87" t="s">
        <v>232</v>
      </c>
      <c r="T87" t="s">
        <v>168</v>
      </c>
      <c r="U87">
        <v>4.5150749573290754E-3</v>
      </c>
      <c r="V87" t="s">
        <v>164</v>
      </c>
      <c r="AK87">
        <v>2041</v>
      </c>
      <c r="AL87" t="s">
        <v>152</v>
      </c>
      <c r="AM87">
        <v>0.437</v>
      </c>
      <c r="AN87" t="s">
        <v>245</v>
      </c>
    </row>
    <row r="88" spans="9:40" x14ac:dyDescent="0.45">
      <c r="I88" t="s">
        <v>181</v>
      </c>
      <c r="J88" t="s">
        <v>169</v>
      </c>
      <c r="K88">
        <v>0</v>
      </c>
      <c r="L88" t="s">
        <v>164</v>
      </c>
      <c r="N88" t="s">
        <v>209</v>
      </c>
      <c r="O88" t="s">
        <v>169</v>
      </c>
      <c r="P88">
        <v>2.0624200548417172E-2</v>
      </c>
      <c r="Q88" t="s">
        <v>164</v>
      </c>
      <c r="S88" t="s">
        <v>232</v>
      </c>
      <c r="T88" t="s">
        <v>169</v>
      </c>
      <c r="U88">
        <v>2.854897467029462E-2</v>
      </c>
      <c r="V88" t="s">
        <v>164</v>
      </c>
      <c r="AK88">
        <v>2041</v>
      </c>
      <c r="AL88" t="s">
        <v>156</v>
      </c>
      <c r="AM88">
        <v>0.39715</v>
      </c>
      <c r="AN88" t="s">
        <v>245</v>
      </c>
    </row>
    <row r="89" spans="9:40" x14ac:dyDescent="0.45">
      <c r="I89" t="s">
        <v>181</v>
      </c>
      <c r="J89" t="s">
        <v>170</v>
      </c>
      <c r="K89">
        <v>0.53116781722481377</v>
      </c>
      <c r="L89" t="s">
        <v>164</v>
      </c>
      <c r="N89" t="s">
        <v>209</v>
      </c>
      <c r="O89" t="s">
        <v>170</v>
      </c>
      <c r="P89">
        <v>0.59172531559627861</v>
      </c>
      <c r="Q89" t="s">
        <v>164</v>
      </c>
      <c r="S89" t="s">
        <v>232</v>
      </c>
      <c r="T89" t="s">
        <v>170</v>
      </c>
      <c r="U89">
        <v>0.52089708176248506</v>
      </c>
      <c r="V89" t="s">
        <v>164</v>
      </c>
      <c r="AK89">
        <v>2041</v>
      </c>
      <c r="AL89" t="s">
        <v>158</v>
      </c>
      <c r="AM89">
        <v>0.44458571428571425</v>
      </c>
      <c r="AN89" t="s">
        <v>245</v>
      </c>
    </row>
    <row r="90" spans="9:40" x14ac:dyDescent="0.45">
      <c r="I90" t="s">
        <v>181</v>
      </c>
      <c r="J90" t="s">
        <v>171</v>
      </c>
      <c r="K90">
        <v>4.7630883792528726E-3</v>
      </c>
      <c r="L90" t="s">
        <v>164</v>
      </c>
      <c r="N90" t="s">
        <v>209</v>
      </c>
      <c r="O90" t="s">
        <v>171</v>
      </c>
      <c r="P90">
        <v>3.8173882457425645E-2</v>
      </c>
      <c r="Q90" t="s">
        <v>164</v>
      </c>
      <c r="S90" t="s">
        <v>232</v>
      </c>
      <c r="T90" t="s">
        <v>171</v>
      </c>
      <c r="U90">
        <v>3.4579075204425352E-2</v>
      </c>
      <c r="V90" t="s">
        <v>164</v>
      </c>
      <c r="AK90">
        <v>2041</v>
      </c>
      <c r="AL90" t="s">
        <v>160</v>
      </c>
      <c r="AM90">
        <v>0.51039999999999996</v>
      </c>
      <c r="AN90" t="s">
        <v>245</v>
      </c>
    </row>
    <row r="91" spans="9:40" x14ac:dyDescent="0.45">
      <c r="I91" t="s">
        <v>181</v>
      </c>
      <c r="J91" t="s">
        <v>172</v>
      </c>
      <c r="K91">
        <v>0</v>
      </c>
      <c r="L91" t="s">
        <v>164</v>
      </c>
      <c r="N91" t="s">
        <v>209</v>
      </c>
      <c r="O91" t="s">
        <v>172</v>
      </c>
      <c r="P91">
        <v>0.21989748304474765</v>
      </c>
      <c r="Q91" t="s">
        <v>164</v>
      </c>
      <c r="S91" t="s">
        <v>232</v>
      </c>
      <c r="T91" t="s">
        <v>172</v>
      </c>
      <c r="U91">
        <v>0.19552341306423832</v>
      </c>
      <c r="V91" t="s">
        <v>164</v>
      </c>
      <c r="AK91">
        <v>2042</v>
      </c>
      <c r="AL91" t="s">
        <v>152</v>
      </c>
      <c r="AM91">
        <v>0.50119999999999998</v>
      </c>
      <c r="AN91" t="s">
        <v>245</v>
      </c>
    </row>
    <row r="92" spans="9:40" x14ac:dyDescent="0.45">
      <c r="I92" t="s">
        <v>181</v>
      </c>
      <c r="J92" t="s">
        <v>173</v>
      </c>
      <c r="K92">
        <v>0.16285485728827959</v>
      </c>
      <c r="L92" t="s">
        <v>164</v>
      </c>
      <c r="N92" t="s">
        <v>209</v>
      </c>
      <c r="O92" t="s">
        <v>173</v>
      </c>
      <c r="P92">
        <v>2.7745003064263585E-2</v>
      </c>
      <c r="Q92" t="s">
        <v>164</v>
      </c>
      <c r="S92" t="s">
        <v>232</v>
      </c>
      <c r="T92" t="s">
        <v>173</v>
      </c>
      <c r="U92">
        <v>4.6461897101524846E-2</v>
      </c>
      <c r="V92" t="s">
        <v>164</v>
      </c>
      <c r="AK92">
        <v>2042</v>
      </c>
      <c r="AL92" t="s">
        <v>156</v>
      </c>
      <c r="AM92">
        <v>0.41375000000000001</v>
      </c>
      <c r="AN92" t="s">
        <v>245</v>
      </c>
    </row>
    <row r="93" spans="9:40" x14ac:dyDescent="0.45">
      <c r="I93" t="s">
        <v>181</v>
      </c>
      <c r="J93" t="s">
        <v>174</v>
      </c>
      <c r="K93">
        <v>7.9553400076937402E-4</v>
      </c>
      <c r="L93" t="s">
        <v>164</v>
      </c>
      <c r="N93" t="s">
        <v>209</v>
      </c>
      <c r="O93" t="s">
        <v>174</v>
      </c>
      <c r="P93">
        <v>1.263652170025747E-3</v>
      </c>
      <c r="Q93" t="s">
        <v>164</v>
      </c>
      <c r="S93" t="s">
        <v>232</v>
      </c>
      <c r="T93" t="s">
        <v>174</v>
      </c>
      <c r="U93">
        <v>4.5029078948459755E-3</v>
      </c>
      <c r="V93" t="s">
        <v>164</v>
      </c>
      <c r="AK93">
        <v>2042</v>
      </c>
      <c r="AL93" t="s">
        <v>158</v>
      </c>
      <c r="AM93">
        <v>0.42887142857142863</v>
      </c>
      <c r="AN93" t="s">
        <v>245</v>
      </c>
    </row>
    <row r="94" spans="9:40" x14ac:dyDescent="0.45">
      <c r="I94" t="s">
        <v>181</v>
      </c>
      <c r="J94" t="s">
        <v>175</v>
      </c>
      <c r="K94">
        <v>0</v>
      </c>
      <c r="L94" t="s">
        <v>164</v>
      </c>
      <c r="N94" t="s">
        <v>209</v>
      </c>
      <c r="O94" t="s">
        <v>175</v>
      </c>
      <c r="P94">
        <v>1.1515976764418036E-2</v>
      </c>
      <c r="Q94" t="s">
        <v>164</v>
      </c>
      <c r="S94" t="s">
        <v>232</v>
      </c>
      <c r="T94" t="s">
        <v>175</v>
      </c>
      <c r="U94">
        <v>2.4905540510894608E-2</v>
      </c>
      <c r="V94" t="s">
        <v>164</v>
      </c>
      <c r="AK94">
        <v>2042</v>
      </c>
      <c r="AL94" t="s">
        <v>160</v>
      </c>
      <c r="AM94">
        <v>0.47065000000000001</v>
      </c>
      <c r="AN94" t="s">
        <v>245</v>
      </c>
    </row>
    <row r="95" spans="9:40" x14ac:dyDescent="0.45">
      <c r="I95" t="s">
        <v>182</v>
      </c>
      <c r="J95" t="s">
        <v>163</v>
      </c>
      <c r="K95">
        <v>9.5917687868337292E-2</v>
      </c>
      <c r="L95" t="s">
        <v>164</v>
      </c>
      <c r="N95" t="s">
        <v>210</v>
      </c>
      <c r="O95" t="s">
        <v>163</v>
      </c>
      <c r="P95">
        <v>2.5476750882210766E-2</v>
      </c>
      <c r="Q95" t="s">
        <v>164</v>
      </c>
      <c r="S95" t="s">
        <v>233</v>
      </c>
      <c r="T95" t="s">
        <v>163</v>
      </c>
      <c r="U95">
        <v>5.6822791254836101E-2</v>
      </c>
      <c r="V95" t="s">
        <v>164</v>
      </c>
      <c r="AK95">
        <v>2043</v>
      </c>
      <c r="AL95" t="s">
        <v>152</v>
      </c>
      <c r="AM95">
        <v>0.47310000000000002</v>
      </c>
      <c r="AN95" t="s">
        <v>245</v>
      </c>
    </row>
    <row r="96" spans="9:40" x14ac:dyDescent="0.45">
      <c r="I96" t="s">
        <v>182</v>
      </c>
      <c r="J96" t="s">
        <v>165</v>
      </c>
      <c r="K96">
        <v>3.8634690664909686E-3</v>
      </c>
      <c r="L96" t="s">
        <v>164</v>
      </c>
      <c r="N96" t="s">
        <v>210</v>
      </c>
      <c r="O96" t="s">
        <v>165</v>
      </c>
      <c r="P96">
        <v>1.3197134257561657E-3</v>
      </c>
      <c r="Q96" t="s">
        <v>164</v>
      </c>
      <c r="S96" t="s">
        <v>233</v>
      </c>
      <c r="T96" t="s">
        <v>165</v>
      </c>
      <c r="U96">
        <v>5.4191035835614064E-3</v>
      </c>
      <c r="V96" t="s">
        <v>164</v>
      </c>
      <c r="AK96">
        <v>2043</v>
      </c>
      <c r="AL96" t="s">
        <v>156</v>
      </c>
      <c r="AM96">
        <v>0.43109999999999998</v>
      </c>
      <c r="AN96" t="s">
        <v>245</v>
      </c>
    </row>
    <row r="97" spans="9:40" x14ac:dyDescent="0.45">
      <c r="I97" t="s">
        <v>182</v>
      </c>
      <c r="J97" t="s">
        <v>166</v>
      </c>
      <c r="K97">
        <v>0</v>
      </c>
      <c r="L97" t="s">
        <v>164</v>
      </c>
      <c r="N97" t="s">
        <v>210</v>
      </c>
      <c r="O97" t="s">
        <v>166</v>
      </c>
      <c r="P97">
        <v>7.2113144783327249E-3</v>
      </c>
      <c r="Q97" t="s">
        <v>164</v>
      </c>
      <c r="S97" t="s">
        <v>233</v>
      </c>
      <c r="T97" t="s">
        <v>166</v>
      </c>
      <c r="U97">
        <v>2.983833158212729E-2</v>
      </c>
      <c r="V97" t="s">
        <v>164</v>
      </c>
      <c r="AK97">
        <v>2043</v>
      </c>
      <c r="AL97" t="s">
        <v>158</v>
      </c>
      <c r="AM97">
        <v>0.4422428571428571</v>
      </c>
      <c r="AN97" t="s">
        <v>245</v>
      </c>
    </row>
    <row r="98" spans="9:40" x14ac:dyDescent="0.45">
      <c r="I98" t="s">
        <v>182</v>
      </c>
      <c r="J98" t="s">
        <v>167</v>
      </c>
      <c r="K98">
        <v>0.17749457776666822</v>
      </c>
      <c r="L98" t="s">
        <v>164</v>
      </c>
      <c r="N98" t="s">
        <v>210</v>
      </c>
      <c r="O98" t="s">
        <v>167</v>
      </c>
      <c r="P98">
        <v>8.2018927900995908E-2</v>
      </c>
      <c r="Q98" t="s">
        <v>164</v>
      </c>
      <c r="S98" t="s">
        <v>233</v>
      </c>
      <c r="T98" t="s">
        <v>167</v>
      </c>
      <c r="U98">
        <v>4.449952442836061E-2</v>
      </c>
      <c r="V98" t="s">
        <v>164</v>
      </c>
      <c r="AK98">
        <v>2043</v>
      </c>
      <c r="AL98" t="s">
        <v>160</v>
      </c>
      <c r="AM98">
        <v>0.47675000000000001</v>
      </c>
      <c r="AN98" t="s">
        <v>245</v>
      </c>
    </row>
    <row r="99" spans="9:40" x14ac:dyDescent="0.45">
      <c r="I99" t="s">
        <v>182</v>
      </c>
      <c r="J99" t="s">
        <v>168</v>
      </c>
      <c r="K99">
        <v>7.3775079994526198E-3</v>
      </c>
      <c r="L99" t="s">
        <v>164</v>
      </c>
      <c r="N99" t="s">
        <v>210</v>
      </c>
      <c r="O99" t="s">
        <v>168</v>
      </c>
      <c r="P99">
        <v>3.908277352326575E-3</v>
      </c>
      <c r="Q99" t="s">
        <v>164</v>
      </c>
      <c r="S99" t="s">
        <v>233</v>
      </c>
      <c r="T99" t="s">
        <v>168</v>
      </c>
      <c r="U99">
        <v>5.516800631072856E-3</v>
      </c>
      <c r="V99" t="s">
        <v>164</v>
      </c>
      <c r="AK99">
        <v>2044</v>
      </c>
      <c r="AL99" t="s">
        <v>152</v>
      </c>
      <c r="AM99">
        <v>0.43309999999999998</v>
      </c>
      <c r="AN99" t="s">
        <v>245</v>
      </c>
    </row>
    <row r="100" spans="9:40" x14ac:dyDescent="0.45">
      <c r="I100" t="s">
        <v>182</v>
      </c>
      <c r="J100" t="s">
        <v>169</v>
      </c>
      <c r="K100">
        <v>0</v>
      </c>
      <c r="L100" t="s">
        <v>164</v>
      </c>
      <c r="N100" t="s">
        <v>210</v>
      </c>
      <c r="O100" t="s">
        <v>169</v>
      </c>
      <c r="P100">
        <v>1.8964881218268535E-2</v>
      </c>
      <c r="Q100" t="s">
        <v>164</v>
      </c>
      <c r="S100" t="s">
        <v>233</v>
      </c>
      <c r="T100" t="s">
        <v>169</v>
      </c>
      <c r="U100">
        <v>3.0053070507626716E-2</v>
      </c>
      <c r="V100" t="s">
        <v>164</v>
      </c>
      <c r="AK100">
        <v>2044</v>
      </c>
      <c r="AL100" t="s">
        <v>156</v>
      </c>
      <c r="AM100">
        <v>0.44979999999999998</v>
      </c>
      <c r="AN100" t="s">
        <v>245</v>
      </c>
    </row>
    <row r="101" spans="9:40" x14ac:dyDescent="0.45">
      <c r="I101" t="s">
        <v>182</v>
      </c>
      <c r="J101" t="s">
        <v>170</v>
      </c>
      <c r="K101">
        <v>0.55019956868567232</v>
      </c>
      <c r="L101" t="s">
        <v>164</v>
      </c>
      <c r="N101" t="s">
        <v>210</v>
      </c>
      <c r="O101" t="s">
        <v>170</v>
      </c>
      <c r="P101">
        <v>0.55654701818951036</v>
      </c>
      <c r="Q101" t="s">
        <v>164</v>
      </c>
      <c r="S101" t="s">
        <v>233</v>
      </c>
      <c r="T101" t="s">
        <v>170</v>
      </c>
      <c r="U101">
        <v>0.52368943629805587</v>
      </c>
      <c r="V101" t="s">
        <v>164</v>
      </c>
      <c r="AK101">
        <v>2044</v>
      </c>
      <c r="AL101" t="s">
        <v>158</v>
      </c>
      <c r="AM101">
        <v>0.44784285714285715</v>
      </c>
      <c r="AN101" t="s">
        <v>245</v>
      </c>
    </row>
    <row r="102" spans="9:40" x14ac:dyDescent="0.45">
      <c r="I102" t="s">
        <v>182</v>
      </c>
      <c r="J102" t="s">
        <v>171</v>
      </c>
      <c r="K102">
        <v>5.9658169511551846E-3</v>
      </c>
      <c r="L102" t="s">
        <v>164</v>
      </c>
      <c r="N102" t="s">
        <v>210</v>
      </c>
      <c r="O102" t="s">
        <v>171</v>
      </c>
      <c r="P102">
        <v>3.6950864203894304E-2</v>
      </c>
      <c r="Q102" t="s">
        <v>164</v>
      </c>
      <c r="S102" t="s">
        <v>233</v>
      </c>
      <c r="T102" t="s">
        <v>171</v>
      </c>
      <c r="U102">
        <v>3.4994862811937283E-2</v>
      </c>
      <c r="V102" t="s">
        <v>164</v>
      </c>
      <c r="AK102">
        <v>2044</v>
      </c>
      <c r="AL102" t="s">
        <v>160</v>
      </c>
      <c r="AM102">
        <v>0.48845</v>
      </c>
      <c r="AN102" t="s">
        <v>245</v>
      </c>
    </row>
    <row r="103" spans="9:40" x14ac:dyDescent="0.45">
      <c r="I103" t="s">
        <v>182</v>
      </c>
      <c r="J103" t="s">
        <v>172</v>
      </c>
      <c r="K103">
        <v>0</v>
      </c>
      <c r="L103" t="s">
        <v>164</v>
      </c>
      <c r="N103" t="s">
        <v>210</v>
      </c>
      <c r="O103" t="s">
        <v>172</v>
      </c>
      <c r="P103">
        <v>0.21094271842722287</v>
      </c>
      <c r="Q103" t="s">
        <v>164</v>
      </c>
      <c r="S103" t="s">
        <v>233</v>
      </c>
      <c r="T103" t="s">
        <v>172</v>
      </c>
      <c r="U103">
        <v>0.19632079365715474</v>
      </c>
      <c r="V103" t="s">
        <v>164</v>
      </c>
      <c r="AK103">
        <v>2045</v>
      </c>
      <c r="AL103" t="s">
        <v>152</v>
      </c>
      <c r="AM103">
        <v>0.44309999999999999</v>
      </c>
      <c r="AN103" t="s">
        <v>245</v>
      </c>
    </row>
    <row r="104" spans="9:40" x14ac:dyDescent="0.45">
      <c r="I104" t="s">
        <v>182</v>
      </c>
      <c r="J104" t="s">
        <v>173</v>
      </c>
      <c r="K104">
        <v>0.15893406890310549</v>
      </c>
      <c r="L104" t="s">
        <v>164</v>
      </c>
      <c r="N104" t="s">
        <v>210</v>
      </c>
      <c r="O104" t="s">
        <v>173</v>
      </c>
      <c r="P104">
        <v>3.9359348713954238E-2</v>
      </c>
      <c r="Q104" t="s">
        <v>164</v>
      </c>
      <c r="S104" t="s">
        <v>233</v>
      </c>
      <c r="T104" t="s">
        <v>173</v>
      </c>
      <c r="U104">
        <v>4.3058422638909105E-2</v>
      </c>
      <c r="V104" t="s">
        <v>164</v>
      </c>
      <c r="AK104">
        <v>2045</v>
      </c>
      <c r="AL104" t="s">
        <v>156</v>
      </c>
      <c r="AM104">
        <v>0.42344999999999999</v>
      </c>
      <c r="AN104" t="s">
        <v>245</v>
      </c>
    </row>
    <row r="105" spans="9:40" x14ac:dyDescent="0.45">
      <c r="I105" t="s">
        <v>182</v>
      </c>
      <c r="J105" t="s">
        <v>174</v>
      </c>
      <c r="K105">
        <v>2.4730275912058413E-4</v>
      </c>
      <c r="L105" t="s">
        <v>164</v>
      </c>
      <c r="N105" t="s">
        <v>210</v>
      </c>
      <c r="O105" t="s">
        <v>174</v>
      </c>
      <c r="P105">
        <v>2.8920496151214796E-3</v>
      </c>
      <c r="Q105" t="s">
        <v>164</v>
      </c>
      <c r="S105" t="s">
        <v>233</v>
      </c>
      <c r="T105" t="s">
        <v>174</v>
      </c>
      <c r="U105">
        <v>4.9038507301633729E-3</v>
      </c>
      <c r="V105" t="s">
        <v>164</v>
      </c>
      <c r="AK105">
        <v>2045</v>
      </c>
      <c r="AL105" t="s">
        <v>158</v>
      </c>
      <c r="AM105">
        <v>0.42919999999999997</v>
      </c>
      <c r="AN105" t="s">
        <v>245</v>
      </c>
    </row>
    <row r="106" spans="9:40" x14ac:dyDescent="0.45">
      <c r="I106" t="s">
        <v>182</v>
      </c>
      <c r="J106" t="s">
        <v>175</v>
      </c>
      <c r="K106">
        <v>0</v>
      </c>
      <c r="L106" t="s">
        <v>164</v>
      </c>
      <c r="N106" t="s">
        <v>210</v>
      </c>
      <c r="O106" t="s">
        <v>175</v>
      </c>
      <c r="P106">
        <v>1.4408135592407308E-2</v>
      </c>
      <c r="Q106" t="s">
        <v>164</v>
      </c>
      <c r="S106" t="s">
        <v>233</v>
      </c>
      <c r="T106" t="s">
        <v>175</v>
      </c>
      <c r="U106">
        <v>2.4883011876195842E-2</v>
      </c>
      <c r="V106" t="s">
        <v>164</v>
      </c>
      <c r="AK106">
        <v>2045</v>
      </c>
      <c r="AL106" t="s">
        <v>160</v>
      </c>
      <c r="AM106">
        <v>0.45855000000000001</v>
      </c>
      <c r="AN106" t="s">
        <v>245</v>
      </c>
    </row>
    <row r="107" spans="9:40" x14ac:dyDescent="0.45">
      <c r="I107" t="s">
        <v>183</v>
      </c>
      <c r="J107" t="s">
        <v>163</v>
      </c>
      <c r="K107">
        <v>9.540709209783034E-2</v>
      </c>
      <c r="L107" t="s">
        <v>164</v>
      </c>
      <c r="N107" t="s">
        <v>211</v>
      </c>
      <c r="O107" t="s">
        <v>163</v>
      </c>
      <c r="P107">
        <v>5.0379481982111528E-2</v>
      </c>
      <c r="Q107" t="s">
        <v>164</v>
      </c>
      <c r="S107" t="s">
        <v>234</v>
      </c>
      <c r="T107" t="s">
        <v>163</v>
      </c>
      <c r="U107">
        <v>4.8192429372114799E-2</v>
      </c>
      <c r="V107" t="s">
        <v>164</v>
      </c>
      <c r="AK107">
        <v>2046</v>
      </c>
      <c r="AL107" t="s">
        <v>152</v>
      </c>
      <c r="AM107">
        <v>0.37059999999999998</v>
      </c>
      <c r="AN107" t="s">
        <v>245</v>
      </c>
    </row>
    <row r="108" spans="9:40" x14ac:dyDescent="0.45">
      <c r="I108" t="s">
        <v>183</v>
      </c>
      <c r="J108" t="s">
        <v>165</v>
      </c>
      <c r="K108">
        <v>3.7177011609259895E-3</v>
      </c>
      <c r="L108" t="s">
        <v>164</v>
      </c>
      <c r="N108" t="s">
        <v>211</v>
      </c>
      <c r="O108" t="s">
        <v>165</v>
      </c>
      <c r="P108">
        <v>3.096509413298215E-3</v>
      </c>
      <c r="Q108" t="s">
        <v>164</v>
      </c>
      <c r="S108" t="s">
        <v>234</v>
      </c>
      <c r="T108" t="s">
        <v>165</v>
      </c>
      <c r="U108">
        <v>5.7766852923307032E-3</v>
      </c>
      <c r="V108" t="s">
        <v>164</v>
      </c>
      <c r="AK108">
        <v>2046</v>
      </c>
      <c r="AL108" t="s">
        <v>156</v>
      </c>
      <c r="AM108">
        <v>0.34294999999999998</v>
      </c>
      <c r="AN108" t="s">
        <v>245</v>
      </c>
    </row>
    <row r="109" spans="9:40" x14ac:dyDescent="0.45">
      <c r="I109" t="s">
        <v>183</v>
      </c>
      <c r="J109" t="s">
        <v>166</v>
      </c>
      <c r="K109">
        <v>0</v>
      </c>
      <c r="L109" t="s">
        <v>164</v>
      </c>
      <c r="N109" t="s">
        <v>211</v>
      </c>
      <c r="O109" t="s">
        <v>166</v>
      </c>
      <c r="P109">
        <v>1.9300777502257477E-2</v>
      </c>
      <c r="Q109" t="s">
        <v>164</v>
      </c>
      <c r="S109" t="s">
        <v>234</v>
      </c>
      <c r="T109" t="s">
        <v>166</v>
      </c>
      <c r="U109">
        <v>2.8261344489155311E-2</v>
      </c>
      <c r="V109" t="s">
        <v>164</v>
      </c>
      <c r="AK109">
        <v>2046</v>
      </c>
      <c r="AL109" t="s">
        <v>158</v>
      </c>
      <c r="AM109">
        <v>0.38769999999999999</v>
      </c>
      <c r="AN109" t="s">
        <v>245</v>
      </c>
    </row>
    <row r="110" spans="9:40" x14ac:dyDescent="0.45">
      <c r="I110" t="s">
        <v>183</v>
      </c>
      <c r="J110" t="s">
        <v>167</v>
      </c>
      <c r="K110">
        <v>0.17486385293348336</v>
      </c>
      <c r="L110" t="s">
        <v>164</v>
      </c>
      <c r="N110" t="s">
        <v>211</v>
      </c>
      <c r="O110" t="s">
        <v>167</v>
      </c>
      <c r="P110">
        <v>7.3311773131497462E-2</v>
      </c>
      <c r="Q110" t="s">
        <v>164</v>
      </c>
      <c r="S110" t="s">
        <v>234</v>
      </c>
      <c r="T110" t="s">
        <v>167</v>
      </c>
      <c r="U110">
        <v>4.3942076867199822E-2</v>
      </c>
      <c r="V110" t="s">
        <v>164</v>
      </c>
      <c r="AK110">
        <v>2046</v>
      </c>
      <c r="AL110" t="s">
        <v>160</v>
      </c>
      <c r="AM110">
        <v>0.41439999999999999</v>
      </c>
      <c r="AN110" t="s">
        <v>245</v>
      </c>
    </row>
    <row r="111" spans="9:40" x14ac:dyDescent="0.45">
      <c r="I111" t="s">
        <v>183</v>
      </c>
      <c r="J111" t="s">
        <v>168</v>
      </c>
      <c r="K111">
        <v>6.4544194500293006E-3</v>
      </c>
      <c r="L111" t="s">
        <v>164</v>
      </c>
      <c r="N111" t="s">
        <v>211</v>
      </c>
      <c r="O111" t="s">
        <v>168</v>
      </c>
      <c r="P111">
        <v>4.5936495780059781E-3</v>
      </c>
      <c r="Q111" t="s">
        <v>164</v>
      </c>
      <c r="S111" t="s">
        <v>234</v>
      </c>
      <c r="T111" t="s">
        <v>168</v>
      </c>
      <c r="U111">
        <v>6.5333724244744599E-3</v>
      </c>
      <c r="V111" t="s">
        <v>164</v>
      </c>
      <c r="AK111">
        <v>2047</v>
      </c>
      <c r="AL111" t="s">
        <v>152</v>
      </c>
      <c r="AM111">
        <v>0.41520000000000001</v>
      </c>
      <c r="AN111" t="s">
        <v>245</v>
      </c>
    </row>
    <row r="112" spans="9:40" x14ac:dyDescent="0.45">
      <c r="I112" t="s">
        <v>183</v>
      </c>
      <c r="J112" t="s">
        <v>169</v>
      </c>
      <c r="K112">
        <v>0</v>
      </c>
      <c r="L112" t="s">
        <v>164</v>
      </c>
      <c r="N112" t="s">
        <v>211</v>
      </c>
      <c r="O112" t="s">
        <v>169</v>
      </c>
      <c r="P112">
        <v>2.8225070563297705E-2</v>
      </c>
      <c r="Q112" t="s">
        <v>164</v>
      </c>
      <c r="S112" t="s">
        <v>234</v>
      </c>
      <c r="T112" t="s">
        <v>169</v>
      </c>
      <c r="U112">
        <v>3.1085090854392147E-2</v>
      </c>
      <c r="V112" t="s">
        <v>164</v>
      </c>
      <c r="AK112">
        <v>2047</v>
      </c>
      <c r="AL112" t="s">
        <v>156</v>
      </c>
      <c r="AM112">
        <v>0.31764999999999999</v>
      </c>
      <c r="AN112" t="s">
        <v>245</v>
      </c>
    </row>
    <row r="113" spans="9:40" x14ac:dyDescent="0.45">
      <c r="I113" t="s">
        <v>183</v>
      </c>
      <c r="J113" t="s">
        <v>170</v>
      </c>
      <c r="K113">
        <v>0.54186742718007019</v>
      </c>
      <c r="L113" t="s">
        <v>164</v>
      </c>
      <c r="N113" t="s">
        <v>211</v>
      </c>
      <c r="O113" t="s">
        <v>170</v>
      </c>
      <c r="P113">
        <v>0.58296453700565187</v>
      </c>
      <c r="Q113" t="s">
        <v>164</v>
      </c>
      <c r="S113" t="s">
        <v>234</v>
      </c>
      <c r="T113" t="s">
        <v>170</v>
      </c>
      <c r="U113">
        <v>0.52698931994005682</v>
      </c>
      <c r="V113" t="s">
        <v>164</v>
      </c>
      <c r="AK113">
        <v>2047</v>
      </c>
      <c r="AL113" t="s">
        <v>158</v>
      </c>
      <c r="AM113">
        <v>0.38677142857142854</v>
      </c>
      <c r="AN113" t="s">
        <v>245</v>
      </c>
    </row>
    <row r="114" spans="9:40" x14ac:dyDescent="0.45">
      <c r="I114" t="s">
        <v>183</v>
      </c>
      <c r="J114" t="s">
        <v>171</v>
      </c>
      <c r="K114">
        <v>1.0210855053251786E-2</v>
      </c>
      <c r="L114" t="s">
        <v>164</v>
      </c>
      <c r="N114" t="s">
        <v>211</v>
      </c>
      <c r="O114" t="s">
        <v>171</v>
      </c>
      <c r="P114">
        <v>2.5732598183374613E-2</v>
      </c>
      <c r="Q114" t="s">
        <v>164</v>
      </c>
      <c r="S114" t="s">
        <v>234</v>
      </c>
      <c r="T114" t="s">
        <v>171</v>
      </c>
      <c r="U114">
        <v>3.7865987058248569E-2</v>
      </c>
      <c r="V114" t="s">
        <v>164</v>
      </c>
      <c r="AK114">
        <v>2047</v>
      </c>
      <c r="AL114" t="s">
        <v>160</v>
      </c>
      <c r="AM114">
        <v>0.4037</v>
      </c>
      <c r="AN114" t="s">
        <v>245</v>
      </c>
    </row>
    <row r="115" spans="9:40" x14ac:dyDescent="0.45">
      <c r="I115" t="s">
        <v>183</v>
      </c>
      <c r="J115" t="s">
        <v>172</v>
      </c>
      <c r="K115">
        <v>0</v>
      </c>
      <c r="L115" t="s">
        <v>164</v>
      </c>
      <c r="N115" t="s">
        <v>211</v>
      </c>
      <c r="O115" t="s">
        <v>172</v>
      </c>
      <c r="P115">
        <v>0.13344052493495073</v>
      </c>
      <c r="Q115" t="s">
        <v>164</v>
      </c>
      <c r="S115" t="s">
        <v>234</v>
      </c>
      <c r="T115" t="s">
        <v>172</v>
      </c>
      <c r="U115">
        <v>0.20132475633746647</v>
      </c>
      <c r="V115" t="s">
        <v>164</v>
      </c>
      <c r="AK115">
        <v>2048</v>
      </c>
      <c r="AL115" t="s">
        <v>152</v>
      </c>
      <c r="AM115">
        <v>0.37809999999999999</v>
      </c>
      <c r="AN115" t="s">
        <v>245</v>
      </c>
    </row>
    <row r="116" spans="9:40" x14ac:dyDescent="0.45">
      <c r="I116" t="s">
        <v>183</v>
      </c>
      <c r="J116" t="s">
        <v>173</v>
      </c>
      <c r="K116">
        <v>0.1664671400607502</v>
      </c>
      <c r="L116" t="s">
        <v>164</v>
      </c>
      <c r="N116" t="s">
        <v>211</v>
      </c>
      <c r="O116" t="s">
        <v>173</v>
      </c>
      <c r="P116">
        <v>5.4568517386739582E-2</v>
      </c>
      <c r="Q116" t="s">
        <v>164</v>
      </c>
      <c r="S116" t="s">
        <v>234</v>
      </c>
      <c r="T116" t="s">
        <v>173</v>
      </c>
      <c r="U116">
        <v>4.014099702104712E-2</v>
      </c>
      <c r="V116" t="s">
        <v>164</v>
      </c>
      <c r="AK116">
        <v>2048</v>
      </c>
      <c r="AL116" t="s">
        <v>156</v>
      </c>
      <c r="AM116">
        <v>0.36425000000000002</v>
      </c>
      <c r="AN116" t="s">
        <v>245</v>
      </c>
    </row>
    <row r="117" spans="9:40" x14ac:dyDescent="0.45">
      <c r="I117" t="s">
        <v>183</v>
      </c>
      <c r="J117" t="s">
        <v>174</v>
      </c>
      <c r="K117">
        <v>1.0115120636570265E-3</v>
      </c>
      <c r="L117" t="s">
        <v>164</v>
      </c>
      <c r="N117" t="s">
        <v>211</v>
      </c>
      <c r="O117" t="s">
        <v>174</v>
      </c>
      <c r="P117">
        <v>3.8159969203192538E-3</v>
      </c>
      <c r="Q117" t="s">
        <v>164</v>
      </c>
      <c r="S117" t="s">
        <v>234</v>
      </c>
      <c r="T117" t="s">
        <v>174</v>
      </c>
      <c r="U117">
        <v>5.3113928010479925E-3</v>
      </c>
      <c r="V117" t="s">
        <v>164</v>
      </c>
      <c r="AK117">
        <v>2048</v>
      </c>
      <c r="AL117" t="s">
        <v>158</v>
      </c>
      <c r="AM117">
        <v>0.35699999999999993</v>
      </c>
      <c r="AN117" t="s">
        <v>245</v>
      </c>
    </row>
    <row r="118" spans="9:40" x14ac:dyDescent="0.45">
      <c r="I118" t="s">
        <v>183</v>
      </c>
      <c r="J118" t="s">
        <v>175</v>
      </c>
      <c r="K118">
        <v>0</v>
      </c>
      <c r="L118" t="s">
        <v>164</v>
      </c>
      <c r="N118" t="s">
        <v>211</v>
      </c>
      <c r="O118" t="s">
        <v>175</v>
      </c>
      <c r="P118">
        <v>2.0570563398498429E-2</v>
      </c>
      <c r="Q118" t="s">
        <v>164</v>
      </c>
      <c r="S118" t="s">
        <v>234</v>
      </c>
      <c r="T118" t="s">
        <v>175</v>
      </c>
      <c r="U118">
        <v>2.4576547542463814E-2</v>
      </c>
      <c r="V118" t="s">
        <v>164</v>
      </c>
      <c r="AK118">
        <v>2048</v>
      </c>
      <c r="AL118" t="s">
        <v>160</v>
      </c>
      <c r="AM118">
        <v>0.42995</v>
      </c>
      <c r="AN118" t="s">
        <v>245</v>
      </c>
    </row>
    <row r="119" spans="9:40" x14ac:dyDescent="0.45">
      <c r="I119" t="s">
        <v>184</v>
      </c>
      <c r="J119" t="s">
        <v>163</v>
      </c>
      <c r="K119">
        <v>0.10017914517807711</v>
      </c>
      <c r="L119" t="s">
        <v>164</v>
      </c>
      <c r="N119" t="s">
        <v>212</v>
      </c>
      <c r="O119" t="s">
        <v>163</v>
      </c>
      <c r="P119">
        <v>4.1946988208333848E-2</v>
      </c>
      <c r="Q119" t="s">
        <v>164</v>
      </c>
      <c r="S119" t="s">
        <v>235</v>
      </c>
      <c r="T119" t="s">
        <v>163</v>
      </c>
      <c r="U119">
        <v>6.284173053746131E-2</v>
      </c>
      <c r="V119" t="s">
        <v>164</v>
      </c>
      <c r="AK119">
        <v>2049</v>
      </c>
      <c r="AL119" t="s">
        <v>152</v>
      </c>
      <c r="AM119">
        <v>0.36820000000000003</v>
      </c>
      <c r="AN119" t="s">
        <v>245</v>
      </c>
    </row>
    <row r="120" spans="9:40" x14ac:dyDescent="0.45">
      <c r="I120" t="s">
        <v>184</v>
      </c>
      <c r="J120" t="s">
        <v>165</v>
      </c>
      <c r="K120">
        <v>3.6871362519997198E-3</v>
      </c>
      <c r="L120" t="s">
        <v>164</v>
      </c>
      <c r="N120" t="s">
        <v>212</v>
      </c>
      <c r="O120" t="s">
        <v>165</v>
      </c>
      <c r="P120">
        <v>1.4928032726455394E-3</v>
      </c>
      <c r="Q120" t="s">
        <v>164</v>
      </c>
      <c r="S120" t="s">
        <v>235</v>
      </c>
      <c r="T120" t="s">
        <v>165</v>
      </c>
      <c r="U120">
        <v>6.037205660854447E-3</v>
      </c>
      <c r="V120" t="s">
        <v>164</v>
      </c>
      <c r="AK120">
        <v>2049</v>
      </c>
      <c r="AL120" t="s">
        <v>156</v>
      </c>
      <c r="AM120">
        <v>0.32825000000000004</v>
      </c>
      <c r="AN120" t="s">
        <v>245</v>
      </c>
    </row>
    <row r="121" spans="9:40" x14ac:dyDescent="0.45">
      <c r="I121" t="s">
        <v>184</v>
      </c>
      <c r="J121" t="s">
        <v>166</v>
      </c>
      <c r="K121">
        <v>0</v>
      </c>
      <c r="L121" t="s">
        <v>164</v>
      </c>
      <c r="N121" t="s">
        <v>212</v>
      </c>
      <c r="O121" t="s">
        <v>166</v>
      </c>
      <c r="P121">
        <v>1.6048527935772355E-2</v>
      </c>
      <c r="Q121" t="s">
        <v>164</v>
      </c>
      <c r="S121" t="s">
        <v>235</v>
      </c>
      <c r="T121" t="s">
        <v>166</v>
      </c>
      <c r="U121">
        <v>2.9320585248050323E-2</v>
      </c>
      <c r="V121" t="s">
        <v>164</v>
      </c>
      <c r="AK121">
        <v>2049</v>
      </c>
      <c r="AL121" t="s">
        <v>158</v>
      </c>
      <c r="AM121">
        <v>0.36812857142857147</v>
      </c>
      <c r="AN121" t="s">
        <v>245</v>
      </c>
    </row>
    <row r="122" spans="9:40" x14ac:dyDescent="0.45">
      <c r="I122" t="s">
        <v>184</v>
      </c>
      <c r="J122" t="s">
        <v>167</v>
      </c>
      <c r="K122">
        <v>0.18232136251985664</v>
      </c>
      <c r="L122" t="s">
        <v>164</v>
      </c>
      <c r="N122" t="s">
        <v>212</v>
      </c>
      <c r="O122" t="s">
        <v>167</v>
      </c>
      <c r="P122">
        <v>7.7920628041267107E-2</v>
      </c>
      <c r="Q122" t="s">
        <v>164</v>
      </c>
      <c r="S122" t="s">
        <v>235</v>
      </c>
      <c r="T122" t="s">
        <v>167</v>
      </c>
      <c r="U122">
        <v>5.5941310180319413E-2</v>
      </c>
      <c r="V122" t="s">
        <v>164</v>
      </c>
      <c r="AK122">
        <v>2049</v>
      </c>
      <c r="AL122" t="s">
        <v>160</v>
      </c>
      <c r="AM122">
        <v>0.40864999999999996</v>
      </c>
      <c r="AN122" t="s">
        <v>245</v>
      </c>
    </row>
    <row r="123" spans="9:40" x14ac:dyDescent="0.45">
      <c r="I123" t="s">
        <v>184</v>
      </c>
      <c r="J123" t="s">
        <v>168</v>
      </c>
      <c r="K123">
        <v>6.7405963564244453E-3</v>
      </c>
      <c r="L123" t="s">
        <v>164</v>
      </c>
      <c r="N123" t="s">
        <v>212</v>
      </c>
      <c r="O123" t="s">
        <v>168</v>
      </c>
      <c r="P123">
        <v>2.5521673733209338E-3</v>
      </c>
      <c r="Q123" t="s">
        <v>164</v>
      </c>
      <c r="S123" t="s">
        <v>235</v>
      </c>
      <c r="T123" t="s">
        <v>168</v>
      </c>
      <c r="U123">
        <v>6.1866405172401181E-3</v>
      </c>
      <c r="V123" t="s">
        <v>164</v>
      </c>
      <c r="AK123">
        <v>2050</v>
      </c>
      <c r="AL123" t="s">
        <v>152</v>
      </c>
      <c r="AM123">
        <v>0.41649999999999998</v>
      </c>
      <c r="AN123" t="s">
        <v>245</v>
      </c>
    </row>
    <row r="124" spans="9:40" x14ac:dyDescent="0.45">
      <c r="I124" t="s">
        <v>184</v>
      </c>
      <c r="J124" t="s">
        <v>169</v>
      </c>
      <c r="K124">
        <v>0</v>
      </c>
      <c r="L124" t="s">
        <v>164</v>
      </c>
      <c r="N124" t="s">
        <v>212</v>
      </c>
      <c r="O124" t="s">
        <v>169</v>
      </c>
      <c r="P124">
        <v>3.0622853891212939E-2</v>
      </c>
      <c r="Q124" t="s">
        <v>164</v>
      </c>
      <c r="S124" t="s">
        <v>235</v>
      </c>
      <c r="T124" t="s">
        <v>169</v>
      </c>
      <c r="U124">
        <v>3.1545979658588193E-2</v>
      </c>
      <c r="V124" t="s">
        <v>164</v>
      </c>
      <c r="AK124">
        <v>2050</v>
      </c>
      <c r="AL124" t="s">
        <v>156</v>
      </c>
      <c r="AM124">
        <v>0.33645000000000003</v>
      </c>
      <c r="AN124" t="s">
        <v>245</v>
      </c>
    </row>
    <row r="125" spans="9:40" x14ac:dyDescent="0.45">
      <c r="I125" t="s">
        <v>184</v>
      </c>
      <c r="J125" t="s">
        <v>170</v>
      </c>
      <c r="K125">
        <v>0.52684738585064339</v>
      </c>
      <c r="L125" t="s">
        <v>164</v>
      </c>
      <c r="N125" t="s">
        <v>212</v>
      </c>
      <c r="O125" t="s">
        <v>170</v>
      </c>
      <c r="P125">
        <v>0.53688335972784051</v>
      </c>
      <c r="Q125" t="s">
        <v>164</v>
      </c>
      <c r="S125" t="s">
        <v>235</v>
      </c>
      <c r="T125" t="s">
        <v>170</v>
      </c>
      <c r="U125">
        <v>0.50356152617841987</v>
      </c>
      <c r="V125" t="s">
        <v>164</v>
      </c>
      <c r="AK125">
        <v>2050</v>
      </c>
      <c r="AL125" t="s">
        <v>158</v>
      </c>
      <c r="AM125">
        <v>0.3771714285714286</v>
      </c>
      <c r="AN125" t="s">
        <v>245</v>
      </c>
    </row>
    <row r="126" spans="9:40" x14ac:dyDescent="0.45">
      <c r="I126" t="s">
        <v>184</v>
      </c>
      <c r="J126" t="s">
        <v>171</v>
      </c>
      <c r="K126">
        <v>9.7234251626144141E-3</v>
      </c>
      <c r="L126" t="s">
        <v>164</v>
      </c>
      <c r="N126" t="s">
        <v>212</v>
      </c>
      <c r="O126" t="s">
        <v>171</v>
      </c>
      <c r="P126">
        <v>2.7583176023888274E-2</v>
      </c>
      <c r="Q126" t="s">
        <v>164</v>
      </c>
      <c r="S126" t="s">
        <v>235</v>
      </c>
      <c r="T126" t="s">
        <v>171</v>
      </c>
      <c r="U126">
        <v>3.4474281443215377E-2</v>
      </c>
      <c r="V126" t="s">
        <v>164</v>
      </c>
      <c r="AK126">
        <v>2050</v>
      </c>
      <c r="AL126" t="s">
        <v>160</v>
      </c>
      <c r="AM126">
        <v>0.40659999999999996</v>
      </c>
      <c r="AN126" t="s">
        <v>245</v>
      </c>
    </row>
    <row r="127" spans="9:40" x14ac:dyDescent="0.45">
      <c r="I127" t="s">
        <v>184</v>
      </c>
      <c r="J127" t="s">
        <v>172</v>
      </c>
      <c r="K127">
        <v>0</v>
      </c>
      <c r="L127" t="s">
        <v>164</v>
      </c>
      <c r="N127" t="s">
        <v>212</v>
      </c>
      <c r="O127" t="s">
        <v>172</v>
      </c>
      <c r="P127">
        <v>0.19616919256167831</v>
      </c>
      <c r="Q127" t="s">
        <v>164</v>
      </c>
      <c r="S127" t="s">
        <v>235</v>
      </c>
      <c r="T127" t="s">
        <v>172</v>
      </c>
      <c r="U127">
        <v>0.18843392479644649</v>
      </c>
      <c r="V127" t="s">
        <v>164</v>
      </c>
    </row>
    <row r="128" spans="9:40" x14ac:dyDescent="0.45">
      <c r="I128" t="s">
        <v>184</v>
      </c>
      <c r="J128" t="s">
        <v>173</v>
      </c>
      <c r="K128">
        <v>0.16877043753075308</v>
      </c>
      <c r="L128" t="s">
        <v>164</v>
      </c>
      <c r="N128" t="s">
        <v>212</v>
      </c>
      <c r="O128" t="s">
        <v>173</v>
      </c>
      <c r="P128">
        <v>4.563758972320206E-2</v>
      </c>
      <c r="Q128" t="s">
        <v>164</v>
      </c>
      <c r="S128" t="s">
        <v>235</v>
      </c>
      <c r="T128" t="s">
        <v>173</v>
      </c>
      <c r="U128">
        <v>5.087083945183897E-2</v>
      </c>
      <c r="V128" t="s">
        <v>164</v>
      </c>
    </row>
    <row r="129" spans="9:22" x14ac:dyDescent="0.45">
      <c r="I129" t="s">
        <v>184</v>
      </c>
      <c r="J129" t="s">
        <v>174</v>
      </c>
      <c r="K129">
        <v>1.7305111496324999E-3</v>
      </c>
      <c r="L129" t="s">
        <v>164</v>
      </c>
      <c r="N129" t="s">
        <v>212</v>
      </c>
      <c r="O129" t="s">
        <v>174</v>
      </c>
      <c r="P129">
        <v>2.4736588023553138E-3</v>
      </c>
      <c r="Q129" t="s">
        <v>164</v>
      </c>
      <c r="S129" t="s">
        <v>235</v>
      </c>
      <c r="T129" t="s">
        <v>174</v>
      </c>
      <c r="U129">
        <v>5.3039699693898899E-3</v>
      </c>
      <c r="V129" t="s">
        <v>164</v>
      </c>
    </row>
    <row r="130" spans="9:22" x14ac:dyDescent="0.45">
      <c r="I130" t="s">
        <v>184</v>
      </c>
      <c r="J130" t="s">
        <v>175</v>
      </c>
      <c r="K130">
        <v>0</v>
      </c>
      <c r="L130" t="s">
        <v>164</v>
      </c>
      <c r="N130" t="s">
        <v>212</v>
      </c>
      <c r="O130" t="s">
        <v>175</v>
      </c>
      <c r="P130">
        <v>2.0669054438485802E-2</v>
      </c>
      <c r="Q130" t="s">
        <v>164</v>
      </c>
      <c r="S130" t="s">
        <v>235</v>
      </c>
      <c r="T130" t="s">
        <v>175</v>
      </c>
      <c r="U130">
        <v>2.5482006358174346E-2</v>
      </c>
      <c r="V130" t="s">
        <v>164</v>
      </c>
    </row>
    <row r="131" spans="9:22" x14ac:dyDescent="0.45">
      <c r="I131" t="s">
        <v>185</v>
      </c>
      <c r="J131" t="s">
        <v>163</v>
      </c>
      <c r="K131">
        <v>9.2700922174626804E-2</v>
      </c>
      <c r="L131" t="s">
        <v>164</v>
      </c>
      <c r="N131" t="s">
        <v>213</v>
      </c>
      <c r="O131" t="s">
        <v>163</v>
      </c>
      <c r="P131">
        <v>3.9993428665133265E-2</v>
      </c>
      <c r="Q131" t="s">
        <v>164</v>
      </c>
    </row>
    <row r="132" spans="9:22" x14ac:dyDescent="0.45">
      <c r="I132" t="s">
        <v>185</v>
      </c>
      <c r="J132" t="s">
        <v>165</v>
      </c>
      <c r="K132">
        <v>3.0744076073892846E-3</v>
      </c>
      <c r="L132" t="s">
        <v>164</v>
      </c>
      <c r="N132" t="s">
        <v>213</v>
      </c>
      <c r="O132" t="s">
        <v>165</v>
      </c>
      <c r="P132">
        <v>2.692842161215491E-3</v>
      </c>
      <c r="Q132" t="s">
        <v>164</v>
      </c>
    </row>
    <row r="133" spans="9:22" x14ac:dyDescent="0.45">
      <c r="I133" t="s">
        <v>185</v>
      </c>
      <c r="J133" t="s">
        <v>166</v>
      </c>
      <c r="K133">
        <v>0</v>
      </c>
      <c r="L133" t="s">
        <v>164</v>
      </c>
      <c r="N133" t="s">
        <v>213</v>
      </c>
      <c r="O133" t="s">
        <v>166</v>
      </c>
      <c r="P133">
        <v>1.6918129229665797E-2</v>
      </c>
      <c r="Q133" t="s">
        <v>164</v>
      </c>
    </row>
    <row r="134" spans="9:22" x14ac:dyDescent="0.45">
      <c r="I134" t="s">
        <v>185</v>
      </c>
      <c r="J134" t="s">
        <v>167</v>
      </c>
      <c r="K134">
        <v>0.17242089751248868</v>
      </c>
      <c r="L134" t="s">
        <v>164</v>
      </c>
      <c r="N134" t="s">
        <v>213</v>
      </c>
      <c r="O134" t="s">
        <v>167</v>
      </c>
      <c r="P134">
        <v>0.10552783628102988</v>
      </c>
      <c r="Q134" t="s">
        <v>164</v>
      </c>
    </row>
    <row r="135" spans="9:22" x14ac:dyDescent="0.45">
      <c r="I135" t="s">
        <v>185</v>
      </c>
      <c r="J135" t="s">
        <v>168</v>
      </c>
      <c r="K135">
        <v>6.1128516139826563E-3</v>
      </c>
      <c r="L135" t="s">
        <v>164</v>
      </c>
      <c r="N135" t="s">
        <v>213</v>
      </c>
      <c r="O135" t="s">
        <v>168</v>
      </c>
      <c r="P135">
        <v>6.4898909723036299E-3</v>
      </c>
      <c r="Q135" t="s">
        <v>164</v>
      </c>
    </row>
    <row r="136" spans="9:22" x14ac:dyDescent="0.45">
      <c r="I136" t="s">
        <v>185</v>
      </c>
      <c r="J136" t="s">
        <v>169</v>
      </c>
      <c r="K136">
        <v>0</v>
      </c>
      <c r="L136" t="s">
        <v>164</v>
      </c>
      <c r="N136" t="s">
        <v>213</v>
      </c>
      <c r="O136" t="s">
        <v>169</v>
      </c>
      <c r="P136">
        <v>3.5104642299249832E-2</v>
      </c>
      <c r="Q136" t="s">
        <v>164</v>
      </c>
    </row>
    <row r="137" spans="9:22" x14ac:dyDescent="0.45">
      <c r="I137" t="s">
        <v>185</v>
      </c>
      <c r="J137" t="s">
        <v>170</v>
      </c>
      <c r="K137">
        <v>0.54460599001220955</v>
      </c>
      <c r="L137" t="s">
        <v>164</v>
      </c>
      <c r="N137" t="s">
        <v>213</v>
      </c>
      <c r="O137" t="s">
        <v>170</v>
      </c>
      <c r="P137">
        <v>0.50240116816661307</v>
      </c>
      <c r="Q137" t="s">
        <v>164</v>
      </c>
    </row>
    <row r="138" spans="9:22" x14ac:dyDescent="0.45">
      <c r="I138" t="s">
        <v>185</v>
      </c>
      <c r="J138" t="s">
        <v>171</v>
      </c>
      <c r="K138">
        <v>1.24807070851047E-2</v>
      </c>
      <c r="L138" t="s">
        <v>164</v>
      </c>
      <c r="N138" t="s">
        <v>213</v>
      </c>
      <c r="O138" t="s">
        <v>171</v>
      </c>
      <c r="P138">
        <v>2.8852416902732689E-2</v>
      </c>
      <c r="Q138" t="s">
        <v>164</v>
      </c>
    </row>
    <row r="139" spans="9:22" x14ac:dyDescent="0.45">
      <c r="I139" t="s">
        <v>185</v>
      </c>
      <c r="J139" t="s">
        <v>172</v>
      </c>
      <c r="K139">
        <v>0</v>
      </c>
      <c r="L139" t="s">
        <v>164</v>
      </c>
      <c r="N139" t="s">
        <v>213</v>
      </c>
      <c r="O139" t="s">
        <v>172</v>
      </c>
      <c r="P139">
        <v>0.15974260566726006</v>
      </c>
      <c r="Q139" t="s">
        <v>164</v>
      </c>
    </row>
    <row r="140" spans="9:22" x14ac:dyDescent="0.45">
      <c r="I140" t="s">
        <v>185</v>
      </c>
      <c r="J140" t="s">
        <v>173</v>
      </c>
      <c r="K140">
        <v>0.16660817284291729</v>
      </c>
      <c r="L140" t="s">
        <v>164</v>
      </c>
      <c r="N140" t="s">
        <v>213</v>
      </c>
      <c r="O140" t="s">
        <v>173</v>
      </c>
      <c r="P140">
        <v>6.8527048943301444E-2</v>
      </c>
      <c r="Q140" t="s">
        <v>164</v>
      </c>
    </row>
    <row r="141" spans="9:22" x14ac:dyDescent="0.45">
      <c r="I141" t="s">
        <v>185</v>
      </c>
      <c r="J141" t="s">
        <v>174</v>
      </c>
      <c r="K141">
        <v>1.9960511512789143E-3</v>
      </c>
      <c r="L141" t="s">
        <v>164</v>
      </c>
      <c r="N141" t="s">
        <v>213</v>
      </c>
      <c r="O141" t="s">
        <v>174</v>
      </c>
      <c r="P141">
        <v>5.5520872029563434E-3</v>
      </c>
      <c r="Q141" t="s">
        <v>164</v>
      </c>
    </row>
    <row r="142" spans="9:22" x14ac:dyDescent="0.45">
      <c r="I142" t="s">
        <v>185</v>
      </c>
      <c r="J142" t="s">
        <v>175</v>
      </c>
      <c r="K142">
        <v>0</v>
      </c>
      <c r="L142" t="s">
        <v>164</v>
      </c>
      <c r="N142" t="s">
        <v>213</v>
      </c>
      <c r="O142" t="s">
        <v>175</v>
      </c>
      <c r="P142">
        <v>2.8197903508540321E-2</v>
      </c>
      <c r="Q142" t="s">
        <v>164</v>
      </c>
    </row>
    <row r="143" spans="9:22" x14ac:dyDescent="0.45">
      <c r="I143" t="s">
        <v>186</v>
      </c>
      <c r="J143" t="s">
        <v>163</v>
      </c>
      <c r="K143">
        <v>9.6566552734242472E-2</v>
      </c>
      <c r="L143" t="s">
        <v>164</v>
      </c>
      <c r="N143" t="s">
        <v>214</v>
      </c>
      <c r="O143" t="s">
        <v>163</v>
      </c>
      <c r="P143">
        <v>4.2869148991804926E-2</v>
      </c>
      <c r="Q143" t="s">
        <v>164</v>
      </c>
    </row>
    <row r="144" spans="9:22" x14ac:dyDescent="0.45">
      <c r="I144" t="s">
        <v>186</v>
      </c>
      <c r="J144" t="s">
        <v>165</v>
      </c>
      <c r="K144">
        <v>3.525981292197387E-3</v>
      </c>
      <c r="L144" t="s">
        <v>164</v>
      </c>
      <c r="N144" t="s">
        <v>214</v>
      </c>
      <c r="O144" t="s">
        <v>165</v>
      </c>
      <c r="P144">
        <v>2.5768561152355244E-3</v>
      </c>
      <c r="Q144" t="s">
        <v>164</v>
      </c>
    </row>
    <row r="145" spans="9:17" x14ac:dyDescent="0.45">
      <c r="I145" t="s">
        <v>186</v>
      </c>
      <c r="J145" t="s">
        <v>166</v>
      </c>
      <c r="K145">
        <v>0</v>
      </c>
      <c r="L145" t="s">
        <v>164</v>
      </c>
      <c r="N145" t="s">
        <v>214</v>
      </c>
      <c r="O145" t="s">
        <v>166</v>
      </c>
      <c r="P145">
        <v>2.1682472724019537E-2</v>
      </c>
      <c r="Q145" t="s">
        <v>164</v>
      </c>
    </row>
    <row r="146" spans="9:17" x14ac:dyDescent="0.45">
      <c r="I146" t="s">
        <v>186</v>
      </c>
      <c r="J146" t="s">
        <v>167</v>
      </c>
      <c r="K146">
        <v>0.1719543756881087</v>
      </c>
      <c r="L146" t="s">
        <v>164</v>
      </c>
      <c r="N146" t="s">
        <v>214</v>
      </c>
      <c r="O146" t="s">
        <v>167</v>
      </c>
      <c r="P146">
        <v>0.11016860788343262</v>
      </c>
      <c r="Q146" t="s">
        <v>164</v>
      </c>
    </row>
    <row r="147" spans="9:17" x14ac:dyDescent="0.45">
      <c r="I147" t="s">
        <v>186</v>
      </c>
      <c r="J147" t="s">
        <v>168</v>
      </c>
      <c r="K147">
        <v>6.0729929374143824E-3</v>
      </c>
      <c r="L147" t="s">
        <v>164</v>
      </c>
      <c r="N147" t="s">
        <v>214</v>
      </c>
      <c r="O147" t="s">
        <v>168</v>
      </c>
      <c r="P147">
        <v>7.2622770016449335E-3</v>
      </c>
      <c r="Q147" t="s">
        <v>164</v>
      </c>
    </row>
    <row r="148" spans="9:17" x14ac:dyDescent="0.45">
      <c r="I148" t="s">
        <v>186</v>
      </c>
      <c r="J148" t="s">
        <v>169</v>
      </c>
      <c r="K148">
        <v>0</v>
      </c>
      <c r="L148" t="s">
        <v>164</v>
      </c>
      <c r="N148" t="s">
        <v>214</v>
      </c>
      <c r="O148" t="s">
        <v>169</v>
      </c>
      <c r="P148">
        <v>5.4213815066140258E-2</v>
      </c>
      <c r="Q148" t="s">
        <v>164</v>
      </c>
    </row>
    <row r="149" spans="9:17" x14ac:dyDescent="0.45">
      <c r="I149" t="s">
        <v>186</v>
      </c>
      <c r="J149" t="s">
        <v>170</v>
      </c>
      <c r="K149">
        <v>0.54291706006417451</v>
      </c>
      <c r="L149" t="s">
        <v>164</v>
      </c>
      <c r="N149" t="s">
        <v>214</v>
      </c>
      <c r="O149" t="s">
        <v>170</v>
      </c>
      <c r="P149">
        <v>0.43843895164478686</v>
      </c>
      <c r="Q149" t="s">
        <v>164</v>
      </c>
    </row>
    <row r="150" spans="9:17" x14ac:dyDescent="0.45">
      <c r="I150" t="s">
        <v>186</v>
      </c>
      <c r="J150" t="s">
        <v>171</v>
      </c>
      <c r="K150">
        <v>1.2329573405696336E-2</v>
      </c>
      <c r="L150" t="s">
        <v>164</v>
      </c>
      <c r="N150" t="s">
        <v>214</v>
      </c>
      <c r="O150" t="s">
        <v>171</v>
      </c>
      <c r="P150">
        <v>1.2237537137530409E-2</v>
      </c>
      <c r="Q150" t="s">
        <v>164</v>
      </c>
    </row>
    <row r="151" spans="9:17" x14ac:dyDescent="0.45">
      <c r="I151" t="s">
        <v>186</v>
      </c>
      <c r="J151" t="s">
        <v>172</v>
      </c>
      <c r="K151">
        <v>0</v>
      </c>
      <c r="L151" t="s">
        <v>164</v>
      </c>
      <c r="N151" t="s">
        <v>214</v>
      </c>
      <c r="O151" t="s">
        <v>172</v>
      </c>
      <c r="P151">
        <v>0.15401082630064647</v>
      </c>
      <c r="Q151" t="s">
        <v>164</v>
      </c>
    </row>
    <row r="152" spans="9:17" x14ac:dyDescent="0.45">
      <c r="I152" t="s">
        <v>186</v>
      </c>
      <c r="J152" t="s">
        <v>173</v>
      </c>
      <c r="K152">
        <v>0.16445020412739306</v>
      </c>
      <c r="L152" t="s">
        <v>164</v>
      </c>
      <c r="N152" t="s">
        <v>214</v>
      </c>
      <c r="O152" t="s">
        <v>173</v>
      </c>
      <c r="P152">
        <v>0.10226332926045609</v>
      </c>
      <c r="Q152" t="s">
        <v>164</v>
      </c>
    </row>
    <row r="153" spans="9:17" x14ac:dyDescent="0.45">
      <c r="I153" t="s">
        <v>186</v>
      </c>
      <c r="J153" t="s">
        <v>174</v>
      </c>
      <c r="K153">
        <v>2.1832597507732668E-3</v>
      </c>
      <c r="L153" t="s">
        <v>164</v>
      </c>
      <c r="N153" t="s">
        <v>214</v>
      </c>
      <c r="O153" t="s">
        <v>174</v>
      </c>
      <c r="P153">
        <v>7.2068688924776672E-3</v>
      </c>
      <c r="Q153" t="s">
        <v>164</v>
      </c>
    </row>
    <row r="154" spans="9:17" x14ac:dyDescent="0.45">
      <c r="I154" t="s">
        <v>186</v>
      </c>
      <c r="J154" t="s">
        <v>175</v>
      </c>
      <c r="K154">
        <v>0</v>
      </c>
      <c r="L154" t="s">
        <v>164</v>
      </c>
      <c r="N154" t="s">
        <v>214</v>
      </c>
      <c r="O154" t="s">
        <v>175</v>
      </c>
      <c r="P154">
        <v>4.7069308981823675E-2</v>
      </c>
      <c r="Q154" t="s">
        <v>164</v>
      </c>
    </row>
    <row r="155" spans="9:17" x14ac:dyDescent="0.45">
      <c r="I155" t="s">
        <v>187</v>
      </c>
      <c r="J155" t="s">
        <v>163</v>
      </c>
      <c r="K155">
        <v>0.10442443941617349</v>
      </c>
      <c r="L155" t="s">
        <v>164</v>
      </c>
      <c r="N155" t="s">
        <v>215</v>
      </c>
      <c r="O155" t="s">
        <v>163</v>
      </c>
      <c r="P155">
        <v>4.2762275906467501E-2</v>
      </c>
      <c r="Q155" t="s">
        <v>164</v>
      </c>
    </row>
    <row r="156" spans="9:17" x14ac:dyDescent="0.45">
      <c r="I156" t="s">
        <v>187</v>
      </c>
      <c r="J156" t="s">
        <v>165</v>
      </c>
      <c r="K156">
        <v>5.6494017883311986E-4</v>
      </c>
      <c r="L156" t="s">
        <v>164</v>
      </c>
      <c r="N156" t="s">
        <v>215</v>
      </c>
      <c r="O156" t="s">
        <v>165</v>
      </c>
      <c r="P156">
        <v>2.3423770244000892E-3</v>
      </c>
      <c r="Q156" t="s">
        <v>164</v>
      </c>
    </row>
    <row r="157" spans="9:17" x14ac:dyDescent="0.45">
      <c r="I157" t="s">
        <v>187</v>
      </c>
      <c r="J157" t="s">
        <v>166</v>
      </c>
      <c r="K157">
        <v>0</v>
      </c>
      <c r="L157" t="s">
        <v>164</v>
      </c>
      <c r="N157" t="s">
        <v>215</v>
      </c>
      <c r="O157" t="s">
        <v>166</v>
      </c>
      <c r="P157">
        <v>1.6367200706027311E-2</v>
      </c>
      <c r="Q157" t="s">
        <v>164</v>
      </c>
    </row>
    <row r="158" spans="9:17" x14ac:dyDescent="0.45">
      <c r="I158" t="s">
        <v>187</v>
      </c>
      <c r="J158" t="s">
        <v>167</v>
      </c>
      <c r="K158">
        <v>0.18424642982556788</v>
      </c>
      <c r="L158" t="s">
        <v>164</v>
      </c>
      <c r="N158" t="s">
        <v>215</v>
      </c>
      <c r="O158" t="s">
        <v>167</v>
      </c>
      <c r="P158">
        <v>0.11318783217046019</v>
      </c>
      <c r="Q158" t="s">
        <v>164</v>
      </c>
    </row>
    <row r="159" spans="9:17" x14ac:dyDescent="0.45">
      <c r="I159" t="s">
        <v>187</v>
      </c>
      <c r="J159" t="s">
        <v>168</v>
      </c>
      <c r="K159">
        <v>6.0690986913377086E-3</v>
      </c>
      <c r="L159" t="s">
        <v>164</v>
      </c>
      <c r="N159" t="s">
        <v>215</v>
      </c>
      <c r="O159" t="s">
        <v>168</v>
      </c>
      <c r="P159">
        <v>6.5856888041117981E-3</v>
      </c>
      <c r="Q159" t="s">
        <v>164</v>
      </c>
    </row>
    <row r="160" spans="9:17" x14ac:dyDescent="0.45">
      <c r="I160" t="s">
        <v>187</v>
      </c>
      <c r="J160" t="s">
        <v>169</v>
      </c>
      <c r="K160">
        <v>0</v>
      </c>
      <c r="L160" t="s">
        <v>164</v>
      </c>
      <c r="N160" t="s">
        <v>215</v>
      </c>
      <c r="O160" t="s">
        <v>169</v>
      </c>
      <c r="P160">
        <v>3.8833092185747015E-2</v>
      </c>
      <c r="Q160" t="s">
        <v>164</v>
      </c>
    </row>
    <row r="161" spans="9:17" x14ac:dyDescent="0.45">
      <c r="I161" t="s">
        <v>187</v>
      </c>
      <c r="J161" t="s">
        <v>170</v>
      </c>
      <c r="K161">
        <v>0.51587096498178986</v>
      </c>
      <c r="L161" t="s">
        <v>164</v>
      </c>
      <c r="N161" t="s">
        <v>215</v>
      </c>
      <c r="O161" t="s">
        <v>170</v>
      </c>
      <c r="P161">
        <v>0.4730022593321635</v>
      </c>
      <c r="Q161" t="s">
        <v>164</v>
      </c>
    </row>
    <row r="162" spans="9:17" x14ac:dyDescent="0.45">
      <c r="I162" t="s">
        <v>187</v>
      </c>
      <c r="J162" t="s">
        <v>171</v>
      </c>
      <c r="K162">
        <v>2.0431066930173725E-3</v>
      </c>
      <c r="L162" t="s">
        <v>164</v>
      </c>
      <c r="N162" t="s">
        <v>215</v>
      </c>
      <c r="O162" t="s">
        <v>171</v>
      </c>
      <c r="P162">
        <v>2.3171650710517491E-2</v>
      </c>
      <c r="Q162" t="s">
        <v>164</v>
      </c>
    </row>
    <row r="163" spans="9:17" x14ac:dyDescent="0.45">
      <c r="I163" t="s">
        <v>187</v>
      </c>
      <c r="J163" t="s">
        <v>172</v>
      </c>
      <c r="K163">
        <v>0</v>
      </c>
      <c r="L163" t="s">
        <v>164</v>
      </c>
      <c r="N163" t="s">
        <v>215</v>
      </c>
      <c r="O163" t="s">
        <v>172</v>
      </c>
      <c r="P163">
        <v>0.15450354116885623</v>
      </c>
      <c r="Q163" t="s">
        <v>164</v>
      </c>
    </row>
    <row r="164" spans="9:17" x14ac:dyDescent="0.45">
      <c r="I164" t="s">
        <v>187</v>
      </c>
      <c r="J164" t="s">
        <v>173</v>
      </c>
      <c r="K164">
        <v>0.18678102021327947</v>
      </c>
      <c r="L164" t="s">
        <v>164</v>
      </c>
      <c r="N164" t="s">
        <v>215</v>
      </c>
      <c r="O164" t="s">
        <v>173</v>
      </c>
      <c r="P164">
        <v>8.8052320281029328E-2</v>
      </c>
      <c r="Q164" t="s">
        <v>164</v>
      </c>
    </row>
    <row r="165" spans="9:17" x14ac:dyDescent="0.45">
      <c r="I165" t="s">
        <v>187</v>
      </c>
      <c r="J165" t="s">
        <v>174</v>
      </c>
      <c r="K165">
        <v>0</v>
      </c>
      <c r="L165" t="s">
        <v>164</v>
      </c>
      <c r="N165" t="s">
        <v>215</v>
      </c>
      <c r="O165" t="s">
        <v>174</v>
      </c>
      <c r="P165">
        <v>5.9634553431342227E-3</v>
      </c>
      <c r="Q165" t="s">
        <v>164</v>
      </c>
    </row>
    <row r="166" spans="9:17" x14ac:dyDescent="0.45">
      <c r="I166" t="s">
        <v>187</v>
      </c>
      <c r="J166" t="s">
        <v>175</v>
      </c>
      <c r="K166">
        <v>0</v>
      </c>
      <c r="L166" t="s">
        <v>164</v>
      </c>
      <c r="N166" t="s">
        <v>215</v>
      </c>
      <c r="O166" t="s">
        <v>175</v>
      </c>
      <c r="P166">
        <v>3.522830636708825E-2</v>
      </c>
      <c r="Q166" t="s">
        <v>164</v>
      </c>
    </row>
    <row r="167" spans="9:17" x14ac:dyDescent="0.45">
      <c r="I167" t="s">
        <v>188</v>
      </c>
      <c r="J167" t="s">
        <v>163</v>
      </c>
      <c r="K167">
        <v>0.10233140557851324</v>
      </c>
      <c r="L167" t="s">
        <v>164</v>
      </c>
      <c r="N167" t="s">
        <v>216</v>
      </c>
      <c r="O167" t="s">
        <v>163</v>
      </c>
      <c r="P167">
        <v>3.4044335092411601E-2</v>
      </c>
      <c r="Q167" t="s">
        <v>164</v>
      </c>
    </row>
    <row r="168" spans="9:17" x14ac:dyDescent="0.45">
      <c r="I168" t="s">
        <v>188</v>
      </c>
      <c r="J168" t="s">
        <v>165</v>
      </c>
      <c r="K168">
        <v>5.3950389033790712E-4</v>
      </c>
      <c r="L168" t="s">
        <v>164</v>
      </c>
      <c r="N168" t="s">
        <v>216</v>
      </c>
      <c r="O168" t="s">
        <v>165</v>
      </c>
      <c r="P168">
        <v>2.5070778575063553E-3</v>
      </c>
      <c r="Q168" t="s">
        <v>164</v>
      </c>
    </row>
    <row r="169" spans="9:17" x14ac:dyDescent="0.45">
      <c r="I169" t="s">
        <v>188</v>
      </c>
      <c r="J169" t="s">
        <v>166</v>
      </c>
      <c r="K169">
        <v>0</v>
      </c>
      <c r="L169" t="s">
        <v>164</v>
      </c>
      <c r="N169" t="s">
        <v>216</v>
      </c>
      <c r="O169" t="s">
        <v>166</v>
      </c>
      <c r="P169">
        <v>1.5932636186998278E-2</v>
      </c>
      <c r="Q169" t="s">
        <v>164</v>
      </c>
    </row>
    <row r="170" spans="9:17" x14ac:dyDescent="0.45">
      <c r="I170" t="s">
        <v>188</v>
      </c>
      <c r="J170" t="s">
        <v>167</v>
      </c>
      <c r="K170">
        <v>0.18082353207349947</v>
      </c>
      <c r="L170" t="s">
        <v>164</v>
      </c>
      <c r="N170" t="s">
        <v>216</v>
      </c>
      <c r="O170" t="s">
        <v>167</v>
      </c>
      <c r="P170">
        <v>0.10938876829654903</v>
      </c>
      <c r="Q170" t="s">
        <v>164</v>
      </c>
    </row>
    <row r="171" spans="9:17" x14ac:dyDescent="0.45">
      <c r="I171" t="s">
        <v>188</v>
      </c>
      <c r="J171" t="s">
        <v>168</v>
      </c>
      <c r="K171">
        <v>5.4213808153820431E-3</v>
      </c>
      <c r="L171" t="s">
        <v>164</v>
      </c>
      <c r="N171" t="s">
        <v>216</v>
      </c>
      <c r="O171" t="s">
        <v>168</v>
      </c>
      <c r="P171">
        <v>7.6749390857671603E-3</v>
      </c>
      <c r="Q171" t="s">
        <v>164</v>
      </c>
    </row>
    <row r="172" spans="9:17" x14ac:dyDescent="0.45">
      <c r="I172" t="s">
        <v>188</v>
      </c>
      <c r="J172" t="s">
        <v>169</v>
      </c>
      <c r="K172">
        <v>0</v>
      </c>
      <c r="L172" t="s">
        <v>164</v>
      </c>
      <c r="N172" t="s">
        <v>216</v>
      </c>
      <c r="O172" t="s">
        <v>169</v>
      </c>
      <c r="P172">
        <v>4.8718007886831637E-2</v>
      </c>
      <c r="Q172" t="s">
        <v>164</v>
      </c>
    </row>
    <row r="173" spans="9:17" x14ac:dyDescent="0.45">
      <c r="I173" t="s">
        <v>188</v>
      </c>
      <c r="J173" t="s">
        <v>170</v>
      </c>
      <c r="K173">
        <v>0.53590105315980108</v>
      </c>
      <c r="L173" t="s">
        <v>164</v>
      </c>
      <c r="N173" t="s">
        <v>216</v>
      </c>
      <c r="O173" t="s">
        <v>170</v>
      </c>
      <c r="P173">
        <v>0.44073185627601535</v>
      </c>
      <c r="Q173" t="s">
        <v>164</v>
      </c>
    </row>
    <row r="174" spans="9:17" x14ac:dyDescent="0.45">
      <c r="I174" t="s">
        <v>188</v>
      </c>
      <c r="J174" t="s">
        <v>171</v>
      </c>
      <c r="K174">
        <v>4.1601074314269525E-4</v>
      </c>
      <c r="L174" t="s">
        <v>164</v>
      </c>
      <c r="N174" t="s">
        <v>216</v>
      </c>
      <c r="O174" t="s">
        <v>171</v>
      </c>
      <c r="P174">
        <v>2.6726753989884573E-2</v>
      </c>
      <c r="Q174" t="s">
        <v>164</v>
      </c>
    </row>
    <row r="175" spans="9:17" x14ac:dyDescent="0.45">
      <c r="I175" t="s">
        <v>188</v>
      </c>
      <c r="J175" t="s">
        <v>172</v>
      </c>
      <c r="K175">
        <v>0</v>
      </c>
      <c r="L175" t="s">
        <v>164</v>
      </c>
      <c r="N175" t="s">
        <v>216</v>
      </c>
      <c r="O175" t="s">
        <v>172</v>
      </c>
      <c r="P175">
        <v>0.15816734847792235</v>
      </c>
      <c r="Q175" t="s">
        <v>164</v>
      </c>
    </row>
    <row r="176" spans="9:17" x14ac:dyDescent="0.45">
      <c r="I176" t="s">
        <v>188</v>
      </c>
      <c r="J176" t="s">
        <v>173</v>
      </c>
      <c r="K176">
        <v>0.17456711373932257</v>
      </c>
      <c r="L176" t="s">
        <v>164</v>
      </c>
      <c r="N176" t="s">
        <v>216</v>
      </c>
      <c r="O176" t="s">
        <v>173</v>
      </c>
      <c r="P176">
        <v>0.11206649617779096</v>
      </c>
      <c r="Q176" t="s">
        <v>164</v>
      </c>
    </row>
    <row r="177" spans="9:17" x14ac:dyDescent="0.45">
      <c r="I177" t="s">
        <v>188</v>
      </c>
      <c r="J177" t="s">
        <v>174</v>
      </c>
      <c r="K177">
        <v>0</v>
      </c>
      <c r="L177" t="s">
        <v>164</v>
      </c>
      <c r="N177" t="s">
        <v>216</v>
      </c>
      <c r="O177" t="s">
        <v>174</v>
      </c>
      <c r="P177">
        <v>6.1908607651120469E-3</v>
      </c>
      <c r="Q177" t="s">
        <v>164</v>
      </c>
    </row>
    <row r="178" spans="9:17" x14ac:dyDescent="0.45">
      <c r="I178" t="s">
        <v>188</v>
      </c>
      <c r="J178" t="s">
        <v>175</v>
      </c>
      <c r="K178">
        <v>0</v>
      </c>
      <c r="L178" t="s">
        <v>164</v>
      </c>
      <c r="N178" t="s">
        <v>216</v>
      </c>
      <c r="O178" t="s">
        <v>175</v>
      </c>
      <c r="P178">
        <v>3.7850919907215411E-2</v>
      </c>
      <c r="Q178" t="s">
        <v>164</v>
      </c>
    </row>
    <row r="179" spans="9:17" x14ac:dyDescent="0.45">
      <c r="I179" t="s">
        <v>189</v>
      </c>
      <c r="J179" t="s">
        <v>163</v>
      </c>
      <c r="K179">
        <v>0.10852319563992226</v>
      </c>
      <c r="L179" t="s">
        <v>164</v>
      </c>
      <c r="N179" t="s">
        <v>217</v>
      </c>
      <c r="O179" t="s">
        <v>163</v>
      </c>
      <c r="P179">
        <v>6.0791116830102056E-2</v>
      </c>
      <c r="Q179" t="s">
        <v>164</v>
      </c>
    </row>
    <row r="180" spans="9:17" x14ac:dyDescent="0.45">
      <c r="I180" t="s">
        <v>189</v>
      </c>
      <c r="J180" t="s">
        <v>165</v>
      </c>
      <c r="K180">
        <v>0</v>
      </c>
      <c r="L180" t="s">
        <v>164</v>
      </c>
      <c r="N180" t="s">
        <v>217</v>
      </c>
      <c r="O180" t="s">
        <v>165</v>
      </c>
      <c r="P180">
        <v>1.4894904625816011E-3</v>
      </c>
      <c r="Q180" t="s">
        <v>164</v>
      </c>
    </row>
    <row r="181" spans="9:17" x14ac:dyDescent="0.45">
      <c r="I181" t="s">
        <v>189</v>
      </c>
      <c r="J181" t="s">
        <v>166</v>
      </c>
      <c r="K181">
        <v>0</v>
      </c>
      <c r="L181" t="s">
        <v>164</v>
      </c>
      <c r="N181" t="s">
        <v>217</v>
      </c>
      <c r="O181" t="s">
        <v>166</v>
      </c>
      <c r="P181">
        <v>8.4583231092133209E-3</v>
      </c>
      <c r="Q181" t="s">
        <v>164</v>
      </c>
    </row>
    <row r="182" spans="9:17" x14ac:dyDescent="0.45">
      <c r="I182" t="s">
        <v>189</v>
      </c>
      <c r="J182" t="s">
        <v>167</v>
      </c>
      <c r="K182">
        <v>0.1914034294765658</v>
      </c>
      <c r="L182" t="s">
        <v>164</v>
      </c>
      <c r="N182" t="s">
        <v>217</v>
      </c>
      <c r="O182" t="s">
        <v>167</v>
      </c>
      <c r="P182">
        <v>0.15191934472119442</v>
      </c>
      <c r="Q182" t="s">
        <v>164</v>
      </c>
    </row>
    <row r="183" spans="9:17" x14ac:dyDescent="0.45">
      <c r="I183" t="s">
        <v>189</v>
      </c>
      <c r="J183" t="s">
        <v>168</v>
      </c>
      <c r="K183">
        <v>0</v>
      </c>
      <c r="L183" t="s">
        <v>164</v>
      </c>
      <c r="N183" t="s">
        <v>217</v>
      </c>
      <c r="O183" t="s">
        <v>168</v>
      </c>
      <c r="P183">
        <v>6.2247510147877142E-3</v>
      </c>
      <c r="Q183" t="s">
        <v>164</v>
      </c>
    </row>
    <row r="184" spans="9:17" x14ac:dyDescent="0.45">
      <c r="I184" t="s">
        <v>189</v>
      </c>
      <c r="J184" t="s">
        <v>169</v>
      </c>
      <c r="K184">
        <v>0</v>
      </c>
      <c r="L184" t="s">
        <v>164</v>
      </c>
      <c r="N184" t="s">
        <v>217</v>
      </c>
      <c r="O184" t="s">
        <v>169</v>
      </c>
      <c r="P184">
        <v>3.3231679411748767E-2</v>
      </c>
      <c r="Q184" t="s">
        <v>164</v>
      </c>
    </row>
    <row r="185" spans="9:17" x14ac:dyDescent="0.45">
      <c r="I185" t="s">
        <v>189</v>
      </c>
      <c r="J185" t="s">
        <v>170</v>
      </c>
      <c r="K185">
        <v>0.50993391643067831</v>
      </c>
      <c r="L185" t="s">
        <v>164</v>
      </c>
      <c r="N185" t="s">
        <v>217</v>
      </c>
      <c r="O185" t="s">
        <v>170</v>
      </c>
      <c r="P185">
        <v>0.47529011808504651</v>
      </c>
      <c r="Q185" t="s">
        <v>164</v>
      </c>
    </row>
    <row r="186" spans="9:17" x14ac:dyDescent="0.45">
      <c r="I186" t="s">
        <v>189</v>
      </c>
      <c r="J186" t="s">
        <v>171</v>
      </c>
      <c r="K186">
        <v>1.1242363131743854E-5</v>
      </c>
      <c r="L186" t="s">
        <v>164</v>
      </c>
      <c r="N186" t="s">
        <v>217</v>
      </c>
      <c r="O186" t="s">
        <v>171</v>
      </c>
      <c r="P186">
        <v>1.0590864356465906E-2</v>
      </c>
      <c r="Q186" t="s">
        <v>164</v>
      </c>
    </row>
    <row r="187" spans="9:17" x14ac:dyDescent="0.45">
      <c r="I187" t="s">
        <v>189</v>
      </c>
      <c r="J187" t="s">
        <v>172</v>
      </c>
      <c r="K187">
        <v>0</v>
      </c>
      <c r="L187" t="s">
        <v>164</v>
      </c>
      <c r="N187" t="s">
        <v>217</v>
      </c>
      <c r="O187" t="s">
        <v>172</v>
      </c>
      <c r="P187">
        <v>7.9426182914262122E-2</v>
      </c>
      <c r="Q187" t="s">
        <v>164</v>
      </c>
    </row>
    <row r="188" spans="9:17" x14ac:dyDescent="0.45">
      <c r="I188" t="s">
        <v>189</v>
      </c>
      <c r="J188" t="s">
        <v>173</v>
      </c>
      <c r="K188">
        <v>0.19012821608970149</v>
      </c>
      <c r="L188" t="s">
        <v>164</v>
      </c>
      <c r="N188" t="s">
        <v>217</v>
      </c>
      <c r="O188" t="s">
        <v>173</v>
      </c>
      <c r="P188">
        <v>0.13851234357182191</v>
      </c>
      <c r="Q188" t="s">
        <v>164</v>
      </c>
    </row>
    <row r="189" spans="9:17" x14ac:dyDescent="0.45">
      <c r="I189" t="s">
        <v>189</v>
      </c>
      <c r="J189" t="s">
        <v>174</v>
      </c>
      <c r="K189">
        <v>0</v>
      </c>
      <c r="L189" t="s">
        <v>164</v>
      </c>
      <c r="N189" t="s">
        <v>217</v>
      </c>
      <c r="O189" t="s">
        <v>174</v>
      </c>
      <c r="P189">
        <v>4.9494919642881462E-3</v>
      </c>
      <c r="Q189" t="s">
        <v>164</v>
      </c>
    </row>
    <row r="190" spans="9:17" x14ac:dyDescent="0.45">
      <c r="I190" t="s">
        <v>189</v>
      </c>
      <c r="J190" t="s">
        <v>175</v>
      </c>
      <c r="K190">
        <v>0</v>
      </c>
      <c r="L190" t="s">
        <v>164</v>
      </c>
      <c r="N190" t="s">
        <v>217</v>
      </c>
      <c r="O190" t="s">
        <v>175</v>
      </c>
      <c r="P190">
        <v>2.9116293558484878E-2</v>
      </c>
      <c r="Q190" t="s">
        <v>164</v>
      </c>
    </row>
    <row r="191" spans="9:17" x14ac:dyDescent="0.45">
      <c r="I191" t="s">
        <v>190</v>
      </c>
      <c r="J191" t="s">
        <v>163</v>
      </c>
      <c r="K191">
        <v>0.1059498310178653</v>
      </c>
      <c r="L191" t="s">
        <v>164</v>
      </c>
      <c r="N191" t="s">
        <v>218</v>
      </c>
      <c r="O191" t="s">
        <v>163</v>
      </c>
      <c r="P191">
        <v>4.524068415221099E-2</v>
      </c>
      <c r="Q191" t="s">
        <v>164</v>
      </c>
    </row>
    <row r="192" spans="9:17" x14ac:dyDescent="0.45">
      <c r="I192" t="s">
        <v>190</v>
      </c>
      <c r="J192" t="s">
        <v>165</v>
      </c>
      <c r="K192">
        <v>0</v>
      </c>
      <c r="L192" t="s">
        <v>164</v>
      </c>
      <c r="N192" t="s">
        <v>218</v>
      </c>
      <c r="O192" t="s">
        <v>165</v>
      </c>
      <c r="P192">
        <v>1.3455709865572288E-3</v>
      </c>
      <c r="Q192" t="s">
        <v>164</v>
      </c>
    </row>
    <row r="193" spans="9:17" x14ac:dyDescent="0.45">
      <c r="I193" t="s">
        <v>190</v>
      </c>
      <c r="J193" t="s">
        <v>166</v>
      </c>
      <c r="K193">
        <v>0</v>
      </c>
      <c r="L193" t="s">
        <v>164</v>
      </c>
      <c r="N193" t="s">
        <v>218</v>
      </c>
      <c r="O193" t="s">
        <v>166</v>
      </c>
      <c r="P193">
        <v>9.816035371514438E-3</v>
      </c>
      <c r="Q193" t="s">
        <v>164</v>
      </c>
    </row>
    <row r="194" spans="9:17" x14ac:dyDescent="0.45">
      <c r="I194" t="s">
        <v>190</v>
      </c>
      <c r="J194" t="s">
        <v>167</v>
      </c>
      <c r="K194">
        <v>0.18728719090034596</v>
      </c>
      <c r="L194" t="s">
        <v>164</v>
      </c>
      <c r="N194" t="s">
        <v>218</v>
      </c>
      <c r="O194" t="s">
        <v>167</v>
      </c>
      <c r="P194">
        <v>0.12244657083064359</v>
      </c>
      <c r="Q194" t="s">
        <v>164</v>
      </c>
    </row>
    <row r="195" spans="9:17" x14ac:dyDescent="0.45">
      <c r="I195" t="s">
        <v>190</v>
      </c>
      <c r="J195" t="s">
        <v>168</v>
      </c>
      <c r="K195">
        <v>1.2242926672620792E-4</v>
      </c>
      <c r="L195" t="s">
        <v>164</v>
      </c>
      <c r="N195" t="s">
        <v>218</v>
      </c>
      <c r="O195" t="s">
        <v>168</v>
      </c>
      <c r="P195">
        <v>4.9147807439810388E-3</v>
      </c>
      <c r="Q195" t="s">
        <v>164</v>
      </c>
    </row>
    <row r="196" spans="9:17" x14ac:dyDescent="0.45">
      <c r="I196" t="s">
        <v>190</v>
      </c>
      <c r="J196" t="s">
        <v>169</v>
      </c>
      <c r="K196">
        <v>0</v>
      </c>
      <c r="L196" t="s">
        <v>164</v>
      </c>
      <c r="N196" t="s">
        <v>218</v>
      </c>
      <c r="O196" t="s">
        <v>169</v>
      </c>
      <c r="P196">
        <v>3.6640433671875125E-2</v>
      </c>
      <c r="Q196" t="s">
        <v>164</v>
      </c>
    </row>
    <row r="197" spans="9:17" x14ac:dyDescent="0.45">
      <c r="I197" t="s">
        <v>190</v>
      </c>
      <c r="J197" t="s">
        <v>170</v>
      </c>
      <c r="K197">
        <v>0.52370472692375614</v>
      </c>
      <c r="L197" t="s">
        <v>164</v>
      </c>
      <c r="N197" t="s">
        <v>218</v>
      </c>
      <c r="O197" t="s">
        <v>170</v>
      </c>
      <c r="P197">
        <v>0.52058144140944407</v>
      </c>
      <c r="Q197" t="s">
        <v>164</v>
      </c>
    </row>
    <row r="198" spans="9:17" x14ac:dyDescent="0.45">
      <c r="I198" t="s">
        <v>190</v>
      </c>
      <c r="J198" t="s">
        <v>171</v>
      </c>
      <c r="K198">
        <v>0</v>
      </c>
      <c r="L198" t="s">
        <v>164</v>
      </c>
      <c r="N198" t="s">
        <v>218</v>
      </c>
      <c r="O198" t="s">
        <v>171</v>
      </c>
      <c r="P198">
        <v>1.1670601862588063E-2</v>
      </c>
      <c r="Q198" t="s">
        <v>164</v>
      </c>
    </row>
    <row r="199" spans="9:17" x14ac:dyDescent="0.45">
      <c r="I199" t="s">
        <v>190</v>
      </c>
      <c r="J199" t="s">
        <v>172</v>
      </c>
      <c r="K199">
        <v>0</v>
      </c>
      <c r="L199" t="s">
        <v>164</v>
      </c>
      <c r="N199" t="s">
        <v>218</v>
      </c>
      <c r="O199" t="s">
        <v>172</v>
      </c>
      <c r="P199">
        <v>0.12091584237935345</v>
      </c>
      <c r="Q199" t="s">
        <v>164</v>
      </c>
    </row>
    <row r="200" spans="9:17" x14ac:dyDescent="0.45">
      <c r="I200" t="s">
        <v>190</v>
      </c>
      <c r="J200" t="s">
        <v>173</v>
      </c>
      <c r="K200">
        <v>0.18293582189130744</v>
      </c>
      <c r="L200" t="s">
        <v>164</v>
      </c>
      <c r="N200" t="s">
        <v>218</v>
      </c>
      <c r="O200" t="s">
        <v>173</v>
      </c>
      <c r="P200">
        <v>9.4782041342978102E-2</v>
      </c>
      <c r="Q200" t="s">
        <v>164</v>
      </c>
    </row>
    <row r="201" spans="9:17" x14ac:dyDescent="0.45">
      <c r="I201" t="s">
        <v>190</v>
      </c>
      <c r="J201" t="s">
        <v>174</v>
      </c>
      <c r="K201">
        <v>0</v>
      </c>
      <c r="L201" t="s">
        <v>164</v>
      </c>
      <c r="N201" t="s">
        <v>218</v>
      </c>
      <c r="O201" t="s">
        <v>174</v>
      </c>
      <c r="P201">
        <v>4.1227726277086206E-3</v>
      </c>
      <c r="Q201" t="s">
        <v>164</v>
      </c>
    </row>
    <row r="202" spans="9:17" x14ac:dyDescent="0.45">
      <c r="I202" t="s">
        <v>190</v>
      </c>
      <c r="J202" t="s">
        <v>175</v>
      </c>
      <c r="K202">
        <v>0</v>
      </c>
      <c r="L202" t="s">
        <v>164</v>
      </c>
      <c r="N202" t="s">
        <v>218</v>
      </c>
      <c r="O202" t="s">
        <v>175</v>
      </c>
      <c r="P202">
        <v>2.7523224621144361E-2</v>
      </c>
      <c r="Q202" t="s">
        <v>164</v>
      </c>
    </row>
    <row r="203" spans="9:17" x14ac:dyDescent="0.45">
      <c r="I203" t="s">
        <v>191</v>
      </c>
      <c r="J203" t="s">
        <v>163</v>
      </c>
      <c r="K203">
        <v>9.6055738862235202E-2</v>
      </c>
      <c r="L203" t="s">
        <v>164</v>
      </c>
      <c r="N203" t="s">
        <v>219</v>
      </c>
      <c r="O203" t="s">
        <v>163</v>
      </c>
      <c r="P203">
        <v>7.4968656970720457E-2</v>
      </c>
      <c r="Q203" t="s">
        <v>164</v>
      </c>
    </row>
    <row r="204" spans="9:17" x14ac:dyDescent="0.45">
      <c r="I204" t="s">
        <v>191</v>
      </c>
      <c r="J204" t="s">
        <v>165</v>
      </c>
      <c r="K204">
        <v>3.974890711493196E-3</v>
      </c>
      <c r="L204" t="s">
        <v>164</v>
      </c>
      <c r="N204" t="s">
        <v>219</v>
      </c>
      <c r="O204" t="s">
        <v>165</v>
      </c>
      <c r="P204">
        <v>2.7824203324155789E-3</v>
      </c>
      <c r="Q204" t="s">
        <v>164</v>
      </c>
    </row>
    <row r="205" spans="9:17" x14ac:dyDescent="0.45">
      <c r="I205" t="s">
        <v>191</v>
      </c>
      <c r="J205" t="s">
        <v>166</v>
      </c>
      <c r="K205">
        <v>0</v>
      </c>
      <c r="L205" t="s">
        <v>164</v>
      </c>
      <c r="N205" t="s">
        <v>219</v>
      </c>
      <c r="O205" t="s">
        <v>166</v>
      </c>
      <c r="P205">
        <v>1.0256236907794676E-2</v>
      </c>
      <c r="Q205" t="s">
        <v>164</v>
      </c>
    </row>
    <row r="206" spans="9:17" x14ac:dyDescent="0.45">
      <c r="I206" t="s">
        <v>191</v>
      </c>
      <c r="J206" t="s">
        <v>167</v>
      </c>
      <c r="K206">
        <v>0.16842741101154687</v>
      </c>
      <c r="L206" t="s">
        <v>164</v>
      </c>
      <c r="N206" t="s">
        <v>219</v>
      </c>
      <c r="O206" t="s">
        <v>167</v>
      </c>
      <c r="P206">
        <v>0.19478217799915745</v>
      </c>
      <c r="Q206" t="s">
        <v>164</v>
      </c>
    </row>
    <row r="207" spans="9:17" x14ac:dyDescent="0.45">
      <c r="I207" t="s">
        <v>191</v>
      </c>
      <c r="J207" t="s">
        <v>168</v>
      </c>
      <c r="K207">
        <v>6.0313037692979821E-3</v>
      </c>
      <c r="L207" t="s">
        <v>164</v>
      </c>
      <c r="N207" t="s">
        <v>219</v>
      </c>
      <c r="O207" t="s">
        <v>168</v>
      </c>
      <c r="P207">
        <v>9.0106529279156671E-3</v>
      </c>
      <c r="Q207" t="s">
        <v>164</v>
      </c>
    </row>
    <row r="208" spans="9:17" x14ac:dyDescent="0.45">
      <c r="I208" t="s">
        <v>191</v>
      </c>
      <c r="J208" t="s">
        <v>169</v>
      </c>
      <c r="K208">
        <v>0</v>
      </c>
      <c r="L208" t="s">
        <v>164</v>
      </c>
      <c r="N208" t="s">
        <v>219</v>
      </c>
      <c r="O208" t="s">
        <v>169</v>
      </c>
      <c r="P208">
        <v>3.5018081549624824E-2</v>
      </c>
      <c r="Q208" t="s">
        <v>164</v>
      </c>
    </row>
    <row r="209" spans="9:17" x14ac:dyDescent="0.45">
      <c r="I209" t="s">
        <v>191</v>
      </c>
      <c r="J209" t="s">
        <v>170</v>
      </c>
      <c r="K209">
        <v>0.5420601573053685</v>
      </c>
      <c r="L209" t="s">
        <v>164</v>
      </c>
      <c r="N209" t="s">
        <v>219</v>
      </c>
      <c r="O209" t="s">
        <v>170</v>
      </c>
      <c r="P209">
        <v>0.37847692160251367</v>
      </c>
      <c r="Q209" t="s">
        <v>164</v>
      </c>
    </row>
    <row r="210" spans="9:17" x14ac:dyDescent="0.45">
      <c r="I210" t="s">
        <v>191</v>
      </c>
      <c r="J210" t="s">
        <v>171</v>
      </c>
      <c r="K210">
        <v>0</v>
      </c>
      <c r="L210" t="s">
        <v>164</v>
      </c>
      <c r="N210" t="s">
        <v>219</v>
      </c>
      <c r="O210" t="s">
        <v>171</v>
      </c>
      <c r="P210">
        <v>1.5198678446972525E-2</v>
      </c>
      <c r="Q210" t="s">
        <v>164</v>
      </c>
    </row>
    <row r="211" spans="9:17" x14ac:dyDescent="0.45">
      <c r="I211" t="s">
        <v>191</v>
      </c>
      <c r="J211" t="s">
        <v>172</v>
      </c>
      <c r="K211">
        <v>0</v>
      </c>
      <c r="L211" t="s">
        <v>164</v>
      </c>
      <c r="N211" t="s">
        <v>219</v>
      </c>
      <c r="O211" t="s">
        <v>172</v>
      </c>
      <c r="P211">
        <v>6.7694005529601337E-2</v>
      </c>
      <c r="Q211" t="s">
        <v>164</v>
      </c>
    </row>
    <row r="212" spans="9:17" x14ac:dyDescent="0.45">
      <c r="I212" t="s">
        <v>191</v>
      </c>
      <c r="J212" t="s">
        <v>173</v>
      </c>
      <c r="K212">
        <v>0.18343476285544488</v>
      </c>
      <c r="L212" t="s">
        <v>164</v>
      </c>
      <c r="N212" t="s">
        <v>219</v>
      </c>
      <c r="O212" t="s">
        <v>173</v>
      </c>
      <c r="P212">
        <v>0.17654167883509536</v>
      </c>
      <c r="Q212" t="s">
        <v>164</v>
      </c>
    </row>
    <row r="213" spans="9:17" x14ac:dyDescent="0.45">
      <c r="I213" t="s">
        <v>191</v>
      </c>
      <c r="J213" t="s">
        <v>174</v>
      </c>
      <c r="K213">
        <v>1.5735484613764686E-5</v>
      </c>
      <c r="L213" t="s">
        <v>164</v>
      </c>
      <c r="N213" t="s">
        <v>219</v>
      </c>
      <c r="O213" t="s">
        <v>174</v>
      </c>
      <c r="P213">
        <v>6.6498166620024947E-3</v>
      </c>
      <c r="Q213" t="s">
        <v>164</v>
      </c>
    </row>
    <row r="214" spans="9:17" x14ac:dyDescent="0.45">
      <c r="I214" t="s">
        <v>191</v>
      </c>
      <c r="J214" t="s">
        <v>175</v>
      </c>
      <c r="K214">
        <v>0</v>
      </c>
      <c r="L214" t="s">
        <v>164</v>
      </c>
      <c r="N214" t="s">
        <v>219</v>
      </c>
      <c r="O214" t="s">
        <v>175</v>
      </c>
      <c r="P214">
        <v>2.8620672236188416E-2</v>
      </c>
      <c r="Q214" t="s">
        <v>164</v>
      </c>
    </row>
    <row r="215" spans="9:17" x14ac:dyDescent="0.45">
      <c r="I215" t="s">
        <v>192</v>
      </c>
      <c r="J215" t="s">
        <v>163</v>
      </c>
      <c r="K215">
        <v>9.5885839272299475E-2</v>
      </c>
      <c r="L215" t="s">
        <v>164</v>
      </c>
      <c r="N215" t="s">
        <v>220</v>
      </c>
      <c r="O215" t="s">
        <v>163</v>
      </c>
      <c r="P215">
        <v>0.10020222785037997</v>
      </c>
      <c r="Q215" t="s">
        <v>164</v>
      </c>
    </row>
    <row r="216" spans="9:17" x14ac:dyDescent="0.45">
      <c r="I216" t="s">
        <v>192</v>
      </c>
      <c r="J216" t="s">
        <v>165</v>
      </c>
      <c r="K216">
        <v>4.5114656993038181E-3</v>
      </c>
      <c r="L216" t="s">
        <v>164</v>
      </c>
      <c r="N216" t="s">
        <v>220</v>
      </c>
      <c r="O216" t="s">
        <v>165</v>
      </c>
      <c r="P216">
        <v>5.6165264352786909E-3</v>
      </c>
      <c r="Q216" t="s">
        <v>164</v>
      </c>
    </row>
    <row r="217" spans="9:17" x14ac:dyDescent="0.45">
      <c r="I217" t="s">
        <v>192</v>
      </c>
      <c r="J217" t="s">
        <v>166</v>
      </c>
      <c r="K217">
        <v>0</v>
      </c>
      <c r="L217" t="s">
        <v>164</v>
      </c>
      <c r="N217" t="s">
        <v>220</v>
      </c>
      <c r="O217" t="s">
        <v>166</v>
      </c>
      <c r="P217">
        <v>1.7948097208736403E-2</v>
      </c>
      <c r="Q217" t="s">
        <v>164</v>
      </c>
    </row>
    <row r="218" spans="9:17" x14ac:dyDescent="0.45">
      <c r="I218" t="s">
        <v>192</v>
      </c>
      <c r="J218" t="s">
        <v>167</v>
      </c>
      <c r="K218">
        <v>0.17659008282323296</v>
      </c>
      <c r="L218" t="s">
        <v>164</v>
      </c>
      <c r="N218" t="s">
        <v>220</v>
      </c>
      <c r="O218" t="s">
        <v>167</v>
      </c>
      <c r="P218">
        <v>0.22209642019402337</v>
      </c>
      <c r="Q218" t="s">
        <v>164</v>
      </c>
    </row>
    <row r="219" spans="9:17" x14ac:dyDescent="0.45">
      <c r="I219" t="s">
        <v>192</v>
      </c>
      <c r="J219" t="s">
        <v>168</v>
      </c>
      <c r="K219">
        <v>6.9398721193781182E-3</v>
      </c>
      <c r="L219" t="s">
        <v>164</v>
      </c>
      <c r="N219" t="s">
        <v>220</v>
      </c>
      <c r="O219" t="s">
        <v>168</v>
      </c>
      <c r="P219">
        <v>1.5035543775267321E-2</v>
      </c>
      <c r="Q219" t="s">
        <v>164</v>
      </c>
    </row>
    <row r="220" spans="9:17" x14ac:dyDescent="0.45">
      <c r="I220" t="s">
        <v>192</v>
      </c>
      <c r="J220" t="s">
        <v>169</v>
      </c>
      <c r="K220">
        <v>0</v>
      </c>
      <c r="L220" t="s">
        <v>164</v>
      </c>
      <c r="N220" t="s">
        <v>220</v>
      </c>
      <c r="O220" t="s">
        <v>169</v>
      </c>
      <c r="P220">
        <v>5.1624889998084067E-2</v>
      </c>
      <c r="Q220" t="s">
        <v>164</v>
      </c>
    </row>
    <row r="221" spans="9:17" x14ac:dyDescent="0.45">
      <c r="I221" t="s">
        <v>192</v>
      </c>
      <c r="J221" t="s">
        <v>170</v>
      </c>
      <c r="K221">
        <v>0.53194727186261348</v>
      </c>
      <c r="L221" t="s">
        <v>164</v>
      </c>
      <c r="N221" t="s">
        <v>220</v>
      </c>
      <c r="O221" t="s">
        <v>170</v>
      </c>
      <c r="P221">
        <v>0.21908847024984732</v>
      </c>
      <c r="Q221" t="s">
        <v>164</v>
      </c>
    </row>
    <row r="222" spans="9:17" x14ac:dyDescent="0.45">
      <c r="I222" t="s">
        <v>192</v>
      </c>
      <c r="J222" t="s">
        <v>171</v>
      </c>
      <c r="K222">
        <v>0</v>
      </c>
      <c r="L222" t="s">
        <v>164</v>
      </c>
      <c r="N222" t="s">
        <v>220</v>
      </c>
      <c r="O222" t="s">
        <v>171</v>
      </c>
      <c r="P222">
        <v>1.281349680247279E-2</v>
      </c>
      <c r="Q222" t="s">
        <v>164</v>
      </c>
    </row>
    <row r="223" spans="9:17" x14ac:dyDescent="0.45">
      <c r="I223" t="s">
        <v>192</v>
      </c>
      <c r="J223" t="s">
        <v>172</v>
      </c>
      <c r="K223">
        <v>0</v>
      </c>
      <c r="L223" t="s">
        <v>164</v>
      </c>
      <c r="N223" t="s">
        <v>220</v>
      </c>
      <c r="O223" t="s">
        <v>172</v>
      </c>
      <c r="P223">
        <v>4.7517311039938052E-2</v>
      </c>
      <c r="Q223" t="s">
        <v>164</v>
      </c>
    </row>
    <row r="224" spans="9:17" x14ac:dyDescent="0.45">
      <c r="I224" t="s">
        <v>192</v>
      </c>
      <c r="J224" t="s">
        <v>173</v>
      </c>
      <c r="K224">
        <v>0.18361545397965251</v>
      </c>
      <c r="L224" t="s">
        <v>164</v>
      </c>
      <c r="N224" t="s">
        <v>220</v>
      </c>
      <c r="O224" t="s">
        <v>173</v>
      </c>
      <c r="P224">
        <v>0.24811866743822514</v>
      </c>
      <c r="Q224" t="s">
        <v>164</v>
      </c>
    </row>
    <row r="225" spans="9:17" x14ac:dyDescent="0.45">
      <c r="I225" t="s">
        <v>192</v>
      </c>
      <c r="J225" t="s">
        <v>174</v>
      </c>
      <c r="K225">
        <v>5.1001424352086432E-4</v>
      </c>
      <c r="L225" t="s">
        <v>164</v>
      </c>
      <c r="N225" t="s">
        <v>220</v>
      </c>
      <c r="O225" t="s">
        <v>174</v>
      </c>
      <c r="P225">
        <v>1.3087215064472682E-2</v>
      </c>
      <c r="Q225" t="s">
        <v>164</v>
      </c>
    </row>
    <row r="226" spans="9:17" x14ac:dyDescent="0.45">
      <c r="I226" t="s">
        <v>192</v>
      </c>
      <c r="J226" t="s">
        <v>175</v>
      </c>
      <c r="K226">
        <v>0</v>
      </c>
      <c r="L226" t="s">
        <v>164</v>
      </c>
      <c r="N226" t="s">
        <v>220</v>
      </c>
      <c r="O226" t="s">
        <v>175</v>
      </c>
      <c r="P226">
        <v>4.6851133943276585E-2</v>
      </c>
      <c r="Q226" t="s">
        <v>164</v>
      </c>
    </row>
    <row r="227" spans="9:17" x14ac:dyDescent="0.45">
      <c r="I227" t="s">
        <v>193</v>
      </c>
      <c r="J227" t="s">
        <v>163</v>
      </c>
      <c r="K227">
        <v>9.8022145879396491E-2</v>
      </c>
      <c r="L227" t="s">
        <v>164</v>
      </c>
      <c r="N227" t="s">
        <v>221</v>
      </c>
      <c r="O227" t="s">
        <v>163</v>
      </c>
      <c r="P227">
        <v>5.9508431750978599E-2</v>
      </c>
      <c r="Q227" t="s">
        <v>164</v>
      </c>
    </row>
    <row r="228" spans="9:17" x14ac:dyDescent="0.45">
      <c r="I228" t="s">
        <v>193</v>
      </c>
      <c r="J228" t="s">
        <v>165</v>
      </c>
      <c r="K228">
        <v>4.280100828748145E-3</v>
      </c>
      <c r="L228" t="s">
        <v>164</v>
      </c>
      <c r="N228" t="s">
        <v>221</v>
      </c>
      <c r="O228" t="s">
        <v>165</v>
      </c>
      <c r="P228">
        <v>4.2780236620630603E-3</v>
      </c>
      <c r="Q228" t="s">
        <v>164</v>
      </c>
    </row>
    <row r="229" spans="9:17" x14ac:dyDescent="0.45">
      <c r="I229" t="s">
        <v>193</v>
      </c>
      <c r="J229" t="s">
        <v>166</v>
      </c>
      <c r="K229">
        <v>0</v>
      </c>
      <c r="L229" t="s">
        <v>164</v>
      </c>
      <c r="N229" t="s">
        <v>221</v>
      </c>
      <c r="O229" t="s">
        <v>166</v>
      </c>
      <c r="P229">
        <v>2.2969925839681205E-2</v>
      </c>
      <c r="Q229" t="s">
        <v>164</v>
      </c>
    </row>
    <row r="230" spans="9:17" x14ac:dyDescent="0.45">
      <c r="I230" t="s">
        <v>193</v>
      </c>
      <c r="J230" t="s">
        <v>167</v>
      </c>
      <c r="K230">
        <v>0.1786431600686901</v>
      </c>
      <c r="L230" t="s">
        <v>164</v>
      </c>
      <c r="N230" t="s">
        <v>221</v>
      </c>
      <c r="O230" t="s">
        <v>167</v>
      </c>
      <c r="P230">
        <v>0.1569119464296358</v>
      </c>
      <c r="Q230" t="s">
        <v>164</v>
      </c>
    </row>
    <row r="231" spans="9:17" x14ac:dyDescent="0.45">
      <c r="I231" t="s">
        <v>193</v>
      </c>
      <c r="J231" t="s">
        <v>168</v>
      </c>
      <c r="K231">
        <v>7.717663623487938E-3</v>
      </c>
      <c r="L231" t="s">
        <v>164</v>
      </c>
      <c r="N231" t="s">
        <v>221</v>
      </c>
      <c r="O231" t="s">
        <v>168</v>
      </c>
      <c r="P231">
        <v>1.4514957845516792E-2</v>
      </c>
      <c r="Q231" t="s">
        <v>164</v>
      </c>
    </row>
    <row r="232" spans="9:17" x14ac:dyDescent="0.45">
      <c r="I232" t="s">
        <v>193</v>
      </c>
      <c r="J232" t="s">
        <v>169</v>
      </c>
      <c r="K232">
        <v>0</v>
      </c>
      <c r="L232" t="s">
        <v>164</v>
      </c>
      <c r="N232" t="s">
        <v>221</v>
      </c>
      <c r="O232" t="s">
        <v>169</v>
      </c>
      <c r="P232">
        <v>7.1756653016659122E-2</v>
      </c>
      <c r="Q232" t="s">
        <v>164</v>
      </c>
    </row>
    <row r="233" spans="9:17" x14ac:dyDescent="0.45">
      <c r="I233" t="s">
        <v>193</v>
      </c>
      <c r="J233" t="s">
        <v>170</v>
      </c>
      <c r="K233">
        <v>0.54066679408440521</v>
      </c>
      <c r="L233" t="s">
        <v>164</v>
      </c>
      <c r="N233" t="s">
        <v>221</v>
      </c>
      <c r="O233" t="s">
        <v>170</v>
      </c>
      <c r="P233">
        <v>0.30373784432772977</v>
      </c>
      <c r="Q233" t="s">
        <v>164</v>
      </c>
    </row>
    <row r="234" spans="9:17" x14ac:dyDescent="0.45">
      <c r="I234" t="s">
        <v>193</v>
      </c>
      <c r="J234" t="s">
        <v>171</v>
      </c>
      <c r="K234">
        <v>3.3567180973863715E-5</v>
      </c>
      <c r="L234" t="s">
        <v>164</v>
      </c>
      <c r="N234" t="s">
        <v>221</v>
      </c>
      <c r="O234" t="s">
        <v>171</v>
      </c>
      <c r="P234">
        <v>1.5216170776005549E-2</v>
      </c>
      <c r="Q234" t="s">
        <v>164</v>
      </c>
    </row>
    <row r="235" spans="9:17" x14ac:dyDescent="0.45">
      <c r="I235" t="s">
        <v>193</v>
      </c>
      <c r="J235" t="s">
        <v>172</v>
      </c>
      <c r="K235">
        <v>0</v>
      </c>
      <c r="L235" t="s">
        <v>164</v>
      </c>
      <c r="N235" t="s">
        <v>221</v>
      </c>
      <c r="O235" t="s">
        <v>172</v>
      </c>
      <c r="P235">
        <v>0.12818122657242934</v>
      </c>
      <c r="Q235" t="s">
        <v>164</v>
      </c>
    </row>
    <row r="236" spans="9:17" x14ac:dyDescent="0.45">
      <c r="I236" t="s">
        <v>193</v>
      </c>
      <c r="J236" t="s">
        <v>173</v>
      </c>
      <c r="K236">
        <v>0.17062697062526391</v>
      </c>
      <c r="L236" t="s">
        <v>164</v>
      </c>
      <c r="N236" t="s">
        <v>221</v>
      </c>
      <c r="O236" t="s">
        <v>173</v>
      </c>
      <c r="P236">
        <v>0.15327844032671817</v>
      </c>
      <c r="Q236" t="s">
        <v>164</v>
      </c>
    </row>
    <row r="237" spans="9:17" x14ac:dyDescent="0.45">
      <c r="I237" t="s">
        <v>193</v>
      </c>
      <c r="J237" t="s">
        <v>174</v>
      </c>
      <c r="K237">
        <v>9.5977090364808697E-6</v>
      </c>
      <c r="L237" t="s">
        <v>164</v>
      </c>
      <c r="N237" t="s">
        <v>221</v>
      </c>
      <c r="O237" t="s">
        <v>174</v>
      </c>
      <c r="P237">
        <v>1.2335276128823154E-2</v>
      </c>
      <c r="Q237" t="s">
        <v>164</v>
      </c>
    </row>
    <row r="238" spans="9:17" x14ac:dyDescent="0.45">
      <c r="I238" t="s">
        <v>193</v>
      </c>
      <c r="J238" t="s">
        <v>175</v>
      </c>
      <c r="K238">
        <v>0</v>
      </c>
      <c r="L238" t="s">
        <v>164</v>
      </c>
      <c r="N238" t="s">
        <v>221</v>
      </c>
      <c r="O238" t="s">
        <v>175</v>
      </c>
      <c r="P238">
        <v>5.7311103323754969E-2</v>
      </c>
      <c r="Q238" t="s">
        <v>164</v>
      </c>
    </row>
    <row r="239" spans="9:17" x14ac:dyDescent="0.45">
      <c r="I239" t="s">
        <v>194</v>
      </c>
      <c r="J239" t="s">
        <v>163</v>
      </c>
      <c r="K239">
        <v>9.4920750040548021E-2</v>
      </c>
      <c r="L239" t="s">
        <v>164</v>
      </c>
      <c r="N239" t="s">
        <v>222</v>
      </c>
      <c r="O239" t="s">
        <v>163</v>
      </c>
      <c r="P239">
        <v>6.9203833330610406E-2</v>
      </c>
      <c r="Q239" t="s">
        <v>164</v>
      </c>
    </row>
    <row r="240" spans="9:17" x14ac:dyDescent="0.45">
      <c r="I240" t="s">
        <v>194</v>
      </c>
      <c r="J240" t="s">
        <v>165</v>
      </c>
      <c r="K240">
        <v>4.8133766847986356E-3</v>
      </c>
      <c r="L240" t="s">
        <v>164</v>
      </c>
      <c r="N240" t="s">
        <v>222</v>
      </c>
      <c r="O240" t="s">
        <v>165</v>
      </c>
      <c r="P240">
        <v>8.0289011938148424E-3</v>
      </c>
      <c r="Q240" t="s">
        <v>164</v>
      </c>
    </row>
    <row r="241" spans="9:17" x14ac:dyDescent="0.45">
      <c r="I241" t="s">
        <v>194</v>
      </c>
      <c r="J241" t="s">
        <v>166</v>
      </c>
      <c r="K241">
        <v>0</v>
      </c>
      <c r="L241" t="s">
        <v>164</v>
      </c>
      <c r="N241" t="s">
        <v>222</v>
      </c>
      <c r="O241" t="s">
        <v>166</v>
      </c>
      <c r="P241">
        <v>4.4058538347396974E-2</v>
      </c>
      <c r="Q241" t="s">
        <v>164</v>
      </c>
    </row>
    <row r="242" spans="9:17" x14ac:dyDescent="0.45">
      <c r="I242" t="s">
        <v>194</v>
      </c>
      <c r="J242" t="s">
        <v>167</v>
      </c>
      <c r="K242">
        <v>0.17864987033066548</v>
      </c>
      <c r="L242" t="s">
        <v>164</v>
      </c>
      <c r="N242" t="s">
        <v>222</v>
      </c>
      <c r="O242" t="s">
        <v>167</v>
      </c>
      <c r="P242">
        <v>0.17723869765482744</v>
      </c>
      <c r="Q242" t="s">
        <v>164</v>
      </c>
    </row>
    <row r="243" spans="9:17" x14ac:dyDescent="0.45">
      <c r="I243" t="s">
        <v>194</v>
      </c>
      <c r="J243" t="s">
        <v>168</v>
      </c>
      <c r="K243">
        <v>8.176847432083599E-3</v>
      </c>
      <c r="L243" t="s">
        <v>164</v>
      </c>
      <c r="N243" t="s">
        <v>222</v>
      </c>
      <c r="O243" t="s">
        <v>168</v>
      </c>
      <c r="P243">
        <v>2.3350013418763162E-2</v>
      </c>
      <c r="Q243" t="s">
        <v>164</v>
      </c>
    </row>
    <row r="244" spans="9:17" x14ac:dyDescent="0.45">
      <c r="I244" t="s">
        <v>194</v>
      </c>
      <c r="J244" t="s">
        <v>169</v>
      </c>
      <c r="K244">
        <v>0</v>
      </c>
      <c r="L244" t="s">
        <v>164</v>
      </c>
      <c r="N244" t="s">
        <v>222</v>
      </c>
      <c r="O244" t="s">
        <v>169</v>
      </c>
      <c r="P244">
        <v>0.12363211590996871</v>
      </c>
      <c r="Q244" t="s">
        <v>164</v>
      </c>
    </row>
    <row r="245" spans="9:17" x14ac:dyDescent="0.45">
      <c r="I245" t="s">
        <v>194</v>
      </c>
      <c r="J245" t="s">
        <v>170</v>
      </c>
      <c r="K245">
        <v>0.54309600864360363</v>
      </c>
      <c r="L245" t="s">
        <v>164</v>
      </c>
      <c r="N245" t="s">
        <v>222</v>
      </c>
      <c r="O245" t="s">
        <v>170</v>
      </c>
      <c r="P245">
        <v>0.16398292324249525</v>
      </c>
      <c r="Q245" t="s">
        <v>164</v>
      </c>
    </row>
    <row r="246" spans="9:17" x14ac:dyDescent="0.45">
      <c r="I246" t="s">
        <v>194</v>
      </c>
      <c r="J246" t="s">
        <v>171</v>
      </c>
      <c r="K246">
        <v>1.9154350419616538E-5</v>
      </c>
      <c r="L246" t="s">
        <v>164</v>
      </c>
      <c r="N246" t="s">
        <v>222</v>
      </c>
      <c r="O246" t="s">
        <v>171</v>
      </c>
      <c r="P246">
        <v>1.8852732243269915E-2</v>
      </c>
      <c r="Q246" t="s">
        <v>164</v>
      </c>
    </row>
    <row r="247" spans="9:17" x14ac:dyDescent="0.45">
      <c r="I247" t="s">
        <v>194</v>
      </c>
      <c r="J247" t="s">
        <v>172</v>
      </c>
      <c r="K247">
        <v>0</v>
      </c>
      <c r="L247" t="s">
        <v>164</v>
      </c>
      <c r="N247" t="s">
        <v>222</v>
      </c>
      <c r="O247" t="s">
        <v>172</v>
      </c>
      <c r="P247">
        <v>0.15491519060475442</v>
      </c>
      <c r="Q247" t="s">
        <v>164</v>
      </c>
    </row>
    <row r="248" spans="9:17" x14ac:dyDescent="0.45">
      <c r="I248" t="s">
        <v>194</v>
      </c>
      <c r="J248" t="s">
        <v>173</v>
      </c>
      <c r="K248">
        <v>0.16981492909081466</v>
      </c>
      <c r="L248" t="s">
        <v>164</v>
      </c>
      <c r="N248" t="s">
        <v>222</v>
      </c>
      <c r="O248" t="s">
        <v>173</v>
      </c>
      <c r="P248">
        <v>0.12616734056577708</v>
      </c>
      <c r="Q248" t="s">
        <v>164</v>
      </c>
    </row>
    <row r="249" spans="9:17" x14ac:dyDescent="0.45">
      <c r="I249" t="s">
        <v>194</v>
      </c>
      <c r="J249" t="s">
        <v>174</v>
      </c>
      <c r="K249">
        <v>5.0906342706830924E-4</v>
      </c>
      <c r="L249" t="s">
        <v>164</v>
      </c>
      <c r="N249" t="s">
        <v>222</v>
      </c>
      <c r="O249" t="s">
        <v>174</v>
      </c>
      <c r="P249">
        <v>1.6465374133750182E-2</v>
      </c>
      <c r="Q249" t="s">
        <v>164</v>
      </c>
    </row>
    <row r="250" spans="9:17" x14ac:dyDescent="0.45">
      <c r="I250" t="s">
        <v>194</v>
      </c>
      <c r="J250" t="s">
        <v>175</v>
      </c>
      <c r="K250">
        <v>0</v>
      </c>
      <c r="L250" t="s">
        <v>164</v>
      </c>
      <c r="N250" t="s">
        <v>222</v>
      </c>
      <c r="O250" t="s">
        <v>175</v>
      </c>
      <c r="P250">
        <v>7.4104339354571253E-2</v>
      </c>
      <c r="Q250" t="s">
        <v>164</v>
      </c>
    </row>
    <row r="251" spans="9:17" x14ac:dyDescent="0.45">
      <c r="I251" t="s">
        <v>195</v>
      </c>
      <c r="J251" t="s">
        <v>163</v>
      </c>
      <c r="K251">
        <v>9.5564026270942279E-2</v>
      </c>
      <c r="L251" t="s">
        <v>164</v>
      </c>
      <c r="N251" t="s">
        <v>223</v>
      </c>
      <c r="O251" t="s">
        <v>163</v>
      </c>
      <c r="P251">
        <v>5.6185260621996982E-2</v>
      </c>
      <c r="Q251" t="s">
        <v>164</v>
      </c>
    </row>
    <row r="252" spans="9:17" x14ac:dyDescent="0.45">
      <c r="I252" t="s">
        <v>195</v>
      </c>
      <c r="J252" t="s">
        <v>165</v>
      </c>
      <c r="K252">
        <v>3.9999984750669808E-3</v>
      </c>
      <c r="L252" t="s">
        <v>164</v>
      </c>
      <c r="N252" t="s">
        <v>223</v>
      </c>
      <c r="O252" t="s">
        <v>165</v>
      </c>
      <c r="P252">
        <v>3.8180995725853768E-3</v>
      </c>
      <c r="Q252" t="s">
        <v>164</v>
      </c>
    </row>
    <row r="253" spans="9:17" x14ac:dyDescent="0.45">
      <c r="I253" t="s">
        <v>195</v>
      </c>
      <c r="J253" t="s">
        <v>166</v>
      </c>
      <c r="K253">
        <v>0</v>
      </c>
      <c r="L253" t="s">
        <v>164</v>
      </c>
      <c r="N253" t="s">
        <v>223</v>
      </c>
      <c r="O253" t="s">
        <v>166</v>
      </c>
      <c r="P253">
        <v>1.6125233066143285E-2</v>
      </c>
      <c r="Q253" t="s">
        <v>164</v>
      </c>
    </row>
    <row r="254" spans="9:17" x14ac:dyDescent="0.45">
      <c r="I254" t="s">
        <v>195</v>
      </c>
      <c r="J254" t="s">
        <v>167</v>
      </c>
      <c r="K254">
        <v>0.17610559880594023</v>
      </c>
      <c r="L254" t="s">
        <v>164</v>
      </c>
      <c r="N254" t="s">
        <v>223</v>
      </c>
      <c r="O254" t="s">
        <v>167</v>
      </c>
      <c r="P254">
        <v>0.13903802136151133</v>
      </c>
      <c r="Q254" t="s">
        <v>164</v>
      </c>
    </row>
    <row r="255" spans="9:17" x14ac:dyDescent="0.45">
      <c r="I255" t="s">
        <v>195</v>
      </c>
      <c r="J255" t="s">
        <v>168</v>
      </c>
      <c r="K255">
        <v>7.7502535735044856E-3</v>
      </c>
      <c r="L255" t="s">
        <v>164</v>
      </c>
      <c r="N255" t="s">
        <v>223</v>
      </c>
      <c r="O255" t="s">
        <v>168</v>
      </c>
      <c r="P255">
        <v>1.138254512098323E-2</v>
      </c>
      <c r="Q255" t="s">
        <v>164</v>
      </c>
    </row>
    <row r="256" spans="9:17" x14ac:dyDescent="0.45">
      <c r="I256" t="s">
        <v>195</v>
      </c>
      <c r="J256" t="s">
        <v>169</v>
      </c>
      <c r="K256">
        <v>0</v>
      </c>
      <c r="L256" t="s">
        <v>164</v>
      </c>
      <c r="N256" t="s">
        <v>223</v>
      </c>
      <c r="O256" t="s">
        <v>169</v>
      </c>
      <c r="P256">
        <v>4.6337010344444991E-2</v>
      </c>
      <c r="Q256" t="s">
        <v>164</v>
      </c>
    </row>
    <row r="257" spans="9:17" x14ac:dyDescent="0.45">
      <c r="I257" t="s">
        <v>195</v>
      </c>
      <c r="J257" t="s">
        <v>170</v>
      </c>
      <c r="K257">
        <v>0.54179193413308258</v>
      </c>
      <c r="L257" t="s">
        <v>164</v>
      </c>
      <c r="N257" t="s">
        <v>223</v>
      </c>
      <c r="O257" t="s">
        <v>170</v>
      </c>
      <c r="P257">
        <v>0.34702959143077983</v>
      </c>
      <c r="Q257" t="s">
        <v>164</v>
      </c>
    </row>
    <row r="258" spans="9:17" x14ac:dyDescent="0.45">
      <c r="I258" t="s">
        <v>195</v>
      </c>
      <c r="J258" t="s">
        <v>171</v>
      </c>
      <c r="K258">
        <v>1.2382639908674288E-3</v>
      </c>
      <c r="L258" t="s">
        <v>164</v>
      </c>
      <c r="N258" t="s">
        <v>223</v>
      </c>
      <c r="O258" t="s">
        <v>171</v>
      </c>
      <c r="P258">
        <v>3.8131321542764253E-2</v>
      </c>
      <c r="Q258" t="s">
        <v>164</v>
      </c>
    </row>
    <row r="259" spans="9:17" x14ac:dyDescent="0.45">
      <c r="I259" t="s">
        <v>195</v>
      </c>
      <c r="J259" t="s">
        <v>172</v>
      </c>
      <c r="K259">
        <v>0</v>
      </c>
      <c r="L259" t="s">
        <v>164</v>
      </c>
      <c r="N259" t="s">
        <v>223</v>
      </c>
      <c r="O259" t="s">
        <v>172</v>
      </c>
      <c r="P259">
        <v>0.20514761906663337</v>
      </c>
      <c r="Q259" t="s">
        <v>164</v>
      </c>
    </row>
    <row r="260" spans="9:17" x14ac:dyDescent="0.45">
      <c r="I260" t="s">
        <v>195</v>
      </c>
      <c r="J260" t="s">
        <v>173</v>
      </c>
      <c r="K260">
        <v>0.17187594031473827</v>
      </c>
      <c r="L260" t="s">
        <v>164</v>
      </c>
      <c r="N260" t="s">
        <v>223</v>
      </c>
      <c r="O260" t="s">
        <v>173</v>
      </c>
      <c r="P260">
        <v>9.7365861051608812E-2</v>
      </c>
      <c r="Q260" t="s">
        <v>164</v>
      </c>
    </row>
    <row r="261" spans="9:17" x14ac:dyDescent="0.45">
      <c r="I261" t="s">
        <v>195</v>
      </c>
      <c r="J261" t="s">
        <v>174</v>
      </c>
      <c r="K261">
        <v>1.6739844358578918E-3</v>
      </c>
      <c r="L261" t="s">
        <v>164</v>
      </c>
      <c r="N261" t="s">
        <v>223</v>
      </c>
      <c r="O261" t="s">
        <v>174</v>
      </c>
      <c r="P261">
        <v>7.9755655843788721E-3</v>
      </c>
      <c r="Q261" t="s">
        <v>164</v>
      </c>
    </row>
    <row r="262" spans="9:17" x14ac:dyDescent="0.45">
      <c r="I262" t="s">
        <v>195</v>
      </c>
      <c r="J262" t="s">
        <v>175</v>
      </c>
      <c r="K262">
        <v>0</v>
      </c>
      <c r="L262" t="s">
        <v>164</v>
      </c>
      <c r="N262" t="s">
        <v>223</v>
      </c>
      <c r="O262" t="s">
        <v>175</v>
      </c>
      <c r="P262">
        <v>3.1463871236163024E-2</v>
      </c>
      <c r="Q262" t="s">
        <v>164</v>
      </c>
    </row>
    <row r="263" spans="9:17" x14ac:dyDescent="0.45">
      <c r="I263" t="s">
        <v>196</v>
      </c>
      <c r="J263" t="s">
        <v>163</v>
      </c>
      <c r="K263">
        <v>9.3638215053099327E-2</v>
      </c>
      <c r="L263" t="s">
        <v>164</v>
      </c>
      <c r="N263" t="s">
        <v>224</v>
      </c>
      <c r="O263" t="s">
        <v>163</v>
      </c>
      <c r="P263">
        <v>4.4230578636159923E-2</v>
      </c>
      <c r="Q263" t="s">
        <v>164</v>
      </c>
    </row>
    <row r="264" spans="9:17" x14ac:dyDescent="0.45">
      <c r="I264" t="s">
        <v>196</v>
      </c>
      <c r="J264" t="s">
        <v>165</v>
      </c>
      <c r="K264">
        <v>2.7920531411189599E-3</v>
      </c>
      <c r="L264" t="s">
        <v>164</v>
      </c>
      <c r="N264" t="s">
        <v>224</v>
      </c>
      <c r="O264" t="s">
        <v>165</v>
      </c>
      <c r="P264">
        <v>6.2472897202740414E-3</v>
      </c>
      <c r="Q264" t="s">
        <v>164</v>
      </c>
    </row>
    <row r="265" spans="9:17" x14ac:dyDescent="0.45">
      <c r="I265" t="s">
        <v>196</v>
      </c>
      <c r="J265" t="s">
        <v>166</v>
      </c>
      <c r="K265">
        <v>0</v>
      </c>
      <c r="L265" t="s">
        <v>164</v>
      </c>
      <c r="N265" t="s">
        <v>224</v>
      </c>
      <c r="O265" t="s">
        <v>166</v>
      </c>
      <c r="P265">
        <v>2.4412009881906841E-2</v>
      </c>
      <c r="Q265" t="s">
        <v>164</v>
      </c>
    </row>
    <row r="266" spans="9:17" x14ac:dyDescent="0.45">
      <c r="I266" t="s">
        <v>196</v>
      </c>
      <c r="J266" t="s">
        <v>167</v>
      </c>
      <c r="K266">
        <v>0.17120791931604959</v>
      </c>
      <c r="L266" t="s">
        <v>164</v>
      </c>
      <c r="N266" t="s">
        <v>224</v>
      </c>
      <c r="O266" t="s">
        <v>167</v>
      </c>
      <c r="P266">
        <v>9.8844157577486019E-2</v>
      </c>
      <c r="Q266" t="s">
        <v>164</v>
      </c>
    </row>
    <row r="267" spans="9:17" x14ac:dyDescent="0.45">
      <c r="I267" t="s">
        <v>196</v>
      </c>
      <c r="J267" t="s">
        <v>168</v>
      </c>
      <c r="K267">
        <v>7.4150504313209142E-3</v>
      </c>
      <c r="L267" t="s">
        <v>164</v>
      </c>
      <c r="N267" t="s">
        <v>224</v>
      </c>
      <c r="O267" t="s">
        <v>168</v>
      </c>
      <c r="P267">
        <v>1.6537950841085957E-2</v>
      </c>
      <c r="Q267" t="s">
        <v>164</v>
      </c>
    </row>
    <row r="268" spans="9:17" x14ac:dyDescent="0.45">
      <c r="I268" t="s">
        <v>196</v>
      </c>
      <c r="J268" t="s">
        <v>169</v>
      </c>
      <c r="K268">
        <v>0</v>
      </c>
      <c r="L268" t="s">
        <v>164</v>
      </c>
      <c r="N268" t="s">
        <v>224</v>
      </c>
      <c r="O268" t="s">
        <v>169</v>
      </c>
      <c r="P268">
        <v>7.7762577357715176E-2</v>
      </c>
      <c r="Q268" t="s">
        <v>164</v>
      </c>
    </row>
    <row r="269" spans="9:17" x14ac:dyDescent="0.45">
      <c r="I269" t="s">
        <v>196</v>
      </c>
      <c r="J269" t="s">
        <v>170</v>
      </c>
      <c r="K269">
        <v>0.55347734841335938</v>
      </c>
      <c r="L269" t="s">
        <v>164</v>
      </c>
      <c r="N269" t="s">
        <v>224</v>
      </c>
      <c r="O269" t="s">
        <v>170</v>
      </c>
      <c r="P269">
        <v>0.22990553355514021</v>
      </c>
      <c r="Q269" t="s">
        <v>164</v>
      </c>
    </row>
    <row r="270" spans="9:17" x14ac:dyDescent="0.45">
      <c r="I270" t="s">
        <v>196</v>
      </c>
      <c r="J270" t="s">
        <v>171</v>
      </c>
      <c r="K270">
        <v>4.6592109796616561E-3</v>
      </c>
      <c r="L270" t="s">
        <v>164</v>
      </c>
      <c r="N270" t="s">
        <v>224</v>
      </c>
      <c r="O270" t="s">
        <v>171</v>
      </c>
      <c r="P270">
        <v>5.837022680806557E-2</v>
      </c>
      <c r="Q270" t="s">
        <v>164</v>
      </c>
    </row>
    <row r="271" spans="9:17" x14ac:dyDescent="0.45">
      <c r="I271" t="s">
        <v>196</v>
      </c>
      <c r="J271" t="s">
        <v>172</v>
      </c>
      <c r="K271">
        <v>0</v>
      </c>
      <c r="L271" t="s">
        <v>164</v>
      </c>
      <c r="N271" t="s">
        <v>224</v>
      </c>
      <c r="O271" t="s">
        <v>172</v>
      </c>
      <c r="P271">
        <v>0.29530215539951954</v>
      </c>
      <c r="Q271" t="s">
        <v>164</v>
      </c>
    </row>
    <row r="272" spans="9:17" x14ac:dyDescent="0.45">
      <c r="I272" t="s">
        <v>196</v>
      </c>
      <c r="J272" t="s">
        <v>173</v>
      </c>
      <c r="K272">
        <v>0.16681020266538857</v>
      </c>
      <c r="L272" t="s">
        <v>164</v>
      </c>
      <c r="N272" t="s">
        <v>224</v>
      </c>
      <c r="O272" t="s">
        <v>173</v>
      </c>
      <c r="P272">
        <v>8.5286630418779125E-2</v>
      </c>
      <c r="Q272" t="s">
        <v>164</v>
      </c>
    </row>
    <row r="273" spans="9:17" x14ac:dyDescent="0.45">
      <c r="I273" t="s">
        <v>196</v>
      </c>
      <c r="J273" t="s">
        <v>174</v>
      </c>
      <c r="K273">
        <v>0</v>
      </c>
      <c r="L273" t="s">
        <v>164</v>
      </c>
      <c r="N273" t="s">
        <v>224</v>
      </c>
      <c r="O273" t="s">
        <v>174</v>
      </c>
      <c r="P273">
        <v>1.2188712577912273E-2</v>
      </c>
      <c r="Q273" t="s">
        <v>164</v>
      </c>
    </row>
    <row r="274" spans="9:17" x14ac:dyDescent="0.45">
      <c r="I274" t="s">
        <v>196</v>
      </c>
      <c r="J274" t="s">
        <v>175</v>
      </c>
      <c r="K274">
        <v>0</v>
      </c>
      <c r="L274" t="s">
        <v>164</v>
      </c>
      <c r="N274" t="s">
        <v>224</v>
      </c>
      <c r="O274" t="s">
        <v>175</v>
      </c>
      <c r="P274">
        <v>5.091217722595353E-2</v>
      </c>
      <c r="Q274" t="s">
        <v>164</v>
      </c>
    </row>
    <row r="275" spans="9:17" x14ac:dyDescent="0.45">
      <c r="I275" t="s">
        <v>197</v>
      </c>
      <c r="J275" t="s">
        <v>163</v>
      </c>
      <c r="K275">
        <v>9.9618278549260711E-2</v>
      </c>
      <c r="L275" t="s">
        <v>164</v>
      </c>
      <c r="N275" t="s">
        <v>225</v>
      </c>
      <c r="O275" t="s">
        <v>163</v>
      </c>
      <c r="P275">
        <v>3.2163131925846092E-2</v>
      </c>
      <c r="Q275" t="s">
        <v>164</v>
      </c>
    </row>
    <row r="276" spans="9:17" x14ac:dyDescent="0.45">
      <c r="I276" t="s">
        <v>197</v>
      </c>
      <c r="J276" t="s">
        <v>165</v>
      </c>
      <c r="K276">
        <v>9.7699997549877409E-4</v>
      </c>
      <c r="L276" t="s">
        <v>164</v>
      </c>
      <c r="N276" t="s">
        <v>225</v>
      </c>
      <c r="O276" t="s">
        <v>165</v>
      </c>
      <c r="P276">
        <v>7.1703133126670366E-3</v>
      </c>
      <c r="Q276" t="s">
        <v>164</v>
      </c>
    </row>
    <row r="277" spans="9:17" x14ac:dyDescent="0.45">
      <c r="I277" t="s">
        <v>197</v>
      </c>
      <c r="J277" t="s">
        <v>166</v>
      </c>
      <c r="K277">
        <v>0</v>
      </c>
      <c r="L277" t="s">
        <v>164</v>
      </c>
      <c r="N277" t="s">
        <v>225</v>
      </c>
      <c r="O277" t="s">
        <v>166</v>
      </c>
      <c r="P277">
        <v>4.6997324829795531E-2</v>
      </c>
      <c r="Q277" t="s">
        <v>164</v>
      </c>
    </row>
    <row r="278" spans="9:17" x14ac:dyDescent="0.45">
      <c r="I278" t="s">
        <v>197</v>
      </c>
      <c r="J278" t="s">
        <v>167</v>
      </c>
      <c r="K278">
        <v>0.17503645790179348</v>
      </c>
      <c r="L278" t="s">
        <v>164</v>
      </c>
      <c r="N278" t="s">
        <v>225</v>
      </c>
      <c r="O278" t="s">
        <v>167</v>
      </c>
      <c r="P278">
        <v>9.0481711140968979E-2</v>
      </c>
      <c r="Q278" t="s">
        <v>164</v>
      </c>
    </row>
    <row r="279" spans="9:17" x14ac:dyDescent="0.45">
      <c r="I279" t="s">
        <v>197</v>
      </c>
      <c r="J279" t="s">
        <v>168</v>
      </c>
      <c r="K279">
        <v>4.7513126460376164E-3</v>
      </c>
      <c r="L279" t="s">
        <v>164</v>
      </c>
      <c r="N279" t="s">
        <v>225</v>
      </c>
      <c r="O279" t="s">
        <v>168</v>
      </c>
      <c r="P279">
        <v>1.6518886932356962E-2</v>
      </c>
      <c r="Q279" t="s">
        <v>164</v>
      </c>
    </row>
    <row r="280" spans="9:17" x14ac:dyDescent="0.45">
      <c r="I280" t="s">
        <v>197</v>
      </c>
      <c r="J280" t="s">
        <v>169</v>
      </c>
      <c r="K280">
        <v>0</v>
      </c>
      <c r="L280" t="s">
        <v>164</v>
      </c>
      <c r="N280" t="s">
        <v>225</v>
      </c>
      <c r="O280" t="s">
        <v>169</v>
      </c>
      <c r="P280">
        <v>0.10446464051846355</v>
      </c>
      <c r="Q280" t="s">
        <v>164</v>
      </c>
    </row>
    <row r="281" spans="9:17" x14ac:dyDescent="0.45">
      <c r="I281" t="s">
        <v>197</v>
      </c>
      <c r="J281" t="s">
        <v>170</v>
      </c>
      <c r="K281">
        <v>0.54702717727140071</v>
      </c>
      <c r="L281" t="s">
        <v>164</v>
      </c>
      <c r="N281" t="s">
        <v>225</v>
      </c>
      <c r="O281" t="s">
        <v>170</v>
      </c>
      <c r="P281">
        <v>0.24091393440105627</v>
      </c>
      <c r="Q281" t="s">
        <v>164</v>
      </c>
    </row>
    <row r="282" spans="9:17" x14ac:dyDescent="0.45">
      <c r="I282" t="s">
        <v>197</v>
      </c>
      <c r="J282" t="s">
        <v>171</v>
      </c>
      <c r="K282">
        <v>0</v>
      </c>
      <c r="L282" t="s">
        <v>164</v>
      </c>
      <c r="N282" t="s">
        <v>225</v>
      </c>
      <c r="O282" t="s">
        <v>171</v>
      </c>
      <c r="P282">
        <v>2.344806617049712E-2</v>
      </c>
      <c r="Q282" t="s">
        <v>164</v>
      </c>
    </row>
    <row r="283" spans="9:17" x14ac:dyDescent="0.45">
      <c r="I283" t="s">
        <v>197</v>
      </c>
      <c r="J283" t="s">
        <v>172</v>
      </c>
      <c r="K283">
        <v>0</v>
      </c>
      <c r="L283" t="s">
        <v>164</v>
      </c>
      <c r="N283" t="s">
        <v>225</v>
      </c>
      <c r="O283" t="s">
        <v>172</v>
      </c>
      <c r="P283">
        <v>0.25313235899253278</v>
      </c>
      <c r="Q283" t="s">
        <v>164</v>
      </c>
    </row>
    <row r="284" spans="9:17" x14ac:dyDescent="0.45">
      <c r="I284" t="s">
        <v>197</v>
      </c>
      <c r="J284" t="s">
        <v>173</v>
      </c>
      <c r="K284">
        <v>0.17258977365600695</v>
      </c>
      <c r="L284" t="s">
        <v>164</v>
      </c>
      <c r="N284" t="s">
        <v>225</v>
      </c>
      <c r="O284" t="s">
        <v>173</v>
      </c>
      <c r="P284">
        <v>8.385829930257728E-2</v>
      </c>
      <c r="Q284" t="s">
        <v>164</v>
      </c>
    </row>
    <row r="285" spans="9:17" x14ac:dyDescent="0.45">
      <c r="I285" t="s">
        <v>197</v>
      </c>
      <c r="J285" t="s">
        <v>174</v>
      </c>
      <c r="K285">
        <v>0</v>
      </c>
      <c r="L285" t="s">
        <v>164</v>
      </c>
      <c r="N285" t="s">
        <v>225</v>
      </c>
      <c r="O285" t="s">
        <v>174</v>
      </c>
      <c r="P285">
        <v>1.5088893204277231E-2</v>
      </c>
      <c r="Q285" t="s">
        <v>164</v>
      </c>
    </row>
    <row r="286" spans="9:17" x14ac:dyDescent="0.45">
      <c r="I286" t="s">
        <v>197</v>
      </c>
      <c r="J286" t="s">
        <v>175</v>
      </c>
      <c r="K286">
        <v>0</v>
      </c>
      <c r="L286" t="s">
        <v>164</v>
      </c>
      <c r="N286" t="s">
        <v>225</v>
      </c>
      <c r="O286" t="s">
        <v>175</v>
      </c>
      <c r="P286">
        <v>8.5762439268959628E-2</v>
      </c>
      <c r="Q286" t="s">
        <v>164</v>
      </c>
    </row>
    <row r="287" spans="9:17" x14ac:dyDescent="0.45">
      <c r="I287" t="s">
        <v>198</v>
      </c>
      <c r="J287" t="s">
        <v>163</v>
      </c>
      <c r="K287">
        <v>9.4527417976343009E-2</v>
      </c>
      <c r="L287" t="s">
        <v>164</v>
      </c>
    </row>
    <row r="288" spans="9:17" x14ac:dyDescent="0.45">
      <c r="I288" t="s">
        <v>198</v>
      </c>
      <c r="J288" t="s">
        <v>165</v>
      </c>
      <c r="K288">
        <v>3.0049627071228016E-3</v>
      </c>
      <c r="L288" t="s">
        <v>164</v>
      </c>
    </row>
    <row r="289" spans="9:12" x14ac:dyDescent="0.45">
      <c r="I289" t="s">
        <v>198</v>
      </c>
      <c r="J289" t="s">
        <v>166</v>
      </c>
      <c r="K289">
        <v>0</v>
      </c>
      <c r="L289" t="s">
        <v>164</v>
      </c>
    </row>
    <row r="290" spans="9:12" x14ac:dyDescent="0.45">
      <c r="I290" t="s">
        <v>198</v>
      </c>
      <c r="J290" t="s">
        <v>167</v>
      </c>
      <c r="K290">
        <v>0.17079764228472641</v>
      </c>
      <c r="L290" t="s">
        <v>164</v>
      </c>
    </row>
    <row r="291" spans="9:12" x14ac:dyDescent="0.45">
      <c r="I291" t="s">
        <v>198</v>
      </c>
      <c r="J291" t="s">
        <v>168</v>
      </c>
      <c r="K291">
        <v>7.1902202289962566E-3</v>
      </c>
      <c r="L291" t="s">
        <v>164</v>
      </c>
    </row>
    <row r="292" spans="9:12" x14ac:dyDescent="0.45">
      <c r="I292" t="s">
        <v>198</v>
      </c>
      <c r="J292" t="s">
        <v>169</v>
      </c>
      <c r="K292">
        <v>0</v>
      </c>
      <c r="L292" t="s">
        <v>164</v>
      </c>
    </row>
    <row r="293" spans="9:12" x14ac:dyDescent="0.45">
      <c r="I293" t="s">
        <v>198</v>
      </c>
      <c r="J293" t="s">
        <v>170</v>
      </c>
      <c r="K293">
        <v>0.56304861148625018</v>
      </c>
      <c r="L293" t="s">
        <v>164</v>
      </c>
    </row>
    <row r="294" spans="9:12" x14ac:dyDescent="0.45">
      <c r="I294" t="s">
        <v>198</v>
      </c>
      <c r="J294" t="s">
        <v>171</v>
      </c>
      <c r="K294">
        <v>7.9843186767016776E-4</v>
      </c>
      <c r="L294" t="s">
        <v>164</v>
      </c>
    </row>
    <row r="295" spans="9:12" x14ac:dyDescent="0.45">
      <c r="I295" t="s">
        <v>198</v>
      </c>
      <c r="J295" t="s">
        <v>172</v>
      </c>
      <c r="K295">
        <v>0</v>
      </c>
      <c r="L295" t="s">
        <v>164</v>
      </c>
    </row>
    <row r="296" spans="9:12" x14ac:dyDescent="0.45">
      <c r="I296" t="s">
        <v>198</v>
      </c>
      <c r="J296" t="s">
        <v>173</v>
      </c>
      <c r="K296">
        <v>0.16063271344889299</v>
      </c>
      <c r="L296" t="s">
        <v>164</v>
      </c>
    </row>
    <row r="297" spans="9:12" x14ac:dyDescent="0.45">
      <c r="I297" t="s">
        <v>198</v>
      </c>
      <c r="J297" t="s">
        <v>174</v>
      </c>
      <c r="K297">
        <v>0</v>
      </c>
      <c r="L297" t="s">
        <v>164</v>
      </c>
    </row>
    <row r="298" spans="9:12" x14ac:dyDescent="0.45">
      <c r="I298" t="s">
        <v>198</v>
      </c>
      <c r="J298" t="s">
        <v>175</v>
      </c>
      <c r="K298">
        <v>0</v>
      </c>
      <c r="L298" t="s">
        <v>164</v>
      </c>
    </row>
    <row r="299" spans="9:12" x14ac:dyDescent="0.45">
      <c r="I299" t="s">
        <v>199</v>
      </c>
      <c r="J299" t="s">
        <v>163</v>
      </c>
      <c r="K299">
        <v>0.10389069564998785</v>
      </c>
      <c r="L299" t="s">
        <v>164</v>
      </c>
    </row>
    <row r="300" spans="9:12" x14ac:dyDescent="0.45">
      <c r="I300" t="s">
        <v>199</v>
      </c>
      <c r="J300" t="s">
        <v>165</v>
      </c>
      <c r="K300">
        <v>0</v>
      </c>
      <c r="L300" t="s">
        <v>164</v>
      </c>
    </row>
    <row r="301" spans="9:12" x14ac:dyDescent="0.45">
      <c r="I301" t="s">
        <v>199</v>
      </c>
      <c r="J301" t="s">
        <v>166</v>
      </c>
      <c r="K301">
        <v>0</v>
      </c>
      <c r="L301" t="s">
        <v>164</v>
      </c>
    </row>
    <row r="302" spans="9:12" x14ac:dyDescent="0.45">
      <c r="I302" t="s">
        <v>199</v>
      </c>
      <c r="J302" t="s">
        <v>167</v>
      </c>
      <c r="K302">
        <v>0.18138694726572666</v>
      </c>
      <c r="L302" t="s">
        <v>164</v>
      </c>
    </row>
    <row r="303" spans="9:12" x14ac:dyDescent="0.45">
      <c r="I303" t="s">
        <v>199</v>
      </c>
      <c r="J303" t="s">
        <v>168</v>
      </c>
      <c r="K303">
        <v>2.3865946076529642E-4</v>
      </c>
      <c r="L303" t="s">
        <v>164</v>
      </c>
    </row>
    <row r="304" spans="9:12" x14ac:dyDescent="0.45">
      <c r="I304" t="s">
        <v>199</v>
      </c>
      <c r="J304" t="s">
        <v>169</v>
      </c>
      <c r="K304">
        <v>0</v>
      </c>
      <c r="L304" t="s">
        <v>164</v>
      </c>
    </row>
    <row r="305" spans="9:12" x14ac:dyDescent="0.45">
      <c r="I305" t="s">
        <v>199</v>
      </c>
      <c r="J305" t="s">
        <v>170</v>
      </c>
      <c r="K305">
        <v>0.53479909963891858</v>
      </c>
      <c r="L305" t="s">
        <v>164</v>
      </c>
    </row>
    <row r="306" spans="9:12" x14ac:dyDescent="0.45">
      <c r="I306" t="s">
        <v>199</v>
      </c>
      <c r="J306" t="s">
        <v>171</v>
      </c>
      <c r="K306">
        <v>0</v>
      </c>
      <c r="L306" t="s">
        <v>164</v>
      </c>
    </row>
    <row r="307" spans="9:12" x14ac:dyDescent="0.45">
      <c r="I307" t="s">
        <v>199</v>
      </c>
      <c r="J307" t="s">
        <v>172</v>
      </c>
      <c r="K307">
        <v>0</v>
      </c>
      <c r="L307" t="s">
        <v>164</v>
      </c>
    </row>
    <row r="308" spans="9:12" x14ac:dyDescent="0.45">
      <c r="I308" t="s">
        <v>199</v>
      </c>
      <c r="J308" t="s">
        <v>173</v>
      </c>
      <c r="K308">
        <v>0.17968459798460271</v>
      </c>
      <c r="L308" t="s">
        <v>164</v>
      </c>
    </row>
    <row r="309" spans="9:12" x14ac:dyDescent="0.45">
      <c r="I309" t="s">
        <v>199</v>
      </c>
      <c r="J309" t="s">
        <v>174</v>
      </c>
      <c r="K309">
        <v>0</v>
      </c>
      <c r="L309" t="s">
        <v>164</v>
      </c>
    </row>
    <row r="310" spans="9:12" x14ac:dyDescent="0.45">
      <c r="I310" t="s">
        <v>199</v>
      </c>
      <c r="J310" t="s">
        <v>175</v>
      </c>
      <c r="K310">
        <v>0</v>
      </c>
      <c r="L310" t="s">
        <v>164</v>
      </c>
    </row>
    <row r="311" spans="9:12" x14ac:dyDescent="0.45">
      <c r="I311" t="s">
        <v>200</v>
      </c>
      <c r="J311" t="s">
        <v>163</v>
      </c>
      <c r="K311">
        <v>0.10030188435049373</v>
      </c>
      <c r="L311" t="s">
        <v>164</v>
      </c>
    </row>
    <row r="312" spans="9:12" x14ac:dyDescent="0.45">
      <c r="I312" t="s">
        <v>200</v>
      </c>
      <c r="J312" t="s">
        <v>165</v>
      </c>
      <c r="K312">
        <v>2.4378418606341664E-3</v>
      </c>
      <c r="L312" t="s">
        <v>164</v>
      </c>
    </row>
    <row r="313" spans="9:12" x14ac:dyDescent="0.45">
      <c r="I313" t="s">
        <v>200</v>
      </c>
      <c r="J313" t="s">
        <v>166</v>
      </c>
      <c r="K313">
        <v>0</v>
      </c>
      <c r="L313" t="s">
        <v>164</v>
      </c>
    </row>
    <row r="314" spans="9:12" x14ac:dyDescent="0.45">
      <c r="I314" t="s">
        <v>200</v>
      </c>
      <c r="J314" t="s">
        <v>167</v>
      </c>
      <c r="K314">
        <v>0.17550654268190607</v>
      </c>
      <c r="L314" t="s">
        <v>164</v>
      </c>
    </row>
    <row r="315" spans="9:12" x14ac:dyDescent="0.45">
      <c r="I315" t="s">
        <v>200</v>
      </c>
      <c r="J315" t="s">
        <v>168</v>
      </c>
      <c r="K315">
        <v>5.4543926722891711E-3</v>
      </c>
      <c r="L315" t="s">
        <v>164</v>
      </c>
    </row>
    <row r="316" spans="9:12" x14ac:dyDescent="0.45">
      <c r="I316" t="s">
        <v>200</v>
      </c>
      <c r="J316" t="s">
        <v>169</v>
      </c>
      <c r="K316">
        <v>0</v>
      </c>
      <c r="L316" t="s">
        <v>164</v>
      </c>
    </row>
    <row r="317" spans="9:12" x14ac:dyDescent="0.45">
      <c r="I317" t="s">
        <v>200</v>
      </c>
      <c r="J317" t="s">
        <v>170</v>
      </c>
      <c r="K317">
        <v>0.5375275489578627</v>
      </c>
      <c r="L317" t="s">
        <v>164</v>
      </c>
    </row>
    <row r="318" spans="9:12" x14ac:dyDescent="0.45">
      <c r="I318" t="s">
        <v>200</v>
      </c>
      <c r="J318" t="s">
        <v>171</v>
      </c>
      <c r="K318">
        <v>0</v>
      </c>
      <c r="L318" t="s">
        <v>164</v>
      </c>
    </row>
    <row r="319" spans="9:12" x14ac:dyDescent="0.45">
      <c r="I319" t="s">
        <v>200</v>
      </c>
      <c r="J319" t="s">
        <v>172</v>
      </c>
      <c r="K319">
        <v>0</v>
      </c>
      <c r="L319" t="s">
        <v>164</v>
      </c>
    </row>
    <row r="320" spans="9:12" x14ac:dyDescent="0.45">
      <c r="I320" t="s">
        <v>200</v>
      </c>
      <c r="J320" t="s">
        <v>173</v>
      </c>
      <c r="K320">
        <v>0.17877178947681396</v>
      </c>
      <c r="L320" t="s">
        <v>164</v>
      </c>
    </row>
    <row r="321" spans="9:12" x14ac:dyDescent="0.45">
      <c r="I321" t="s">
        <v>200</v>
      </c>
      <c r="J321" t="s">
        <v>174</v>
      </c>
      <c r="K321">
        <v>0</v>
      </c>
      <c r="L321" t="s">
        <v>164</v>
      </c>
    </row>
    <row r="322" spans="9:12" x14ac:dyDescent="0.45">
      <c r="I322" t="s">
        <v>200</v>
      </c>
      <c r="J322" t="s">
        <v>175</v>
      </c>
      <c r="K322">
        <v>0</v>
      </c>
      <c r="L322" t="s">
        <v>164</v>
      </c>
    </row>
    <row r="323" spans="9:12" x14ac:dyDescent="0.45">
      <c r="I323" t="s">
        <v>201</v>
      </c>
      <c r="J323" t="s">
        <v>163</v>
      </c>
      <c r="K323">
        <v>9.6288641062519748E-2</v>
      </c>
      <c r="L323" t="s">
        <v>164</v>
      </c>
    </row>
    <row r="324" spans="9:12" x14ac:dyDescent="0.45">
      <c r="I324" t="s">
        <v>201</v>
      </c>
      <c r="J324" t="s">
        <v>165</v>
      </c>
      <c r="K324">
        <v>1.2050159986879941E-3</v>
      </c>
      <c r="L324" t="s">
        <v>164</v>
      </c>
    </row>
    <row r="325" spans="9:12" x14ac:dyDescent="0.45">
      <c r="I325" t="s">
        <v>201</v>
      </c>
      <c r="J325" t="s">
        <v>166</v>
      </c>
      <c r="K325">
        <v>0</v>
      </c>
      <c r="L325" t="s">
        <v>164</v>
      </c>
    </row>
    <row r="326" spans="9:12" x14ac:dyDescent="0.45">
      <c r="I326" t="s">
        <v>201</v>
      </c>
      <c r="J326" t="s">
        <v>167</v>
      </c>
      <c r="K326">
        <v>0.16964946325669267</v>
      </c>
      <c r="L326" t="s">
        <v>164</v>
      </c>
    </row>
    <row r="327" spans="9:12" x14ac:dyDescent="0.45">
      <c r="I327" t="s">
        <v>201</v>
      </c>
      <c r="J327" t="s">
        <v>168</v>
      </c>
      <c r="K327">
        <v>3.4602728172918721E-3</v>
      </c>
      <c r="L327" t="s">
        <v>164</v>
      </c>
    </row>
    <row r="328" spans="9:12" x14ac:dyDescent="0.45">
      <c r="I328" t="s">
        <v>201</v>
      </c>
      <c r="J328" t="s">
        <v>169</v>
      </c>
      <c r="K328">
        <v>0</v>
      </c>
      <c r="L328" t="s">
        <v>164</v>
      </c>
    </row>
    <row r="329" spans="9:12" x14ac:dyDescent="0.45">
      <c r="I329" t="s">
        <v>201</v>
      </c>
      <c r="J329" t="s">
        <v>170</v>
      </c>
      <c r="K329">
        <v>0.55049779421376721</v>
      </c>
      <c r="L329" t="s">
        <v>164</v>
      </c>
    </row>
    <row r="330" spans="9:12" x14ac:dyDescent="0.45">
      <c r="I330" t="s">
        <v>201</v>
      </c>
      <c r="J330" t="s">
        <v>171</v>
      </c>
      <c r="K330">
        <v>0</v>
      </c>
      <c r="L330" t="s">
        <v>164</v>
      </c>
    </row>
    <row r="331" spans="9:12" x14ac:dyDescent="0.45">
      <c r="I331" t="s">
        <v>201</v>
      </c>
      <c r="J331" t="s">
        <v>172</v>
      </c>
      <c r="K331">
        <v>0</v>
      </c>
      <c r="L331" t="s">
        <v>164</v>
      </c>
    </row>
    <row r="332" spans="9:12" x14ac:dyDescent="0.45">
      <c r="I332" t="s">
        <v>201</v>
      </c>
      <c r="J332" t="s">
        <v>173</v>
      </c>
      <c r="K332">
        <v>0.17889881265104218</v>
      </c>
      <c r="L332" t="s">
        <v>164</v>
      </c>
    </row>
    <row r="333" spans="9:12" x14ac:dyDescent="0.45">
      <c r="I333" t="s">
        <v>201</v>
      </c>
      <c r="J333" t="s">
        <v>174</v>
      </c>
      <c r="K333">
        <v>0</v>
      </c>
      <c r="L333" t="s">
        <v>164</v>
      </c>
    </row>
    <row r="334" spans="9:12" x14ac:dyDescent="0.45">
      <c r="I334" t="s">
        <v>201</v>
      </c>
      <c r="J334" t="s">
        <v>175</v>
      </c>
      <c r="K334">
        <v>0</v>
      </c>
      <c r="L334" t="s">
        <v>164</v>
      </c>
    </row>
    <row r="335" spans="9:12" x14ac:dyDescent="0.45">
      <c r="I335" t="s">
        <v>202</v>
      </c>
      <c r="J335" t="s">
        <v>163</v>
      </c>
      <c r="K335">
        <v>9.9745352252312749E-2</v>
      </c>
      <c r="L335" t="s">
        <v>164</v>
      </c>
    </row>
    <row r="336" spans="9:12" x14ac:dyDescent="0.45">
      <c r="I336" t="s">
        <v>202</v>
      </c>
      <c r="J336" t="s">
        <v>165</v>
      </c>
      <c r="K336">
        <v>0</v>
      </c>
      <c r="L336" t="s">
        <v>164</v>
      </c>
    </row>
    <row r="337" spans="9:12" x14ac:dyDescent="0.45">
      <c r="I337" t="s">
        <v>202</v>
      </c>
      <c r="J337" t="s">
        <v>166</v>
      </c>
      <c r="K337">
        <v>0</v>
      </c>
      <c r="L337" t="s">
        <v>164</v>
      </c>
    </row>
    <row r="338" spans="9:12" x14ac:dyDescent="0.45">
      <c r="I338" t="s">
        <v>202</v>
      </c>
      <c r="J338" t="s">
        <v>167</v>
      </c>
      <c r="K338">
        <v>0.17735995971041107</v>
      </c>
      <c r="L338" t="s">
        <v>164</v>
      </c>
    </row>
    <row r="339" spans="9:12" x14ac:dyDescent="0.45">
      <c r="I339" t="s">
        <v>202</v>
      </c>
      <c r="J339" t="s">
        <v>168</v>
      </c>
      <c r="K339">
        <v>4.7801737131443048E-5</v>
      </c>
      <c r="L339" t="s">
        <v>164</v>
      </c>
    </row>
    <row r="340" spans="9:12" x14ac:dyDescent="0.45">
      <c r="I340" t="s">
        <v>202</v>
      </c>
      <c r="J340" t="s">
        <v>169</v>
      </c>
      <c r="K340">
        <v>0</v>
      </c>
      <c r="L340" t="s">
        <v>164</v>
      </c>
    </row>
    <row r="341" spans="9:12" x14ac:dyDescent="0.45">
      <c r="I341" t="s">
        <v>202</v>
      </c>
      <c r="J341" t="s">
        <v>170</v>
      </c>
      <c r="K341">
        <v>0.54432345480981326</v>
      </c>
      <c r="L341" t="s">
        <v>164</v>
      </c>
    </row>
    <row r="342" spans="9:12" x14ac:dyDescent="0.45">
      <c r="I342" t="s">
        <v>202</v>
      </c>
      <c r="J342" t="s">
        <v>171</v>
      </c>
      <c r="K342">
        <v>0</v>
      </c>
      <c r="L342" t="s">
        <v>164</v>
      </c>
    </row>
    <row r="343" spans="9:12" x14ac:dyDescent="0.45">
      <c r="I343" t="s">
        <v>202</v>
      </c>
      <c r="J343" t="s">
        <v>172</v>
      </c>
      <c r="K343">
        <v>0</v>
      </c>
      <c r="L343" t="s">
        <v>164</v>
      </c>
    </row>
    <row r="344" spans="9:12" x14ac:dyDescent="0.45">
      <c r="I344" t="s">
        <v>202</v>
      </c>
      <c r="J344" t="s">
        <v>173</v>
      </c>
      <c r="K344">
        <v>0.1785234314903319</v>
      </c>
      <c r="L344" t="s">
        <v>164</v>
      </c>
    </row>
    <row r="345" spans="9:12" x14ac:dyDescent="0.45">
      <c r="I345" t="s">
        <v>202</v>
      </c>
      <c r="J345" t="s">
        <v>174</v>
      </c>
      <c r="K345">
        <v>0</v>
      </c>
      <c r="L345" t="s">
        <v>164</v>
      </c>
    </row>
    <row r="346" spans="9:12" x14ac:dyDescent="0.45">
      <c r="I346" t="s">
        <v>202</v>
      </c>
      <c r="J346" t="s">
        <v>175</v>
      </c>
      <c r="K346">
        <v>0</v>
      </c>
      <c r="L346" t="s">
        <v>164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F8687-14DD-4243-9386-9B608E33701A}">
  <dimension ref="A9:AN118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236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242</v>
      </c>
      <c r="AK10" t="s">
        <v>47</v>
      </c>
      <c r="AL10" t="s">
        <v>121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246</v>
      </c>
      <c r="G11" t="s">
        <v>153</v>
      </c>
      <c r="I11" t="s">
        <v>162</v>
      </c>
      <c r="J11" t="s">
        <v>163</v>
      </c>
      <c r="K11">
        <v>7.9243645004882114E-3</v>
      </c>
      <c r="L11" t="s">
        <v>164</v>
      </c>
      <c r="N11" t="s">
        <v>203</v>
      </c>
      <c r="O11" t="s">
        <v>163</v>
      </c>
      <c r="P11">
        <v>4.0348372539000792E-3</v>
      </c>
      <c r="Q11" t="s">
        <v>164</v>
      </c>
      <c r="S11" t="s">
        <v>226</v>
      </c>
      <c r="T11" t="s">
        <v>163</v>
      </c>
      <c r="U11">
        <v>2.44812643473514E-2</v>
      </c>
      <c r="V11" t="s">
        <v>164</v>
      </c>
      <c r="X11">
        <v>3.1849315068493152E-2</v>
      </c>
      <c r="Y11">
        <v>2.021297930702998E-2</v>
      </c>
      <c r="Z11" t="s">
        <v>163</v>
      </c>
      <c r="AA11" t="s">
        <v>25</v>
      </c>
      <c r="AC11" t="s">
        <v>22</v>
      </c>
      <c r="AD11" t="s">
        <v>163</v>
      </c>
      <c r="AE11">
        <v>2.9152477129347393E-2</v>
      </c>
      <c r="AG11" t="s">
        <v>96</v>
      </c>
      <c r="AH11" t="s">
        <v>163</v>
      </c>
      <c r="AI11">
        <v>0.15032322458852754</v>
      </c>
      <c r="AK11">
        <v>2020</v>
      </c>
      <c r="AL11" t="s">
        <v>152</v>
      </c>
      <c r="AM11">
        <v>0.56925996204933582</v>
      </c>
      <c r="AN11" t="s">
        <v>245</v>
      </c>
    </row>
    <row r="12" spans="1:40" x14ac:dyDescent="0.45">
      <c r="C12" t="s">
        <v>156</v>
      </c>
      <c r="E12" t="s">
        <v>157</v>
      </c>
      <c r="G12" t="s">
        <v>153</v>
      </c>
      <c r="I12" t="s">
        <v>162</v>
      </c>
      <c r="J12" t="s">
        <v>165</v>
      </c>
      <c r="K12">
        <v>9.0472679470157656E-3</v>
      </c>
      <c r="L12" t="s">
        <v>164</v>
      </c>
      <c r="N12" t="s">
        <v>203</v>
      </c>
      <c r="O12" t="s">
        <v>165</v>
      </c>
      <c r="P12">
        <v>1.0877312378219444E-3</v>
      </c>
      <c r="Q12" t="s">
        <v>164</v>
      </c>
      <c r="S12" t="s">
        <v>226</v>
      </c>
      <c r="T12" t="s">
        <v>165</v>
      </c>
      <c r="U12">
        <v>2.7712040098487422E-3</v>
      </c>
      <c r="V12" t="s">
        <v>164</v>
      </c>
      <c r="X12">
        <v>3.5388127853881279E-3</v>
      </c>
      <c r="Y12">
        <v>4.4803553522445696E-3</v>
      </c>
      <c r="Z12" t="s">
        <v>165</v>
      </c>
      <c r="AA12" t="s">
        <v>25</v>
      </c>
      <c r="AC12" t="s">
        <v>22</v>
      </c>
      <c r="AD12" t="s">
        <v>165</v>
      </c>
      <c r="AE12">
        <v>4.082593738656843E-3</v>
      </c>
      <c r="AG12" t="s">
        <v>96</v>
      </c>
      <c r="AH12" t="s">
        <v>165</v>
      </c>
      <c r="AI12">
        <v>1.6339638622247188E-2</v>
      </c>
      <c r="AK12">
        <v>2020</v>
      </c>
      <c r="AL12" t="s">
        <v>156</v>
      </c>
      <c r="AM12">
        <v>0.57471264367816099</v>
      </c>
      <c r="AN12" t="s">
        <v>245</v>
      </c>
    </row>
    <row r="13" spans="1:40" x14ac:dyDescent="0.45">
      <c r="C13" t="s">
        <v>158</v>
      </c>
      <c r="E13" t="s">
        <v>159</v>
      </c>
      <c r="G13" t="s">
        <v>153</v>
      </c>
      <c r="I13" t="s">
        <v>162</v>
      </c>
      <c r="J13" t="s">
        <v>166</v>
      </c>
      <c r="K13">
        <v>1.0253841647308927E-2</v>
      </c>
      <c r="L13" t="s">
        <v>164</v>
      </c>
      <c r="N13" t="s">
        <v>203</v>
      </c>
      <c r="O13" t="s">
        <v>166</v>
      </c>
      <c r="P13">
        <v>1.9016671059317127E-3</v>
      </c>
      <c r="Q13" t="s">
        <v>164</v>
      </c>
      <c r="S13" t="s">
        <v>226</v>
      </c>
      <c r="T13" t="s">
        <v>166</v>
      </c>
      <c r="U13">
        <v>3.1492341253725026E-3</v>
      </c>
      <c r="V13" t="s">
        <v>164</v>
      </c>
      <c r="X13">
        <v>3.5388127853881279E-3</v>
      </c>
      <c r="Y13">
        <v>4.3673188639998693E-3</v>
      </c>
      <c r="Z13" t="s">
        <v>166</v>
      </c>
      <c r="AA13" t="s">
        <v>25</v>
      </c>
      <c r="AC13" t="s">
        <v>22</v>
      </c>
      <c r="AD13" t="s">
        <v>166</v>
      </c>
      <c r="AE13">
        <v>4.0694194536087299E-3</v>
      </c>
      <c r="AG13" t="s">
        <v>96</v>
      </c>
      <c r="AH13" t="s">
        <v>166</v>
      </c>
      <c r="AI13">
        <v>1.2126354492584701E-2</v>
      </c>
      <c r="AK13">
        <v>2020</v>
      </c>
      <c r="AL13" t="s">
        <v>158</v>
      </c>
      <c r="AM13">
        <v>0.56925996204933582</v>
      </c>
      <c r="AN13" t="s">
        <v>245</v>
      </c>
    </row>
    <row r="14" spans="1:40" x14ac:dyDescent="0.45">
      <c r="C14" t="s">
        <v>160</v>
      </c>
      <c r="E14" t="s">
        <v>247</v>
      </c>
      <c r="G14" t="s">
        <v>153</v>
      </c>
      <c r="I14" t="s">
        <v>162</v>
      </c>
      <c r="J14" t="s">
        <v>253</v>
      </c>
      <c r="K14">
        <v>7.1461181373805346E-2</v>
      </c>
      <c r="L14" t="s">
        <v>164</v>
      </c>
      <c r="N14" t="s">
        <v>203</v>
      </c>
      <c r="O14" t="s">
        <v>253</v>
      </c>
      <c r="P14">
        <v>2.0665381176577936E-2</v>
      </c>
      <c r="Q14" t="s">
        <v>164</v>
      </c>
      <c r="S14" t="s">
        <v>226</v>
      </c>
      <c r="T14" t="s">
        <v>253</v>
      </c>
      <c r="U14">
        <v>3.2104549413367926E-2</v>
      </c>
      <c r="V14" t="s">
        <v>164</v>
      </c>
      <c r="X14">
        <v>2.4771689497716895E-2</v>
      </c>
      <c r="Y14">
        <v>3.7168452543735346E-2</v>
      </c>
      <c r="Z14" t="s">
        <v>253</v>
      </c>
      <c r="AA14" t="s">
        <v>25</v>
      </c>
      <c r="AC14" t="s">
        <v>22</v>
      </c>
      <c r="AD14" t="s">
        <v>253</v>
      </c>
      <c r="AE14">
        <v>3.0546603058331425E-2</v>
      </c>
      <c r="AG14" t="s">
        <v>96</v>
      </c>
      <c r="AH14" t="s">
        <v>253</v>
      </c>
      <c r="AI14">
        <v>8.7647980184315077E-2</v>
      </c>
      <c r="AK14">
        <v>2020</v>
      </c>
      <c r="AL14" t="s">
        <v>160</v>
      </c>
      <c r="AM14">
        <v>0.53478810879190386</v>
      </c>
      <c r="AN14" t="s">
        <v>245</v>
      </c>
    </row>
    <row r="15" spans="1:40" x14ac:dyDescent="0.45">
      <c r="C15" t="s">
        <v>248</v>
      </c>
      <c r="E15" t="s">
        <v>249</v>
      </c>
      <c r="G15" t="s">
        <v>153</v>
      </c>
      <c r="I15" t="s">
        <v>162</v>
      </c>
      <c r="J15" t="s">
        <v>254</v>
      </c>
      <c r="K15">
        <v>5.944245324464627E-3</v>
      </c>
      <c r="L15" t="s">
        <v>164</v>
      </c>
      <c r="N15" t="s">
        <v>203</v>
      </c>
      <c r="O15" t="s">
        <v>254</v>
      </c>
      <c r="P15">
        <v>3.32498548592423E-3</v>
      </c>
      <c r="Q15" t="s">
        <v>164</v>
      </c>
      <c r="S15" t="s">
        <v>226</v>
      </c>
      <c r="T15" t="s">
        <v>254</v>
      </c>
      <c r="U15">
        <v>6.0651849653076241E-3</v>
      </c>
      <c r="V15" t="s">
        <v>164</v>
      </c>
      <c r="X15">
        <v>3.5388127853881279E-3</v>
      </c>
      <c r="Y15">
        <v>5.3435430806586613E-3</v>
      </c>
      <c r="Z15" t="s">
        <v>254</v>
      </c>
      <c r="AA15" t="s">
        <v>25</v>
      </c>
      <c r="AC15" t="s">
        <v>22</v>
      </c>
      <c r="AD15" t="s">
        <v>254</v>
      </c>
      <c r="AE15">
        <v>4.3889936948748563E-3</v>
      </c>
      <c r="AG15" t="s">
        <v>96</v>
      </c>
      <c r="AH15" t="s">
        <v>254</v>
      </c>
      <c r="AI15">
        <v>5.8284339472389757E-3</v>
      </c>
      <c r="AK15">
        <v>2020</v>
      </c>
      <c r="AL15" t="s">
        <v>248</v>
      </c>
      <c r="AM15">
        <v>0.58823529411764708</v>
      </c>
      <c r="AN15" t="s">
        <v>245</v>
      </c>
    </row>
    <row r="16" spans="1:40" x14ac:dyDescent="0.45">
      <c r="C16" t="s">
        <v>250</v>
      </c>
      <c r="E16" t="s">
        <v>251</v>
      </c>
      <c r="G16" t="s">
        <v>153</v>
      </c>
      <c r="I16" t="s">
        <v>162</v>
      </c>
      <c r="J16" t="s">
        <v>255</v>
      </c>
      <c r="K16">
        <v>0</v>
      </c>
      <c r="L16" t="s">
        <v>164</v>
      </c>
      <c r="N16" t="s">
        <v>203</v>
      </c>
      <c r="O16" t="s">
        <v>255</v>
      </c>
      <c r="P16">
        <v>1.3127330428711387E-2</v>
      </c>
      <c r="Q16" t="s">
        <v>164</v>
      </c>
      <c r="S16" t="s">
        <v>226</v>
      </c>
      <c r="T16" t="s">
        <v>255</v>
      </c>
      <c r="U16">
        <v>2.8537852664727185E-2</v>
      </c>
      <c r="V16" t="s">
        <v>164</v>
      </c>
      <c r="X16">
        <v>1.7694063926940638E-2</v>
      </c>
      <c r="Y16">
        <v>1.3358857701646654E-2</v>
      </c>
      <c r="Z16" t="s">
        <v>255</v>
      </c>
      <c r="AA16" t="s">
        <v>25</v>
      </c>
      <c r="AC16" t="s">
        <v>22</v>
      </c>
      <c r="AD16" t="s">
        <v>255</v>
      </c>
      <c r="AE16">
        <v>1.3918176603029927E-2</v>
      </c>
      <c r="AG16" t="s">
        <v>96</v>
      </c>
      <c r="AH16" t="s">
        <v>255</v>
      </c>
      <c r="AI16">
        <v>0.16133203178517608</v>
      </c>
      <c r="AK16">
        <v>2020</v>
      </c>
      <c r="AL16" t="s">
        <v>250</v>
      </c>
      <c r="AM16">
        <v>0.58507273877292854</v>
      </c>
      <c r="AN16" t="s">
        <v>245</v>
      </c>
    </row>
    <row r="17" spans="3:40" x14ac:dyDescent="0.45">
      <c r="C17" t="s">
        <v>252</v>
      </c>
      <c r="I17" t="s">
        <v>162</v>
      </c>
      <c r="J17" t="s">
        <v>167</v>
      </c>
      <c r="K17">
        <v>6.5624395587234891E-3</v>
      </c>
      <c r="L17" t="s">
        <v>164</v>
      </c>
      <c r="N17" t="s">
        <v>203</v>
      </c>
      <c r="O17" t="s">
        <v>167</v>
      </c>
      <c r="P17">
        <v>1.6667766574669221E-3</v>
      </c>
      <c r="Q17" t="s">
        <v>164</v>
      </c>
      <c r="S17" t="s">
        <v>226</v>
      </c>
      <c r="T17" t="s">
        <v>167</v>
      </c>
      <c r="U17">
        <v>1.4362790606719382E-2</v>
      </c>
      <c r="V17" t="s">
        <v>164</v>
      </c>
      <c r="X17">
        <v>2.8767123287671233E-2</v>
      </c>
      <c r="Y17">
        <v>1.825688453538192E-2</v>
      </c>
      <c r="Z17" t="s">
        <v>167</v>
      </c>
      <c r="AA17" t="s">
        <v>25</v>
      </c>
      <c r="AC17" t="s">
        <v>22</v>
      </c>
      <c r="AD17" t="s">
        <v>167</v>
      </c>
      <c r="AE17">
        <v>2.5940468678945106E-2</v>
      </c>
      <c r="AG17" t="s">
        <v>96</v>
      </c>
      <c r="AH17" t="s">
        <v>167</v>
      </c>
      <c r="AI17">
        <v>0.1422522595879816</v>
      </c>
      <c r="AK17">
        <v>2020</v>
      </c>
      <c r="AL17" t="s">
        <v>252</v>
      </c>
      <c r="AM17">
        <v>0.63488298545224553</v>
      </c>
      <c r="AN17" t="s">
        <v>245</v>
      </c>
    </row>
    <row r="18" spans="3:40" x14ac:dyDescent="0.45">
      <c r="I18" t="s">
        <v>162</v>
      </c>
      <c r="J18" t="s">
        <v>168</v>
      </c>
      <c r="K18">
        <v>8.7213471616991098E-3</v>
      </c>
      <c r="L18" t="s">
        <v>164</v>
      </c>
      <c r="N18" t="s">
        <v>203</v>
      </c>
      <c r="O18" t="s">
        <v>168</v>
      </c>
      <c r="P18">
        <v>5.5769788545837861E-4</v>
      </c>
      <c r="Q18" t="s">
        <v>164</v>
      </c>
      <c r="S18" t="s">
        <v>226</v>
      </c>
      <c r="T18" t="s">
        <v>168</v>
      </c>
      <c r="U18">
        <v>1.2723354418484518E-3</v>
      </c>
      <c r="V18" t="s">
        <v>164</v>
      </c>
      <c r="X18">
        <v>3.1963470319634705E-3</v>
      </c>
      <c r="Y18">
        <v>4.0467725762209023E-3</v>
      </c>
      <c r="Z18" t="s">
        <v>168</v>
      </c>
      <c r="AA18" t="s">
        <v>25</v>
      </c>
      <c r="AC18" t="s">
        <v>22</v>
      </c>
      <c r="AD18" t="s">
        <v>168</v>
      </c>
      <c r="AE18">
        <v>3.6111209651903753E-3</v>
      </c>
      <c r="AG18" t="s">
        <v>96</v>
      </c>
      <c r="AH18" t="s">
        <v>168</v>
      </c>
      <c r="AI18">
        <v>1.3947607570429454E-2</v>
      </c>
      <c r="AK18">
        <v>2021</v>
      </c>
      <c r="AL18" t="s">
        <v>152</v>
      </c>
      <c r="AM18">
        <v>0.51575393848462125</v>
      </c>
      <c r="AN18" t="s">
        <v>245</v>
      </c>
    </row>
    <row r="19" spans="3:40" x14ac:dyDescent="0.45">
      <c r="I19" t="s">
        <v>162</v>
      </c>
      <c r="J19" t="s">
        <v>169</v>
      </c>
      <c r="K19">
        <v>9.7277084903779933E-3</v>
      </c>
      <c r="L19" t="s">
        <v>164</v>
      </c>
      <c r="N19" t="s">
        <v>203</v>
      </c>
      <c r="O19" t="s">
        <v>169</v>
      </c>
      <c r="P19">
        <v>1.2924948773949743E-3</v>
      </c>
      <c r="Q19" t="s">
        <v>164</v>
      </c>
      <c r="S19" t="s">
        <v>226</v>
      </c>
      <c r="T19" t="s">
        <v>169</v>
      </c>
      <c r="U19">
        <v>1.5466235517464283E-3</v>
      </c>
      <c r="V19" t="s">
        <v>164</v>
      </c>
      <c r="X19">
        <v>3.1963470319634705E-3</v>
      </c>
      <c r="Y19">
        <v>3.9446751029676239E-3</v>
      </c>
      <c r="Z19" t="s">
        <v>169</v>
      </c>
      <c r="AA19" t="s">
        <v>25</v>
      </c>
      <c r="AC19" t="s">
        <v>22</v>
      </c>
      <c r="AD19" t="s">
        <v>169</v>
      </c>
      <c r="AE19">
        <v>3.6095557036005003E-3</v>
      </c>
      <c r="AG19" t="s">
        <v>96</v>
      </c>
      <c r="AH19" t="s">
        <v>169</v>
      </c>
      <c r="AI19">
        <v>1.0868276488953832E-2</v>
      </c>
      <c r="AK19">
        <v>2021</v>
      </c>
      <c r="AL19" t="s">
        <v>156</v>
      </c>
      <c r="AM19">
        <v>0.48449612403100778</v>
      </c>
      <c r="AN19" t="s">
        <v>245</v>
      </c>
    </row>
    <row r="20" spans="3:40" x14ac:dyDescent="0.45">
      <c r="I20" t="s">
        <v>162</v>
      </c>
      <c r="J20" t="s">
        <v>256</v>
      </c>
      <c r="K20">
        <v>6.702914271880496E-2</v>
      </c>
      <c r="L20" t="s">
        <v>164</v>
      </c>
      <c r="N20" t="s">
        <v>203</v>
      </c>
      <c r="O20" t="s">
        <v>256</v>
      </c>
      <c r="P20">
        <v>2.0909878709849904E-2</v>
      </c>
      <c r="Q20" t="s">
        <v>164</v>
      </c>
      <c r="S20" t="s">
        <v>226</v>
      </c>
      <c r="T20" t="s">
        <v>256</v>
      </c>
      <c r="U20">
        <v>2.3987880010549627E-2</v>
      </c>
      <c r="V20" t="s">
        <v>164</v>
      </c>
      <c r="X20">
        <v>2.2374429223744292E-2</v>
      </c>
      <c r="Y20">
        <v>3.357150552337386E-2</v>
      </c>
      <c r="Z20" t="s">
        <v>256</v>
      </c>
      <c r="AA20" t="s">
        <v>25</v>
      </c>
      <c r="AC20" t="s">
        <v>22</v>
      </c>
      <c r="AD20" t="s">
        <v>256</v>
      </c>
      <c r="AE20">
        <v>2.7207292542785099E-2</v>
      </c>
      <c r="AG20" t="s">
        <v>96</v>
      </c>
      <c r="AH20" t="s">
        <v>256</v>
      </c>
      <c r="AI20">
        <v>9.4381742423832016E-2</v>
      </c>
      <c r="AK20">
        <v>2021</v>
      </c>
      <c r="AL20" t="s">
        <v>158</v>
      </c>
      <c r="AM20">
        <v>0.48449612403100778</v>
      </c>
      <c r="AN20" t="s">
        <v>245</v>
      </c>
    </row>
    <row r="21" spans="3:40" x14ac:dyDescent="0.45">
      <c r="I21" t="s">
        <v>162</v>
      </c>
      <c r="J21" t="s">
        <v>257</v>
      </c>
      <c r="K21">
        <v>5.9178429592495994E-3</v>
      </c>
      <c r="L21" t="s">
        <v>164</v>
      </c>
      <c r="N21" t="s">
        <v>203</v>
      </c>
      <c r="O21" t="s">
        <v>257</v>
      </c>
      <c r="P21">
        <v>4.9280642944864892E-3</v>
      </c>
      <c r="Q21" t="s">
        <v>164</v>
      </c>
      <c r="S21" t="s">
        <v>226</v>
      </c>
      <c r="T21" t="s">
        <v>257</v>
      </c>
      <c r="U21">
        <v>5.1686504405863195E-3</v>
      </c>
      <c r="V21" t="s">
        <v>164</v>
      </c>
      <c r="X21">
        <v>3.1963470319634705E-3</v>
      </c>
      <c r="Y21">
        <v>4.8264260083368555E-3</v>
      </c>
      <c r="Z21" t="s">
        <v>257</v>
      </c>
      <c r="AA21" t="s">
        <v>25</v>
      </c>
      <c r="AC21" t="s">
        <v>22</v>
      </c>
      <c r="AD21" t="s">
        <v>257</v>
      </c>
      <c r="AE21">
        <v>3.8993899746590046E-3</v>
      </c>
      <c r="AG21" t="s">
        <v>96</v>
      </c>
      <c r="AH21" t="s">
        <v>257</v>
      </c>
      <c r="AI21">
        <v>1.6582115544786724E-2</v>
      </c>
      <c r="AK21">
        <v>2021</v>
      </c>
      <c r="AL21" t="s">
        <v>160</v>
      </c>
      <c r="AM21">
        <v>0.4941860465116279</v>
      </c>
      <c r="AN21" t="s">
        <v>245</v>
      </c>
    </row>
    <row r="22" spans="3:40" x14ac:dyDescent="0.45">
      <c r="I22" t="s">
        <v>162</v>
      </c>
      <c r="J22" t="s">
        <v>258</v>
      </c>
      <c r="K22">
        <v>0</v>
      </c>
      <c r="L22" t="s">
        <v>164</v>
      </c>
      <c r="N22" t="s">
        <v>203</v>
      </c>
      <c r="O22" t="s">
        <v>258</v>
      </c>
      <c r="P22">
        <v>2.0856800528401984E-2</v>
      </c>
      <c r="Q22" t="s">
        <v>164</v>
      </c>
      <c r="S22" t="s">
        <v>226</v>
      </c>
      <c r="T22" t="s">
        <v>258</v>
      </c>
      <c r="U22">
        <v>2.2518155217545889E-2</v>
      </c>
      <c r="V22" t="s">
        <v>164</v>
      </c>
      <c r="X22">
        <v>1.5981735159817351E-2</v>
      </c>
      <c r="Y22">
        <v>1.2066065020842141E-2</v>
      </c>
      <c r="Z22" t="s">
        <v>258</v>
      </c>
      <c r="AA22" t="s">
        <v>25</v>
      </c>
      <c r="AC22" t="s">
        <v>22</v>
      </c>
      <c r="AD22" t="s">
        <v>258</v>
      </c>
      <c r="AE22">
        <v>1.2468142703961745E-2</v>
      </c>
      <c r="AG22" t="s">
        <v>96</v>
      </c>
      <c r="AH22" t="s">
        <v>258</v>
      </c>
      <c r="AI22">
        <v>0.16725484414089631</v>
      </c>
      <c r="AK22">
        <v>2021</v>
      </c>
      <c r="AL22" t="s">
        <v>248</v>
      </c>
      <c r="AM22">
        <v>0.41989664082687339</v>
      </c>
      <c r="AN22" t="s">
        <v>245</v>
      </c>
    </row>
    <row r="23" spans="3:40" x14ac:dyDescent="0.45">
      <c r="I23" t="s">
        <v>162</v>
      </c>
      <c r="J23" t="s">
        <v>170</v>
      </c>
      <c r="K23">
        <v>7.8671471320080864E-3</v>
      </c>
      <c r="L23" t="s">
        <v>164</v>
      </c>
      <c r="N23" t="s">
        <v>203</v>
      </c>
      <c r="O23" t="s">
        <v>170</v>
      </c>
      <c r="P23">
        <v>1.9584981419935592E-3</v>
      </c>
      <c r="Q23" t="s">
        <v>164</v>
      </c>
      <c r="S23" t="s">
        <v>226</v>
      </c>
      <c r="T23" t="s">
        <v>170</v>
      </c>
      <c r="U23">
        <v>5.1758833382607693E-3</v>
      </c>
      <c r="V23" t="s">
        <v>164</v>
      </c>
      <c r="X23">
        <v>3.1849315068493152E-2</v>
      </c>
      <c r="Y23">
        <v>2.021297930702998E-2</v>
      </c>
      <c r="Z23" t="s">
        <v>170</v>
      </c>
      <c r="AA23" t="s">
        <v>25</v>
      </c>
      <c r="AC23" t="s">
        <v>22</v>
      </c>
      <c r="AD23" t="s">
        <v>170</v>
      </c>
      <c r="AE23">
        <v>2.9079178841209131E-2</v>
      </c>
      <c r="AG23" t="s">
        <v>96</v>
      </c>
      <c r="AH23" t="s">
        <v>170</v>
      </c>
      <c r="AI23">
        <v>0.13998670507423006</v>
      </c>
      <c r="AK23">
        <v>2021</v>
      </c>
      <c r="AL23" t="s">
        <v>250</v>
      </c>
      <c r="AM23">
        <v>0.48449612403100778</v>
      </c>
      <c r="AN23" t="s">
        <v>245</v>
      </c>
    </row>
    <row r="24" spans="3:40" x14ac:dyDescent="0.45">
      <c r="I24" t="s">
        <v>162</v>
      </c>
      <c r="J24" t="s">
        <v>171</v>
      </c>
      <c r="K24">
        <v>7.1047492515092965E-3</v>
      </c>
      <c r="L24" t="s">
        <v>164</v>
      </c>
      <c r="N24" t="s">
        <v>203</v>
      </c>
      <c r="O24" t="s">
        <v>171</v>
      </c>
      <c r="P24">
        <v>3.2972386997718862E-4</v>
      </c>
      <c r="Q24" t="s">
        <v>164</v>
      </c>
      <c r="S24" t="s">
        <v>226</v>
      </c>
      <c r="T24" t="s">
        <v>171</v>
      </c>
      <c r="U24">
        <v>4.5134606454021962E-4</v>
      </c>
      <c r="V24" t="s">
        <v>164</v>
      </c>
      <c r="X24">
        <v>3.5388127853881279E-3</v>
      </c>
      <c r="Y24">
        <v>4.4803553522445696E-3</v>
      </c>
      <c r="Z24" t="s">
        <v>171</v>
      </c>
      <c r="AA24" t="s">
        <v>25</v>
      </c>
      <c r="AC24" t="s">
        <v>22</v>
      </c>
      <c r="AD24" t="s">
        <v>171</v>
      </c>
      <c r="AE24">
        <v>4.0424195944782993E-3</v>
      </c>
      <c r="AG24" t="s">
        <v>96</v>
      </c>
      <c r="AH24" t="s">
        <v>171</v>
      </c>
      <c r="AI24">
        <v>1.2525503415239836E-2</v>
      </c>
      <c r="AK24">
        <v>2021</v>
      </c>
      <c r="AL24" t="s">
        <v>252</v>
      </c>
      <c r="AM24">
        <v>0.49986454947070103</v>
      </c>
      <c r="AN24" t="s">
        <v>245</v>
      </c>
    </row>
    <row r="25" spans="3:40" x14ac:dyDescent="0.45">
      <c r="I25" t="s">
        <v>162</v>
      </c>
      <c r="J25" t="s">
        <v>172</v>
      </c>
      <c r="K25">
        <v>8.1939543254454465E-3</v>
      </c>
      <c r="L25" t="s">
        <v>164</v>
      </c>
      <c r="N25" t="s">
        <v>203</v>
      </c>
      <c r="O25" t="s">
        <v>172</v>
      </c>
      <c r="P25">
        <v>4.5890809248338716E-4</v>
      </c>
      <c r="Q25" t="s">
        <v>164</v>
      </c>
      <c r="S25" t="s">
        <v>226</v>
      </c>
      <c r="T25" t="s">
        <v>172</v>
      </c>
      <c r="U25">
        <v>5.3515002319629869E-4</v>
      </c>
      <c r="V25" t="s">
        <v>164</v>
      </c>
      <c r="X25">
        <v>3.5388127853881279E-3</v>
      </c>
      <c r="Y25">
        <v>4.3673188639998693E-3</v>
      </c>
      <c r="Z25" t="s">
        <v>172</v>
      </c>
      <c r="AA25" t="s">
        <v>25</v>
      </c>
      <c r="AC25" t="s">
        <v>22</v>
      </c>
      <c r="AD25" t="s">
        <v>172</v>
      </c>
      <c r="AE25">
        <v>4.0471153792479234E-3</v>
      </c>
      <c r="AG25" t="s">
        <v>96</v>
      </c>
      <c r="AH25" t="s">
        <v>172</v>
      </c>
      <c r="AI25">
        <v>1.8474849736706656E-2</v>
      </c>
      <c r="AK25">
        <v>2022</v>
      </c>
      <c r="AL25" t="s">
        <v>152</v>
      </c>
      <c r="AM25">
        <v>0.50012503125781449</v>
      </c>
      <c r="AN25" t="s">
        <v>245</v>
      </c>
    </row>
    <row r="26" spans="3:40" x14ac:dyDescent="0.45">
      <c r="I26" t="s">
        <v>162</v>
      </c>
      <c r="J26" t="s">
        <v>259</v>
      </c>
      <c r="K26">
        <v>6.105899751658566E-2</v>
      </c>
      <c r="L26" t="s">
        <v>164</v>
      </c>
      <c r="N26" t="s">
        <v>203</v>
      </c>
      <c r="O26" t="s">
        <v>259</v>
      </c>
      <c r="P26">
        <v>1.8528006569290323E-2</v>
      </c>
      <c r="Q26" t="s">
        <v>164</v>
      </c>
      <c r="S26" t="s">
        <v>226</v>
      </c>
      <c r="T26" t="s">
        <v>259</v>
      </c>
      <c r="U26">
        <v>7.8280490840360196E-3</v>
      </c>
      <c r="V26" t="s">
        <v>164</v>
      </c>
      <c r="X26">
        <v>2.4771689497716895E-2</v>
      </c>
      <c r="Y26">
        <v>3.7168452543735346E-2</v>
      </c>
      <c r="Z26" t="s">
        <v>259</v>
      </c>
      <c r="AA26" t="s">
        <v>25</v>
      </c>
      <c r="AC26" t="s">
        <v>22</v>
      </c>
      <c r="AD26" t="s">
        <v>259</v>
      </c>
      <c r="AE26">
        <v>3.0485433740924862E-2</v>
      </c>
      <c r="AG26" t="s">
        <v>96</v>
      </c>
      <c r="AH26" t="s">
        <v>259</v>
      </c>
      <c r="AI26">
        <v>9.7310451629215367E-2</v>
      </c>
      <c r="AK26">
        <v>2022</v>
      </c>
      <c r="AL26" t="s">
        <v>156</v>
      </c>
      <c r="AM26">
        <v>0.41528239202657807</v>
      </c>
      <c r="AN26" t="s">
        <v>245</v>
      </c>
    </row>
    <row r="27" spans="3:40" x14ac:dyDescent="0.45">
      <c r="I27" t="s">
        <v>162</v>
      </c>
      <c r="J27" t="s">
        <v>260</v>
      </c>
      <c r="K27">
        <v>4.8181625500271202E-3</v>
      </c>
      <c r="L27" t="s">
        <v>164</v>
      </c>
      <c r="N27" t="s">
        <v>203</v>
      </c>
      <c r="O27" t="s">
        <v>260</v>
      </c>
      <c r="P27">
        <v>6.2978267837966988E-3</v>
      </c>
      <c r="Q27" t="s">
        <v>164</v>
      </c>
      <c r="S27" t="s">
        <v>226</v>
      </c>
      <c r="T27" t="s">
        <v>260</v>
      </c>
      <c r="U27">
        <v>1.9096505432375744E-3</v>
      </c>
      <c r="V27" t="s">
        <v>164</v>
      </c>
      <c r="X27">
        <v>3.5388127853881279E-3</v>
      </c>
      <c r="Y27">
        <v>5.3435430806586613E-3</v>
      </c>
      <c r="Z27" t="s">
        <v>260</v>
      </c>
      <c r="AA27" t="s">
        <v>25</v>
      </c>
      <c r="AC27" t="s">
        <v>22</v>
      </c>
      <c r="AD27" t="s">
        <v>260</v>
      </c>
      <c r="AE27">
        <v>4.3690375128988641E-3</v>
      </c>
      <c r="AG27" t="s">
        <v>96</v>
      </c>
      <c r="AH27" t="s">
        <v>260</v>
      </c>
      <c r="AI27">
        <v>1.5271195365982093E-2</v>
      </c>
      <c r="AK27">
        <v>2022</v>
      </c>
      <c r="AL27" t="s">
        <v>158</v>
      </c>
      <c r="AM27">
        <v>0.37509377344336081</v>
      </c>
      <c r="AN27" t="s">
        <v>245</v>
      </c>
    </row>
    <row r="28" spans="3:40" x14ac:dyDescent="0.45">
      <c r="I28" t="s">
        <v>162</v>
      </c>
      <c r="J28" t="s">
        <v>261</v>
      </c>
      <c r="K28">
        <v>0</v>
      </c>
      <c r="L28" t="s">
        <v>164</v>
      </c>
      <c r="N28" t="s">
        <v>203</v>
      </c>
      <c r="O28" t="s">
        <v>261</v>
      </c>
      <c r="P28">
        <v>2.0370174593383805E-2</v>
      </c>
      <c r="Q28" t="s">
        <v>164</v>
      </c>
      <c r="S28" t="s">
        <v>226</v>
      </c>
      <c r="T28" t="s">
        <v>261</v>
      </c>
      <c r="U28">
        <v>7.9024186307592118E-3</v>
      </c>
      <c r="V28" t="s">
        <v>164</v>
      </c>
      <c r="X28">
        <v>1.7694063926940638E-2</v>
      </c>
      <c r="Y28">
        <v>1.3358857701646654E-2</v>
      </c>
      <c r="Z28" t="s">
        <v>261</v>
      </c>
      <c r="AA28" t="s">
        <v>25</v>
      </c>
      <c r="AC28" t="s">
        <v>22</v>
      </c>
      <c r="AD28" t="s">
        <v>261</v>
      </c>
      <c r="AE28">
        <v>1.4067663601337542E-2</v>
      </c>
      <c r="AG28" t="s">
        <v>96</v>
      </c>
      <c r="AH28" t="s">
        <v>261</v>
      </c>
      <c r="AI28">
        <v>0.16422189937755372</v>
      </c>
      <c r="AK28">
        <v>2022</v>
      </c>
      <c r="AL28" t="s">
        <v>160</v>
      </c>
      <c r="AM28">
        <v>0.40520546803367513</v>
      </c>
      <c r="AN28" t="s">
        <v>245</v>
      </c>
    </row>
    <row r="29" spans="3:40" x14ac:dyDescent="0.45">
      <c r="I29" t="s">
        <v>162</v>
      </c>
      <c r="J29" t="s">
        <v>173</v>
      </c>
      <c r="K29">
        <v>3.473843905672297E-2</v>
      </c>
      <c r="L29" t="s">
        <v>164</v>
      </c>
      <c r="N29" t="s">
        <v>203</v>
      </c>
      <c r="O29" t="s">
        <v>173</v>
      </c>
      <c r="P29">
        <v>6.4848028866676871E-2</v>
      </c>
      <c r="Q29" t="s">
        <v>164</v>
      </c>
      <c r="S29" t="s">
        <v>226</v>
      </c>
      <c r="T29" t="s">
        <v>173</v>
      </c>
      <c r="U29">
        <v>0.21524045273878462</v>
      </c>
      <c r="V29" t="s">
        <v>164</v>
      </c>
      <c r="X29">
        <v>0.15719178082191781</v>
      </c>
      <c r="Y29">
        <v>9.976083335405117E-2</v>
      </c>
      <c r="Z29" t="s">
        <v>173</v>
      </c>
      <c r="AA29" t="s">
        <v>25</v>
      </c>
      <c r="AC29" t="s">
        <v>22</v>
      </c>
      <c r="AD29" t="s">
        <v>173</v>
      </c>
      <c r="AE29">
        <v>0.14151052217552185</v>
      </c>
      <c r="AG29" t="s">
        <v>96</v>
      </c>
      <c r="AH29" t="s">
        <v>173</v>
      </c>
      <c r="AI29">
        <v>0.16045478207116459</v>
      </c>
      <c r="AK29">
        <v>2022</v>
      </c>
      <c r="AL29" t="s">
        <v>248</v>
      </c>
      <c r="AM29">
        <v>0.38759689922480622</v>
      </c>
      <c r="AN29" t="s">
        <v>245</v>
      </c>
    </row>
    <row r="30" spans="3:40" x14ac:dyDescent="0.45">
      <c r="I30" t="s">
        <v>162</v>
      </c>
      <c r="J30" t="s">
        <v>174</v>
      </c>
      <c r="K30">
        <v>3.0011015553744112E-2</v>
      </c>
      <c r="L30" t="s">
        <v>164</v>
      </c>
      <c r="N30" t="s">
        <v>203</v>
      </c>
      <c r="O30" t="s">
        <v>174</v>
      </c>
      <c r="P30">
        <v>2.0009003531516589E-2</v>
      </c>
      <c r="Q30" t="s">
        <v>164</v>
      </c>
      <c r="S30" t="s">
        <v>226</v>
      </c>
      <c r="T30" t="s">
        <v>174</v>
      </c>
      <c r="U30">
        <v>2.2502287996015016E-2</v>
      </c>
      <c r="V30" t="s">
        <v>164</v>
      </c>
      <c r="X30">
        <v>1.7465753424657535E-2</v>
      </c>
      <c r="Y30">
        <v>2.2112721577207076E-2</v>
      </c>
      <c r="Z30" t="s">
        <v>174</v>
      </c>
      <c r="AA30" t="s">
        <v>25</v>
      </c>
      <c r="AC30" t="s">
        <v>22</v>
      </c>
      <c r="AD30" t="s">
        <v>174</v>
      </c>
      <c r="AE30">
        <v>1.9818159151437132E-2</v>
      </c>
      <c r="AG30" t="s">
        <v>96</v>
      </c>
      <c r="AH30" t="s">
        <v>174</v>
      </c>
      <c r="AI30">
        <v>2.7419639862523049E-2</v>
      </c>
      <c r="AK30">
        <v>2022</v>
      </c>
      <c r="AL30" t="s">
        <v>250</v>
      </c>
      <c r="AM30">
        <v>0.39072268067016758</v>
      </c>
      <c r="AN30" t="s">
        <v>245</v>
      </c>
    </row>
    <row r="31" spans="3:40" x14ac:dyDescent="0.45">
      <c r="I31" t="s">
        <v>162</v>
      </c>
      <c r="J31" t="s">
        <v>175</v>
      </c>
      <c r="K31">
        <v>3.5913618974470762E-2</v>
      </c>
      <c r="L31" t="s">
        <v>164</v>
      </c>
      <c r="N31" t="s">
        <v>203</v>
      </c>
      <c r="O31" t="s">
        <v>175</v>
      </c>
      <c r="P31">
        <v>2.6257594872423684E-2</v>
      </c>
      <c r="Q31" t="s">
        <v>164</v>
      </c>
      <c r="S31" t="s">
        <v>226</v>
      </c>
      <c r="T31" t="s">
        <v>175</v>
      </c>
      <c r="U31">
        <v>2.2878547255152044E-2</v>
      </c>
      <c r="V31" t="s">
        <v>164</v>
      </c>
      <c r="X31">
        <v>1.7465753424657535E-2</v>
      </c>
      <c r="Y31">
        <v>2.1554831812644514E-2</v>
      </c>
      <c r="Z31" t="s">
        <v>175</v>
      </c>
      <c r="AA31" t="s">
        <v>25</v>
      </c>
      <c r="AC31" t="s">
        <v>22</v>
      </c>
      <c r="AD31" t="s">
        <v>175</v>
      </c>
      <c r="AE31">
        <v>1.9626414606677457E-2</v>
      </c>
      <c r="AG31" t="s">
        <v>96</v>
      </c>
      <c r="AH31" t="s">
        <v>175</v>
      </c>
      <c r="AI31">
        <v>2.9012410582532455E-2</v>
      </c>
      <c r="AK31">
        <v>2022</v>
      </c>
      <c r="AL31" t="s">
        <v>252</v>
      </c>
      <c r="AM31">
        <v>0.35764149370676002</v>
      </c>
      <c r="AN31" t="s">
        <v>245</v>
      </c>
    </row>
    <row r="32" spans="3:40" x14ac:dyDescent="0.45">
      <c r="I32" t="s">
        <v>162</v>
      </c>
      <c r="J32" t="s">
        <v>262</v>
      </c>
      <c r="K32">
        <v>0.23336131420043504</v>
      </c>
      <c r="L32" t="s">
        <v>164</v>
      </c>
      <c r="N32" t="s">
        <v>203</v>
      </c>
      <c r="O32" t="s">
        <v>262</v>
      </c>
      <c r="P32">
        <v>0.21237977425312493</v>
      </c>
      <c r="Q32" t="s">
        <v>164</v>
      </c>
      <c r="S32" t="s">
        <v>226</v>
      </c>
      <c r="T32" t="s">
        <v>262</v>
      </c>
      <c r="U32">
        <v>0.17572671249661795</v>
      </c>
      <c r="V32" t="s">
        <v>164</v>
      </c>
      <c r="X32">
        <v>0.12226027397260274</v>
      </c>
      <c r="Y32">
        <v>0.18344429803843576</v>
      </c>
      <c r="Z32" t="s">
        <v>262</v>
      </c>
      <c r="AA32" t="s">
        <v>25</v>
      </c>
      <c r="AC32" t="s">
        <v>22</v>
      </c>
      <c r="AD32" t="s">
        <v>262</v>
      </c>
      <c r="AE32">
        <v>0.1475824510663114</v>
      </c>
      <c r="AG32" t="s">
        <v>96</v>
      </c>
      <c r="AH32" t="s">
        <v>262</v>
      </c>
      <c r="AI32">
        <v>9.7726084813850589E-2</v>
      </c>
      <c r="AK32">
        <v>2025</v>
      </c>
      <c r="AL32" t="s">
        <v>152</v>
      </c>
      <c r="AM32">
        <v>0.432</v>
      </c>
      <c r="AN32" t="s">
        <v>245</v>
      </c>
    </row>
    <row r="33" spans="9:40" x14ac:dyDescent="0.45">
      <c r="I33" t="s">
        <v>162</v>
      </c>
      <c r="J33" t="s">
        <v>263</v>
      </c>
      <c r="K33">
        <v>1.098008305339398E-2</v>
      </c>
      <c r="L33" t="s">
        <v>164</v>
      </c>
      <c r="N33" t="s">
        <v>203</v>
      </c>
      <c r="O33" t="s">
        <v>263</v>
      </c>
      <c r="P33">
        <v>4.9572261986808502E-2</v>
      </c>
      <c r="Q33" t="s">
        <v>164</v>
      </c>
      <c r="S33" t="s">
        <v>226</v>
      </c>
      <c r="T33" t="s">
        <v>263</v>
      </c>
      <c r="U33">
        <v>2.8004573866705393E-2</v>
      </c>
      <c r="V33" t="s">
        <v>164</v>
      </c>
      <c r="X33">
        <v>1.7465753424657535E-2</v>
      </c>
      <c r="Y33">
        <v>2.6372970688412108E-2</v>
      </c>
      <c r="Z33" t="s">
        <v>263</v>
      </c>
      <c r="AA33" t="s">
        <v>25</v>
      </c>
      <c r="AC33" t="s">
        <v>22</v>
      </c>
      <c r="AD33" t="s">
        <v>263</v>
      </c>
      <c r="AE33">
        <v>2.1275156814679029E-2</v>
      </c>
      <c r="AG33" t="s">
        <v>96</v>
      </c>
      <c r="AH33" t="s">
        <v>263</v>
      </c>
      <c r="AI33">
        <v>1.5746066083555998E-2</v>
      </c>
      <c r="AK33">
        <v>2025</v>
      </c>
      <c r="AL33" t="s">
        <v>156</v>
      </c>
      <c r="AM33">
        <v>0.34350000000000003</v>
      </c>
      <c r="AN33" t="s">
        <v>245</v>
      </c>
    </row>
    <row r="34" spans="9:40" x14ac:dyDescent="0.45">
      <c r="I34" t="s">
        <v>162</v>
      </c>
      <c r="J34" t="s">
        <v>264</v>
      </c>
      <c r="K34">
        <v>0</v>
      </c>
      <c r="L34" t="s">
        <v>164</v>
      </c>
      <c r="N34" t="s">
        <v>203</v>
      </c>
      <c r="O34" t="s">
        <v>264</v>
      </c>
      <c r="P34">
        <v>0.16296202853807554</v>
      </c>
      <c r="Q34" t="s">
        <v>164</v>
      </c>
      <c r="S34" t="s">
        <v>226</v>
      </c>
      <c r="T34" t="s">
        <v>264</v>
      </c>
      <c r="U34">
        <v>0.1521770405502634</v>
      </c>
      <c r="V34" t="s">
        <v>164</v>
      </c>
      <c r="X34">
        <v>8.7328767123287673E-2</v>
      </c>
      <c r="Y34">
        <v>6.5932426721030252E-2</v>
      </c>
      <c r="Z34" t="s">
        <v>264</v>
      </c>
      <c r="AA34" t="s">
        <v>25</v>
      </c>
      <c r="AC34" t="s">
        <v>22</v>
      </c>
      <c r="AD34" t="s">
        <v>264</v>
      </c>
      <c r="AE34">
        <v>6.7270723335084451E-2</v>
      </c>
      <c r="AG34" t="s">
        <v>96</v>
      </c>
      <c r="AH34" t="s">
        <v>264</v>
      </c>
      <c r="AI34">
        <v>0.18586691268376887</v>
      </c>
      <c r="AK34">
        <v>2025</v>
      </c>
      <c r="AL34" t="s">
        <v>158</v>
      </c>
      <c r="AM34">
        <v>0.37090000000000001</v>
      </c>
      <c r="AN34" t="s">
        <v>245</v>
      </c>
    </row>
    <row r="35" spans="9:40" x14ac:dyDescent="0.45">
      <c r="I35" t="s">
        <v>162</v>
      </c>
      <c r="J35" t="s">
        <v>265</v>
      </c>
      <c r="K35">
        <v>9.9034290528318743E-3</v>
      </c>
      <c r="L35" t="s">
        <v>164</v>
      </c>
      <c r="N35" t="s">
        <v>203</v>
      </c>
      <c r="O35" t="s">
        <v>265</v>
      </c>
      <c r="P35">
        <v>8.8344412993424312E-3</v>
      </c>
      <c r="Q35" t="s">
        <v>164</v>
      </c>
      <c r="S35" t="s">
        <v>226</v>
      </c>
      <c r="T35" t="s">
        <v>265</v>
      </c>
      <c r="U35">
        <v>2.1531889123751445E-2</v>
      </c>
      <c r="V35" t="s">
        <v>164</v>
      </c>
      <c r="X35">
        <v>3.0821917808219176E-2</v>
      </c>
      <c r="Y35">
        <v>1.9560947716480627E-2</v>
      </c>
      <c r="Z35" t="s">
        <v>265</v>
      </c>
      <c r="AA35" t="s">
        <v>25</v>
      </c>
      <c r="AC35" t="s">
        <v>22</v>
      </c>
      <c r="AD35" t="s">
        <v>265</v>
      </c>
      <c r="AE35">
        <v>2.8022882117827622E-2</v>
      </c>
      <c r="AG35" t="s">
        <v>96</v>
      </c>
      <c r="AH35" t="s">
        <v>265</v>
      </c>
      <c r="AI35">
        <v>0.15818159296420164</v>
      </c>
      <c r="AK35">
        <v>2025</v>
      </c>
      <c r="AL35" t="s">
        <v>160</v>
      </c>
      <c r="AM35">
        <v>0.36391999999999997</v>
      </c>
      <c r="AN35" t="s">
        <v>245</v>
      </c>
    </row>
    <row r="36" spans="9:40" x14ac:dyDescent="0.45">
      <c r="I36" t="s">
        <v>162</v>
      </c>
      <c r="J36" t="s">
        <v>266</v>
      </c>
      <c r="K36">
        <v>7.8649179392438796E-3</v>
      </c>
      <c r="L36" t="s">
        <v>164</v>
      </c>
      <c r="N36" t="s">
        <v>203</v>
      </c>
      <c r="O36" t="s">
        <v>266</v>
      </c>
      <c r="P36">
        <v>3.0498311125983714E-3</v>
      </c>
      <c r="Q36" t="s">
        <v>164</v>
      </c>
      <c r="S36" t="s">
        <v>226</v>
      </c>
      <c r="T36" t="s">
        <v>266</v>
      </c>
      <c r="U36">
        <v>2.1998370415158854E-3</v>
      </c>
      <c r="V36" t="s">
        <v>164</v>
      </c>
      <c r="X36">
        <v>3.4246575342465752E-3</v>
      </c>
      <c r="Y36">
        <v>4.3358277602366805E-3</v>
      </c>
      <c r="Z36" t="s">
        <v>266</v>
      </c>
      <c r="AA36" t="s">
        <v>25</v>
      </c>
      <c r="AC36" t="s">
        <v>22</v>
      </c>
      <c r="AD36" t="s">
        <v>266</v>
      </c>
      <c r="AE36">
        <v>3.908676017838144E-3</v>
      </c>
      <c r="AG36" t="s">
        <v>96</v>
      </c>
      <c r="AH36" t="s">
        <v>266</v>
      </c>
      <c r="AI36">
        <v>2.5984266407496293E-2</v>
      </c>
      <c r="AK36">
        <v>2025</v>
      </c>
      <c r="AL36" t="s">
        <v>248</v>
      </c>
      <c r="AM36">
        <v>0.38109999999999999</v>
      </c>
      <c r="AN36" t="s">
        <v>245</v>
      </c>
    </row>
    <row r="37" spans="9:40" x14ac:dyDescent="0.45">
      <c r="I37" t="s">
        <v>162</v>
      </c>
      <c r="J37" t="s">
        <v>267</v>
      </c>
      <c r="K37">
        <v>9.0375349909271666E-3</v>
      </c>
      <c r="L37" t="s">
        <v>164</v>
      </c>
      <c r="N37" t="s">
        <v>203</v>
      </c>
      <c r="O37" t="s">
        <v>267</v>
      </c>
      <c r="P37">
        <v>4.0434009888051202E-3</v>
      </c>
      <c r="Q37" t="s">
        <v>164</v>
      </c>
      <c r="S37" t="s">
        <v>226</v>
      </c>
      <c r="T37" t="s">
        <v>267</v>
      </c>
      <c r="U37">
        <v>2.1693643391851461E-3</v>
      </c>
      <c r="V37" t="s">
        <v>164</v>
      </c>
      <c r="X37">
        <v>3.4246575342465752E-3</v>
      </c>
      <c r="Y37">
        <v>4.2264376103224545E-3</v>
      </c>
      <c r="Z37" t="s">
        <v>267</v>
      </c>
      <c r="AA37" t="s">
        <v>25</v>
      </c>
      <c r="AC37" t="s">
        <v>22</v>
      </c>
      <c r="AD37" t="s">
        <v>267</v>
      </c>
      <c r="AE37">
        <v>3.8990235713672488E-3</v>
      </c>
      <c r="AG37" t="s">
        <v>96</v>
      </c>
      <c r="AH37" t="s">
        <v>267</v>
      </c>
      <c r="AI37">
        <v>1.9115297746928883E-2</v>
      </c>
      <c r="AK37">
        <v>2025</v>
      </c>
      <c r="AL37" t="s">
        <v>250</v>
      </c>
      <c r="AM37">
        <v>0.3992</v>
      </c>
      <c r="AN37" t="s">
        <v>245</v>
      </c>
    </row>
    <row r="38" spans="9:40" x14ac:dyDescent="0.45">
      <c r="I38" t="s">
        <v>162</v>
      </c>
      <c r="J38" t="s">
        <v>268</v>
      </c>
      <c r="K38">
        <v>6.0463166372052873E-2</v>
      </c>
      <c r="L38" t="s">
        <v>164</v>
      </c>
      <c r="N38" t="s">
        <v>203</v>
      </c>
      <c r="O38" t="s">
        <v>268</v>
      </c>
      <c r="P38">
        <v>4.9766352169332763E-2</v>
      </c>
      <c r="Q38" t="s">
        <v>164</v>
      </c>
      <c r="S38" t="s">
        <v>226</v>
      </c>
      <c r="T38" t="s">
        <v>268</v>
      </c>
      <c r="U38">
        <v>1.6750135353695697E-2</v>
      </c>
      <c r="V38" t="s">
        <v>164</v>
      </c>
      <c r="X38">
        <v>2.3972602739726026E-2</v>
      </c>
      <c r="Y38">
        <v>3.5969470203614858E-2</v>
      </c>
      <c r="Z38" t="s">
        <v>268</v>
      </c>
      <c r="AA38" t="s">
        <v>25</v>
      </c>
      <c r="AC38" t="s">
        <v>22</v>
      </c>
      <c r="AD38" t="s">
        <v>268</v>
      </c>
      <c r="AE38">
        <v>2.9359701613603094E-2</v>
      </c>
      <c r="AG38" t="s">
        <v>96</v>
      </c>
      <c r="AH38" t="s">
        <v>268</v>
      </c>
      <c r="AI38">
        <v>8.0527683752417811E-2</v>
      </c>
      <c r="AK38">
        <v>2025</v>
      </c>
      <c r="AL38" t="s">
        <v>252</v>
      </c>
      <c r="AM38">
        <v>0.4</v>
      </c>
      <c r="AN38" t="s">
        <v>245</v>
      </c>
    </row>
    <row r="39" spans="9:40" x14ac:dyDescent="0.45">
      <c r="I39" t="s">
        <v>162</v>
      </c>
      <c r="J39" t="s">
        <v>269</v>
      </c>
      <c r="K39">
        <v>3.6926224095326409E-3</v>
      </c>
      <c r="L39" t="s">
        <v>164</v>
      </c>
      <c r="N39" t="s">
        <v>203</v>
      </c>
      <c r="O39" t="s">
        <v>269</v>
      </c>
      <c r="P39">
        <v>1.4666990192462665E-2</v>
      </c>
      <c r="Q39" t="s">
        <v>164</v>
      </c>
      <c r="S39" t="s">
        <v>226</v>
      </c>
      <c r="T39" t="s">
        <v>269</v>
      </c>
      <c r="U39">
        <v>3.1011414646742968E-3</v>
      </c>
      <c r="V39" t="s">
        <v>164</v>
      </c>
      <c r="X39">
        <v>3.4246575342465752E-3</v>
      </c>
      <c r="Y39">
        <v>5.1711707232180593E-3</v>
      </c>
      <c r="Z39" t="s">
        <v>269</v>
      </c>
      <c r="AA39" t="s">
        <v>25</v>
      </c>
      <c r="AC39" t="s">
        <v>22</v>
      </c>
      <c r="AD39" t="s">
        <v>269</v>
      </c>
      <c r="AE39">
        <v>4.2349026208612396E-3</v>
      </c>
      <c r="AG39" t="s">
        <v>96</v>
      </c>
      <c r="AH39" t="s">
        <v>269</v>
      </c>
      <c r="AI39">
        <v>2.5598765648560118E-3</v>
      </c>
      <c r="AK39">
        <v>2026</v>
      </c>
      <c r="AL39" t="s">
        <v>152</v>
      </c>
      <c r="AM39">
        <v>0.47899999999999998</v>
      </c>
      <c r="AN39" t="s">
        <v>245</v>
      </c>
    </row>
    <row r="40" spans="9:40" x14ac:dyDescent="0.45">
      <c r="I40" t="s">
        <v>162</v>
      </c>
      <c r="J40" t="s">
        <v>270</v>
      </c>
      <c r="K40">
        <v>0</v>
      </c>
      <c r="L40" t="s">
        <v>164</v>
      </c>
      <c r="N40" t="s">
        <v>203</v>
      </c>
      <c r="O40" t="s">
        <v>270</v>
      </c>
      <c r="P40">
        <v>3.6358114277884199E-2</v>
      </c>
      <c r="Q40" t="s">
        <v>164</v>
      </c>
      <c r="S40" t="s">
        <v>226</v>
      </c>
      <c r="T40" t="s">
        <v>270</v>
      </c>
      <c r="U40">
        <v>1.7035257926055886E-2</v>
      </c>
      <c r="V40" t="s">
        <v>164</v>
      </c>
      <c r="X40">
        <v>1.7123287671232876E-2</v>
      </c>
      <c r="Y40">
        <v>1.2927926808045149E-2</v>
      </c>
      <c r="Z40" t="s">
        <v>270</v>
      </c>
      <c r="AA40" t="s">
        <v>25</v>
      </c>
      <c r="AC40" t="s">
        <v>22</v>
      </c>
      <c r="AD40" t="s">
        <v>270</v>
      </c>
      <c r="AE40">
        <v>1.3083806384708617E-2</v>
      </c>
      <c r="AG40" t="s">
        <v>96</v>
      </c>
      <c r="AH40" t="s">
        <v>270</v>
      </c>
      <c r="AI40">
        <v>0.17099796991167104</v>
      </c>
      <c r="AK40">
        <v>2026</v>
      </c>
      <c r="AL40" t="s">
        <v>156</v>
      </c>
      <c r="AM40">
        <v>0.45329999999999998</v>
      </c>
      <c r="AN40" t="s">
        <v>245</v>
      </c>
    </row>
    <row r="41" spans="9:40" x14ac:dyDescent="0.45">
      <c r="I41" t="s">
        <v>162</v>
      </c>
      <c r="J41" t="s">
        <v>271</v>
      </c>
      <c r="K41">
        <v>9.8648688870383808E-3</v>
      </c>
      <c r="L41" t="s">
        <v>164</v>
      </c>
      <c r="N41" t="s">
        <v>203</v>
      </c>
      <c r="O41" t="s">
        <v>271</v>
      </c>
      <c r="P41">
        <v>7.2212120473880322E-3</v>
      </c>
      <c r="Q41" t="s">
        <v>164</v>
      </c>
      <c r="S41" t="s">
        <v>226</v>
      </c>
      <c r="T41" t="s">
        <v>271</v>
      </c>
      <c r="U41">
        <v>1.7204241291353735E-2</v>
      </c>
      <c r="V41" t="s">
        <v>164</v>
      </c>
      <c r="X41">
        <v>3.1849315068493152E-2</v>
      </c>
      <c r="Y41">
        <v>2.021297930702998E-2</v>
      </c>
      <c r="Z41" t="s">
        <v>271</v>
      </c>
      <c r="AA41" t="s">
        <v>25</v>
      </c>
      <c r="AC41" t="s">
        <v>22</v>
      </c>
      <c r="AD41" t="s">
        <v>271</v>
      </c>
      <c r="AE41">
        <v>2.8480256828428929E-2</v>
      </c>
      <c r="AG41" t="s">
        <v>96</v>
      </c>
      <c r="AH41" t="s">
        <v>271</v>
      </c>
      <c r="AI41">
        <v>0.1479914440034189</v>
      </c>
      <c r="AK41">
        <v>2026</v>
      </c>
      <c r="AL41" t="s">
        <v>158</v>
      </c>
      <c r="AM41">
        <v>0.41349999999999998</v>
      </c>
      <c r="AN41" t="s">
        <v>245</v>
      </c>
    </row>
    <row r="42" spans="9:40" x14ac:dyDescent="0.45">
      <c r="I42" t="s">
        <v>162</v>
      </c>
      <c r="J42" t="s">
        <v>272</v>
      </c>
      <c r="K42">
        <v>7.219882707364198E-3</v>
      </c>
      <c r="L42" t="s">
        <v>164</v>
      </c>
      <c r="N42" t="s">
        <v>203</v>
      </c>
      <c r="O42" t="s">
        <v>272</v>
      </c>
      <c r="P42">
        <v>2.7676854804646843E-3</v>
      </c>
      <c r="Q42" t="s">
        <v>164</v>
      </c>
      <c r="S42" t="s">
        <v>226</v>
      </c>
      <c r="T42" t="s">
        <v>272</v>
      </c>
      <c r="U42">
        <v>1.5624166613742582E-3</v>
      </c>
      <c r="V42" t="s">
        <v>164</v>
      </c>
      <c r="X42">
        <v>3.5388127853881279E-3</v>
      </c>
      <c r="Y42">
        <v>4.4803553522445696E-3</v>
      </c>
      <c r="Z42" t="s">
        <v>272</v>
      </c>
      <c r="AA42" t="s">
        <v>25</v>
      </c>
      <c r="AC42" t="s">
        <v>22</v>
      </c>
      <c r="AD42" t="s">
        <v>272</v>
      </c>
      <c r="AE42">
        <v>4.0113084873846117E-3</v>
      </c>
      <c r="AG42" t="s">
        <v>96</v>
      </c>
      <c r="AH42" t="s">
        <v>272</v>
      </c>
      <c r="AI42">
        <v>1.3053853825331307E-2</v>
      </c>
      <c r="AK42">
        <v>2026</v>
      </c>
      <c r="AL42" t="s">
        <v>160</v>
      </c>
      <c r="AM42">
        <v>0.44489999999999996</v>
      </c>
      <c r="AN42" t="s">
        <v>245</v>
      </c>
    </row>
    <row r="43" spans="9:40" x14ac:dyDescent="0.45">
      <c r="I43" t="s">
        <v>162</v>
      </c>
      <c r="J43" t="s">
        <v>273</v>
      </c>
      <c r="K43">
        <v>7.9878765594788362E-3</v>
      </c>
      <c r="L43" t="s">
        <v>164</v>
      </c>
      <c r="N43" t="s">
        <v>203</v>
      </c>
      <c r="O43" t="s">
        <v>273</v>
      </c>
      <c r="P43">
        <v>3.4723556793497101E-3</v>
      </c>
      <c r="Q43" t="s">
        <v>164</v>
      </c>
      <c r="S43" t="s">
        <v>226</v>
      </c>
      <c r="T43" t="s">
        <v>273</v>
      </c>
      <c r="U43">
        <v>1.5709818592650883E-3</v>
      </c>
      <c r="V43" t="s">
        <v>164</v>
      </c>
      <c r="X43">
        <v>3.5388127853881279E-3</v>
      </c>
      <c r="Y43">
        <v>4.3673188639998693E-3</v>
      </c>
      <c r="Z43" t="s">
        <v>273</v>
      </c>
      <c r="AA43" t="s">
        <v>25</v>
      </c>
      <c r="AC43" t="s">
        <v>22</v>
      </c>
      <c r="AD43" t="s">
        <v>273</v>
      </c>
      <c r="AE43">
        <v>3.98743824813902E-3</v>
      </c>
      <c r="AG43" t="s">
        <v>96</v>
      </c>
      <c r="AH43" t="s">
        <v>273</v>
      </c>
      <c r="AI43">
        <v>1.0827422323071767E-2</v>
      </c>
      <c r="AK43">
        <v>2026</v>
      </c>
      <c r="AL43" t="s">
        <v>248</v>
      </c>
      <c r="AM43">
        <v>0.44869999999999999</v>
      </c>
      <c r="AN43" t="s">
        <v>245</v>
      </c>
    </row>
    <row r="44" spans="9:40" x14ac:dyDescent="0.45">
      <c r="I44" t="s">
        <v>162</v>
      </c>
      <c r="J44" t="s">
        <v>274</v>
      </c>
      <c r="K44">
        <v>5.6833500473693815E-2</v>
      </c>
      <c r="L44" t="s">
        <v>164</v>
      </c>
      <c r="N44" t="s">
        <v>203</v>
      </c>
      <c r="O44" t="s">
        <v>274</v>
      </c>
      <c r="P44">
        <v>5.1719973140722367E-2</v>
      </c>
      <c r="Q44" t="s">
        <v>164</v>
      </c>
      <c r="S44" t="s">
        <v>226</v>
      </c>
      <c r="T44" t="s">
        <v>274</v>
      </c>
      <c r="U44">
        <v>1.4254114883903915E-2</v>
      </c>
      <c r="V44" t="s">
        <v>164</v>
      </c>
      <c r="X44">
        <v>2.4771689497716895E-2</v>
      </c>
      <c r="Y44">
        <v>3.7168452543735346E-2</v>
      </c>
      <c r="Z44" t="s">
        <v>274</v>
      </c>
      <c r="AA44" t="s">
        <v>25</v>
      </c>
      <c r="AC44" t="s">
        <v>22</v>
      </c>
      <c r="AD44" t="s">
        <v>274</v>
      </c>
      <c r="AE44">
        <v>3.0055302168909358E-2</v>
      </c>
      <c r="AG44" t="s">
        <v>96</v>
      </c>
      <c r="AH44" t="s">
        <v>274</v>
      </c>
      <c r="AI44">
        <v>8.9747044442375801E-2</v>
      </c>
      <c r="AK44">
        <v>2026</v>
      </c>
      <c r="AL44" t="s">
        <v>250</v>
      </c>
      <c r="AM44">
        <v>0.44579999999999997</v>
      </c>
      <c r="AN44" t="s">
        <v>245</v>
      </c>
    </row>
    <row r="45" spans="9:40" x14ac:dyDescent="0.45">
      <c r="I45" t="s">
        <v>162</v>
      </c>
      <c r="J45" t="s">
        <v>275</v>
      </c>
      <c r="K45">
        <v>3.7878274561960862E-3</v>
      </c>
      <c r="L45" t="s">
        <v>164</v>
      </c>
      <c r="N45" t="s">
        <v>203</v>
      </c>
      <c r="O45" t="s">
        <v>275</v>
      </c>
      <c r="P45">
        <v>1.5859360443589602E-2</v>
      </c>
      <c r="Q45" t="s">
        <v>164</v>
      </c>
      <c r="S45" t="s">
        <v>226</v>
      </c>
      <c r="T45" t="s">
        <v>275</v>
      </c>
      <c r="U45">
        <v>3.4034164074555322E-3</v>
      </c>
      <c r="V45" t="s">
        <v>164</v>
      </c>
      <c r="X45">
        <v>3.5388127853881279E-3</v>
      </c>
      <c r="Y45">
        <v>5.3435430806586613E-3</v>
      </c>
      <c r="Z45" t="s">
        <v>275</v>
      </c>
      <c r="AA45" t="s">
        <v>25</v>
      </c>
      <c r="AC45" t="s">
        <v>22</v>
      </c>
      <c r="AD45" t="s">
        <v>275</v>
      </c>
      <c r="AE45">
        <v>4.3090995048583134E-3</v>
      </c>
      <c r="AG45" t="s">
        <v>96</v>
      </c>
      <c r="AH45" t="s">
        <v>275</v>
      </c>
      <c r="AI45">
        <v>1.538461538461533E-2</v>
      </c>
      <c r="AK45">
        <v>2026</v>
      </c>
      <c r="AL45" t="s">
        <v>252</v>
      </c>
      <c r="AM45">
        <v>0.47309999999999997</v>
      </c>
      <c r="AN45" t="s">
        <v>245</v>
      </c>
    </row>
    <row r="46" spans="9:40" x14ac:dyDescent="0.45">
      <c r="I46" t="s">
        <v>162</v>
      </c>
      <c r="J46" t="s">
        <v>276</v>
      </c>
      <c r="K46">
        <v>0</v>
      </c>
      <c r="L46" t="s">
        <v>164</v>
      </c>
      <c r="N46" t="s">
        <v>203</v>
      </c>
      <c r="O46" t="s">
        <v>276</v>
      </c>
      <c r="P46">
        <v>3.6152854788489085E-2</v>
      </c>
      <c r="Q46" t="s">
        <v>164</v>
      </c>
      <c r="S46" t="s">
        <v>226</v>
      </c>
      <c r="T46" t="s">
        <v>276</v>
      </c>
      <c r="U46">
        <v>1.8667605884829176E-2</v>
      </c>
      <c r="V46" t="s">
        <v>164</v>
      </c>
      <c r="X46">
        <v>1.7694063926940638E-2</v>
      </c>
      <c r="Y46">
        <v>1.3358857701646654E-2</v>
      </c>
      <c r="Z46" t="s">
        <v>276</v>
      </c>
      <c r="AA46" t="s">
        <v>25</v>
      </c>
      <c r="AC46" t="s">
        <v>22</v>
      </c>
      <c r="AD46" t="s">
        <v>276</v>
      </c>
      <c r="AE46">
        <v>1.3515575129767461E-2</v>
      </c>
      <c r="AG46" t="s">
        <v>96</v>
      </c>
      <c r="AH46" t="s">
        <v>276</v>
      </c>
      <c r="AI46">
        <v>0.1674703183674886</v>
      </c>
      <c r="AK46">
        <v>2027</v>
      </c>
      <c r="AL46" t="s">
        <v>152</v>
      </c>
      <c r="AM46">
        <v>0.55959999999999999</v>
      </c>
      <c r="AN46" t="s">
        <v>245</v>
      </c>
    </row>
    <row r="47" spans="9:40" x14ac:dyDescent="0.45">
      <c r="I47" t="s">
        <v>162</v>
      </c>
      <c r="J47" t="s">
        <v>277</v>
      </c>
      <c r="K47">
        <v>2.0026799201699873E-2</v>
      </c>
      <c r="L47" t="s">
        <v>164</v>
      </c>
      <c r="N47" t="s">
        <v>203</v>
      </c>
      <c r="O47" t="s">
        <v>277</v>
      </c>
      <c r="P47">
        <v>5.2168422035129515E-3</v>
      </c>
      <c r="Q47" t="s">
        <v>164</v>
      </c>
      <c r="S47" t="s">
        <v>226</v>
      </c>
      <c r="T47" t="s">
        <v>277</v>
      </c>
      <c r="U47">
        <v>1.7421490304024043E-2</v>
      </c>
      <c r="V47" t="s">
        <v>164</v>
      </c>
      <c r="X47">
        <v>6.2671232876712335E-2</v>
      </c>
      <c r="Y47">
        <v>3.9773927023510604E-2</v>
      </c>
      <c r="Z47" t="s">
        <v>277</v>
      </c>
      <c r="AA47" t="s">
        <v>25</v>
      </c>
      <c r="AC47" t="s">
        <v>22</v>
      </c>
      <c r="AD47" t="s">
        <v>277</v>
      </c>
      <c r="AE47">
        <v>5.6772484555452078E-2</v>
      </c>
      <c r="AG47" t="s">
        <v>96</v>
      </c>
      <c r="AH47" t="s">
        <v>277</v>
      </c>
      <c r="AI47">
        <v>0.16014008061754814</v>
      </c>
      <c r="AK47">
        <v>2027</v>
      </c>
      <c r="AL47" t="s">
        <v>156</v>
      </c>
      <c r="AM47">
        <v>0.44040000000000001</v>
      </c>
      <c r="AN47" t="s">
        <v>245</v>
      </c>
    </row>
    <row r="48" spans="9:40" x14ac:dyDescent="0.45">
      <c r="I48" t="s">
        <v>162</v>
      </c>
      <c r="J48" t="s">
        <v>278</v>
      </c>
      <c r="K48">
        <v>1.5839856906650664E-2</v>
      </c>
      <c r="L48" t="s">
        <v>164</v>
      </c>
      <c r="N48" t="s">
        <v>203</v>
      </c>
      <c r="O48" t="s">
        <v>278</v>
      </c>
      <c r="P48">
        <v>1.6125423475391318E-3</v>
      </c>
      <c r="Q48" t="s">
        <v>164</v>
      </c>
      <c r="S48" t="s">
        <v>226</v>
      </c>
      <c r="T48" t="s">
        <v>278</v>
      </c>
      <c r="U48">
        <v>1.5639943066106294E-3</v>
      </c>
      <c r="V48" t="s">
        <v>164</v>
      </c>
      <c r="X48">
        <v>6.9634703196347035E-3</v>
      </c>
      <c r="Y48">
        <v>8.8161831124812517E-3</v>
      </c>
      <c r="Z48" t="s">
        <v>278</v>
      </c>
      <c r="AA48" t="s">
        <v>25</v>
      </c>
      <c r="AC48" t="s">
        <v>22</v>
      </c>
      <c r="AD48" t="s">
        <v>278</v>
      </c>
      <c r="AE48">
        <v>7.9208819899063386E-3</v>
      </c>
      <c r="AG48" t="s">
        <v>96</v>
      </c>
      <c r="AH48" t="s">
        <v>278</v>
      </c>
      <c r="AI48">
        <v>2.778957258625514E-2</v>
      </c>
      <c r="AK48">
        <v>2027</v>
      </c>
      <c r="AL48" t="s">
        <v>158</v>
      </c>
      <c r="AM48">
        <v>0.50700000000000001</v>
      </c>
      <c r="AN48" t="s">
        <v>245</v>
      </c>
    </row>
    <row r="49" spans="9:40" x14ac:dyDescent="0.45">
      <c r="I49" t="s">
        <v>162</v>
      </c>
      <c r="J49" t="s">
        <v>279</v>
      </c>
      <c r="K49">
        <v>1.7946087786476911E-2</v>
      </c>
      <c r="L49" t="s">
        <v>164</v>
      </c>
      <c r="N49" t="s">
        <v>203</v>
      </c>
      <c r="O49" t="s">
        <v>279</v>
      </c>
      <c r="P49">
        <v>2.4963562299884965E-3</v>
      </c>
      <c r="Q49" t="s">
        <v>164</v>
      </c>
      <c r="S49" t="s">
        <v>226</v>
      </c>
      <c r="T49" t="s">
        <v>279</v>
      </c>
      <c r="U49">
        <v>1.8203456756647881E-3</v>
      </c>
      <c r="V49" t="s">
        <v>164</v>
      </c>
      <c r="X49">
        <v>6.9634703196347035E-3</v>
      </c>
      <c r="Y49">
        <v>8.593756474322322E-3</v>
      </c>
      <c r="Z49" t="s">
        <v>279</v>
      </c>
      <c r="AA49" t="s">
        <v>25</v>
      </c>
      <c r="AC49" t="s">
        <v>22</v>
      </c>
      <c r="AD49" t="s">
        <v>279</v>
      </c>
      <c r="AE49">
        <v>7.8814895732278213E-3</v>
      </c>
      <c r="AG49" t="s">
        <v>96</v>
      </c>
      <c r="AH49" t="s">
        <v>279</v>
      </c>
      <c r="AI49">
        <v>2.0654606067743497E-2</v>
      </c>
      <c r="AK49">
        <v>2027</v>
      </c>
      <c r="AL49" t="s">
        <v>160</v>
      </c>
      <c r="AM49">
        <v>0.49715999999999994</v>
      </c>
      <c r="AN49" t="s">
        <v>245</v>
      </c>
    </row>
    <row r="50" spans="9:40" x14ac:dyDescent="0.45">
      <c r="I50" t="s">
        <v>162</v>
      </c>
      <c r="J50" t="s">
        <v>280</v>
      </c>
      <c r="K50">
        <v>0.12411310206026785</v>
      </c>
      <c r="L50" t="s">
        <v>164</v>
      </c>
      <c r="N50" t="s">
        <v>203</v>
      </c>
      <c r="O50" t="s">
        <v>280</v>
      </c>
      <c r="P50">
        <v>4.4785676596694884E-2</v>
      </c>
      <c r="Q50" t="s">
        <v>164</v>
      </c>
      <c r="S50" t="s">
        <v>226</v>
      </c>
      <c r="T50" t="s">
        <v>280</v>
      </c>
      <c r="U50">
        <v>2.4762103671810812E-2</v>
      </c>
      <c r="V50" t="s">
        <v>164</v>
      </c>
      <c r="X50">
        <v>4.8744292237442921E-2</v>
      </c>
      <c r="Y50">
        <v>7.3137922747350204E-2</v>
      </c>
      <c r="Z50" t="s">
        <v>280</v>
      </c>
      <c r="AA50" t="s">
        <v>25</v>
      </c>
      <c r="AC50" t="s">
        <v>22</v>
      </c>
      <c r="AD50" t="s">
        <v>280</v>
      </c>
      <c r="AE50">
        <v>5.9378111043110145E-2</v>
      </c>
      <c r="AG50" t="s">
        <v>96</v>
      </c>
      <c r="AH50" t="s">
        <v>280</v>
      </c>
      <c r="AI50">
        <v>9.2209991217031329E-2</v>
      </c>
      <c r="AK50">
        <v>2027</v>
      </c>
      <c r="AL50" t="s">
        <v>248</v>
      </c>
      <c r="AM50">
        <v>0.52749999999999997</v>
      </c>
      <c r="AN50" t="s">
        <v>245</v>
      </c>
    </row>
    <row r="51" spans="9:40" x14ac:dyDescent="0.45">
      <c r="I51" t="s">
        <v>162</v>
      </c>
      <c r="J51" t="s">
        <v>281</v>
      </c>
      <c r="K51">
        <v>8.7816639002650972E-3</v>
      </c>
      <c r="L51" t="s">
        <v>164</v>
      </c>
      <c r="N51" t="s">
        <v>203</v>
      </c>
      <c r="O51" t="s">
        <v>281</v>
      </c>
      <c r="P51">
        <v>9.9530987640687567E-3</v>
      </c>
      <c r="Q51" t="s">
        <v>164</v>
      </c>
      <c r="S51" t="s">
        <v>226</v>
      </c>
      <c r="T51" t="s">
        <v>281</v>
      </c>
      <c r="U51">
        <v>5.3964151101300595E-3</v>
      </c>
      <c r="V51" t="s">
        <v>164</v>
      </c>
      <c r="X51">
        <v>6.9634703196347035E-3</v>
      </c>
      <c r="Y51">
        <v>1.0514713803876726E-2</v>
      </c>
      <c r="Z51" t="s">
        <v>281</v>
      </c>
      <c r="AA51" t="s">
        <v>25</v>
      </c>
      <c r="AC51" t="s">
        <v>22</v>
      </c>
      <c r="AD51" t="s">
        <v>281</v>
      </c>
      <c r="AE51">
        <v>8.5712481804993638E-3</v>
      </c>
      <c r="AG51" t="s">
        <v>96</v>
      </c>
      <c r="AH51" t="s">
        <v>281</v>
      </c>
      <c r="AI51">
        <v>9.8551977523233525E-3</v>
      </c>
      <c r="AK51">
        <v>2027</v>
      </c>
      <c r="AL51" t="s">
        <v>250</v>
      </c>
      <c r="AM51">
        <v>0.5071</v>
      </c>
      <c r="AN51" t="s">
        <v>245</v>
      </c>
    </row>
    <row r="52" spans="9:40" x14ac:dyDescent="0.45">
      <c r="I52" t="s">
        <v>162</v>
      </c>
      <c r="J52" t="s">
        <v>282</v>
      </c>
      <c r="K52">
        <v>0</v>
      </c>
      <c r="L52" t="s">
        <v>164</v>
      </c>
      <c r="N52" t="s">
        <v>203</v>
      </c>
      <c r="O52" t="s">
        <v>282</v>
      </c>
      <c r="P52">
        <v>2.369743649629321E-2</v>
      </c>
      <c r="Q52" t="s">
        <v>164</v>
      </c>
      <c r="S52" t="s">
        <v>226</v>
      </c>
      <c r="T52" t="s">
        <v>282</v>
      </c>
      <c r="U52">
        <v>2.328741131216204E-2</v>
      </c>
      <c r="V52" t="s">
        <v>164</v>
      </c>
      <c r="X52">
        <v>3.4817351598173514E-2</v>
      </c>
      <c r="Y52">
        <v>2.6286784509691803E-2</v>
      </c>
      <c r="Z52" t="s">
        <v>282</v>
      </c>
      <c r="AA52" t="s">
        <v>25</v>
      </c>
      <c r="AC52" t="s">
        <v>22</v>
      </c>
      <c r="AD52" t="s">
        <v>282</v>
      </c>
      <c r="AE52">
        <v>2.653930189731165E-2</v>
      </c>
      <c r="AG52" t="s">
        <v>96</v>
      </c>
      <c r="AH52" t="s">
        <v>282</v>
      </c>
      <c r="AI52">
        <v>0.1721400805679465</v>
      </c>
      <c r="AK52">
        <v>2027</v>
      </c>
      <c r="AL52" t="s">
        <v>252</v>
      </c>
      <c r="AM52">
        <v>0.52364999999999995</v>
      </c>
      <c r="AN52" t="s">
        <v>245</v>
      </c>
    </row>
    <row r="53" spans="9:40" x14ac:dyDescent="0.45">
      <c r="I53" t="s">
        <v>176</v>
      </c>
      <c r="J53" t="s">
        <v>163</v>
      </c>
      <c r="K53">
        <v>9.4970177611090386E-3</v>
      </c>
      <c r="L53" t="s">
        <v>164</v>
      </c>
      <c r="N53" t="s">
        <v>204</v>
      </c>
      <c r="O53" t="s">
        <v>163</v>
      </c>
      <c r="P53">
        <v>7.1143612630313732E-3</v>
      </c>
      <c r="Q53" t="s">
        <v>164</v>
      </c>
      <c r="S53" t="s">
        <v>227</v>
      </c>
      <c r="T53" t="s">
        <v>163</v>
      </c>
      <c r="U53">
        <v>1.8840430268780101E-2</v>
      </c>
      <c r="V53" t="s">
        <v>164</v>
      </c>
      <c r="AC53" t="s">
        <v>19</v>
      </c>
      <c r="AD53" t="s">
        <v>163</v>
      </c>
      <c r="AE53">
        <v>3.1688511770063474E-2</v>
      </c>
      <c r="AK53">
        <v>2028</v>
      </c>
      <c r="AL53" t="s">
        <v>152</v>
      </c>
      <c r="AM53">
        <v>0.58360000000000001</v>
      </c>
      <c r="AN53" t="s">
        <v>245</v>
      </c>
    </row>
    <row r="54" spans="9:40" x14ac:dyDescent="0.45">
      <c r="I54" t="s">
        <v>176</v>
      </c>
      <c r="J54" t="s">
        <v>165</v>
      </c>
      <c r="K54">
        <v>7.390424955662697E-3</v>
      </c>
      <c r="L54" t="s">
        <v>164</v>
      </c>
      <c r="N54" t="s">
        <v>204</v>
      </c>
      <c r="O54" t="s">
        <v>165</v>
      </c>
      <c r="P54">
        <v>1.3696320993737961E-4</v>
      </c>
      <c r="Q54" t="s">
        <v>164</v>
      </c>
      <c r="S54" t="s">
        <v>227</v>
      </c>
      <c r="T54" t="s">
        <v>165</v>
      </c>
      <c r="U54">
        <v>2.2987560298991096E-3</v>
      </c>
      <c r="V54" t="s">
        <v>164</v>
      </c>
      <c r="AC54" t="s">
        <v>19</v>
      </c>
      <c r="AD54" t="s">
        <v>165</v>
      </c>
      <c r="AE54">
        <v>3.5645135991657223E-3</v>
      </c>
      <c r="AK54">
        <v>2028</v>
      </c>
      <c r="AL54" t="s">
        <v>156</v>
      </c>
      <c r="AM54">
        <v>0.4516</v>
      </c>
      <c r="AN54" t="s">
        <v>245</v>
      </c>
    </row>
    <row r="55" spans="9:40" x14ac:dyDescent="0.45">
      <c r="I55" t="s">
        <v>176</v>
      </c>
      <c r="J55" t="s">
        <v>166</v>
      </c>
      <c r="K55">
        <v>8.2685154947716912E-3</v>
      </c>
      <c r="L55" t="s">
        <v>164</v>
      </c>
      <c r="N55" t="s">
        <v>204</v>
      </c>
      <c r="O55" t="s">
        <v>166</v>
      </c>
      <c r="P55">
        <v>2.711397792403677E-4</v>
      </c>
      <c r="Q55" t="s">
        <v>164</v>
      </c>
      <c r="S55" t="s">
        <v>227</v>
      </c>
      <c r="T55" t="s">
        <v>166</v>
      </c>
      <c r="U55">
        <v>2.6085243546825941E-3</v>
      </c>
      <c r="V55" t="s">
        <v>164</v>
      </c>
      <c r="AC55" t="s">
        <v>19</v>
      </c>
      <c r="AD55" t="s">
        <v>166</v>
      </c>
      <c r="AE55">
        <v>3.563833073813626E-3</v>
      </c>
      <c r="AK55">
        <v>2028</v>
      </c>
      <c r="AL55" t="s">
        <v>158</v>
      </c>
      <c r="AM55">
        <v>0.4385</v>
      </c>
      <c r="AN55" t="s">
        <v>245</v>
      </c>
    </row>
    <row r="56" spans="9:40" x14ac:dyDescent="0.45">
      <c r="I56" t="s">
        <v>176</v>
      </c>
      <c r="J56" t="s">
        <v>253</v>
      </c>
      <c r="K56">
        <v>6.5079989027607837E-2</v>
      </c>
      <c r="L56" t="s">
        <v>164</v>
      </c>
      <c r="N56" t="s">
        <v>204</v>
      </c>
      <c r="O56" t="s">
        <v>253</v>
      </c>
      <c r="P56">
        <v>5.0907545232100025E-3</v>
      </c>
      <c r="Q56" t="s">
        <v>164</v>
      </c>
      <c r="S56" t="s">
        <v>227</v>
      </c>
      <c r="T56" t="s">
        <v>253</v>
      </c>
      <c r="U56">
        <v>3.5982705887177634E-2</v>
      </c>
      <c r="V56" t="s">
        <v>164</v>
      </c>
      <c r="AC56" t="s">
        <v>19</v>
      </c>
      <c r="AD56" t="s">
        <v>253</v>
      </c>
      <c r="AE56">
        <v>2.5053276462362845E-2</v>
      </c>
      <c r="AK56">
        <v>2028</v>
      </c>
      <c r="AL56" t="s">
        <v>160</v>
      </c>
      <c r="AM56">
        <v>0.52045999999999992</v>
      </c>
      <c r="AN56" t="s">
        <v>245</v>
      </c>
    </row>
    <row r="57" spans="9:40" x14ac:dyDescent="0.45">
      <c r="I57" t="s">
        <v>176</v>
      </c>
      <c r="J57" t="s">
        <v>254</v>
      </c>
      <c r="K57">
        <v>5.963930500691752E-3</v>
      </c>
      <c r="L57" t="s">
        <v>164</v>
      </c>
      <c r="N57" t="s">
        <v>204</v>
      </c>
      <c r="O57" t="s">
        <v>254</v>
      </c>
      <c r="P57">
        <v>1.0453940533173937E-3</v>
      </c>
      <c r="Q57" t="s">
        <v>164</v>
      </c>
      <c r="S57" t="s">
        <v>227</v>
      </c>
      <c r="T57" t="s">
        <v>254</v>
      </c>
      <c r="U57">
        <v>6.974055401066815E-3</v>
      </c>
      <c r="V57" t="s">
        <v>164</v>
      </c>
      <c r="AC57" t="s">
        <v>19</v>
      </c>
      <c r="AD57" t="s">
        <v>254</v>
      </c>
      <c r="AE57">
        <v>3.5803408670080357E-3</v>
      </c>
      <c r="AK57">
        <v>2028</v>
      </c>
      <c r="AL57" t="s">
        <v>248</v>
      </c>
      <c r="AM57">
        <v>0.47810000000000002</v>
      </c>
      <c r="AN57" t="s">
        <v>245</v>
      </c>
    </row>
    <row r="58" spans="9:40" x14ac:dyDescent="0.45">
      <c r="I58" t="s">
        <v>176</v>
      </c>
      <c r="J58" t="s">
        <v>255</v>
      </c>
      <c r="K58">
        <v>0</v>
      </c>
      <c r="L58" t="s">
        <v>164</v>
      </c>
      <c r="N58" t="s">
        <v>204</v>
      </c>
      <c r="O58" t="s">
        <v>255</v>
      </c>
      <c r="P58">
        <v>6.2636198653739711E-3</v>
      </c>
      <c r="Q58" t="s">
        <v>164</v>
      </c>
      <c r="S58" t="s">
        <v>227</v>
      </c>
      <c r="T58" t="s">
        <v>255</v>
      </c>
      <c r="U58">
        <v>2.6787453430698858E-2</v>
      </c>
      <c r="V58" t="s">
        <v>164</v>
      </c>
      <c r="AC58" t="s">
        <v>19</v>
      </c>
      <c r="AD58" t="s">
        <v>255</v>
      </c>
      <c r="AE58">
        <v>1.7487075735120018E-2</v>
      </c>
      <c r="AK58">
        <v>2028</v>
      </c>
      <c r="AL58" t="s">
        <v>250</v>
      </c>
      <c r="AM58">
        <v>0.52790000000000004</v>
      </c>
      <c r="AN58" t="s">
        <v>245</v>
      </c>
    </row>
    <row r="59" spans="9:40" x14ac:dyDescent="0.45">
      <c r="I59" t="s">
        <v>176</v>
      </c>
      <c r="J59" t="s">
        <v>167</v>
      </c>
      <c r="K59">
        <v>6.1110255319513987E-3</v>
      </c>
      <c r="L59" t="s">
        <v>164</v>
      </c>
      <c r="N59" t="s">
        <v>204</v>
      </c>
      <c r="O59" t="s">
        <v>167</v>
      </c>
      <c r="P59">
        <v>8.806180837939985E-3</v>
      </c>
      <c r="Q59" t="s">
        <v>164</v>
      </c>
      <c r="S59" t="s">
        <v>227</v>
      </c>
      <c r="T59" t="s">
        <v>167</v>
      </c>
      <c r="U59">
        <v>1.0052131381751352E-2</v>
      </c>
      <c r="V59" t="s">
        <v>164</v>
      </c>
      <c r="AC59" t="s">
        <v>19</v>
      </c>
      <c r="AD59" t="s">
        <v>167</v>
      </c>
      <c r="AE59">
        <v>2.8620696523420447E-2</v>
      </c>
      <c r="AK59">
        <v>2028</v>
      </c>
      <c r="AL59" t="s">
        <v>252</v>
      </c>
      <c r="AM59">
        <v>0.51844999999999997</v>
      </c>
      <c r="AN59" t="s">
        <v>245</v>
      </c>
    </row>
    <row r="60" spans="9:40" x14ac:dyDescent="0.45">
      <c r="I60" t="s">
        <v>176</v>
      </c>
      <c r="J60" t="s">
        <v>168</v>
      </c>
      <c r="K60">
        <v>6.293910204026836E-3</v>
      </c>
      <c r="L60" t="s">
        <v>164</v>
      </c>
      <c r="N60" t="s">
        <v>204</v>
      </c>
      <c r="O60" t="s">
        <v>168</v>
      </c>
      <c r="P60">
        <v>1.7355012541794097E-4</v>
      </c>
      <c r="Q60" t="s">
        <v>164</v>
      </c>
      <c r="S60" t="s">
        <v>227</v>
      </c>
      <c r="T60" t="s">
        <v>168</v>
      </c>
      <c r="U60">
        <v>1.0629184573784263E-3</v>
      </c>
      <c r="V60" t="s">
        <v>164</v>
      </c>
      <c r="AC60" t="s">
        <v>19</v>
      </c>
      <c r="AD60" t="s">
        <v>168</v>
      </c>
      <c r="AE60">
        <v>3.2177263897657038E-3</v>
      </c>
      <c r="AK60">
        <v>2029</v>
      </c>
      <c r="AL60" t="s">
        <v>152</v>
      </c>
      <c r="AM60">
        <v>0.50649999999999995</v>
      </c>
      <c r="AN60" t="s">
        <v>245</v>
      </c>
    </row>
    <row r="61" spans="9:40" x14ac:dyDescent="0.45">
      <c r="I61" t="s">
        <v>176</v>
      </c>
      <c r="J61" t="s">
        <v>169</v>
      </c>
      <c r="K61">
        <v>7.6302780974671774E-3</v>
      </c>
      <c r="L61" t="s">
        <v>164</v>
      </c>
      <c r="N61" t="s">
        <v>204</v>
      </c>
      <c r="O61" t="s">
        <v>169</v>
      </c>
      <c r="P61">
        <v>2.3833004178871832E-4</v>
      </c>
      <c r="Q61" t="s">
        <v>164</v>
      </c>
      <c r="S61" t="s">
        <v>227</v>
      </c>
      <c r="T61" t="s">
        <v>169</v>
      </c>
      <c r="U61">
        <v>1.2929762281819088E-3</v>
      </c>
      <c r="V61" t="s">
        <v>164</v>
      </c>
      <c r="AC61" t="s">
        <v>19</v>
      </c>
      <c r="AD61" t="s">
        <v>169</v>
      </c>
      <c r="AE61">
        <v>3.217645535268425E-3</v>
      </c>
      <c r="AK61">
        <v>2029</v>
      </c>
      <c r="AL61" t="s">
        <v>156</v>
      </c>
      <c r="AM61">
        <v>0.48599999999999999</v>
      </c>
      <c r="AN61" t="s">
        <v>245</v>
      </c>
    </row>
    <row r="62" spans="9:40" x14ac:dyDescent="0.45">
      <c r="I62" t="s">
        <v>176</v>
      </c>
      <c r="J62" t="s">
        <v>256</v>
      </c>
      <c r="K62">
        <v>6.0317527403599261E-2</v>
      </c>
      <c r="L62" t="s">
        <v>164</v>
      </c>
      <c r="N62" t="s">
        <v>204</v>
      </c>
      <c r="O62" t="s">
        <v>256</v>
      </c>
      <c r="P62">
        <v>7.1303879349106517E-3</v>
      </c>
      <c r="Q62" t="s">
        <v>164</v>
      </c>
      <c r="S62" t="s">
        <v>227</v>
      </c>
      <c r="T62" t="s">
        <v>256</v>
      </c>
      <c r="U62">
        <v>3.2110866555160371E-2</v>
      </c>
      <c r="V62" t="s">
        <v>164</v>
      </c>
      <c r="AC62" t="s">
        <v>19</v>
      </c>
      <c r="AD62" t="s">
        <v>256</v>
      </c>
      <c r="AE62">
        <v>2.2623751372005518E-2</v>
      </c>
      <c r="AK62">
        <v>2029</v>
      </c>
      <c r="AL62" t="s">
        <v>158</v>
      </c>
      <c r="AM62">
        <v>0.48830000000000001</v>
      </c>
      <c r="AN62" t="s">
        <v>245</v>
      </c>
    </row>
    <row r="63" spans="9:40" x14ac:dyDescent="0.45">
      <c r="I63" t="s">
        <v>176</v>
      </c>
      <c r="J63" t="s">
        <v>257</v>
      </c>
      <c r="K63">
        <v>5.8436532524590362E-3</v>
      </c>
      <c r="L63" t="s">
        <v>164</v>
      </c>
      <c r="N63" t="s">
        <v>204</v>
      </c>
      <c r="O63" t="s">
        <v>257</v>
      </c>
      <c r="P63">
        <v>2.2561525016687582E-3</v>
      </c>
      <c r="Q63" t="s">
        <v>164</v>
      </c>
      <c r="S63" t="s">
        <v>227</v>
      </c>
      <c r="T63" t="s">
        <v>257</v>
      </c>
      <c r="U63">
        <v>6.6832365163389321E-3</v>
      </c>
      <c r="V63" t="s">
        <v>164</v>
      </c>
      <c r="AC63" t="s">
        <v>19</v>
      </c>
      <c r="AD63" t="s">
        <v>257</v>
      </c>
      <c r="AE63">
        <v>3.232617093014538E-3</v>
      </c>
      <c r="AK63">
        <v>2029</v>
      </c>
      <c r="AL63" t="s">
        <v>160</v>
      </c>
      <c r="AM63">
        <v>0.49947999999999998</v>
      </c>
      <c r="AN63" t="s">
        <v>245</v>
      </c>
    </row>
    <row r="64" spans="9:40" x14ac:dyDescent="0.45">
      <c r="I64" t="s">
        <v>176</v>
      </c>
      <c r="J64" t="s">
        <v>258</v>
      </c>
      <c r="K64">
        <v>0</v>
      </c>
      <c r="L64" t="s">
        <v>164</v>
      </c>
      <c r="N64" t="s">
        <v>204</v>
      </c>
      <c r="O64" t="s">
        <v>258</v>
      </c>
      <c r="P64">
        <v>1.3594056345102214E-2</v>
      </c>
      <c r="Q64" t="s">
        <v>164</v>
      </c>
      <c r="S64" t="s">
        <v>227</v>
      </c>
      <c r="T64" t="s">
        <v>258</v>
      </c>
      <c r="U64">
        <v>2.1495103560479567E-2</v>
      </c>
      <c r="V64" t="s">
        <v>164</v>
      </c>
      <c r="AC64" t="s">
        <v>19</v>
      </c>
      <c r="AD64" t="s">
        <v>258</v>
      </c>
      <c r="AE64">
        <v>1.5800008345042506E-2</v>
      </c>
      <c r="AK64">
        <v>2029</v>
      </c>
      <c r="AL64" t="s">
        <v>248</v>
      </c>
      <c r="AM64">
        <v>0.54769999999999996</v>
      </c>
      <c r="AN64" t="s">
        <v>245</v>
      </c>
    </row>
    <row r="65" spans="9:40" x14ac:dyDescent="0.45">
      <c r="I65" t="s">
        <v>176</v>
      </c>
      <c r="J65" t="s">
        <v>170</v>
      </c>
      <c r="K65">
        <v>1.0151017188173773E-2</v>
      </c>
      <c r="L65" t="s">
        <v>164</v>
      </c>
      <c r="N65" t="s">
        <v>204</v>
      </c>
      <c r="O65" t="s">
        <v>170</v>
      </c>
      <c r="P65">
        <v>1.076616560651795E-2</v>
      </c>
      <c r="Q65" t="s">
        <v>164</v>
      </c>
      <c r="S65" t="s">
        <v>227</v>
      </c>
      <c r="T65" t="s">
        <v>170</v>
      </c>
      <c r="U65">
        <v>5.6903096579908148E-3</v>
      </c>
      <c r="V65" t="s">
        <v>164</v>
      </c>
      <c r="AC65" t="s">
        <v>19</v>
      </c>
      <c r="AD65" t="s">
        <v>170</v>
      </c>
      <c r="AE65">
        <v>3.1685906823452702E-2</v>
      </c>
      <c r="AK65">
        <v>2029</v>
      </c>
      <c r="AL65" t="s">
        <v>250</v>
      </c>
      <c r="AM65">
        <v>0.53659999999999997</v>
      </c>
      <c r="AN65" t="s">
        <v>245</v>
      </c>
    </row>
    <row r="66" spans="9:40" x14ac:dyDescent="0.45">
      <c r="I66" t="s">
        <v>176</v>
      </c>
      <c r="J66" t="s">
        <v>171</v>
      </c>
      <c r="K66">
        <v>6.9061933457766241E-3</v>
      </c>
      <c r="L66" t="s">
        <v>164</v>
      </c>
      <c r="N66" t="s">
        <v>204</v>
      </c>
      <c r="O66" t="s">
        <v>171</v>
      </c>
      <c r="P66">
        <v>5.2052532183389307E-4</v>
      </c>
      <c r="Q66" t="s">
        <v>164</v>
      </c>
      <c r="S66" t="s">
        <v>227</v>
      </c>
      <c r="T66" t="s">
        <v>171</v>
      </c>
      <c r="U66">
        <v>6.4894314986377116E-4</v>
      </c>
      <c r="V66" t="s">
        <v>164</v>
      </c>
      <c r="AC66" t="s">
        <v>19</v>
      </c>
      <c r="AD66" t="s">
        <v>171</v>
      </c>
      <c r="AE66">
        <v>3.5625696380702106E-3</v>
      </c>
      <c r="AK66">
        <v>2029</v>
      </c>
      <c r="AL66" t="s">
        <v>252</v>
      </c>
      <c r="AM66">
        <v>0.57304999999999995</v>
      </c>
      <c r="AN66" t="s">
        <v>245</v>
      </c>
    </row>
    <row r="67" spans="9:40" x14ac:dyDescent="0.45">
      <c r="I67" t="s">
        <v>176</v>
      </c>
      <c r="J67" t="s">
        <v>172</v>
      </c>
      <c r="K67">
        <v>8.248006024965256E-3</v>
      </c>
      <c r="L67" t="s">
        <v>164</v>
      </c>
      <c r="N67" t="s">
        <v>204</v>
      </c>
      <c r="O67" t="s">
        <v>172</v>
      </c>
      <c r="P67">
        <v>4.1174475611645734E-4</v>
      </c>
      <c r="Q67" t="s">
        <v>164</v>
      </c>
      <c r="S67" t="s">
        <v>227</v>
      </c>
      <c r="T67" t="s">
        <v>172</v>
      </c>
      <c r="U67">
        <v>7.8335579563890416E-4</v>
      </c>
      <c r="V67" t="s">
        <v>164</v>
      </c>
      <c r="AC67" t="s">
        <v>19</v>
      </c>
      <c r="AD67" t="s">
        <v>172</v>
      </c>
      <c r="AE67">
        <v>3.5628122015620473E-3</v>
      </c>
      <c r="AK67">
        <v>2030</v>
      </c>
      <c r="AL67" t="s">
        <v>152</v>
      </c>
      <c r="AM67">
        <v>0.5393</v>
      </c>
      <c r="AN67" t="s">
        <v>245</v>
      </c>
    </row>
    <row r="68" spans="9:40" x14ac:dyDescent="0.45">
      <c r="I68" t="s">
        <v>176</v>
      </c>
      <c r="J68" t="s">
        <v>259</v>
      </c>
      <c r="K68">
        <v>6.1079117611892782E-2</v>
      </c>
      <c r="L68" t="s">
        <v>164</v>
      </c>
      <c r="N68" t="s">
        <v>204</v>
      </c>
      <c r="O68" t="s">
        <v>259</v>
      </c>
      <c r="P68">
        <v>6.714339215350586E-3</v>
      </c>
      <c r="Q68" t="s">
        <v>164</v>
      </c>
      <c r="S68" t="s">
        <v>227</v>
      </c>
      <c r="T68" t="s">
        <v>259</v>
      </c>
      <c r="U68">
        <v>1.2802534345198383E-2</v>
      </c>
      <c r="V68" t="s">
        <v>164</v>
      </c>
      <c r="AC68" t="s">
        <v>19</v>
      </c>
      <c r="AD68" t="s">
        <v>259</v>
      </c>
      <c r="AE68">
        <v>2.5051035529436702E-2</v>
      </c>
      <c r="AK68">
        <v>2030</v>
      </c>
      <c r="AL68" t="s">
        <v>156</v>
      </c>
      <c r="AM68">
        <v>0.49440000000000001</v>
      </c>
      <c r="AN68" t="s">
        <v>245</v>
      </c>
    </row>
    <row r="69" spans="9:40" x14ac:dyDescent="0.45">
      <c r="I69" t="s">
        <v>176</v>
      </c>
      <c r="J69" t="s">
        <v>260</v>
      </c>
      <c r="K69">
        <v>5.0703862841524989E-3</v>
      </c>
      <c r="L69" t="s">
        <v>164</v>
      </c>
      <c r="N69" t="s">
        <v>204</v>
      </c>
      <c r="O69" t="s">
        <v>260</v>
      </c>
      <c r="P69">
        <v>3.0414433499515083E-3</v>
      </c>
      <c r="Q69" t="s">
        <v>164</v>
      </c>
      <c r="S69" t="s">
        <v>227</v>
      </c>
      <c r="T69" t="s">
        <v>260</v>
      </c>
      <c r="U69">
        <v>2.3717031397551586E-3</v>
      </c>
      <c r="V69" t="s">
        <v>164</v>
      </c>
      <c r="AC69" t="s">
        <v>19</v>
      </c>
      <c r="AD69" t="s">
        <v>260</v>
      </c>
      <c r="AE69">
        <v>3.5794412765023744E-3</v>
      </c>
      <c r="AK69">
        <v>2030</v>
      </c>
      <c r="AL69" t="s">
        <v>158</v>
      </c>
      <c r="AM69">
        <v>0.50560000000000005</v>
      </c>
      <c r="AN69" t="s">
        <v>245</v>
      </c>
    </row>
    <row r="70" spans="9:40" x14ac:dyDescent="0.45">
      <c r="I70" t="s">
        <v>176</v>
      </c>
      <c r="J70" t="s">
        <v>261</v>
      </c>
      <c r="K70">
        <v>0</v>
      </c>
      <c r="L70" t="s">
        <v>164</v>
      </c>
      <c r="N70" t="s">
        <v>204</v>
      </c>
      <c r="O70" t="s">
        <v>261</v>
      </c>
      <c r="P70">
        <v>2.0528618960213567E-2</v>
      </c>
      <c r="Q70" t="s">
        <v>164</v>
      </c>
      <c r="S70" t="s">
        <v>227</v>
      </c>
      <c r="T70" t="s">
        <v>261</v>
      </c>
      <c r="U70">
        <v>7.9329002862102496E-3</v>
      </c>
      <c r="V70" t="s">
        <v>164</v>
      </c>
      <c r="AC70" t="s">
        <v>19</v>
      </c>
      <c r="AD70" t="s">
        <v>261</v>
      </c>
      <c r="AE70">
        <v>1.7495453861283355E-2</v>
      </c>
      <c r="AK70">
        <v>2030</v>
      </c>
      <c r="AL70" t="s">
        <v>160</v>
      </c>
      <c r="AM70">
        <v>0.50004000000000004</v>
      </c>
      <c r="AN70" t="s">
        <v>245</v>
      </c>
    </row>
    <row r="71" spans="9:40" x14ac:dyDescent="0.45">
      <c r="I71" t="s">
        <v>176</v>
      </c>
      <c r="J71" t="s">
        <v>173</v>
      </c>
      <c r="K71">
        <v>3.6995530299904135E-2</v>
      </c>
      <c r="L71" t="s">
        <v>164</v>
      </c>
      <c r="N71" t="s">
        <v>204</v>
      </c>
      <c r="O71" t="s">
        <v>173</v>
      </c>
      <c r="P71">
        <v>0.14678305964919855</v>
      </c>
      <c r="Q71" t="s">
        <v>164</v>
      </c>
      <c r="S71" t="s">
        <v>227</v>
      </c>
      <c r="T71" t="s">
        <v>173</v>
      </c>
      <c r="U71">
        <v>0.19862889059025021</v>
      </c>
      <c r="V71" t="s">
        <v>164</v>
      </c>
      <c r="AC71" t="s">
        <v>19</v>
      </c>
      <c r="AD71" t="s">
        <v>173</v>
      </c>
      <c r="AE71">
        <v>0.15641846111462862</v>
      </c>
      <c r="AK71">
        <v>2030</v>
      </c>
      <c r="AL71" t="s">
        <v>248</v>
      </c>
      <c r="AM71">
        <v>0.48880000000000001</v>
      </c>
      <c r="AN71" t="s">
        <v>245</v>
      </c>
    </row>
    <row r="72" spans="9:40" x14ac:dyDescent="0.45">
      <c r="I72" t="s">
        <v>176</v>
      </c>
      <c r="J72" t="s">
        <v>174</v>
      </c>
      <c r="K72">
        <v>2.8146541357507781E-2</v>
      </c>
      <c r="L72" t="s">
        <v>164</v>
      </c>
      <c r="N72" t="s">
        <v>204</v>
      </c>
      <c r="O72" t="s">
        <v>174</v>
      </c>
      <c r="P72">
        <v>2.8757780028071413E-2</v>
      </c>
      <c r="Q72" t="s">
        <v>164</v>
      </c>
      <c r="S72" t="s">
        <v>227</v>
      </c>
      <c r="T72" t="s">
        <v>174</v>
      </c>
      <c r="U72">
        <v>2.4284987518085076E-2</v>
      </c>
      <c r="V72" t="s">
        <v>164</v>
      </c>
      <c r="AC72" t="s">
        <v>19</v>
      </c>
      <c r="AD72" t="s">
        <v>174</v>
      </c>
      <c r="AE72">
        <v>1.7591346623575956E-2</v>
      </c>
      <c r="AK72">
        <v>2030</v>
      </c>
      <c r="AL72" t="s">
        <v>250</v>
      </c>
      <c r="AM72">
        <v>0.49840000000000001</v>
      </c>
      <c r="AN72" t="s">
        <v>245</v>
      </c>
    </row>
    <row r="73" spans="9:40" x14ac:dyDescent="0.45">
      <c r="I73" t="s">
        <v>176</v>
      </c>
      <c r="J73" t="s">
        <v>175</v>
      </c>
      <c r="K73">
        <v>3.3221162496201037E-2</v>
      </c>
      <c r="L73" t="s">
        <v>164</v>
      </c>
      <c r="N73" t="s">
        <v>204</v>
      </c>
      <c r="O73" t="s">
        <v>175</v>
      </c>
      <c r="P73">
        <v>3.1878357848611781E-2</v>
      </c>
      <c r="Q73" t="s">
        <v>164</v>
      </c>
      <c r="S73" t="s">
        <v>227</v>
      </c>
      <c r="T73" t="s">
        <v>175</v>
      </c>
      <c r="U73">
        <v>2.5678325949325669E-2</v>
      </c>
      <c r="V73" t="s">
        <v>164</v>
      </c>
      <c r="AC73" t="s">
        <v>19</v>
      </c>
      <c r="AD73" t="s">
        <v>175</v>
      </c>
      <c r="AE73">
        <v>1.7581441947659312E-2</v>
      </c>
      <c r="AK73">
        <v>2030</v>
      </c>
      <c r="AL73" t="s">
        <v>252</v>
      </c>
      <c r="AM73">
        <v>0.61504999999999999</v>
      </c>
      <c r="AN73" t="s">
        <v>245</v>
      </c>
    </row>
    <row r="74" spans="9:40" x14ac:dyDescent="0.45">
      <c r="I74" t="s">
        <v>176</v>
      </c>
      <c r="J74" t="s">
        <v>262</v>
      </c>
      <c r="K74">
        <v>0.24987790353901354</v>
      </c>
      <c r="L74" t="s">
        <v>164</v>
      </c>
      <c r="N74" t="s">
        <v>204</v>
      </c>
      <c r="O74" t="s">
        <v>262</v>
      </c>
      <c r="P74">
        <v>0.20597971894721701</v>
      </c>
      <c r="Q74" t="s">
        <v>164</v>
      </c>
      <c r="S74" t="s">
        <v>227</v>
      </c>
      <c r="T74" t="s">
        <v>262</v>
      </c>
      <c r="U74">
        <v>0.19465245214452342</v>
      </c>
      <c r="V74" t="s">
        <v>164</v>
      </c>
      <c r="AC74" t="s">
        <v>19</v>
      </c>
      <c r="AD74" t="s">
        <v>262</v>
      </c>
      <c r="AE74">
        <v>0.1235968539455114</v>
      </c>
      <c r="AK74">
        <v>2031</v>
      </c>
      <c r="AL74" t="s">
        <v>152</v>
      </c>
      <c r="AM74">
        <v>0.50139999999999996</v>
      </c>
      <c r="AN74" t="s">
        <v>245</v>
      </c>
    </row>
    <row r="75" spans="9:40" x14ac:dyDescent="0.45">
      <c r="I75" t="s">
        <v>176</v>
      </c>
      <c r="J75" t="s">
        <v>263</v>
      </c>
      <c r="K75">
        <v>1.886189560053075E-2</v>
      </c>
      <c r="L75" t="s">
        <v>164</v>
      </c>
      <c r="N75" t="s">
        <v>204</v>
      </c>
      <c r="O75" t="s">
        <v>263</v>
      </c>
      <c r="P75">
        <v>3.746947134659466E-2</v>
      </c>
      <c r="Q75" t="s">
        <v>164</v>
      </c>
      <c r="S75" t="s">
        <v>227</v>
      </c>
      <c r="T75" t="s">
        <v>263</v>
      </c>
      <c r="U75">
        <v>2.7820366752070468E-2</v>
      </c>
      <c r="V75" t="s">
        <v>164</v>
      </c>
      <c r="AC75" t="s">
        <v>19</v>
      </c>
      <c r="AD75" t="s">
        <v>263</v>
      </c>
      <c r="AE75">
        <v>1.7666608684792917E-2</v>
      </c>
      <c r="AK75">
        <v>2031</v>
      </c>
      <c r="AL75" t="s">
        <v>156</v>
      </c>
      <c r="AM75">
        <v>0.40570000000000001</v>
      </c>
      <c r="AN75" t="s">
        <v>245</v>
      </c>
    </row>
    <row r="76" spans="9:40" x14ac:dyDescent="0.45">
      <c r="I76" t="s">
        <v>176</v>
      </c>
      <c r="J76" t="s">
        <v>264</v>
      </c>
      <c r="K76">
        <v>0</v>
      </c>
      <c r="L76" t="s">
        <v>164</v>
      </c>
      <c r="N76" t="s">
        <v>204</v>
      </c>
      <c r="O76" t="s">
        <v>264</v>
      </c>
      <c r="P76">
        <v>0.17453368210183451</v>
      </c>
      <c r="Q76" t="s">
        <v>164</v>
      </c>
      <c r="S76" t="s">
        <v>227</v>
      </c>
      <c r="T76" t="s">
        <v>264</v>
      </c>
      <c r="U76">
        <v>0.14459393038808321</v>
      </c>
      <c r="V76" t="s">
        <v>164</v>
      </c>
      <c r="AC76" t="s">
        <v>19</v>
      </c>
      <c r="AD76" t="s">
        <v>264</v>
      </c>
      <c r="AE76">
        <v>8.6313048780575038E-2</v>
      </c>
      <c r="AK76">
        <v>2031</v>
      </c>
      <c r="AL76" t="s">
        <v>158</v>
      </c>
      <c r="AM76">
        <v>0.40539999999999998</v>
      </c>
      <c r="AN76" t="s">
        <v>245</v>
      </c>
    </row>
    <row r="77" spans="9:40" x14ac:dyDescent="0.45">
      <c r="I77" t="s">
        <v>176</v>
      </c>
      <c r="J77" t="s">
        <v>265</v>
      </c>
      <c r="K77">
        <v>9.3214196680686309E-3</v>
      </c>
      <c r="L77" t="s">
        <v>164</v>
      </c>
      <c r="N77" t="s">
        <v>204</v>
      </c>
      <c r="O77" t="s">
        <v>265</v>
      </c>
      <c r="P77">
        <v>2.5976395425127311E-2</v>
      </c>
      <c r="Q77" t="s">
        <v>164</v>
      </c>
      <c r="S77" t="s">
        <v>227</v>
      </c>
      <c r="T77" t="s">
        <v>265</v>
      </c>
      <c r="U77">
        <v>1.8146084231543458E-2</v>
      </c>
      <c r="V77" t="s">
        <v>164</v>
      </c>
      <c r="AC77" t="s">
        <v>19</v>
      </c>
      <c r="AD77" t="s">
        <v>265</v>
      </c>
      <c r="AE77">
        <v>3.0671773467712094E-2</v>
      </c>
      <c r="AK77">
        <v>2031</v>
      </c>
      <c r="AL77" t="s">
        <v>160</v>
      </c>
      <c r="AM77">
        <v>0.43559999999999999</v>
      </c>
      <c r="AN77" t="s">
        <v>245</v>
      </c>
    </row>
    <row r="78" spans="9:40" x14ac:dyDescent="0.45">
      <c r="I78" t="s">
        <v>176</v>
      </c>
      <c r="J78" t="s">
        <v>266</v>
      </c>
      <c r="K78">
        <v>7.1646260335098541E-3</v>
      </c>
      <c r="L78" t="s">
        <v>164</v>
      </c>
      <c r="N78" t="s">
        <v>204</v>
      </c>
      <c r="O78" t="s">
        <v>266</v>
      </c>
      <c r="P78">
        <v>4.6317722468637683E-3</v>
      </c>
      <c r="Q78" t="s">
        <v>164</v>
      </c>
      <c r="S78" t="s">
        <v>227</v>
      </c>
      <c r="T78" t="s">
        <v>266</v>
      </c>
      <c r="U78">
        <v>2.1977426147151364E-3</v>
      </c>
      <c r="V78" t="s">
        <v>164</v>
      </c>
      <c r="AC78" t="s">
        <v>19</v>
      </c>
      <c r="AD78" t="s">
        <v>266</v>
      </c>
      <c r="AE78">
        <v>3.4490421764886152E-3</v>
      </c>
      <c r="AK78">
        <v>2031</v>
      </c>
      <c r="AL78" t="s">
        <v>248</v>
      </c>
      <c r="AM78">
        <v>0.43690000000000001</v>
      </c>
      <c r="AN78" t="s">
        <v>245</v>
      </c>
    </row>
    <row r="79" spans="9:40" x14ac:dyDescent="0.45">
      <c r="I79" t="s">
        <v>176</v>
      </c>
      <c r="J79" t="s">
        <v>267</v>
      </c>
      <c r="K79">
        <v>7.8263524995687943E-3</v>
      </c>
      <c r="L79" t="s">
        <v>164</v>
      </c>
      <c r="N79" t="s">
        <v>204</v>
      </c>
      <c r="O79" t="s">
        <v>267</v>
      </c>
      <c r="P79">
        <v>4.6783299740308223E-3</v>
      </c>
      <c r="Q79" t="s">
        <v>164</v>
      </c>
      <c r="S79" t="s">
        <v>227</v>
      </c>
      <c r="T79" t="s">
        <v>267</v>
      </c>
      <c r="U79">
        <v>2.3596674361100055E-3</v>
      </c>
      <c r="V79" t="s">
        <v>164</v>
      </c>
      <c r="AC79" t="s">
        <v>19</v>
      </c>
      <c r="AD79" t="s">
        <v>267</v>
      </c>
      <c r="AE79">
        <v>3.4485435737553966E-3</v>
      </c>
      <c r="AK79">
        <v>2031</v>
      </c>
      <c r="AL79" t="s">
        <v>250</v>
      </c>
      <c r="AM79">
        <v>0.43840000000000001</v>
      </c>
      <c r="AN79" t="s">
        <v>245</v>
      </c>
    </row>
    <row r="80" spans="9:40" x14ac:dyDescent="0.45">
      <c r="I80" t="s">
        <v>176</v>
      </c>
      <c r="J80" t="s">
        <v>268</v>
      </c>
      <c r="K80">
        <v>5.7805266884861387E-2</v>
      </c>
      <c r="L80" t="s">
        <v>164</v>
      </c>
      <c r="N80" t="s">
        <v>204</v>
      </c>
      <c r="O80" t="s">
        <v>268</v>
      </c>
      <c r="P80">
        <v>3.8449358303064243E-2</v>
      </c>
      <c r="Q80" t="s">
        <v>164</v>
      </c>
      <c r="S80" t="s">
        <v>227</v>
      </c>
      <c r="T80" t="s">
        <v>268</v>
      </c>
      <c r="U80">
        <v>1.9281131257093433E-2</v>
      </c>
      <c r="V80" t="s">
        <v>164</v>
      </c>
      <c r="AC80" t="s">
        <v>19</v>
      </c>
      <c r="AD80" t="s">
        <v>268</v>
      </c>
      <c r="AE80">
        <v>2.4246553166320031E-2</v>
      </c>
      <c r="AK80">
        <v>2031</v>
      </c>
      <c r="AL80" t="s">
        <v>252</v>
      </c>
      <c r="AM80">
        <v>0.49709999999999999</v>
      </c>
      <c r="AN80" t="s">
        <v>245</v>
      </c>
    </row>
    <row r="81" spans="9:40" x14ac:dyDescent="0.45">
      <c r="I81" t="s">
        <v>176</v>
      </c>
      <c r="J81" t="s">
        <v>269</v>
      </c>
      <c r="K81">
        <v>4.5737087553809298E-3</v>
      </c>
      <c r="L81" t="s">
        <v>164</v>
      </c>
      <c r="N81" t="s">
        <v>204</v>
      </c>
      <c r="O81" t="s">
        <v>269</v>
      </c>
      <c r="P81">
        <v>9.2187146125083316E-3</v>
      </c>
      <c r="Q81" t="s">
        <v>164</v>
      </c>
      <c r="S81" t="s">
        <v>227</v>
      </c>
      <c r="T81" t="s">
        <v>269</v>
      </c>
      <c r="U81">
        <v>2.8830988521518263E-3</v>
      </c>
      <c r="V81" t="s">
        <v>164</v>
      </c>
      <c r="AC81" t="s">
        <v>19</v>
      </c>
      <c r="AD81" t="s">
        <v>269</v>
      </c>
      <c r="AE81">
        <v>3.4658936012964599E-3</v>
      </c>
      <c r="AK81">
        <v>2032</v>
      </c>
      <c r="AL81" t="s">
        <v>152</v>
      </c>
      <c r="AM81">
        <v>0.4763</v>
      </c>
      <c r="AN81" t="s">
        <v>245</v>
      </c>
    </row>
    <row r="82" spans="9:40" x14ac:dyDescent="0.45">
      <c r="I82" t="s">
        <v>176</v>
      </c>
      <c r="J82" t="s">
        <v>270</v>
      </c>
      <c r="K82">
        <v>0</v>
      </c>
      <c r="L82" t="s">
        <v>164</v>
      </c>
      <c r="N82" t="s">
        <v>204</v>
      </c>
      <c r="O82" t="s">
        <v>270</v>
      </c>
      <c r="P82">
        <v>4.250108820673313E-2</v>
      </c>
      <c r="Q82" t="s">
        <v>164</v>
      </c>
      <c r="S82" t="s">
        <v>227</v>
      </c>
      <c r="T82" t="s">
        <v>270</v>
      </c>
      <c r="U82">
        <v>1.5084890150561268E-2</v>
      </c>
      <c r="V82" t="s">
        <v>164</v>
      </c>
      <c r="AC82" t="s">
        <v>19</v>
      </c>
      <c r="AD82" t="s">
        <v>270</v>
      </c>
      <c r="AE82">
        <v>1.691153784792326E-2</v>
      </c>
      <c r="AK82">
        <v>2032</v>
      </c>
      <c r="AL82" t="s">
        <v>156</v>
      </c>
      <c r="AM82">
        <v>0.40870000000000001</v>
      </c>
      <c r="AN82" t="s">
        <v>245</v>
      </c>
    </row>
    <row r="83" spans="9:40" x14ac:dyDescent="0.45">
      <c r="I83" t="s">
        <v>176</v>
      </c>
      <c r="J83" t="s">
        <v>271</v>
      </c>
      <c r="K83">
        <v>1.0267052360980022E-2</v>
      </c>
      <c r="L83" t="s">
        <v>164</v>
      </c>
      <c r="N83" t="s">
        <v>204</v>
      </c>
      <c r="O83" t="s">
        <v>271</v>
      </c>
      <c r="P83">
        <v>2.3690126265444807E-2</v>
      </c>
      <c r="Q83" t="s">
        <v>164</v>
      </c>
      <c r="S83" t="s">
        <v>227</v>
      </c>
      <c r="T83" t="s">
        <v>271</v>
      </c>
      <c r="U83">
        <v>1.4406692711969579E-2</v>
      </c>
      <c r="V83" t="s">
        <v>164</v>
      </c>
      <c r="AC83" t="s">
        <v>19</v>
      </c>
      <c r="AD83" t="s">
        <v>271</v>
      </c>
      <c r="AE83">
        <v>3.1685316838292878E-2</v>
      </c>
      <c r="AK83">
        <v>2032</v>
      </c>
      <c r="AL83" t="s">
        <v>158</v>
      </c>
      <c r="AM83">
        <v>0.39319999999999999</v>
      </c>
      <c r="AN83" t="s">
        <v>245</v>
      </c>
    </row>
    <row r="84" spans="9:40" x14ac:dyDescent="0.45">
      <c r="I84" t="s">
        <v>176</v>
      </c>
      <c r="J84" t="s">
        <v>272</v>
      </c>
      <c r="K84">
        <v>7.4501468947161349E-3</v>
      </c>
      <c r="L84" t="s">
        <v>164</v>
      </c>
      <c r="N84" t="s">
        <v>204</v>
      </c>
      <c r="O84" t="s">
        <v>272</v>
      </c>
      <c r="P84">
        <v>3.7293404137677959E-3</v>
      </c>
      <c r="Q84" t="s">
        <v>164</v>
      </c>
      <c r="S84" t="s">
        <v>227</v>
      </c>
      <c r="T84" t="s">
        <v>272</v>
      </c>
      <c r="U84">
        <v>1.5218865739926948E-3</v>
      </c>
      <c r="V84" t="s">
        <v>164</v>
      </c>
      <c r="AC84" t="s">
        <v>19</v>
      </c>
      <c r="AD84" t="s">
        <v>272</v>
      </c>
      <c r="AE84">
        <v>3.5643345401436236E-3</v>
      </c>
      <c r="AK84">
        <v>2032</v>
      </c>
      <c r="AL84" t="s">
        <v>160</v>
      </c>
      <c r="AM84">
        <v>0.44190000000000007</v>
      </c>
      <c r="AN84" t="s">
        <v>245</v>
      </c>
    </row>
    <row r="85" spans="9:40" x14ac:dyDescent="0.45">
      <c r="I85" t="s">
        <v>176</v>
      </c>
      <c r="J85" t="s">
        <v>273</v>
      </c>
      <c r="K85">
        <v>8.4590750443860139E-3</v>
      </c>
      <c r="L85" t="s">
        <v>164</v>
      </c>
      <c r="N85" t="s">
        <v>204</v>
      </c>
      <c r="O85" t="s">
        <v>273</v>
      </c>
      <c r="P85">
        <v>3.6097512389386688E-3</v>
      </c>
      <c r="Q85" t="s">
        <v>164</v>
      </c>
      <c r="S85" t="s">
        <v>227</v>
      </c>
      <c r="T85" t="s">
        <v>273</v>
      </c>
      <c r="U85">
        <v>1.7244552439025806E-3</v>
      </c>
      <c r="V85" t="s">
        <v>164</v>
      </c>
      <c r="AC85" t="s">
        <v>19</v>
      </c>
      <c r="AD85" t="s">
        <v>273</v>
      </c>
      <c r="AE85">
        <v>3.5631015090601226E-3</v>
      </c>
      <c r="AK85">
        <v>2032</v>
      </c>
      <c r="AL85" t="s">
        <v>248</v>
      </c>
      <c r="AM85">
        <v>0.3997</v>
      </c>
      <c r="AN85" t="s">
        <v>245</v>
      </c>
    </row>
    <row r="86" spans="9:40" x14ac:dyDescent="0.45">
      <c r="I86" t="s">
        <v>176</v>
      </c>
      <c r="J86" t="s">
        <v>274</v>
      </c>
      <c r="K86">
        <v>6.1451049345015829E-2</v>
      </c>
      <c r="L86" t="s">
        <v>164</v>
      </c>
      <c r="N86" t="s">
        <v>204</v>
      </c>
      <c r="O86" t="s">
        <v>274</v>
      </c>
      <c r="P86">
        <v>3.2520441929280976E-2</v>
      </c>
      <c r="Q86" t="s">
        <v>164</v>
      </c>
      <c r="S86" t="s">
        <v>227</v>
      </c>
      <c r="T86" t="s">
        <v>274</v>
      </c>
      <c r="U86">
        <v>1.7689670631111151E-2</v>
      </c>
      <c r="V86" t="s">
        <v>164</v>
      </c>
      <c r="AC86" t="s">
        <v>19</v>
      </c>
      <c r="AD86" t="s">
        <v>274</v>
      </c>
      <c r="AE86">
        <v>2.5052420583819773E-2</v>
      </c>
      <c r="AK86">
        <v>2032</v>
      </c>
      <c r="AL86" t="s">
        <v>250</v>
      </c>
      <c r="AM86">
        <v>0.47770000000000001</v>
      </c>
      <c r="AN86" t="s">
        <v>245</v>
      </c>
    </row>
    <row r="87" spans="9:40" x14ac:dyDescent="0.45">
      <c r="I87" t="s">
        <v>176</v>
      </c>
      <c r="J87" t="s">
        <v>275</v>
      </c>
      <c r="K87">
        <v>4.8826683546595437E-3</v>
      </c>
      <c r="L87" t="s">
        <v>164</v>
      </c>
      <c r="N87" t="s">
        <v>204</v>
      </c>
      <c r="O87" t="s">
        <v>275</v>
      </c>
      <c r="P87">
        <v>9.5516834035471749E-3</v>
      </c>
      <c r="Q87" t="s">
        <v>164</v>
      </c>
      <c r="S87" t="s">
        <v>227</v>
      </c>
      <c r="T87" t="s">
        <v>275</v>
      </c>
      <c r="U87">
        <v>3.2864186605053524E-3</v>
      </c>
      <c r="V87" t="s">
        <v>164</v>
      </c>
      <c r="AC87" t="s">
        <v>19</v>
      </c>
      <c r="AD87" t="s">
        <v>275</v>
      </c>
      <c r="AE87">
        <v>3.579717108250904E-3</v>
      </c>
      <c r="AK87">
        <v>2032</v>
      </c>
      <c r="AL87" t="s">
        <v>252</v>
      </c>
      <c r="AM87">
        <v>0.51394999999999991</v>
      </c>
      <c r="AN87" t="s">
        <v>245</v>
      </c>
    </row>
    <row r="88" spans="9:40" x14ac:dyDescent="0.45">
      <c r="I88" t="s">
        <v>176</v>
      </c>
      <c r="J88" t="s">
        <v>276</v>
      </c>
      <c r="K88">
        <v>0</v>
      </c>
      <c r="L88" t="s">
        <v>164</v>
      </c>
      <c r="N88" t="s">
        <v>204</v>
      </c>
      <c r="O88" t="s">
        <v>276</v>
      </c>
      <c r="P88">
        <v>4.3561669178608577E-2</v>
      </c>
      <c r="Q88" t="s">
        <v>164</v>
      </c>
      <c r="S88" t="s">
        <v>227</v>
      </c>
      <c r="T88" t="s">
        <v>276</v>
      </c>
      <c r="U88">
        <v>1.6061016769778839E-2</v>
      </c>
      <c r="V88" t="s">
        <v>164</v>
      </c>
      <c r="AC88" t="s">
        <v>19</v>
      </c>
      <c r="AD88" t="s">
        <v>276</v>
      </c>
      <c r="AE88">
        <v>1.7483795232339807E-2</v>
      </c>
      <c r="AK88">
        <v>2033</v>
      </c>
      <c r="AL88" t="s">
        <v>152</v>
      </c>
      <c r="AM88">
        <v>0.44779999999999998</v>
      </c>
      <c r="AN88" t="s">
        <v>245</v>
      </c>
    </row>
    <row r="89" spans="9:40" x14ac:dyDescent="0.45">
      <c r="I89" t="s">
        <v>176</v>
      </c>
      <c r="J89" t="s">
        <v>277</v>
      </c>
      <c r="K89">
        <v>2.066146963020914E-2</v>
      </c>
      <c r="L89" t="s">
        <v>164</v>
      </c>
      <c r="N89" t="s">
        <v>204</v>
      </c>
      <c r="O89" t="s">
        <v>277</v>
      </c>
      <c r="P89">
        <v>9.0736714842037814E-3</v>
      </c>
      <c r="Q89" t="s">
        <v>164</v>
      </c>
      <c r="S89" t="s">
        <v>227</v>
      </c>
      <c r="T89" t="s">
        <v>277</v>
      </c>
      <c r="U89">
        <v>1.3746051841826961E-2</v>
      </c>
      <c r="V89" t="s">
        <v>164</v>
      </c>
      <c r="AC89" t="s">
        <v>19</v>
      </c>
      <c r="AD89" t="s">
        <v>277</v>
      </c>
      <c r="AE89">
        <v>6.2367576965855147E-2</v>
      </c>
      <c r="AK89">
        <v>2033</v>
      </c>
      <c r="AL89" t="s">
        <v>156</v>
      </c>
      <c r="AM89">
        <v>0.43980000000000002</v>
      </c>
      <c r="AN89" t="s">
        <v>245</v>
      </c>
    </row>
    <row r="90" spans="9:40" x14ac:dyDescent="0.45">
      <c r="I90" t="s">
        <v>176</v>
      </c>
      <c r="J90" t="s">
        <v>278</v>
      </c>
      <c r="K90">
        <v>1.5088285118315005E-2</v>
      </c>
      <c r="L90" t="s">
        <v>164</v>
      </c>
      <c r="N90" t="s">
        <v>204</v>
      </c>
      <c r="O90" t="s">
        <v>278</v>
      </c>
      <c r="P90">
        <v>4.1355765009003378E-4</v>
      </c>
      <c r="Q90" t="s">
        <v>164</v>
      </c>
      <c r="S90" t="s">
        <v>227</v>
      </c>
      <c r="T90" t="s">
        <v>278</v>
      </c>
      <c r="U90">
        <v>1.3425431209957849E-3</v>
      </c>
      <c r="V90" t="s">
        <v>164</v>
      </c>
      <c r="AC90" t="s">
        <v>19</v>
      </c>
      <c r="AD90" t="s">
        <v>278</v>
      </c>
      <c r="AE90">
        <v>7.013042349596617E-3</v>
      </c>
      <c r="AK90">
        <v>2033</v>
      </c>
      <c r="AL90" t="s">
        <v>158</v>
      </c>
      <c r="AM90">
        <v>0.41460000000000002</v>
      </c>
      <c r="AN90" t="s">
        <v>245</v>
      </c>
    </row>
    <row r="91" spans="9:40" x14ac:dyDescent="0.45">
      <c r="I91" t="s">
        <v>176</v>
      </c>
      <c r="J91" t="s">
        <v>279</v>
      </c>
      <c r="K91">
        <v>1.7692900368121423E-2</v>
      </c>
      <c r="L91" t="s">
        <v>164</v>
      </c>
      <c r="N91" t="s">
        <v>204</v>
      </c>
      <c r="O91" t="s">
        <v>279</v>
      </c>
      <c r="P91">
        <v>5.4276434952894989E-4</v>
      </c>
      <c r="Q91" t="s">
        <v>164</v>
      </c>
      <c r="S91" t="s">
        <v>227</v>
      </c>
      <c r="T91" t="s">
        <v>279</v>
      </c>
      <c r="U91">
        <v>1.6016423731890573E-3</v>
      </c>
      <c r="V91" t="s">
        <v>164</v>
      </c>
      <c r="AC91" t="s">
        <v>19</v>
      </c>
      <c r="AD91" t="s">
        <v>279</v>
      </c>
      <c r="AE91">
        <v>7.0110075114151009E-3</v>
      </c>
      <c r="AK91">
        <v>2033</v>
      </c>
      <c r="AL91" t="s">
        <v>160</v>
      </c>
      <c r="AM91">
        <v>0.43762000000000001</v>
      </c>
      <c r="AN91" t="s">
        <v>245</v>
      </c>
    </row>
    <row r="92" spans="9:40" x14ac:dyDescent="0.45">
      <c r="I92" t="s">
        <v>176</v>
      </c>
      <c r="J92" t="s">
        <v>280</v>
      </c>
      <c r="K92">
        <v>0.11760154573861639</v>
      </c>
      <c r="L92" t="s">
        <v>164</v>
      </c>
      <c r="N92" t="s">
        <v>204</v>
      </c>
      <c r="O92" t="s">
        <v>280</v>
      </c>
      <c r="P92">
        <v>1.0589085504420743E-2</v>
      </c>
      <c r="Q92" t="s">
        <v>164</v>
      </c>
      <c r="S92" t="s">
        <v>227</v>
      </c>
      <c r="T92" t="s">
        <v>280</v>
      </c>
      <c r="U92">
        <v>2.9717997450681006E-2</v>
      </c>
      <c r="V92" t="s">
        <v>164</v>
      </c>
      <c r="AC92" t="s">
        <v>19</v>
      </c>
      <c r="AD92" t="s">
        <v>280</v>
      </c>
      <c r="AE92">
        <v>4.9294402944340517E-2</v>
      </c>
      <c r="AK92">
        <v>2033</v>
      </c>
      <c r="AL92" t="s">
        <v>248</v>
      </c>
      <c r="AM92">
        <v>0.4642</v>
      </c>
      <c r="AN92" t="s">
        <v>245</v>
      </c>
    </row>
    <row r="93" spans="9:40" x14ac:dyDescent="0.45">
      <c r="I93" t="s">
        <v>176</v>
      </c>
      <c r="J93" t="s">
        <v>281</v>
      </c>
      <c r="K93">
        <v>8.8004073261253018E-3</v>
      </c>
      <c r="L93" t="s">
        <v>164</v>
      </c>
      <c r="N93" t="s">
        <v>204</v>
      </c>
      <c r="O93" t="s">
        <v>281</v>
      </c>
      <c r="P93">
        <v>3.4277957095496083E-3</v>
      </c>
      <c r="Q93" t="s">
        <v>164</v>
      </c>
      <c r="S93" t="s">
        <v>227</v>
      </c>
      <c r="T93" t="s">
        <v>281</v>
      </c>
      <c r="U93">
        <v>5.9675237639545808E-3</v>
      </c>
      <c r="V93" t="s">
        <v>164</v>
      </c>
      <c r="AC93" t="s">
        <v>19</v>
      </c>
      <c r="AD93" t="s">
        <v>281</v>
      </c>
      <c r="AE93">
        <v>7.0466373932159335E-3</v>
      </c>
      <c r="AK93">
        <v>2033</v>
      </c>
      <c r="AL93" t="s">
        <v>250</v>
      </c>
      <c r="AM93">
        <v>0.42449999999999999</v>
      </c>
      <c r="AN93" t="s">
        <v>245</v>
      </c>
    </row>
    <row r="94" spans="9:40" x14ac:dyDescent="0.45">
      <c r="I94" t="s">
        <v>176</v>
      </c>
      <c r="J94" t="s">
        <v>282</v>
      </c>
      <c r="K94">
        <v>0</v>
      </c>
      <c r="L94" t="s">
        <v>164</v>
      </c>
      <c r="N94" t="s">
        <v>204</v>
      </c>
      <c r="O94" t="s">
        <v>282</v>
      </c>
      <c r="P94">
        <v>1.4328656491842211E-2</v>
      </c>
      <c r="Q94" t="s">
        <v>164</v>
      </c>
      <c r="S94" t="s">
        <v>227</v>
      </c>
      <c r="T94" t="s">
        <v>282</v>
      </c>
      <c r="U94">
        <v>2.0903628527328928E-2</v>
      </c>
      <c r="V94" t="s">
        <v>164</v>
      </c>
      <c r="AC94" t="s">
        <v>19</v>
      </c>
      <c r="AD94" t="s">
        <v>282</v>
      </c>
      <c r="AE94">
        <v>3.4390325997072209E-2</v>
      </c>
      <c r="AK94">
        <v>2033</v>
      </c>
      <c r="AL94" t="s">
        <v>252</v>
      </c>
      <c r="AM94">
        <v>0.49225000000000002</v>
      </c>
      <c r="AN94" t="s">
        <v>245</v>
      </c>
    </row>
    <row r="95" spans="9:40" x14ac:dyDescent="0.45">
      <c r="I95" t="s">
        <v>177</v>
      </c>
      <c r="J95" t="s">
        <v>163</v>
      </c>
      <c r="K95">
        <v>1.3116814691465188E-2</v>
      </c>
      <c r="L95" t="s">
        <v>164</v>
      </c>
      <c r="N95" t="s">
        <v>205</v>
      </c>
      <c r="O95" t="s">
        <v>163</v>
      </c>
      <c r="P95">
        <v>2.0761333092133204E-2</v>
      </c>
      <c r="Q95" t="s">
        <v>164</v>
      </c>
      <c r="S95" t="s">
        <v>228</v>
      </c>
      <c r="T95" t="s">
        <v>163</v>
      </c>
      <c r="U95">
        <v>1.6077898214866909E-2</v>
      </c>
      <c r="V95" t="s">
        <v>164</v>
      </c>
      <c r="AK95">
        <v>2034</v>
      </c>
      <c r="AL95" t="s">
        <v>152</v>
      </c>
      <c r="AM95">
        <v>0.4698</v>
      </c>
      <c r="AN95" t="s">
        <v>245</v>
      </c>
    </row>
    <row r="96" spans="9:40" x14ac:dyDescent="0.45">
      <c r="I96" t="s">
        <v>177</v>
      </c>
      <c r="J96" t="s">
        <v>165</v>
      </c>
      <c r="K96">
        <v>9.2516516900376499E-3</v>
      </c>
      <c r="L96" t="s">
        <v>164</v>
      </c>
      <c r="N96" t="s">
        <v>205</v>
      </c>
      <c r="O96" t="s">
        <v>165</v>
      </c>
      <c r="P96">
        <v>2.200688636601071E-3</v>
      </c>
      <c r="Q96" t="s">
        <v>164</v>
      </c>
      <c r="S96" t="s">
        <v>228</v>
      </c>
      <c r="T96" t="s">
        <v>165</v>
      </c>
      <c r="U96">
        <v>1.7495912679525664E-3</v>
      </c>
      <c r="V96" t="s">
        <v>164</v>
      </c>
      <c r="AK96">
        <v>2034</v>
      </c>
      <c r="AL96" t="s">
        <v>156</v>
      </c>
      <c r="AM96">
        <v>0.45369999999999999</v>
      </c>
      <c r="AN96" t="s">
        <v>245</v>
      </c>
    </row>
    <row r="97" spans="9:40" x14ac:dyDescent="0.45">
      <c r="I97" t="s">
        <v>177</v>
      </c>
      <c r="J97" t="s">
        <v>166</v>
      </c>
      <c r="K97">
        <v>9.8015573603814337E-3</v>
      </c>
      <c r="L97" t="s">
        <v>164</v>
      </c>
      <c r="N97" t="s">
        <v>205</v>
      </c>
      <c r="O97" t="s">
        <v>166</v>
      </c>
      <c r="P97">
        <v>2.1746405380165487E-3</v>
      </c>
      <c r="Q97" t="s">
        <v>164</v>
      </c>
      <c r="S97" t="s">
        <v>228</v>
      </c>
      <c r="T97" t="s">
        <v>166</v>
      </c>
      <c r="U97">
        <v>1.9297535101007273E-3</v>
      </c>
      <c r="V97" t="s">
        <v>164</v>
      </c>
      <c r="AK97">
        <v>2034</v>
      </c>
      <c r="AL97" t="s">
        <v>158</v>
      </c>
      <c r="AM97">
        <v>0.40029999999999999</v>
      </c>
      <c r="AN97" t="s">
        <v>245</v>
      </c>
    </row>
    <row r="98" spans="9:40" x14ac:dyDescent="0.45">
      <c r="I98" t="s">
        <v>177</v>
      </c>
      <c r="J98" t="s">
        <v>253</v>
      </c>
      <c r="K98">
        <v>6.1352967858935584E-2</v>
      </c>
      <c r="L98" t="s">
        <v>164</v>
      </c>
      <c r="N98" t="s">
        <v>205</v>
      </c>
      <c r="O98" t="s">
        <v>253</v>
      </c>
      <c r="P98">
        <v>2.4435326278747765E-2</v>
      </c>
      <c r="Q98" t="s">
        <v>164</v>
      </c>
      <c r="S98" t="s">
        <v>228</v>
      </c>
      <c r="T98" t="s">
        <v>253</v>
      </c>
      <c r="U98">
        <v>2.3355191943791147E-2</v>
      </c>
      <c r="V98" t="s">
        <v>164</v>
      </c>
      <c r="AK98">
        <v>2034</v>
      </c>
      <c r="AL98" t="s">
        <v>160</v>
      </c>
      <c r="AM98">
        <v>0.44404000000000005</v>
      </c>
      <c r="AN98" t="s">
        <v>245</v>
      </c>
    </row>
    <row r="99" spans="9:40" x14ac:dyDescent="0.45">
      <c r="I99" t="s">
        <v>177</v>
      </c>
      <c r="J99" t="s">
        <v>254</v>
      </c>
      <c r="K99">
        <v>3.0153021587973209E-3</v>
      </c>
      <c r="L99" t="s">
        <v>164</v>
      </c>
      <c r="N99" t="s">
        <v>205</v>
      </c>
      <c r="O99" t="s">
        <v>254</v>
      </c>
      <c r="P99">
        <v>5.5408486811506742E-3</v>
      </c>
      <c r="Q99" t="s">
        <v>164</v>
      </c>
      <c r="S99" t="s">
        <v>228</v>
      </c>
      <c r="T99" t="s">
        <v>254</v>
      </c>
      <c r="U99">
        <v>5.1384215216308095E-3</v>
      </c>
      <c r="V99" t="s">
        <v>164</v>
      </c>
      <c r="AK99">
        <v>2034</v>
      </c>
      <c r="AL99" t="s">
        <v>248</v>
      </c>
      <c r="AM99">
        <v>0.41089999999999999</v>
      </c>
      <c r="AN99" t="s">
        <v>245</v>
      </c>
    </row>
    <row r="100" spans="9:40" x14ac:dyDescent="0.45">
      <c r="I100" t="s">
        <v>177</v>
      </c>
      <c r="J100" t="s">
        <v>255</v>
      </c>
      <c r="K100">
        <v>0</v>
      </c>
      <c r="L100" t="s">
        <v>164</v>
      </c>
      <c r="N100" t="s">
        <v>205</v>
      </c>
      <c r="O100" t="s">
        <v>255</v>
      </c>
      <c r="P100">
        <v>2.3658127720550804E-2</v>
      </c>
      <c r="Q100" t="s">
        <v>164</v>
      </c>
      <c r="S100" t="s">
        <v>228</v>
      </c>
      <c r="T100" t="s">
        <v>255</v>
      </c>
      <c r="U100">
        <v>2.2108461727793176E-2</v>
      </c>
      <c r="V100" t="s">
        <v>164</v>
      </c>
      <c r="AK100">
        <v>2034</v>
      </c>
      <c r="AL100" t="s">
        <v>250</v>
      </c>
      <c r="AM100">
        <v>0.4073</v>
      </c>
      <c r="AN100" t="s">
        <v>245</v>
      </c>
    </row>
    <row r="101" spans="9:40" x14ac:dyDescent="0.45">
      <c r="I101" t="s">
        <v>177</v>
      </c>
      <c r="J101" t="s">
        <v>167</v>
      </c>
      <c r="K101">
        <v>1.1979947887764327E-2</v>
      </c>
      <c r="L101" t="s">
        <v>164</v>
      </c>
      <c r="N101" t="s">
        <v>205</v>
      </c>
      <c r="O101" t="s">
        <v>167</v>
      </c>
      <c r="P101">
        <v>1.3832995482502115E-2</v>
      </c>
      <c r="Q101" t="s">
        <v>164</v>
      </c>
      <c r="S101" t="s">
        <v>228</v>
      </c>
      <c r="T101" t="s">
        <v>167</v>
      </c>
      <c r="U101">
        <v>8.5608825238823669E-3</v>
      </c>
      <c r="V101" t="s">
        <v>164</v>
      </c>
      <c r="AK101">
        <v>2034</v>
      </c>
      <c r="AL101" t="s">
        <v>252</v>
      </c>
      <c r="AM101">
        <v>0.48735000000000001</v>
      </c>
      <c r="AN101" t="s">
        <v>245</v>
      </c>
    </row>
    <row r="102" spans="9:40" x14ac:dyDescent="0.45">
      <c r="I102" t="s">
        <v>177</v>
      </c>
      <c r="J102" t="s">
        <v>168</v>
      </c>
      <c r="K102">
        <v>8.4798692755901559E-3</v>
      </c>
      <c r="L102" t="s">
        <v>164</v>
      </c>
      <c r="N102" t="s">
        <v>205</v>
      </c>
      <c r="O102" t="s">
        <v>168</v>
      </c>
      <c r="P102">
        <v>1.3484318964550358E-3</v>
      </c>
      <c r="Q102" t="s">
        <v>164</v>
      </c>
      <c r="S102" t="s">
        <v>228</v>
      </c>
      <c r="T102" t="s">
        <v>168</v>
      </c>
      <c r="U102">
        <v>7.9110062115105863E-4</v>
      </c>
      <c r="V102" t="s">
        <v>164</v>
      </c>
      <c r="AK102">
        <v>2035</v>
      </c>
      <c r="AL102" t="s">
        <v>152</v>
      </c>
      <c r="AM102">
        <v>0.41949999999999998</v>
      </c>
      <c r="AN102" t="s">
        <v>245</v>
      </c>
    </row>
    <row r="103" spans="9:40" x14ac:dyDescent="0.45">
      <c r="I103" t="s">
        <v>177</v>
      </c>
      <c r="J103" t="s">
        <v>169</v>
      </c>
      <c r="K103">
        <v>9.1144762014556888E-3</v>
      </c>
      <c r="L103" t="s">
        <v>164</v>
      </c>
      <c r="N103" t="s">
        <v>205</v>
      </c>
      <c r="O103" t="s">
        <v>169</v>
      </c>
      <c r="P103">
        <v>1.3981772669058277E-3</v>
      </c>
      <c r="Q103" t="s">
        <v>164</v>
      </c>
      <c r="S103" t="s">
        <v>228</v>
      </c>
      <c r="T103" t="s">
        <v>169</v>
      </c>
      <c r="U103">
        <v>9.8062838305724162E-4</v>
      </c>
      <c r="V103" t="s">
        <v>164</v>
      </c>
      <c r="AK103">
        <v>2035</v>
      </c>
      <c r="AL103" t="s">
        <v>156</v>
      </c>
      <c r="AM103">
        <v>0.41099999999999998</v>
      </c>
      <c r="AN103" t="s">
        <v>245</v>
      </c>
    </row>
    <row r="104" spans="9:40" x14ac:dyDescent="0.45">
      <c r="I104" t="s">
        <v>177</v>
      </c>
      <c r="J104" t="s">
        <v>256</v>
      </c>
      <c r="K104">
        <v>5.6116793228906066E-2</v>
      </c>
      <c r="L104" t="s">
        <v>164</v>
      </c>
      <c r="N104" t="s">
        <v>205</v>
      </c>
      <c r="O104" t="s">
        <v>256</v>
      </c>
      <c r="P104">
        <v>2.1648632117073258E-2</v>
      </c>
      <c r="Q104" t="s">
        <v>164</v>
      </c>
      <c r="S104" t="s">
        <v>228</v>
      </c>
      <c r="T104" t="s">
        <v>256</v>
      </c>
      <c r="U104">
        <v>1.9659122152275957E-2</v>
      </c>
      <c r="V104" t="s">
        <v>164</v>
      </c>
      <c r="AK104">
        <v>2035</v>
      </c>
      <c r="AL104" t="s">
        <v>158</v>
      </c>
      <c r="AM104">
        <v>0.39340000000000003</v>
      </c>
      <c r="AN104" t="s">
        <v>245</v>
      </c>
    </row>
    <row r="105" spans="9:40" x14ac:dyDescent="0.45">
      <c r="I105" t="s">
        <v>177</v>
      </c>
      <c r="J105" t="s">
        <v>257</v>
      </c>
      <c r="K105">
        <v>3.2051167625204817E-3</v>
      </c>
      <c r="L105" t="s">
        <v>164</v>
      </c>
      <c r="N105" t="s">
        <v>205</v>
      </c>
      <c r="O105" t="s">
        <v>257</v>
      </c>
      <c r="P105">
        <v>4.9756661300806426E-3</v>
      </c>
      <c r="Q105" t="s">
        <v>164</v>
      </c>
      <c r="S105" t="s">
        <v>228</v>
      </c>
      <c r="T105" t="s">
        <v>257</v>
      </c>
      <c r="U105">
        <v>4.3833072228989791E-3</v>
      </c>
      <c r="V105" t="s">
        <v>164</v>
      </c>
      <c r="AK105">
        <v>2035</v>
      </c>
      <c r="AL105" t="s">
        <v>160</v>
      </c>
      <c r="AM105">
        <v>0.43537999999999999</v>
      </c>
      <c r="AN105" t="s">
        <v>245</v>
      </c>
    </row>
    <row r="106" spans="9:40" x14ac:dyDescent="0.45">
      <c r="I106" t="s">
        <v>177</v>
      </c>
      <c r="J106" t="s">
        <v>258</v>
      </c>
      <c r="K106">
        <v>0</v>
      </c>
      <c r="L106" t="s">
        <v>164</v>
      </c>
      <c r="N106" t="s">
        <v>205</v>
      </c>
      <c r="O106" t="s">
        <v>258</v>
      </c>
      <c r="P106">
        <v>1.9463487561389884E-2</v>
      </c>
      <c r="Q106" t="s">
        <v>164</v>
      </c>
      <c r="S106" t="s">
        <v>228</v>
      </c>
      <c r="T106" t="s">
        <v>258</v>
      </c>
      <c r="U106">
        <v>1.6976530920942395E-2</v>
      </c>
      <c r="V106" t="s">
        <v>164</v>
      </c>
      <c r="AK106">
        <v>2035</v>
      </c>
      <c r="AL106" t="s">
        <v>248</v>
      </c>
      <c r="AM106">
        <v>0.44669999999999999</v>
      </c>
      <c r="AN106" t="s">
        <v>245</v>
      </c>
    </row>
    <row r="107" spans="9:40" x14ac:dyDescent="0.45">
      <c r="I107" t="s">
        <v>177</v>
      </c>
      <c r="J107" t="s">
        <v>170</v>
      </c>
      <c r="K107">
        <v>1.0794017913510942E-2</v>
      </c>
      <c r="L107" t="s">
        <v>164</v>
      </c>
      <c r="N107" t="s">
        <v>205</v>
      </c>
      <c r="O107" t="s">
        <v>170</v>
      </c>
      <c r="P107">
        <v>6.4806455518953013E-3</v>
      </c>
      <c r="Q107" t="s">
        <v>164</v>
      </c>
      <c r="S107" t="s">
        <v>228</v>
      </c>
      <c r="T107" t="s">
        <v>170</v>
      </c>
      <c r="U107">
        <v>5.7183889492217624E-3</v>
      </c>
      <c r="V107" t="s">
        <v>164</v>
      </c>
      <c r="AK107">
        <v>2035</v>
      </c>
      <c r="AL107" t="s">
        <v>250</v>
      </c>
      <c r="AM107">
        <v>0.44769999999999999</v>
      </c>
      <c r="AN107" t="s">
        <v>245</v>
      </c>
    </row>
    <row r="108" spans="9:40" x14ac:dyDescent="0.45">
      <c r="I108" t="s">
        <v>177</v>
      </c>
      <c r="J108" t="s">
        <v>171</v>
      </c>
      <c r="K108">
        <v>7.9058176707490178E-3</v>
      </c>
      <c r="L108" t="s">
        <v>164</v>
      </c>
      <c r="N108" t="s">
        <v>205</v>
      </c>
      <c r="O108" t="s">
        <v>171</v>
      </c>
      <c r="P108">
        <v>4.7250640717221509E-4</v>
      </c>
      <c r="Q108" t="s">
        <v>164</v>
      </c>
      <c r="S108" t="s">
        <v>228</v>
      </c>
      <c r="T108" t="s">
        <v>171</v>
      </c>
      <c r="U108">
        <v>4.5069068754547835E-4</v>
      </c>
      <c r="V108" t="s">
        <v>164</v>
      </c>
      <c r="AK108">
        <v>2035</v>
      </c>
      <c r="AL108" t="s">
        <v>252</v>
      </c>
      <c r="AM108">
        <v>0.52234999999999998</v>
      </c>
      <c r="AN108" t="s">
        <v>245</v>
      </c>
    </row>
    <row r="109" spans="9:40" x14ac:dyDescent="0.45">
      <c r="I109" t="s">
        <v>177</v>
      </c>
      <c r="J109" t="s">
        <v>172</v>
      </c>
      <c r="K109">
        <v>8.5770736224591894E-3</v>
      </c>
      <c r="L109" t="s">
        <v>164</v>
      </c>
      <c r="N109" t="s">
        <v>205</v>
      </c>
      <c r="O109" t="s">
        <v>172</v>
      </c>
      <c r="P109">
        <v>5.4938892411518286E-4</v>
      </c>
      <c r="Q109" t="s">
        <v>164</v>
      </c>
      <c r="S109" t="s">
        <v>228</v>
      </c>
      <c r="T109" t="s">
        <v>172</v>
      </c>
      <c r="U109">
        <v>5.1620230970721203E-4</v>
      </c>
      <c r="V109" t="s">
        <v>164</v>
      </c>
      <c r="AK109">
        <v>2036</v>
      </c>
      <c r="AL109" t="s">
        <v>152</v>
      </c>
      <c r="AM109">
        <v>0.49199999999999999</v>
      </c>
      <c r="AN109" t="s">
        <v>245</v>
      </c>
    </row>
    <row r="110" spans="9:40" x14ac:dyDescent="0.45">
      <c r="I110" t="s">
        <v>177</v>
      </c>
      <c r="J110" t="s">
        <v>259</v>
      </c>
      <c r="K110">
        <v>5.5680430688478236E-2</v>
      </c>
      <c r="L110" t="s">
        <v>164</v>
      </c>
      <c r="N110" t="s">
        <v>205</v>
      </c>
      <c r="O110" t="s">
        <v>259</v>
      </c>
      <c r="P110">
        <v>1.2286373769042191E-2</v>
      </c>
      <c r="Q110" t="s">
        <v>164</v>
      </c>
      <c r="S110" t="s">
        <v>228</v>
      </c>
      <c r="T110" t="s">
        <v>259</v>
      </c>
      <c r="U110">
        <v>1.2004079809167173E-2</v>
      </c>
      <c r="V110" t="s">
        <v>164</v>
      </c>
      <c r="AK110">
        <v>2036</v>
      </c>
      <c r="AL110" t="s">
        <v>156</v>
      </c>
      <c r="AM110">
        <v>0.39950000000000002</v>
      </c>
      <c r="AN110" t="s">
        <v>245</v>
      </c>
    </row>
    <row r="111" spans="9:40" x14ac:dyDescent="0.45">
      <c r="I111" t="s">
        <v>177</v>
      </c>
      <c r="J111" t="s">
        <v>260</v>
      </c>
      <c r="K111">
        <v>2.87201300755743E-3</v>
      </c>
      <c r="L111" t="s">
        <v>164</v>
      </c>
      <c r="N111" t="s">
        <v>205</v>
      </c>
      <c r="O111" t="s">
        <v>260</v>
      </c>
      <c r="P111">
        <v>2.540397695500136E-3</v>
      </c>
      <c r="Q111" t="s">
        <v>164</v>
      </c>
      <c r="S111" t="s">
        <v>228</v>
      </c>
      <c r="T111" t="s">
        <v>260</v>
      </c>
      <c r="U111">
        <v>2.3742897460779103E-3</v>
      </c>
      <c r="V111" t="s">
        <v>164</v>
      </c>
      <c r="AK111">
        <v>2036</v>
      </c>
      <c r="AL111" t="s">
        <v>158</v>
      </c>
      <c r="AM111">
        <v>0.38350000000000001</v>
      </c>
      <c r="AN111" t="s">
        <v>245</v>
      </c>
    </row>
    <row r="112" spans="9:40" x14ac:dyDescent="0.45">
      <c r="I112" t="s">
        <v>177</v>
      </c>
      <c r="J112" t="s">
        <v>261</v>
      </c>
      <c r="K112">
        <v>0</v>
      </c>
      <c r="L112" t="s">
        <v>164</v>
      </c>
      <c r="N112" t="s">
        <v>205</v>
      </c>
      <c r="O112" t="s">
        <v>261</v>
      </c>
      <c r="P112">
        <v>9.415954606603754E-3</v>
      </c>
      <c r="Q112" t="s">
        <v>164</v>
      </c>
      <c r="S112" t="s">
        <v>228</v>
      </c>
      <c r="T112" t="s">
        <v>261</v>
      </c>
      <c r="U112">
        <v>8.4401991300835002E-3</v>
      </c>
      <c r="V112" t="s">
        <v>164</v>
      </c>
      <c r="AK112">
        <v>2036</v>
      </c>
      <c r="AL112" t="s">
        <v>160</v>
      </c>
      <c r="AM112">
        <v>0.45548</v>
      </c>
      <c r="AN112" t="s">
        <v>245</v>
      </c>
    </row>
    <row r="113" spans="9:40" x14ac:dyDescent="0.45">
      <c r="I113" t="s">
        <v>177</v>
      </c>
      <c r="J113" t="s">
        <v>173</v>
      </c>
      <c r="K113">
        <v>5.1181755097793498E-2</v>
      </c>
      <c r="L113" t="s">
        <v>164</v>
      </c>
      <c r="N113" t="s">
        <v>205</v>
      </c>
      <c r="O113" t="s">
        <v>173</v>
      </c>
      <c r="P113">
        <v>0.19080386065960075</v>
      </c>
      <c r="Q113" t="s">
        <v>164</v>
      </c>
      <c r="S113" t="s">
        <v>228</v>
      </c>
      <c r="T113" t="s">
        <v>173</v>
      </c>
      <c r="U113">
        <v>0.20255718036396778</v>
      </c>
      <c r="V113" t="s">
        <v>164</v>
      </c>
      <c r="AK113">
        <v>2036</v>
      </c>
      <c r="AL113" t="s">
        <v>248</v>
      </c>
      <c r="AM113">
        <v>0.46310000000000001</v>
      </c>
      <c r="AN113" t="s">
        <v>245</v>
      </c>
    </row>
    <row r="114" spans="9:40" x14ac:dyDescent="0.45">
      <c r="I114" t="s">
        <v>177</v>
      </c>
      <c r="J114" t="s">
        <v>174</v>
      </c>
      <c r="K114">
        <v>3.4399751867164874E-2</v>
      </c>
      <c r="L114" t="s">
        <v>164</v>
      </c>
      <c r="N114" t="s">
        <v>205</v>
      </c>
      <c r="O114" t="s">
        <v>174</v>
      </c>
      <c r="P114">
        <v>2.2900517414252079E-2</v>
      </c>
      <c r="Q114" t="s">
        <v>164</v>
      </c>
      <c r="S114" t="s">
        <v>228</v>
      </c>
      <c r="T114" t="s">
        <v>174</v>
      </c>
      <c r="U114">
        <v>2.4190111390269289E-2</v>
      </c>
      <c r="V114" t="s">
        <v>164</v>
      </c>
      <c r="AK114">
        <v>2036</v>
      </c>
      <c r="AL114" t="s">
        <v>250</v>
      </c>
      <c r="AM114">
        <v>0.42130000000000001</v>
      </c>
      <c r="AN114" t="s">
        <v>245</v>
      </c>
    </row>
    <row r="115" spans="9:40" x14ac:dyDescent="0.45">
      <c r="I115" t="s">
        <v>177</v>
      </c>
      <c r="J115" t="s">
        <v>175</v>
      </c>
      <c r="K115">
        <v>3.947518129866958E-2</v>
      </c>
      <c r="L115" t="s">
        <v>164</v>
      </c>
      <c r="N115" t="s">
        <v>205</v>
      </c>
      <c r="O115" t="s">
        <v>175</v>
      </c>
      <c r="P115">
        <v>2.4440039960358852E-2</v>
      </c>
      <c r="Q115" t="s">
        <v>164</v>
      </c>
      <c r="S115" t="s">
        <v>228</v>
      </c>
      <c r="T115" t="s">
        <v>175</v>
      </c>
      <c r="U115">
        <v>2.5718576238373168E-2</v>
      </c>
      <c r="V115" t="s">
        <v>164</v>
      </c>
      <c r="AK115">
        <v>2036</v>
      </c>
      <c r="AL115" t="s">
        <v>252</v>
      </c>
      <c r="AM115">
        <v>0.51005</v>
      </c>
      <c r="AN115" t="s">
        <v>245</v>
      </c>
    </row>
    <row r="116" spans="9:40" x14ac:dyDescent="0.45">
      <c r="I116" t="s">
        <v>177</v>
      </c>
      <c r="J116" t="s">
        <v>262</v>
      </c>
      <c r="K116">
        <v>0.23949566451580623</v>
      </c>
      <c r="L116" t="s">
        <v>164</v>
      </c>
      <c r="N116" t="s">
        <v>205</v>
      </c>
      <c r="O116" t="s">
        <v>262</v>
      </c>
      <c r="P116">
        <v>0.195991963961687</v>
      </c>
      <c r="Q116" t="s">
        <v>164</v>
      </c>
      <c r="S116" t="s">
        <v>228</v>
      </c>
      <c r="T116" t="s">
        <v>262</v>
      </c>
      <c r="U116">
        <v>0.20761236688174975</v>
      </c>
      <c r="V116" t="s">
        <v>164</v>
      </c>
      <c r="AK116">
        <v>2037</v>
      </c>
      <c r="AL116" t="s">
        <v>152</v>
      </c>
      <c r="AM116">
        <v>0.4405</v>
      </c>
      <c r="AN116" t="s">
        <v>245</v>
      </c>
    </row>
    <row r="117" spans="9:40" x14ac:dyDescent="0.45">
      <c r="I117" t="s">
        <v>177</v>
      </c>
      <c r="J117" t="s">
        <v>263</v>
      </c>
      <c r="K117">
        <v>9.4026453792972753E-3</v>
      </c>
      <c r="L117" t="s">
        <v>164</v>
      </c>
      <c r="N117" t="s">
        <v>205</v>
      </c>
      <c r="O117" t="s">
        <v>263</v>
      </c>
      <c r="P117">
        <v>2.79212030480342E-2</v>
      </c>
      <c r="Q117" t="s">
        <v>164</v>
      </c>
      <c r="S117" t="s">
        <v>228</v>
      </c>
      <c r="T117" t="s">
        <v>263</v>
      </c>
      <c r="U117">
        <v>3.033533999314425E-2</v>
      </c>
      <c r="V117" t="s">
        <v>164</v>
      </c>
      <c r="AK117">
        <v>2037</v>
      </c>
      <c r="AL117" t="s">
        <v>156</v>
      </c>
      <c r="AM117">
        <v>0.4178</v>
      </c>
      <c r="AN117" t="s">
        <v>245</v>
      </c>
    </row>
    <row r="118" spans="9:40" x14ac:dyDescent="0.45">
      <c r="I118" t="s">
        <v>177</v>
      </c>
      <c r="J118" t="s">
        <v>264</v>
      </c>
      <c r="K118">
        <v>0</v>
      </c>
      <c r="L118" t="s">
        <v>164</v>
      </c>
      <c r="N118" t="s">
        <v>205</v>
      </c>
      <c r="O118" t="s">
        <v>264</v>
      </c>
      <c r="P118">
        <v>0.13942190862944676</v>
      </c>
      <c r="Q118" t="s">
        <v>164</v>
      </c>
      <c r="S118" t="s">
        <v>228</v>
      </c>
      <c r="T118" t="s">
        <v>264</v>
      </c>
      <c r="U118">
        <v>0.15288823473368415</v>
      </c>
      <c r="V118" t="s">
        <v>164</v>
      </c>
      <c r="AK118">
        <v>2037</v>
      </c>
      <c r="AL118" t="s">
        <v>158</v>
      </c>
      <c r="AM118">
        <v>0.38080000000000003</v>
      </c>
      <c r="AN118" t="s">
        <v>245</v>
      </c>
    </row>
    <row r="119" spans="9:40" x14ac:dyDescent="0.45">
      <c r="I119" t="s">
        <v>177</v>
      </c>
      <c r="J119" t="s">
        <v>265</v>
      </c>
      <c r="K119">
        <v>1.3112453498699748E-2</v>
      </c>
      <c r="L119" t="s">
        <v>164</v>
      </c>
      <c r="N119" t="s">
        <v>205</v>
      </c>
      <c r="O119" t="s">
        <v>265</v>
      </c>
      <c r="P119">
        <v>2.4748088445787998E-2</v>
      </c>
      <c r="Q119" t="s">
        <v>164</v>
      </c>
      <c r="S119" t="s">
        <v>228</v>
      </c>
      <c r="T119" t="s">
        <v>265</v>
      </c>
      <c r="U119">
        <v>2.2920990501739097E-2</v>
      </c>
      <c r="V119" t="s">
        <v>164</v>
      </c>
      <c r="AK119">
        <v>2037</v>
      </c>
      <c r="AL119" t="s">
        <v>160</v>
      </c>
      <c r="AM119">
        <v>0.45373999999999998</v>
      </c>
      <c r="AN119" t="s">
        <v>245</v>
      </c>
    </row>
    <row r="120" spans="9:40" x14ac:dyDescent="0.45">
      <c r="I120" t="s">
        <v>177</v>
      </c>
      <c r="J120" t="s">
        <v>266</v>
      </c>
      <c r="K120">
        <v>8.2005124547823612E-3</v>
      </c>
      <c r="L120" t="s">
        <v>164</v>
      </c>
      <c r="N120" t="s">
        <v>205</v>
      </c>
      <c r="O120" t="s">
        <v>266</v>
      </c>
      <c r="P120">
        <v>3.0069988915679253E-3</v>
      </c>
      <c r="Q120" t="s">
        <v>164</v>
      </c>
      <c r="S120" t="s">
        <v>228</v>
      </c>
      <c r="T120" t="s">
        <v>266</v>
      </c>
      <c r="U120">
        <v>2.6487307952523134E-3</v>
      </c>
      <c r="V120" t="s">
        <v>164</v>
      </c>
      <c r="AK120">
        <v>2037</v>
      </c>
      <c r="AL120" t="s">
        <v>248</v>
      </c>
      <c r="AM120">
        <v>0.4728</v>
      </c>
      <c r="AN120" t="s">
        <v>245</v>
      </c>
    </row>
    <row r="121" spans="9:40" x14ac:dyDescent="0.45">
      <c r="I121" t="s">
        <v>177</v>
      </c>
      <c r="J121" t="s">
        <v>267</v>
      </c>
      <c r="K121">
        <v>9.0000576482759075E-3</v>
      </c>
      <c r="L121" t="s">
        <v>164</v>
      </c>
      <c r="N121" t="s">
        <v>205</v>
      </c>
      <c r="O121" t="s">
        <v>267</v>
      </c>
      <c r="P121">
        <v>3.1961971580299537E-3</v>
      </c>
      <c r="Q121" t="s">
        <v>164</v>
      </c>
      <c r="S121" t="s">
        <v>228</v>
      </c>
      <c r="T121" t="s">
        <v>267</v>
      </c>
      <c r="U121">
        <v>2.8216626131171078E-3</v>
      </c>
      <c r="V121" t="s">
        <v>164</v>
      </c>
      <c r="AK121">
        <v>2037</v>
      </c>
      <c r="AL121" t="s">
        <v>250</v>
      </c>
      <c r="AM121">
        <v>0.4516</v>
      </c>
      <c r="AN121" t="s">
        <v>245</v>
      </c>
    </row>
    <row r="122" spans="9:40" x14ac:dyDescent="0.45">
      <c r="I122" t="s">
        <v>177</v>
      </c>
      <c r="J122" t="s">
        <v>268</v>
      </c>
      <c r="K122">
        <v>5.5728970737677776E-2</v>
      </c>
      <c r="L122" t="s">
        <v>164</v>
      </c>
      <c r="N122" t="s">
        <v>205</v>
      </c>
      <c r="O122" t="s">
        <v>268</v>
      </c>
      <c r="P122">
        <v>2.6967096300722075E-2</v>
      </c>
      <c r="Q122" t="s">
        <v>164</v>
      </c>
      <c r="S122" t="s">
        <v>228</v>
      </c>
      <c r="T122" t="s">
        <v>268</v>
      </c>
      <c r="U122">
        <v>2.4504294297981878E-2</v>
      </c>
      <c r="V122" t="s">
        <v>164</v>
      </c>
      <c r="AK122">
        <v>2037</v>
      </c>
      <c r="AL122" t="s">
        <v>252</v>
      </c>
      <c r="AM122">
        <v>0.49175000000000002</v>
      </c>
      <c r="AN122" t="s">
        <v>245</v>
      </c>
    </row>
    <row r="123" spans="9:40" x14ac:dyDescent="0.45">
      <c r="I123" t="s">
        <v>177</v>
      </c>
      <c r="J123" t="s">
        <v>269</v>
      </c>
      <c r="K123">
        <v>3.5530541142519018E-4</v>
      </c>
      <c r="L123" t="s">
        <v>164</v>
      </c>
      <c r="N123" t="s">
        <v>205</v>
      </c>
      <c r="O123" t="s">
        <v>269</v>
      </c>
      <c r="P123">
        <v>4.034880118511293E-3</v>
      </c>
      <c r="Q123" t="s">
        <v>164</v>
      </c>
      <c r="S123" t="s">
        <v>228</v>
      </c>
      <c r="T123" t="s">
        <v>269</v>
      </c>
      <c r="U123">
        <v>3.7940393381544735E-3</v>
      </c>
      <c r="V123" t="s">
        <v>164</v>
      </c>
      <c r="AK123">
        <v>2038</v>
      </c>
      <c r="AL123" t="s">
        <v>152</v>
      </c>
      <c r="AM123">
        <v>0.47739999999999999</v>
      </c>
      <c r="AN123" t="s">
        <v>245</v>
      </c>
    </row>
    <row r="124" spans="9:40" x14ac:dyDescent="0.45">
      <c r="I124" t="s">
        <v>177</v>
      </c>
      <c r="J124" t="s">
        <v>270</v>
      </c>
      <c r="K124">
        <v>0</v>
      </c>
      <c r="L124" t="s">
        <v>164</v>
      </c>
      <c r="N124" t="s">
        <v>205</v>
      </c>
      <c r="O124" t="s">
        <v>270</v>
      </c>
      <c r="P124">
        <v>2.0151747805144185E-2</v>
      </c>
      <c r="Q124" t="s">
        <v>164</v>
      </c>
      <c r="S124" t="s">
        <v>228</v>
      </c>
      <c r="T124" t="s">
        <v>270</v>
      </c>
      <c r="U124">
        <v>1.9089650507407751E-2</v>
      </c>
      <c r="V124" t="s">
        <v>164</v>
      </c>
      <c r="AK124">
        <v>2038</v>
      </c>
      <c r="AL124" t="s">
        <v>156</v>
      </c>
      <c r="AM124">
        <v>0.37990000000000002</v>
      </c>
      <c r="AN124" t="s">
        <v>245</v>
      </c>
    </row>
    <row r="125" spans="9:40" x14ac:dyDescent="0.45">
      <c r="I125" t="s">
        <v>177</v>
      </c>
      <c r="J125" t="s">
        <v>271</v>
      </c>
      <c r="K125">
        <v>1.7720439161831775E-2</v>
      </c>
      <c r="L125" t="s">
        <v>164</v>
      </c>
      <c r="N125" t="s">
        <v>205</v>
      </c>
      <c r="O125" t="s">
        <v>271</v>
      </c>
      <c r="P125">
        <v>1.9151804746465446E-2</v>
      </c>
      <c r="Q125" t="s">
        <v>164</v>
      </c>
      <c r="S125" t="s">
        <v>228</v>
      </c>
      <c r="T125" t="s">
        <v>271</v>
      </c>
      <c r="U125">
        <v>1.7966117381873776E-2</v>
      </c>
      <c r="V125" t="s">
        <v>164</v>
      </c>
      <c r="AK125">
        <v>2038</v>
      </c>
      <c r="AL125" t="s">
        <v>158</v>
      </c>
      <c r="AM125">
        <v>0.38350000000000001</v>
      </c>
      <c r="AN125" t="s">
        <v>245</v>
      </c>
    </row>
    <row r="126" spans="9:40" x14ac:dyDescent="0.45">
      <c r="I126" t="s">
        <v>177</v>
      </c>
      <c r="J126" t="s">
        <v>272</v>
      </c>
      <c r="K126">
        <v>8.7572091617068009E-3</v>
      </c>
      <c r="L126" t="s">
        <v>164</v>
      </c>
      <c r="N126" t="s">
        <v>205</v>
      </c>
      <c r="O126" t="s">
        <v>272</v>
      </c>
      <c r="P126">
        <v>2.0362505252766575E-3</v>
      </c>
      <c r="Q126" t="s">
        <v>164</v>
      </c>
      <c r="S126" t="s">
        <v>228</v>
      </c>
      <c r="T126" t="s">
        <v>272</v>
      </c>
      <c r="U126">
        <v>1.833404682472044E-3</v>
      </c>
      <c r="V126" t="s">
        <v>164</v>
      </c>
      <c r="AK126">
        <v>2038</v>
      </c>
      <c r="AL126" t="s">
        <v>160</v>
      </c>
      <c r="AM126">
        <v>0.44901999999999997</v>
      </c>
      <c r="AN126" t="s">
        <v>245</v>
      </c>
    </row>
    <row r="127" spans="9:40" x14ac:dyDescent="0.45">
      <c r="I127" t="s">
        <v>177</v>
      </c>
      <c r="J127" t="s">
        <v>273</v>
      </c>
      <c r="K127">
        <v>9.3298182763103844E-3</v>
      </c>
      <c r="L127" t="s">
        <v>164</v>
      </c>
      <c r="N127" t="s">
        <v>205</v>
      </c>
      <c r="O127" t="s">
        <v>273</v>
      </c>
      <c r="P127">
        <v>2.2365132780848697E-3</v>
      </c>
      <c r="Q127" t="s">
        <v>164</v>
      </c>
      <c r="S127" t="s">
        <v>228</v>
      </c>
      <c r="T127" t="s">
        <v>273</v>
      </c>
      <c r="U127">
        <v>2.0804674163366968E-3</v>
      </c>
      <c r="V127" t="s">
        <v>164</v>
      </c>
      <c r="AK127">
        <v>2038</v>
      </c>
      <c r="AL127" t="s">
        <v>248</v>
      </c>
      <c r="AM127">
        <v>0.41120000000000001</v>
      </c>
      <c r="AN127" t="s">
        <v>245</v>
      </c>
    </row>
    <row r="128" spans="9:40" x14ac:dyDescent="0.45">
      <c r="I128" t="s">
        <v>177</v>
      </c>
      <c r="J128" t="s">
        <v>274</v>
      </c>
      <c r="K128">
        <v>5.6254916909897826E-2</v>
      </c>
      <c r="L128" t="s">
        <v>164</v>
      </c>
      <c r="N128" t="s">
        <v>205</v>
      </c>
      <c r="O128" t="s">
        <v>274</v>
      </c>
      <c r="P128">
        <v>2.5204287871363674E-2</v>
      </c>
      <c r="Q128" t="s">
        <v>164</v>
      </c>
      <c r="S128" t="s">
        <v>228</v>
      </c>
      <c r="T128" t="s">
        <v>274</v>
      </c>
      <c r="U128">
        <v>2.3469706668726577E-2</v>
      </c>
      <c r="V128" t="s">
        <v>164</v>
      </c>
      <c r="AK128">
        <v>2038</v>
      </c>
      <c r="AL128" t="s">
        <v>250</v>
      </c>
      <c r="AM128">
        <v>0.42149999999999999</v>
      </c>
      <c r="AN128" t="s">
        <v>245</v>
      </c>
    </row>
    <row r="129" spans="9:40" x14ac:dyDescent="0.45">
      <c r="I129" t="s">
        <v>177</v>
      </c>
      <c r="J129" t="s">
        <v>275</v>
      </c>
      <c r="K129">
        <v>0</v>
      </c>
      <c r="L129" t="s">
        <v>164</v>
      </c>
      <c r="N129" t="s">
        <v>205</v>
      </c>
      <c r="O129" t="s">
        <v>275</v>
      </c>
      <c r="P129">
        <v>4.2127602591949549E-3</v>
      </c>
      <c r="Q129" t="s">
        <v>164</v>
      </c>
      <c r="S129" t="s">
        <v>228</v>
      </c>
      <c r="T129" t="s">
        <v>275</v>
      </c>
      <c r="U129">
        <v>4.0512540520654646E-3</v>
      </c>
      <c r="V129" t="s">
        <v>164</v>
      </c>
      <c r="AK129">
        <v>2038</v>
      </c>
      <c r="AL129" t="s">
        <v>252</v>
      </c>
      <c r="AM129">
        <v>0.48785000000000001</v>
      </c>
      <c r="AN129" t="s">
        <v>245</v>
      </c>
    </row>
    <row r="130" spans="9:40" x14ac:dyDescent="0.45">
      <c r="I130" t="s">
        <v>177</v>
      </c>
      <c r="J130" t="s">
        <v>276</v>
      </c>
      <c r="K130">
        <v>0</v>
      </c>
      <c r="L130" t="s">
        <v>164</v>
      </c>
      <c r="N130" t="s">
        <v>205</v>
      </c>
      <c r="O130" t="s">
        <v>276</v>
      </c>
      <c r="P130">
        <v>1.8845452456669753E-2</v>
      </c>
      <c r="Q130" t="s">
        <v>164</v>
      </c>
      <c r="S130" t="s">
        <v>228</v>
      </c>
      <c r="T130" t="s">
        <v>276</v>
      </c>
      <c r="U130">
        <v>1.8743177118527098E-2</v>
      </c>
      <c r="V130" t="s">
        <v>164</v>
      </c>
      <c r="AK130">
        <v>2039</v>
      </c>
      <c r="AL130" t="s">
        <v>152</v>
      </c>
      <c r="AM130">
        <v>0.46189999999999998</v>
      </c>
      <c r="AN130" t="s">
        <v>245</v>
      </c>
    </row>
    <row r="131" spans="9:40" x14ac:dyDescent="0.45">
      <c r="I131" t="s">
        <v>177</v>
      </c>
      <c r="J131" t="s">
        <v>277</v>
      </c>
      <c r="K131">
        <v>3.0385525706670243E-2</v>
      </c>
      <c r="L131" t="s">
        <v>164</v>
      </c>
      <c r="N131" t="s">
        <v>205</v>
      </c>
      <c r="O131" t="s">
        <v>277</v>
      </c>
      <c r="P131">
        <v>1.5978773549081678E-2</v>
      </c>
      <c r="Q131" t="s">
        <v>164</v>
      </c>
      <c r="S131" t="s">
        <v>228</v>
      </c>
      <c r="T131" t="s">
        <v>277</v>
      </c>
      <c r="U131">
        <v>1.1442305683638314E-2</v>
      </c>
      <c r="V131" t="s">
        <v>164</v>
      </c>
      <c r="AK131">
        <v>2039</v>
      </c>
      <c r="AL131" t="s">
        <v>156</v>
      </c>
      <c r="AM131">
        <v>0.44090000000000001</v>
      </c>
      <c r="AN131" t="s">
        <v>245</v>
      </c>
    </row>
    <row r="132" spans="9:40" x14ac:dyDescent="0.45">
      <c r="I132" t="s">
        <v>177</v>
      </c>
      <c r="J132" t="s">
        <v>278</v>
      </c>
      <c r="K132">
        <v>1.7964540885205577E-2</v>
      </c>
      <c r="L132" t="s">
        <v>164</v>
      </c>
      <c r="N132" t="s">
        <v>205</v>
      </c>
      <c r="O132" t="s">
        <v>278</v>
      </c>
      <c r="P132">
        <v>1.6126065151576756E-3</v>
      </c>
      <c r="Q132" t="s">
        <v>164</v>
      </c>
      <c r="S132" t="s">
        <v>228</v>
      </c>
      <c r="T132" t="s">
        <v>278</v>
      </c>
      <c r="U132">
        <v>1.1215154108913689E-3</v>
      </c>
      <c r="V132" t="s">
        <v>164</v>
      </c>
      <c r="AK132">
        <v>2039</v>
      </c>
      <c r="AL132" t="s">
        <v>158</v>
      </c>
      <c r="AM132">
        <v>0.42020000000000002</v>
      </c>
      <c r="AN132" t="s">
        <v>245</v>
      </c>
    </row>
    <row r="133" spans="9:40" x14ac:dyDescent="0.45">
      <c r="I133" t="s">
        <v>177</v>
      </c>
      <c r="J133" t="s">
        <v>279</v>
      </c>
      <c r="K133">
        <v>1.895733281599514E-2</v>
      </c>
      <c r="L133" t="s">
        <v>164</v>
      </c>
      <c r="N133" t="s">
        <v>205</v>
      </c>
      <c r="O133" t="s">
        <v>279</v>
      </c>
      <c r="P133">
        <v>1.6957058858002834E-3</v>
      </c>
      <c r="Q133" t="s">
        <v>164</v>
      </c>
      <c r="S133" t="s">
        <v>228</v>
      </c>
      <c r="T133" t="s">
        <v>279</v>
      </c>
      <c r="U133">
        <v>1.3435208406416788E-3</v>
      </c>
      <c r="V133" t="s">
        <v>164</v>
      </c>
      <c r="AK133">
        <v>2039</v>
      </c>
      <c r="AL133" t="s">
        <v>160</v>
      </c>
      <c r="AM133">
        <v>0.44205999999999995</v>
      </c>
      <c r="AN133" t="s">
        <v>245</v>
      </c>
    </row>
    <row r="134" spans="9:40" x14ac:dyDescent="0.45">
      <c r="I134" t="s">
        <v>177</v>
      </c>
      <c r="J134" t="s">
        <v>280</v>
      </c>
      <c r="K134">
        <v>0.10901406915418105</v>
      </c>
      <c r="L134" t="s">
        <v>164</v>
      </c>
      <c r="N134" t="s">
        <v>205</v>
      </c>
      <c r="O134" t="s">
        <v>280</v>
      </c>
      <c r="P134">
        <v>2.577654068121344E-2</v>
      </c>
      <c r="Q134" t="s">
        <v>164</v>
      </c>
      <c r="S134" t="s">
        <v>228</v>
      </c>
      <c r="T134" t="s">
        <v>280</v>
      </c>
      <c r="U134">
        <v>2.4332834312289654E-2</v>
      </c>
      <c r="V134" t="s">
        <v>164</v>
      </c>
      <c r="AK134">
        <v>2039</v>
      </c>
      <c r="AL134" t="s">
        <v>248</v>
      </c>
      <c r="AM134">
        <v>0.41870000000000002</v>
      </c>
      <c r="AN134" t="s">
        <v>245</v>
      </c>
    </row>
    <row r="135" spans="9:40" x14ac:dyDescent="0.45">
      <c r="I135" t="s">
        <v>177</v>
      </c>
      <c r="J135" t="s">
        <v>281</v>
      </c>
      <c r="K135">
        <v>0</v>
      </c>
      <c r="L135" t="s">
        <v>164</v>
      </c>
      <c r="N135" t="s">
        <v>205</v>
      </c>
      <c r="O135" t="s">
        <v>281</v>
      </c>
      <c r="P135">
        <v>5.3260980264595494E-3</v>
      </c>
      <c r="Q135" t="s">
        <v>164</v>
      </c>
      <c r="S135" t="s">
        <v>228</v>
      </c>
      <c r="T135" t="s">
        <v>281</v>
      </c>
      <c r="U135">
        <v>4.8661273136362372E-3</v>
      </c>
      <c r="V135" t="s">
        <v>164</v>
      </c>
      <c r="AK135">
        <v>2039</v>
      </c>
      <c r="AL135" t="s">
        <v>250</v>
      </c>
      <c r="AM135">
        <v>0.42780000000000001</v>
      </c>
      <c r="AN135" t="s">
        <v>245</v>
      </c>
    </row>
    <row r="136" spans="9:40" x14ac:dyDescent="0.45">
      <c r="I136" t="s">
        <v>177</v>
      </c>
      <c r="J136" t="s">
        <v>282</v>
      </c>
      <c r="K136">
        <v>0</v>
      </c>
      <c r="L136" t="s">
        <v>164</v>
      </c>
      <c r="N136" t="s">
        <v>205</v>
      </c>
      <c r="O136" t="s">
        <v>282</v>
      </c>
      <c r="P136">
        <v>2.115508145615214E-2</v>
      </c>
      <c r="Q136" t="s">
        <v>164</v>
      </c>
      <c r="S136" t="s">
        <v>228</v>
      </c>
      <c r="T136" t="s">
        <v>282</v>
      </c>
      <c r="U136">
        <v>1.8453650821913872E-2</v>
      </c>
      <c r="V136" t="s">
        <v>164</v>
      </c>
      <c r="AK136">
        <v>2039</v>
      </c>
      <c r="AL136" t="s">
        <v>252</v>
      </c>
      <c r="AM136">
        <v>0.46460000000000001</v>
      </c>
      <c r="AN136" t="s">
        <v>245</v>
      </c>
    </row>
    <row r="137" spans="9:40" x14ac:dyDescent="0.45">
      <c r="I137" t="s">
        <v>178</v>
      </c>
      <c r="J137" t="s">
        <v>163</v>
      </c>
      <c r="K137">
        <v>1.2181336763023954E-2</v>
      </c>
      <c r="L137" t="s">
        <v>164</v>
      </c>
      <c r="N137" t="s">
        <v>206</v>
      </c>
      <c r="O137" t="s">
        <v>163</v>
      </c>
      <c r="P137">
        <v>5.2054947499449462E-3</v>
      </c>
      <c r="Q137" t="s">
        <v>164</v>
      </c>
      <c r="S137" t="s">
        <v>229</v>
      </c>
      <c r="T137" t="s">
        <v>163</v>
      </c>
      <c r="U137">
        <v>1.531975043122075E-2</v>
      </c>
      <c r="V137" t="s">
        <v>164</v>
      </c>
      <c r="AK137">
        <v>2040</v>
      </c>
      <c r="AL137" t="s">
        <v>152</v>
      </c>
      <c r="AM137">
        <v>0.48</v>
      </c>
      <c r="AN137" t="s">
        <v>245</v>
      </c>
    </row>
    <row r="138" spans="9:40" x14ac:dyDescent="0.45">
      <c r="I138" t="s">
        <v>178</v>
      </c>
      <c r="J138" t="s">
        <v>165</v>
      </c>
      <c r="K138">
        <v>8.7347285522445771E-3</v>
      </c>
      <c r="L138" t="s">
        <v>164</v>
      </c>
      <c r="N138" t="s">
        <v>206</v>
      </c>
      <c r="O138" t="s">
        <v>165</v>
      </c>
      <c r="P138">
        <v>4.825374521847984E-4</v>
      </c>
      <c r="Q138" t="s">
        <v>164</v>
      </c>
      <c r="S138" t="s">
        <v>229</v>
      </c>
      <c r="T138" t="s">
        <v>165</v>
      </c>
      <c r="U138">
        <v>1.2170468523369916E-3</v>
      </c>
      <c r="V138" t="s">
        <v>164</v>
      </c>
      <c r="AK138">
        <v>2040</v>
      </c>
      <c r="AL138" t="s">
        <v>156</v>
      </c>
      <c r="AM138">
        <v>0.38629999999999998</v>
      </c>
      <c r="AN138" t="s">
        <v>245</v>
      </c>
    </row>
    <row r="139" spans="9:40" x14ac:dyDescent="0.45">
      <c r="I139" t="s">
        <v>178</v>
      </c>
      <c r="J139" t="s">
        <v>166</v>
      </c>
      <c r="K139">
        <v>9.4346265958282771E-3</v>
      </c>
      <c r="L139" t="s">
        <v>164</v>
      </c>
      <c r="N139" t="s">
        <v>206</v>
      </c>
      <c r="O139" t="s">
        <v>166</v>
      </c>
      <c r="P139">
        <v>5.471025598247361E-4</v>
      </c>
      <c r="Q139" t="s">
        <v>164</v>
      </c>
      <c r="S139" t="s">
        <v>229</v>
      </c>
      <c r="T139" t="s">
        <v>166</v>
      </c>
      <c r="U139">
        <v>1.0399689318681591E-3</v>
      </c>
      <c r="V139" t="s">
        <v>164</v>
      </c>
      <c r="AK139">
        <v>2040</v>
      </c>
      <c r="AL139" t="s">
        <v>158</v>
      </c>
      <c r="AM139">
        <v>0.43730000000000002</v>
      </c>
      <c r="AN139" t="s">
        <v>245</v>
      </c>
    </row>
    <row r="140" spans="9:40" x14ac:dyDescent="0.45">
      <c r="I140" t="s">
        <v>178</v>
      </c>
      <c r="J140" t="s">
        <v>253</v>
      </c>
      <c r="K140">
        <v>6.0827454656912985E-2</v>
      </c>
      <c r="L140" t="s">
        <v>164</v>
      </c>
      <c r="N140" t="s">
        <v>206</v>
      </c>
      <c r="O140" t="s">
        <v>253</v>
      </c>
      <c r="P140">
        <v>7.1183088261924533E-3</v>
      </c>
      <c r="Q140" t="s">
        <v>164</v>
      </c>
      <c r="S140" t="s">
        <v>229</v>
      </c>
      <c r="T140" t="s">
        <v>253</v>
      </c>
      <c r="U140">
        <v>1.6697280221360054E-2</v>
      </c>
      <c r="V140" t="s">
        <v>164</v>
      </c>
      <c r="AK140">
        <v>2040</v>
      </c>
      <c r="AL140" t="s">
        <v>160</v>
      </c>
      <c r="AM140">
        <v>0.43317999999999995</v>
      </c>
      <c r="AN140" t="s">
        <v>245</v>
      </c>
    </row>
    <row r="141" spans="9:40" x14ac:dyDescent="0.45">
      <c r="I141" t="s">
        <v>178</v>
      </c>
      <c r="J141" t="s">
        <v>254</v>
      </c>
      <c r="K141">
        <v>3.8759946631941023E-3</v>
      </c>
      <c r="L141" t="s">
        <v>164</v>
      </c>
      <c r="N141" t="s">
        <v>206</v>
      </c>
      <c r="O141" t="s">
        <v>254</v>
      </c>
      <c r="P141">
        <v>3.0109119552780982E-3</v>
      </c>
      <c r="Q141" t="s">
        <v>164</v>
      </c>
      <c r="S141" t="s">
        <v>229</v>
      </c>
      <c r="T141" t="s">
        <v>254</v>
      </c>
      <c r="U141">
        <v>5.3032715788913307E-3</v>
      </c>
      <c r="V141" t="s">
        <v>164</v>
      </c>
      <c r="AK141">
        <v>2040</v>
      </c>
      <c r="AL141" t="s">
        <v>248</v>
      </c>
      <c r="AM141">
        <v>0.42899999999999999</v>
      </c>
      <c r="AN141" t="s">
        <v>245</v>
      </c>
    </row>
    <row r="142" spans="9:40" x14ac:dyDescent="0.45">
      <c r="I142" t="s">
        <v>178</v>
      </c>
      <c r="J142" t="s">
        <v>255</v>
      </c>
      <c r="K142">
        <v>0</v>
      </c>
      <c r="L142" t="s">
        <v>164</v>
      </c>
      <c r="N142" t="s">
        <v>206</v>
      </c>
      <c r="O142" t="s">
        <v>255</v>
      </c>
      <c r="P142">
        <v>1.6544657016734327E-2</v>
      </c>
      <c r="Q142" t="s">
        <v>164</v>
      </c>
      <c r="S142" t="s">
        <v>229</v>
      </c>
      <c r="T142" t="s">
        <v>255</v>
      </c>
      <c r="U142">
        <v>2.2669676296310587E-2</v>
      </c>
      <c r="V142" t="s">
        <v>164</v>
      </c>
      <c r="AK142">
        <v>2040</v>
      </c>
      <c r="AL142" t="s">
        <v>250</v>
      </c>
      <c r="AM142">
        <v>0.4541</v>
      </c>
      <c r="AN142" t="s">
        <v>245</v>
      </c>
    </row>
    <row r="143" spans="9:40" x14ac:dyDescent="0.45">
      <c r="I143" t="s">
        <v>178</v>
      </c>
      <c r="J143" t="s">
        <v>167</v>
      </c>
      <c r="K143">
        <v>1.068809494517939E-2</v>
      </c>
      <c r="L143" t="s">
        <v>164</v>
      </c>
      <c r="N143" t="s">
        <v>206</v>
      </c>
      <c r="O143" t="s">
        <v>167</v>
      </c>
      <c r="P143">
        <v>3.9053267784065105E-3</v>
      </c>
      <c r="Q143" t="s">
        <v>164</v>
      </c>
      <c r="S143" t="s">
        <v>229</v>
      </c>
      <c r="T143" t="s">
        <v>167</v>
      </c>
      <c r="U143">
        <v>1.004476070058442E-2</v>
      </c>
      <c r="V143" t="s">
        <v>164</v>
      </c>
      <c r="AK143">
        <v>2040</v>
      </c>
      <c r="AL143" t="s">
        <v>252</v>
      </c>
      <c r="AM143">
        <v>0.51679999999999993</v>
      </c>
      <c r="AN143" t="s">
        <v>245</v>
      </c>
    </row>
    <row r="144" spans="9:40" x14ac:dyDescent="0.45">
      <c r="I144" t="s">
        <v>178</v>
      </c>
      <c r="J144" t="s">
        <v>168</v>
      </c>
      <c r="K144">
        <v>7.8492065467744062E-3</v>
      </c>
      <c r="L144" t="s">
        <v>164</v>
      </c>
      <c r="N144" t="s">
        <v>206</v>
      </c>
      <c r="O144" t="s">
        <v>168</v>
      </c>
      <c r="P144">
        <v>2.1481284245680141E-4</v>
      </c>
      <c r="Q144" t="s">
        <v>164</v>
      </c>
      <c r="S144" t="s">
        <v>229</v>
      </c>
      <c r="T144" t="s">
        <v>168</v>
      </c>
      <c r="U144">
        <v>7.059428554321318E-4</v>
      </c>
      <c r="V144" t="s">
        <v>164</v>
      </c>
      <c r="AK144">
        <v>2041</v>
      </c>
      <c r="AL144" t="s">
        <v>152</v>
      </c>
      <c r="AM144">
        <v>0.437</v>
      </c>
      <c r="AN144" t="s">
        <v>245</v>
      </c>
    </row>
    <row r="145" spans="9:40" x14ac:dyDescent="0.45">
      <c r="I145" t="s">
        <v>178</v>
      </c>
      <c r="J145" t="s">
        <v>169</v>
      </c>
      <c r="K145">
        <v>8.5605888342030929E-3</v>
      </c>
      <c r="L145" t="s">
        <v>164</v>
      </c>
      <c r="N145" t="s">
        <v>206</v>
      </c>
      <c r="O145" t="s">
        <v>169</v>
      </c>
      <c r="P145">
        <v>2.3326103714329315E-4</v>
      </c>
      <c r="Q145" t="s">
        <v>164</v>
      </c>
      <c r="S145" t="s">
        <v>229</v>
      </c>
      <c r="T145" t="s">
        <v>169</v>
      </c>
      <c r="U145">
        <v>6.1567836721387447E-4</v>
      </c>
      <c r="V145" t="s">
        <v>164</v>
      </c>
      <c r="AK145">
        <v>2041</v>
      </c>
      <c r="AL145" t="s">
        <v>156</v>
      </c>
      <c r="AM145">
        <v>0.41959999999999997</v>
      </c>
      <c r="AN145" t="s">
        <v>245</v>
      </c>
    </row>
    <row r="146" spans="9:40" x14ac:dyDescent="0.45">
      <c r="I146" t="s">
        <v>178</v>
      </c>
      <c r="J146" t="s">
        <v>256</v>
      </c>
      <c r="K146">
        <v>5.5071445921718233E-2</v>
      </c>
      <c r="L146" t="s">
        <v>164</v>
      </c>
      <c r="N146" t="s">
        <v>206</v>
      </c>
      <c r="O146" t="s">
        <v>256</v>
      </c>
      <c r="P146">
        <v>7.3443072712461172E-3</v>
      </c>
      <c r="Q146" t="s">
        <v>164</v>
      </c>
      <c r="S146" t="s">
        <v>229</v>
      </c>
      <c r="T146" t="s">
        <v>256</v>
      </c>
      <c r="U146">
        <v>1.5497813208483532E-2</v>
      </c>
      <c r="V146" t="s">
        <v>164</v>
      </c>
      <c r="AK146">
        <v>2041</v>
      </c>
      <c r="AL146" t="s">
        <v>158</v>
      </c>
      <c r="AM146">
        <v>0.37469999999999998</v>
      </c>
      <c r="AN146" t="s">
        <v>245</v>
      </c>
    </row>
    <row r="147" spans="9:40" x14ac:dyDescent="0.45">
      <c r="I147" t="s">
        <v>178</v>
      </c>
      <c r="J147" t="s">
        <v>257</v>
      </c>
      <c r="K147">
        <v>3.2157479659583113E-3</v>
      </c>
      <c r="L147" t="s">
        <v>164</v>
      </c>
      <c r="N147" t="s">
        <v>206</v>
      </c>
      <c r="O147" t="s">
        <v>257</v>
      </c>
      <c r="P147">
        <v>3.6918311754868434E-3</v>
      </c>
      <c r="Q147" t="s">
        <v>164</v>
      </c>
      <c r="S147" t="s">
        <v>229</v>
      </c>
      <c r="T147" t="s">
        <v>257</v>
      </c>
      <c r="U147">
        <v>4.6296944442537156E-3</v>
      </c>
      <c r="V147" t="s">
        <v>164</v>
      </c>
      <c r="AK147">
        <v>2041</v>
      </c>
      <c r="AL147" t="s">
        <v>160</v>
      </c>
      <c r="AM147">
        <v>0.45233999999999996</v>
      </c>
      <c r="AN147" t="s">
        <v>245</v>
      </c>
    </row>
    <row r="148" spans="9:40" x14ac:dyDescent="0.45">
      <c r="I148" t="s">
        <v>178</v>
      </c>
      <c r="J148" t="s">
        <v>258</v>
      </c>
      <c r="K148">
        <v>0</v>
      </c>
      <c r="L148" t="s">
        <v>164</v>
      </c>
      <c r="N148" t="s">
        <v>206</v>
      </c>
      <c r="O148" t="s">
        <v>258</v>
      </c>
      <c r="P148">
        <v>1.7863456999725948E-2</v>
      </c>
      <c r="Q148" t="s">
        <v>164</v>
      </c>
      <c r="S148" t="s">
        <v>229</v>
      </c>
      <c r="T148" t="s">
        <v>258</v>
      </c>
      <c r="U148">
        <v>1.8675541231780449E-2</v>
      </c>
      <c r="V148" t="s">
        <v>164</v>
      </c>
      <c r="AK148">
        <v>2041</v>
      </c>
      <c r="AL148" t="s">
        <v>248</v>
      </c>
      <c r="AM148">
        <v>0.40429999999999999</v>
      </c>
      <c r="AN148" t="s">
        <v>245</v>
      </c>
    </row>
    <row r="149" spans="9:40" x14ac:dyDescent="0.45">
      <c r="I149" t="s">
        <v>178</v>
      </c>
      <c r="J149" t="s">
        <v>170</v>
      </c>
      <c r="K149">
        <v>1.0545634340362984E-2</v>
      </c>
      <c r="L149" t="s">
        <v>164</v>
      </c>
      <c r="N149" t="s">
        <v>206</v>
      </c>
      <c r="O149" t="s">
        <v>170</v>
      </c>
      <c r="P149">
        <v>7.0242665241818771E-3</v>
      </c>
      <c r="Q149" t="s">
        <v>164</v>
      </c>
      <c r="S149" t="s">
        <v>229</v>
      </c>
      <c r="T149" t="s">
        <v>170</v>
      </c>
      <c r="U149">
        <v>5.3998692451942155E-3</v>
      </c>
      <c r="V149" t="s">
        <v>164</v>
      </c>
      <c r="AK149">
        <v>2041</v>
      </c>
      <c r="AL149" t="s">
        <v>250</v>
      </c>
      <c r="AM149">
        <v>0.4461</v>
      </c>
      <c r="AN149" t="s">
        <v>245</v>
      </c>
    </row>
    <row r="150" spans="9:40" x14ac:dyDescent="0.45">
      <c r="I150" t="s">
        <v>178</v>
      </c>
      <c r="J150" t="s">
        <v>171</v>
      </c>
      <c r="K150">
        <v>7.6915802074788873E-3</v>
      </c>
      <c r="L150" t="s">
        <v>164</v>
      </c>
      <c r="N150" t="s">
        <v>206</v>
      </c>
      <c r="O150" t="s">
        <v>171</v>
      </c>
      <c r="P150">
        <v>4.7806937812282111E-4</v>
      </c>
      <c r="Q150" t="s">
        <v>164</v>
      </c>
      <c r="S150" t="s">
        <v>229</v>
      </c>
      <c r="T150" t="s">
        <v>171</v>
      </c>
      <c r="U150">
        <v>2.8926502407632294E-4</v>
      </c>
      <c r="V150" t="s">
        <v>164</v>
      </c>
      <c r="AK150">
        <v>2041</v>
      </c>
      <c r="AL150" t="s">
        <v>252</v>
      </c>
      <c r="AM150">
        <v>0.51039999999999996</v>
      </c>
      <c r="AN150" t="s">
        <v>245</v>
      </c>
    </row>
    <row r="151" spans="9:40" x14ac:dyDescent="0.45">
      <c r="I151" t="s">
        <v>178</v>
      </c>
      <c r="J151" t="s">
        <v>172</v>
      </c>
      <c r="K151">
        <v>8.5272707383650202E-3</v>
      </c>
      <c r="L151" t="s">
        <v>164</v>
      </c>
      <c r="N151" t="s">
        <v>206</v>
      </c>
      <c r="O151" t="s">
        <v>172</v>
      </c>
      <c r="P151">
        <v>4.7504126863490376E-4</v>
      </c>
      <c r="Q151" t="s">
        <v>164</v>
      </c>
      <c r="S151" t="s">
        <v>229</v>
      </c>
      <c r="T151" t="s">
        <v>172</v>
      </c>
      <c r="U151">
        <v>3.903977355197894E-4</v>
      </c>
      <c r="V151" t="s">
        <v>164</v>
      </c>
      <c r="AK151">
        <v>2042</v>
      </c>
      <c r="AL151" t="s">
        <v>152</v>
      </c>
      <c r="AM151">
        <v>0.50119999999999998</v>
      </c>
      <c r="AN151" t="s">
        <v>245</v>
      </c>
    </row>
    <row r="152" spans="9:40" x14ac:dyDescent="0.45">
      <c r="I152" t="s">
        <v>178</v>
      </c>
      <c r="J152" t="s">
        <v>259</v>
      </c>
      <c r="K152">
        <v>5.6926502773925192E-2</v>
      </c>
      <c r="L152" t="s">
        <v>164</v>
      </c>
      <c r="N152" t="s">
        <v>206</v>
      </c>
      <c r="O152" t="s">
        <v>259</v>
      </c>
      <c r="P152">
        <v>1.2140821639218912E-2</v>
      </c>
      <c r="Q152" t="s">
        <v>164</v>
      </c>
      <c r="S152" t="s">
        <v>229</v>
      </c>
      <c r="T152" t="s">
        <v>259</v>
      </c>
      <c r="U152">
        <v>1.2538484861489936E-2</v>
      </c>
      <c r="V152" t="s">
        <v>164</v>
      </c>
      <c r="AK152">
        <v>2042</v>
      </c>
      <c r="AL152" t="s">
        <v>156</v>
      </c>
      <c r="AM152">
        <v>0.4259</v>
      </c>
      <c r="AN152" t="s">
        <v>245</v>
      </c>
    </row>
    <row r="153" spans="9:40" x14ac:dyDescent="0.45">
      <c r="I153" t="s">
        <v>178</v>
      </c>
      <c r="J153" t="s">
        <v>260</v>
      </c>
      <c r="K153">
        <v>3.1192681602778497E-3</v>
      </c>
      <c r="L153" t="s">
        <v>164</v>
      </c>
      <c r="N153" t="s">
        <v>206</v>
      </c>
      <c r="O153" t="s">
        <v>260</v>
      </c>
      <c r="P153">
        <v>4.7129300471140728E-3</v>
      </c>
      <c r="Q153" t="s">
        <v>164</v>
      </c>
      <c r="S153" t="s">
        <v>229</v>
      </c>
      <c r="T153" t="s">
        <v>260</v>
      </c>
      <c r="U153">
        <v>2.7510915610762577E-3</v>
      </c>
      <c r="V153" t="s">
        <v>164</v>
      </c>
      <c r="AK153">
        <v>2042</v>
      </c>
      <c r="AL153" t="s">
        <v>158</v>
      </c>
      <c r="AM153">
        <v>0.40160000000000001</v>
      </c>
      <c r="AN153" t="s">
        <v>245</v>
      </c>
    </row>
    <row r="154" spans="9:40" x14ac:dyDescent="0.45">
      <c r="I154" t="s">
        <v>178</v>
      </c>
      <c r="J154" t="s">
        <v>261</v>
      </c>
      <c r="K154">
        <v>0</v>
      </c>
      <c r="L154" t="s">
        <v>164</v>
      </c>
      <c r="N154" t="s">
        <v>206</v>
      </c>
      <c r="O154" t="s">
        <v>261</v>
      </c>
      <c r="P154">
        <v>1.7336358243923811E-2</v>
      </c>
      <c r="Q154" t="s">
        <v>164</v>
      </c>
      <c r="S154" t="s">
        <v>229</v>
      </c>
      <c r="T154" t="s">
        <v>261</v>
      </c>
      <c r="U154">
        <v>9.9828716517685236E-3</v>
      </c>
      <c r="V154" t="s">
        <v>164</v>
      </c>
      <c r="AK154">
        <v>2042</v>
      </c>
      <c r="AL154" t="s">
        <v>160</v>
      </c>
      <c r="AM154">
        <v>0.43946000000000007</v>
      </c>
      <c r="AN154" t="s">
        <v>245</v>
      </c>
    </row>
    <row r="155" spans="9:40" x14ac:dyDescent="0.45">
      <c r="I155" t="s">
        <v>178</v>
      </c>
      <c r="J155" t="s">
        <v>173</v>
      </c>
      <c r="K155">
        <v>4.5247649878032155E-2</v>
      </c>
      <c r="L155" t="s">
        <v>164</v>
      </c>
      <c r="N155" t="s">
        <v>206</v>
      </c>
      <c r="O155" t="s">
        <v>173</v>
      </c>
      <c r="P155">
        <v>0.14300303248864166</v>
      </c>
      <c r="Q155" t="s">
        <v>164</v>
      </c>
      <c r="S155" t="s">
        <v>229</v>
      </c>
      <c r="T155" t="s">
        <v>173</v>
      </c>
      <c r="U155">
        <v>0.18594791671575014</v>
      </c>
      <c r="V155" t="s">
        <v>164</v>
      </c>
      <c r="AK155">
        <v>2042</v>
      </c>
      <c r="AL155" t="s">
        <v>248</v>
      </c>
      <c r="AM155">
        <v>0.39040000000000002</v>
      </c>
      <c r="AN155" t="s">
        <v>245</v>
      </c>
    </row>
    <row r="156" spans="9:40" x14ac:dyDescent="0.45">
      <c r="I156" t="s">
        <v>178</v>
      </c>
      <c r="J156" t="s">
        <v>174</v>
      </c>
      <c r="K156">
        <v>3.3376780104495872E-2</v>
      </c>
      <c r="L156" t="s">
        <v>164</v>
      </c>
      <c r="N156" t="s">
        <v>206</v>
      </c>
      <c r="O156" t="s">
        <v>174</v>
      </c>
      <c r="P156">
        <v>2.7443588528870178E-2</v>
      </c>
      <c r="Q156" t="s">
        <v>164</v>
      </c>
      <c r="S156" t="s">
        <v>229</v>
      </c>
      <c r="T156" t="s">
        <v>174</v>
      </c>
      <c r="U156">
        <v>2.329944454175523E-2</v>
      </c>
      <c r="V156" t="s">
        <v>164</v>
      </c>
      <c r="AK156">
        <v>2042</v>
      </c>
      <c r="AL156" t="s">
        <v>250</v>
      </c>
      <c r="AM156">
        <v>0.41439999999999999</v>
      </c>
      <c r="AN156" t="s">
        <v>245</v>
      </c>
    </row>
    <row r="157" spans="9:40" x14ac:dyDescent="0.45">
      <c r="I157" t="s">
        <v>178</v>
      </c>
      <c r="J157" t="s">
        <v>175</v>
      </c>
      <c r="K157">
        <v>3.8268160249447833E-2</v>
      </c>
      <c r="L157" t="s">
        <v>164</v>
      </c>
      <c r="N157" t="s">
        <v>206</v>
      </c>
      <c r="O157" t="s">
        <v>175</v>
      </c>
      <c r="P157">
        <v>3.1148184103357714E-2</v>
      </c>
      <c r="Q157" t="s">
        <v>164</v>
      </c>
      <c r="S157" t="s">
        <v>229</v>
      </c>
      <c r="T157" t="s">
        <v>175</v>
      </c>
      <c r="U157">
        <v>2.5430212091875595E-2</v>
      </c>
      <c r="V157" t="s">
        <v>164</v>
      </c>
      <c r="AK157">
        <v>2042</v>
      </c>
      <c r="AL157" t="s">
        <v>252</v>
      </c>
      <c r="AM157">
        <v>0.47065000000000001</v>
      </c>
      <c r="AN157" t="s">
        <v>245</v>
      </c>
    </row>
    <row r="158" spans="9:40" x14ac:dyDescent="0.45">
      <c r="I158" t="s">
        <v>178</v>
      </c>
      <c r="J158" t="s">
        <v>262</v>
      </c>
      <c r="K158">
        <v>0.25126573480591441</v>
      </c>
      <c r="L158" t="s">
        <v>164</v>
      </c>
      <c r="N158" t="s">
        <v>206</v>
      </c>
      <c r="O158" t="s">
        <v>262</v>
      </c>
      <c r="P158">
        <v>0.25031544548226747</v>
      </c>
      <c r="Q158" t="s">
        <v>164</v>
      </c>
      <c r="S158" t="s">
        <v>229</v>
      </c>
      <c r="T158" t="s">
        <v>262</v>
      </c>
      <c r="U158">
        <v>0.21456544025677673</v>
      </c>
      <c r="V158" t="s">
        <v>164</v>
      </c>
      <c r="AK158">
        <v>2043</v>
      </c>
      <c r="AL158" t="s">
        <v>152</v>
      </c>
      <c r="AM158">
        <v>0.47310000000000002</v>
      </c>
      <c r="AN158" t="s">
        <v>245</v>
      </c>
    </row>
    <row r="159" spans="9:40" x14ac:dyDescent="0.45">
      <c r="I159" t="s">
        <v>178</v>
      </c>
      <c r="J159" t="s">
        <v>263</v>
      </c>
      <c r="K159">
        <v>1.2312645457724206E-2</v>
      </c>
      <c r="L159" t="s">
        <v>164</v>
      </c>
      <c r="N159" t="s">
        <v>206</v>
      </c>
      <c r="O159" t="s">
        <v>263</v>
      </c>
      <c r="P159">
        <v>3.8318797023308634E-2</v>
      </c>
      <c r="Q159" t="s">
        <v>164</v>
      </c>
      <c r="S159" t="s">
        <v>229</v>
      </c>
      <c r="T159" t="s">
        <v>263</v>
      </c>
      <c r="U159">
        <v>3.0082491526932632E-2</v>
      </c>
      <c r="V159" t="s">
        <v>164</v>
      </c>
      <c r="AK159">
        <v>2043</v>
      </c>
      <c r="AL159" t="s">
        <v>156</v>
      </c>
      <c r="AM159">
        <v>0.45689999999999997</v>
      </c>
      <c r="AN159" t="s">
        <v>245</v>
      </c>
    </row>
    <row r="160" spans="9:40" x14ac:dyDescent="0.45">
      <c r="I160" t="s">
        <v>178</v>
      </c>
      <c r="J160" t="s">
        <v>264</v>
      </c>
      <c r="K160">
        <v>0</v>
      </c>
      <c r="L160" t="s">
        <v>164</v>
      </c>
      <c r="N160" t="s">
        <v>206</v>
      </c>
      <c r="O160" t="s">
        <v>264</v>
      </c>
      <c r="P160">
        <v>0.15584787304259651</v>
      </c>
      <c r="Q160" t="s">
        <v>164</v>
      </c>
      <c r="S160" t="s">
        <v>229</v>
      </c>
      <c r="T160" t="s">
        <v>264</v>
      </c>
      <c r="U160">
        <v>0.15130439776164836</v>
      </c>
      <c r="V160" t="s">
        <v>164</v>
      </c>
      <c r="AK160">
        <v>2043</v>
      </c>
      <c r="AL160" t="s">
        <v>158</v>
      </c>
      <c r="AM160">
        <v>0.40529999999999999</v>
      </c>
      <c r="AN160" t="s">
        <v>245</v>
      </c>
    </row>
    <row r="161" spans="9:40" x14ac:dyDescent="0.45">
      <c r="I161" t="s">
        <v>178</v>
      </c>
      <c r="J161" t="s">
        <v>265</v>
      </c>
      <c r="K161">
        <v>1.1388569185553003E-2</v>
      </c>
      <c r="L161" t="s">
        <v>164</v>
      </c>
      <c r="N161" t="s">
        <v>206</v>
      </c>
      <c r="O161" t="s">
        <v>265</v>
      </c>
      <c r="P161">
        <v>1.9569224308056833E-2</v>
      </c>
      <c r="Q161" t="s">
        <v>164</v>
      </c>
      <c r="S161" t="s">
        <v>229</v>
      </c>
      <c r="T161" t="s">
        <v>265</v>
      </c>
      <c r="U161">
        <v>2.5330268729091842E-2</v>
      </c>
      <c r="V161" t="s">
        <v>164</v>
      </c>
      <c r="AK161">
        <v>2043</v>
      </c>
      <c r="AL161" t="s">
        <v>160</v>
      </c>
      <c r="AM161">
        <v>0.44241999999999998</v>
      </c>
      <c r="AN161" t="s">
        <v>245</v>
      </c>
    </row>
    <row r="162" spans="9:40" x14ac:dyDescent="0.45">
      <c r="I162" t="s">
        <v>178</v>
      </c>
      <c r="J162" t="s">
        <v>266</v>
      </c>
      <c r="K162">
        <v>7.9113854834221321E-3</v>
      </c>
      <c r="L162" t="s">
        <v>164</v>
      </c>
      <c r="N162" t="s">
        <v>206</v>
      </c>
      <c r="O162" t="s">
        <v>266</v>
      </c>
      <c r="P162">
        <v>3.5543313761506991E-3</v>
      </c>
      <c r="Q162" t="s">
        <v>164</v>
      </c>
      <c r="S162" t="s">
        <v>229</v>
      </c>
      <c r="T162" t="s">
        <v>266</v>
      </c>
      <c r="U162">
        <v>3.305716673969711E-3</v>
      </c>
      <c r="V162" t="s">
        <v>164</v>
      </c>
      <c r="AK162">
        <v>2043</v>
      </c>
      <c r="AL162" t="s">
        <v>248</v>
      </c>
      <c r="AM162">
        <v>0.4451</v>
      </c>
      <c r="AN162" t="s">
        <v>245</v>
      </c>
    </row>
    <row r="163" spans="9:40" x14ac:dyDescent="0.45">
      <c r="I163" t="s">
        <v>178</v>
      </c>
      <c r="J163" t="s">
        <v>267</v>
      </c>
      <c r="K163">
        <v>8.7583543200645316E-3</v>
      </c>
      <c r="L163" t="s">
        <v>164</v>
      </c>
      <c r="N163" t="s">
        <v>206</v>
      </c>
      <c r="O163" t="s">
        <v>267</v>
      </c>
      <c r="P163">
        <v>3.9526279311137506E-3</v>
      </c>
      <c r="Q163" t="s">
        <v>164</v>
      </c>
      <c r="S163" t="s">
        <v>229</v>
      </c>
      <c r="T163" t="s">
        <v>267</v>
      </c>
      <c r="U163">
        <v>3.5366197858505326E-3</v>
      </c>
      <c r="V163" t="s">
        <v>164</v>
      </c>
      <c r="AK163">
        <v>2043</v>
      </c>
      <c r="AL163" t="s">
        <v>250</v>
      </c>
      <c r="AM163">
        <v>0.4385</v>
      </c>
      <c r="AN163" t="s">
        <v>245</v>
      </c>
    </row>
    <row r="164" spans="9:40" x14ac:dyDescent="0.45">
      <c r="I164" t="s">
        <v>178</v>
      </c>
      <c r="J164" t="s">
        <v>268</v>
      </c>
      <c r="K164">
        <v>5.6633727159614254E-2</v>
      </c>
      <c r="L164" t="s">
        <v>164</v>
      </c>
      <c r="N164" t="s">
        <v>206</v>
      </c>
      <c r="O164" t="s">
        <v>268</v>
      </c>
      <c r="P164">
        <v>4.1003094605490613E-2</v>
      </c>
      <c r="Q164" t="s">
        <v>164</v>
      </c>
      <c r="S164" t="s">
        <v>229</v>
      </c>
      <c r="T164" t="s">
        <v>268</v>
      </c>
      <c r="U164">
        <v>2.9890500763999406E-2</v>
      </c>
      <c r="V164" t="s">
        <v>164</v>
      </c>
      <c r="AK164">
        <v>2043</v>
      </c>
      <c r="AL164" t="s">
        <v>252</v>
      </c>
      <c r="AM164">
        <v>0.47675000000000001</v>
      </c>
      <c r="AN164" t="s">
        <v>245</v>
      </c>
    </row>
    <row r="165" spans="9:40" x14ac:dyDescent="0.45">
      <c r="I165" t="s">
        <v>178</v>
      </c>
      <c r="J165" t="s">
        <v>269</v>
      </c>
      <c r="K165">
        <v>1.9569960208534356E-3</v>
      </c>
      <c r="L165" t="s">
        <v>164</v>
      </c>
      <c r="N165" t="s">
        <v>206</v>
      </c>
      <c r="O165" t="s">
        <v>269</v>
      </c>
      <c r="P165">
        <v>8.1989360037356424E-3</v>
      </c>
      <c r="Q165" t="s">
        <v>164</v>
      </c>
      <c r="S165" t="s">
        <v>229</v>
      </c>
      <c r="T165" t="s">
        <v>269</v>
      </c>
      <c r="U165">
        <v>4.4212101544078052E-3</v>
      </c>
      <c r="V165" t="s">
        <v>164</v>
      </c>
      <c r="AK165">
        <v>2044</v>
      </c>
      <c r="AL165" t="s">
        <v>152</v>
      </c>
      <c r="AM165">
        <v>0.43309999999999998</v>
      </c>
      <c r="AN165" t="s">
        <v>245</v>
      </c>
    </row>
    <row r="166" spans="9:40" x14ac:dyDescent="0.45">
      <c r="I166" t="s">
        <v>178</v>
      </c>
      <c r="J166" t="s">
        <v>270</v>
      </c>
      <c r="K166">
        <v>0</v>
      </c>
      <c r="L166" t="s">
        <v>164</v>
      </c>
      <c r="N166" t="s">
        <v>206</v>
      </c>
      <c r="O166" t="s">
        <v>270</v>
      </c>
      <c r="P166">
        <v>2.8512172489414685E-2</v>
      </c>
      <c r="Q166" t="s">
        <v>164</v>
      </c>
      <c r="S166" t="s">
        <v>229</v>
      </c>
      <c r="T166" t="s">
        <v>270</v>
      </c>
      <c r="U166">
        <v>2.1674823975326461E-2</v>
      </c>
      <c r="V166" t="s">
        <v>164</v>
      </c>
      <c r="AK166">
        <v>2044</v>
      </c>
      <c r="AL166" t="s">
        <v>156</v>
      </c>
      <c r="AM166">
        <v>0.45269999999999999</v>
      </c>
      <c r="AN166" t="s">
        <v>245</v>
      </c>
    </row>
    <row r="167" spans="9:40" x14ac:dyDescent="0.45">
      <c r="I167" t="s">
        <v>178</v>
      </c>
      <c r="J167" t="s">
        <v>271</v>
      </c>
      <c r="K167">
        <v>1.5208733999045302E-2</v>
      </c>
      <c r="L167" t="s">
        <v>164</v>
      </c>
      <c r="N167" t="s">
        <v>206</v>
      </c>
      <c r="O167" t="s">
        <v>271</v>
      </c>
      <c r="P167">
        <v>1.7855742823454025E-2</v>
      </c>
      <c r="Q167" t="s">
        <v>164</v>
      </c>
      <c r="S167" t="s">
        <v>229</v>
      </c>
      <c r="T167" t="s">
        <v>271</v>
      </c>
      <c r="U167">
        <v>1.9626394401929103E-2</v>
      </c>
      <c r="V167" t="s">
        <v>164</v>
      </c>
      <c r="AK167">
        <v>2044</v>
      </c>
      <c r="AL167" t="s">
        <v>158</v>
      </c>
      <c r="AM167">
        <v>0.44690000000000002</v>
      </c>
      <c r="AN167" t="s">
        <v>245</v>
      </c>
    </row>
    <row r="168" spans="9:40" x14ac:dyDescent="0.45">
      <c r="I168" t="s">
        <v>178</v>
      </c>
      <c r="J168" t="s">
        <v>272</v>
      </c>
      <c r="K168">
        <v>8.859073260042722E-3</v>
      </c>
      <c r="L168" t="s">
        <v>164</v>
      </c>
      <c r="N168" t="s">
        <v>206</v>
      </c>
      <c r="O168" t="s">
        <v>272</v>
      </c>
      <c r="P168">
        <v>2.8622461530377896E-3</v>
      </c>
      <c r="Q168" t="s">
        <v>164</v>
      </c>
      <c r="S168" t="s">
        <v>229</v>
      </c>
      <c r="T168" t="s">
        <v>272</v>
      </c>
      <c r="U168">
        <v>2.1990844622222575E-3</v>
      </c>
      <c r="V168" t="s">
        <v>164</v>
      </c>
      <c r="AK168">
        <v>2044</v>
      </c>
      <c r="AL168" t="s">
        <v>160</v>
      </c>
      <c r="AM168">
        <v>0.44873999999999992</v>
      </c>
      <c r="AN168" t="s">
        <v>245</v>
      </c>
    </row>
    <row r="169" spans="9:40" x14ac:dyDescent="0.45">
      <c r="I169" t="s">
        <v>178</v>
      </c>
      <c r="J169" t="s">
        <v>273</v>
      </c>
      <c r="K169">
        <v>9.504852534409405E-3</v>
      </c>
      <c r="L169" t="s">
        <v>164</v>
      </c>
      <c r="N169" t="s">
        <v>206</v>
      </c>
      <c r="O169" t="s">
        <v>273</v>
      </c>
      <c r="P169">
        <v>2.9790362658864964E-3</v>
      </c>
      <c r="Q169" t="s">
        <v>164</v>
      </c>
      <c r="S169" t="s">
        <v>229</v>
      </c>
      <c r="T169" t="s">
        <v>273</v>
      </c>
      <c r="U169">
        <v>2.4618590272370822E-3</v>
      </c>
      <c r="V169" t="s">
        <v>164</v>
      </c>
      <c r="AK169">
        <v>2044</v>
      </c>
      <c r="AL169" t="s">
        <v>248</v>
      </c>
      <c r="AM169">
        <v>0.41389999999999999</v>
      </c>
      <c r="AN169" t="s">
        <v>245</v>
      </c>
    </row>
    <row r="170" spans="9:40" x14ac:dyDescent="0.45">
      <c r="I170" t="s">
        <v>178</v>
      </c>
      <c r="J170" t="s">
        <v>274</v>
      </c>
      <c r="K170">
        <v>5.8898087018765088E-2</v>
      </c>
      <c r="L170" t="s">
        <v>164</v>
      </c>
      <c r="N170" t="s">
        <v>206</v>
      </c>
      <c r="O170" t="s">
        <v>274</v>
      </c>
      <c r="P170">
        <v>3.5909194533621229E-2</v>
      </c>
      <c r="Q170" t="s">
        <v>164</v>
      </c>
      <c r="S170" t="s">
        <v>229</v>
      </c>
      <c r="T170" t="s">
        <v>274</v>
      </c>
      <c r="U170">
        <v>2.8628900533642358E-2</v>
      </c>
      <c r="V170" t="s">
        <v>164</v>
      </c>
      <c r="AK170">
        <v>2044</v>
      </c>
      <c r="AL170" t="s">
        <v>250</v>
      </c>
      <c r="AM170">
        <v>0.4773</v>
      </c>
      <c r="AN170" t="s">
        <v>245</v>
      </c>
    </row>
    <row r="171" spans="9:40" x14ac:dyDescent="0.45">
      <c r="I171" t="s">
        <v>178</v>
      </c>
      <c r="J171" t="s">
        <v>275</v>
      </c>
      <c r="K171">
        <v>0</v>
      </c>
      <c r="L171" t="s">
        <v>164</v>
      </c>
      <c r="N171" t="s">
        <v>206</v>
      </c>
      <c r="O171" t="s">
        <v>275</v>
      </c>
      <c r="P171">
        <v>8.3462479917055955E-3</v>
      </c>
      <c r="Q171" t="s">
        <v>164</v>
      </c>
      <c r="S171" t="s">
        <v>229</v>
      </c>
      <c r="T171" t="s">
        <v>275</v>
      </c>
      <c r="U171">
        <v>4.574867816503795E-3</v>
      </c>
      <c r="V171" t="s">
        <v>164</v>
      </c>
      <c r="AK171">
        <v>2044</v>
      </c>
      <c r="AL171" t="s">
        <v>252</v>
      </c>
      <c r="AM171">
        <v>0.48845</v>
      </c>
      <c r="AN171" t="s">
        <v>245</v>
      </c>
    </row>
    <row r="172" spans="9:40" x14ac:dyDescent="0.45">
      <c r="I172" t="s">
        <v>178</v>
      </c>
      <c r="J172" t="s">
        <v>276</v>
      </c>
      <c r="K172">
        <v>0</v>
      </c>
      <c r="L172" t="s">
        <v>164</v>
      </c>
      <c r="N172" t="s">
        <v>206</v>
      </c>
      <c r="O172" t="s">
        <v>276</v>
      </c>
      <c r="P172">
        <v>2.6018159724132843E-2</v>
      </c>
      <c r="Q172" t="s">
        <v>164</v>
      </c>
      <c r="S172" t="s">
        <v>229</v>
      </c>
      <c r="T172" t="s">
        <v>276</v>
      </c>
      <c r="U172">
        <v>1.988513099871931E-2</v>
      </c>
      <c r="V172" t="s">
        <v>164</v>
      </c>
      <c r="AK172">
        <v>2045</v>
      </c>
      <c r="AL172" t="s">
        <v>152</v>
      </c>
      <c r="AM172">
        <v>0.44309999999999999</v>
      </c>
      <c r="AN172" t="s">
        <v>245</v>
      </c>
    </row>
    <row r="173" spans="9:40" x14ac:dyDescent="0.45">
      <c r="I173" t="s">
        <v>178</v>
      </c>
      <c r="J173" t="s">
        <v>277</v>
      </c>
      <c r="K173">
        <v>2.6314608251522775E-2</v>
      </c>
      <c r="L173" t="s">
        <v>164</v>
      </c>
      <c r="N173" t="s">
        <v>206</v>
      </c>
      <c r="O173" t="s">
        <v>277</v>
      </c>
      <c r="P173">
        <v>6.1752372081833188E-3</v>
      </c>
      <c r="Q173" t="s">
        <v>164</v>
      </c>
      <c r="S173" t="s">
        <v>229</v>
      </c>
      <c r="T173" t="s">
        <v>277</v>
      </c>
      <c r="U173">
        <v>1.1481243542716743E-2</v>
      </c>
      <c r="V173" t="s">
        <v>164</v>
      </c>
      <c r="AK173">
        <v>2045</v>
      </c>
      <c r="AL173" t="s">
        <v>156</v>
      </c>
      <c r="AM173">
        <v>0.40029999999999999</v>
      </c>
      <c r="AN173" t="s">
        <v>245</v>
      </c>
    </row>
    <row r="174" spans="9:40" x14ac:dyDescent="0.45">
      <c r="I174" t="s">
        <v>178</v>
      </c>
      <c r="J174" t="s">
        <v>278</v>
      </c>
      <c r="K174">
        <v>1.7125262582387203E-2</v>
      </c>
      <c r="L174" t="s">
        <v>164</v>
      </c>
      <c r="N174" t="s">
        <v>206</v>
      </c>
      <c r="O174" t="s">
        <v>278</v>
      </c>
      <c r="P174">
        <v>5.5696789151968469E-4</v>
      </c>
      <c r="Q174" t="s">
        <v>164</v>
      </c>
      <c r="S174" t="s">
        <v>229</v>
      </c>
      <c r="T174" t="s">
        <v>278</v>
      </c>
      <c r="U174">
        <v>9.743292343198333E-4</v>
      </c>
      <c r="V174" t="s">
        <v>164</v>
      </c>
      <c r="AK174">
        <v>2045</v>
      </c>
      <c r="AL174" t="s">
        <v>158</v>
      </c>
      <c r="AM174">
        <v>0.4466</v>
      </c>
      <c r="AN174" t="s">
        <v>245</v>
      </c>
    </row>
    <row r="175" spans="9:40" x14ac:dyDescent="0.45">
      <c r="I175" t="s">
        <v>178</v>
      </c>
      <c r="J175" t="s">
        <v>279</v>
      </c>
      <c r="K175">
        <v>1.8111311434174094E-2</v>
      </c>
      <c r="L175" t="s">
        <v>164</v>
      </c>
      <c r="N175" t="s">
        <v>206</v>
      </c>
      <c r="O175" t="s">
        <v>279</v>
      </c>
      <c r="P175">
        <v>6.0814963796351242E-4</v>
      </c>
      <c r="Q175" t="s">
        <v>164</v>
      </c>
      <c r="S175" t="s">
        <v>229</v>
      </c>
      <c r="T175" t="s">
        <v>279</v>
      </c>
      <c r="U175">
        <v>9.6980397318535943E-4</v>
      </c>
      <c r="V175" t="s">
        <v>164</v>
      </c>
      <c r="AK175">
        <v>2045</v>
      </c>
      <c r="AL175" t="s">
        <v>160</v>
      </c>
      <c r="AM175">
        <v>0.41842000000000007</v>
      </c>
      <c r="AN175" t="s">
        <v>245</v>
      </c>
    </row>
    <row r="176" spans="9:40" x14ac:dyDescent="0.45">
      <c r="I176" t="s">
        <v>178</v>
      </c>
      <c r="J176" t="s">
        <v>280</v>
      </c>
      <c r="K176">
        <v>0.11091296932453613</v>
      </c>
      <c r="L176" t="s">
        <v>164</v>
      </c>
      <c r="N176" t="s">
        <v>206</v>
      </c>
      <c r="O176" t="s">
        <v>280</v>
      </c>
      <c r="P176">
        <v>1.5653024323245352E-2</v>
      </c>
      <c r="Q176" t="s">
        <v>164</v>
      </c>
      <c r="S176" t="s">
        <v>229</v>
      </c>
      <c r="T176" t="s">
        <v>280</v>
      </c>
      <c r="U176">
        <v>2.0450880635342766E-2</v>
      </c>
      <c r="V176" t="s">
        <v>164</v>
      </c>
      <c r="AK176">
        <v>2045</v>
      </c>
      <c r="AL176" t="s">
        <v>248</v>
      </c>
      <c r="AM176">
        <v>0.44629999999999997</v>
      </c>
      <c r="AN176" t="s">
        <v>245</v>
      </c>
    </row>
    <row r="177" spans="9:40" x14ac:dyDescent="0.45">
      <c r="I177" t="s">
        <v>178</v>
      </c>
      <c r="J177" t="s">
        <v>281</v>
      </c>
      <c r="K177">
        <v>6.9561726454816294E-4</v>
      </c>
      <c r="L177" t="s">
        <v>164</v>
      </c>
      <c r="N177" t="s">
        <v>206</v>
      </c>
      <c r="O177" t="s">
        <v>281</v>
      </c>
      <c r="P177">
        <v>5.2808339859804028E-3</v>
      </c>
      <c r="Q177" t="s">
        <v>164</v>
      </c>
      <c r="S177" t="s">
        <v>229</v>
      </c>
      <c r="T177" t="s">
        <v>281</v>
      </c>
      <c r="U177">
        <v>5.2540694968559801E-3</v>
      </c>
      <c r="V177" t="s">
        <v>164</v>
      </c>
      <c r="AK177">
        <v>2045</v>
      </c>
      <c r="AL177" t="s">
        <v>250</v>
      </c>
      <c r="AM177">
        <v>0.46600000000000003</v>
      </c>
      <c r="AN177" t="s">
        <v>245</v>
      </c>
    </row>
    <row r="178" spans="9:40" x14ac:dyDescent="0.45">
      <c r="I178" t="s">
        <v>178</v>
      </c>
      <c r="J178" t="s">
        <v>282</v>
      </c>
      <c r="K178">
        <v>0</v>
      </c>
      <c r="L178" t="s">
        <v>164</v>
      </c>
      <c r="N178" t="s">
        <v>206</v>
      </c>
      <c r="O178" t="s">
        <v>282</v>
      </c>
      <c r="P178">
        <v>1.8558356312443895E-2</v>
      </c>
      <c r="Q178" t="s">
        <v>164</v>
      </c>
      <c r="S178" t="s">
        <v>229</v>
      </c>
      <c r="T178" t="s">
        <v>282</v>
      </c>
      <c r="U178">
        <v>2.0935987701076048E-2</v>
      </c>
      <c r="V178" t="s">
        <v>164</v>
      </c>
      <c r="AK178">
        <v>2045</v>
      </c>
      <c r="AL178" t="s">
        <v>252</v>
      </c>
      <c r="AM178">
        <v>0.45855000000000001</v>
      </c>
      <c r="AN178" t="s">
        <v>245</v>
      </c>
    </row>
    <row r="179" spans="9:40" x14ac:dyDescent="0.45">
      <c r="I179" t="s">
        <v>179</v>
      </c>
      <c r="J179" t="s">
        <v>163</v>
      </c>
      <c r="K179">
        <v>1.4488770051297993E-2</v>
      </c>
      <c r="L179" t="s">
        <v>164</v>
      </c>
      <c r="N179" t="s">
        <v>207</v>
      </c>
      <c r="O179" t="s">
        <v>163</v>
      </c>
      <c r="P179">
        <v>1.8838809973884905E-2</v>
      </c>
      <c r="Q179" t="s">
        <v>164</v>
      </c>
      <c r="S179" t="s">
        <v>230</v>
      </c>
      <c r="T179" t="s">
        <v>163</v>
      </c>
      <c r="U179">
        <v>2.3588644431723958E-2</v>
      </c>
      <c r="V179" t="s">
        <v>164</v>
      </c>
      <c r="AK179">
        <v>2046</v>
      </c>
      <c r="AL179" t="s">
        <v>152</v>
      </c>
      <c r="AM179">
        <v>0.37059999999999998</v>
      </c>
      <c r="AN179" t="s">
        <v>245</v>
      </c>
    </row>
    <row r="180" spans="9:40" x14ac:dyDescent="0.45">
      <c r="I180" t="s">
        <v>179</v>
      </c>
      <c r="J180" t="s">
        <v>165</v>
      </c>
      <c r="K180">
        <v>9.3952623133383446E-3</v>
      </c>
      <c r="L180" t="s">
        <v>164</v>
      </c>
      <c r="N180" t="s">
        <v>207</v>
      </c>
      <c r="O180" t="s">
        <v>165</v>
      </c>
      <c r="P180">
        <v>1.7350409361255432E-3</v>
      </c>
      <c r="Q180" t="s">
        <v>164</v>
      </c>
      <c r="S180" t="s">
        <v>230</v>
      </c>
      <c r="T180" t="s">
        <v>165</v>
      </c>
      <c r="U180">
        <v>2.0409413045877605E-3</v>
      </c>
      <c r="V180" t="s">
        <v>164</v>
      </c>
      <c r="AK180">
        <v>2046</v>
      </c>
      <c r="AL180" t="s">
        <v>156</v>
      </c>
      <c r="AM180">
        <v>0.32040000000000002</v>
      </c>
      <c r="AN180" t="s">
        <v>245</v>
      </c>
    </row>
    <row r="181" spans="9:40" x14ac:dyDescent="0.45">
      <c r="I181" t="s">
        <v>179</v>
      </c>
      <c r="J181" t="s">
        <v>166</v>
      </c>
      <c r="K181">
        <v>1.0080622701870047E-2</v>
      </c>
      <c r="L181" t="s">
        <v>164</v>
      </c>
      <c r="N181" t="s">
        <v>207</v>
      </c>
      <c r="O181" t="s">
        <v>166</v>
      </c>
      <c r="P181">
        <v>1.3809496596410731E-3</v>
      </c>
      <c r="Q181" t="s">
        <v>164</v>
      </c>
      <c r="S181" t="s">
        <v>230</v>
      </c>
      <c r="T181" t="s">
        <v>166</v>
      </c>
      <c r="U181">
        <v>1.6795530514148442E-3</v>
      </c>
      <c r="V181" t="s">
        <v>164</v>
      </c>
      <c r="AK181">
        <v>2046</v>
      </c>
      <c r="AL181" t="s">
        <v>158</v>
      </c>
      <c r="AM181">
        <v>0.36549999999999999</v>
      </c>
      <c r="AN181" t="s">
        <v>245</v>
      </c>
    </row>
    <row r="182" spans="9:40" x14ac:dyDescent="0.45">
      <c r="I182" t="s">
        <v>179</v>
      </c>
      <c r="J182" t="s">
        <v>253</v>
      </c>
      <c r="K182">
        <v>6.1509784366737055E-2</v>
      </c>
      <c r="L182" t="s">
        <v>164</v>
      </c>
      <c r="N182" t="s">
        <v>207</v>
      </c>
      <c r="O182" t="s">
        <v>253</v>
      </c>
      <c r="P182">
        <v>1.0430538994318582E-2</v>
      </c>
      <c r="Q182" t="s">
        <v>164</v>
      </c>
      <c r="S182" t="s">
        <v>230</v>
      </c>
      <c r="T182" t="s">
        <v>253</v>
      </c>
      <c r="U182">
        <v>2.3986286601523608E-2</v>
      </c>
      <c r="V182" t="s">
        <v>164</v>
      </c>
      <c r="AK182">
        <v>2046</v>
      </c>
      <c r="AL182" t="s">
        <v>160</v>
      </c>
      <c r="AM182">
        <v>0.38903999999999994</v>
      </c>
      <c r="AN182" t="s">
        <v>245</v>
      </c>
    </row>
    <row r="183" spans="9:40" x14ac:dyDescent="0.45">
      <c r="I183" t="s">
        <v>179</v>
      </c>
      <c r="J183" t="s">
        <v>254</v>
      </c>
      <c r="K183">
        <v>3.7370381214102823E-3</v>
      </c>
      <c r="L183" t="s">
        <v>164</v>
      </c>
      <c r="N183" t="s">
        <v>207</v>
      </c>
      <c r="O183" t="s">
        <v>254</v>
      </c>
      <c r="P183">
        <v>5.0606299044759885E-3</v>
      </c>
      <c r="Q183" t="s">
        <v>164</v>
      </c>
      <c r="S183" t="s">
        <v>230</v>
      </c>
      <c r="T183" t="s">
        <v>254</v>
      </c>
      <c r="U183">
        <v>6.2374983806388791E-3</v>
      </c>
      <c r="V183" t="s">
        <v>164</v>
      </c>
      <c r="AK183">
        <v>2046</v>
      </c>
      <c r="AL183" t="s">
        <v>248</v>
      </c>
      <c r="AM183">
        <v>0.38169999999999998</v>
      </c>
      <c r="AN183" t="s">
        <v>245</v>
      </c>
    </row>
    <row r="184" spans="9:40" x14ac:dyDescent="0.45">
      <c r="I184" t="s">
        <v>179</v>
      </c>
      <c r="J184" t="s">
        <v>255</v>
      </c>
      <c r="K184">
        <v>0</v>
      </c>
      <c r="L184" t="s">
        <v>164</v>
      </c>
      <c r="N184" t="s">
        <v>207</v>
      </c>
      <c r="O184" t="s">
        <v>255</v>
      </c>
      <c r="P184">
        <v>2.5836474690710893E-2</v>
      </c>
      <c r="Q184" t="s">
        <v>164</v>
      </c>
      <c r="S184" t="s">
        <v>230</v>
      </c>
      <c r="T184" t="s">
        <v>255</v>
      </c>
      <c r="U184">
        <v>2.6261022596790584E-2</v>
      </c>
      <c r="V184" t="s">
        <v>164</v>
      </c>
      <c r="AK184">
        <v>2046</v>
      </c>
      <c r="AL184" t="s">
        <v>250</v>
      </c>
      <c r="AM184">
        <v>0.38700000000000001</v>
      </c>
      <c r="AN184" t="s">
        <v>245</v>
      </c>
    </row>
    <row r="185" spans="9:40" x14ac:dyDescent="0.45">
      <c r="I185" t="s">
        <v>179</v>
      </c>
      <c r="J185" t="s">
        <v>167</v>
      </c>
      <c r="K185">
        <v>1.3058960046527792E-2</v>
      </c>
      <c r="L185" t="s">
        <v>164</v>
      </c>
      <c r="N185" t="s">
        <v>207</v>
      </c>
      <c r="O185" t="s">
        <v>167</v>
      </c>
      <c r="P185">
        <v>1.5419596495666333E-2</v>
      </c>
      <c r="Q185" t="s">
        <v>164</v>
      </c>
      <c r="S185" t="s">
        <v>230</v>
      </c>
      <c r="T185" t="s">
        <v>167</v>
      </c>
      <c r="U185">
        <v>1.7416702513601993E-2</v>
      </c>
      <c r="V185" t="s">
        <v>164</v>
      </c>
      <c r="AK185">
        <v>2046</v>
      </c>
      <c r="AL185" t="s">
        <v>252</v>
      </c>
      <c r="AM185">
        <v>0.41439999999999999</v>
      </c>
      <c r="AN185" t="s">
        <v>245</v>
      </c>
    </row>
    <row r="186" spans="9:40" x14ac:dyDescent="0.45">
      <c r="I186" t="s">
        <v>179</v>
      </c>
      <c r="J186" t="s">
        <v>168</v>
      </c>
      <c r="K186">
        <v>8.9428693721833735E-3</v>
      </c>
      <c r="L186" t="s">
        <v>164</v>
      </c>
      <c r="N186" t="s">
        <v>207</v>
      </c>
      <c r="O186" t="s">
        <v>168</v>
      </c>
      <c r="P186">
        <v>1.2451007266838859E-3</v>
      </c>
      <c r="Q186" t="s">
        <v>164</v>
      </c>
      <c r="S186" t="s">
        <v>230</v>
      </c>
      <c r="T186" t="s">
        <v>168</v>
      </c>
      <c r="U186">
        <v>1.3482009590567881E-3</v>
      </c>
      <c r="V186" t="s">
        <v>164</v>
      </c>
      <c r="AK186">
        <v>2047</v>
      </c>
      <c r="AL186" t="s">
        <v>152</v>
      </c>
      <c r="AM186">
        <v>0.41520000000000001</v>
      </c>
      <c r="AN186" t="s">
        <v>245</v>
      </c>
    </row>
    <row r="187" spans="9:40" x14ac:dyDescent="0.45">
      <c r="I187" t="s">
        <v>179</v>
      </c>
      <c r="J187" t="s">
        <v>169</v>
      </c>
      <c r="K187">
        <v>9.5688000015482968E-3</v>
      </c>
      <c r="L187" t="s">
        <v>164</v>
      </c>
      <c r="N187" t="s">
        <v>207</v>
      </c>
      <c r="O187" t="s">
        <v>169</v>
      </c>
      <c r="P187">
        <v>9.5459134713320203E-4</v>
      </c>
      <c r="Q187" t="s">
        <v>164</v>
      </c>
      <c r="S187" t="s">
        <v>230</v>
      </c>
      <c r="T187" t="s">
        <v>169</v>
      </c>
      <c r="U187">
        <v>1.1905501558945734E-3</v>
      </c>
      <c r="V187" t="s">
        <v>164</v>
      </c>
      <c r="AK187">
        <v>2047</v>
      </c>
      <c r="AL187" t="s">
        <v>156</v>
      </c>
      <c r="AM187">
        <v>0.32069999999999999</v>
      </c>
      <c r="AN187" t="s">
        <v>245</v>
      </c>
    </row>
    <row r="188" spans="9:40" x14ac:dyDescent="0.45">
      <c r="I188" t="s">
        <v>179</v>
      </c>
      <c r="J188" t="s">
        <v>256</v>
      </c>
      <c r="K188">
        <v>5.7030672288516465E-2</v>
      </c>
      <c r="L188" t="s">
        <v>164</v>
      </c>
      <c r="N188" t="s">
        <v>207</v>
      </c>
      <c r="O188" t="s">
        <v>256</v>
      </c>
      <c r="P188">
        <v>8.7872549603292428E-3</v>
      </c>
      <c r="Q188" t="s">
        <v>164</v>
      </c>
      <c r="S188" t="s">
        <v>230</v>
      </c>
      <c r="T188" t="s">
        <v>256</v>
      </c>
      <c r="U188">
        <v>2.183265943506656E-2</v>
      </c>
      <c r="V188" t="s">
        <v>164</v>
      </c>
      <c r="AK188">
        <v>2047</v>
      </c>
      <c r="AL188" t="s">
        <v>158</v>
      </c>
      <c r="AM188">
        <v>0.31459999999999999</v>
      </c>
      <c r="AN188" t="s">
        <v>245</v>
      </c>
    </row>
    <row r="189" spans="9:40" x14ac:dyDescent="0.45">
      <c r="I189" t="s">
        <v>179</v>
      </c>
      <c r="J189" t="s">
        <v>257</v>
      </c>
      <c r="K189">
        <v>3.8879434250550927E-3</v>
      </c>
      <c r="L189" t="s">
        <v>164</v>
      </c>
      <c r="N189" t="s">
        <v>207</v>
      </c>
      <c r="O189" t="s">
        <v>257</v>
      </c>
      <c r="P189">
        <v>5.0331001633199717E-3</v>
      </c>
      <c r="Q189" t="s">
        <v>164</v>
      </c>
      <c r="S189" t="s">
        <v>230</v>
      </c>
      <c r="T189" t="s">
        <v>257</v>
      </c>
      <c r="U189">
        <v>5.0320609226641409E-3</v>
      </c>
      <c r="V189" t="s">
        <v>164</v>
      </c>
      <c r="AK189">
        <v>2047</v>
      </c>
      <c r="AL189" t="s">
        <v>160</v>
      </c>
      <c r="AM189">
        <v>0.39017999999999997</v>
      </c>
      <c r="AN189" t="s">
        <v>245</v>
      </c>
    </row>
    <row r="190" spans="9:40" x14ac:dyDescent="0.45">
      <c r="I190" t="s">
        <v>179</v>
      </c>
      <c r="J190" t="s">
        <v>258</v>
      </c>
      <c r="K190">
        <v>0</v>
      </c>
      <c r="L190" t="s">
        <v>164</v>
      </c>
      <c r="N190" t="s">
        <v>207</v>
      </c>
      <c r="O190" t="s">
        <v>258</v>
      </c>
      <c r="P190">
        <v>2.432669522535183E-2</v>
      </c>
      <c r="Q190" t="s">
        <v>164</v>
      </c>
      <c r="S190" t="s">
        <v>230</v>
      </c>
      <c r="T190" t="s">
        <v>258</v>
      </c>
      <c r="U190">
        <v>2.1582265785716152E-2</v>
      </c>
      <c r="V190" t="s">
        <v>164</v>
      </c>
      <c r="AK190">
        <v>2047</v>
      </c>
      <c r="AL190" t="s">
        <v>248</v>
      </c>
      <c r="AM190">
        <v>0.35949999999999999</v>
      </c>
      <c r="AN190" t="s">
        <v>245</v>
      </c>
    </row>
    <row r="191" spans="9:40" x14ac:dyDescent="0.45">
      <c r="I191" t="s">
        <v>179</v>
      </c>
      <c r="J191" t="s">
        <v>170</v>
      </c>
      <c r="K191">
        <v>1.1802875565292126E-2</v>
      </c>
      <c r="L191" t="s">
        <v>164</v>
      </c>
      <c r="N191" t="s">
        <v>207</v>
      </c>
      <c r="O191" t="s">
        <v>170</v>
      </c>
      <c r="P191">
        <v>7.7016136682198158E-3</v>
      </c>
      <c r="Q191" t="s">
        <v>164</v>
      </c>
      <c r="S191" t="s">
        <v>230</v>
      </c>
      <c r="T191" t="s">
        <v>170</v>
      </c>
      <c r="U191">
        <v>5.7697471039420542E-3</v>
      </c>
      <c r="V191" t="s">
        <v>164</v>
      </c>
      <c r="AK191">
        <v>2047</v>
      </c>
      <c r="AL191" t="s">
        <v>250</v>
      </c>
      <c r="AM191">
        <v>0.39700000000000002</v>
      </c>
      <c r="AN191" t="s">
        <v>245</v>
      </c>
    </row>
    <row r="192" spans="9:40" x14ac:dyDescent="0.45">
      <c r="I192" t="s">
        <v>179</v>
      </c>
      <c r="J192" t="s">
        <v>171</v>
      </c>
      <c r="K192">
        <v>8.2477263365846685E-3</v>
      </c>
      <c r="L192" t="s">
        <v>164</v>
      </c>
      <c r="N192" t="s">
        <v>207</v>
      </c>
      <c r="O192" t="s">
        <v>171</v>
      </c>
      <c r="P192">
        <v>3.625464483211062E-4</v>
      </c>
      <c r="Q192" t="s">
        <v>164</v>
      </c>
      <c r="S192" t="s">
        <v>230</v>
      </c>
      <c r="T192" t="s">
        <v>171</v>
      </c>
      <c r="U192">
        <v>3.6535908990195659E-4</v>
      </c>
      <c r="V192" t="s">
        <v>164</v>
      </c>
      <c r="AK192">
        <v>2047</v>
      </c>
      <c r="AL192" t="s">
        <v>252</v>
      </c>
      <c r="AM192">
        <v>0.4037</v>
      </c>
      <c r="AN192" t="s">
        <v>245</v>
      </c>
    </row>
    <row r="193" spans="9:40" x14ac:dyDescent="0.45">
      <c r="I193" t="s">
        <v>179</v>
      </c>
      <c r="J193" t="s">
        <v>172</v>
      </c>
      <c r="K193">
        <v>8.7850130690116275E-3</v>
      </c>
      <c r="L193" t="s">
        <v>164</v>
      </c>
      <c r="N193" t="s">
        <v>207</v>
      </c>
      <c r="O193" t="s">
        <v>172</v>
      </c>
      <c r="P193">
        <v>3.1521917179297258E-4</v>
      </c>
      <c r="Q193" t="s">
        <v>164</v>
      </c>
      <c r="S193" t="s">
        <v>230</v>
      </c>
      <c r="T193" t="s">
        <v>172</v>
      </c>
      <c r="U193">
        <v>5.3138199308808056E-4</v>
      </c>
      <c r="V193" t="s">
        <v>164</v>
      </c>
      <c r="AK193">
        <v>2048</v>
      </c>
      <c r="AL193" t="s">
        <v>152</v>
      </c>
      <c r="AM193">
        <v>0.37809999999999999</v>
      </c>
      <c r="AN193" t="s">
        <v>245</v>
      </c>
    </row>
    <row r="194" spans="9:40" x14ac:dyDescent="0.45">
      <c r="I194" t="s">
        <v>179</v>
      </c>
      <c r="J194" t="s">
        <v>259</v>
      </c>
      <c r="K194">
        <v>5.6057098890837653E-2</v>
      </c>
      <c r="L194" t="s">
        <v>164</v>
      </c>
      <c r="N194" t="s">
        <v>207</v>
      </c>
      <c r="O194" t="s">
        <v>259</v>
      </c>
      <c r="P194">
        <v>8.9635864539796828E-3</v>
      </c>
      <c r="Q194" t="s">
        <v>164</v>
      </c>
      <c r="S194" t="s">
        <v>230</v>
      </c>
      <c r="T194" t="s">
        <v>259</v>
      </c>
      <c r="U194">
        <v>1.4561921459714135E-2</v>
      </c>
      <c r="V194" t="s">
        <v>164</v>
      </c>
      <c r="AK194">
        <v>2048</v>
      </c>
      <c r="AL194" t="s">
        <v>156</v>
      </c>
      <c r="AM194">
        <v>0.37180000000000002</v>
      </c>
      <c r="AN194" t="s">
        <v>245</v>
      </c>
    </row>
    <row r="195" spans="9:40" x14ac:dyDescent="0.45">
      <c r="I195" t="s">
        <v>179</v>
      </c>
      <c r="J195" t="s">
        <v>260</v>
      </c>
      <c r="K195">
        <v>3.6242181658356853E-3</v>
      </c>
      <c r="L195" t="s">
        <v>164</v>
      </c>
      <c r="N195" t="s">
        <v>207</v>
      </c>
      <c r="O195" t="s">
        <v>260</v>
      </c>
      <c r="P195">
        <v>4.1020639067726192E-3</v>
      </c>
      <c r="Q195" t="s">
        <v>164</v>
      </c>
      <c r="S195" t="s">
        <v>230</v>
      </c>
      <c r="T195" t="s">
        <v>260</v>
      </c>
      <c r="U195">
        <v>2.7179778057674665E-3</v>
      </c>
      <c r="V195" t="s">
        <v>164</v>
      </c>
      <c r="AK195">
        <v>2048</v>
      </c>
      <c r="AL195" t="s">
        <v>158</v>
      </c>
      <c r="AM195">
        <v>0.35670000000000002</v>
      </c>
      <c r="AN195" t="s">
        <v>245</v>
      </c>
    </row>
    <row r="196" spans="9:40" x14ac:dyDescent="0.45">
      <c r="I196" t="s">
        <v>179</v>
      </c>
      <c r="J196" t="s">
        <v>261</v>
      </c>
      <c r="K196">
        <v>0</v>
      </c>
      <c r="L196" t="s">
        <v>164</v>
      </c>
      <c r="N196" t="s">
        <v>207</v>
      </c>
      <c r="O196" t="s">
        <v>261</v>
      </c>
      <c r="P196">
        <v>1.6358468634006373E-2</v>
      </c>
      <c r="Q196" t="s">
        <v>164</v>
      </c>
      <c r="S196" t="s">
        <v>230</v>
      </c>
      <c r="T196" t="s">
        <v>261</v>
      </c>
      <c r="U196">
        <v>1.0165977756684591E-2</v>
      </c>
      <c r="V196" t="s">
        <v>164</v>
      </c>
      <c r="AK196">
        <v>2048</v>
      </c>
      <c r="AL196" t="s">
        <v>160</v>
      </c>
      <c r="AM196">
        <v>0.35652</v>
      </c>
      <c r="AN196" t="s">
        <v>245</v>
      </c>
    </row>
    <row r="197" spans="9:40" x14ac:dyDescent="0.45">
      <c r="I197" t="s">
        <v>179</v>
      </c>
      <c r="J197" t="s">
        <v>173</v>
      </c>
      <c r="K197">
        <v>5.2555257740225909E-2</v>
      </c>
      <c r="L197" t="s">
        <v>164</v>
      </c>
      <c r="N197" t="s">
        <v>207</v>
      </c>
      <c r="O197" t="s">
        <v>173</v>
      </c>
      <c r="P197">
        <v>0.14384780500284444</v>
      </c>
      <c r="Q197" t="s">
        <v>164</v>
      </c>
      <c r="S197" t="s">
        <v>230</v>
      </c>
      <c r="T197" t="s">
        <v>173</v>
      </c>
      <c r="U197">
        <v>0.17396365403649375</v>
      </c>
      <c r="V197" t="s">
        <v>164</v>
      </c>
      <c r="AK197">
        <v>2048</v>
      </c>
      <c r="AL197" t="s">
        <v>248</v>
      </c>
      <c r="AM197">
        <v>0.38059999999999999</v>
      </c>
      <c r="AN197" t="s">
        <v>245</v>
      </c>
    </row>
    <row r="198" spans="9:40" x14ac:dyDescent="0.45">
      <c r="I198" t="s">
        <v>179</v>
      </c>
      <c r="J198" t="s">
        <v>174</v>
      </c>
      <c r="K198">
        <v>3.4802211996456757E-2</v>
      </c>
      <c r="L198" t="s">
        <v>164</v>
      </c>
      <c r="N198" t="s">
        <v>207</v>
      </c>
      <c r="O198" t="s">
        <v>174</v>
      </c>
      <c r="P198">
        <v>2.6050869038113197E-2</v>
      </c>
      <c r="Q198" t="s">
        <v>164</v>
      </c>
      <c r="S198" t="s">
        <v>230</v>
      </c>
      <c r="T198" t="s">
        <v>174</v>
      </c>
      <c r="U198">
        <v>2.109554568331299E-2</v>
      </c>
      <c r="V198" t="s">
        <v>164</v>
      </c>
      <c r="AK198">
        <v>2048</v>
      </c>
      <c r="AL198" t="s">
        <v>250</v>
      </c>
      <c r="AM198">
        <v>0.33579999999999999</v>
      </c>
      <c r="AN198" t="s">
        <v>245</v>
      </c>
    </row>
    <row r="199" spans="9:40" x14ac:dyDescent="0.45">
      <c r="I199" t="s">
        <v>179</v>
      </c>
      <c r="J199" t="s">
        <v>175</v>
      </c>
      <c r="K199">
        <v>3.7998226983856027E-2</v>
      </c>
      <c r="L199" t="s">
        <v>164</v>
      </c>
      <c r="N199" t="s">
        <v>207</v>
      </c>
      <c r="O199" t="s">
        <v>175</v>
      </c>
      <c r="P199">
        <v>2.8787226744025302E-2</v>
      </c>
      <c r="Q199" t="s">
        <v>164</v>
      </c>
      <c r="S199" t="s">
        <v>230</v>
      </c>
      <c r="T199" t="s">
        <v>175</v>
      </c>
      <c r="U199">
        <v>2.3322491273739053E-2</v>
      </c>
      <c r="V199" t="s">
        <v>164</v>
      </c>
      <c r="AK199">
        <v>2048</v>
      </c>
      <c r="AL199" t="s">
        <v>252</v>
      </c>
      <c r="AM199">
        <v>0.42995</v>
      </c>
      <c r="AN199" t="s">
        <v>245</v>
      </c>
    </row>
    <row r="200" spans="9:40" x14ac:dyDescent="0.45">
      <c r="I200" t="s">
        <v>179</v>
      </c>
      <c r="J200" t="s">
        <v>262</v>
      </c>
      <c r="K200">
        <v>0.22508534404312455</v>
      </c>
      <c r="L200" t="s">
        <v>164</v>
      </c>
      <c r="N200" t="s">
        <v>207</v>
      </c>
      <c r="O200" t="s">
        <v>262</v>
      </c>
      <c r="P200">
        <v>0.23818229045832418</v>
      </c>
      <c r="Q200" t="s">
        <v>164</v>
      </c>
      <c r="S200" t="s">
        <v>230</v>
      </c>
      <c r="T200" t="s">
        <v>262</v>
      </c>
      <c r="U200">
        <v>0.19373086959234873</v>
      </c>
      <c r="V200" t="s">
        <v>164</v>
      </c>
      <c r="AK200">
        <v>2049</v>
      </c>
      <c r="AL200" t="s">
        <v>152</v>
      </c>
      <c r="AM200">
        <v>0.36820000000000003</v>
      </c>
      <c r="AN200" t="s">
        <v>245</v>
      </c>
    </row>
    <row r="201" spans="9:40" x14ac:dyDescent="0.45">
      <c r="I201" t="s">
        <v>179</v>
      </c>
      <c r="J201" t="s">
        <v>263</v>
      </c>
      <c r="K201">
        <v>8.6785347909943862E-3</v>
      </c>
      <c r="L201" t="s">
        <v>164</v>
      </c>
      <c r="N201" t="s">
        <v>207</v>
      </c>
      <c r="O201" t="s">
        <v>263</v>
      </c>
      <c r="P201">
        <v>3.1178541748633503E-2</v>
      </c>
      <c r="Q201" t="s">
        <v>164</v>
      </c>
      <c r="S201" t="s">
        <v>230</v>
      </c>
      <c r="T201" t="s">
        <v>263</v>
      </c>
      <c r="U201">
        <v>2.6447569870920229E-2</v>
      </c>
      <c r="V201" t="s">
        <v>164</v>
      </c>
      <c r="AK201">
        <v>2049</v>
      </c>
      <c r="AL201" t="s">
        <v>156</v>
      </c>
      <c r="AM201">
        <v>0.34150000000000003</v>
      </c>
      <c r="AN201" t="s">
        <v>245</v>
      </c>
    </row>
    <row r="202" spans="9:40" x14ac:dyDescent="0.45">
      <c r="I202" t="s">
        <v>179</v>
      </c>
      <c r="J202" t="s">
        <v>264</v>
      </c>
      <c r="K202">
        <v>0</v>
      </c>
      <c r="L202" t="s">
        <v>164</v>
      </c>
      <c r="N202" t="s">
        <v>207</v>
      </c>
      <c r="O202" t="s">
        <v>264</v>
      </c>
      <c r="P202">
        <v>0.12522315463518743</v>
      </c>
      <c r="Q202" t="s">
        <v>164</v>
      </c>
      <c r="S202" t="s">
        <v>230</v>
      </c>
      <c r="T202" t="s">
        <v>264</v>
      </c>
      <c r="U202">
        <v>0.13395547988625378</v>
      </c>
      <c r="V202" t="s">
        <v>164</v>
      </c>
      <c r="AK202">
        <v>2049</v>
      </c>
      <c r="AL202" t="s">
        <v>158</v>
      </c>
      <c r="AM202">
        <v>0.315</v>
      </c>
      <c r="AN202" t="s">
        <v>245</v>
      </c>
    </row>
    <row r="203" spans="9:40" x14ac:dyDescent="0.45">
      <c r="I203" t="s">
        <v>179</v>
      </c>
      <c r="J203" t="s">
        <v>265</v>
      </c>
      <c r="K203">
        <v>1.3887964036754975E-2</v>
      </c>
      <c r="L203" t="s">
        <v>164</v>
      </c>
      <c r="N203" t="s">
        <v>207</v>
      </c>
      <c r="O203" t="s">
        <v>265</v>
      </c>
      <c r="P203">
        <v>2.271063569695474E-2</v>
      </c>
      <c r="Q203" t="s">
        <v>164</v>
      </c>
      <c r="S203" t="s">
        <v>230</v>
      </c>
      <c r="T203" t="s">
        <v>265</v>
      </c>
      <c r="U203">
        <v>2.5967901288708305E-2</v>
      </c>
      <c r="V203" t="s">
        <v>164</v>
      </c>
      <c r="AK203">
        <v>2049</v>
      </c>
      <c r="AL203" t="s">
        <v>160</v>
      </c>
      <c r="AM203">
        <v>0.38038</v>
      </c>
      <c r="AN203" t="s">
        <v>245</v>
      </c>
    </row>
    <row r="204" spans="9:40" x14ac:dyDescent="0.45">
      <c r="I204" t="s">
        <v>179</v>
      </c>
      <c r="J204" t="s">
        <v>266</v>
      </c>
      <c r="K204">
        <v>8.1476629418417521E-3</v>
      </c>
      <c r="L204" t="s">
        <v>164</v>
      </c>
      <c r="N204" t="s">
        <v>207</v>
      </c>
      <c r="O204" t="s">
        <v>266</v>
      </c>
      <c r="P204">
        <v>3.8690275713668108E-3</v>
      </c>
      <c r="Q204" t="s">
        <v>164</v>
      </c>
      <c r="S204" t="s">
        <v>230</v>
      </c>
      <c r="T204" t="s">
        <v>266</v>
      </c>
      <c r="U204">
        <v>3.3219509291964426E-3</v>
      </c>
      <c r="V204" t="s">
        <v>164</v>
      </c>
      <c r="AK204">
        <v>2049</v>
      </c>
      <c r="AL204" t="s">
        <v>248</v>
      </c>
      <c r="AM204">
        <v>0.33079999999999998</v>
      </c>
      <c r="AN204" t="s">
        <v>245</v>
      </c>
    </row>
    <row r="205" spans="9:40" x14ac:dyDescent="0.45">
      <c r="I205" t="s">
        <v>179</v>
      </c>
      <c r="J205" t="s">
        <v>267</v>
      </c>
      <c r="K205">
        <v>8.8439418808260294E-3</v>
      </c>
      <c r="L205" t="s">
        <v>164</v>
      </c>
      <c r="N205" t="s">
        <v>207</v>
      </c>
      <c r="O205" t="s">
        <v>267</v>
      </c>
      <c r="P205">
        <v>4.1544524156379211E-3</v>
      </c>
      <c r="Q205" t="s">
        <v>164</v>
      </c>
      <c r="S205" t="s">
        <v>230</v>
      </c>
      <c r="T205" t="s">
        <v>267</v>
      </c>
      <c r="U205">
        <v>3.5644719422948663E-3</v>
      </c>
      <c r="V205" t="s">
        <v>164</v>
      </c>
      <c r="AK205">
        <v>2049</v>
      </c>
      <c r="AL205" t="s">
        <v>250</v>
      </c>
      <c r="AM205">
        <v>0.34420000000000001</v>
      </c>
      <c r="AN205" t="s">
        <v>245</v>
      </c>
    </row>
    <row r="206" spans="9:40" x14ac:dyDescent="0.45">
      <c r="I206" t="s">
        <v>179</v>
      </c>
      <c r="J206" t="s">
        <v>268</v>
      </c>
      <c r="K206">
        <v>5.1996301917638377E-2</v>
      </c>
      <c r="L206" t="s">
        <v>164</v>
      </c>
      <c r="N206" t="s">
        <v>207</v>
      </c>
      <c r="O206" t="s">
        <v>268</v>
      </c>
      <c r="P206">
        <v>3.9865334592618942E-2</v>
      </c>
      <c r="Q206" t="s">
        <v>164</v>
      </c>
      <c r="S206" t="s">
        <v>230</v>
      </c>
      <c r="T206" t="s">
        <v>268</v>
      </c>
      <c r="U206">
        <v>3.0311046761575328E-2</v>
      </c>
      <c r="V206" t="s">
        <v>164</v>
      </c>
      <c r="AK206">
        <v>2049</v>
      </c>
      <c r="AL206" t="s">
        <v>252</v>
      </c>
      <c r="AM206">
        <v>0.40864999999999996</v>
      </c>
      <c r="AN206" t="s">
        <v>245</v>
      </c>
    </row>
    <row r="207" spans="9:40" x14ac:dyDescent="0.45">
      <c r="I207" t="s">
        <v>179</v>
      </c>
      <c r="J207" t="s">
        <v>269</v>
      </c>
      <c r="K207">
        <v>4.9959818274465423E-4</v>
      </c>
      <c r="L207" t="s">
        <v>164</v>
      </c>
      <c r="N207" t="s">
        <v>207</v>
      </c>
      <c r="O207" t="s">
        <v>269</v>
      </c>
      <c r="P207">
        <v>7.0783284804552815E-3</v>
      </c>
      <c r="Q207" t="s">
        <v>164</v>
      </c>
      <c r="S207" t="s">
        <v>230</v>
      </c>
      <c r="T207" t="s">
        <v>269</v>
      </c>
      <c r="U207">
        <v>4.2768572210439325E-3</v>
      </c>
      <c r="V207" t="s">
        <v>164</v>
      </c>
      <c r="AK207">
        <v>2050</v>
      </c>
      <c r="AL207" t="s">
        <v>152</v>
      </c>
      <c r="AM207">
        <v>0.41649999999999998</v>
      </c>
      <c r="AN207" t="s">
        <v>245</v>
      </c>
    </row>
    <row r="208" spans="9:40" x14ac:dyDescent="0.45">
      <c r="I208" t="s">
        <v>179</v>
      </c>
      <c r="J208" t="s">
        <v>270</v>
      </c>
      <c r="K208">
        <v>0</v>
      </c>
      <c r="L208" t="s">
        <v>164</v>
      </c>
      <c r="N208" t="s">
        <v>207</v>
      </c>
      <c r="O208" t="s">
        <v>270</v>
      </c>
      <c r="P208">
        <v>2.5741848869328954E-2</v>
      </c>
      <c r="Q208" t="s">
        <v>164</v>
      </c>
      <c r="S208" t="s">
        <v>230</v>
      </c>
      <c r="T208" t="s">
        <v>270</v>
      </c>
      <c r="U208">
        <v>2.0843314776858295E-2</v>
      </c>
      <c r="V208" t="s">
        <v>164</v>
      </c>
      <c r="AK208">
        <v>2050</v>
      </c>
      <c r="AL208" t="s">
        <v>156</v>
      </c>
      <c r="AM208">
        <v>0.35830000000000001</v>
      </c>
      <c r="AN208" t="s">
        <v>245</v>
      </c>
    </row>
    <row r="209" spans="9:40" x14ac:dyDescent="0.45">
      <c r="I209" t="s">
        <v>179</v>
      </c>
      <c r="J209" t="s">
        <v>271</v>
      </c>
      <c r="K209">
        <v>2.2122264882761363E-2</v>
      </c>
      <c r="L209" t="s">
        <v>164</v>
      </c>
      <c r="N209" t="s">
        <v>207</v>
      </c>
      <c r="O209" t="s">
        <v>271</v>
      </c>
      <c r="P209">
        <v>1.8341123399694549E-2</v>
      </c>
      <c r="Q209" t="s">
        <v>164</v>
      </c>
      <c r="S209" t="s">
        <v>230</v>
      </c>
      <c r="T209" t="s">
        <v>271</v>
      </c>
      <c r="U209">
        <v>1.9643814432818874E-2</v>
      </c>
      <c r="V209" t="s">
        <v>164</v>
      </c>
      <c r="AK209">
        <v>2050</v>
      </c>
      <c r="AL209" t="s">
        <v>158</v>
      </c>
      <c r="AM209">
        <v>0.31459999999999999</v>
      </c>
      <c r="AN209" t="s">
        <v>245</v>
      </c>
    </row>
    <row r="210" spans="9:40" x14ac:dyDescent="0.45">
      <c r="I210" t="s">
        <v>179</v>
      </c>
      <c r="J210" t="s">
        <v>272</v>
      </c>
      <c r="K210">
        <v>1.0106275594349587E-2</v>
      </c>
      <c r="L210" t="s">
        <v>164</v>
      </c>
      <c r="N210" t="s">
        <v>207</v>
      </c>
      <c r="O210" t="s">
        <v>272</v>
      </c>
      <c r="P210">
        <v>2.6338855154614677E-3</v>
      </c>
      <c r="Q210" t="s">
        <v>164</v>
      </c>
      <c r="S210" t="s">
        <v>230</v>
      </c>
      <c r="T210" t="s">
        <v>272</v>
      </c>
      <c r="U210">
        <v>2.229102114330396E-3</v>
      </c>
      <c r="V210" t="s">
        <v>164</v>
      </c>
      <c r="AK210">
        <v>2050</v>
      </c>
      <c r="AL210" t="s">
        <v>160</v>
      </c>
      <c r="AM210">
        <v>0.38139999999999996</v>
      </c>
      <c r="AN210" t="s">
        <v>245</v>
      </c>
    </row>
    <row r="211" spans="9:40" x14ac:dyDescent="0.45">
      <c r="I211" t="s">
        <v>179</v>
      </c>
      <c r="J211" t="s">
        <v>273</v>
      </c>
      <c r="K211">
        <v>1.0559896581337757E-2</v>
      </c>
      <c r="L211" t="s">
        <v>164</v>
      </c>
      <c r="N211" t="s">
        <v>207</v>
      </c>
      <c r="O211" t="s">
        <v>273</v>
      </c>
      <c r="P211">
        <v>2.6325114152221706E-3</v>
      </c>
      <c r="Q211" t="s">
        <v>164</v>
      </c>
      <c r="S211" t="s">
        <v>230</v>
      </c>
      <c r="T211" t="s">
        <v>273</v>
      </c>
      <c r="U211">
        <v>2.4664123119301825E-3</v>
      </c>
      <c r="V211" t="s">
        <v>164</v>
      </c>
      <c r="AK211">
        <v>2050</v>
      </c>
      <c r="AL211" t="s">
        <v>248</v>
      </c>
      <c r="AM211">
        <v>0.36</v>
      </c>
      <c r="AN211" t="s">
        <v>245</v>
      </c>
    </row>
    <row r="212" spans="9:40" x14ac:dyDescent="0.45">
      <c r="I212" t="s">
        <v>179</v>
      </c>
      <c r="J212" t="s">
        <v>274</v>
      </c>
      <c r="K212">
        <v>6.2700065236551292E-2</v>
      </c>
      <c r="L212" t="s">
        <v>164</v>
      </c>
      <c r="N212" t="s">
        <v>207</v>
      </c>
      <c r="O212" t="s">
        <v>274</v>
      </c>
      <c r="P212">
        <v>3.0569935330882092E-2</v>
      </c>
      <c r="Q212" t="s">
        <v>164</v>
      </c>
      <c r="S212" t="s">
        <v>230</v>
      </c>
      <c r="T212" t="s">
        <v>274</v>
      </c>
      <c r="U212">
        <v>2.9248065729785087E-2</v>
      </c>
      <c r="V212" t="s">
        <v>164</v>
      </c>
      <c r="AK212">
        <v>2050</v>
      </c>
      <c r="AL212" t="s">
        <v>250</v>
      </c>
      <c r="AM212">
        <v>0.37319999999999998</v>
      </c>
      <c r="AN212" t="s">
        <v>245</v>
      </c>
    </row>
    <row r="213" spans="9:40" x14ac:dyDescent="0.45">
      <c r="I213" t="s">
        <v>179</v>
      </c>
      <c r="J213" t="s">
        <v>275</v>
      </c>
      <c r="K213">
        <v>0</v>
      </c>
      <c r="L213" t="s">
        <v>164</v>
      </c>
      <c r="N213" t="s">
        <v>207</v>
      </c>
      <c r="O213" t="s">
        <v>275</v>
      </c>
      <c r="P213">
        <v>6.7890427297067537E-3</v>
      </c>
      <c r="Q213" t="s">
        <v>164</v>
      </c>
      <c r="S213" t="s">
        <v>230</v>
      </c>
      <c r="T213" t="s">
        <v>275</v>
      </c>
      <c r="U213">
        <v>4.3854572107213741E-3</v>
      </c>
      <c r="V213" t="s">
        <v>164</v>
      </c>
      <c r="AK213">
        <v>2050</v>
      </c>
      <c r="AL213" t="s">
        <v>252</v>
      </c>
      <c r="AM213">
        <v>0.40659999999999996</v>
      </c>
      <c r="AN213" t="s">
        <v>245</v>
      </c>
    </row>
    <row r="214" spans="9:40" x14ac:dyDescent="0.45">
      <c r="I214" t="s">
        <v>179</v>
      </c>
      <c r="J214" t="s">
        <v>276</v>
      </c>
      <c r="K214">
        <v>0</v>
      </c>
      <c r="L214" t="s">
        <v>164</v>
      </c>
      <c r="N214" t="s">
        <v>207</v>
      </c>
      <c r="O214" t="s">
        <v>276</v>
      </c>
      <c r="P214">
        <v>2.1979769417193578E-2</v>
      </c>
      <c r="Q214" t="s">
        <v>164</v>
      </c>
      <c r="S214" t="s">
        <v>230</v>
      </c>
      <c r="T214" t="s">
        <v>276</v>
      </c>
      <c r="U214">
        <v>1.8853397494704133E-2</v>
      </c>
      <c r="V214" t="s">
        <v>164</v>
      </c>
    </row>
    <row r="215" spans="9:40" x14ac:dyDescent="0.45">
      <c r="I215" t="s">
        <v>179</v>
      </c>
      <c r="J215" t="s">
        <v>277</v>
      </c>
      <c r="K215">
        <v>3.14886123017903E-2</v>
      </c>
      <c r="L215" t="s">
        <v>164</v>
      </c>
      <c r="N215" t="s">
        <v>207</v>
      </c>
      <c r="O215" t="s">
        <v>277</v>
      </c>
      <c r="P215">
        <v>1.6151639116748513E-2</v>
      </c>
      <c r="Q215" t="s">
        <v>164</v>
      </c>
      <c r="S215" t="s">
        <v>230</v>
      </c>
      <c r="T215" t="s">
        <v>277</v>
      </c>
      <c r="U215">
        <v>1.7877470329250654E-2</v>
      </c>
      <c r="V215" t="s">
        <v>164</v>
      </c>
    </row>
    <row r="216" spans="9:40" x14ac:dyDescent="0.45">
      <c r="I216" t="s">
        <v>179</v>
      </c>
      <c r="J216" t="s">
        <v>278</v>
      </c>
      <c r="K216">
        <v>1.6300066195160313E-2</v>
      </c>
      <c r="L216" t="s">
        <v>164</v>
      </c>
      <c r="N216" t="s">
        <v>207</v>
      </c>
      <c r="O216" t="s">
        <v>278</v>
      </c>
      <c r="P216">
        <v>1.4089297509675158E-3</v>
      </c>
      <c r="Q216" t="s">
        <v>164</v>
      </c>
      <c r="S216" t="s">
        <v>230</v>
      </c>
      <c r="T216" t="s">
        <v>278</v>
      </c>
      <c r="U216">
        <v>1.6119136334906184E-3</v>
      </c>
      <c r="V216" t="s">
        <v>164</v>
      </c>
    </row>
    <row r="217" spans="9:40" x14ac:dyDescent="0.45">
      <c r="I217" t="s">
        <v>179</v>
      </c>
      <c r="J217" t="s">
        <v>279</v>
      </c>
      <c r="K217">
        <v>1.6969675174077579E-2</v>
      </c>
      <c r="L217" t="s">
        <v>164</v>
      </c>
      <c r="N217" t="s">
        <v>207</v>
      </c>
      <c r="O217" t="s">
        <v>279</v>
      </c>
      <c r="P217">
        <v>1.2402294636832845E-3</v>
      </c>
      <c r="Q217" t="s">
        <v>164</v>
      </c>
      <c r="S217" t="s">
        <v>230</v>
      </c>
      <c r="T217" t="s">
        <v>279</v>
      </c>
      <c r="U217">
        <v>1.5631072947524726E-3</v>
      </c>
      <c r="V217" t="s">
        <v>164</v>
      </c>
    </row>
    <row r="218" spans="9:40" x14ac:dyDescent="0.45">
      <c r="I218" t="s">
        <v>179</v>
      </c>
      <c r="J218" t="s">
        <v>280</v>
      </c>
      <c r="K218">
        <v>0.10474534496462912</v>
      </c>
      <c r="L218" t="s">
        <v>164</v>
      </c>
      <c r="N218" t="s">
        <v>207</v>
      </c>
      <c r="O218" t="s">
        <v>280</v>
      </c>
      <c r="P218">
        <v>1.4529464752462284E-2</v>
      </c>
      <c r="Q218" t="s">
        <v>164</v>
      </c>
      <c r="S218" t="s">
        <v>230</v>
      </c>
      <c r="T218" t="s">
        <v>280</v>
      </c>
      <c r="U218">
        <v>2.633561930722831E-2</v>
      </c>
      <c r="V218" t="s">
        <v>164</v>
      </c>
    </row>
    <row r="219" spans="9:40" x14ac:dyDescent="0.45">
      <c r="I219" t="s">
        <v>179</v>
      </c>
      <c r="J219" t="s">
        <v>281</v>
      </c>
      <c r="K219">
        <v>2.2950998388293065E-3</v>
      </c>
      <c r="L219" t="s">
        <v>164</v>
      </c>
      <c r="N219" t="s">
        <v>207</v>
      </c>
      <c r="O219" t="s">
        <v>281</v>
      </c>
      <c r="P219">
        <v>5.2192333427728893E-3</v>
      </c>
      <c r="Q219" t="s">
        <v>164</v>
      </c>
      <c r="S219" t="s">
        <v>230</v>
      </c>
      <c r="T219" t="s">
        <v>281</v>
      </c>
      <c r="U219">
        <v>5.3850078287008421E-3</v>
      </c>
      <c r="V219" t="s">
        <v>164</v>
      </c>
    </row>
    <row r="220" spans="9:40" x14ac:dyDescent="0.45">
      <c r="I220" t="s">
        <v>179</v>
      </c>
      <c r="J220" t="s">
        <v>282</v>
      </c>
      <c r="K220">
        <v>0</v>
      </c>
      <c r="L220" t="s">
        <v>164</v>
      </c>
      <c r="N220" t="s">
        <v>207</v>
      </c>
      <c r="O220" t="s">
        <v>282</v>
      </c>
      <c r="P220">
        <v>2.4962439150978798E-2</v>
      </c>
      <c r="Q220" t="s">
        <v>164</v>
      </c>
      <c r="S220" t="s">
        <v>230</v>
      </c>
      <c r="T220" t="s">
        <v>282</v>
      </c>
      <c r="U220">
        <v>2.329072770176464E-2</v>
      </c>
      <c r="V220" t="s">
        <v>164</v>
      </c>
    </row>
    <row r="221" spans="9:40" x14ac:dyDescent="0.45">
      <c r="I221" t="s">
        <v>180</v>
      </c>
      <c r="J221" t="s">
        <v>163</v>
      </c>
      <c r="K221">
        <v>1.537473065823561E-2</v>
      </c>
      <c r="L221" t="s">
        <v>164</v>
      </c>
      <c r="N221" t="s">
        <v>208</v>
      </c>
      <c r="O221" t="s">
        <v>163</v>
      </c>
      <c r="P221">
        <v>1.6510144910141803E-2</v>
      </c>
      <c r="Q221" t="s">
        <v>164</v>
      </c>
      <c r="S221" t="s">
        <v>231</v>
      </c>
      <c r="T221" t="s">
        <v>163</v>
      </c>
      <c r="U221">
        <v>3.8416024364670419E-2</v>
      </c>
      <c r="V221" t="s">
        <v>164</v>
      </c>
    </row>
    <row r="222" spans="9:40" x14ac:dyDescent="0.45">
      <c r="I222" t="s">
        <v>180</v>
      </c>
      <c r="J222" t="s">
        <v>165</v>
      </c>
      <c r="K222">
        <v>1.016620966766426E-2</v>
      </c>
      <c r="L222" t="s">
        <v>164</v>
      </c>
      <c r="N222" t="s">
        <v>208</v>
      </c>
      <c r="O222" t="s">
        <v>165</v>
      </c>
      <c r="P222">
        <v>1.1392646497613102E-3</v>
      </c>
      <c r="Q222" t="s">
        <v>164</v>
      </c>
      <c r="S222" t="s">
        <v>231</v>
      </c>
      <c r="T222" t="s">
        <v>165</v>
      </c>
      <c r="U222">
        <v>4.1502223692958563E-3</v>
      </c>
      <c r="V222" t="s">
        <v>164</v>
      </c>
    </row>
    <row r="223" spans="9:40" x14ac:dyDescent="0.45">
      <c r="I223" t="s">
        <v>180</v>
      </c>
      <c r="J223" t="s">
        <v>166</v>
      </c>
      <c r="K223">
        <v>1.0876946055646647E-2</v>
      </c>
      <c r="L223" t="s">
        <v>164</v>
      </c>
      <c r="N223" t="s">
        <v>208</v>
      </c>
      <c r="O223" t="s">
        <v>166</v>
      </c>
      <c r="P223">
        <v>1.0461521047755251E-3</v>
      </c>
      <c r="Q223" t="s">
        <v>164</v>
      </c>
      <c r="S223" t="s">
        <v>231</v>
      </c>
      <c r="T223" t="s">
        <v>166</v>
      </c>
      <c r="U223">
        <v>3.9812824883206522E-3</v>
      </c>
      <c r="V223" t="s">
        <v>164</v>
      </c>
    </row>
    <row r="224" spans="9:40" x14ac:dyDescent="0.45">
      <c r="I224" t="s">
        <v>180</v>
      </c>
      <c r="J224" t="s">
        <v>253</v>
      </c>
      <c r="K224">
        <v>6.7903799869829251E-2</v>
      </c>
      <c r="L224" t="s">
        <v>164</v>
      </c>
      <c r="N224" t="s">
        <v>208</v>
      </c>
      <c r="O224" t="s">
        <v>253</v>
      </c>
      <c r="P224">
        <v>4.6579765679160331E-3</v>
      </c>
      <c r="Q224" t="s">
        <v>164</v>
      </c>
      <c r="S224" t="s">
        <v>231</v>
      </c>
      <c r="T224" t="s">
        <v>253</v>
      </c>
      <c r="U224">
        <v>2.7546123028890659E-2</v>
      </c>
      <c r="V224" t="s">
        <v>164</v>
      </c>
    </row>
    <row r="225" spans="9:22" x14ac:dyDescent="0.45">
      <c r="I225" t="s">
        <v>180</v>
      </c>
      <c r="J225" t="s">
        <v>254</v>
      </c>
      <c r="K225">
        <v>4.727717964813037E-3</v>
      </c>
      <c r="L225" t="s">
        <v>164</v>
      </c>
      <c r="N225" t="s">
        <v>208</v>
      </c>
      <c r="O225" t="s">
        <v>254</v>
      </c>
      <c r="P225">
        <v>1.1463727373723662E-3</v>
      </c>
      <c r="Q225" t="s">
        <v>164</v>
      </c>
      <c r="S225" t="s">
        <v>231</v>
      </c>
      <c r="T225" t="s">
        <v>254</v>
      </c>
      <c r="U225">
        <v>5.2604208250330645E-3</v>
      </c>
      <c r="V225" t="s">
        <v>164</v>
      </c>
    </row>
    <row r="226" spans="9:22" x14ac:dyDescent="0.45">
      <c r="I226" t="s">
        <v>180</v>
      </c>
      <c r="J226" t="s">
        <v>255</v>
      </c>
      <c r="K226">
        <v>0</v>
      </c>
      <c r="L226" t="s">
        <v>164</v>
      </c>
      <c r="N226" t="s">
        <v>208</v>
      </c>
      <c r="O226" t="s">
        <v>255</v>
      </c>
      <c r="P226">
        <v>1.9889290579230605E-2</v>
      </c>
      <c r="Q226" t="s">
        <v>164</v>
      </c>
      <c r="S226" t="s">
        <v>231</v>
      </c>
      <c r="T226" t="s">
        <v>255</v>
      </c>
      <c r="U226">
        <v>2.8418748754272995E-2</v>
      </c>
      <c r="V226" t="s">
        <v>164</v>
      </c>
    </row>
    <row r="227" spans="9:22" x14ac:dyDescent="0.45">
      <c r="I227" t="s">
        <v>180</v>
      </c>
      <c r="J227" t="s">
        <v>167</v>
      </c>
      <c r="K227">
        <v>1.4202330214853601E-2</v>
      </c>
      <c r="L227" t="s">
        <v>164</v>
      </c>
      <c r="N227" t="s">
        <v>208</v>
      </c>
      <c r="O227" t="s">
        <v>167</v>
      </c>
      <c r="P227">
        <v>1.626700779456796E-2</v>
      </c>
      <c r="Q227" t="s">
        <v>164</v>
      </c>
      <c r="S227" t="s">
        <v>231</v>
      </c>
      <c r="T227" t="s">
        <v>167</v>
      </c>
      <c r="U227">
        <v>2.8290452626107045E-2</v>
      </c>
      <c r="V227" t="s">
        <v>164</v>
      </c>
    </row>
    <row r="228" spans="9:22" x14ac:dyDescent="0.45">
      <c r="I228" t="s">
        <v>180</v>
      </c>
      <c r="J228" t="s">
        <v>168</v>
      </c>
      <c r="K228">
        <v>9.5157243694126738E-3</v>
      </c>
      <c r="L228" t="s">
        <v>164</v>
      </c>
      <c r="N228" t="s">
        <v>208</v>
      </c>
      <c r="O228" t="s">
        <v>168</v>
      </c>
      <c r="P228">
        <v>9.5435051969813963E-4</v>
      </c>
      <c r="Q228" t="s">
        <v>164</v>
      </c>
      <c r="S228" t="s">
        <v>231</v>
      </c>
      <c r="T228" t="s">
        <v>168</v>
      </c>
      <c r="U228">
        <v>2.9315744942773202E-3</v>
      </c>
      <c r="V228" t="s">
        <v>164</v>
      </c>
    </row>
    <row r="229" spans="9:22" x14ac:dyDescent="0.45">
      <c r="I229" t="s">
        <v>180</v>
      </c>
      <c r="J229" t="s">
        <v>169</v>
      </c>
      <c r="K229">
        <v>1.016687464439359E-2</v>
      </c>
      <c r="L229" t="s">
        <v>164</v>
      </c>
      <c r="N229" t="s">
        <v>208</v>
      </c>
      <c r="O229" t="s">
        <v>169</v>
      </c>
      <c r="P229">
        <v>7.4510836166732941E-4</v>
      </c>
      <c r="Q229" t="s">
        <v>164</v>
      </c>
      <c r="S229" t="s">
        <v>231</v>
      </c>
      <c r="T229" t="s">
        <v>169</v>
      </c>
      <c r="U229">
        <v>2.8661022989680519E-3</v>
      </c>
      <c r="V229" t="s">
        <v>164</v>
      </c>
    </row>
    <row r="230" spans="9:22" x14ac:dyDescent="0.45">
      <c r="I230" t="s">
        <v>180</v>
      </c>
      <c r="J230" t="s">
        <v>256</v>
      </c>
      <c r="K230">
        <v>6.3924082375612382E-2</v>
      </c>
      <c r="L230" t="s">
        <v>164</v>
      </c>
      <c r="N230" t="s">
        <v>208</v>
      </c>
      <c r="O230" t="s">
        <v>256</v>
      </c>
      <c r="P230">
        <v>3.1017031886147964E-3</v>
      </c>
      <c r="Q230" t="s">
        <v>164</v>
      </c>
      <c r="S230" t="s">
        <v>231</v>
      </c>
      <c r="T230" t="s">
        <v>256</v>
      </c>
      <c r="U230">
        <v>1.7931989353885437E-2</v>
      </c>
      <c r="V230" t="s">
        <v>164</v>
      </c>
    </row>
    <row r="231" spans="9:22" x14ac:dyDescent="0.45">
      <c r="I231" t="s">
        <v>180</v>
      </c>
      <c r="J231" t="s">
        <v>257</v>
      </c>
      <c r="K231">
        <v>4.5501799175565591E-3</v>
      </c>
      <c r="L231" t="s">
        <v>164</v>
      </c>
      <c r="N231" t="s">
        <v>208</v>
      </c>
      <c r="O231" t="s">
        <v>257</v>
      </c>
      <c r="P231">
        <v>1.2220690772460085E-3</v>
      </c>
      <c r="Q231" t="s">
        <v>164</v>
      </c>
      <c r="S231" t="s">
        <v>231</v>
      </c>
      <c r="T231" t="s">
        <v>257</v>
      </c>
      <c r="U231">
        <v>3.3236401864014747E-3</v>
      </c>
      <c r="V231" t="s">
        <v>164</v>
      </c>
    </row>
    <row r="232" spans="9:22" x14ac:dyDescent="0.45">
      <c r="I232" t="s">
        <v>180</v>
      </c>
      <c r="J232" t="s">
        <v>258</v>
      </c>
      <c r="K232">
        <v>0</v>
      </c>
      <c r="L232" t="s">
        <v>164</v>
      </c>
      <c r="N232" t="s">
        <v>208</v>
      </c>
      <c r="O232" t="s">
        <v>258</v>
      </c>
      <c r="P232">
        <v>2.2643845780048324E-2</v>
      </c>
      <c r="Q232" t="s">
        <v>164</v>
      </c>
      <c r="S232" t="s">
        <v>231</v>
      </c>
      <c r="T232" t="s">
        <v>258</v>
      </c>
      <c r="U232">
        <v>2.0276998591643867E-2</v>
      </c>
      <c r="V232" t="s">
        <v>164</v>
      </c>
    </row>
    <row r="233" spans="9:22" x14ac:dyDescent="0.45">
      <c r="I233" t="s">
        <v>180</v>
      </c>
      <c r="J233" t="s">
        <v>170</v>
      </c>
      <c r="K233">
        <v>9.37804353818995E-3</v>
      </c>
      <c r="L233" t="s">
        <v>164</v>
      </c>
      <c r="N233" t="s">
        <v>208</v>
      </c>
      <c r="O233" t="s">
        <v>170</v>
      </c>
      <c r="P233">
        <v>1.4672710699051456E-2</v>
      </c>
      <c r="Q233" t="s">
        <v>164</v>
      </c>
      <c r="S233" t="s">
        <v>231</v>
      </c>
      <c r="T233" t="s">
        <v>170</v>
      </c>
      <c r="U233">
        <v>8.7607159987006904E-3</v>
      </c>
      <c r="V233" t="s">
        <v>164</v>
      </c>
    </row>
    <row r="234" spans="9:22" x14ac:dyDescent="0.45">
      <c r="I234" t="s">
        <v>180</v>
      </c>
      <c r="J234" t="s">
        <v>171</v>
      </c>
      <c r="K234">
        <v>7.9770714652246839E-3</v>
      </c>
      <c r="L234" t="s">
        <v>164</v>
      </c>
      <c r="N234" t="s">
        <v>208</v>
      </c>
      <c r="O234" t="s">
        <v>171</v>
      </c>
      <c r="P234">
        <v>6.389102969610235E-4</v>
      </c>
      <c r="Q234" t="s">
        <v>164</v>
      </c>
      <c r="S234" t="s">
        <v>231</v>
      </c>
      <c r="T234" t="s">
        <v>171</v>
      </c>
      <c r="U234">
        <v>3.9350995638966836E-4</v>
      </c>
      <c r="V234" t="s">
        <v>164</v>
      </c>
    </row>
    <row r="235" spans="9:22" x14ac:dyDescent="0.45">
      <c r="I235" t="s">
        <v>180</v>
      </c>
      <c r="J235" t="s">
        <v>172</v>
      </c>
      <c r="K235">
        <v>9.0256694088029533E-3</v>
      </c>
      <c r="L235" t="s">
        <v>164</v>
      </c>
      <c r="N235" t="s">
        <v>208</v>
      </c>
      <c r="O235" t="s">
        <v>172</v>
      </c>
      <c r="P235">
        <v>4.4955802599867855E-4</v>
      </c>
      <c r="Q235" t="s">
        <v>164</v>
      </c>
      <c r="S235" t="s">
        <v>231</v>
      </c>
      <c r="T235" t="s">
        <v>172</v>
      </c>
      <c r="U235">
        <v>3.5493184391205505E-4</v>
      </c>
      <c r="V235" t="s">
        <v>164</v>
      </c>
    </row>
    <row r="236" spans="9:22" x14ac:dyDescent="0.45">
      <c r="I236" t="s">
        <v>180</v>
      </c>
      <c r="J236" t="s">
        <v>259</v>
      </c>
      <c r="K236">
        <v>6.070788466124457E-2</v>
      </c>
      <c r="L236" t="s">
        <v>164</v>
      </c>
      <c r="N236" t="s">
        <v>208</v>
      </c>
      <c r="O236" t="s">
        <v>259</v>
      </c>
      <c r="P236">
        <v>3.0561755296263258E-3</v>
      </c>
      <c r="Q236" t="s">
        <v>164</v>
      </c>
      <c r="S236" t="s">
        <v>231</v>
      </c>
      <c r="T236" t="s">
        <v>259</v>
      </c>
      <c r="U236">
        <v>4.7606918581236468E-3</v>
      </c>
      <c r="V236" t="s">
        <v>164</v>
      </c>
    </row>
    <row r="237" spans="9:22" x14ac:dyDescent="0.45">
      <c r="I237" t="s">
        <v>180</v>
      </c>
      <c r="J237" t="s">
        <v>260</v>
      </c>
      <c r="K237">
        <v>4.5221452556639336E-3</v>
      </c>
      <c r="L237" t="s">
        <v>164</v>
      </c>
      <c r="N237" t="s">
        <v>208</v>
      </c>
      <c r="O237" t="s">
        <v>260</v>
      </c>
      <c r="P237">
        <v>2.2249646685082451E-3</v>
      </c>
      <c r="Q237" t="s">
        <v>164</v>
      </c>
      <c r="S237" t="s">
        <v>231</v>
      </c>
      <c r="T237" t="s">
        <v>260</v>
      </c>
      <c r="U237">
        <v>1.5037716630649264E-3</v>
      </c>
      <c r="V237" t="s">
        <v>164</v>
      </c>
    </row>
    <row r="238" spans="9:22" x14ac:dyDescent="0.45">
      <c r="I238" t="s">
        <v>180</v>
      </c>
      <c r="J238" t="s">
        <v>261</v>
      </c>
      <c r="K238">
        <v>0</v>
      </c>
      <c r="L238" t="s">
        <v>164</v>
      </c>
      <c r="N238" t="s">
        <v>208</v>
      </c>
      <c r="O238" t="s">
        <v>261</v>
      </c>
      <c r="P238">
        <v>2.2394409918863684E-2</v>
      </c>
      <c r="Q238" t="s">
        <v>164</v>
      </c>
      <c r="S238" t="s">
        <v>231</v>
      </c>
      <c r="T238" t="s">
        <v>261</v>
      </c>
      <c r="U238">
        <v>8.8112854808215218E-3</v>
      </c>
      <c r="V238" t="s">
        <v>164</v>
      </c>
    </row>
    <row r="239" spans="9:22" x14ac:dyDescent="0.45">
      <c r="I239" t="s">
        <v>180</v>
      </c>
      <c r="J239" t="s">
        <v>173</v>
      </c>
      <c r="K239">
        <v>4.7603243004962485E-2</v>
      </c>
      <c r="L239" t="s">
        <v>164</v>
      </c>
      <c r="N239" t="s">
        <v>208</v>
      </c>
      <c r="O239" t="s">
        <v>173</v>
      </c>
      <c r="P239">
        <v>0.15824831160810646</v>
      </c>
      <c r="Q239" t="s">
        <v>164</v>
      </c>
      <c r="S239" t="s">
        <v>231</v>
      </c>
      <c r="T239" t="s">
        <v>173</v>
      </c>
      <c r="U239">
        <v>0.20622495885109804</v>
      </c>
      <c r="V239" t="s">
        <v>164</v>
      </c>
    </row>
    <row r="240" spans="9:22" x14ac:dyDescent="0.45">
      <c r="I240" t="s">
        <v>180</v>
      </c>
      <c r="J240" t="s">
        <v>174</v>
      </c>
      <c r="K240">
        <v>3.3425245017673896E-2</v>
      </c>
      <c r="L240" t="s">
        <v>164</v>
      </c>
      <c r="N240" t="s">
        <v>208</v>
      </c>
      <c r="O240" t="s">
        <v>174</v>
      </c>
      <c r="P240">
        <v>2.7617837020593741E-2</v>
      </c>
      <c r="Q240" t="s">
        <v>164</v>
      </c>
      <c r="S240" t="s">
        <v>231</v>
      </c>
      <c r="T240" t="s">
        <v>174</v>
      </c>
      <c r="U240">
        <v>1.948435282548994E-2</v>
      </c>
      <c r="V240" t="s">
        <v>164</v>
      </c>
    </row>
    <row r="241" spans="9:22" x14ac:dyDescent="0.45">
      <c r="I241" t="s">
        <v>180</v>
      </c>
      <c r="J241" t="s">
        <v>175</v>
      </c>
      <c r="K241">
        <v>3.7910491468982871E-2</v>
      </c>
      <c r="L241" t="s">
        <v>164</v>
      </c>
      <c r="N241" t="s">
        <v>208</v>
      </c>
      <c r="O241" t="s">
        <v>175</v>
      </c>
      <c r="P241">
        <v>2.8586407071632253E-2</v>
      </c>
      <c r="Q241" t="s">
        <v>164</v>
      </c>
      <c r="S241" t="s">
        <v>231</v>
      </c>
      <c r="T241" t="s">
        <v>175</v>
      </c>
      <c r="U241">
        <v>1.9362839150578029E-2</v>
      </c>
      <c r="V241" t="s">
        <v>164</v>
      </c>
    </row>
    <row r="242" spans="9:22" x14ac:dyDescent="0.45">
      <c r="I242" t="s">
        <v>180</v>
      </c>
      <c r="J242" t="s">
        <v>262</v>
      </c>
      <c r="K242">
        <v>0.21416719330589287</v>
      </c>
      <c r="L242" t="s">
        <v>164</v>
      </c>
      <c r="N242" t="s">
        <v>208</v>
      </c>
      <c r="O242" t="s">
        <v>262</v>
      </c>
      <c r="P242">
        <v>0.20383459573226467</v>
      </c>
      <c r="Q242" t="s">
        <v>164</v>
      </c>
      <c r="S242" t="s">
        <v>231</v>
      </c>
      <c r="T242" t="s">
        <v>262</v>
      </c>
      <c r="U242">
        <v>0.14817924719261419</v>
      </c>
      <c r="V242" t="s">
        <v>164</v>
      </c>
    </row>
    <row r="243" spans="9:22" x14ac:dyDescent="0.45">
      <c r="I243" t="s">
        <v>180</v>
      </c>
      <c r="J243" t="s">
        <v>263</v>
      </c>
      <c r="K243">
        <v>3.0387690778902222E-3</v>
      </c>
      <c r="L243" t="s">
        <v>164</v>
      </c>
      <c r="N243" t="s">
        <v>208</v>
      </c>
      <c r="O243" t="s">
        <v>263</v>
      </c>
      <c r="P243">
        <v>3.2384464588611377E-2</v>
      </c>
      <c r="Q243" t="s">
        <v>164</v>
      </c>
      <c r="S243" t="s">
        <v>231</v>
      </c>
      <c r="T243" t="s">
        <v>263</v>
      </c>
      <c r="U243">
        <v>2.4314440308255594E-2</v>
      </c>
      <c r="V243" t="s">
        <v>164</v>
      </c>
    </row>
    <row r="244" spans="9:22" x14ac:dyDescent="0.45">
      <c r="I244" t="s">
        <v>180</v>
      </c>
      <c r="J244" t="s">
        <v>264</v>
      </c>
      <c r="K244">
        <v>0</v>
      </c>
      <c r="L244" t="s">
        <v>164</v>
      </c>
      <c r="N244" t="s">
        <v>208</v>
      </c>
      <c r="O244" t="s">
        <v>264</v>
      </c>
      <c r="P244">
        <v>0.15570341334410723</v>
      </c>
      <c r="Q244" t="s">
        <v>164</v>
      </c>
      <c r="S244" t="s">
        <v>231</v>
      </c>
      <c r="T244" t="s">
        <v>264</v>
      </c>
      <c r="U244">
        <v>0.1373431292514834</v>
      </c>
      <c r="V244" t="s">
        <v>164</v>
      </c>
    </row>
    <row r="245" spans="9:22" x14ac:dyDescent="0.45">
      <c r="I245" t="s">
        <v>180</v>
      </c>
      <c r="J245" t="s">
        <v>265</v>
      </c>
      <c r="K245">
        <v>1.4861937833625043E-2</v>
      </c>
      <c r="L245" t="s">
        <v>164</v>
      </c>
      <c r="N245" t="s">
        <v>208</v>
      </c>
      <c r="O245" t="s">
        <v>265</v>
      </c>
      <c r="P245">
        <v>2.9392950712087574E-2</v>
      </c>
      <c r="Q245" t="s">
        <v>164</v>
      </c>
      <c r="S245" t="s">
        <v>231</v>
      </c>
      <c r="T245" t="s">
        <v>265</v>
      </c>
      <c r="U245">
        <v>3.0531601471330223E-2</v>
      </c>
      <c r="V245" t="s">
        <v>164</v>
      </c>
    </row>
    <row r="246" spans="9:22" x14ac:dyDescent="0.45">
      <c r="I246" t="s">
        <v>180</v>
      </c>
      <c r="J246" t="s">
        <v>266</v>
      </c>
      <c r="K246">
        <v>8.3389881149434214E-3</v>
      </c>
      <c r="L246" t="s">
        <v>164</v>
      </c>
      <c r="N246" t="s">
        <v>208</v>
      </c>
      <c r="O246" t="s">
        <v>266</v>
      </c>
      <c r="P246">
        <v>4.2130835336607556E-3</v>
      </c>
      <c r="Q246" t="s">
        <v>164</v>
      </c>
      <c r="S246" t="s">
        <v>231</v>
      </c>
      <c r="T246" t="s">
        <v>266</v>
      </c>
      <c r="U246">
        <v>3.0005874422631236E-3</v>
      </c>
      <c r="V246" t="s">
        <v>164</v>
      </c>
    </row>
    <row r="247" spans="9:22" x14ac:dyDescent="0.45">
      <c r="I247" t="s">
        <v>180</v>
      </c>
      <c r="J247" t="s">
        <v>267</v>
      </c>
      <c r="K247">
        <v>9.2058896744613306E-3</v>
      </c>
      <c r="L247" t="s">
        <v>164</v>
      </c>
      <c r="N247" t="s">
        <v>208</v>
      </c>
      <c r="O247" t="s">
        <v>267</v>
      </c>
      <c r="P247">
        <v>4.1622092643606038E-3</v>
      </c>
      <c r="Q247" t="s">
        <v>164</v>
      </c>
      <c r="S247" t="s">
        <v>231</v>
      </c>
      <c r="T247" t="s">
        <v>267</v>
      </c>
      <c r="U247">
        <v>2.8531856497887088E-3</v>
      </c>
      <c r="V247" t="s">
        <v>164</v>
      </c>
    </row>
    <row r="248" spans="9:22" x14ac:dyDescent="0.45">
      <c r="I248" t="s">
        <v>180</v>
      </c>
      <c r="J248" t="s">
        <v>268</v>
      </c>
      <c r="K248">
        <v>5.123092071412623E-2</v>
      </c>
      <c r="L248" t="s">
        <v>164</v>
      </c>
      <c r="N248" t="s">
        <v>208</v>
      </c>
      <c r="O248" t="s">
        <v>268</v>
      </c>
      <c r="P248">
        <v>3.2193035833972448E-2</v>
      </c>
      <c r="Q248" t="s">
        <v>164</v>
      </c>
      <c r="S248" t="s">
        <v>231</v>
      </c>
      <c r="T248" t="s">
        <v>268</v>
      </c>
      <c r="U248">
        <v>1.9688113976433209E-2</v>
      </c>
      <c r="V248" t="s">
        <v>164</v>
      </c>
    </row>
    <row r="249" spans="9:22" x14ac:dyDescent="0.45">
      <c r="I249" t="s">
        <v>180</v>
      </c>
      <c r="J249" t="s">
        <v>269</v>
      </c>
      <c r="K249">
        <v>0</v>
      </c>
      <c r="L249" t="s">
        <v>164</v>
      </c>
      <c r="N249" t="s">
        <v>208</v>
      </c>
      <c r="O249" t="s">
        <v>269</v>
      </c>
      <c r="P249">
        <v>7.0862451436441301E-3</v>
      </c>
      <c r="Q249" t="s">
        <v>164</v>
      </c>
      <c r="S249" t="s">
        <v>231</v>
      </c>
      <c r="T249" t="s">
        <v>269</v>
      </c>
      <c r="U249">
        <v>3.4379886489508981E-3</v>
      </c>
      <c r="V249" t="s">
        <v>164</v>
      </c>
    </row>
    <row r="250" spans="9:22" x14ac:dyDescent="0.45">
      <c r="I250" t="s">
        <v>180</v>
      </c>
      <c r="J250" t="s">
        <v>270</v>
      </c>
      <c r="K250">
        <v>0</v>
      </c>
      <c r="L250" t="s">
        <v>164</v>
      </c>
      <c r="N250" t="s">
        <v>208</v>
      </c>
      <c r="O250" t="s">
        <v>270</v>
      </c>
      <c r="P250">
        <v>3.8113071516700556E-2</v>
      </c>
      <c r="Q250" t="s">
        <v>164</v>
      </c>
      <c r="S250" t="s">
        <v>231</v>
      </c>
      <c r="T250" t="s">
        <v>270</v>
      </c>
      <c r="U250">
        <v>2.1151408648408036E-2</v>
      </c>
      <c r="V250" t="s">
        <v>164</v>
      </c>
    </row>
    <row r="251" spans="9:22" x14ac:dyDescent="0.45">
      <c r="I251" t="s">
        <v>180</v>
      </c>
      <c r="J251" t="s">
        <v>271</v>
      </c>
      <c r="K251">
        <v>2.0837929603204443E-2</v>
      </c>
      <c r="L251" t="s">
        <v>164</v>
      </c>
      <c r="N251" t="s">
        <v>208</v>
      </c>
      <c r="O251" t="s">
        <v>271</v>
      </c>
      <c r="P251">
        <v>2.5153337238497511E-2</v>
      </c>
      <c r="Q251" t="s">
        <v>164</v>
      </c>
      <c r="S251" t="s">
        <v>231</v>
      </c>
      <c r="T251" t="s">
        <v>271</v>
      </c>
      <c r="U251">
        <v>2.3699057904609262E-2</v>
      </c>
      <c r="V251" t="s">
        <v>164</v>
      </c>
    </row>
    <row r="252" spans="9:22" x14ac:dyDescent="0.45">
      <c r="I252" t="s">
        <v>180</v>
      </c>
      <c r="J252" t="s">
        <v>272</v>
      </c>
      <c r="K252">
        <v>1.0358410367786302E-2</v>
      </c>
      <c r="L252" t="s">
        <v>164</v>
      </c>
      <c r="N252" t="s">
        <v>208</v>
      </c>
      <c r="O252" t="s">
        <v>272</v>
      </c>
      <c r="P252">
        <v>3.0371249244728104E-3</v>
      </c>
      <c r="Q252" t="s">
        <v>164</v>
      </c>
      <c r="S252" t="s">
        <v>231</v>
      </c>
      <c r="T252" t="s">
        <v>272</v>
      </c>
      <c r="U252">
        <v>2.0092443715858965E-3</v>
      </c>
      <c r="V252" t="s">
        <v>164</v>
      </c>
    </row>
    <row r="253" spans="9:22" x14ac:dyDescent="0.45">
      <c r="I253" t="s">
        <v>180</v>
      </c>
      <c r="J253" t="s">
        <v>273</v>
      </c>
      <c r="K253">
        <v>1.1120365995177926E-2</v>
      </c>
      <c r="L253" t="s">
        <v>164</v>
      </c>
      <c r="N253" t="s">
        <v>208</v>
      </c>
      <c r="O253" t="s">
        <v>273</v>
      </c>
      <c r="P253">
        <v>2.7947228329128818E-3</v>
      </c>
      <c r="Q253" t="s">
        <v>164</v>
      </c>
      <c r="S253" t="s">
        <v>231</v>
      </c>
      <c r="T253" t="s">
        <v>273</v>
      </c>
      <c r="U253">
        <v>1.8633236525031301E-3</v>
      </c>
      <c r="V253" t="s">
        <v>164</v>
      </c>
    </row>
    <row r="254" spans="9:22" x14ac:dyDescent="0.45">
      <c r="I254" t="s">
        <v>180</v>
      </c>
      <c r="J254" t="s">
        <v>274</v>
      </c>
      <c r="K254">
        <v>6.3541881148069621E-2</v>
      </c>
      <c r="L254" t="s">
        <v>164</v>
      </c>
      <c r="N254" t="s">
        <v>208</v>
      </c>
      <c r="O254" t="s">
        <v>274</v>
      </c>
      <c r="P254">
        <v>2.1983339311592742E-2</v>
      </c>
      <c r="Q254" t="s">
        <v>164</v>
      </c>
      <c r="S254" t="s">
        <v>231</v>
      </c>
      <c r="T254" t="s">
        <v>274</v>
      </c>
      <c r="U254">
        <v>1.6306770240991142E-2</v>
      </c>
      <c r="V254" t="s">
        <v>164</v>
      </c>
    </row>
    <row r="255" spans="9:22" x14ac:dyDescent="0.45">
      <c r="I255" t="s">
        <v>180</v>
      </c>
      <c r="J255" t="s">
        <v>275</v>
      </c>
      <c r="K255">
        <v>0</v>
      </c>
      <c r="L255" t="s">
        <v>164</v>
      </c>
      <c r="N255" t="s">
        <v>208</v>
      </c>
      <c r="O255" t="s">
        <v>275</v>
      </c>
      <c r="P255">
        <v>6.2637022475944158E-3</v>
      </c>
      <c r="Q255" t="s">
        <v>164</v>
      </c>
      <c r="S255" t="s">
        <v>231</v>
      </c>
      <c r="T255" t="s">
        <v>275</v>
      </c>
      <c r="U255">
        <v>3.3686440011959163E-3</v>
      </c>
      <c r="V255" t="s">
        <v>164</v>
      </c>
    </row>
    <row r="256" spans="9:22" x14ac:dyDescent="0.45">
      <c r="I256" t="s">
        <v>180</v>
      </c>
      <c r="J256" t="s">
        <v>276</v>
      </c>
      <c r="K256">
        <v>0</v>
      </c>
      <c r="L256" t="s">
        <v>164</v>
      </c>
      <c r="N256" t="s">
        <v>208</v>
      </c>
      <c r="O256" t="s">
        <v>276</v>
      </c>
      <c r="P256">
        <v>3.3103824657920312E-2</v>
      </c>
      <c r="Q256" t="s">
        <v>164</v>
      </c>
      <c r="S256" t="s">
        <v>231</v>
      </c>
      <c r="T256" t="s">
        <v>276</v>
      </c>
      <c r="U256">
        <v>1.8849499123480058E-2</v>
      </c>
      <c r="V256" t="s">
        <v>164</v>
      </c>
    </row>
    <row r="257" spans="9:22" x14ac:dyDescent="0.45">
      <c r="I257" t="s">
        <v>180</v>
      </c>
      <c r="J257" t="s">
        <v>277</v>
      </c>
      <c r="K257">
        <v>2.7585835204513052E-2</v>
      </c>
      <c r="L257" t="s">
        <v>164</v>
      </c>
      <c r="N257" t="s">
        <v>208</v>
      </c>
      <c r="O257" t="s">
        <v>277</v>
      </c>
      <c r="P257">
        <v>1.7134108718770524E-2</v>
      </c>
      <c r="Q257" t="s">
        <v>164</v>
      </c>
      <c r="S257" t="s">
        <v>231</v>
      </c>
      <c r="T257" t="s">
        <v>277</v>
      </c>
      <c r="U257">
        <v>3.0396955262548136E-2</v>
      </c>
      <c r="V257" t="s">
        <v>164</v>
      </c>
    </row>
    <row r="258" spans="9:22" x14ac:dyDescent="0.45">
      <c r="I258" t="s">
        <v>180</v>
      </c>
      <c r="J258" t="s">
        <v>278</v>
      </c>
      <c r="K258">
        <v>1.5336646686218378E-2</v>
      </c>
      <c r="L258" t="s">
        <v>164</v>
      </c>
      <c r="N258" t="s">
        <v>208</v>
      </c>
      <c r="O258" t="s">
        <v>278</v>
      </c>
      <c r="P258">
        <v>1.1887082338775386E-3</v>
      </c>
      <c r="Q258" t="s">
        <v>164</v>
      </c>
      <c r="S258" t="s">
        <v>231</v>
      </c>
      <c r="T258" t="s">
        <v>278</v>
      </c>
      <c r="U258">
        <v>3.2507428716947876E-3</v>
      </c>
      <c r="V258" t="s">
        <v>164</v>
      </c>
    </row>
    <row r="259" spans="9:22" x14ac:dyDescent="0.45">
      <c r="I259" t="s">
        <v>180</v>
      </c>
      <c r="J259" t="s">
        <v>279</v>
      </c>
      <c r="K259">
        <v>1.7034532817497561E-2</v>
      </c>
      <c r="L259" t="s">
        <v>164</v>
      </c>
      <c r="N259" t="s">
        <v>208</v>
      </c>
      <c r="O259" t="s">
        <v>279</v>
      </c>
      <c r="P259">
        <v>1.079774783753797E-3</v>
      </c>
      <c r="Q259" t="s">
        <v>164</v>
      </c>
      <c r="S259" t="s">
        <v>231</v>
      </c>
      <c r="T259" t="s">
        <v>279</v>
      </c>
      <c r="U259">
        <v>3.1328545134276134E-3</v>
      </c>
      <c r="V259" t="s">
        <v>164</v>
      </c>
    </row>
    <row r="260" spans="9:22" x14ac:dyDescent="0.45">
      <c r="I260" t="s">
        <v>180</v>
      </c>
      <c r="J260" t="s">
        <v>280</v>
      </c>
      <c r="K260">
        <v>0.11036401563771775</v>
      </c>
      <c r="L260" t="s">
        <v>164</v>
      </c>
      <c r="N260" t="s">
        <v>208</v>
      </c>
      <c r="O260" t="s">
        <v>280</v>
      </c>
      <c r="P260">
        <v>7.3035793118589624E-3</v>
      </c>
      <c r="Q260" t="s">
        <v>164</v>
      </c>
      <c r="S260" t="s">
        <v>231</v>
      </c>
      <c r="T260" t="s">
        <v>280</v>
      </c>
      <c r="U260">
        <v>2.3980881697138839E-2</v>
      </c>
      <c r="V260" t="s">
        <v>164</v>
      </c>
    </row>
    <row r="261" spans="9:22" x14ac:dyDescent="0.45">
      <c r="I261" t="s">
        <v>180</v>
      </c>
      <c r="J261" t="s">
        <v>281</v>
      </c>
      <c r="K261">
        <v>1.0182942601132993E-3</v>
      </c>
      <c r="L261" t="s">
        <v>164</v>
      </c>
      <c r="N261" t="s">
        <v>208</v>
      </c>
      <c r="O261" t="s">
        <v>281</v>
      </c>
      <c r="P261">
        <v>2.9401657526260125E-3</v>
      </c>
      <c r="Q261" t="s">
        <v>164</v>
      </c>
      <c r="S261" t="s">
        <v>231</v>
      </c>
      <c r="T261" t="s">
        <v>281</v>
      </c>
      <c r="U261">
        <v>4.6854409630982304E-3</v>
      </c>
      <c r="V261" t="s">
        <v>164</v>
      </c>
    </row>
    <row r="262" spans="9:22" x14ac:dyDescent="0.45">
      <c r="I262" t="s">
        <v>180</v>
      </c>
      <c r="J262" t="s">
        <v>282</v>
      </c>
      <c r="K262">
        <v>0</v>
      </c>
      <c r="L262" t="s">
        <v>164</v>
      </c>
      <c r="N262" t="s">
        <v>208</v>
      </c>
      <c r="O262" t="s">
        <v>282</v>
      </c>
      <c r="P262">
        <v>2.3721971206330714E-2</v>
      </c>
      <c r="Q262" t="s">
        <v>164</v>
      </c>
      <c r="S262" t="s">
        <v>231</v>
      </c>
      <c r="T262" t="s">
        <v>282</v>
      </c>
      <c r="U262">
        <v>2.4906245798254772E-2</v>
      </c>
      <c r="V262" t="s">
        <v>164</v>
      </c>
    </row>
    <row r="263" spans="9:22" x14ac:dyDescent="0.45">
      <c r="I263" t="s">
        <v>181</v>
      </c>
      <c r="J263" t="s">
        <v>163</v>
      </c>
      <c r="K263">
        <v>1.6146479957203079E-2</v>
      </c>
      <c r="L263" t="s">
        <v>164</v>
      </c>
      <c r="N263" t="s">
        <v>209</v>
      </c>
      <c r="O263" t="s">
        <v>163</v>
      </c>
      <c r="P263">
        <v>1.8266977510173782E-2</v>
      </c>
      <c r="Q263" t="s">
        <v>164</v>
      </c>
      <c r="S263" t="s">
        <v>232</v>
      </c>
      <c r="T263" t="s">
        <v>163</v>
      </c>
      <c r="U263">
        <v>3.0785252426649902E-2</v>
      </c>
      <c r="V263" t="s">
        <v>164</v>
      </c>
    </row>
    <row r="264" spans="9:22" x14ac:dyDescent="0.45">
      <c r="I264" t="s">
        <v>181</v>
      </c>
      <c r="J264" t="s">
        <v>165</v>
      </c>
      <c r="K264">
        <v>1.0603293996795347E-2</v>
      </c>
      <c r="L264" t="s">
        <v>164</v>
      </c>
      <c r="N264" t="s">
        <v>209</v>
      </c>
      <c r="O264" t="s">
        <v>165</v>
      </c>
      <c r="P264">
        <v>8.7266501520663056E-4</v>
      </c>
      <c r="Q264" t="s">
        <v>164</v>
      </c>
      <c r="S264" t="s">
        <v>232</v>
      </c>
      <c r="T264" t="s">
        <v>165</v>
      </c>
      <c r="U264">
        <v>2.9810148798988636E-3</v>
      </c>
      <c r="V264" t="s">
        <v>164</v>
      </c>
    </row>
    <row r="265" spans="9:22" x14ac:dyDescent="0.45">
      <c r="I265" t="s">
        <v>181</v>
      </c>
      <c r="J265" t="s">
        <v>166</v>
      </c>
      <c r="K265">
        <v>1.114028115208264E-2</v>
      </c>
      <c r="L265" t="s">
        <v>164</v>
      </c>
      <c r="N265" t="s">
        <v>209</v>
      </c>
      <c r="O265" t="s">
        <v>166</v>
      </c>
      <c r="P265">
        <v>7.0676728262094679E-4</v>
      </c>
      <c r="Q265" t="s">
        <v>164</v>
      </c>
      <c r="S265" t="s">
        <v>232</v>
      </c>
      <c r="T265" t="s">
        <v>166</v>
      </c>
      <c r="U265">
        <v>2.9974866267772292E-3</v>
      </c>
      <c r="V265" t="s">
        <v>164</v>
      </c>
    </row>
    <row r="266" spans="9:22" x14ac:dyDescent="0.45">
      <c r="I266" t="s">
        <v>181</v>
      </c>
      <c r="J266" t="s">
        <v>253</v>
      </c>
      <c r="K266">
        <v>6.315189816153019E-2</v>
      </c>
      <c r="L266" t="s">
        <v>164</v>
      </c>
      <c r="N266" t="s">
        <v>209</v>
      </c>
      <c r="O266" t="s">
        <v>253</v>
      </c>
      <c r="P266">
        <v>2.8106303559221179E-3</v>
      </c>
      <c r="Q266" t="s">
        <v>164</v>
      </c>
      <c r="S266" t="s">
        <v>232</v>
      </c>
      <c r="T266" t="s">
        <v>253</v>
      </c>
      <c r="U266">
        <v>2.3166450350019383E-2</v>
      </c>
      <c r="V266" t="s">
        <v>164</v>
      </c>
    </row>
    <row r="267" spans="9:22" x14ac:dyDescent="0.45">
      <c r="I267" t="s">
        <v>181</v>
      </c>
      <c r="J267" t="s">
        <v>254</v>
      </c>
      <c r="K267">
        <v>3.9706872259145315E-3</v>
      </c>
      <c r="L267" t="s">
        <v>164</v>
      </c>
      <c r="N267" t="s">
        <v>209</v>
      </c>
      <c r="O267" t="s">
        <v>254</v>
      </c>
      <c r="P267">
        <v>5.3910535641249816E-4</v>
      </c>
      <c r="Q267" t="s">
        <v>164</v>
      </c>
      <c r="S267" t="s">
        <v>232</v>
      </c>
      <c r="T267" t="s">
        <v>254</v>
      </c>
      <c r="U267">
        <v>5.1139519917068653E-3</v>
      </c>
      <c r="V267" t="s">
        <v>164</v>
      </c>
    </row>
    <row r="268" spans="9:22" x14ac:dyDescent="0.45">
      <c r="I268" t="s">
        <v>181</v>
      </c>
      <c r="J268" t="s">
        <v>255</v>
      </c>
      <c r="K268">
        <v>0</v>
      </c>
      <c r="L268" t="s">
        <v>164</v>
      </c>
      <c r="N268" t="s">
        <v>209</v>
      </c>
      <c r="O268" t="s">
        <v>255</v>
      </c>
      <c r="P268">
        <v>5.7738417129468336E-3</v>
      </c>
      <c r="Q268" t="s">
        <v>164</v>
      </c>
      <c r="S268" t="s">
        <v>232</v>
      </c>
      <c r="T268" t="s">
        <v>255</v>
      </c>
      <c r="U268">
        <v>2.9218447169992966E-2</v>
      </c>
      <c r="V268" t="s">
        <v>164</v>
      </c>
    </row>
    <row r="269" spans="9:22" x14ac:dyDescent="0.45">
      <c r="I269" t="s">
        <v>181</v>
      </c>
      <c r="J269" t="s">
        <v>167</v>
      </c>
      <c r="K269">
        <v>1.5075171449759157E-2</v>
      </c>
      <c r="L269" t="s">
        <v>164</v>
      </c>
      <c r="N269" t="s">
        <v>209</v>
      </c>
      <c r="O269" t="s">
        <v>167</v>
      </c>
      <c r="P269">
        <v>2.2499270170610753E-2</v>
      </c>
      <c r="Q269" t="s">
        <v>164</v>
      </c>
      <c r="S269" t="s">
        <v>232</v>
      </c>
      <c r="T269" t="s">
        <v>167</v>
      </c>
      <c r="U269">
        <v>2.0771328098570258E-2</v>
      </c>
      <c r="V269" t="s">
        <v>164</v>
      </c>
    </row>
    <row r="270" spans="9:22" x14ac:dyDescent="0.45">
      <c r="I270" t="s">
        <v>181</v>
      </c>
      <c r="J270" t="s">
        <v>168</v>
      </c>
      <c r="K270">
        <v>9.9276834624652463E-3</v>
      </c>
      <c r="L270" t="s">
        <v>164</v>
      </c>
      <c r="N270" t="s">
        <v>209</v>
      </c>
      <c r="O270" t="s">
        <v>168</v>
      </c>
      <c r="P270">
        <v>1.227069859596003E-3</v>
      </c>
      <c r="Q270" t="s">
        <v>164</v>
      </c>
      <c r="S270" t="s">
        <v>232</v>
      </c>
      <c r="T270" t="s">
        <v>168</v>
      </c>
      <c r="U270">
        <v>1.5638082761613239E-3</v>
      </c>
      <c r="V270" t="s">
        <v>164</v>
      </c>
    </row>
    <row r="271" spans="9:22" x14ac:dyDescent="0.45">
      <c r="I271" t="s">
        <v>181</v>
      </c>
      <c r="J271" t="s">
        <v>169</v>
      </c>
      <c r="K271">
        <v>1.0444120837202062E-2</v>
      </c>
      <c r="L271" t="s">
        <v>164</v>
      </c>
      <c r="N271" t="s">
        <v>209</v>
      </c>
      <c r="O271" t="s">
        <v>169</v>
      </c>
      <c r="P271">
        <v>9.6425057439121194E-4</v>
      </c>
      <c r="Q271" t="s">
        <v>164</v>
      </c>
      <c r="S271" t="s">
        <v>232</v>
      </c>
      <c r="T271" t="s">
        <v>169</v>
      </c>
      <c r="U271">
        <v>1.5456913795277008E-3</v>
      </c>
      <c r="V271" t="s">
        <v>164</v>
      </c>
    </row>
    <row r="272" spans="9:22" x14ac:dyDescent="0.45">
      <c r="I272" t="s">
        <v>181</v>
      </c>
      <c r="J272" t="s">
        <v>256</v>
      </c>
      <c r="K272">
        <v>6.2058797112408359E-2</v>
      </c>
      <c r="L272" t="s">
        <v>164</v>
      </c>
      <c r="N272" t="s">
        <v>209</v>
      </c>
      <c r="O272" t="s">
        <v>256</v>
      </c>
      <c r="P272">
        <v>3.6520894547573584E-3</v>
      </c>
      <c r="Q272" t="s">
        <v>164</v>
      </c>
      <c r="S272" t="s">
        <v>232</v>
      </c>
      <c r="T272" t="s">
        <v>256</v>
      </c>
      <c r="U272">
        <v>1.189177692429468E-2</v>
      </c>
      <c r="V272" t="s">
        <v>164</v>
      </c>
    </row>
    <row r="273" spans="9:22" x14ac:dyDescent="0.45">
      <c r="I273" t="s">
        <v>181</v>
      </c>
      <c r="J273" t="s">
        <v>257</v>
      </c>
      <c r="K273">
        <v>4.263680848580257E-3</v>
      </c>
      <c r="L273" t="s">
        <v>164</v>
      </c>
      <c r="N273" t="s">
        <v>209</v>
      </c>
      <c r="O273" t="s">
        <v>257</v>
      </c>
      <c r="P273">
        <v>7.1356058568708544E-4</v>
      </c>
      <c r="Q273" t="s">
        <v>164</v>
      </c>
      <c r="S273" t="s">
        <v>232</v>
      </c>
      <c r="T273" t="s">
        <v>257</v>
      </c>
      <c r="U273">
        <v>3.1765131421320684E-3</v>
      </c>
      <c r="V273" t="s">
        <v>164</v>
      </c>
    </row>
    <row r="274" spans="9:22" x14ac:dyDescent="0.45">
      <c r="I274" t="s">
        <v>181</v>
      </c>
      <c r="J274" t="s">
        <v>258</v>
      </c>
      <c r="K274">
        <v>0</v>
      </c>
      <c r="L274" t="s">
        <v>164</v>
      </c>
      <c r="N274" t="s">
        <v>209</v>
      </c>
      <c r="O274" t="s">
        <v>258</v>
      </c>
      <c r="P274">
        <v>8.4511174491678203E-3</v>
      </c>
      <c r="Q274" t="s">
        <v>164</v>
      </c>
      <c r="S274" t="s">
        <v>232</v>
      </c>
      <c r="T274" t="s">
        <v>258</v>
      </c>
      <c r="U274">
        <v>2.0745924012050283E-2</v>
      </c>
      <c r="V274" t="s">
        <v>164</v>
      </c>
    </row>
    <row r="275" spans="9:22" x14ac:dyDescent="0.45">
      <c r="I275" t="s">
        <v>181</v>
      </c>
      <c r="J275" t="s">
        <v>170</v>
      </c>
      <c r="K275">
        <v>1.2560234140588353E-2</v>
      </c>
      <c r="L275" t="s">
        <v>164</v>
      </c>
      <c r="N275" t="s">
        <v>209</v>
      </c>
      <c r="O275" t="s">
        <v>170</v>
      </c>
      <c r="P275">
        <v>2.3208357310103841E-2</v>
      </c>
      <c r="Q275" t="s">
        <v>164</v>
      </c>
      <c r="S275" t="s">
        <v>232</v>
      </c>
      <c r="T275" t="s">
        <v>170</v>
      </c>
      <c r="U275">
        <v>6.2778723677415597E-3</v>
      </c>
      <c r="V275" t="s">
        <v>164</v>
      </c>
    </row>
    <row r="276" spans="9:22" x14ac:dyDescent="0.45">
      <c r="I276" t="s">
        <v>181</v>
      </c>
      <c r="J276" t="s">
        <v>171</v>
      </c>
      <c r="K276">
        <v>9.1799310765842499E-3</v>
      </c>
      <c r="L276" t="s">
        <v>164</v>
      </c>
      <c r="N276" t="s">
        <v>209</v>
      </c>
      <c r="O276" t="s">
        <v>171</v>
      </c>
      <c r="P276">
        <v>1.4389809856961008E-3</v>
      </c>
      <c r="Q276" t="s">
        <v>164</v>
      </c>
      <c r="S276" t="s">
        <v>232</v>
      </c>
      <c r="T276" t="s">
        <v>171</v>
      </c>
      <c r="U276">
        <v>2.7645185032370895E-4</v>
      </c>
      <c r="V276" t="s">
        <v>164</v>
      </c>
    </row>
    <row r="277" spans="9:22" x14ac:dyDescent="0.45">
      <c r="I277" t="s">
        <v>181</v>
      </c>
      <c r="J277" t="s">
        <v>172</v>
      </c>
      <c r="K277">
        <v>9.9469199007520583E-3</v>
      </c>
      <c r="L277" t="s">
        <v>164</v>
      </c>
      <c r="N277" t="s">
        <v>209</v>
      </c>
      <c r="O277" t="s">
        <v>172</v>
      </c>
      <c r="P277">
        <v>1.0627064645449512E-3</v>
      </c>
      <c r="Q277" t="s">
        <v>164</v>
      </c>
      <c r="S277" t="s">
        <v>232</v>
      </c>
      <c r="T277" t="s">
        <v>172</v>
      </c>
      <c r="U277">
        <v>2.203748018895995E-4</v>
      </c>
      <c r="V277" t="s">
        <v>164</v>
      </c>
    </row>
    <row r="278" spans="9:22" x14ac:dyDescent="0.45">
      <c r="I278" t="s">
        <v>181</v>
      </c>
      <c r="J278" t="s">
        <v>259</v>
      </c>
      <c r="K278">
        <v>5.8097553600966571E-2</v>
      </c>
      <c r="L278" t="s">
        <v>164</v>
      </c>
      <c r="N278" t="s">
        <v>209</v>
      </c>
      <c r="O278" t="s">
        <v>259</v>
      </c>
      <c r="P278">
        <v>4.2534577672707552E-3</v>
      </c>
      <c r="Q278" t="s">
        <v>164</v>
      </c>
      <c r="S278" t="s">
        <v>232</v>
      </c>
      <c r="T278" t="s">
        <v>259</v>
      </c>
      <c r="U278">
        <v>3.2561276904118416E-3</v>
      </c>
      <c r="V278" t="s">
        <v>164</v>
      </c>
    </row>
    <row r="279" spans="9:22" x14ac:dyDescent="0.45">
      <c r="I279" t="s">
        <v>181</v>
      </c>
      <c r="J279" t="s">
        <v>260</v>
      </c>
      <c r="K279">
        <v>3.8519701840532489E-3</v>
      </c>
      <c r="L279" t="s">
        <v>164</v>
      </c>
      <c r="N279" t="s">
        <v>209</v>
      </c>
      <c r="O279" t="s">
        <v>260</v>
      </c>
      <c r="P279">
        <v>1.0647559484817006E-3</v>
      </c>
      <c r="Q279" t="s">
        <v>164</v>
      </c>
      <c r="S279" t="s">
        <v>232</v>
      </c>
      <c r="T279" t="s">
        <v>260</v>
      </c>
      <c r="U279">
        <v>1.3385618151970074E-3</v>
      </c>
      <c r="V279" t="s">
        <v>164</v>
      </c>
    </row>
    <row r="280" spans="9:22" x14ac:dyDescent="0.45">
      <c r="I280" t="s">
        <v>181</v>
      </c>
      <c r="J280" t="s">
        <v>261</v>
      </c>
      <c r="K280">
        <v>0</v>
      </c>
      <c r="L280" t="s">
        <v>164</v>
      </c>
      <c r="N280" t="s">
        <v>209</v>
      </c>
      <c r="O280" t="s">
        <v>261</v>
      </c>
      <c r="P280">
        <v>1.2173083099249351E-2</v>
      </c>
      <c r="Q280" t="s">
        <v>164</v>
      </c>
      <c r="S280" t="s">
        <v>232</v>
      </c>
      <c r="T280" t="s">
        <v>261</v>
      </c>
      <c r="U280">
        <v>7.8030506582443373E-3</v>
      </c>
      <c r="V280" t="s">
        <v>164</v>
      </c>
    </row>
    <row r="281" spans="9:22" x14ac:dyDescent="0.45">
      <c r="I281" t="s">
        <v>181</v>
      </c>
      <c r="J281" t="s">
        <v>173</v>
      </c>
      <c r="K281">
        <v>4.7214216983318659E-2</v>
      </c>
      <c r="L281" t="s">
        <v>164</v>
      </c>
      <c r="N281" t="s">
        <v>209</v>
      </c>
      <c r="O281" t="s">
        <v>173</v>
      </c>
      <c r="P281">
        <v>0.19753154968054343</v>
      </c>
      <c r="Q281" t="s">
        <v>164</v>
      </c>
      <c r="S281" t="s">
        <v>232</v>
      </c>
      <c r="T281" t="s">
        <v>173</v>
      </c>
      <c r="U281">
        <v>0.22507234205382518</v>
      </c>
      <c r="V281" t="s">
        <v>164</v>
      </c>
    </row>
    <row r="282" spans="9:22" x14ac:dyDescent="0.45">
      <c r="I282" t="s">
        <v>181</v>
      </c>
      <c r="J282" t="s">
        <v>174</v>
      </c>
      <c r="K282">
        <v>3.496627653900871E-2</v>
      </c>
      <c r="L282" t="s">
        <v>164</v>
      </c>
      <c r="N282" t="s">
        <v>209</v>
      </c>
      <c r="O282" t="s">
        <v>174</v>
      </c>
      <c r="P282">
        <v>2.9096357145170622E-2</v>
      </c>
      <c r="Q282" t="s">
        <v>164</v>
      </c>
      <c r="S282" t="s">
        <v>232</v>
      </c>
      <c r="T282" t="s">
        <v>174</v>
      </c>
      <c r="U282">
        <v>2.1517691834513662E-2</v>
      </c>
      <c r="V282" t="s">
        <v>164</v>
      </c>
    </row>
    <row r="283" spans="9:22" x14ac:dyDescent="0.45">
      <c r="I283" t="s">
        <v>181</v>
      </c>
      <c r="J283" t="s">
        <v>175</v>
      </c>
      <c r="K283">
        <v>3.986439176693557E-2</v>
      </c>
      <c r="L283" t="s">
        <v>164</v>
      </c>
      <c r="N283" t="s">
        <v>209</v>
      </c>
      <c r="O283" t="s">
        <v>175</v>
      </c>
      <c r="P283">
        <v>2.9374323641900523E-2</v>
      </c>
      <c r="Q283" t="s">
        <v>164</v>
      </c>
      <c r="S283" t="s">
        <v>232</v>
      </c>
      <c r="T283" t="s">
        <v>175</v>
      </c>
      <c r="U283">
        <v>2.1483219132797115E-2</v>
      </c>
      <c r="V283" t="s">
        <v>164</v>
      </c>
    </row>
    <row r="284" spans="9:22" x14ac:dyDescent="0.45">
      <c r="I284" t="s">
        <v>181</v>
      </c>
      <c r="J284" t="s">
        <v>262</v>
      </c>
      <c r="K284">
        <v>0.22148858516865536</v>
      </c>
      <c r="L284" t="s">
        <v>164</v>
      </c>
      <c r="N284" t="s">
        <v>209</v>
      </c>
      <c r="O284" t="s">
        <v>262</v>
      </c>
      <c r="P284">
        <v>0.18512245885860035</v>
      </c>
      <c r="Q284" t="s">
        <v>164</v>
      </c>
      <c r="S284" t="s">
        <v>232</v>
      </c>
      <c r="T284" t="s">
        <v>262</v>
      </c>
      <c r="U284">
        <v>0.15928363047789529</v>
      </c>
      <c r="V284" t="s">
        <v>164</v>
      </c>
    </row>
    <row r="285" spans="9:22" x14ac:dyDescent="0.45">
      <c r="I285" t="s">
        <v>181</v>
      </c>
      <c r="J285" t="s">
        <v>263</v>
      </c>
      <c r="K285">
        <v>4.6546211513443618E-3</v>
      </c>
      <c r="L285" t="s">
        <v>164</v>
      </c>
      <c r="N285" t="s">
        <v>209</v>
      </c>
      <c r="O285" t="s">
        <v>263</v>
      </c>
      <c r="P285">
        <v>2.8200043042343529E-2</v>
      </c>
      <c r="Q285" t="s">
        <v>164</v>
      </c>
      <c r="S285" t="s">
        <v>232</v>
      </c>
      <c r="T285" t="s">
        <v>263</v>
      </c>
      <c r="U285">
        <v>2.7407227590091225E-2</v>
      </c>
      <c r="V285" t="s">
        <v>164</v>
      </c>
    </row>
    <row r="286" spans="9:22" x14ac:dyDescent="0.45">
      <c r="I286" t="s">
        <v>181</v>
      </c>
      <c r="J286" t="s">
        <v>264</v>
      </c>
      <c r="K286">
        <v>0</v>
      </c>
      <c r="L286" t="s">
        <v>164</v>
      </c>
      <c r="N286" t="s">
        <v>209</v>
      </c>
      <c r="O286" t="s">
        <v>264</v>
      </c>
      <c r="P286">
        <v>0.15576815182189249</v>
      </c>
      <c r="Q286" t="s">
        <v>164</v>
      </c>
      <c r="S286" t="s">
        <v>232</v>
      </c>
      <c r="T286" t="s">
        <v>264</v>
      </c>
      <c r="U286">
        <v>0.15338648105233735</v>
      </c>
      <c r="V286" t="s">
        <v>164</v>
      </c>
    </row>
    <row r="287" spans="9:22" x14ac:dyDescent="0.45">
      <c r="I287" t="s">
        <v>181</v>
      </c>
      <c r="J287" t="s">
        <v>265</v>
      </c>
      <c r="K287">
        <v>1.4792435907690481E-2</v>
      </c>
      <c r="L287" t="s">
        <v>164</v>
      </c>
      <c r="N287" t="s">
        <v>209</v>
      </c>
      <c r="O287" t="s">
        <v>265</v>
      </c>
      <c r="P287">
        <v>4.1121145585855688E-2</v>
      </c>
      <c r="Q287" t="s">
        <v>164</v>
      </c>
      <c r="S287" t="s">
        <v>232</v>
      </c>
      <c r="T287" t="s">
        <v>265</v>
      </c>
      <c r="U287">
        <v>2.8519684965280748E-2</v>
      </c>
      <c r="V287" t="s">
        <v>164</v>
      </c>
    </row>
    <row r="288" spans="9:22" x14ac:dyDescent="0.45">
      <c r="I288" t="s">
        <v>181</v>
      </c>
      <c r="J288" t="s">
        <v>266</v>
      </c>
      <c r="K288">
        <v>8.9043004709234135E-3</v>
      </c>
      <c r="L288" t="s">
        <v>164</v>
      </c>
      <c r="N288" t="s">
        <v>209</v>
      </c>
      <c r="O288" t="s">
        <v>266</v>
      </c>
      <c r="P288">
        <v>5.2136933701387653E-3</v>
      </c>
      <c r="Q288" t="s">
        <v>164</v>
      </c>
      <c r="S288" t="s">
        <v>232</v>
      </c>
      <c r="T288" t="s">
        <v>266</v>
      </c>
      <c r="U288">
        <v>2.7384591575134567E-3</v>
      </c>
      <c r="V288" t="s">
        <v>164</v>
      </c>
    </row>
    <row r="289" spans="9:22" x14ac:dyDescent="0.45">
      <c r="I289" t="s">
        <v>181</v>
      </c>
      <c r="J289" t="s">
        <v>267</v>
      </c>
      <c r="K289">
        <v>9.6219542950656475E-3</v>
      </c>
      <c r="L289" t="s">
        <v>164</v>
      </c>
      <c r="N289" t="s">
        <v>209</v>
      </c>
      <c r="O289" t="s">
        <v>267</v>
      </c>
      <c r="P289">
        <v>4.9506143863238834E-3</v>
      </c>
      <c r="Q289" t="s">
        <v>164</v>
      </c>
      <c r="S289" t="s">
        <v>232</v>
      </c>
      <c r="T289" t="s">
        <v>267</v>
      </c>
      <c r="U289">
        <v>2.5801615010705827E-3</v>
      </c>
      <c r="V289" t="s">
        <v>164</v>
      </c>
    </row>
    <row r="290" spans="9:22" x14ac:dyDescent="0.45">
      <c r="I290" t="s">
        <v>181</v>
      </c>
      <c r="J290" t="s">
        <v>268</v>
      </c>
      <c r="K290">
        <v>5.217849285922703E-2</v>
      </c>
      <c r="L290" t="s">
        <v>164</v>
      </c>
      <c r="N290" t="s">
        <v>209</v>
      </c>
      <c r="O290" t="s">
        <v>268</v>
      </c>
      <c r="P290">
        <v>3.0333312617581824E-2</v>
      </c>
      <c r="Q290" t="s">
        <v>164</v>
      </c>
      <c r="S290" t="s">
        <v>232</v>
      </c>
      <c r="T290" t="s">
        <v>268</v>
      </c>
      <c r="U290">
        <v>1.8319649297447133E-2</v>
      </c>
      <c r="V290" t="s">
        <v>164</v>
      </c>
    </row>
    <row r="291" spans="9:22" x14ac:dyDescent="0.45">
      <c r="I291" t="s">
        <v>181</v>
      </c>
      <c r="J291" t="s">
        <v>269</v>
      </c>
      <c r="K291">
        <v>1.0846722790851081E-4</v>
      </c>
      <c r="L291" t="s">
        <v>164</v>
      </c>
      <c r="N291" t="s">
        <v>209</v>
      </c>
      <c r="O291" t="s">
        <v>269</v>
      </c>
      <c r="P291">
        <v>5.3718752663494684E-3</v>
      </c>
      <c r="Q291" t="s">
        <v>164</v>
      </c>
      <c r="S291" t="s">
        <v>232</v>
      </c>
      <c r="T291" t="s">
        <v>269</v>
      </c>
      <c r="U291">
        <v>3.6512637689753652E-3</v>
      </c>
      <c r="V291" t="s">
        <v>164</v>
      </c>
    </row>
    <row r="292" spans="9:22" x14ac:dyDescent="0.45">
      <c r="I292" t="s">
        <v>181</v>
      </c>
      <c r="J292" t="s">
        <v>270</v>
      </c>
      <c r="K292">
        <v>0</v>
      </c>
      <c r="L292" t="s">
        <v>164</v>
      </c>
      <c r="N292" t="s">
        <v>209</v>
      </c>
      <c r="O292" t="s">
        <v>270</v>
      </c>
      <c r="P292">
        <v>3.3690551285760401E-2</v>
      </c>
      <c r="Q292" t="s">
        <v>164</v>
      </c>
      <c r="S292" t="s">
        <v>232</v>
      </c>
      <c r="T292" t="s">
        <v>270</v>
      </c>
      <c r="U292">
        <v>2.1009798584128461E-2</v>
      </c>
      <c r="V292" t="s">
        <v>164</v>
      </c>
    </row>
    <row r="293" spans="9:22" x14ac:dyDescent="0.45">
      <c r="I293" t="s">
        <v>181</v>
      </c>
      <c r="J293" t="s">
        <v>271</v>
      </c>
      <c r="K293">
        <v>2.0725502263362474E-2</v>
      </c>
      <c r="L293" t="s">
        <v>164</v>
      </c>
      <c r="N293" t="s">
        <v>209</v>
      </c>
      <c r="O293" t="s">
        <v>271</v>
      </c>
      <c r="P293">
        <v>3.7963297990457508E-2</v>
      </c>
      <c r="Q293" t="s">
        <v>164</v>
      </c>
      <c r="S293" t="s">
        <v>232</v>
      </c>
      <c r="T293" t="s">
        <v>271</v>
      </c>
      <c r="U293">
        <v>2.2990257807336052E-2</v>
      </c>
      <c r="V293" t="s">
        <v>164</v>
      </c>
    </row>
    <row r="294" spans="9:22" x14ac:dyDescent="0.45">
      <c r="I294" t="s">
        <v>181</v>
      </c>
      <c r="J294" t="s">
        <v>272</v>
      </c>
      <c r="K294">
        <v>1.0283950050500822E-2</v>
      </c>
      <c r="L294" t="s">
        <v>164</v>
      </c>
      <c r="N294" t="s">
        <v>209</v>
      </c>
      <c r="O294" t="s">
        <v>272</v>
      </c>
      <c r="P294">
        <v>4.1084056291125276E-3</v>
      </c>
      <c r="Q294" t="s">
        <v>164</v>
      </c>
      <c r="S294" t="s">
        <v>232</v>
      </c>
      <c r="T294" t="s">
        <v>272</v>
      </c>
      <c r="U294">
        <v>1.9427291126724565E-3</v>
      </c>
      <c r="V294" t="s">
        <v>164</v>
      </c>
    </row>
    <row r="295" spans="9:22" x14ac:dyDescent="0.45">
      <c r="I295" t="s">
        <v>181</v>
      </c>
      <c r="J295" t="s">
        <v>273</v>
      </c>
      <c r="K295">
        <v>1.0868983223705277E-2</v>
      </c>
      <c r="L295" t="s">
        <v>164</v>
      </c>
      <c r="N295" t="s">
        <v>209</v>
      </c>
      <c r="O295" t="s">
        <v>273</v>
      </c>
      <c r="P295">
        <v>3.7227596123998257E-3</v>
      </c>
      <c r="Q295" t="s">
        <v>164</v>
      </c>
      <c r="S295" t="s">
        <v>232</v>
      </c>
      <c r="T295" t="s">
        <v>273</v>
      </c>
      <c r="U295">
        <v>1.8458128541347389E-3</v>
      </c>
      <c r="V295" t="s">
        <v>164</v>
      </c>
    </row>
    <row r="296" spans="9:22" x14ac:dyDescent="0.45">
      <c r="I296" t="s">
        <v>181</v>
      </c>
      <c r="J296" t="s">
        <v>274</v>
      </c>
      <c r="K296">
        <v>6.025872769642035E-2</v>
      </c>
      <c r="L296" t="s">
        <v>164</v>
      </c>
      <c r="N296" t="s">
        <v>209</v>
      </c>
      <c r="O296" t="s">
        <v>274</v>
      </c>
      <c r="P296">
        <v>2.3187397078193703E-2</v>
      </c>
      <c r="Q296" t="s">
        <v>164</v>
      </c>
      <c r="S296" t="s">
        <v>232</v>
      </c>
      <c r="T296" t="s">
        <v>274</v>
      </c>
      <c r="U296">
        <v>1.4603443567998668E-2</v>
      </c>
      <c r="V296" t="s">
        <v>164</v>
      </c>
    </row>
    <row r="297" spans="9:22" x14ac:dyDescent="0.45">
      <c r="I297" t="s">
        <v>181</v>
      </c>
      <c r="J297" t="s">
        <v>275</v>
      </c>
      <c r="K297">
        <v>0</v>
      </c>
      <c r="L297" t="s">
        <v>164</v>
      </c>
      <c r="N297" t="s">
        <v>209</v>
      </c>
      <c r="O297" t="s">
        <v>275</v>
      </c>
      <c r="P297">
        <v>4.6019641487326495E-3</v>
      </c>
      <c r="Q297" t="s">
        <v>164</v>
      </c>
      <c r="S297" t="s">
        <v>232</v>
      </c>
      <c r="T297" t="s">
        <v>275</v>
      </c>
      <c r="U297">
        <v>3.5205838453587607E-3</v>
      </c>
      <c r="V297" t="s">
        <v>164</v>
      </c>
    </row>
    <row r="298" spans="9:22" x14ac:dyDescent="0.45">
      <c r="I298" t="s">
        <v>181</v>
      </c>
      <c r="J298" t="s">
        <v>276</v>
      </c>
      <c r="K298">
        <v>0</v>
      </c>
      <c r="L298" t="s">
        <v>164</v>
      </c>
      <c r="N298" t="s">
        <v>209</v>
      </c>
      <c r="O298" t="s">
        <v>276</v>
      </c>
      <c r="P298">
        <v>3.0438779937094769E-2</v>
      </c>
      <c r="Q298" t="s">
        <v>164</v>
      </c>
      <c r="S298" t="s">
        <v>232</v>
      </c>
      <c r="T298" t="s">
        <v>276</v>
      </c>
      <c r="U298">
        <v>2.1127133427772522E-2</v>
      </c>
      <c r="V298" t="s">
        <v>164</v>
      </c>
    </row>
    <row r="299" spans="9:22" x14ac:dyDescent="0.45">
      <c r="I299" t="s">
        <v>181</v>
      </c>
      <c r="J299" t="s">
        <v>277</v>
      </c>
      <c r="K299">
        <v>3.0300283591436945E-2</v>
      </c>
      <c r="L299" t="s">
        <v>164</v>
      </c>
      <c r="N299" t="s">
        <v>209</v>
      </c>
      <c r="O299" t="s">
        <v>277</v>
      </c>
      <c r="P299">
        <v>2.0641519026498068E-2</v>
      </c>
      <c r="Q299" t="s">
        <v>164</v>
      </c>
      <c r="S299" t="s">
        <v>232</v>
      </c>
      <c r="T299" t="s">
        <v>277</v>
      </c>
      <c r="U299">
        <v>2.3950203169779024E-2</v>
      </c>
      <c r="V299" t="s">
        <v>164</v>
      </c>
    </row>
    <row r="300" spans="9:22" x14ac:dyDescent="0.45">
      <c r="I300" t="s">
        <v>181</v>
      </c>
      <c r="J300" t="s">
        <v>278</v>
      </c>
      <c r="K300">
        <v>1.6771710630646541E-2</v>
      </c>
      <c r="L300" t="s">
        <v>164</v>
      </c>
      <c r="N300" t="s">
        <v>209</v>
      </c>
      <c r="O300" t="s">
        <v>278</v>
      </c>
      <c r="P300">
        <v>1.2182392608968448E-3</v>
      </c>
      <c r="Q300" t="s">
        <v>164</v>
      </c>
      <c r="S300" t="s">
        <v>232</v>
      </c>
      <c r="T300" t="s">
        <v>278</v>
      </c>
      <c r="U300">
        <v>2.0577937925021668E-3</v>
      </c>
      <c r="V300" t="s">
        <v>164</v>
      </c>
    </row>
    <row r="301" spans="9:22" x14ac:dyDescent="0.45">
      <c r="I301" t="s">
        <v>181</v>
      </c>
      <c r="J301" t="s">
        <v>279</v>
      </c>
      <c r="K301">
        <v>1.7969287973323745E-2</v>
      </c>
      <c r="L301" t="s">
        <v>164</v>
      </c>
      <c r="N301" t="s">
        <v>209</v>
      </c>
      <c r="O301" t="s">
        <v>279</v>
      </c>
      <c r="P301">
        <v>9.9623465372409258E-4</v>
      </c>
      <c r="Q301" t="s">
        <v>164</v>
      </c>
      <c r="S301" t="s">
        <v>232</v>
      </c>
      <c r="T301" t="s">
        <v>279</v>
      </c>
      <c r="U301">
        <v>2.0591893227276743E-3</v>
      </c>
      <c r="V301" t="s">
        <v>164</v>
      </c>
    </row>
    <row r="302" spans="9:22" x14ac:dyDescent="0.45">
      <c r="I302" t="s">
        <v>181</v>
      </c>
      <c r="J302" t="s">
        <v>280</v>
      </c>
      <c r="K302">
        <v>9.7813575092872362E-2</v>
      </c>
      <c r="L302" t="s">
        <v>164</v>
      </c>
      <c r="N302" t="s">
        <v>209</v>
      </c>
      <c r="O302" t="s">
        <v>280</v>
      </c>
      <c r="P302">
        <v>4.8890101231445771E-3</v>
      </c>
      <c r="Q302" t="s">
        <v>164</v>
      </c>
      <c r="S302" t="s">
        <v>232</v>
      </c>
      <c r="T302" t="s">
        <v>280</v>
      </c>
      <c r="U302">
        <v>1.8394710816515981E-2</v>
      </c>
      <c r="V302" t="s">
        <v>164</v>
      </c>
    </row>
    <row r="303" spans="9:22" x14ac:dyDescent="0.45">
      <c r="I303" t="s">
        <v>181</v>
      </c>
      <c r="J303" t="s">
        <v>281</v>
      </c>
      <c r="K303">
        <v>7.9553400076937402E-4</v>
      </c>
      <c r="L303" t="s">
        <v>164</v>
      </c>
      <c r="N303" t="s">
        <v>209</v>
      </c>
      <c r="O303" t="s">
        <v>281</v>
      </c>
      <c r="P303">
        <v>1.263652170025747E-3</v>
      </c>
      <c r="Q303" t="s">
        <v>164</v>
      </c>
      <c r="S303" t="s">
        <v>232</v>
      </c>
      <c r="T303" t="s">
        <v>281</v>
      </c>
      <c r="U303">
        <v>4.5029078948459755E-3</v>
      </c>
      <c r="V303" t="s">
        <v>164</v>
      </c>
    </row>
    <row r="304" spans="9:22" x14ac:dyDescent="0.45">
      <c r="I304" t="s">
        <v>181</v>
      </c>
      <c r="J304" t="s">
        <v>282</v>
      </c>
      <c r="K304">
        <v>0</v>
      </c>
      <c r="L304" t="s">
        <v>164</v>
      </c>
      <c r="N304" t="s">
        <v>209</v>
      </c>
      <c r="O304" t="s">
        <v>282</v>
      </c>
      <c r="P304">
        <v>1.1515976764418036E-2</v>
      </c>
      <c r="Q304" t="s">
        <v>164</v>
      </c>
      <c r="S304" t="s">
        <v>232</v>
      </c>
      <c r="T304" t="s">
        <v>282</v>
      </c>
      <c r="U304">
        <v>2.4905540510894608E-2</v>
      </c>
      <c r="V304" t="s">
        <v>164</v>
      </c>
    </row>
    <row r="305" spans="9:22" x14ac:dyDescent="0.45">
      <c r="I305" t="s">
        <v>182</v>
      </c>
      <c r="J305" t="s">
        <v>163</v>
      </c>
      <c r="K305">
        <v>1.4854077204792171E-2</v>
      </c>
      <c r="L305" t="s">
        <v>164</v>
      </c>
      <c r="N305" t="s">
        <v>210</v>
      </c>
      <c r="O305" t="s">
        <v>163</v>
      </c>
      <c r="P305">
        <v>1.4645168833091382E-2</v>
      </c>
      <c r="Q305" t="s">
        <v>164</v>
      </c>
      <c r="S305" t="s">
        <v>233</v>
      </c>
      <c r="T305" t="s">
        <v>163</v>
      </c>
      <c r="U305">
        <v>2.7157032358483477E-2</v>
      </c>
      <c r="V305" t="s">
        <v>164</v>
      </c>
    </row>
    <row r="306" spans="9:22" x14ac:dyDescent="0.45">
      <c r="I306" t="s">
        <v>182</v>
      </c>
      <c r="J306" t="s">
        <v>165</v>
      </c>
      <c r="K306">
        <v>9.6252994434255536E-3</v>
      </c>
      <c r="L306" t="s">
        <v>164</v>
      </c>
      <c r="N306" t="s">
        <v>210</v>
      </c>
      <c r="O306" t="s">
        <v>165</v>
      </c>
      <c r="P306">
        <v>1.6344105682679039E-3</v>
      </c>
      <c r="Q306" t="s">
        <v>164</v>
      </c>
      <c r="S306" t="s">
        <v>233</v>
      </c>
      <c r="T306" t="s">
        <v>165</v>
      </c>
      <c r="U306">
        <v>2.7386406554215132E-3</v>
      </c>
      <c r="V306" t="s">
        <v>164</v>
      </c>
    </row>
    <row r="307" spans="9:22" x14ac:dyDescent="0.45">
      <c r="I307" t="s">
        <v>182</v>
      </c>
      <c r="J307" t="s">
        <v>166</v>
      </c>
      <c r="K307">
        <v>1.0182273750409343E-2</v>
      </c>
      <c r="L307" t="s">
        <v>164</v>
      </c>
      <c r="N307" t="s">
        <v>210</v>
      </c>
      <c r="O307" t="s">
        <v>166</v>
      </c>
      <c r="P307">
        <v>1.4870007765249635E-3</v>
      </c>
      <c r="Q307" t="s">
        <v>164</v>
      </c>
      <c r="S307" t="s">
        <v>233</v>
      </c>
      <c r="T307" t="s">
        <v>166</v>
      </c>
      <c r="U307">
        <v>2.9189048833543254E-3</v>
      </c>
      <c r="V307" t="s">
        <v>164</v>
      </c>
    </row>
    <row r="308" spans="9:22" x14ac:dyDescent="0.45">
      <c r="I308" t="s">
        <v>182</v>
      </c>
      <c r="J308" t="s">
        <v>253</v>
      </c>
      <c r="K308">
        <v>6.1256037469710235E-2</v>
      </c>
      <c r="L308" t="s">
        <v>164</v>
      </c>
      <c r="N308" t="s">
        <v>210</v>
      </c>
      <c r="O308" t="s">
        <v>253</v>
      </c>
      <c r="P308">
        <v>7.7101707043265161E-3</v>
      </c>
      <c r="Q308" t="s">
        <v>164</v>
      </c>
      <c r="S308" t="s">
        <v>233</v>
      </c>
      <c r="T308" t="s">
        <v>253</v>
      </c>
      <c r="U308">
        <v>2.4008213357576788E-2</v>
      </c>
      <c r="V308" t="s">
        <v>164</v>
      </c>
    </row>
    <row r="309" spans="9:22" x14ac:dyDescent="0.45">
      <c r="I309" t="s">
        <v>182</v>
      </c>
      <c r="J309" t="s">
        <v>254</v>
      </c>
      <c r="K309">
        <v>3.8634690664909686E-3</v>
      </c>
      <c r="L309" t="s">
        <v>164</v>
      </c>
      <c r="N309" t="s">
        <v>210</v>
      </c>
      <c r="O309" t="s">
        <v>254</v>
      </c>
      <c r="P309">
        <v>1.3197134257561657E-3</v>
      </c>
      <c r="Q309" t="s">
        <v>164</v>
      </c>
      <c r="S309" t="s">
        <v>233</v>
      </c>
      <c r="T309" t="s">
        <v>254</v>
      </c>
      <c r="U309">
        <v>5.4191035835614064E-3</v>
      </c>
      <c r="V309" t="s">
        <v>164</v>
      </c>
    </row>
    <row r="310" spans="9:22" x14ac:dyDescent="0.45">
      <c r="I310" t="s">
        <v>182</v>
      </c>
      <c r="J310" t="s">
        <v>255</v>
      </c>
      <c r="K310">
        <v>0</v>
      </c>
      <c r="L310" t="s">
        <v>164</v>
      </c>
      <c r="N310" t="s">
        <v>210</v>
      </c>
      <c r="O310" t="s">
        <v>255</v>
      </c>
      <c r="P310">
        <v>7.2113144783327249E-3</v>
      </c>
      <c r="Q310" t="s">
        <v>164</v>
      </c>
      <c r="S310" t="s">
        <v>233</v>
      </c>
      <c r="T310" t="s">
        <v>255</v>
      </c>
      <c r="U310">
        <v>2.983833158212729E-2</v>
      </c>
      <c r="V310" t="s">
        <v>164</v>
      </c>
    </row>
    <row r="311" spans="9:22" x14ac:dyDescent="0.45">
      <c r="I311" t="s">
        <v>182</v>
      </c>
      <c r="J311" t="s">
        <v>167</v>
      </c>
      <c r="K311">
        <v>1.3473356226526215E-2</v>
      </c>
      <c r="L311" t="s">
        <v>164</v>
      </c>
      <c r="N311" t="s">
        <v>210</v>
      </c>
      <c r="O311" t="s">
        <v>167</v>
      </c>
      <c r="P311">
        <v>2.1995772792513288E-2</v>
      </c>
      <c r="Q311" t="s">
        <v>164</v>
      </c>
      <c r="S311" t="s">
        <v>233</v>
      </c>
      <c r="T311" t="s">
        <v>167</v>
      </c>
      <c r="U311">
        <v>1.7252671938476731E-2</v>
      </c>
      <c r="V311" t="s">
        <v>164</v>
      </c>
    </row>
    <row r="312" spans="9:22" x14ac:dyDescent="0.45">
      <c r="I312" t="s">
        <v>182</v>
      </c>
      <c r="J312" t="s">
        <v>168</v>
      </c>
      <c r="K312">
        <v>9.0923953215016999E-3</v>
      </c>
      <c r="L312" t="s">
        <v>164</v>
      </c>
      <c r="N312" t="s">
        <v>210</v>
      </c>
      <c r="O312" t="s">
        <v>168</v>
      </c>
      <c r="P312">
        <v>2.6242862966477784E-3</v>
      </c>
      <c r="Q312" t="s">
        <v>164</v>
      </c>
      <c r="S312" t="s">
        <v>233</v>
      </c>
      <c r="T312" t="s">
        <v>168</v>
      </c>
      <c r="U312">
        <v>1.2829286786304951E-3</v>
      </c>
      <c r="V312" t="s">
        <v>164</v>
      </c>
    </row>
    <row r="313" spans="9:22" x14ac:dyDescent="0.45">
      <c r="I313" t="s">
        <v>182</v>
      </c>
      <c r="J313" t="s">
        <v>169</v>
      </c>
      <c r="K313">
        <v>9.5737614736742891E-3</v>
      </c>
      <c r="L313" t="s">
        <v>164</v>
      </c>
      <c r="N313" t="s">
        <v>210</v>
      </c>
      <c r="O313" t="s">
        <v>169</v>
      </c>
      <c r="P313">
        <v>2.4759928828577416E-3</v>
      </c>
      <c r="Q313" t="s">
        <v>164</v>
      </c>
      <c r="S313" t="s">
        <v>233</v>
      </c>
      <c r="T313" t="s">
        <v>169</v>
      </c>
      <c r="U313">
        <v>1.4194481690254209E-3</v>
      </c>
      <c r="V313" t="s">
        <v>164</v>
      </c>
    </row>
    <row r="314" spans="9:22" x14ac:dyDescent="0.45">
      <c r="I314" t="s">
        <v>182</v>
      </c>
      <c r="J314" t="s">
        <v>256</v>
      </c>
      <c r="K314">
        <v>5.8056823339020999E-2</v>
      </c>
      <c r="L314" t="s">
        <v>164</v>
      </c>
      <c r="N314" t="s">
        <v>210</v>
      </c>
      <c r="O314" t="s">
        <v>256</v>
      </c>
      <c r="P314">
        <v>1.2291579870958165E-2</v>
      </c>
      <c r="Q314" t="s">
        <v>164</v>
      </c>
      <c r="S314" t="s">
        <v>233</v>
      </c>
      <c r="T314" t="s">
        <v>256</v>
      </c>
      <c r="U314">
        <v>1.3975059756178186E-2</v>
      </c>
      <c r="V314" t="s">
        <v>164</v>
      </c>
    </row>
    <row r="315" spans="9:22" x14ac:dyDescent="0.45">
      <c r="I315" t="s">
        <v>182</v>
      </c>
      <c r="J315" t="s">
        <v>257</v>
      </c>
      <c r="K315">
        <v>3.9587740800009642E-3</v>
      </c>
      <c r="L315" t="s">
        <v>164</v>
      </c>
      <c r="N315" t="s">
        <v>210</v>
      </c>
      <c r="O315" t="s">
        <v>257</v>
      </c>
      <c r="P315">
        <v>1.8155197159901073E-3</v>
      </c>
      <c r="Q315" t="s">
        <v>164</v>
      </c>
      <c r="S315" t="s">
        <v>233</v>
      </c>
      <c r="T315" t="s">
        <v>257</v>
      </c>
      <c r="U315">
        <v>3.9247768128684943E-3</v>
      </c>
      <c r="V315" t="s">
        <v>164</v>
      </c>
    </row>
    <row r="316" spans="9:22" x14ac:dyDescent="0.45">
      <c r="I316" t="s">
        <v>182</v>
      </c>
      <c r="J316" t="s">
        <v>258</v>
      </c>
      <c r="K316">
        <v>0</v>
      </c>
      <c r="L316" t="s">
        <v>164</v>
      </c>
      <c r="N316" t="s">
        <v>210</v>
      </c>
      <c r="O316" t="s">
        <v>258</v>
      </c>
      <c r="P316">
        <v>9.3810148293028035E-3</v>
      </c>
      <c r="Q316" t="s">
        <v>164</v>
      </c>
      <c r="S316" t="s">
        <v>233</v>
      </c>
      <c r="T316" t="s">
        <v>258</v>
      </c>
      <c r="U316">
        <v>2.2059561215856907E-2</v>
      </c>
      <c r="V316" t="s">
        <v>164</v>
      </c>
    </row>
    <row r="317" spans="9:22" x14ac:dyDescent="0.45">
      <c r="I317" t="s">
        <v>182</v>
      </c>
      <c r="J317" t="s">
        <v>170</v>
      </c>
      <c r="K317">
        <v>1.2857788541842444E-2</v>
      </c>
      <c r="L317" t="s">
        <v>164</v>
      </c>
      <c r="N317" t="s">
        <v>210</v>
      </c>
      <c r="O317" t="s">
        <v>170</v>
      </c>
      <c r="P317">
        <v>2.3643256042263448E-2</v>
      </c>
      <c r="Q317" t="s">
        <v>164</v>
      </c>
      <c r="S317" t="s">
        <v>233</v>
      </c>
      <c r="T317" t="s">
        <v>170</v>
      </c>
      <c r="U317">
        <v>5.627585049171979E-3</v>
      </c>
      <c r="V317" t="s">
        <v>164</v>
      </c>
    </row>
    <row r="318" spans="9:22" x14ac:dyDescent="0.45">
      <c r="I318" t="s">
        <v>182</v>
      </c>
      <c r="J318" t="s">
        <v>171</v>
      </c>
      <c r="K318">
        <v>8.8748887047282055E-3</v>
      </c>
      <c r="L318" t="s">
        <v>164</v>
      </c>
      <c r="N318" t="s">
        <v>210</v>
      </c>
      <c r="O318" t="s">
        <v>171</v>
      </c>
      <c r="P318">
        <v>2.6448532235480485E-3</v>
      </c>
      <c r="Q318" t="s">
        <v>164</v>
      </c>
      <c r="S318" t="s">
        <v>233</v>
      </c>
      <c r="T318" t="s">
        <v>171</v>
      </c>
      <c r="U318">
        <v>2.8790242409115503E-4</v>
      </c>
      <c r="V318" t="s">
        <v>164</v>
      </c>
    </row>
    <row r="319" spans="9:22" x14ac:dyDescent="0.45">
      <c r="I319" t="s">
        <v>182</v>
      </c>
      <c r="J319" t="s">
        <v>172</v>
      </c>
      <c r="K319">
        <v>9.4748638915946332E-3</v>
      </c>
      <c r="L319" t="s">
        <v>164</v>
      </c>
      <c r="N319" t="s">
        <v>210</v>
      </c>
      <c r="O319" t="s">
        <v>172</v>
      </c>
      <c r="P319">
        <v>2.4162928807325052E-3</v>
      </c>
      <c r="Q319" t="s">
        <v>164</v>
      </c>
      <c r="S319" t="s">
        <v>233</v>
      </c>
      <c r="T319" t="s">
        <v>172</v>
      </c>
      <c r="U319">
        <v>2.7186932172152837E-4</v>
      </c>
      <c r="V319" t="s">
        <v>164</v>
      </c>
    </row>
    <row r="320" spans="9:22" x14ac:dyDescent="0.45">
      <c r="I320" t="s">
        <v>182</v>
      </c>
      <c r="J320" t="s">
        <v>259</v>
      </c>
      <c r="K320">
        <v>5.6090700267779736E-2</v>
      </c>
      <c r="L320" t="s">
        <v>164</v>
      </c>
      <c r="N320" t="s">
        <v>210</v>
      </c>
      <c r="O320" t="s">
        <v>259</v>
      </c>
      <c r="P320">
        <v>1.3926893911474936E-2</v>
      </c>
      <c r="Q320" t="s">
        <v>164</v>
      </c>
      <c r="S320" t="s">
        <v>233</v>
      </c>
      <c r="T320" t="s">
        <v>259</v>
      </c>
      <c r="U320">
        <v>4.3820590910651144E-3</v>
      </c>
      <c r="V320" t="s">
        <v>164</v>
      </c>
    </row>
    <row r="321" spans="9:22" x14ac:dyDescent="0.45">
      <c r="I321" t="s">
        <v>182</v>
      </c>
      <c r="J321" t="s">
        <v>260</v>
      </c>
      <c r="K321">
        <v>3.4187339194516552E-3</v>
      </c>
      <c r="L321" t="s">
        <v>164</v>
      </c>
      <c r="N321" t="s">
        <v>210</v>
      </c>
      <c r="O321" t="s">
        <v>260</v>
      </c>
      <c r="P321">
        <v>2.0927576363364677E-3</v>
      </c>
      <c r="Q321" t="s">
        <v>164</v>
      </c>
      <c r="S321" t="s">
        <v>233</v>
      </c>
      <c r="T321" t="s">
        <v>260</v>
      </c>
      <c r="U321">
        <v>1.592023818204362E-3</v>
      </c>
      <c r="V321" t="s">
        <v>164</v>
      </c>
    </row>
    <row r="322" spans="9:22" x14ac:dyDescent="0.45">
      <c r="I322" t="s">
        <v>182</v>
      </c>
      <c r="J322" t="s">
        <v>261</v>
      </c>
      <c r="K322">
        <v>0</v>
      </c>
      <c r="L322" t="s">
        <v>164</v>
      </c>
      <c r="N322" t="s">
        <v>210</v>
      </c>
      <c r="O322" t="s">
        <v>261</v>
      </c>
      <c r="P322">
        <v>9.5838663889657311E-3</v>
      </c>
      <c r="Q322" t="s">
        <v>164</v>
      </c>
      <c r="S322" t="s">
        <v>233</v>
      </c>
      <c r="T322" t="s">
        <v>261</v>
      </c>
      <c r="U322">
        <v>7.993509291769809E-3</v>
      </c>
      <c r="V322" t="s">
        <v>164</v>
      </c>
    </row>
    <row r="323" spans="9:22" x14ac:dyDescent="0.45">
      <c r="I323" t="s">
        <v>182</v>
      </c>
      <c r="J323" t="s">
        <v>173</v>
      </c>
      <c r="K323">
        <v>5.5538645801301245E-2</v>
      </c>
      <c r="L323" t="s">
        <v>164</v>
      </c>
      <c r="N323" t="s">
        <v>210</v>
      </c>
      <c r="O323" t="s">
        <v>173</v>
      </c>
      <c r="P323">
        <v>0.19255438931366214</v>
      </c>
      <c r="Q323" t="s">
        <v>164</v>
      </c>
      <c r="S323" t="s">
        <v>233</v>
      </c>
      <c r="T323" t="s">
        <v>173</v>
      </c>
      <c r="U323">
        <v>0.2277867983624231</v>
      </c>
      <c r="V323" t="s">
        <v>164</v>
      </c>
    </row>
    <row r="324" spans="9:22" x14ac:dyDescent="0.45">
      <c r="I324" t="s">
        <v>182</v>
      </c>
      <c r="J324" t="s">
        <v>174</v>
      </c>
      <c r="K324">
        <v>3.6925275950335124E-2</v>
      </c>
      <c r="L324" t="s">
        <v>164</v>
      </c>
      <c r="N324" t="s">
        <v>210</v>
      </c>
      <c r="O324" t="s">
        <v>174</v>
      </c>
      <c r="P324">
        <v>2.5088847854291697E-2</v>
      </c>
      <c r="Q324" t="s">
        <v>164</v>
      </c>
      <c r="S324" t="s">
        <v>233</v>
      </c>
      <c r="T324" t="s">
        <v>174</v>
      </c>
      <c r="U324">
        <v>2.2023878386447846E-2</v>
      </c>
      <c r="V324" t="s">
        <v>164</v>
      </c>
    </row>
    <row r="325" spans="9:22" x14ac:dyDescent="0.45">
      <c r="I325" t="s">
        <v>182</v>
      </c>
      <c r="J325" t="s">
        <v>175</v>
      </c>
      <c r="K325">
        <v>4.1192129647141328E-2</v>
      </c>
      <c r="L325" t="s">
        <v>164</v>
      </c>
      <c r="N325" t="s">
        <v>210</v>
      </c>
      <c r="O325" t="s">
        <v>175</v>
      </c>
      <c r="P325">
        <v>2.5651425615956399E-2</v>
      </c>
      <c r="Q325" t="s">
        <v>164</v>
      </c>
      <c r="S325" t="s">
        <v>233</v>
      </c>
      <c r="T325" t="s">
        <v>175</v>
      </c>
      <c r="U325">
        <v>2.1874948519235698E-2</v>
      </c>
      <c r="V325" t="s">
        <v>164</v>
      </c>
    </row>
    <row r="326" spans="9:22" x14ac:dyDescent="0.45">
      <c r="I326" t="s">
        <v>182</v>
      </c>
      <c r="J326" t="s">
        <v>262</v>
      </c>
      <c r="K326">
        <v>0.23030420222941525</v>
      </c>
      <c r="L326" t="s">
        <v>164</v>
      </c>
      <c r="N326" t="s">
        <v>210</v>
      </c>
      <c r="O326" t="s">
        <v>262</v>
      </c>
      <c r="P326">
        <v>0.15178291233998581</v>
      </c>
      <c r="Q326" t="s">
        <v>164</v>
      </c>
      <c r="S326" t="s">
        <v>233</v>
      </c>
      <c r="T326" t="s">
        <v>262</v>
      </c>
      <c r="U326">
        <v>0.16539562680893127</v>
      </c>
      <c r="V326" t="s">
        <v>164</v>
      </c>
    </row>
    <row r="327" spans="9:22" x14ac:dyDescent="0.45">
      <c r="I327" t="s">
        <v>182</v>
      </c>
      <c r="J327" t="s">
        <v>263</v>
      </c>
      <c r="K327">
        <v>5.926114682025232E-3</v>
      </c>
      <c r="L327" t="s">
        <v>164</v>
      </c>
      <c r="N327" t="s">
        <v>210</v>
      </c>
      <c r="O327" t="s">
        <v>263</v>
      </c>
      <c r="P327">
        <v>2.5679763871553768E-2</v>
      </c>
      <c r="Q327" t="s">
        <v>164</v>
      </c>
      <c r="S327" t="s">
        <v>233</v>
      </c>
      <c r="T327" t="s">
        <v>263</v>
      </c>
      <c r="U327">
        <v>2.7859145362975221E-2</v>
      </c>
      <c r="V327" t="s">
        <v>164</v>
      </c>
    </row>
    <row r="328" spans="9:22" x14ac:dyDescent="0.45">
      <c r="I328" t="s">
        <v>182</v>
      </c>
      <c r="J328" t="s">
        <v>264</v>
      </c>
      <c r="K328">
        <v>0</v>
      </c>
      <c r="L328" t="s">
        <v>164</v>
      </c>
      <c r="N328" t="s">
        <v>210</v>
      </c>
      <c r="O328" t="s">
        <v>264</v>
      </c>
      <c r="P328">
        <v>0.1503684412402998</v>
      </c>
      <c r="Q328" t="s">
        <v>164</v>
      </c>
      <c r="S328" t="s">
        <v>233</v>
      </c>
      <c r="T328" t="s">
        <v>264</v>
      </c>
      <c r="U328">
        <v>0.1557945907867872</v>
      </c>
      <c r="V328" t="s">
        <v>164</v>
      </c>
    </row>
    <row r="329" spans="9:22" x14ac:dyDescent="0.45">
      <c r="I329" t="s">
        <v>182</v>
      </c>
      <c r="J329" t="s">
        <v>265</v>
      </c>
      <c r="K329">
        <v>1.6777534270199252E-2</v>
      </c>
      <c r="L329" t="s">
        <v>164</v>
      </c>
      <c r="N329" t="s">
        <v>210</v>
      </c>
      <c r="O329" t="s">
        <v>265</v>
      </c>
      <c r="P329">
        <v>4.1693649403020276E-2</v>
      </c>
      <c r="Q329" t="s">
        <v>164</v>
      </c>
      <c r="S329" t="s">
        <v>233</v>
      </c>
      <c r="T329" t="s">
        <v>265</v>
      </c>
      <c r="U329">
        <v>2.5864859196971977E-2</v>
      </c>
      <c r="V329" t="s">
        <v>164</v>
      </c>
    </row>
    <row r="330" spans="9:22" x14ac:dyDescent="0.45">
      <c r="I330" t="s">
        <v>182</v>
      </c>
      <c r="J330" t="s">
        <v>266</v>
      </c>
      <c r="K330">
        <v>9.1049734501742492E-3</v>
      </c>
      <c r="L330" t="s">
        <v>164</v>
      </c>
      <c r="N330" t="s">
        <v>210</v>
      </c>
      <c r="O330" t="s">
        <v>266</v>
      </c>
      <c r="P330">
        <v>4.8436460868314804E-3</v>
      </c>
      <c r="Q330" t="s">
        <v>164</v>
      </c>
      <c r="S330" t="s">
        <v>233</v>
      </c>
      <c r="T330" t="s">
        <v>266</v>
      </c>
      <c r="U330">
        <v>2.5028945497056537E-3</v>
      </c>
      <c r="V330" t="s">
        <v>164</v>
      </c>
    </row>
    <row r="331" spans="9:22" x14ac:dyDescent="0.45">
      <c r="I331" t="s">
        <v>182</v>
      </c>
      <c r="J331" t="s">
        <v>267</v>
      </c>
      <c r="K331">
        <v>9.7349931139333722E-3</v>
      </c>
      <c r="L331" t="s">
        <v>164</v>
      </c>
      <c r="N331" t="s">
        <v>210</v>
      </c>
      <c r="O331" t="s">
        <v>267</v>
      </c>
      <c r="P331">
        <v>4.6725727259899347E-3</v>
      </c>
      <c r="Q331" t="s">
        <v>164</v>
      </c>
      <c r="S331" t="s">
        <v>233</v>
      </c>
      <c r="T331" t="s">
        <v>267</v>
      </c>
      <c r="U331">
        <v>2.3630775925149198E-3</v>
      </c>
      <c r="V331" t="s">
        <v>164</v>
      </c>
    </row>
    <row r="332" spans="9:22" x14ac:dyDescent="0.45">
      <c r="I332" t="s">
        <v>182</v>
      </c>
      <c r="J332" t="s">
        <v>268</v>
      </c>
      <c r="K332">
        <v>5.2682788164742332E-2</v>
      </c>
      <c r="L332" t="s">
        <v>164</v>
      </c>
      <c r="N332" t="s">
        <v>210</v>
      </c>
      <c r="O332" t="s">
        <v>268</v>
      </c>
      <c r="P332">
        <v>2.7666488278440874E-2</v>
      </c>
      <c r="Q332" t="s">
        <v>164</v>
      </c>
      <c r="S332" t="s">
        <v>233</v>
      </c>
      <c r="T332" t="s">
        <v>268</v>
      </c>
      <c r="U332">
        <v>1.7411489101836063E-2</v>
      </c>
      <c r="V332" t="s">
        <v>164</v>
      </c>
    </row>
    <row r="333" spans="9:22" x14ac:dyDescent="0.45">
      <c r="I333" t="s">
        <v>182</v>
      </c>
      <c r="J333" t="s">
        <v>269</v>
      </c>
      <c r="K333">
        <v>3.970226912995194E-5</v>
      </c>
      <c r="L333" t="s">
        <v>164</v>
      </c>
      <c r="N333" t="s">
        <v>210</v>
      </c>
      <c r="O333" t="s">
        <v>269</v>
      </c>
      <c r="P333">
        <v>5.7648484216270635E-3</v>
      </c>
      <c r="Q333" t="s">
        <v>164</v>
      </c>
      <c r="S333" t="s">
        <v>233</v>
      </c>
      <c r="T333" t="s">
        <v>269</v>
      </c>
      <c r="U333">
        <v>3.5371028844817056E-3</v>
      </c>
      <c r="V333" t="s">
        <v>164</v>
      </c>
    </row>
    <row r="334" spans="9:22" x14ac:dyDescent="0.45">
      <c r="I334" t="s">
        <v>182</v>
      </c>
      <c r="J334" t="s">
        <v>270</v>
      </c>
      <c r="K334">
        <v>0</v>
      </c>
      <c r="L334" t="s">
        <v>164</v>
      </c>
      <c r="N334" t="s">
        <v>210</v>
      </c>
      <c r="O334" t="s">
        <v>270</v>
      </c>
      <c r="P334">
        <v>3.0916826677607694E-2</v>
      </c>
      <c r="Q334" t="s">
        <v>164</v>
      </c>
      <c r="S334" t="s">
        <v>233</v>
      </c>
      <c r="T334" t="s">
        <v>270</v>
      </c>
      <c r="U334">
        <v>1.9823017393284847E-2</v>
      </c>
      <c r="V334" t="s">
        <v>164</v>
      </c>
    </row>
    <row r="335" spans="9:22" x14ac:dyDescent="0.45">
      <c r="I335" t="s">
        <v>182</v>
      </c>
      <c r="J335" t="s">
        <v>271</v>
      </c>
      <c r="K335">
        <v>2.1683360444524655E-2</v>
      </c>
      <c r="L335" t="s">
        <v>164</v>
      </c>
      <c r="N335" t="s">
        <v>210</v>
      </c>
      <c r="O335" t="s">
        <v>271</v>
      </c>
      <c r="P335">
        <v>4.182771226175977E-2</v>
      </c>
      <c r="Q335" t="s">
        <v>164</v>
      </c>
      <c r="S335" t="s">
        <v>233</v>
      </c>
      <c r="T335" t="s">
        <v>271</v>
      </c>
      <c r="U335">
        <v>2.1106656304618773E-2</v>
      </c>
      <c r="V335" t="s">
        <v>164</v>
      </c>
    </row>
    <row r="336" spans="9:22" x14ac:dyDescent="0.45">
      <c r="I336" t="s">
        <v>182</v>
      </c>
      <c r="J336" t="s">
        <v>272</v>
      </c>
      <c r="K336">
        <v>9.9072129047356114E-3</v>
      </c>
      <c r="L336" t="s">
        <v>164</v>
      </c>
      <c r="N336" t="s">
        <v>210</v>
      </c>
      <c r="O336" t="s">
        <v>272</v>
      </c>
      <c r="P336">
        <v>4.7700326523926256E-3</v>
      </c>
      <c r="Q336" t="s">
        <v>164</v>
      </c>
      <c r="S336" t="s">
        <v>233</v>
      </c>
      <c r="T336" t="s">
        <v>272</v>
      </c>
      <c r="U336">
        <v>1.7676443732579539E-3</v>
      </c>
      <c r="V336" t="s">
        <v>164</v>
      </c>
    </row>
    <row r="337" spans="9:22" x14ac:dyDescent="0.45">
      <c r="I337" t="s">
        <v>182</v>
      </c>
      <c r="J337" t="s">
        <v>273</v>
      </c>
      <c r="K337">
        <v>1.0267729372026366E-2</v>
      </c>
      <c r="L337" t="s">
        <v>164</v>
      </c>
      <c r="N337" t="s">
        <v>210</v>
      </c>
      <c r="O337" t="s">
        <v>273</v>
      </c>
      <c r="P337">
        <v>4.6271186822012542E-3</v>
      </c>
      <c r="Q337" t="s">
        <v>164</v>
      </c>
      <c r="S337" t="s">
        <v>233</v>
      </c>
      <c r="T337" t="s">
        <v>273</v>
      </c>
      <c r="U337">
        <v>1.6674082982632299E-3</v>
      </c>
      <c r="V337" t="s">
        <v>164</v>
      </c>
    </row>
    <row r="338" spans="9:22" x14ac:dyDescent="0.45">
      <c r="I338" t="s">
        <v>182</v>
      </c>
      <c r="J338" t="s">
        <v>274</v>
      </c>
      <c r="K338">
        <v>5.6080723337143541E-2</v>
      </c>
      <c r="L338" t="s">
        <v>164</v>
      </c>
      <c r="N338" t="s">
        <v>210</v>
      </c>
      <c r="O338" t="s">
        <v>274</v>
      </c>
      <c r="P338">
        <v>3.1368222974978023E-2</v>
      </c>
      <c r="Q338" t="s">
        <v>164</v>
      </c>
      <c r="S338" t="s">
        <v>233</v>
      </c>
      <c r="T338" t="s">
        <v>274</v>
      </c>
      <c r="U338">
        <v>1.3924154803849372E-2</v>
      </c>
      <c r="V338" t="s">
        <v>164</v>
      </c>
    </row>
    <row r="339" spans="9:22" x14ac:dyDescent="0.45">
      <c r="I339" t="s">
        <v>182</v>
      </c>
      <c r="J339" t="s">
        <v>275</v>
      </c>
      <c r="K339">
        <v>0</v>
      </c>
      <c r="L339" t="s">
        <v>164</v>
      </c>
      <c r="N339" t="s">
        <v>210</v>
      </c>
      <c r="O339" t="s">
        <v>275</v>
      </c>
      <c r="P339">
        <v>5.5062519107134701E-3</v>
      </c>
      <c r="Q339" t="s">
        <v>164</v>
      </c>
      <c r="S339" t="s">
        <v>233</v>
      </c>
      <c r="T339" t="s">
        <v>275</v>
      </c>
      <c r="U339">
        <v>3.5986145644803591E-3</v>
      </c>
      <c r="V339" t="s">
        <v>164</v>
      </c>
    </row>
    <row r="340" spans="9:22" x14ac:dyDescent="0.45">
      <c r="I340" t="s">
        <v>182</v>
      </c>
      <c r="J340" t="s">
        <v>276</v>
      </c>
      <c r="K340">
        <v>0</v>
      </c>
      <c r="L340" t="s">
        <v>164</v>
      </c>
      <c r="N340" t="s">
        <v>210</v>
      </c>
      <c r="O340" t="s">
        <v>276</v>
      </c>
      <c r="P340">
        <v>2.965745050931539E-2</v>
      </c>
      <c r="Q340" t="s">
        <v>164</v>
      </c>
      <c r="S340" t="s">
        <v>233</v>
      </c>
      <c r="T340" t="s">
        <v>276</v>
      </c>
      <c r="U340">
        <v>2.0703185477082699E-2</v>
      </c>
      <c r="V340" t="s">
        <v>164</v>
      </c>
    </row>
    <row r="341" spans="9:22" x14ac:dyDescent="0.45">
      <c r="I341" t="s">
        <v>182</v>
      </c>
      <c r="J341" t="s">
        <v>277</v>
      </c>
      <c r="K341">
        <v>2.944395365360037E-2</v>
      </c>
      <c r="L341" t="s">
        <v>164</v>
      </c>
      <c r="N341" t="s">
        <v>210</v>
      </c>
      <c r="O341" t="s">
        <v>277</v>
      </c>
      <c r="P341">
        <v>1.9151109387027399E-2</v>
      </c>
      <c r="Q341" t="s">
        <v>164</v>
      </c>
      <c r="S341" t="s">
        <v>233</v>
      </c>
      <c r="T341" t="s">
        <v>277</v>
      </c>
      <c r="U341">
        <v>2.0382682747087478E-2</v>
      </c>
      <c r="V341" t="s">
        <v>164</v>
      </c>
    </row>
    <row r="342" spans="9:22" x14ac:dyDescent="0.45">
      <c r="I342" t="s">
        <v>182</v>
      </c>
      <c r="J342" t="s">
        <v>278</v>
      </c>
      <c r="K342">
        <v>1.6043057575214088E-2</v>
      </c>
      <c r="L342" t="s">
        <v>164</v>
      </c>
      <c r="N342" t="s">
        <v>210</v>
      </c>
      <c r="O342" t="s">
        <v>278</v>
      </c>
      <c r="P342">
        <v>2.4545573613812036E-3</v>
      </c>
      <c r="Q342" t="s">
        <v>164</v>
      </c>
      <c r="S342" t="s">
        <v>233</v>
      </c>
      <c r="T342" t="s">
        <v>278</v>
      </c>
      <c r="U342">
        <v>1.5855923509244712E-3</v>
      </c>
      <c r="V342" t="s">
        <v>164</v>
      </c>
    </row>
    <row r="343" spans="9:22" x14ac:dyDescent="0.45">
      <c r="I343" t="s">
        <v>182</v>
      </c>
      <c r="J343" t="s">
        <v>279</v>
      </c>
      <c r="K343">
        <v>1.7000694166343661E-2</v>
      </c>
      <c r="L343" t="s">
        <v>164</v>
      </c>
      <c r="N343" t="s">
        <v>210</v>
      </c>
      <c r="O343" t="s">
        <v>279</v>
      </c>
      <c r="P343">
        <v>2.3087676880186258E-3</v>
      </c>
      <c r="Q343" t="s">
        <v>164</v>
      </c>
      <c r="S343" t="s">
        <v>233</v>
      </c>
      <c r="T343" t="s">
        <v>279</v>
      </c>
      <c r="U343">
        <v>1.7231339820208322E-3</v>
      </c>
      <c r="V343" t="s">
        <v>164</v>
      </c>
    </row>
    <row r="344" spans="9:22" x14ac:dyDescent="0.45">
      <c r="I344" t="s">
        <v>182</v>
      </c>
      <c r="J344" t="s">
        <v>280</v>
      </c>
      <c r="K344">
        <v>9.6446363507947358E-2</v>
      </c>
      <c r="L344" t="s">
        <v>164</v>
      </c>
      <c r="N344" t="s">
        <v>210</v>
      </c>
      <c r="O344" t="s">
        <v>280</v>
      </c>
      <c r="P344">
        <v>1.5444914277527012E-2</v>
      </c>
      <c r="Q344" t="s">
        <v>164</v>
      </c>
      <c r="S344" t="s">
        <v>233</v>
      </c>
      <c r="T344" t="s">
        <v>280</v>
      </c>
      <c r="U344">
        <v>1.9367013558876323E-2</v>
      </c>
      <c r="V344" t="s">
        <v>164</v>
      </c>
    </row>
    <row r="345" spans="9:22" x14ac:dyDescent="0.45">
      <c r="I345" t="s">
        <v>182</v>
      </c>
      <c r="J345" t="s">
        <v>281</v>
      </c>
      <c r="K345">
        <v>2.4730275912058413E-4</v>
      </c>
      <c r="L345" t="s">
        <v>164</v>
      </c>
      <c r="N345" t="s">
        <v>210</v>
      </c>
      <c r="O345" t="s">
        <v>281</v>
      </c>
      <c r="P345">
        <v>2.8920496151214796E-3</v>
      </c>
      <c r="Q345" t="s">
        <v>164</v>
      </c>
      <c r="S345" t="s">
        <v>233</v>
      </c>
      <c r="T345" t="s">
        <v>281</v>
      </c>
      <c r="U345">
        <v>4.9038507301633729E-3</v>
      </c>
      <c r="V345" t="s">
        <v>164</v>
      </c>
    </row>
    <row r="346" spans="9:22" x14ac:dyDescent="0.45">
      <c r="I346" t="s">
        <v>182</v>
      </c>
      <c r="J346" t="s">
        <v>282</v>
      </c>
      <c r="K346">
        <v>0</v>
      </c>
      <c r="L346" t="s">
        <v>164</v>
      </c>
      <c r="N346" t="s">
        <v>210</v>
      </c>
      <c r="O346" t="s">
        <v>282</v>
      </c>
      <c r="P346">
        <v>1.4408135592407308E-2</v>
      </c>
      <c r="Q346" t="s">
        <v>164</v>
      </c>
      <c r="S346" t="s">
        <v>233</v>
      </c>
      <c r="T346" t="s">
        <v>282</v>
      </c>
      <c r="U346">
        <v>2.4883011876195842E-2</v>
      </c>
      <c r="V346" t="s">
        <v>164</v>
      </c>
    </row>
    <row r="347" spans="9:22" x14ac:dyDescent="0.45">
      <c r="I347" t="s">
        <v>183</v>
      </c>
      <c r="J347" t="s">
        <v>163</v>
      </c>
      <c r="K347">
        <v>1.4302797951873614E-2</v>
      </c>
      <c r="L347" t="s">
        <v>164</v>
      </c>
      <c r="N347" t="s">
        <v>211</v>
      </c>
      <c r="O347" t="s">
        <v>163</v>
      </c>
      <c r="P347">
        <v>2.5480114194072201E-2</v>
      </c>
      <c r="Q347" t="s">
        <v>164</v>
      </c>
      <c r="S347" t="s">
        <v>234</v>
      </c>
      <c r="T347" t="s">
        <v>163</v>
      </c>
      <c r="U347">
        <v>2.3648866639654074E-2</v>
      </c>
      <c r="V347" t="s">
        <v>164</v>
      </c>
    </row>
    <row r="348" spans="9:22" x14ac:dyDescent="0.45">
      <c r="I348" t="s">
        <v>183</v>
      </c>
      <c r="J348" t="s">
        <v>165</v>
      </c>
      <c r="K348">
        <v>9.4891864818322964E-3</v>
      </c>
      <c r="L348" t="s">
        <v>164</v>
      </c>
      <c r="N348" t="s">
        <v>211</v>
      </c>
      <c r="O348" t="s">
        <v>165</v>
      </c>
      <c r="P348">
        <v>3.2090917795571609E-3</v>
      </c>
      <c r="Q348" t="s">
        <v>164</v>
      </c>
      <c r="S348" t="s">
        <v>234</v>
      </c>
      <c r="T348" t="s">
        <v>165</v>
      </c>
      <c r="U348">
        <v>2.0000227673634594E-3</v>
      </c>
      <c r="V348" t="s">
        <v>164</v>
      </c>
    </row>
    <row r="349" spans="9:22" x14ac:dyDescent="0.45">
      <c r="I349" t="s">
        <v>183</v>
      </c>
      <c r="J349" t="s">
        <v>166</v>
      </c>
      <c r="K349">
        <v>1.0159509993848268E-2</v>
      </c>
      <c r="L349" t="s">
        <v>164</v>
      </c>
      <c r="N349" t="s">
        <v>211</v>
      </c>
      <c r="O349" t="s">
        <v>166</v>
      </c>
      <c r="P349">
        <v>3.4298955765741396E-3</v>
      </c>
      <c r="Q349" t="s">
        <v>164</v>
      </c>
      <c r="S349" t="s">
        <v>234</v>
      </c>
      <c r="T349" t="s">
        <v>166</v>
      </c>
      <c r="U349">
        <v>1.8590568850540958E-3</v>
      </c>
      <c r="V349" t="s">
        <v>164</v>
      </c>
    </row>
    <row r="350" spans="9:22" x14ac:dyDescent="0.45">
      <c r="I350" t="s">
        <v>183</v>
      </c>
      <c r="J350" t="s">
        <v>253</v>
      </c>
      <c r="K350">
        <v>6.1455597670276162E-2</v>
      </c>
      <c r="L350" t="s">
        <v>164</v>
      </c>
      <c r="N350" t="s">
        <v>211</v>
      </c>
      <c r="O350" t="s">
        <v>253</v>
      </c>
      <c r="P350">
        <v>1.8260380431908026E-2</v>
      </c>
      <c r="Q350" t="s">
        <v>164</v>
      </c>
      <c r="S350" t="s">
        <v>234</v>
      </c>
      <c r="T350" t="s">
        <v>253</v>
      </c>
      <c r="U350">
        <v>2.0684483080043167E-2</v>
      </c>
      <c r="V350" t="s">
        <v>164</v>
      </c>
    </row>
    <row r="351" spans="9:22" x14ac:dyDescent="0.45">
      <c r="I351" t="s">
        <v>183</v>
      </c>
      <c r="J351" t="s">
        <v>254</v>
      </c>
      <c r="K351">
        <v>3.7177011609259895E-3</v>
      </c>
      <c r="L351" t="s">
        <v>164</v>
      </c>
      <c r="N351" t="s">
        <v>211</v>
      </c>
      <c r="O351" t="s">
        <v>254</v>
      </c>
      <c r="P351">
        <v>3.096509413298215E-3</v>
      </c>
      <c r="Q351" t="s">
        <v>164</v>
      </c>
      <c r="S351" t="s">
        <v>234</v>
      </c>
      <c r="T351" t="s">
        <v>254</v>
      </c>
      <c r="U351">
        <v>5.7766852923307032E-3</v>
      </c>
      <c r="V351" t="s">
        <v>164</v>
      </c>
    </row>
    <row r="352" spans="9:22" x14ac:dyDescent="0.45">
      <c r="I352" t="s">
        <v>183</v>
      </c>
      <c r="J352" t="s">
        <v>255</v>
      </c>
      <c r="K352">
        <v>0</v>
      </c>
      <c r="L352" t="s">
        <v>164</v>
      </c>
      <c r="N352" t="s">
        <v>211</v>
      </c>
      <c r="O352" t="s">
        <v>255</v>
      </c>
      <c r="P352">
        <v>1.9300777502257477E-2</v>
      </c>
      <c r="Q352" t="s">
        <v>164</v>
      </c>
      <c r="S352" t="s">
        <v>234</v>
      </c>
      <c r="T352" t="s">
        <v>255</v>
      </c>
      <c r="U352">
        <v>2.8261344489155311E-2</v>
      </c>
      <c r="V352" t="s">
        <v>164</v>
      </c>
    </row>
    <row r="353" spans="9:22" x14ac:dyDescent="0.45">
      <c r="I353" t="s">
        <v>183</v>
      </c>
      <c r="J353" t="s">
        <v>167</v>
      </c>
      <c r="K353">
        <v>1.2583951913236477E-2</v>
      </c>
      <c r="L353" t="s">
        <v>164</v>
      </c>
      <c r="N353" t="s">
        <v>211</v>
      </c>
      <c r="O353" t="s">
        <v>167</v>
      </c>
      <c r="P353">
        <v>2.4749463698991725E-2</v>
      </c>
      <c r="Q353" t="s">
        <v>164</v>
      </c>
      <c r="S353" t="s">
        <v>234</v>
      </c>
      <c r="T353" t="s">
        <v>167</v>
      </c>
      <c r="U353">
        <v>1.4413450390601927E-2</v>
      </c>
      <c r="V353" t="s">
        <v>164</v>
      </c>
    </row>
    <row r="354" spans="9:22" x14ac:dyDescent="0.45">
      <c r="I354" t="s">
        <v>183</v>
      </c>
      <c r="J354" t="s">
        <v>168</v>
      </c>
      <c r="K354">
        <v>8.7371266439758826E-3</v>
      </c>
      <c r="L354" t="s">
        <v>164</v>
      </c>
      <c r="N354" t="s">
        <v>211</v>
      </c>
      <c r="O354" t="s">
        <v>168</v>
      </c>
      <c r="P354">
        <v>2.2477700770341912E-3</v>
      </c>
      <c r="Q354" t="s">
        <v>164</v>
      </c>
      <c r="S354" t="s">
        <v>234</v>
      </c>
      <c r="T354" t="s">
        <v>168</v>
      </c>
      <c r="U354">
        <v>9.7008147135522777E-4</v>
      </c>
      <c r="V354" t="s">
        <v>164</v>
      </c>
    </row>
    <row r="355" spans="9:22" x14ac:dyDescent="0.45">
      <c r="I355" t="s">
        <v>183</v>
      </c>
      <c r="J355" t="s">
        <v>169</v>
      </c>
      <c r="K355">
        <v>9.3082223826642697E-3</v>
      </c>
      <c r="L355" t="s">
        <v>164</v>
      </c>
      <c r="N355" t="s">
        <v>211</v>
      </c>
      <c r="O355" t="s">
        <v>169</v>
      </c>
      <c r="P355">
        <v>2.6656362543233873E-3</v>
      </c>
      <c r="Q355" t="s">
        <v>164</v>
      </c>
      <c r="S355" t="s">
        <v>234</v>
      </c>
      <c r="T355" t="s">
        <v>169</v>
      </c>
      <c r="U355">
        <v>9.044356886084516E-4</v>
      </c>
      <c r="V355" t="s">
        <v>164</v>
      </c>
    </row>
    <row r="356" spans="9:22" x14ac:dyDescent="0.45">
      <c r="I356" t="s">
        <v>183</v>
      </c>
      <c r="J356" t="s">
        <v>256</v>
      </c>
      <c r="K356">
        <v>5.6019595743003449E-2</v>
      </c>
      <c r="L356" t="s">
        <v>164</v>
      </c>
      <c r="N356" t="s">
        <v>211</v>
      </c>
      <c r="O356" t="s">
        <v>256</v>
      </c>
      <c r="P356">
        <v>1.7781130030756986E-2</v>
      </c>
      <c r="Q356" t="s">
        <v>164</v>
      </c>
      <c r="S356" t="s">
        <v>234</v>
      </c>
      <c r="T356" t="s">
        <v>256</v>
      </c>
      <c r="U356">
        <v>1.4444001861128901E-2</v>
      </c>
      <c r="V356" t="s">
        <v>164</v>
      </c>
    </row>
    <row r="357" spans="9:22" x14ac:dyDescent="0.45">
      <c r="I357" t="s">
        <v>183</v>
      </c>
      <c r="J357" t="s">
        <v>257</v>
      </c>
      <c r="K357">
        <v>3.5222048573645037E-3</v>
      </c>
      <c r="L357" t="s">
        <v>164</v>
      </c>
      <c r="N357" t="s">
        <v>211</v>
      </c>
      <c r="O357" t="s">
        <v>257</v>
      </c>
      <c r="P357">
        <v>3.2020721447190942E-3</v>
      </c>
      <c r="Q357" t="s">
        <v>164</v>
      </c>
      <c r="S357" t="s">
        <v>234</v>
      </c>
      <c r="T357" t="s">
        <v>257</v>
      </c>
      <c r="U357">
        <v>4.5674830881788624E-3</v>
      </c>
      <c r="V357" t="s">
        <v>164</v>
      </c>
    </row>
    <row r="358" spans="9:22" x14ac:dyDescent="0.45">
      <c r="I358" t="s">
        <v>183</v>
      </c>
      <c r="J358" t="s">
        <v>258</v>
      </c>
      <c r="K358">
        <v>0</v>
      </c>
      <c r="L358" t="s">
        <v>164</v>
      </c>
      <c r="N358" t="s">
        <v>211</v>
      </c>
      <c r="O358" t="s">
        <v>258</v>
      </c>
      <c r="P358">
        <v>1.9932090721169499E-2</v>
      </c>
      <c r="Q358" t="s">
        <v>164</v>
      </c>
      <c r="S358" t="s">
        <v>234</v>
      </c>
      <c r="T358" t="s">
        <v>258</v>
      </c>
      <c r="U358">
        <v>2.1839561555081714E-2</v>
      </c>
      <c r="V358" t="s">
        <v>164</v>
      </c>
    </row>
    <row r="359" spans="9:22" x14ac:dyDescent="0.45">
      <c r="I359" t="s">
        <v>183</v>
      </c>
      <c r="J359" t="s">
        <v>170</v>
      </c>
      <c r="K359">
        <v>1.3093904407881472E-2</v>
      </c>
      <c r="L359" t="s">
        <v>164</v>
      </c>
      <c r="N359" t="s">
        <v>211</v>
      </c>
      <c r="O359" t="s">
        <v>170</v>
      </c>
      <c r="P359">
        <v>1.6628404414451962E-2</v>
      </c>
      <c r="Q359" t="s">
        <v>164</v>
      </c>
      <c r="S359" t="s">
        <v>234</v>
      </c>
      <c r="T359" t="s">
        <v>170</v>
      </c>
      <c r="U359">
        <v>5.9218199116433633E-3</v>
      </c>
      <c r="V359" t="s">
        <v>164</v>
      </c>
    </row>
    <row r="360" spans="9:22" x14ac:dyDescent="0.45">
      <c r="I360" t="s">
        <v>183</v>
      </c>
      <c r="J360" t="s">
        <v>171</v>
      </c>
      <c r="K360">
        <v>9.0435065937822315E-3</v>
      </c>
      <c r="L360" t="s">
        <v>164</v>
      </c>
      <c r="N360" t="s">
        <v>211</v>
      </c>
      <c r="O360" t="s">
        <v>171</v>
      </c>
      <c r="P360">
        <v>1.123794784819099E-3</v>
      </c>
      <c r="Q360" t="s">
        <v>164</v>
      </c>
      <c r="S360" t="s">
        <v>234</v>
      </c>
      <c r="T360" t="s">
        <v>171</v>
      </c>
      <c r="U360">
        <v>2.4799650457148258E-4</v>
      </c>
      <c r="V360" t="s">
        <v>164</v>
      </c>
    </row>
    <row r="361" spans="9:22" x14ac:dyDescent="0.45">
      <c r="I361" t="s">
        <v>183</v>
      </c>
      <c r="J361" t="s">
        <v>172</v>
      </c>
      <c r="K361">
        <v>9.6104209319671369E-3</v>
      </c>
      <c r="L361" t="s">
        <v>164</v>
      </c>
      <c r="N361" t="s">
        <v>211</v>
      </c>
      <c r="O361" t="s">
        <v>172</v>
      </c>
      <c r="P361">
        <v>1.0593904088073078E-3</v>
      </c>
      <c r="Q361" t="s">
        <v>164</v>
      </c>
      <c r="S361" t="s">
        <v>234</v>
      </c>
      <c r="T361" t="s">
        <v>172</v>
      </c>
      <c r="U361">
        <v>2.5423794863753982E-4</v>
      </c>
      <c r="V361" t="s">
        <v>164</v>
      </c>
    </row>
    <row r="362" spans="9:22" x14ac:dyDescent="0.45">
      <c r="I362" t="s">
        <v>183</v>
      </c>
      <c r="J362" t="s">
        <v>259</v>
      </c>
      <c r="K362">
        <v>5.6467124316972428E-2</v>
      </c>
      <c r="L362" t="s">
        <v>164</v>
      </c>
      <c r="N362" t="s">
        <v>211</v>
      </c>
      <c r="O362" t="s">
        <v>259</v>
      </c>
      <c r="P362">
        <v>7.0561834623128076E-3</v>
      </c>
      <c r="Q362" t="s">
        <v>164</v>
      </c>
      <c r="S362" t="s">
        <v>234</v>
      </c>
      <c r="T362" t="s">
        <v>259</v>
      </c>
      <c r="U362">
        <v>6.7860530906529324E-3</v>
      </c>
      <c r="V362" t="s">
        <v>164</v>
      </c>
    </row>
    <row r="363" spans="9:22" x14ac:dyDescent="0.45">
      <c r="I363" t="s">
        <v>183</v>
      </c>
      <c r="J363" t="s">
        <v>260</v>
      </c>
      <c r="K363">
        <v>2.9322145926647964E-3</v>
      </c>
      <c r="L363" t="s">
        <v>164</v>
      </c>
      <c r="N363" t="s">
        <v>211</v>
      </c>
      <c r="O363" t="s">
        <v>260</v>
      </c>
      <c r="P363">
        <v>1.3915774332868842E-3</v>
      </c>
      <c r="Q363" t="s">
        <v>164</v>
      </c>
      <c r="S363" t="s">
        <v>234</v>
      </c>
      <c r="T363" t="s">
        <v>260</v>
      </c>
      <c r="U363">
        <v>1.965889336295597E-3</v>
      </c>
      <c r="V363" t="s">
        <v>164</v>
      </c>
    </row>
    <row r="364" spans="9:22" x14ac:dyDescent="0.45">
      <c r="I364" t="s">
        <v>183</v>
      </c>
      <c r="J364" t="s">
        <v>261</v>
      </c>
      <c r="K364">
        <v>0</v>
      </c>
      <c r="L364" t="s">
        <v>164</v>
      </c>
      <c r="N364" t="s">
        <v>211</v>
      </c>
      <c r="O364" t="s">
        <v>261</v>
      </c>
      <c r="P364">
        <v>8.2929798421282046E-3</v>
      </c>
      <c r="Q364" t="s">
        <v>164</v>
      </c>
      <c r="S364" t="s">
        <v>234</v>
      </c>
      <c r="T364" t="s">
        <v>261</v>
      </c>
      <c r="U364">
        <v>9.2455292993104329E-3</v>
      </c>
      <c r="V364" t="s">
        <v>164</v>
      </c>
    </row>
    <row r="365" spans="9:22" x14ac:dyDescent="0.45">
      <c r="I365" t="s">
        <v>183</v>
      </c>
      <c r="J365" t="s">
        <v>173</v>
      </c>
      <c r="K365">
        <v>5.1083173439956046E-2</v>
      </c>
      <c r="L365" t="s">
        <v>164</v>
      </c>
      <c r="N365" t="s">
        <v>211</v>
      </c>
      <c r="O365" t="s">
        <v>173</v>
      </c>
      <c r="P365">
        <v>0.21072486651871761</v>
      </c>
      <c r="Q365" t="s">
        <v>164</v>
      </c>
      <c r="S365" t="s">
        <v>234</v>
      </c>
      <c r="T365" t="s">
        <v>173</v>
      </c>
      <c r="U365">
        <v>0.21583149783921921</v>
      </c>
      <c r="V365" t="s">
        <v>164</v>
      </c>
    </row>
    <row r="366" spans="9:22" x14ac:dyDescent="0.45">
      <c r="I366" t="s">
        <v>183</v>
      </c>
      <c r="J366" t="s">
        <v>174</v>
      </c>
      <c r="K366">
        <v>3.5300970450936289E-2</v>
      </c>
      <c r="L366" t="s">
        <v>164</v>
      </c>
      <c r="N366" t="s">
        <v>211</v>
      </c>
      <c r="O366" t="s">
        <v>174</v>
      </c>
      <c r="P366">
        <v>3.1507900388588271E-2</v>
      </c>
      <c r="Q366" t="s">
        <v>164</v>
      </c>
      <c r="S366" t="s">
        <v>234</v>
      </c>
      <c r="T366" t="s">
        <v>174</v>
      </c>
      <c r="U366">
        <v>2.0944755692814079E-2</v>
      </c>
      <c r="V366" t="s">
        <v>164</v>
      </c>
    </row>
    <row r="367" spans="9:22" x14ac:dyDescent="0.45">
      <c r="I367" t="s">
        <v>183</v>
      </c>
      <c r="J367" t="s">
        <v>175</v>
      </c>
      <c r="K367">
        <v>3.9758387547807118E-2</v>
      </c>
      <c r="L367" t="s">
        <v>164</v>
      </c>
      <c r="N367" t="s">
        <v>211</v>
      </c>
      <c r="O367" t="s">
        <v>175</v>
      </c>
      <c r="P367">
        <v>3.2522518074098568E-2</v>
      </c>
      <c r="Q367" t="s">
        <v>164</v>
      </c>
      <c r="S367" t="s">
        <v>234</v>
      </c>
      <c r="T367" t="s">
        <v>175</v>
      </c>
      <c r="U367">
        <v>2.1222969274665406E-2</v>
      </c>
      <c r="V367" t="s">
        <v>164</v>
      </c>
    </row>
    <row r="368" spans="9:22" x14ac:dyDescent="0.45">
      <c r="I368" t="s">
        <v>183</v>
      </c>
      <c r="J368" t="s">
        <v>262</v>
      </c>
      <c r="K368">
        <v>0.23522084710795027</v>
      </c>
      <c r="L368" t="s">
        <v>164</v>
      </c>
      <c r="N368" t="s">
        <v>211</v>
      </c>
      <c r="O368" t="s">
        <v>262</v>
      </c>
      <c r="P368">
        <v>0.18415469514704916</v>
      </c>
      <c r="Q368" t="s">
        <v>164</v>
      </c>
      <c r="S368" t="s">
        <v>234</v>
      </c>
      <c r="T368" t="s">
        <v>262</v>
      </c>
      <c r="U368">
        <v>0.17235897573959094</v>
      </c>
      <c r="V368" t="s">
        <v>164</v>
      </c>
    </row>
    <row r="369" spans="9:22" x14ac:dyDescent="0.45">
      <c r="I369" t="s">
        <v>183</v>
      </c>
      <c r="J369" t="s">
        <v>263</v>
      </c>
      <c r="K369">
        <v>9.2845932235266024E-3</v>
      </c>
      <c r="L369" t="s">
        <v>164</v>
      </c>
      <c r="N369" t="s">
        <v>211</v>
      </c>
      <c r="O369" t="s">
        <v>263</v>
      </c>
      <c r="P369">
        <v>1.9379013904830874E-2</v>
      </c>
      <c r="Q369" t="s">
        <v>164</v>
      </c>
      <c r="S369" t="s">
        <v>234</v>
      </c>
      <c r="T369" t="s">
        <v>263</v>
      </c>
      <c r="U369">
        <v>2.9689753002313576E-2</v>
      </c>
      <c r="V369" t="s">
        <v>164</v>
      </c>
    </row>
    <row r="370" spans="9:22" x14ac:dyDescent="0.45">
      <c r="I370" t="s">
        <v>183</v>
      </c>
      <c r="J370" t="s">
        <v>264</v>
      </c>
      <c r="K370">
        <v>0</v>
      </c>
      <c r="L370" t="s">
        <v>164</v>
      </c>
      <c r="N370" t="s">
        <v>211</v>
      </c>
      <c r="O370" t="s">
        <v>264</v>
      </c>
      <c r="P370">
        <v>9.9119674995766599E-2</v>
      </c>
      <c r="Q370" t="s">
        <v>164</v>
      </c>
      <c r="S370" t="s">
        <v>234</v>
      </c>
      <c r="T370" t="s">
        <v>264</v>
      </c>
      <c r="U370">
        <v>0.15763567612015628</v>
      </c>
      <c r="V370" t="s">
        <v>164</v>
      </c>
    </row>
    <row r="371" spans="9:22" x14ac:dyDescent="0.45">
      <c r="I371" t="s">
        <v>183</v>
      </c>
      <c r="J371" t="s">
        <v>265</v>
      </c>
      <c r="K371">
        <v>1.3327946231642507E-2</v>
      </c>
      <c r="L371" t="s">
        <v>164</v>
      </c>
      <c r="N371" t="s">
        <v>211</v>
      </c>
      <c r="O371" t="s">
        <v>265</v>
      </c>
      <c r="P371">
        <v>4.5192900718669708E-2</v>
      </c>
      <c r="Q371" t="s">
        <v>164</v>
      </c>
      <c r="S371" t="s">
        <v>234</v>
      </c>
      <c r="T371" t="s">
        <v>265</v>
      </c>
      <c r="U371">
        <v>2.7851550728046202E-2</v>
      </c>
      <c r="V371" t="s">
        <v>164</v>
      </c>
    </row>
    <row r="372" spans="9:22" x14ac:dyDescent="0.45">
      <c r="I372" t="s">
        <v>183</v>
      </c>
      <c r="J372" t="s">
        <v>266</v>
      </c>
      <c r="K372">
        <v>8.4780638096817653E-3</v>
      </c>
      <c r="L372" t="s">
        <v>164</v>
      </c>
      <c r="N372" t="s">
        <v>211</v>
      </c>
      <c r="O372" t="s">
        <v>266</v>
      </c>
      <c r="P372">
        <v>5.2167015424629459E-3</v>
      </c>
      <c r="Q372" t="s">
        <v>164</v>
      </c>
      <c r="S372" t="s">
        <v>234</v>
      </c>
      <c r="T372" t="s">
        <v>266</v>
      </c>
      <c r="U372">
        <v>2.6133983188764117E-3</v>
      </c>
      <c r="V372" t="s">
        <v>164</v>
      </c>
    </row>
    <row r="373" spans="9:22" x14ac:dyDescent="0.45">
      <c r="I373" t="s">
        <v>183</v>
      </c>
      <c r="J373" t="s">
        <v>267</v>
      </c>
      <c r="K373">
        <v>9.1905000617806144E-3</v>
      </c>
      <c r="L373" t="s">
        <v>164</v>
      </c>
      <c r="N373" t="s">
        <v>211</v>
      </c>
      <c r="O373" t="s">
        <v>267</v>
      </c>
      <c r="P373">
        <v>5.0746381947852325E-3</v>
      </c>
      <c r="Q373" t="s">
        <v>164</v>
      </c>
      <c r="S373" t="s">
        <v>234</v>
      </c>
      <c r="T373" t="s">
        <v>267</v>
      </c>
      <c r="U373">
        <v>2.5281073977367575E-3</v>
      </c>
      <c r="V373" t="s">
        <v>164</v>
      </c>
    </row>
    <row r="374" spans="9:22" x14ac:dyDescent="0.45">
      <c r="I374" t="s">
        <v>183</v>
      </c>
      <c r="J374" t="s">
        <v>268</v>
      </c>
      <c r="K374">
        <v>5.3050244309144165E-2</v>
      </c>
      <c r="L374" t="s">
        <v>164</v>
      </c>
      <c r="N374" t="s">
        <v>211</v>
      </c>
      <c r="O374" t="s">
        <v>268</v>
      </c>
      <c r="P374">
        <v>2.9151711699021046E-2</v>
      </c>
      <c r="Q374" t="s">
        <v>164</v>
      </c>
      <c r="S374" t="s">
        <v>234</v>
      </c>
      <c r="T374" t="s">
        <v>268</v>
      </c>
      <c r="U374">
        <v>1.9881283222901888E-2</v>
      </c>
      <c r="V374" t="s">
        <v>164</v>
      </c>
    </row>
    <row r="375" spans="9:22" x14ac:dyDescent="0.45">
      <c r="I375" t="s">
        <v>183</v>
      </c>
      <c r="J375" t="s">
        <v>269</v>
      </c>
      <c r="K375">
        <v>9.2626182972518456E-4</v>
      </c>
      <c r="L375" t="s">
        <v>164</v>
      </c>
      <c r="N375" t="s">
        <v>211</v>
      </c>
      <c r="O375" t="s">
        <v>269</v>
      </c>
      <c r="P375">
        <v>4.2641070468887234E-3</v>
      </c>
      <c r="Q375" t="s">
        <v>164</v>
      </c>
      <c r="S375" t="s">
        <v>234</v>
      </c>
      <c r="T375" t="s">
        <v>269</v>
      </c>
      <c r="U375">
        <v>4.0410540894787331E-3</v>
      </c>
      <c r="V375" t="s">
        <v>164</v>
      </c>
    </row>
    <row r="376" spans="9:22" x14ac:dyDescent="0.45">
      <c r="I376" t="s">
        <v>183</v>
      </c>
      <c r="J376" t="s">
        <v>270</v>
      </c>
      <c r="K376">
        <v>0</v>
      </c>
      <c r="L376" t="s">
        <v>164</v>
      </c>
      <c r="N376" t="s">
        <v>211</v>
      </c>
      <c r="O376" t="s">
        <v>270</v>
      </c>
      <c r="P376">
        <v>2.2143315548303334E-2</v>
      </c>
      <c r="Q376" t="s">
        <v>164</v>
      </c>
      <c r="S376" t="s">
        <v>234</v>
      </c>
      <c r="T376" t="s">
        <v>270</v>
      </c>
      <c r="U376">
        <v>2.2197226745290104E-2</v>
      </c>
      <c r="V376" t="s">
        <v>164</v>
      </c>
    </row>
    <row r="377" spans="9:22" x14ac:dyDescent="0.45">
      <c r="I377" t="s">
        <v>183</v>
      </c>
      <c r="J377" t="s">
        <v>271</v>
      </c>
      <c r="K377">
        <v>2.0587349489962801E-2</v>
      </c>
      <c r="L377" t="s">
        <v>164</v>
      </c>
      <c r="N377" t="s">
        <v>211</v>
      </c>
      <c r="O377" t="s">
        <v>271</v>
      </c>
      <c r="P377">
        <v>2.2000790938222593E-2</v>
      </c>
      <c r="Q377" t="s">
        <v>164</v>
      </c>
      <c r="S377" t="s">
        <v>234</v>
      </c>
      <c r="T377" t="s">
        <v>271</v>
      </c>
      <c r="U377">
        <v>2.2084163007758121E-2</v>
      </c>
      <c r="V377" t="s">
        <v>164</v>
      </c>
    </row>
    <row r="378" spans="9:22" x14ac:dyDescent="0.45">
      <c r="I378" t="s">
        <v>183</v>
      </c>
      <c r="J378" t="s">
        <v>272</v>
      </c>
      <c r="K378">
        <v>9.611353762713935E-3</v>
      </c>
      <c r="L378" t="s">
        <v>164</v>
      </c>
      <c r="N378" t="s">
        <v>211</v>
      </c>
      <c r="O378" t="s">
        <v>272</v>
      </c>
      <c r="P378">
        <v>2.3815286064610285E-3</v>
      </c>
      <c r="Q378" t="s">
        <v>164</v>
      </c>
      <c r="S378" t="s">
        <v>234</v>
      </c>
      <c r="T378" t="s">
        <v>272</v>
      </c>
      <c r="U378">
        <v>1.7685791563547145E-3</v>
      </c>
      <c r="V378" t="s">
        <v>164</v>
      </c>
    </row>
    <row r="379" spans="9:22" x14ac:dyDescent="0.45">
      <c r="I379" t="s">
        <v>183</v>
      </c>
      <c r="J379" t="s">
        <v>273</v>
      </c>
      <c r="K379">
        <v>1.0005149791455229E-2</v>
      </c>
      <c r="L379" t="s">
        <v>164</v>
      </c>
      <c r="N379" t="s">
        <v>211</v>
      </c>
      <c r="O379" t="s">
        <v>273</v>
      </c>
      <c r="P379">
        <v>2.2133675461745387E-3</v>
      </c>
      <c r="Q379" t="s">
        <v>164</v>
      </c>
      <c r="S379" t="s">
        <v>234</v>
      </c>
      <c r="T379" t="s">
        <v>273</v>
      </c>
      <c r="U379">
        <v>1.7885245511136696E-3</v>
      </c>
      <c r="V379" t="s">
        <v>164</v>
      </c>
    </row>
    <row r="380" spans="9:22" x14ac:dyDescent="0.45">
      <c r="I380" t="s">
        <v>183</v>
      </c>
      <c r="J380" t="s">
        <v>274</v>
      </c>
      <c r="K380">
        <v>5.6253441177039468E-2</v>
      </c>
      <c r="L380" t="s">
        <v>164</v>
      </c>
      <c r="N380" t="s">
        <v>211</v>
      </c>
      <c r="O380" t="s">
        <v>274</v>
      </c>
      <c r="P380">
        <v>1.2822917631401146E-2</v>
      </c>
      <c r="Q380" t="s">
        <v>164</v>
      </c>
      <c r="S380" t="s">
        <v>234</v>
      </c>
      <c r="T380" t="s">
        <v>274</v>
      </c>
      <c r="U380">
        <v>1.8115515010979442E-2</v>
      </c>
      <c r="V380" t="s">
        <v>164</v>
      </c>
    </row>
    <row r="381" spans="9:22" x14ac:dyDescent="0.45">
      <c r="I381" t="s">
        <v>183</v>
      </c>
      <c r="J381" t="s">
        <v>275</v>
      </c>
      <c r="K381">
        <v>0</v>
      </c>
      <c r="L381" t="s">
        <v>164</v>
      </c>
      <c r="N381" t="s">
        <v>211</v>
      </c>
      <c r="O381" t="s">
        <v>275</v>
      </c>
      <c r="P381">
        <v>2.089477231655017E-3</v>
      </c>
      <c r="Q381" t="s">
        <v>164</v>
      </c>
      <c r="S381" t="s">
        <v>234</v>
      </c>
      <c r="T381" t="s">
        <v>275</v>
      </c>
      <c r="U381">
        <v>4.1351799664562598E-3</v>
      </c>
      <c r="V381" t="s">
        <v>164</v>
      </c>
    </row>
    <row r="382" spans="9:22" x14ac:dyDescent="0.45">
      <c r="I382" t="s">
        <v>183</v>
      </c>
      <c r="J382" t="s">
        <v>276</v>
      </c>
      <c r="K382">
        <v>0</v>
      </c>
      <c r="L382" t="s">
        <v>164</v>
      </c>
      <c r="N382" t="s">
        <v>211</v>
      </c>
      <c r="O382" t="s">
        <v>276</v>
      </c>
      <c r="P382">
        <v>1.2177534390880811E-2</v>
      </c>
      <c r="Q382" t="s">
        <v>164</v>
      </c>
      <c r="S382" t="s">
        <v>234</v>
      </c>
      <c r="T382" t="s">
        <v>276</v>
      </c>
      <c r="U382">
        <v>2.1491853472020074E-2</v>
      </c>
      <c r="V382" t="s">
        <v>164</v>
      </c>
    </row>
    <row r="383" spans="9:22" x14ac:dyDescent="0.45">
      <c r="I383" t="s">
        <v>183</v>
      </c>
      <c r="J383" t="s">
        <v>277</v>
      </c>
      <c r="K383">
        <v>3.0489620544399684E-2</v>
      </c>
      <c r="L383" t="s">
        <v>164</v>
      </c>
      <c r="N383" t="s">
        <v>211</v>
      </c>
      <c r="O383" t="s">
        <v>277</v>
      </c>
      <c r="P383">
        <v>2.4187888169783525E-2</v>
      </c>
      <c r="Q383" t="s">
        <v>164</v>
      </c>
      <c r="S383" t="s">
        <v>234</v>
      </c>
      <c r="T383" t="s">
        <v>277</v>
      </c>
      <c r="U383">
        <v>1.7543270239248027E-2</v>
      </c>
      <c r="V383" t="s">
        <v>164</v>
      </c>
    </row>
    <row r="384" spans="9:22" x14ac:dyDescent="0.45">
      <c r="I384" t="s">
        <v>183</v>
      </c>
      <c r="J384" t="s">
        <v>278</v>
      </c>
      <c r="K384">
        <v>1.6828699892843225E-2</v>
      </c>
      <c r="L384" t="s">
        <v>164</v>
      </c>
      <c r="N384" t="s">
        <v>211</v>
      </c>
      <c r="O384" t="s">
        <v>278</v>
      </c>
      <c r="P384">
        <v>3.8937306591568781E-3</v>
      </c>
      <c r="Q384" t="s">
        <v>164</v>
      </c>
      <c r="S384" t="s">
        <v>234</v>
      </c>
      <c r="T384" t="s">
        <v>278</v>
      </c>
      <c r="U384">
        <v>1.3804089066326436E-3</v>
      </c>
      <c r="V384" t="s">
        <v>164</v>
      </c>
    </row>
    <row r="385" spans="9:22" x14ac:dyDescent="0.45">
      <c r="I385" t="s">
        <v>183</v>
      </c>
      <c r="J385" t="s">
        <v>279</v>
      </c>
      <c r="K385">
        <v>1.7705101102395544E-2</v>
      </c>
      <c r="L385" t="s">
        <v>164</v>
      </c>
      <c r="N385" t="s">
        <v>211</v>
      </c>
      <c r="O385" t="s">
        <v>279</v>
      </c>
      <c r="P385">
        <v>4.1510637891725528E-3</v>
      </c>
      <c r="Q385" t="s">
        <v>164</v>
      </c>
      <c r="S385" t="s">
        <v>234</v>
      </c>
      <c r="T385" t="s">
        <v>279</v>
      </c>
      <c r="U385">
        <v>1.3425705252775332E-3</v>
      </c>
      <c r="V385" t="s">
        <v>164</v>
      </c>
    </row>
    <row r="386" spans="9:22" x14ac:dyDescent="0.45">
      <c r="I386" t="s">
        <v>183</v>
      </c>
      <c r="J386" t="s">
        <v>280</v>
      </c>
      <c r="K386">
        <v>0.10144371852111174</v>
      </c>
      <c r="L386" t="s">
        <v>164</v>
      </c>
      <c r="N386" t="s">
        <v>211</v>
      </c>
      <c r="O386" t="s">
        <v>280</v>
      </c>
      <c r="P386">
        <v>2.2335834768626626E-2</v>
      </c>
      <c r="Q386" t="s">
        <v>164</v>
      </c>
      <c r="S386" t="s">
        <v>234</v>
      </c>
      <c r="T386" t="s">
        <v>280</v>
      </c>
      <c r="U386">
        <v>1.9874747349888911E-2</v>
      </c>
      <c r="V386" t="s">
        <v>164</v>
      </c>
    </row>
    <row r="387" spans="9:22" x14ac:dyDescent="0.45">
      <c r="I387" t="s">
        <v>183</v>
      </c>
      <c r="J387" t="s">
        <v>281</v>
      </c>
      <c r="K387">
        <v>1.0115120636570265E-3</v>
      </c>
      <c r="L387" t="s">
        <v>164</v>
      </c>
      <c r="N387" t="s">
        <v>211</v>
      </c>
      <c r="O387" t="s">
        <v>281</v>
      </c>
      <c r="P387">
        <v>3.8159969203192538E-3</v>
      </c>
      <c r="Q387" t="s">
        <v>164</v>
      </c>
      <c r="S387" t="s">
        <v>234</v>
      </c>
      <c r="T387" t="s">
        <v>281</v>
      </c>
      <c r="U387">
        <v>5.3113928010479925E-3</v>
      </c>
      <c r="V387" t="s">
        <v>164</v>
      </c>
    </row>
    <row r="388" spans="9:22" x14ac:dyDescent="0.45">
      <c r="I388" t="s">
        <v>183</v>
      </c>
      <c r="J388" t="s">
        <v>282</v>
      </c>
      <c r="K388">
        <v>0</v>
      </c>
      <c r="L388" t="s">
        <v>164</v>
      </c>
      <c r="N388" t="s">
        <v>211</v>
      </c>
      <c r="O388" t="s">
        <v>282</v>
      </c>
      <c r="P388">
        <v>2.0570563398498429E-2</v>
      </c>
      <c r="Q388" t="s">
        <v>164</v>
      </c>
      <c r="S388" t="s">
        <v>234</v>
      </c>
      <c r="T388" t="s">
        <v>282</v>
      </c>
      <c r="U388">
        <v>2.4576547542463814E-2</v>
      </c>
      <c r="V388" t="s">
        <v>164</v>
      </c>
    </row>
    <row r="389" spans="9:22" x14ac:dyDescent="0.45">
      <c r="I389" t="s">
        <v>184</v>
      </c>
      <c r="J389" t="s">
        <v>163</v>
      </c>
      <c r="K389">
        <v>1.5191381158282759E-2</v>
      </c>
      <c r="L389" t="s">
        <v>164</v>
      </c>
      <c r="N389" t="s">
        <v>212</v>
      </c>
      <c r="O389" t="s">
        <v>163</v>
      </c>
      <c r="P389">
        <v>2.8931530798503042E-2</v>
      </c>
      <c r="Q389" t="s">
        <v>164</v>
      </c>
      <c r="S389" t="s">
        <v>235</v>
      </c>
      <c r="T389" t="s">
        <v>163</v>
      </c>
      <c r="U389">
        <v>2.9985959763629905E-2</v>
      </c>
      <c r="V389" t="s">
        <v>164</v>
      </c>
    </row>
    <row r="390" spans="9:22" x14ac:dyDescent="0.45">
      <c r="I390" t="s">
        <v>184</v>
      </c>
      <c r="J390" t="s">
        <v>165</v>
      </c>
      <c r="K390">
        <v>1.0333064975526975E-2</v>
      </c>
      <c r="L390" t="s">
        <v>164</v>
      </c>
      <c r="N390" t="s">
        <v>212</v>
      </c>
      <c r="O390" t="s">
        <v>165</v>
      </c>
      <c r="P390">
        <v>1.9165996540117993E-3</v>
      </c>
      <c r="Q390" t="s">
        <v>164</v>
      </c>
      <c r="S390" t="s">
        <v>235</v>
      </c>
      <c r="T390" t="s">
        <v>165</v>
      </c>
      <c r="U390">
        <v>2.8939513961285489E-3</v>
      </c>
      <c r="V390" t="s">
        <v>164</v>
      </c>
    </row>
    <row r="391" spans="9:22" x14ac:dyDescent="0.45">
      <c r="I391" t="s">
        <v>184</v>
      </c>
      <c r="J391" t="s">
        <v>166</v>
      </c>
      <c r="K391">
        <v>1.1014686514491992E-2</v>
      </c>
      <c r="L391" t="s">
        <v>164</v>
      </c>
      <c r="N391" t="s">
        <v>212</v>
      </c>
      <c r="O391" t="s">
        <v>166</v>
      </c>
      <c r="P391">
        <v>1.9250209768474236E-3</v>
      </c>
      <c r="Q391" t="s">
        <v>164</v>
      </c>
      <c r="S391" t="s">
        <v>235</v>
      </c>
      <c r="T391" t="s">
        <v>166</v>
      </c>
      <c r="U391">
        <v>2.8050071486615071E-3</v>
      </c>
      <c r="V391" t="s">
        <v>164</v>
      </c>
    </row>
    <row r="392" spans="9:22" x14ac:dyDescent="0.45">
      <c r="I392" t="s">
        <v>184</v>
      </c>
      <c r="J392" t="s">
        <v>253</v>
      </c>
      <c r="K392">
        <v>6.3640012529775386E-2</v>
      </c>
      <c r="L392" t="s">
        <v>164</v>
      </c>
      <c r="N392" t="s">
        <v>212</v>
      </c>
      <c r="O392" t="s">
        <v>253</v>
      </c>
      <c r="P392">
        <v>9.1738367789715811E-3</v>
      </c>
      <c r="Q392" t="s">
        <v>164</v>
      </c>
      <c r="S392" t="s">
        <v>235</v>
      </c>
      <c r="T392" t="s">
        <v>253</v>
      </c>
      <c r="U392">
        <v>2.7156812229041347E-2</v>
      </c>
      <c r="V392" t="s">
        <v>164</v>
      </c>
    </row>
    <row r="393" spans="9:22" x14ac:dyDescent="0.45">
      <c r="I393" t="s">
        <v>184</v>
      </c>
      <c r="J393" t="s">
        <v>254</v>
      </c>
      <c r="K393">
        <v>3.6871362519997198E-3</v>
      </c>
      <c r="L393" t="s">
        <v>164</v>
      </c>
      <c r="N393" t="s">
        <v>212</v>
      </c>
      <c r="O393" t="s">
        <v>254</v>
      </c>
      <c r="P393">
        <v>1.4928032726455394E-3</v>
      </c>
      <c r="Q393" t="s">
        <v>164</v>
      </c>
      <c r="S393" t="s">
        <v>235</v>
      </c>
      <c r="T393" t="s">
        <v>254</v>
      </c>
      <c r="U393">
        <v>6.037205660854447E-3</v>
      </c>
      <c r="V393" t="s">
        <v>164</v>
      </c>
    </row>
    <row r="394" spans="9:22" x14ac:dyDescent="0.45">
      <c r="I394" t="s">
        <v>184</v>
      </c>
      <c r="J394" t="s">
        <v>255</v>
      </c>
      <c r="K394">
        <v>0</v>
      </c>
      <c r="L394" t="s">
        <v>164</v>
      </c>
      <c r="N394" t="s">
        <v>212</v>
      </c>
      <c r="O394" t="s">
        <v>255</v>
      </c>
      <c r="P394">
        <v>1.6048527935772355E-2</v>
      </c>
      <c r="Q394" t="s">
        <v>164</v>
      </c>
      <c r="S394" t="s">
        <v>235</v>
      </c>
      <c r="T394" t="s">
        <v>255</v>
      </c>
      <c r="U394">
        <v>2.9320585248050323E-2</v>
      </c>
      <c r="V394" t="s">
        <v>164</v>
      </c>
    </row>
    <row r="395" spans="9:22" x14ac:dyDescent="0.45">
      <c r="I395" t="s">
        <v>184</v>
      </c>
      <c r="J395" t="s">
        <v>167</v>
      </c>
      <c r="K395">
        <v>1.3407703912330095E-2</v>
      </c>
      <c r="L395" t="s">
        <v>164</v>
      </c>
      <c r="N395" t="s">
        <v>212</v>
      </c>
      <c r="O395" t="s">
        <v>167</v>
      </c>
      <c r="P395">
        <v>3.2000175122663399E-2</v>
      </c>
      <c r="Q395" t="s">
        <v>164</v>
      </c>
      <c r="S395" t="s">
        <v>235</v>
      </c>
      <c r="T395" t="s">
        <v>167</v>
      </c>
      <c r="U395">
        <v>2.0328553763175588E-2</v>
      </c>
      <c r="V395" t="s">
        <v>164</v>
      </c>
    </row>
    <row r="396" spans="9:22" x14ac:dyDescent="0.45">
      <c r="I396" t="s">
        <v>184</v>
      </c>
      <c r="J396" t="s">
        <v>168</v>
      </c>
      <c r="K396">
        <v>9.5058028454596578E-3</v>
      </c>
      <c r="L396" t="s">
        <v>164</v>
      </c>
      <c r="N396" t="s">
        <v>212</v>
      </c>
      <c r="O396" t="s">
        <v>168</v>
      </c>
      <c r="P396">
        <v>1.9507971223704811E-3</v>
      </c>
      <c r="Q396" t="s">
        <v>164</v>
      </c>
      <c r="S396" t="s">
        <v>235</v>
      </c>
      <c r="T396" t="s">
        <v>168</v>
      </c>
      <c r="U396">
        <v>1.6143342454970535E-3</v>
      </c>
      <c r="V396" t="s">
        <v>164</v>
      </c>
    </row>
    <row r="397" spans="9:22" x14ac:dyDescent="0.45">
      <c r="I397" t="s">
        <v>184</v>
      </c>
      <c r="J397" t="s">
        <v>169</v>
      </c>
      <c r="K397">
        <v>1.0022492505489719E-2</v>
      </c>
      <c r="L397" t="s">
        <v>164</v>
      </c>
      <c r="N397" t="s">
        <v>212</v>
      </c>
      <c r="O397" t="s">
        <v>169</v>
      </c>
      <c r="P397">
        <v>1.7162838430133493E-3</v>
      </c>
      <c r="Q397" t="s">
        <v>164</v>
      </c>
      <c r="S397" t="s">
        <v>235</v>
      </c>
      <c r="T397" t="s">
        <v>169</v>
      </c>
      <c r="U397">
        <v>1.5646559065847386E-3</v>
      </c>
      <c r="V397" t="s">
        <v>164</v>
      </c>
    </row>
    <row r="398" spans="9:22" x14ac:dyDescent="0.45">
      <c r="I398" t="s">
        <v>184</v>
      </c>
      <c r="J398" t="s">
        <v>256</v>
      </c>
      <c r="K398">
        <v>6.0913511993021537E-2</v>
      </c>
      <c r="L398" t="s">
        <v>164</v>
      </c>
      <c r="N398" t="s">
        <v>212</v>
      </c>
      <c r="O398" t="s">
        <v>256</v>
      </c>
      <c r="P398">
        <v>8.0440216694892697E-3</v>
      </c>
      <c r="Q398" t="s">
        <v>164</v>
      </c>
      <c r="S398" t="s">
        <v>235</v>
      </c>
      <c r="T398" t="s">
        <v>256</v>
      </c>
      <c r="U398">
        <v>1.8659933847663009E-2</v>
      </c>
      <c r="V398" t="s">
        <v>164</v>
      </c>
    </row>
    <row r="399" spans="9:22" x14ac:dyDescent="0.45">
      <c r="I399" t="s">
        <v>184</v>
      </c>
      <c r="J399" t="s">
        <v>257</v>
      </c>
      <c r="K399">
        <v>3.8393899861615191E-3</v>
      </c>
      <c r="L399" t="s">
        <v>164</v>
      </c>
      <c r="N399" t="s">
        <v>212</v>
      </c>
      <c r="O399" t="s">
        <v>257</v>
      </c>
      <c r="P399">
        <v>1.3625997902908284E-3</v>
      </c>
      <c r="Q399" t="s">
        <v>164</v>
      </c>
      <c r="S399" t="s">
        <v>235</v>
      </c>
      <c r="T399" t="s">
        <v>257</v>
      </c>
      <c r="U399">
        <v>4.3774705046331006E-3</v>
      </c>
      <c r="V399" t="s">
        <v>164</v>
      </c>
    </row>
    <row r="400" spans="9:22" x14ac:dyDescent="0.45">
      <c r="I400" t="s">
        <v>184</v>
      </c>
      <c r="J400" t="s">
        <v>258</v>
      </c>
      <c r="K400">
        <v>0</v>
      </c>
      <c r="L400" t="s">
        <v>164</v>
      </c>
      <c r="N400" t="s">
        <v>212</v>
      </c>
      <c r="O400" t="s">
        <v>258</v>
      </c>
      <c r="P400">
        <v>1.6287147695442893E-2</v>
      </c>
      <c r="Q400" t="s">
        <v>164</v>
      </c>
      <c r="S400" t="s">
        <v>235</v>
      </c>
      <c r="T400" t="s">
        <v>258</v>
      </c>
      <c r="U400">
        <v>2.2527615981119114E-2</v>
      </c>
      <c r="V400" t="s">
        <v>164</v>
      </c>
    </row>
    <row r="401" spans="9:22" x14ac:dyDescent="0.45">
      <c r="I401" t="s">
        <v>184</v>
      </c>
      <c r="J401" t="s">
        <v>170</v>
      </c>
      <c r="K401">
        <v>1.2873836215807467E-2</v>
      </c>
      <c r="L401" t="s">
        <v>164</v>
      </c>
      <c r="N401" t="s">
        <v>212</v>
      </c>
      <c r="O401" t="s">
        <v>170</v>
      </c>
      <c r="P401">
        <v>2.6828044630996663E-2</v>
      </c>
      <c r="Q401" t="s">
        <v>164</v>
      </c>
      <c r="S401" t="s">
        <v>235</v>
      </c>
      <c r="T401" t="s">
        <v>170</v>
      </c>
      <c r="U401">
        <v>6.4227932682873945E-3</v>
      </c>
      <c r="V401" t="s">
        <v>164</v>
      </c>
    </row>
    <row r="402" spans="9:22" x14ac:dyDescent="0.45">
      <c r="I402" t="s">
        <v>184</v>
      </c>
      <c r="J402" t="s">
        <v>171</v>
      </c>
      <c r="K402">
        <v>9.3938149441190333E-3</v>
      </c>
      <c r="L402" t="s">
        <v>164</v>
      </c>
      <c r="N402" t="s">
        <v>212</v>
      </c>
      <c r="O402" t="s">
        <v>171</v>
      </c>
      <c r="P402">
        <v>1.5250721544228909E-3</v>
      </c>
      <c r="Q402" t="s">
        <v>164</v>
      </c>
      <c r="S402" t="s">
        <v>235</v>
      </c>
      <c r="T402" t="s">
        <v>171</v>
      </c>
      <c r="U402">
        <v>2.7636638763166706E-4</v>
      </c>
      <c r="V402" t="s">
        <v>164</v>
      </c>
    </row>
    <row r="403" spans="9:22" x14ac:dyDescent="0.45">
      <c r="I403" t="s">
        <v>184</v>
      </c>
      <c r="J403" t="s">
        <v>172</v>
      </c>
      <c r="K403">
        <v>9.9375148355916668E-3</v>
      </c>
      <c r="L403" t="s">
        <v>164</v>
      </c>
      <c r="N403" t="s">
        <v>212</v>
      </c>
      <c r="O403" t="s">
        <v>172</v>
      </c>
      <c r="P403">
        <v>1.1580319744650773E-3</v>
      </c>
      <c r="Q403" t="s">
        <v>164</v>
      </c>
      <c r="S403" t="s">
        <v>235</v>
      </c>
      <c r="T403" t="s">
        <v>172</v>
      </c>
      <c r="U403">
        <v>2.9674467123672976E-4</v>
      </c>
      <c r="V403" t="s">
        <v>164</v>
      </c>
    </row>
    <row r="404" spans="9:22" x14ac:dyDescent="0.45">
      <c r="I404" t="s">
        <v>184</v>
      </c>
      <c r="J404" t="s">
        <v>259</v>
      </c>
      <c r="K404">
        <v>5.6266685268037471E-2</v>
      </c>
      <c r="L404" t="s">
        <v>164</v>
      </c>
      <c r="N404" t="s">
        <v>212</v>
      </c>
      <c r="O404" t="s">
        <v>259</v>
      </c>
      <c r="P404">
        <v>4.6982015238459813E-3</v>
      </c>
      <c r="Q404" t="s">
        <v>164</v>
      </c>
      <c r="S404" t="s">
        <v>235</v>
      </c>
      <c r="T404" t="s">
        <v>259</v>
      </c>
      <c r="U404">
        <v>6.7779280902432364E-3</v>
      </c>
      <c r="V404" t="s">
        <v>164</v>
      </c>
    </row>
    <row r="405" spans="9:22" x14ac:dyDescent="0.45">
      <c r="I405" t="s">
        <v>184</v>
      </c>
      <c r="J405" t="s">
        <v>260</v>
      </c>
      <c r="K405">
        <v>2.9012063702629266E-3</v>
      </c>
      <c r="L405" t="s">
        <v>164</v>
      </c>
      <c r="N405" t="s">
        <v>212</v>
      </c>
      <c r="O405" t="s">
        <v>260</v>
      </c>
      <c r="P405">
        <v>1.1895675830301054E-3</v>
      </c>
      <c r="Q405" t="s">
        <v>164</v>
      </c>
      <c r="S405" t="s">
        <v>235</v>
      </c>
      <c r="T405" t="s">
        <v>260</v>
      </c>
      <c r="U405">
        <v>1.8091700126070171E-3</v>
      </c>
      <c r="V405" t="s">
        <v>164</v>
      </c>
    </row>
    <row r="406" spans="9:22" x14ac:dyDescent="0.45">
      <c r="I406" t="s">
        <v>184</v>
      </c>
      <c r="J406" t="s">
        <v>261</v>
      </c>
      <c r="K406">
        <v>0</v>
      </c>
      <c r="L406" t="s">
        <v>164</v>
      </c>
      <c r="N406" t="s">
        <v>212</v>
      </c>
      <c r="O406" t="s">
        <v>261</v>
      </c>
      <c r="P406">
        <v>1.4335706195770046E-2</v>
      </c>
      <c r="Q406" t="s">
        <v>164</v>
      </c>
      <c r="S406" t="s">
        <v>235</v>
      </c>
      <c r="T406" t="s">
        <v>261</v>
      </c>
      <c r="U406">
        <v>9.0183636774690806E-3</v>
      </c>
      <c r="V406" t="s">
        <v>164</v>
      </c>
    </row>
    <row r="407" spans="9:22" x14ac:dyDescent="0.45">
      <c r="I407" t="s">
        <v>184</v>
      </c>
      <c r="J407" t="s">
        <v>173</v>
      </c>
      <c r="K407">
        <v>5.1506735340434845E-2</v>
      </c>
      <c r="L407" t="s">
        <v>164</v>
      </c>
      <c r="N407" t="s">
        <v>212</v>
      </c>
      <c r="O407" t="s">
        <v>173</v>
      </c>
      <c r="P407">
        <v>0.18988213892069616</v>
      </c>
      <c r="Q407" t="s">
        <v>164</v>
      </c>
      <c r="S407" t="s">
        <v>235</v>
      </c>
      <c r="T407" t="s">
        <v>173</v>
      </c>
      <c r="U407">
        <v>0.20421457684869165</v>
      </c>
      <c r="V407" t="s">
        <v>164</v>
      </c>
    </row>
    <row r="408" spans="9:22" x14ac:dyDescent="0.45">
      <c r="I408" t="s">
        <v>184</v>
      </c>
      <c r="J408" t="s">
        <v>174</v>
      </c>
      <c r="K408">
        <v>3.7234495797137175E-2</v>
      </c>
      <c r="L408" t="s">
        <v>164</v>
      </c>
      <c r="N408" t="s">
        <v>212</v>
      </c>
      <c r="O408" t="s">
        <v>174</v>
      </c>
      <c r="P408">
        <v>2.7248921309137388E-2</v>
      </c>
      <c r="Q408" t="s">
        <v>164</v>
      </c>
      <c r="S408" t="s">
        <v>235</v>
      </c>
      <c r="T408" t="s">
        <v>174</v>
      </c>
      <c r="U408">
        <v>2.0049085383299383E-2</v>
      </c>
      <c r="V408" t="s">
        <v>164</v>
      </c>
    </row>
    <row r="409" spans="9:22" x14ac:dyDescent="0.45">
      <c r="I409" t="s">
        <v>184</v>
      </c>
      <c r="J409" t="s">
        <v>175</v>
      </c>
      <c r="K409">
        <v>4.1540360366446288E-2</v>
      </c>
      <c r="L409" t="s">
        <v>164</v>
      </c>
      <c r="N409" t="s">
        <v>212</v>
      </c>
      <c r="O409" t="s">
        <v>175</v>
      </c>
      <c r="P409">
        <v>2.7523827868621936E-2</v>
      </c>
      <c r="Q409" t="s">
        <v>164</v>
      </c>
      <c r="S409" t="s">
        <v>235</v>
      </c>
      <c r="T409" t="s">
        <v>175</v>
      </c>
      <c r="U409">
        <v>2.0513587130644353E-2</v>
      </c>
      <c r="V409" t="s">
        <v>164</v>
      </c>
    </row>
    <row r="410" spans="9:22" x14ac:dyDescent="0.45">
      <c r="I410" t="s">
        <v>184</v>
      </c>
      <c r="J410" t="s">
        <v>262</v>
      </c>
      <c r="K410">
        <v>0.2245872861507141</v>
      </c>
      <c r="L410" t="s">
        <v>164</v>
      </c>
      <c r="N410" t="s">
        <v>212</v>
      </c>
      <c r="O410" t="s">
        <v>262</v>
      </c>
      <c r="P410">
        <v>0.16336023445251996</v>
      </c>
      <c r="Q410" t="s">
        <v>164</v>
      </c>
      <c r="S410" t="s">
        <v>235</v>
      </c>
      <c r="T410" t="s">
        <v>262</v>
      </c>
      <c r="U410">
        <v>0.16181476812793186</v>
      </c>
      <c r="V410" t="s">
        <v>164</v>
      </c>
    </row>
    <row r="411" spans="9:22" x14ac:dyDescent="0.45">
      <c r="I411" t="s">
        <v>184</v>
      </c>
      <c r="J411" t="s">
        <v>263</v>
      </c>
      <c r="K411">
        <v>7.9933772301782821E-3</v>
      </c>
      <c r="L411" t="s">
        <v>164</v>
      </c>
      <c r="N411" t="s">
        <v>212</v>
      </c>
      <c r="O411" t="s">
        <v>263</v>
      </c>
      <c r="P411">
        <v>2.0390619801275253E-2</v>
      </c>
      <c r="Q411" t="s">
        <v>164</v>
      </c>
      <c r="S411" t="s">
        <v>235</v>
      </c>
      <c r="T411" t="s">
        <v>263</v>
      </c>
      <c r="U411">
        <v>2.6876563565910346E-2</v>
      </c>
      <c r="V411" t="s">
        <v>164</v>
      </c>
    </row>
    <row r="412" spans="9:22" x14ac:dyDescent="0.45">
      <c r="I412" t="s">
        <v>184</v>
      </c>
      <c r="J412" t="s">
        <v>264</v>
      </c>
      <c r="K412">
        <v>0</v>
      </c>
      <c r="L412" t="s">
        <v>164</v>
      </c>
      <c r="N412" t="s">
        <v>212</v>
      </c>
      <c r="O412" t="s">
        <v>264</v>
      </c>
      <c r="P412">
        <v>0.13932027247692993</v>
      </c>
      <c r="Q412" t="s">
        <v>164</v>
      </c>
      <c r="S412" t="s">
        <v>235</v>
      </c>
      <c r="T412" t="s">
        <v>264</v>
      </c>
      <c r="U412">
        <v>0.14741568762677204</v>
      </c>
      <c r="V412" t="s">
        <v>164</v>
      </c>
    </row>
    <row r="413" spans="9:22" x14ac:dyDescent="0.45">
      <c r="I413" t="s">
        <v>184</v>
      </c>
      <c r="J413" t="s">
        <v>265</v>
      </c>
      <c r="K413">
        <v>1.2996365170167619E-2</v>
      </c>
      <c r="L413" t="s">
        <v>164</v>
      </c>
      <c r="N413" t="s">
        <v>212</v>
      </c>
      <c r="O413" t="s">
        <v>265</v>
      </c>
      <c r="P413">
        <v>4.1605534312133589E-2</v>
      </c>
      <c r="Q413" t="s">
        <v>164</v>
      </c>
      <c r="S413" t="s">
        <v>235</v>
      </c>
      <c r="T413" t="s">
        <v>265</v>
      </c>
      <c r="U413">
        <v>2.756442379589789E-2</v>
      </c>
      <c r="V413" t="s">
        <v>164</v>
      </c>
    </row>
    <row r="414" spans="9:22" x14ac:dyDescent="0.45">
      <c r="I414" t="s">
        <v>184</v>
      </c>
      <c r="J414" t="s">
        <v>266</v>
      </c>
      <c r="K414">
        <v>8.7119993579568775E-3</v>
      </c>
      <c r="L414" t="s">
        <v>164</v>
      </c>
      <c r="N414" t="s">
        <v>212</v>
      </c>
      <c r="O414" t="s">
        <v>266</v>
      </c>
      <c r="P414">
        <v>4.5787878891945964E-3</v>
      </c>
      <c r="Q414" t="s">
        <v>164</v>
      </c>
      <c r="S414" t="s">
        <v>235</v>
      </c>
      <c r="T414" t="s">
        <v>266</v>
      </c>
      <c r="U414">
        <v>2.739978256716642E-3</v>
      </c>
      <c r="V414" t="s">
        <v>164</v>
      </c>
    </row>
    <row r="415" spans="9:22" x14ac:dyDescent="0.45">
      <c r="I415" t="s">
        <v>184</v>
      </c>
      <c r="J415" t="s">
        <v>267</v>
      </c>
      <c r="K415">
        <v>9.5327216444797483E-3</v>
      </c>
      <c r="L415" t="s">
        <v>164</v>
      </c>
      <c r="N415" t="s">
        <v>212</v>
      </c>
      <c r="O415" t="s">
        <v>267</v>
      </c>
      <c r="P415">
        <v>4.4392034258940822E-3</v>
      </c>
      <c r="Q415" t="s">
        <v>164</v>
      </c>
      <c r="S415" t="s">
        <v>235</v>
      </c>
      <c r="T415" t="s">
        <v>267</v>
      </c>
      <c r="U415">
        <v>2.6810477538485615E-3</v>
      </c>
      <c r="V415" t="s">
        <v>164</v>
      </c>
    </row>
    <row r="416" spans="9:22" x14ac:dyDescent="0.45">
      <c r="I416" t="s">
        <v>184</v>
      </c>
      <c r="J416" t="s">
        <v>268</v>
      </c>
      <c r="K416">
        <v>5.0555812055126916E-2</v>
      </c>
      <c r="L416" t="s">
        <v>164</v>
      </c>
      <c r="N416" t="s">
        <v>212</v>
      </c>
      <c r="O416" t="s">
        <v>268</v>
      </c>
      <c r="P416">
        <v>2.5841403205349035E-2</v>
      </c>
      <c r="Q416" t="s">
        <v>164</v>
      </c>
      <c r="S416" t="s">
        <v>235</v>
      </c>
      <c r="T416" t="s">
        <v>268</v>
      </c>
      <c r="U416">
        <v>2.0361632457980106E-2</v>
      </c>
      <c r="V416" t="s">
        <v>164</v>
      </c>
    </row>
    <row r="417" spans="9:22" x14ac:dyDescent="0.45">
      <c r="I417" t="s">
        <v>184</v>
      </c>
      <c r="J417" t="s">
        <v>269</v>
      </c>
      <c r="K417">
        <v>1.7300479324361317E-3</v>
      </c>
      <c r="L417" t="s">
        <v>164</v>
      </c>
      <c r="N417" t="s">
        <v>212</v>
      </c>
      <c r="O417" t="s">
        <v>269</v>
      </c>
      <c r="P417">
        <v>3.7982874012663318E-3</v>
      </c>
      <c r="Q417" t="s">
        <v>164</v>
      </c>
      <c r="S417" t="s">
        <v>235</v>
      </c>
      <c r="T417" t="s">
        <v>269</v>
      </c>
      <c r="U417">
        <v>3.7918503161230598E-3</v>
      </c>
      <c r="V417" t="s">
        <v>164</v>
      </c>
    </row>
    <row r="418" spans="9:22" x14ac:dyDescent="0.45">
      <c r="I418" t="s">
        <v>184</v>
      </c>
      <c r="J418" t="s">
        <v>270</v>
      </c>
      <c r="K418">
        <v>0</v>
      </c>
      <c r="L418" t="s">
        <v>164</v>
      </c>
      <c r="N418" t="s">
        <v>212</v>
      </c>
      <c r="O418" t="s">
        <v>270</v>
      </c>
      <c r="P418">
        <v>3.0614153370156119E-2</v>
      </c>
      <c r="Q418" t="s">
        <v>164</v>
      </c>
      <c r="S418" t="s">
        <v>235</v>
      </c>
      <c r="T418" t="s">
        <v>270</v>
      </c>
      <c r="U418">
        <v>2.1009322257447907E-2</v>
      </c>
      <c r="V418" t="s">
        <v>164</v>
      </c>
    </row>
    <row r="419" spans="9:22" x14ac:dyDescent="0.45">
      <c r="I419" t="s">
        <v>184</v>
      </c>
      <c r="J419" t="s">
        <v>271</v>
      </c>
      <c r="K419">
        <v>1.7436664963356014E-2</v>
      </c>
      <c r="L419" t="s">
        <v>164</v>
      </c>
      <c r="N419" t="s">
        <v>212</v>
      </c>
      <c r="O419" t="s">
        <v>271</v>
      </c>
      <c r="P419">
        <v>3.1687955178097138E-2</v>
      </c>
      <c r="Q419" t="s">
        <v>164</v>
      </c>
      <c r="S419" t="s">
        <v>235</v>
      </c>
      <c r="T419" t="s">
        <v>271</v>
      </c>
      <c r="U419">
        <v>2.158445179716877E-2</v>
      </c>
      <c r="V419" t="s">
        <v>164</v>
      </c>
    </row>
    <row r="420" spans="9:22" x14ac:dyDescent="0.45">
      <c r="I420" t="s">
        <v>184</v>
      </c>
      <c r="J420" t="s">
        <v>272</v>
      </c>
      <c r="K420">
        <v>1.0026607646904119E-2</v>
      </c>
      <c r="L420" t="s">
        <v>164</v>
      </c>
      <c r="N420" t="s">
        <v>212</v>
      </c>
      <c r="O420" t="s">
        <v>272</v>
      </c>
      <c r="P420">
        <v>2.9243649075051071E-3</v>
      </c>
      <c r="Q420" t="s">
        <v>164</v>
      </c>
      <c r="S420" t="s">
        <v>235</v>
      </c>
      <c r="T420" t="s">
        <v>272</v>
      </c>
      <c r="U420">
        <v>1.8711388492406269E-3</v>
      </c>
      <c r="V420" t="s">
        <v>164</v>
      </c>
    </row>
    <row r="421" spans="9:22" x14ac:dyDescent="0.45">
      <c r="I421" t="s">
        <v>184</v>
      </c>
      <c r="J421" t="s">
        <v>273</v>
      </c>
      <c r="K421">
        <v>1.0306885556938783E-2</v>
      </c>
      <c r="L421" t="s">
        <v>164</v>
      </c>
      <c r="N421" t="s">
        <v>212</v>
      </c>
      <c r="O421" t="s">
        <v>273</v>
      </c>
      <c r="P421">
        <v>2.5475437038362876E-3</v>
      </c>
      <c r="Q421" t="s">
        <v>164</v>
      </c>
      <c r="S421" t="s">
        <v>235</v>
      </c>
      <c r="T421" t="s">
        <v>273</v>
      </c>
      <c r="U421">
        <v>1.903167425911838E-3</v>
      </c>
      <c r="V421" t="s">
        <v>164</v>
      </c>
    </row>
    <row r="422" spans="9:22" x14ac:dyDescent="0.45">
      <c r="I422" t="s">
        <v>184</v>
      </c>
      <c r="J422" t="s">
        <v>274</v>
      </c>
      <c r="K422">
        <v>5.2411451800980884E-2</v>
      </c>
      <c r="L422" t="s">
        <v>164</v>
      </c>
      <c r="N422" t="s">
        <v>212</v>
      </c>
      <c r="O422" t="s">
        <v>274</v>
      </c>
      <c r="P422">
        <v>1.524344455485519E-2</v>
      </c>
      <c r="Q422" t="s">
        <v>164</v>
      </c>
      <c r="S422" t="s">
        <v>235</v>
      </c>
      <c r="T422" t="s">
        <v>274</v>
      </c>
      <c r="U422">
        <v>1.8263668351088194E-2</v>
      </c>
      <c r="V422" t="s">
        <v>164</v>
      </c>
    </row>
    <row r="423" spans="9:22" x14ac:dyDescent="0.45">
      <c r="I423" t="s">
        <v>184</v>
      </c>
      <c r="J423" t="s">
        <v>275</v>
      </c>
      <c r="K423">
        <v>0</v>
      </c>
      <c r="L423" t="s">
        <v>164</v>
      </c>
      <c r="N423" t="s">
        <v>212</v>
      </c>
      <c r="O423" t="s">
        <v>275</v>
      </c>
      <c r="P423">
        <v>3.3942688213466892E-3</v>
      </c>
      <c r="Q423" t="s">
        <v>164</v>
      </c>
      <c r="S423" t="s">
        <v>235</v>
      </c>
      <c r="T423" t="s">
        <v>275</v>
      </c>
      <c r="U423">
        <v>3.8058675611819665E-3</v>
      </c>
      <c r="V423" t="s">
        <v>164</v>
      </c>
    </row>
    <row r="424" spans="9:22" x14ac:dyDescent="0.45">
      <c r="I424" t="s">
        <v>184</v>
      </c>
      <c r="J424" t="s">
        <v>276</v>
      </c>
      <c r="K424">
        <v>0</v>
      </c>
      <c r="L424" t="s">
        <v>164</v>
      </c>
      <c r="N424" t="s">
        <v>212</v>
      </c>
      <c r="O424" t="s">
        <v>276</v>
      </c>
      <c r="P424">
        <v>2.6234766714592246E-2</v>
      </c>
      <c r="Q424" t="s">
        <v>164</v>
      </c>
      <c r="S424" t="s">
        <v>235</v>
      </c>
      <c r="T424" t="s">
        <v>276</v>
      </c>
      <c r="U424">
        <v>2.000891491222654E-2</v>
      </c>
      <c r="V424" t="s">
        <v>164</v>
      </c>
    </row>
    <row r="425" spans="9:22" x14ac:dyDescent="0.45">
      <c r="I425" t="s">
        <v>184</v>
      </c>
      <c r="J425" t="s">
        <v>277</v>
      </c>
      <c r="K425">
        <v>3.0481097023078756E-2</v>
      </c>
      <c r="L425" t="s">
        <v>164</v>
      </c>
      <c r="N425" t="s">
        <v>212</v>
      </c>
      <c r="O425" t="s">
        <v>277</v>
      </c>
      <c r="P425">
        <v>2.8915450915703814E-2</v>
      </c>
      <c r="Q425" t="s">
        <v>164</v>
      </c>
      <c r="S425" t="s">
        <v>235</v>
      </c>
      <c r="T425" t="s">
        <v>277</v>
      </c>
      <c r="U425">
        <v>2.2654261582283987E-2</v>
      </c>
      <c r="V425" t="s">
        <v>164</v>
      </c>
    </row>
    <row r="426" spans="9:22" x14ac:dyDescent="0.45">
      <c r="I426" t="s">
        <v>184</v>
      </c>
      <c r="J426" t="s">
        <v>278</v>
      </c>
      <c r="K426">
        <v>1.8797485892302578E-2</v>
      </c>
      <c r="L426" t="s">
        <v>164</v>
      </c>
      <c r="N426" t="s">
        <v>212</v>
      </c>
      <c r="O426" t="s">
        <v>278</v>
      </c>
      <c r="P426">
        <v>2.2409156048564848E-3</v>
      </c>
      <c r="Q426" t="s">
        <v>164</v>
      </c>
      <c r="S426" t="s">
        <v>235</v>
      </c>
      <c r="T426" t="s">
        <v>278</v>
      </c>
      <c r="U426">
        <v>2.1977400526294239E-3</v>
      </c>
      <c r="V426" t="s">
        <v>164</v>
      </c>
    </row>
    <row r="427" spans="9:22" x14ac:dyDescent="0.45">
      <c r="I427" t="s">
        <v>184</v>
      </c>
      <c r="J427" t="s">
        <v>279</v>
      </c>
      <c r="K427">
        <v>1.9298018784224234E-2</v>
      </c>
      <c r="L427" t="s">
        <v>164</v>
      </c>
      <c r="N427" t="s">
        <v>212</v>
      </c>
      <c r="O427" t="s">
        <v>279</v>
      </c>
      <c r="P427">
        <v>2.2463690540567016E-3</v>
      </c>
      <c r="Q427" t="s">
        <v>164</v>
      </c>
      <c r="S427" t="s">
        <v>235</v>
      </c>
      <c r="T427" t="s">
        <v>279</v>
      </c>
      <c r="U427">
        <v>2.0902521170230856E-3</v>
      </c>
      <c r="V427" t="s">
        <v>164</v>
      </c>
    </row>
    <row r="428" spans="9:22" x14ac:dyDescent="0.45">
      <c r="I428" t="s">
        <v>184</v>
      </c>
      <c r="J428" t="s">
        <v>280</v>
      </c>
      <c r="K428">
        <v>0.10019383583114752</v>
      </c>
      <c r="L428" t="s">
        <v>164</v>
      </c>
      <c r="N428" t="s">
        <v>212</v>
      </c>
      <c r="O428" t="s">
        <v>280</v>
      </c>
      <c r="P428">
        <v>1.2234854148585063E-2</v>
      </c>
      <c r="Q428" t="s">
        <v>164</v>
      </c>
      <c r="S428" t="s">
        <v>235</v>
      </c>
      <c r="T428" t="s">
        <v>280</v>
      </c>
      <c r="U428">
        <v>2.3928585699902472E-2</v>
      </c>
      <c r="V428" t="s">
        <v>164</v>
      </c>
    </row>
    <row r="429" spans="9:22" x14ac:dyDescent="0.45">
      <c r="I429" t="s">
        <v>184</v>
      </c>
      <c r="J429" t="s">
        <v>281</v>
      </c>
      <c r="K429">
        <v>1.7305111496324999E-3</v>
      </c>
      <c r="L429" t="s">
        <v>164</v>
      </c>
      <c r="N429" t="s">
        <v>212</v>
      </c>
      <c r="O429" t="s">
        <v>281</v>
      </c>
      <c r="P429">
        <v>2.4736588023553138E-3</v>
      </c>
      <c r="Q429" t="s">
        <v>164</v>
      </c>
      <c r="S429" t="s">
        <v>235</v>
      </c>
      <c r="T429" t="s">
        <v>281</v>
      </c>
      <c r="U429">
        <v>5.3039699693898899E-3</v>
      </c>
      <c r="V429" t="s">
        <v>164</v>
      </c>
    </row>
    <row r="430" spans="9:22" x14ac:dyDescent="0.45">
      <c r="I430" t="s">
        <v>184</v>
      </c>
      <c r="J430" t="s">
        <v>282</v>
      </c>
      <c r="K430">
        <v>0</v>
      </c>
      <c r="L430" t="s">
        <v>164</v>
      </c>
      <c r="N430" t="s">
        <v>212</v>
      </c>
      <c r="O430" t="s">
        <v>282</v>
      </c>
      <c r="P430">
        <v>2.0669054438485802E-2</v>
      </c>
      <c r="Q430" t="s">
        <v>164</v>
      </c>
      <c r="S430" t="s">
        <v>235</v>
      </c>
      <c r="T430" t="s">
        <v>282</v>
      </c>
      <c r="U430">
        <v>2.5482006358174346E-2</v>
      </c>
      <c r="V430" t="s">
        <v>164</v>
      </c>
    </row>
    <row r="431" spans="9:22" x14ac:dyDescent="0.45">
      <c r="I431" t="s">
        <v>185</v>
      </c>
      <c r="J431" t="s">
        <v>163</v>
      </c>
      <c r="K431">
        <v>1.3998024565630087E-2</v>
      </c>
      <c r="L431" t="s">
        <v>164</v>
      </c>
      <c r="N431" t="s">
        <v>213</v>
      </c>
      <c r="O431" t="s">
        <v>163</v>
      </c>
      <c r="P431">
        <v>1.8680664946362141E-2</v>
      </c>
      <c r="Q431" t="s">
        <v>164</v>
      </c>
    </row>
    <row r="432" spans="9:22" x14ac:dyDescent="0.45">
      <c r="I432" t="s">
        <v>185</v>
      </c>
      <c r="J432" t="s">
        <v>165</v>
      </c>
      <c r="K432">
        <v>9.6457584716857225E-3</v>
      </c>
      <c r="L432" t="s">
        <v>164</v>
      </c>
      <c r="N432" t="s">
        <v>213</v>
      </c>
      <c r="O432" t="s">
        <v>165</v>
      </c>
      <c r="P432">
        <v>3.2992066139608863E-3</v>
      </c>
      <c r="Q432" t="s">
        <v>164</v>
      </c>
    </row>
    <row r="433" spans="9:17" x14ac:dyDescent="0.45">
      <c r="I433" t="s">
        <v>185</v>
      </c>
      <c r="J433" t="s">
        <v>166</v>
      </c>
      <c r="K433">
        <v>1.0357919536407179E-2</v>
      </c>
      <c r="L433" t="s">
        <v>164</v>
      </c>
      <c r="N433" t="s">
        <v>213</v>
      </c>
      <c r="O433" t="s">
        <v>166</v>
      </c>
      <c r="P433">
        <v>3.2516134759686464E-3</v>
      </c>
      <c r="Q433" t="s">
        <v>164</v>
      </c>
    </row>
    <row r="434" spans="9:17" x14ac:dyDescent="0.45">
      <c r="I434" t="s">
        <v>185</v>
      </c>
      <c r="J434" t="s">
        <v>253</v>
      </c>
      <c r="K434">
        <v>5.8699219600903817E-2</v>
      </c>
      <c r="L434" t="s">
        <v>164</v>
      </c>
      <c r="N434" t="s">
        <v>213</v>
      </c>
      <c r="O434" t="s">
        <v>253</v>
      </c>
      <c r="P434">
        <v>1.4761943628841593E-2</v>
      </c>
      <c r="Q434" t="s">
        <v>164</v>
      </c>
    </row>
    <row r="435" spans="9:17" x14ac:dyDescent="0.45">
      <c r="I435" t="s">
        <v>185</v>
      </c>
      <c r="J435" t="s">
        <v>254</v>
      </c>
      <c r="K435">
        <v>3.0744076073892846E-3</v>
      </c>
      <c r="L435" t="s">
        <v>164</v>
      </c>
      <c r="N435" t="s">
        <v>213</v>
      </c>
      <c r="O435" t="s">
        <v>254</v>
      </c>
      <c r="P435">
        <v>2.692842161215491E-3</v>
      </c>
      <c r="Q435" t="s">
        <v>164</v>
      </c>
    </row>
    <row r="436" spans="9:17" x14ac:dyDescent="0.45">
      <c r="I436" t="s">
        <v>185</v>
      </c>
      <c r="J436" t="s">
        <v>255</v>
      </c>
      <c r="K436">
        <v>0</v>
      </c>
      <c r="L436" t="s">
        <v>164</v>
      </c>
      <c r="N436" t="s">
        <v>213</v>
      </c>
      <c r="O436" t="s">
        <v>255</v>
      </c>
      <c r="P436">
        <v>1.6918129229665797E-2</v>
      </c>
      <c r="Q436" t="s">
        <v>164</v>
      </c>
    </row>
    <row r="437" spans="9:17" x14ac:dyDescent="0.45">
      <c r="I437" t="s">
        <v>185</v>
      </c>
      <c r="J437" t="s">
        <v>167</v>
      </c>
      <c r="K437">
        <v>1.2733924570565958E-2</v>
      </c>
      <c r="L437" t="s">
        <v>164</v>
      </c>
      <c r="N437" t="s">
        <v>213</v>
      </c>
      <c r="O437" t="s">
        <v>167</v>
      </c>
      <c r="P437">
        <v>2.4224911032214882E-2</v>
      </c>
      <c r="Q437" t="s">
        <v>164</v>
      </c>
    </row>
    <row r="438" spans="9:17" x14ac:dyDescent="0.45">
      <c r="I438" t="s">
        <v>185</v>
      </c>
      <c r="J438" t="s">
        <v>168</v>
      </c>
      <c r="K438">
        <v>8.9897662950842259E-3</v>
      </c>
      <c r="L438" t="s">
        <v>164</v>
      </c>
      <c r="N438" t="s">
        <v>213</v>
      </c>
      <c r="O438" t="s">
        <v>168</v>
      </c>
      <c r="P438">
        <v>4.1168017678977712E-3</v>
      </c>
      <c r="Q438" t="s">
        <v>164</v>
      </c>
    </row>
    <row r="439" spans="9:17" x14ac:dyDescent="0.45">
      <c r="I439" t="s">
        <v>185</v>
      </c>
      <c r="J439" t="s">
        <v>169</v>
      </c>
      <c r="K439">
        <v>9.6281010354267397E-3</v>
      </c>
      <c r="L439" t="s">
        <v>164</v>
      </c>
      <c r="N439" t="s">
        <v>213</v>
      </c>
      <c r="O439" t="s">
        <v>169</v>
      </c>
      <c r="P439">
        <v>4.0150423201687777E-3</v>
      </c>
      <c r="Q439" t="s">
        <v>164</v>
      </c>
    </row>
    <row r="440" spans="9:17" x14ac:dyDescent="0.45">
      <c r="I440" t="s">
        <v>185</v>
      </c>
      <c r="J440" t="s">
        <v>256</v>
      </c>
      <c r="K440">
        <v>5.6302306002990306E-2</v>
      </c>
      <c r="L440" t="s">
        <v>164</v>
      </c>
      <c r="N440" t="s">
        <v>213</v>
      </c>
      <c r="O440" t="s">
        <v>256</v>
      </c>
      <c r="P440">
        <v>2.041501486630071E-2</v>
      </c>
      <c r="Q440" t="s">
        <v>164</v>
      </c>
    </row>
    <row r="441" spans="9:17" x14ac:dyDescent="0.45">
      <c r="I441" t="s">
        <v>185</v>
      </c>
      <c r="J441" t="s">
        <v>257</v>
      </c>
      <c r="K441">
        <v>3.4955321206164274E-3</v>
      </c>
      <c r="L441" t="s">
        <v>164</v>
      </c>
      <c r="N441" t="s">
        <v>213</v>
      </c>
      <c r="O441" t="s">
        <v>257</v>
      </c>
      <c r="P441">
        <v>3.6715953470941379E-3</v>
      </c>
      <c r="Q441" t="s">
        <v>164</v>
      </c>
    </row>
    <row r="442" spans="9:17" x14ac:dyDescent="0.45">
      <c r="I442" t="s">
        <v>185</v>
      </c>
      <c r="J442" t="s">
        <v>258</v>
      </c>
      <c r="K442">
        <v>0</v>
      </c>
      <c r="L442" t="s">
        <v>164</v>
      </c>
      <c r="N442" t="s">
        <v>213</v>
      </c>
      <c r="O442" t="s">
        <v>258</v>
      </c>
      <c r="P442">
        <v>2.095230502660261E-2</v>
      </c>
      <c r="Q442" t="s">
        <v>164</v>
      </c>
    </row>
    <row r="443" spans="9:17" x14ac:dyDescent="0.45">
      <c r="I443" t="s">
        <v>185</v>
      </c>
      <c r="J443" t="s">
        <v>170</v>
      </c>
      <c r="K443">
        <v>1.2453267294527748E-2</v>
      </c>
      <c r="L443" t="s">
        <v>164</v>
      </c>
      <c r="N443" t="s">
        <v>213</v>
      </c>
      <c r="O443" t="s">
        <v>170</v>
      </c>
      <c r="P443">
        <v>2.5642839498976357E-2</v>
      </c>
      <c r="Q443" t="s">
        <v>164</v>
      </c>
    </row>
    <row r="444" spans="9:17" x14ac:dyDescent="0.45">
      <c r="I444" t="s">
        <v>185</v>
      </c>
      <c r="J444" t="s">
        <v>171</v>
      </c>
      <c r="K444">
        <v>8.7172496981215881E-3</v>
      </c>
      <c r="L444" t="s">
        <v>164</v>
      </c>
      <c r="N444" t="s">
        <v>213</v>
      </c>
      <c r="O444" t="s">
        <v>171</v>
      </c>
      <c r="P444">
        <v>4.0799912901977571E-3</v>
      </c>
      <c r="Q444" t="s">
        <v>164</v>
      </c>
    </row>
    <row r="445" spans="9:17" x14ac:dyDescent="0.45">
      <c r="I445" t="s">
        <v>185</v>
      </c>
      <c r="J445" t="s">
        <v>172</v>
      </c>
      <c r="K445">
        <v>9.3878590384002519E-3</v>
      </c>
      <c r="L445" t="s">
        <v>164</v>
      </c>
      <c r="N445" t="s">
        <v>213</v>
      </c>
      <c r="O445" t="s">
        <v>172</v>
      </c>
      <c r="P445">
        <v>3.7072522991924363E-3</v>
      </c>
      <c r="Q445" t="s">
        <v>164</v>
      </c>
    </row>
    <row r="446" spans="9:17" x14ac:dyDescent="0.45">
      <c r="I446" t="s">
        <v>185</v>
      </c>
      <c r="J446" t="s">
        <v>259</v>
      </c>
      <c r="K446">
        <v>5.4208423577371864E-2</v>
      </c>
      <c r="L446" t="s">
        <v>164</v>
      </c>
      <c r="N446" t="s">
        <v>213</v>
      </c>
      <c r="O446" t="s">
        <v>259</v>
      </c>
      <c r="P446">
        <v>1.9325983206081188E-2</v>
      </c>
      <c r="Q446" t="s">
        <v>164</v>
      </c>
    </row>
    <row r="447" spans="9:17" x14ac:dyDescent="0.45">
      <c r="I447" t="s">
        <v>185</v>
      </c>
      <c r="J447" t="s">
        <v>260</v>
      </c>
      <c r="K447">
        <v>2.6173194933662288E-3</v>
      </c>
      <c r="L447" t="s">
        <v>164</v>
      </c>
      <c r="N447" t="s">
        <v>213</v>
      </c>
      <c r="O447" t="s">
        <v>260</v>
      </c>
      <c r="P447">
        <v>2.818295625209492E-3</v>
      </c>
      <c r="Q447" t="s">
        <v>164</v>
      </c>
    </row>
    <row r="448" spans="9:17" x14ac:dyDescent="0.45">
      <c r="I448" t="s">
        <v>185</v>
      </c>
      <c r="J448" t="s">
        <v>261</v>
      </c>
      <c r="K448">
        <v>0</v>
      </c>
      <c r="L448" t="s">
        <v>164</v>
      </c>
      <c r="N448" t="s">
        <v>213</v>
      </c>
      <c r="O448" t="s">
        <v>261</v>
      </c>
      <c r="P448">
        <v>1.4152337272647223E-2</v>
      </c>
      <c r="Q448" t="s">
        <v>164</v>
      </c>
    </row>
    <row r="449" spans="9:17" x14ac:dyDescent="0.45">
      <c r="I449" t="s">
        <v>185</v>
      </c>
      <c r="J449" t="s">
        <v>173</v>
      </c>
      <c r="K449">
        <v>5.45134796041572E-2</v>
      </c>
      <c r="L449" t="s">
        <v>164</v>
      </c>
      <c r="N449" t="s">
        <v>213</v>
      </c>
      <c r="O449" t="s">
        <v>173</v>
      </c>
      <c r="P449">
        <v>0.19450857415514364</v>
      </c>
      <c r="Q449" t="s">
        <v>164</v>
      </c>
    </row>
    <row r="450" spans="9:17" x14ac:dyDescent="0.45">
      <c r="I450" t="s">
        <v>185</v>
      </c>
      <c r="J450" t="s">
        <v>174</v>
      </c>
      <c r="K450">
        <v>3.6961965844286022E-2</v>
      </c>
      <c r="L450" t="s">
        <v>164</v>
      </c>
      <c r="N450" t="s">
        <v>213</v>
      </c>
      <c r="O450" t="s">
        <v>174</v>
      </c>
      <c r="P450">
        <v>2.4278560992101437E-2</v>
      </c>
      <c r="Q450" t="s">
        <v>164</v>
      </c>
    </row>
    <row r="451" spans="9:17" x14ac:dyDescent="0.45">
      <c r="I451" t="s">
        <v>185</v>
      </c>
      <c r="J451" t="s">
        <v>175</v>
      </c>
      <c r="K451">
        <v>4.1258033037352537E-2</v>
      </c>
      <c r="L451" t="s">
        <v>164</v>
      </c>
      <c r="N451" t="s">
        <v>213</v>
      </c>
      <c r="O451" t="s">
        <v>175</v>
      </c>
      <c r="P451">
        <v>2.3094050730670314E-2</v>
      </c>
      <c r="Q451" t="s">
        <v>164</v>
      </c>
    </row>
    <row r="452" spans="9:17" x14ac:dyDescent="0.45">
      <c r="I452" t="s">
        <v>185</v>
      </c>
      <c r="J452" t="s">
        <v>262</v>
      </c>
      <c r="K452">
        <v>0.22840029133885709</v>
      </c>
      <c r="L452" t="s">
        <v>164</v>
      </c>
      <c r="N452" t="s">
        <v>213</v>
      </c>
      <c r="O452" t="s">
        <v>262</v>
      </c>
      <c r="P452">
        <v>0.11595005103964899</v>
      </c>
      <c r="Q452" t="s">
        <v>164</v>
      </c>
    </row>
    <row r="453" spans="9:17" x14ac:dyDescent="0.45">
      <c r="I453" t="s">
        <v>185</v>
      </c>
      <c r="J453" t="s">
        <v>263</v>
      </c>
      <c r="K453">
        <v>1.0502859605217194E-2</v>
      </c>
      <c r="L453" t="s">
        <v>164</v>
      </c>
      <c r="N453" t="s">
        <v>213</v>
      </c>
      <c r="O453" t="s">
        <v>263</v>
      </c>
      <c r="P453">
        <v>1.9839789955458782E-2</v>
      </c>
      <c r="Q453" t="s">
        <v>164</v>
      </c>
    </row>
    <row r="454" spans="9:17" x14ac:dyDescent="0.45">
      <c r="I454" t="s">
        <v>185</v>
      </c>
      <c r="J454" t="s">
        <v>264</v>
      </c>
      <c r="K454">
        <v>0</v>
      </c>
      <c r="L454" t="s">
        <v>164</v>
      </c>
      <c r="N454" t="s">
        <v>213</v>
      </c>
      <c r="O454" t="s">
        <v>264</v>
      </c>
      <c r="P454">
        <v>0.11322263347734182</v>
      </c>
      <c r="Q454" t="s">
        <v>164</v>
      </c>
    </row>
    <row r="455" spans="9:17" x14ac:dyDescent="0.45">
      <c r="I455" t="s">
        <v>185</v>
      </c>
      <c r="J455" t="s">
        <v>265</v>
      </c>
      <c r="K455">
        <v>1.3618537451134989E-2</v>
      </c>
      <c r="L455" t="s">
        <v>164</v>
      </c>
      <c r="N455" t="s">
        <v>213</v>
      </c>
      <c r="O455" t="s">
        <v>265</v>
      </c>
      <c r="P455">
        <v>4.0428901030780465E-2</v>
      </c>
      <c r="Q455" t="s">
        <v>164</v>
      </c>
    </row>
    <row r="456" spans="9:17" x14ac:dyDescent="0.45">
      <c r="I456" t="s">
        <v>185</v>
      </c>
      <c r="J456" t="s">
        <v>266</v>
      </c>
      <c r="K456">
        <v>8.7431427089841827E-3</v>
      </c>
      <c r="L456" t="s">
        <v>164</v>
      </c>
      <c r="N456" t="s">
        <v>213</v>
      </c>
      <c r="O456" t="s">
        <v>266</v>
      </c>
      <c r="P456">
        <v>4.6960626355054156E-3</v>
      </c>
      <c r="Q456" t="s">
        <v>164</v>
      </c>
    </row>
    <row r="457" spans="9:17" x14ac:dyDescent="0.45">
      <c r="I457" t="s">
        <v>185</v>
      </c>
      <c r="J457" t="s">
        <v>267</v>
      </c>
      <c r="K457">
        <v>9.5794017771427143E-3</v>
      </c>
      <c r="L457" t="s">
        <v>164</v>
      </c>
      <c r="N457" t="s">
        <v>213</v>
      </c>
      <c r="O457" t="s">
        <v>267</v>
      </c>
      <c r="P457">
        <v>4.2685306758192378E-3</v>
      </c>
      <c r="Q457" t="s">
        <v>164</v>
      </c>
    </row>
    <row r="458" spans="9:17" x14ac:dyDescent="0.45">
      <c r="I458" t="s">
        <v>185</v>
      </c>
      <c r="J458" t="s">
        <v>268</v>
      </c>
      <c r="K458">
        <v>5.0677848601223069E-2</v>
      </c>
      <c r="L458" t="s">
        <v>164</v>
      </c>
      <c r="N458" t="s">
        <v>213</v>
      </c>
      <c r="O458" t="s">
        <v>268</v>
      </c>
      <c r="P458">
        <v>2.1613832341714562E-2</v>
      </c>
      <c r="Q458" t="s">
        <v>164</v>
      </c>
    </row>
    <row r="459" spans="9:17" x14ac:dyDescent="0.45">
      <c r="I459" t="s">
        <v>185</v>
      </c>
      <c r="J459" t="s">
        <v>269</v>
      </c>
      <c r="K459">
        <v>1.9778474798875069E-3</v>
      </c>
      <c r="L459" t="s">
        <v>164</v>
      </c>
      <c r="N459" t="s">
        <v>213</v>
      </c>
      <c r="O459" t="s">
        <v>269</v>
      </c>
      <c r="P459">
        <v>4.5532644134772867E-3</v>
      </c>
      <c r="Q459" t="s">
        <v>164</v>
      </c>
    </row>
    <row r="460" spans="9:17" x14ac:dyDescent="0.45">
      <c r="I460" t="s">
        <v>185</v>
      </c>
      <c r="J460" t="s">
        <v>270</v>
      </c>
      <c r="K460">
        <v>0</v>
      </c>
      <c r="L460" t="s">
        <v>164</v>
      </c>
      <c r="N460" t="s">
        <v>213</v>
      </c>
      <c r="O460" t="s">
        <v>270</v>
      </c>
      <c r="P460">
        <v>2.4563588490203112E-2</v>
      </c>
      <c r="Q460" t="s">
        <v>164</v>
      </c>
    </row>
    <row r="461" spans="9:17" x14ac:dyDescent="0.45">
      <c r="I461" t="s">
        <v>185</v>
      </c>
      <c r="J461" t="s">
        <v>271</v>
      </c>
      <c r="K461">
        <v>2.1495810874351779E-2</v>
      </c>
      <c r="L461" t="s">
        <v>164</v>
      </c>
      <c r="N461" t="s">
        <v>213</v>
      </c>
      <c r="O461" t="s">
        <v>271</v>
      </c>
      <c r="P461">
        <v>3.8102087480217706E-2</v>
      </c>
      <c r="Q461" t="s">
        <v>164</v>
      </c>
    </row>
    <row r="462" spans="9:17" x14ac:dyDescent="0.45">
      <c r="I462" t="s">
        <v>185</v>
      </c>
      <c r="J462" t="s">
        <v>272</v>
      </c>
      <c r="K462">
        <v>1.0202788863801375E-2</v>
      </c>
      <c r="L462" t="s">
        <v>164</v>
      </c>
      <c r="N462" t="s">
        <v>213</v>
      </c>
      <c r="O462" t="s">
        <v>272</v>
      </c>
      <c r="P462">
        <v>4.6925132461611424E-3</v>
      </c>
      <c r="Q462" t="s">
        <v>164</v>
      </c>
    </row>
    <row r="463" spans="9:17" x14ac:dyDescent="0.45">
      <c r="I463" t="s">
        <v>185</v>
      </c>
      <c r="J463" t="s">
        <v>273</v>
      </c>
      <c r="K463">
        <v>1.065297304910192E-2</v>
      </c>
      <c r="L463" t="s">
        <v>164</v>
      </c>
      <c r="N463" t="s">
        <v>213</v>
      </c>
      <c r="O463" t="s">
        <v>273</v>
      </c>
      <c r="P463">
        <v>4.3113461379719132E-3</v>
      </c>
      <c r="Q463" t="s">
        <v>164</v>
      </c>
    </row>
    <row r="464" spans="9:17" x14ac:dyDescent="0.45">
      <c r="I464" t="s">
        <v>185</v>
      </c>
      <c r="J464" t="s">
        <v>274</v>
      </c>
      <c r="K464">
        <v>5.8501716861816697E-2</v>
      </c>
      <c r="L464" t="s">
        <v>164</v>
      </c>
      <c r="N464" t="s">
        <v>213</v>
      </c>
      <c r="O464" t="s">
        <v>274</v>
      </c>
      <c r="P464">
        <v>2.6456657700878239E-2</v>
      </c>
      <c r="Q464" t="s">
        <v>164</v>
      </c>
    </row>
    <row r="465" spans="9:17" x14ac:dyDescent="0.45">
      <c r="I465" t="s">
        <v>185</v>
      </c>
      <c r="J465" t="s">
        <v>275</v>
      </c>
      <c r="K465">
        <v>0</v>
      </c>
      <c r="L465" t="s">
        <v>164</v>
      </c>
      <c r="N465" t="s">
        <v>213</v>
      </c>
      <c r="O465" t="s">
        <v>275</v>
      </c>
      <c r="P465">
        <v>4.4593625337966203E-3</v>
      </c>
      <c r="Q465" t="s">
        <v>164</v>
      </c>
    </row>
    <row r="466" spans="9:17" x14ac:dyDescent="0.45">
      <c r="I466" t="s">
        <v>185</v>
      </c>
      <c r="J466" t="s">
        <v>276</v>
      </c>
      <c r="K466">
        <v>0</v>
      </c>
      <c r="L466" t="s">
        <v>164</v>
      </c>
      <c r="N466" t="s">
        <v>213</v>
      </c>
      <c r="O466" t="s">
        <v>276</v>
      </c>
      <c r="P466">
        <v>2.1956383699715119E-2</v>
      </c>
      <c r="Q466" t="s">
        <v>164</v>
      </c>
    </row>
    <row r="467" spans="9:17" x14ac:dyDescent="0.45">
      <c r="I467" t="s">
        <v>185</v>
      </c>
      <c r="J467" t="s">
        <v>277</v>
      </c>
      <c r="K467">
        <v>3.2786180339563625E-2</v>
      </c>
      <c r="L467" t="s">
        <v>164</v>
      </c>
      <c r="N467" t="s">
        <v>213</v>
      </c>
      <c r="O467" t="s">
        <v>277</v>
      </c>
      <c r="P467">
        <v>2.7945760601043514E-2</v>
      </c>
      <c r="Q467" t="s">
        <v>164</v>
      </c>
    </row>
    <row r="468" spans="9:17" x14ac:dyDescent="0.45">
      <c r="I468" t="s">
        <v>185</v>
      </c>
      <c r="J468" t="s">
        <v>278</v>
      </c>
      <c r="K468">
        <v>1.7977584193400113E-2</v>
      </c>
      <c r="L468" t="s">
        <v>164</v>
      </c>
      <c r="N468" t="s">
        <v>213</v>
      </c>
      <c r="O468" t="s">
        <v>278</v>
      </c>
      <c r="P468">
        <v>5.3065856030019044E-3</v>
      </c>
      <c r="Q468" t="s">
        <v>164</v>
      </c>
    </row>
    <row r="469" spans="9:17" x14ac:dyDescent="0.45">
      <c r="I469" t="s">
        <v>185</v>
      </c>
      <c r="J469" t="s">
        <v>279</v>
      </c>
      <c r="K469">
        <v>1.8626551526322508E-2</v>
      </c>
      <c r="L469" t="s">
        <v>164</v>
      </c>
      <c r="N469" t="s">
        <v>213</v>
      </c>
      <c r="O469" t="s">
        <v>279</v>
      </c>
      <c r="P469">
        <v>5.256752683409251E-3</v>
      </c>
      <c r="Q469" t="s">
        <v>164</v>
      </c>
    </row>
    <row r="470" spans="9:17" x14ac:dyDescent="0.45">
      <c r="I470" t="s">
        <v>185</v>
      </c>
      <c r="J470" t="s">
        <v>280</v>
      </c>
      <c r="K470">
        <v>9.721785678363104E-2</v>
      </c>
      <c r="L470" t="s">
        <v>164</v>
      </c>
      <c r="N470" t="s">
        <v>213</v>
      </c>
      <c r="O470" t="s">
        <v>280</v>
      </c>
      <c r="P470">
        <v>3.001795005584678E-2</v>
      </c>
      <c r="Q470" t="s">
        <v>164</v>
      </c>
    </row>
    <row r="471" spans="9:17" x14ac:dyDescent="0.45">
      <c r="I471" t="s">
        <v>185</v>
      </c>
      <c r="J471" t="s">
        <v>281</v>
      </c>
      <c r="K471">
        <v>1.9960511512789143E-3</v>
      </c>
      <c r="L471" t="s">
        <v>164</v>
      </c>
      <c r="N471" t="s">
        <v>213</v>
      </c>
      <c r="O471" t="s">
        <v>281</v>
      </c>
      <c r="P471">
        <v>5.5520872029563434E-3</v>
      </c>
      <c r="Q471" t="s">
        <v>164</v>
      </c>
    </row>
    <row r="472" spans="9:17" x14ac:dyDescent="0.45">
      <c r="I472" t="s">
        <v>185</v>
      </c>
      <c r="J472" t="s">
        <v>282</v>
      </c>
      <c r="K472">
        <v>0</v>
      </c>
      <c r="L472" t="s">
        <v>164</v>
      </c>
      <c r="N472" t="s">
        <v>213</v>
      </c>
      <c r="O472" t="s">
        <v>282</v>
      </c>
      <c r="P472">
        <v>2.8197903508540321E-2</v>
      </c>
      <c r="Q472" t="s">
        <v>164</v>
      </c>
    </row>
    <row r="473" spans="9:17" x14ac:dyDescent="0.45">
      <c r="I473" t="s">
        <v>186</v>
      </c>
      <c r="J473" t="s">
        <v>163</v>
      </c>
      <c r="K473">
        <v>1.3819993440054674E-2</v>
      </c>
      <c r="L473" t="s">
        <v>164</v>
      </c>
      <c r="N473" t="s">
        <v>214</v>
      </c>
      <c r="O473" t="s">
        <v>163</v>
      </c>
      <c r="P473">
        <v>1.6623564478503067E-2</v>
      </c>
      <c r="Q473" t="s">
        <v>164</v>
      </c>
    </row>
    <row r="474" spans="9:17" x14ac:dyDescent="0.45">
      <c r="I474" t="s">
        <v>186</v>
      </c>
      <c r="J474" t="s">
        <v>165</v>
      </c>
      <c r="K474">
        <v>9.4091461644985608E-3</v>
      </c>
      <c r="L474" t="s">
        <v>164</v>
      </c>
      <c r="N474" t="s">
        <v>214</v>
      </c>
      <c r="O474" t="s">
        <v>165</v>
      </c>
      <c r="P474">
        <v>3.0539553922445868E-3</v>
      </c>
      <c r="Q474" t="s">
        <v>164</v>
      </c>
    </row>
    <row r="475" spans="9:17" x14ac:dyDescent="0.45">
      <c r="I475" t="s">
        <v>186</v>
      </c>
      <c r="J475" t="s">
        <v>166</v>
      </c>
      <c r="K475">
        <v>1.0306413071251991E-2</v>
      </c>
      <c r="L475" t="s">
        <v>164</v>
      </c>
      <c r="N475" t="s">
        <v>214</v>
      </c>
      <c r="O475" t="s">
        <v>166</v>
      </c>
      <c r="P475">
        <v>3.9598748921179892E-3</v>
      </c>
      <c r="Q475" t="s">
        <v>164</v>
      </c>
    </row>
    <row r="476" spans="9:17" x14ac:dyDescent="0.45">
      <c r="I476" t="s">
        <v>186</v>
      </c>
      <c r="J476" t="s">
        <v>253</v>
      </c>
      <c r="K476">
        <v>6.3031000058437245E-2</v>
      </c>
      <c r="L476" t="s">
        <v>164</v>
      </c>
      <c r="N476" t="s">
        <v>214</v>
      </c>
      <c r="O476" t="s">
        <v>253</v>
      </c>
      <c r="P476">
        <v>1.9231754228939281E-2</v>
      </c>
      <c r="Q476" t="s">
        <v>164</v>
      </c>
    </row>
    <row r="477" spans="9:17" x14ac:dyDescent="0.45">
      <c r="I477" t="s">
        <v>186</v>
      </c>
      <c r="J477" t="s">
        <v>254</v>
      </c>
      <c r="K477">
        <v>3.525981292197387E-3</v>
      </c>
      <c r="L477" t="s">
        <v>164</v>
      </c>
      <c r="N477" t="s">
        <v>214</v>
      </c>
      <c r="O477" t="s">
        <v>254</v>
      </c>
      <c r="P477">
        <v>2.5768561152355244E-3</v>
      </c>
      <c r="Q477" t="s">
        <v>164</v>
      </c>
    </row>
    <row r="478" spans="9:17" x14ac:dyDescent="0.45">
      <c r="I478" t="s">
        <v>186</v>
      </c>
      <c r="J478" t="s">
        <v>255</v>
      </c>
      <c r="K478">
        <v>0</v>
      </c>
      <c r="L478" t="s">
        <v>164</v>
      </c>
      <c r="N478" t="s">
        <v>214</v>
      </c>
      <c r="O478" t="s">
        <v>255</v>
      </c>
      <c r="P478">
        <v>2.1682472724019537E-2</v>
      </c>
      <c r="Q478" t="s">
        <v>164</v>
      </c>
    </row>
    <row r="479" spans="9:17" x14ac:dyDescent="0.45">
      <c r="I479" t="s">
        <v>186</v>
      </c>
      <c r="J479" t="s">
        <v>167</v>
      </c>
      <c r="K479">
        <v>1.2242888671056816E-2</v>
      </c>
      <c r="L479" t="s">
        <v>164</v>
      </c>
      <c r="N479" t="s">
        <v>214</v>
      </c>
      <c r="O479" t="s">
        <v>167</v>
      </c>
      <c r="P479">
        <v>2.0381462992848143E-2</v>
      </c>
      <c r="Q479" t="s">
        <v>164</v>
      </c>
    </row>
    <row r="480" spans="9:17" x14ac:dyDescent="0.45">
      <c r="I480" t="s">
        <v>186</v>
      </c>
      <c r="J480" t="s">
        <v>168</v>
      </c>
      <c r="K480">
        <v>8.8025270415830331E-3</v>
      </c>
      <c r="L480" t="s">
        <v>164</v>
      </c>
      <c r="N480" t="s">
        <v>214</v>
      </c>
      <c r="O480" t="s">
        <v>168</v>
      </c>
      <c r="P480">
        <v>3.6458904939660947E-3</v>
      </c>
      <c r="Q480" t="s">
        <v>164</v>
      </c>
    </row>
    <row r="481" spans="9:17" x14ac:dyDescent="0.45">
      <c r="I481" t="s">
        <v>186</v>
      </c>
      <c r="J481" t="s">
        <v>169</v>
      </c>
      <c r="K481">
        <v>9.5723554478651437E-3</v>
      </c>
      <c r="L481" t="s">
        <v>164</v>
      </c>
      <c r="N481" t="s">
        <v>214</v>
      </c>
      <c r="O481" t="s">
        <v>169</v>
      </c>
      <c r="P481">
        <v>4.3267982988323284E-3</v>
      </c>
      <c r="Q481" t="s">
        <v>164</v>
      </c>
    </row>
    <row r="482" spans="9:17" x14ac:dyDescent="0.45">
      <c r="I482" t="s">
        <v>186</v>
      </c>
      <c r="J482" t="s">
        <v>256</v>
      </c>
      <c r="K482">
        <v>5.8750777375697831E-2</v>
      </c>
      <c r="L482" t="s">
        <v>164</v>
      </c>
      <c r="N482" t="s">
        <v>214</v>
      </c>
      <c r="O482" t="s">
        <v>256</v>
      </c>
      <c r="P482">
        <v>2.434670979497584E-2</v>
      </c>
      <c r="Q482" t="s">
        <v>164</v>
      </c>
    </row>
    <row r="483" spans="9:17" x14ac:dyDescent="0.45">
      <c r="I483" t="s">
        <v>186</v>
      </c>
      <c r="J483" t="s">
        <v>257</v>
      </c>
      <c r="K483">
        <v>3.5452791260167302E-3</v>
      </c>
      <c r="L483" t="s">
        <v>164</v>
      </c>
      <c r="N483" t="s">
        <v>214</v>
      </c>
      <c r="O483" t="s">
        <v>257</v>
      </c>
      <c r="P483">
        <v>3.6989455309307589E-3</v>
      </c>
      <c r="Q483" t="s">
        <v>164</v>
      </c>
    </row>
    <row r="484" spans="9:17" x14ac:dyDescent="0.45">
      <c r="I484" t="s">
        <v>186</v>
      </c>
      <c r="J484" t="s">
        <v>258</v>
      </c>
      <c r="K484">
        <v>0</v>
      </c>
      <c r="L484" t="s">
        <v>164</v>
      </c>
      <c r="N484" t="s">
        <v>214</v>
      </c>
      <c r="O484" t="s">
        <v>258</v>
      </c>
      <c r="P484">
        <v>2.6848178061460677E-2</v>
      </c>
      <c r="Q484" t="s">
        <v>164</v>
      </c>
    </row>
    <row r="485" spans="9:17" x14ac:dyDescent="0.45">
      <c r="I485" t="s">
        <v>186</v>
      </c>
      <c r="J485" t="s">
        <v>170</v>
      </c>
      <c r="K485">
        <v>1.0554986925313046E-2</v>
      </c>
      <c r="L485" t="s">
        <v>164</v>
      </c>
      <c r="N485" t="s">
        <v>214</v>
      </c>
      <c r="O485" t="s">
        <v>170</v>
      </c>
      <c r="P485">
        <v>2.96497448651197E-2</v>
      </c>
      <c r="Q485" t="s">
        <v>164</v>
      </c>
    </row>
    <row r="486" spans="9:17" x14ac:dyDescent="0.45">
      <c r="I486" t="s">
        <v>186</v>
      </c>
      <c r="J486" t="s">
        <v>171</v>
      </c>
      <c r="K486">
        <v>8.1318842137103591E-3</v>
      </c>
      <c r="L486" t="s">
        <v>164</v>
      </c>
      <c r="N486" t="s">
        <v>214</v>
      </c>
      <c r="O486" t="s">
        <v>171</v>
      </c>
      <c r="P486">
        <v>3.7392352423978471E-3</v>
      </c>
      <c r="Q486" t="s">
        <v>164</v>
      </c>
    </row>
    <row r="487" spans="9:17" x14ac:dyDescent="0.45">
      <c r="I487" t="s">
        <v>186</v>
      </c>
      <c r="J487" t="s">
        <v>172</v>
      </c>
      <c r="K487">
        <v>9.1366374194584189E-3</v>
      </c>
      <c r="L487" t="s">
        <v>164</v>
      </c>
      <c r="N487" t="s">
        <v>214</v>
      </c>
      <c r="O487" t="s">
        <v>172</v>
      </c>
      <c r="P487">
        <v>3.8805783081394228E-3</v>
      </c>
      <c r="Q487" t="s">
        <v>164</v>
      </c>
    </row>
    <row r="488" spans="9:17" x14ac:dyDescent="0.45">
      <c r="I488" t="s">
        <v>186</v>
      </c>
      <c r="J488" t="s">
        <v>259</v>
      </c>
      <c r="K488">
        <v>5.4762318593424064E-2</v>
      </c>
      <c r="L488" t="s">
        <v>164</v>
      </c>
      <c r="N488" t="s">
        <v>214</v>
      </c>
      <c r="O488" t="s">
        <v>259</v>
      </c>
      <c r="P488">
        <v>2.019818788715325E-2</v>
      </c>
      <c r="Q488" t="s">
        <v>164</v>
      </c>
    </row>
    <row r="489" spans="9:17" x14ac:dyDescent="0.45">
      <c r="I489" t="s">
        <v>186</v>
      </c>
      <c r="J489" t="s">
        <v>260</v>
      </c>
      <c r="K489">
        <v>2.5277138113976526E-3</v>
      </c>
      <c r="L489" t="s">
        <v>164</v>
      </c>
      <c r="N489" t="s">
        <v>214</v>
      </c>
      <c r="O489" t="s">
        <v>260</v>
      </c>
      <c r="P489">
        <v>3.563331470714175E-3</v>
      </c>
      <c r="Q489" t="s">
        <v>164</v>
      </c>
    </row>
    <row r="490" spans="9:17" x14ac:dyDescent="0.45">
      <c r="I490" t="s">
        <v>186</v>
      </c>
      <c r="J490" t="s">
        <v>261</v>
      </c>
      <c r="K490">
        <v>0</v>
      </c>
      <c r="L490" t="s">
        <v>164</v>
      </c>
      <c r="N490" t="s">
        <v>214</v>
      </c>
      <c r="O490" t="s">
        <v>261</v>
      </c>
      <c r="P490">
        <v>2.7365637004679581E-2</v>
      </c>
      <c r="Q490" t="s">
        <v>164</v>
      </c>
    </row>
    <row r="491" spans="9:17" x14ac:dyDescent="0.45">
      <c r="I491" t="s">
        <v>186</v>
      </c>
      <c r="J491" t="s">
        <v>173</v>
      </c>
      <c r="K491">
        <v>5.0492129017640462E-2</v>
      </c>
      <c r="L491" t="s">
        <v>164</v>
      </c>
      <c r="N491" t="s">
        <v>214</v>
      </c>
      <c r="O491" t="s">
        <v>173</v>
      </c>
      <c r="P491">
        <v>0.22112283102839156</v>
      </c>
      <c r="Q491" t="s">
        <v>164</v>
      </c>
    </row>
    <row r="492" spans="9:17" x14ac:dyDescent="0.45">
      <c r="I492" t="s">
        <v>186</v>
      </c>
      <c r="J492" t="s">
        <v>174</v>
      </c>
      <c r="K492">
        <v>3.582490851405145E-2</v>
      </c>
      <c r="L492" t="s">
        <v>164</v>
      </c>
      <c r="N492" t="s">
        <v>214</v>
      </c>
      <c r="O492" t="s">
        <v>174</v>
      </c>
      <c r="P492">
        <v>1.9947986413649022E-2</v>
      </c>
      <c r="Q492" t="s">
        <v>164</v>
      </c>
    </row>
    <row r="493" spans="9:17" x14ac:dyDescent="0.45">
      <c r="I493" t="s">
        <v>186</v>
      </c>
      <c r="J493" t="s">
        <v>175</v>
      </c>
      <c r="K493">
        <v>4.0848206233131554E-2</v>
      </c>
      <c r="L493" t="s">
        <v>164</v>
      </c>
      <c r="N493" t="s">
        <v>214</v>
      </c>
      <c r="O493" t="s">
        <v>175</v>
      </c>
      <c r="P493">
        <v>1.5554403367167445E-2</v>
      </c>
      <c r="Q493" t="s">
        <v>164</v>
      </c>
    </row>
    <row r="494" spans="9:17" x14ac:dyDescent="0.45">
      <c r="I494" t="s">
        <v>186</v>
      </c>
      <c r="J494" t="s">
        <v>262</v>
      </c>
      <c r="K494">
        <v>0.24018587465602137</v>
      </c>
      <c r="L494" t="s">
        <v>164</v>
      </c>
      <c r="N494" t="s">
        <v>214</v>
      </c>
      <c r="O494" t="s">
        <v>262</v>
      </c>
      <c r="P494">
        <v>4.3135965062572251E-2</v>
      </c>
      <c r="Q494" t="s">
        <v>164</v>
      </c>
    </row>
    <row r="495" spans="9:17" x14ac:dyDescent="0.45">
      <c r="I495" t="s">
        <v>186</v>
      </c>
      <c r="J495" t="s">
        <v>263</v>
      </c>
      <c r="K495">
        <v>1.002646189424356E-2</v>
      </c>
      <c r="L495" t="s">
        <v>164</v>
      </c>
      <c r="N495" t="s">
        <v>214</v>
      </c>
      <c r="O495" t="s">
        <v>263</v>
      </c>
      <c r="P495">
        <v>7.399446420772479E-3</v>
      </c>
      <c r="Q495" t="s">
        <v>164</v>
      </c>
    </row>
    <row r="496" spans="9:17" x14ac:dyDescent="0.45">
      <c r="I496" t="s">
        <v>186</v>
      </c>
      <c r="J496" t="s">
        <v>264</v>
      </c>
      <c r="K496">
        <v>0</v>
      </c>
      <c r="L496" t="s">
        <v>164</v>
      </c>
      <c r="N496" t="s">
        <v>214</v>
      </c>
      <c r="O496" t="s">
        <v>264</v>
      </c>
      <c r="P496">
        <v>9.8859891300313765E-2</v>
      </c>
      <c r="Q496" t="s">
        <v>164</v>
      </c>
    </row>
    <row r="497" spans="9:17" x14ac:dyDescent="0.45">
      <c r="I497" t="s">
        <v>186</v>
      </c>
      <c r="J497" t="s">
        <v>265</v>
      </c>
      <c r="K497">
        <v>1.2399002890069804E-2</v>
      </c>
      <c r="L497" t="s">
        <v>164</v>
      </c>
      <c r="N497" t="s">
        <v>214</v>
      </c>
      <c r="O497" t="s">
        <v>265</v>
      </c>
      <c r="P497">
        <v>4.2781193358872392E-2</v>
      </c>
      <c r="Q497" t="s">
        <v>164</v>
      </c>
    </row>
    <row r="498" spans="9:17" x14ac:dyDescent="0.45">
      <c r="I498" t="s">
        <v>186</v>
      </c>
      <c r="J498" t="s">
        <v>266</v>
      </c>
      <c r="K498">
        <v>8.4705673138121603E-3</v>
      </c>
      <c r="L498" t="s">
        <v>164</v>
      </c>
      <c r="N498" t="s">
        <v>214</v>
      </c>
      <c r="O498" t="s">
        <v>266</v>
      </c>
      <c r="P498">
        <v>3.6443063670648797E-3</v>
      </c>
      <c r="Q498" t="s">
        <v>164</v>
      </c>
    </row>
    <row r="499" spans="9:17" x14ac:dyDescent="0.45">
      <c r="I499" t="s">
        <v>186</v>
      </c>
      <c r="J499" t="s">
        <v>267</v>
      </c>
      <c r="K499">
        <v>9.4200980677470441E-3</v>
      </c>
      <c r="L499" t="s">
        <v>164</v>
      </c>
      <c r="N499" t="s">
        <v>214</v>
      </c>
      <c r="O499" t="s">
        <v>267</v>
      </c>
      <c r="P499">
        <v>2.7821042253179913E-3</v>
      </c>
      <c r="Q499" t="s">
        <v>164</v>
      </c>
    </row>
    <row r="500" spans="9:17" x14ac:dyDescent="0.45">
      <c r="I500" t="s">
        <v>186</v>
      </c>
      <c r="J500" t="s">
        <v>268</v>
      </c>
      <c r="K500">
        <v>5.3681363121482244E-2</v>
      </c>
      <c r="L500" t="s">
        <v>164</v>
      </c>
      <c r="N500" t="s">
        <v>214</v>
      </c>
      <c r="O500" t="s">
        <v>268</v>
      </c>
      <c r="P500">
        <v>7.2227648156537091E-3</v>
      </c>
      <c r="Q500" t="s">
        <v>164</v>
      </c>
    </row>
    <row r="501" spans="9:17" x14ac:dyDescent="0.45">
      <c r="I501" t="s">
        <v>186</v>
      </c>
      <c r="J501" t="s">
        <v>269</v>
      </c>
      <c r="K501">
        <v>2.3031115114527756E-3</v>
      </c>
      <c r="L501" t="s">
        <v>164</v>
      </c>
      <c r="N501" t="s">
        <v>214</v>
      </c>
      <c r="O501" t="s">
        <v>269</v>
      </c>
      <c r="P501">
        <v>1.4090249163770977E-3</v>
      </c>
      <c r="Q501" t="s">
        <v>164</v>
      </c>
    </row>
    <row r="502" spans="9:17" x14ac:dyDescent="0.45">
      <c r="I502" t="s">
        <v>186</v>
      </c>
      <c r="J502" t="s">
        <v>270</v>
      </c>
      <c r="K502">
        <v>0</v>
      </c>
      <c r="L502" t="s">
        <v>164</v>
      </c>
      <c r="N502" t="s">
        <v>214</v>
      </c>
      <c r="O502" t="s">
        <v>270</v>
      </c>
      <c r="P502">
        <v>2.1926954787209678E-2</v>
      </c>
      <c r="Q502" t="s">
        <v>164</v>
      </c>
    </row>
    <row r="503" spans="9:17" x14ac:dyDescent="0.45">
      <c r="I503" t="s">
        <v>186</v>
      </c>
      <c r="J503" t="s">
        <v>271</v>
      </c>
      <c r="K503">
        <v>1.5691931227226674E-2</v>
      </c>
      <c r="L503" t="s">
        <v>164</v>
      </c>
      <c r="N503" t="s">
        <v>214</v>
      </c>
      <c r="O503" t="s">
        <v>271</v>
      </c>
      <c r="P503">
        <v>5.3738758075058554E-2</v>
      </c>
      <c r="Q503" t="s">
        <v>164</v>
      </c>
    </row>
    <row r="504" spans="9:17" x14ac:dyDescent="0.45">
      <c r="I504" t="s">
        <v>186</v>
      </c>
      <c r="J504" t="s">
        <v>272</v>
      </c>
      <c r="K504">
        <v>9.3999928477957531E-3</v>
      </c>
      <c r="L504" t="s">
        <v>164</v>
      </c>
      <c r="N504" t="s">
        <v>214</v>
      </c>
      <c r="O504" t="s">
        <v>272</v>
      </c>
      <c r="P504">
        <v>5.5332241816206046E-3</v>
      </c>
      <c r="Q504" t="s">
        <v>164</v>
      </c>
    </row>
    <row r="505" spans="9:17" x14ac:dyDescent="0.45">
      <c r="I505" t="s">
        <v>186</v>
      </c>
      <c r="J505" t="s">
        <v>273</v>
      </c>
      <c r="K505">
        <v>1.0142954591635459E-2</v>
      </c>
      <c r="L505" t="s">
        <v>164</v>
      </c>
      <c r="N505" t="s">
        <v>214</v>
      </c>
      <c r="O505" t="s">
        <v>273</v>
      </c>
      <c r="P505">
        <v>4.5614833232226256E-3</v>
      </c>
      <c r="Q505" t="s">
        <v>164</v>
      </c>
    </row>
    <row r="506" spans="9:17" x14ac:dyDescent="0.45">
      <c r="I506" t="s">
        <v>186</v>
      </c>
      <c r="J506" t="s">
        <v>274</v>
      </c>
      <c r="K506">
        <v>5.6360031583560559E-2</v>
      </c>
      <c r="L506" t="s">
        <v>164</v>
      </c>
      <c r="N506" t="s">
        <v>214</v>
      </c>
      <c r="O506" t="s">
        <v>274</v>
      </c>
      <c r="P506">
        <v>1.8413931426195834E-2</v>
      </c>
      <c r="Q506" t="s">
        <v>164</v>
      </c>
    </row>
    <row r="507" spans="9:17" x14ac:dyDescent="0.45">
      <c r="I507" t="s">
        <v>186</v>
      </c>
      <c r="J507" t="s">
        <v>275</v>
      </c>
      <c r="K507">
        <v>0</v>
      </c>
      <c r="L507" t="s">
        <v>164</v>
      </c>
      <c r="N507" t="s">
        <v>214</v>
      </c>
      <c r="O507" t="s">
        <v>275</v>
      </c>
      <c r="P507">
        <v>3.4290658003808322E-3</v>
      </c>
      <c r="Q507" t="s">
        <v>164</v>
      </c>
    </row>
    <row r="508" spans="9:17" x14ac:dyDescent="0.45">
      <c r="I508" t="s">
        <v>186</v>
      </c>
      <c r="J508" t="s">
        <v>276</v>
      </c>
      <c r="K508">
        <v>0</v>
      </c>
      <c r="L508" t="s">
        <v>164</v>
      </c>
      <c r="N508" t="s">
        <v>214</v>
      </c>
      <c r="O508" t="s">
        <v>276</v>
      </c>
      <c r="P508">
        <v>3.3223980213123033E-2</v>
      </c>
      <c r="Q508" t="s">
        <v>164</v>
      </c>
    </row>
    <row r="509" spans="9:17" x14ac:dyDescent="0.45">
      <c r="I509" t="s">
        <v>186</v>
      </c>
      <c r="J509" t="s">
        <v>277</v>
      </c>
      <c r="K509">
        <v>2.7440422801866E-2</v>
      </c>
      <c r="L509" t="s">
        <v>164</v>
      </c>
      <c r="N509" t="s">
        <v>214</v>
      </c>
      <c r="O509" t="s">
        <v>277</v>
      </c>
      <c r="P509">
        <v>4.7153628368121155E-2</v>
      </c>
      <c r="Q509" t="s">
        <v>164</v>
      </c>
    </row>
    <row r="510" spans="9:17" x14ac:dyDescent="0.45">
      <c r="I510" t="s">
        <v>186</v>
      </c>
      <c r="J510" t="s">
        <v>278</v>
      </c>
      <c r="K510">
        <v>1.7130831589300552E-2</v>
      </c>
      <c r="L510" t="s">
        <v>164</v>
      </c>
      <c r="N510" t="s">
        <v>214</v>
      </c>
      <c r="O510" t="s">
        <v>278</v>
      </c>
      <c r="P510">
        <v>6.4687898109938276E-3</v>
      </c>
      <c r="Q510" t="s">
        <v>164</v>
      </c>
    </row>
    <row r="511" spans="9:17" x14ac:dyDescent="0.45">
      <c r="I511" t="s">
        <v>186</v>
      </c>
      <c r="J511" t="s">
        <v>279</v>
      </c>
      <c r="K511">
        <v>1.8398799109137175E-2</v>
      </c>
      <c r="L511" t="s">
        <v>164</v>
      </c>
      <c r="N511" t="s">
        <v>214</v>
      </c>
      <c r="O511" t="s">
        <v>279</v>
      </c>
      <c r="P511">
        <v>7.1065458410298427E-3</v>
      </c>
      <c r="Q511" t="s">
        <v>164</v>
      </c>
    </row>
    <row r="512" spans="9:17" x14ac:dyDescent="0.45">
      <c r="I512" t="s">
        <v>186</v>
      </c>
      <c r="J512" t="s">
        <v>280</v>
      </c>
      <c r="K512">
        <v>0.10148015062708933</v>
      </c>
      <c r="L512" t="s">
        <v>164</v>
      </c>
      <c r="N512" t="s">
        <v>214</v>
      </c>
      <c r="O512" t="s">
        <v>280</v>
      </c>
      <c r="P512">
        <v>4.1534365240311261E-2</v>
      </c>
      <c r="Q512" t="s">
        <v>164</v>
      </c>
    </row>
    <row r="513" spans="9:17" x14ac:dyDescent="0.45">
      <c r="I513" t="s">
        <v>186</v>
      </c>
      <c r="J513" t="s">
        <v>281</v>
      </c>
      <c r="K513">
        <v>2.1832597507732668E-3</v>
      </c>
      <c r="L513" t="s">
        <v>164</v>
      </c>
      <c r="N513" t="s">
        <v>214</v>
      </c>
      <c r="O513" t="s">
        <v>281</v>
      </c>
      <c r="P513">
        <v>7.2068688924776672E-3</v>
      </c>
      <c r="Q513" t="s">
        <v>164</v>
      </c>
    </row>
    <row r="514" spans="9:17" x14ac:dyDescent="0.45">
      <c r="I514" t="s">
        <v>186</v>
      </c>
      <c r="J514" t="s">
        <v>282</v>
      </c>
      <c r="K514">
        <v>0</v>
      </c>
      <c r="L514" t="s">
        <v>164</v>
      </c>
      <c r="N514" t="s">
        <v>214</v>
      </c>
      <c r="O514" t="s">
        <v>282</v>
      </c>
      <c r="P514">
        <v>4.7069308981823675E-2</v>
      </c>
      <c r="Q514" t="s">
        <v>164</v>
      </c>
    </row>
    <row r="515" spans="9:17" x14ac:dyDescent="0.45">
      <c r="I515" t="s">
        <v>187</v>
      </c>
      <c r="J515" t="s">
        <v>163</v>
      </c>
      <c r="K515">
        <v>1.5482077001220736E-2</v>
      </c>
      <c r="L515" t="s">
        <v>164</v>
      </c>
      <c r="N515" t="s">
        <v>215</v>
      </c>
      <c r="O515" t="s">
        <v>163</v>
      </c>
      <c r="P515">
        <v>1.9483007329915855E-2</v>
      </c>
      <c r="Q515" t="s">
        <v>164</v>
      </c>
    </row>
    <row r="516" spans="9:17" x14ac:dyDescent="0.45">
      <c r="I516" t="s">
        <v>187</v>
      </c>
      <c r="J516" t="s">
        <v>165</v>
      </c>
      <c r="K516">
        <v>1.044793723524293E-2</v>
      </c>
      <c r="L516" t="s">
        <v>164</v>
      </c>
      <c r="N516" t="s">
        <v>215</v>
      </c>
      <c r="O516" t="s">
        <v>165</v>
      </c>
      <c r="P516">
        <v>3.6183790712318925E-3</v>
      </c>
      <c r="Q516" t="s">
        <v>164</v>
      </c>
    </row>
    <row r="517" spans="9:17" x14ac:dyDescent="0.45">
      <c r="I517" t="s">
        <v>187</v>
      </c>
      <c r="J517" t="s">
        <v>166</v>
      </c>
      <c r="K517">
        <v>1.085610039939354E-2</v>
      </c>
      <c r="L517" t="s">
        <v>164</v>
      </c>
      <c r="N517" t="s">
        <v>215</v>
      </c>
      <c r="O517" t="s">
        <v>166</v>
      </c>
      <c r="P517">
        <v>3.8542392046189552E-3</v>
      </c>
      <c r="Q517" t="s">
        <v>164</v>
      </c>
    </row>
    <row r="518" spans="9:17" x14ac:dyDescent="0.45">
      <c r="I518" t="s">
        <v>187</v>
      </c>
      <c r="J518" t="s">
        <v>253</v>
      </c>
      <c r="K518">
        <v>6.7638324780316283E-2</v>
      </c>
      <c r="L518" t="s">
        <v>164</v>
      </c>
      <c r="N518" t="s">
        <v>215</v>
      </c>
      <c r="O518" t="s">
        <v>253</v>
      </c>
      <c r="P518">
        <v>1.5806650300700796E-2</v>
      </c>
      <c r="Q518" t="s">
        <v>164</v>
      </c>
    </row>
    <row r="519" spans="9:17" x14ac:dyDescent="0.45">
      <c r="I519" t="s">
        <v>187</v>
      </c>
      <c r="J519" t="s">
        <v>254</v>
      </c>
      <c r="K519">
        <v>5.6494017883311986E-4</v>
      </c>
      <c r="L519" t="s">
        <v>164</v>
      </c>
      <c r="N519" t="s">
        <v>215</v>
      </c>
      <c r="O519" t="s">
        <v>254</v>
      </c>
      <c r="P519">
        <v>2.3423770244000892E-3</v>
      </c>
      <c r="Q519" t="s">
        <v>164</v>
      </c>
    </row>
    <row r="520" spans="9:17" x14ac:dyDescent="0.45">
      <c r="I520" t="s">
        <v>187</v>
      </c>
      <c r="J520" t="s">
        <v>255</v>
      </c>
      <c r="K520">
        <v>0</v>
      </c>
      <c r="L520" t="s">
        <v>164</v>
      </c>
      <c r="N520" t="s">
        <v>215</v>
      </c>
      <c r="O520" t="s">
        <v>255</v>
      </c>
      <c r="P520">
        <v>1.6367200706027311E-2</v>
      </c>
      <c r="Q520" t="s">
        <v>164</v>
      </c>
    </row>
    <row r="521" spans="9:17" x14ac:dyDescent="0.45">
      <c r="I521" t="s">
        <v>187</v>
      </c>
      <c r="J521" t="s">
        <v>167</v>
      </c>
      <c r="K521">
        <v>1.5008570786272659E-2</v>
      </c>
      <c r="L521" t="s">
        <v>164</v>
      </c>
      <c r="N521" t="s">
        <v>215</v>
      </c>
      <c r="O521" t="s">
        <v>167</v>
      </c>
      <c r="P521">
        <v>2.3895979297877869E-2</v>
      </c>
      <c r="Q521" t="s">
        <v>164</v>
      </c>
    </row>
    <row r="522" spans="9:17" x14ac:dyDescent="0.45">
      <c r="I522" t="s">
        <v>187</v>
      </c>
      <c r="J522" t="s">
        <v>168</v>
      </c>
      <c r="K522">
        <v>1.0158250822146721E-2</v>
      </c>
      <c r="L522" t="s">
        <v>164</v>
      </c>
      <c r="N522" t="s">
        <v>215</v>
      </c>
      <c r="O522" t="s">
        <v>168</v>
      </c>
      <c r="P522">
        <v>4.6108567327395088E-3</v>
      </c>
      <c r="Q522" t="s">
        <v>164</v>
      </c>
    </row>
    <row r="523" spans="9:17" x14ac:dyDescent="0.45">
      <c r="I523" t="s">
        <v>187</v>
      </c>
      <c r="J523" t="s">
        <v>169</v>
      </c>
      <c r="K523">
        <v>1.0614348634121966E-2</v>
      </c>
      <c r="L523" t="s">
        <v>164</v>
      </c>
      <c r="N523" t="s">
        <v>215</v>
      </c>
      <c r="O523" t="s">
        <v>169</v>
      </c>
      <c r="P523">
        <v>4.6197148732490421E-3</v>
      </c>
      <c r="Q523" t="s">
        <v>164</v>
      </c>
    </row>
    <row r="524" spans="9:17" x14ac:dyDescent="0.45">
      <c r="I524" t="s">
        <v>187</v>
      </c>
      <c r="J524" t="s">
        <v>256</v>
      </c>
      <c r="K524">
        <v>6.2324260916392038E-2</v>
      </c>
      <c r="L524" t="s">
        <v>164</v>
      </c>
      <c r="N524" t="s">
        <v>215</v>
      </c>
      <c r="O524" t="s">
        <v>256</v>
      </c>
      <c r="P524">
        <v>2.0463890600895776E-2</v>
      </c>
      <c r="Q524" t="s">
        <v>164</v>
      </c>
    </row>
    <row r="525" spans="9:17" x14ac:dyDescent="0.45">
      <c r="I525" t="s">
        <v>187</v>
      </c>
      <c r="J525" t="s">
        <v>257</v>
      </c>
      <c r="K525">
        <v>4.285276086727392E-3</v>
      </c>
      <c r="L525" t="s">
        <v>164</v>
      </c>
      <c r="N525" t="s">
        <v>215</v>
      </c>
      <c r="O525" t="s">
        <v>257</v>
      </c>
      <c r="P525">
        <v>3.4261687850418382E-3</v>
      </c>
      <c r="Q525" t="s">
        <v>164</v>
      </c>
    </row>
    <row r="526" spans="9:17" x14ac:dyDescent="0.45">
      <c r="I526" t="s">
        <v>187</v>
      </c>
      <c r="J526" t="s">
        <v>258</v>
      </c>
      <c r="K526">
        <v>0</v>
      </c>
      <c r="L526" t="s">
        <v>164</v>
      </c>
      <c r="N526" t="s">
        <v>215</v>
      </c>
      <c r="O526" t="s">
        <v>258</v>
      </c>
      <c r="P526">
        <v>2.0706645451818412E-2</v>
      </c>
      <c r="Q526" t="s">
        <v>164</v>
      </c>
    </row>
    <row r="527" spans="9:17" x14ac:dyDescent="0.45">
      <c r="I527" t="s">
        <v>187</v>
      </c>
      <c r="J527" t="s">
        <v>170</v>
      </c>
      <c r="K527">
        <v>1.2256508827116302E-2</v>
      </c>
      <c r="L527" t="s">
        <v>164</v>
      </c>
      <c r="N527" t="s">
        <v>215</v>
      </c>
      <c r="O527" t="s">
        <v>170</v>
      </c>
      <c r="P527">
        <v>2.8413724266805711E-2</v>
      </c>
      <c r="Q527" t="s">
        <v>164</v>
      </c>
    </row>
    <row r="528" spans="9:17" x14ac:dyDescent="0.45">
      <c r="I528" t="s">
        <v>187</v>
      </c>
      <c r="J528" t="s">
        <v>171</v>
      </c>
      <c r="K528">
        <v>8.3258141143952233E-3</v>
      </c>
      <c r="L528" t="s">
        <v>164</v>
      </c>
      <c r="N528" t="s">
        <v>215</v>
      </c>
      <c r="O528" t="s">
        <v>171</v>
      </c>
      <c r="P528">
        <v>4.8381645946673794E-3</v>
      </c>
      <c r="Q528" t="s">
        <v>164</v>
      </c>
    </row>
    <row r="529" spans="9:17" x14ac:dyDescent="0.45">
      <c r="I529" t="s">
        <v>187</v>
      </c>
      <c r="J529" t="s">
        <v>172</v>
      </c>
      <c r="K529">
        <v>8.9621459714100196E-3</v>
      </c>
      <c r="L529" t="s">
        <v>164</v>
      </c>
      <c r="N529" t="s">
        <v>215</v>
      </c>
      <c r="O529" t="s">
        <v>172</v>
      </c>
      <c r="P529">
        <v>4.5829475955480687E-3</v>
      </c>
      <c r="Q529" t="s">
        <v>164</v>
      </c>
    </row>
    <row r="530" spans="9:17" x14ac:dyDescent="0.45">
      <c r="I530" t="s">
        <v>187</v>
      </c>
      <c r="J530" t="s">
        <v>259</v>
      </c>
      <c r="K530">
        <v>5.6596529753712953E-2</v>
      </c>
      <c r="L530" t="s">
        <v>164</v>
      </c>
      <c r="N530" t="s">
        <v>215</v>
      </c>
      <c r="O530" t="s">
        <v>259</v>
      </c>
      <c r="P530">
        <v>2.176255420867684E-2</v>
      </c>
      <c r="Q530" t="s">
        <v>164</v>
      </c>
    </row>
    <row r="531" spans="9:17" x14ac:dyDescent="0.45">
      <c r="I531" t="s">
        <v>187</v>
      </c>
      <c r="J531" t="s">
        <v>260</v>
      </c>
      <c r="K531">
        <v>1.7838226046103167E-3</v>
      </c>
      <c r="L531" t="s">
        <v>164</v>
      </c>
      <c r="N531" t="s">
        <v>215</v>
      </c>
      <c r="O531" t="s">
        <v>260</v>
      </c>
      <c r="P531">
        <v>3.1595200190699603E-3</v>
      </c>
      <c r="Q531" t="s">
        <v>164</v>
      </c>
    </row>
    <row r="532" spans="9:17" x14ac:dyDescent="0.45">
      <c r="I532" t="s">
        <v>187</v>
      </c>
      <c r="J532" t="s">
        <v>261</v>
      </c>
      <c r="K532">
        <v>0</v>
      </c>
      <c r="L532" t="s">
        <v>164</v>
      </c>
      <c r="N532" t="s">
        <v>215</v>
      </c>
      <c r="O532" t="s">
        <v>261</v>
      </c>
      <c r="P532">
        <v>1.8126446733928606E-2</v>
      </c>
      <c r="Q532" t="s">
        <v>164</v>
      </c>
    </row>
    <row r="533" spans="9:17" x14ac:dyDescent="0.45">
      <c r="I533" t="s">
        <v>187</v>
      </c>
      <c r="J533" t="s">
        <v>173</v>
      </c>
      <c r="K533">
        <v>5.3422280111165017E-2</v>
      </c>
      <c r="L533" t="s">
        <v>164</v>
      </c>
      <c r="N533" t="s">
        <v>215</v>
      </c>
      <c r="O533" t="s">
        <v>173</v>
      </c>
      <c r="P533">
        <v>0.20240087559233158</v>
      </c>
      <c r="Q533" t="s">
        <v>164</v>
      </c>
    </row>
    <row r="534" spans="9:17" x14ac:dyDescent="0.45">
      <c r="I534" t="s">
        <v>187</v>
      </c>
      <c r="J534" t="s">
        <v>174</v>
      </c>
      <c r="K534">
        <v>3.3402607698452103E-2</v>
      </c>
      <c r="L534" t="s">
        <v>164</v>
      </c>
      <c r="N534" t="s">
        <v>215</v>
      </c>
      <c r="O534" t="s">
        <v>174</v>
      </c>
      <c r="P534">
        <v>2.4172198684396632E-2</v>
      </c>
      <c r="Q534" t="s">
        <v>164</v>
      </c>
    </row>
    <row r="535" spans="9:17" x14ac:dyDescent="0.45">
      <c r="I535" t="s">
        <v>187</v>
      </c>
      <c r="J535" t="s">
        <v>175</v>
      </c>
      <c r="K535">
        <v>3.8827652582878139E-2</v>
      </c>
      <c r="L535" t="s">
        <v>164</v>
      </c>
      <c r="N535" t="s">
        <v>215</v>
      </c>
      <c r="O535" t="s">
        <v>175</v>
      </c>
      <c r="P535">
        <v>2.1860109639628447E-2</v>
      </c>
      <c r="Q535" t="s">
        <v>164</v>
      </c>
    </row>
    <row r="536" spans="9:17" x14ac:dyDescent="0.45">
      <c r="I536" t="s">
        <v>187</v>
      </c>
      <c r="J536" t="s">
        <v>262</v>
      </c>
      <c r="K536">
        <v>0.21209681038632841</v>
      </c>
      <c r="L536" t="s">
        <v>164</v>
      </c>
      <c r="N536" t="s">
        <v>215</v>
      </c>
      <c r="O536" t="s">
        <v>262</v>
      </c>
      <c r="P536">
        <v>8.5716297887241916E-2</v>
      </c>
      <c r="Q536" t="s">
        <v>164</v>
      </c>
    </row>
    <row r="537" spans="9:17" x14ac:dyDescent="0.45">
      <c r="I537" t="s">
        <v>187</v>
      </c>
      <c r="J537" t="s">
        <v>263</v>
      </c>
      <c r="K537">
        <v>2.0431066930173725E-3</v>
      </c>
      <c r="L537" t="s">
        <v>164</v>
      </c>
      <c r="N537" t="s">
        <v>215</v>
      </c>
      <c r="O537" t="s">
        <v>263</v>
      </c>
      <c r="P537">
        <v>1.5651729658405659E-2</v>
      </c>
      <c r="Q537" t="s">
        <v>164</v>
      </c>
    </row>
    <row r="538" spans="9:17" x14ac:dyDescent="0.45">
      <c r="I538" t="s">
        <v>187</v>
      </c>
      <c r="J538" t="s">
        <v>264</v>
      </c>
      <c r="K538">
        <v>0</v>
      </c>
      <c r="L538" t="s">
        <v>164</v>
      </c>
      <c r="N538" t="s">
        <v>215</v>
      </c>
      <c r="O538" t="s">
        <v>264</v>
      </c>
      <c r="P538">
        <v>0.10766264458453803</v>
      </c>
      <c r="Q538" t="s">
        <v>164</v>
      </c>
    </row>
    <row r="539" spans="9:17" x14ac:dyDescent="0.45">
      <c r="I539" t="s">
        <v>187</v>
      </c>
      <c r="J539" t="s">
        <v>265</v>
      </c>
      <c r="K539">
        <v>1.7539124710071453E-2</v>
      </c>
      <c r="L539" t="s">
        <v>164</v>
      </c>
      <c r="N539" t="s">
        <v>215</v>
      </c>
      <c r="O539" t="s">
        <v>265</v>
      </c>
      <c r="P539">
        <v>3.941914227686482E-2</v>
      </c>
      <c r="Q539" t="s">
        <v>164</v>
      </c>
    </row>
    <row r="540" spans="9:17" x14ac:dyDescent="0.45">
      <c r="I540" t="s">
        <v>187</v>
      </c>
      <c r="J540" t="s">
        <v>266</v>
      </c>
      <c r="K540">
        <v>8.9524933690832767E-3</v>
      </c>
      <c r="L540" t="s">
        <v>164</v>
      </c>
      <c r="N540" t="s">
        <v>215</v>
      </c>
      <c r="O540" t="s">
        <v>266</v>
      </c>
      <c r="P540">
        <v>4.7912258357885431E-3</v>
      </c>
      <c r="Q540" t="s">
        <v>164</v>
      </c>
    </row>
    <row r="541" spans="9:17" x14ac:dyDescent="0.45">
      <c r="I541" t="s">
        <v>187</v>
      </c>
      <c r="J541" t="s">
        <v>267</v>
      </c>
      <c r="K541">
        <v>9.728831789423107E-3</v>
      </c>
      <c r="L541" t="s">
        <v>164</v>
      </c>
      <c r="N541" t="s">
        <v>215</v>
      </c>
      <c r="O541" t="s">
        <v>267</v>
      </c>
      <c r="P541">
        <v>4.2136589219002466E-3</v>
      </c>
      <c r="Q541" t="s">
        <v>164</v>
      </c>
    </row>
    <row r="542" spans="9:17" x14ac:dyDescent="0.45">
      <c r="I542" t="s">
        <v>187</v>
      </c>
      <c r="J542" t="s">
        <v>268</v>
      </c>
      <c r="K542">
        <v>5.3292557419747616E-2</v>
      </c>
      <c r="L542" t="s">
        <v>164</v>
      </c>
      <c r="N542" t="s">
        <v>215</v>
      </c>
      <c r="O542" t="s">
        <v>268</v>
      </c>
      <c r="P542">
        <v>1.4711750414151925E-2</v>
      </c>
      <c r="Q542" t="s">
        <v>164</v>
      </c>
    </row>
    <row r="543" spans="9:17" x14ac:dyDescent="0.45">
      <c r="I543" t="s">
        <v>187</v>
      </c>
      <c r="J543" t="s">
        <v>269</v>
      </c>
      <c r="K543">
        <v>0</v>
      </c>
      <c r="L543" t="s">
        <v>164</v>
      </c>
      <c r="N543" t="s">
        <v>215</v>
      </c>
      <c r="O543" t="s">
        <v>269</v>
      </c>
      <c r="P543">
        <v>3.2248939633699562E-3</v>
      </c>
      <c r="Q543" t="s">
        <v>164</v>
      </c>
    </row>
    <row r="544" spans="9:17" x14ac:dyDescent="0.45">
      <c r="I544" t="s">
        <v>187</v>
      </c>
      <c r="J544" t="s">
        <v>270</v>
      </c>
      <c r="K544">
        <v>0</v>
      </c>
      <c r="L544" t="s">
        <v>164</v>
      </c>
      <c r="N544" t="s">
        <v>215</v>
      </c>
      <c r="O544" t="s">
        <v>270</v>
      </c>
      <c r="P544">
        <v>2.2741534843468171E-2</v>
      </c>
      <c r="Q544" t="s">
        <v>164</v>
      </c>
    </row>
    <row r="545" spans="9:17" x14ac:dyDescent="0.45">
      <c r="I545" t="s">
        <v>187</v>
      </c>
      <c r="J545" t="s">
        <v>271</v>
      </c>
      <c r="K545">
        <v>1.5734286151413562E-2</v>
      </c>
      <c r="L545" t="s">
        <v>164</v>
      </c>
      <c r="N545" t="s">
        <v>215</v>
      </c>
      <c r="O545" t="s">
        <v>271</v>
      </c>
      <c r="P545">
        <v>4.0602448951686035E-2</v>
      </c>
      <c r="Q545" t="s">
        <v>164</v>
      </c>
    </row>
    <row r="546" spans="9:17" x14ac:dyDescent="0.45">
      <c r="I546" t="s">
        <v>187</v>
      </c>
      <c r="J546" t="s">
        <v>272</v>
      </c>
      <c r="K546">
        <v>7.8988231595122603E-3</v>
      </c>
      <c r="L546" t="s">
        <v>164</v>
      </c>
      <c r="N546" t="s">
        <v>215</v>
      </c>
      <c r="O546" t="s">
        <v>272</v>
      </c>
      <c r="P546">
        <v>5.5487740244479404E-3</v>
      </c>
      <c r="Q546" t="s">
        <v>164</v>
      </c>
    </row>
    <row r="547" spans="9:17" x14ac:dyDescent="0.45">
      <c r="I547" t="s">
        <v>187</v>
      </c>
      <c r="J547" t="s">
        <v>273</v>
      </c>
      <c r="K547">
        <v>8.8686118806714145E-3</v>
      </c>
      <c r="L547" t="s">
        <v>164</v>
      </c>
      <c r="N547" t="s">
        <v>215</v>
      </c>
      <c r="O547" t="s">
        <v>273</v>
      </c>
      <c r="P547">
        <v>5.0506202323127017E-3</v>
      </c>
      <c r="Q547" t="s">
        <v>164</v>
      </c>
    </row>
    <row r="548" spans="9:17" x14ac:dyDescent="0.45">
      <c r="I548" t="s">
        <v>187</v>
      </c>
      <c r="J548" t="s">
        <v>274</v>
      </c>
      <c r="K548">
        <v>5.6106885723043509E-2</v>
      </c>
      <c r="L548" t="s">
        <v>164</v>
      </c>
      <c r="N548" t="s">
        <v>215</v>
      </c>
      <c r="O548" t="s">
        <v>274</v>
      </c>
      <c r="P548">
        <v>2.451515687141272E-2</v>
      </c>
      <c r="Q548" t="s">
        <v>164</v>
      </c>
    </row>
    <row r="549" spans="9:17" x14ac:dyDescent="0.45">
      <c r="I549" t="s">
        <v>187</v>
      </c>
      <c r="J549" t="s">
        <v>275</v>
      </c>
      <c r="K549">
        <v>0</v>
      </c>
      <c r="L549" t="s">
        <v>164</v>
      </c>
      <c r="N549" t="s">
        <v>215</v>
      </c>
      <c r="O549" t="s">
        <v>275</v>
      </c>
      <c r="P549">
        <v>4.2950270887418757E-3</v>
      </c>
      <c r="Q549" t="s">
        <v>164</v>
      </c>
    </row>
    <row r="550" spans="9:17" x14ac:dyDescent="0.45">
      <c r="I550" t="s">
        <v>187</v>
      </c>
      <c r="J550" t="s">
        <v>276</v>
      </c>
      <c r="K550">
        <v>0</v>
      </c>
      <c r="L550" t="s">
        <v>164</v>
      </c>
      <c r="N550" t="s">
        <v>215</v>
      </c>
      <c r="O550" t="s">
        <v>276</v>
      </c>
      <c r="P550">
        <v>2.4099361740850016E-2</v>
      </c>
      <c r="Q550" t="s">
        <v>164</v>
      </c>
    </row>
    <row r="551" spans="9:17" x14ac:dyDescent="0.45">
      <c r="I551" t="s">
        <v>187</v>
      </c>
      <c r="J551" t="s">
        <v>277</v>
      </c>
      <c r="K551">
        <v>3.4861735816201299E-2</v>
      </c>
      <c r="L551" t="s">
        <v>164</v>
      </c>
      <c r="N551" t="s">
        <v>215</v>
      </c>
      <c r="O551" t="s">
        <v>277</v>
      </c>
      <c r="P551">
        <v>4.0769758670490493E-2</v>
      </c>
      <c r="Q551" t="s">
        <v>164</v>
      </c>
    </row>
    <row r="552" spans="9:17" x14ac:dyDescent="0.45">
      <c r="I552" t="s">
        <v>187</v>
      </c>
      <c r="J552" t="s">
        <v>278</v>
      </c>
      <c r="K552">
        <v>1.8459122641733706E-2</v>
      </c>
      <c r="L552" t="s">
        <v>164</v>
      </c>
      <c r="N552" t="s">
        <v>215</v>
      </c>
      <c r="O552" t="s">
        <v>278</v>
      </c>
      <c r="P552">
        <v>6.7983531672566521E-3</v>
      </c>
      <c r="Q552" t="s">
        <v>164</v>
      </c>
    </row>
    <row r="553" spans="9:17" x14ac:dyDescent="0.45">
      <c r="I553" t="s">
        <v>187</v>
      </c>
      <c r="J553" t="s">
        <v>279</v>
      </c>
      <c r="K553">
        <v>1.9249193384765436E-2</v>
      </c>
      <c r="L553" t="s">
        <v>164</v>
      </c>
      <c r="N553" t="s">
        <v>215</v>
      </c>
      <c r="O553" t="s">
        <v>279</v>
      </c>
      <c r="P553">
        <v>6.8310859834408598E-3</v>
      </c>
      <c r="Q553" t="s">
        <v>164</v>
      </c>
    </row>
    <row r="554" spans="9:17" x14ac:dyDescent="0.45">
      <c r="I554" t="s">
        <v>187</v>
      </c>
      <c r="J554" t="s">
        <v>280</v>
      </c>
      <c r="K554">
        <v>0.11421096837057902</v>
      </c>
      <c r="L554" t="s">
        <v>164</v>
      </c>
      <c r="N554" t="s">
        <v>215</v>
      </c>
      <c r="O554" t="s">
        <v>280</v>
      </c>
      <c r="P554">
        <v>3.3653122459841325E-2</v>
      </c>
      <c r="Q554" t="s">
        <v>164</v>
      </c>
    </row>
    <row r="555" spans="9:17" x14ac:dyDescent="0.45">
      <c r="I555" t="s">
        <v>187</v>
      </c>
      <c r="J555" t="s">
        <v>281</v>
      </c>
      <c r="K555">
        <v>0</v>
      </c>
      <c r="L555" t="s">
        <v>164</v>
      </c>
      <c r="N555" t="s">
        <v>215</v>
      </c>
      <c r="O555" t="s">
        <v>281</v>
      </c>
      <c r="P555">
        <v>5.9634553431342227E-3</v>
      </c>
      <c r="Q555" t="s">
        <v>164</v>
      </c>
    </row>
    <row r="556" spans="9:17" x14ac:dyDescent="0.45">
      <c r="I556" t="s">
        <v>187</v>
      </c>
      <c r="J556" t="s">
        <v>282</v>
      </c>
      <c r="K556">
        <v>0</v>
      </c>
      <c r="L556" t="s">
        <v>164</v>
      </c>
      <c r="N556" t="s">
        <v>215</v>
      </c>
      <c r="O556" t="s">
        <v>282</v>
      </c>
      <c r="P556">
        <v>3.522830636708825E-2</v>
      </c>
      <c r="Q556" t="s">
        <v>164</v>
      </c>
    </row>
    <row r="557" spans="9:17" x14ac:dyDescent="0.45">
      <c r="I557" t="s">
        <v>188</v>
      </c>
      <c r="J557" t="s">
        <v>163</v>
      </c>
      <c r="K557">
        <v>1.5101685156636936E-2</v>
      </c>
      <c r="L557" t="s">
        <v>164</v>
      </c>
      <c r="N557" t="s">
        <v>216</v>
      </c>
      <c r="O557" t="s">
        <v>163</v>
      </c>
      <c r="P557">
        <v>1.9503182441509156E-2</v>
      </c>
      <c r="Q557" t="s">
        <v>164</v>
      </c>
    </row>
    <row r="558" spans="9:17" x14ac:dyDescent="0.45">
      <c r="I558" t="s">
        <v>188</v>
      </c>
      <c r="J558" t="s">
        <v>165</v>
      </c>
      <c r="K558">
        <v>1.0015942175394603E-2</v>
      </c>
      <c r="L558" t="s">
        <v>164</v>
      </c>
      <c r="N558" t="s">
        <v>216</v>
      </c>
      <c r="O558" t="s">
        <v>165</v>
      </c>
      <c r="P558">
        <v>1.6966195793883406E-3</v>
      </c>
      <c r="Q558" t="s">
        <v>164</v>
      </c>
    </row>
    <row r="559" spans="9:17" x14ac:dyDescent="0.45">
      <c r="I559" t="s">
        <v>188</v>
      </c>
      <c r="J559" t="s">
        <v>166</v>
      </c>
      <c r="K559">
        <v>1.0492927408137027E-2</v>
      </c>
      <c r="L559" t="s">
        <v>164</v>
      </c>
      <c r="N559" t="s">
        <v>216</v>
      </c>
      <c r="O559" t="s">
        <v>166</v>
      </c>
      <c r="P559">
        <v>1.6943780174916404E-3</v>
      </c>
      <c r="Q559" t="s">
        <v>164</v>
      </c>
    </row>
    <row r="560" spans="9:17" x14ac:dyDescent="0.45">
      <c r="I560" t="s">
        <v>188</v>
      </c>
      <c r="J560" t="s">
        <v>253</v>
      </c>
      <c r="K560">
        <v>6.672085083834467E-2</v>
      </c>
      <c r="L560" t="s">
        <v>164</v>
      </c>
      <c r="N560" t="s">
        <v>216</v>
      </c>
      <c r="O560" t="s">
        <v>253</v>
      </c>
      <c r="P560">
        <v>1.1150155054022464E-2</v>
      </c>
      <c r="Q560" t="s">
        <v>164</v>
      </c>
    </row>
    <row r="561" spans="9:17" x14ac:dyDescent="0.45">
      <c r="I561" t="s">
        <v>188</v>
      </c>
      <c r="J561" t="s">
        <v>254</v>
      </c>
      <c r="K561">
        <v>5.3950389033790712E-4</v>
      </c>
      <c r="L561" t="s">
        <v>164</v>
      </c>
      <c r="N561" t="s">
        <v>216</v>
      </c>
      <c r="O561" t="s">
        <v>254</v>
      </c>
      <c r="P561">
        <v>2.5070778575063553E-3</v>
      </c>
      <c r="Q561" t="s">
        <v>164</v>
      </c>
    </row>
    <row r="562" spans="9:17" x14ac:dyDescent="0.45">
      <c r="I562" t="s">
        <v>188</v>
      </c>
      <c r="J562" t="s">
        <v>255</v>
      </c>
      <c r="K562">
        <v>0</v>
      </c>
      <c r="L562" t="s">
        <v>164</v>
      </c>
      <c r="N562" t="s">
        <v>216</v>
      </c>
      <c r="O562" t="s">
        <v>255</v>
      </c>
      <c r="P562">
        <v>1.5932636186998278E-2</v>
      </c>
      <c r="Q562" t="s">
        <v>164</v>
      </c>
    </row>
    <row r="563" spans="9:17" x14ac:dyDescent="0.45">
      <c r="I563" t="s">
        <v>188</v>
      </c>
      <c r="J563" t="s">
        <v>167</v>
      </c>
      <c r="K563">
        <v>1.4409298307444106E-2</v>
      </c>
      <c r="L563" t="s">
        <v>164</v>
      </c>
      <c r="N563" t="s">
        <v>216</v>
      </c>
      <c r="O563" t="s">
        <v>167</v>
      </c>
      <c r="P563">
        <v>2.7733426062593852E-2</v>
      </c>
      <c r="Q563" t="s">
        <v>164</v>
      </c>
    </row>
    <row r="564" spans="9:17" x14ac:dyDescent="0.45">
      <c r="I564" t="s">
        <v>188</v>
      </c>
      <c r="J564" t="s">
        <v>168</v>
      </c>
      <c r="K564">
        <v>9.6947195382975238E-3</v>
      </c>
      <c r="L564" t="s">
        <v>164</v>
      </c>
      <c r="N564" t="s">
        <v>216</v>
      </c>
      <c r="O564" t="s">
        <v>168</v>
      </c>
      <c r="P564">
        <v>2.0730722895749903E-3</v>
      </c>
      <c r="Q564" t="s">
        <v>164</v>
      </c>
    </row>
    <row r="565" spans="9:17" x14ac:dyDescent="0.45">
      <c r="I565" t="s">
        <v>188</v>
      </c>
      <c r="J565" t="s">
        <v>169</v>
      </c>
      <c r="K565">
        <v>1.0186851125512689E-2</v>
      </c>
      <c r="L565" t="s">
        <v>164</v>
      </c>
      <c r="N565" t="s">
        <v>216</v>
      </c>
      <c r="O565" t="s">
        <v>169</v>
      </c>
      <c r="P565">
        <v>2.0433815202563037E-3</v>
      </c>
      <c r="Q565" t="s">
        <v>164</v>
      </c>
    </row>
    <row r="566" spans="9:17" x14ac:dyDescent="0.45">
      <c r="I566" t="s">
        <v>188</v>
      </c>
      <c r="J566" t="s">
        <v>256</v>
      </c>
      <c r="K566">
        <v>6.0533182851043366E-2</v>
      </c>
      <c r="L566" t="s">
        <v>164</v>
      </c>
      <c r="N566" t="s">
        <v>216</v>
      </c>
      <c r="O566" t="s">
        <v>256</v>
      </c>
      <c r="P566">
        <v>1.5210988292131657E-2</v>
      </c>
      <c r="Q566" t="s">
        <v>164</v>
      </c>
    </row>
    <row r="567" spans="9:17" x14ac:dyDescent="0.45">
      <c r="I567" t="s">
        <v>188</v>
      </c>
      <c r="J567" t="s">
        <v>257</v>
      </c>
      <c r="K567">
        <v>3.9880811904096569E-3</v>
      </c>
      <c r="L567" t="s">
        <v>164</v>
      </c>
      <c r="N567" t="s">
        <v>216</v>
      </c>
      <c r="O567" t="s">
        <v>257</v>
      </c>
      <c r="P567">
        <v>3.8770025488731714E-3</v>
      </c>
      <c r="Q567" t="s">
        <v>164</v>
      </c>
    </row>
    <row r="568" spans="9:17" x14ac:dyDescent="0.45">
      <c r="I568" t="s">
        <v>188</v>
      </c>
      <c r="J568" t="s">
        <v>258</v>
      </c>
      <c r="K568">
        <v>0</v>
      </c>
      <c r="L568" t="s">
        <v>164</v>
      </c>
      <c r="N568" t="s">
        <v>216</v>
      </c>
      <c r="O568" t="s">
        <v>258</v>
      </c>
      <c r="P568">
        <v>2.6620296624020618E-2</v>
      </c>
      <c r="Q568" t="s">
        <v>164</v>
      </c>
    </row>
    <row r="569" spans="9:17" x14ac:dyDescent="0.45">
      <c r="I569" t="s">
        <v>188</v>
      </c>
      <c r="J569" t="s">
        <v>170</v>
      </c>
      <c r="K569">
        <v>1.102005384055253E-2</v>
      </c>
      <c r="L569" t="s">
        <v>164</v>
      </c>
      <c r="N569" t="s">
        <v>216</v>
      </c>
      <c r="O569" t="s">
        <v>170</v>
      </c>
      <c r="P569">
        <v>3.4626847400578531E-2</v>
      </c>
      <c r="Q569" t="s">
        <v>164</v>
      </c>
    </row>
    <row r="570" spans="9:17" x14ac:dyDescent="0.45">
      <c r="I570" t="s">
        <v>188</v>
      </c>
      <c r="J570" t="s">
        <v>171</v>
      </c>
      <c r="K570">
        <v>7.5027301157193117E-3</v>
      </c>
      <c r="L570" t="s">
        <v>164</v>
      </c>
      <c r="N570" t="s">
        <v>216</v>
      </c>
      <c r="O570" t="s">
        <v>171</v>
      </c>
      <c r="P570">
        <v>3.890413282086288E-3</v>
      </c>
      <c r="Q570" t="s">
        <v>164</v>
      </c>
    </row>
    <row r="571" spans="9:17" x14ac:dyDescent="0.45">
      <c r="I571" t="s">
        <v>188</v>
      </c>
      <c r="J571" t="s">
        <v>172</v>
      </c>
      <c r="K571">
        <v>8.3428570642410452E-3</v>
      </c>
      <c r="L571" t="s">
        <v>164</v>
      </c>
      <c r="N571" t="s">
        <v>216</v>
      </c>
      <c r="O571" t="s">
        <v>172</v>
      </c>
      <c r="P571">
        <v>3.5059400440740551E-3</v>
      </c>
      <c r="Q571" t="s">
        <v>164</v>
      </c>
    </row>
    <row r="572" spans="9:17" x14ac:dyDescent="0.45">
      <c r="I572" t="s">
        <v>188</v>
      </c>
      <c r="J572" t="s">
        <v>259</v>
      </c>
      <c r="K572">
        <v>5.9133839230688899E-2</v>
      </c>
      <c r="L572" t="s">
        <v>164</v>
      </c>
      <c r="N572" t="s">
        <v>216</v>
      </c>
      <c r="O572" t="s">
        <v>259</v>
      </c>
      <c r="P572">
        <v>2.0304699405253361E-2</v>
      </c>
      <c r="Q572" t="s">
        <v>164</v>
      </c>
    </row>
    <row r="573" spans="9:17" x14ac:dyDescent="0.45">
      <c r="I573" t="s">
        <v>188</v>
      </c>
      <c r="J573" t="s">
        <v>260</v>
      </c>
      <c r="K573">
        <v>1.4332996249723869E-3</v>
      </c>
      <c r="L573" t="s">
        <v>164</v>
      </c>
      <c r="N573" t="s">
        <v>216</v>
      </c>
      <c r="O573" t="s">
        <v>260</v>
      </c>
      <c r="P573">
        <v>3.7979365368939889E-3</v>
      </c>
      <c r="Q573" t="s">
        <v>164</v>
      </c>
    </row>
    <row r="574" spans="9:17" x14ac:dyDescent="0.45">
      <c r="I574" t="s">
        <v>188</v>
      </c>
      <c r="J574" t="s">
        <v>261</v>
      </c>
      <c r="K574">
        <v>0</v>
      </c>
      <c r="L574" t="s">
        <v>164</v>
      </c>
      <c r="N574" t="s">
        <v>216</v>
      </c>
      <c r="O574" t="s">
        <v>261</v>
      </c>
      <c r="P574">
        <v>2.2097711262811019E-2</v>
      </c>
      <c r="Q574" t="s">
        <v>164</v>
      </c>
    </row>
    <row r="575" spans="9:17" x14ac:dyDescent="0.45">
      <c r="I575" t="s">
        <v>188</v>
      </c>
      <c r="J575" t="s">
        <v>173</v>
      </c>
      <c r="K575">
        <v>6.1688695514361958E-2</v>
      </c>
      <c r="L575" t="s">
        <v>164</v>
      </c>
      <c r="N575" t="s">
        <v>216</v>
      </c>
      <c r="O575" t="s">
        <v>173</v>
      </c>
      <c r="P575">
        <v>0.19085298395034184</v>
      </c>
      <c r="Q575" t="s">
        <v>164</v>
      </c>
    </row>
    <row r="576" spans="9:17" x14ac:dyDescent="0.45">
      <c r="I576" t="s">
        <v>188</v>
      </c>
      <c r="J576" t="s">
        <v>174</v>
      </c>
      <c r="K576">
        <v>3.4811356428486338E-2</v>
      </c>
      <c r="L576" t="s">
        <v>164</v>
      </c>
      <c r="N576" t="s">
        <v>216</v>
      </c>
      <c r="O576" t="s">
        <v>174</v>
      </c>
      <c r="P576">
        <v>1.9116382651550801E-2</v>
      </c>
      <c r="Q576" t="s">
        <v>164</v>
      </c>
    </row>
    <row r="577" spans="9:17" x14ac:dyDescent="0.45">
      <c r="I577" t="s">
        <v>188</v>
      </c>
      <c r="J577" t="s">
        <v>175</v>
      </c>
      <c r="K577">
        <v>3.9714213758842695E-2</v>
      </c>
      <c r="L577" t="s">
        <v>164</v>
      </c>
      <c r="N577" t="s">
        <v>216</v>
      </c>
      <c r="O577" t="s">
        <v>175</v>
      </c>
      <c r="P577">
        <v>1.463399482489784E-2</v>
      </c>
      <c r="Q577" t="s">
        <v>164</v>
      </c>
    </row>
    <row r="578" spans="9:17" x14ac:dyDescent="0.45">
      <c r="I578" t="s">
        <v>188</v>
      </c>
      <c r="J578" t="s">
        <v>262</v>
      </c>
      <c r="K578">
        <v>0.21785450428043249</v>
      </c>
      <c r="L578" t="s">
        <v>164</v>
      </c>
      <c r="N578" t="s">
        <v>216</v>
      </c>
      <c r="O578" t="s">
        <v>262</v>
      </c>
      <c r="P578">
        <v>7.0809808555865619E-2</v>
      </c>
      <c r="Q578" t="s">
        <v>164</v>
      </c>
    </row>
    <row r="579" spans="9:17" x14ac:dyDescent="0.45">
      <c r="I579" t="s">
        <v>188</v>
      </c>
      <c r="J579" t="s">
        <v>263</v>
      </c>
      <c r="K579">
        <v>4.1601074314269525E-4</v>
      </c>
      <c r="L579" t="s">
        <v>164</v>
      </c>
      <c r="N579" t="s">
        <v>216</v>
      </c>
      <c r="O579" t="s">
        <v>263</v>
      </c>
      <c r="P579">
        <v>1.7121938964960975E-2</v>
      </c>
      <c r="Q579" t="s">
        <v>164</v>
      </c>
    </row>
    <row r="580" spans="9:17" x14ac:dyDescent="0.45">
      <c r="I580" t="s">
        <v>188</v>
      </c>
      <c r="J580" t="s">
        <v>264</v>
      </c>
      <c r="K580">
        <v>0</v>
      </c>
      <c r="L580" t="s">
        <v>164</v>
      </c>
      <c r="N580" t="s">
        <v>216</v>
      </c>
      <c r="O580" t="s">
        <v>264</v>
      </c>
      <c r="P580">
        <v>0.10510048174641112</v>
      </c>
      <c r="Q580" t="s">
        <v>164</v>
      </c>
    </row>
    <row r="581" spans="9:17" x14ac:dyDescent="0.45">
      <c r="I581" t="s">
        <v>188</v>
      </c>
      <c r="J581" t="s">
        <v>265</v>
      </c>
      <c r="K581">
        <v>1.8243445146764188E-2</v>
      </c>
      <c r="L581" t="s">
        <v>164</v>
      </c>
      <c r="N581" t="s">
        <v>216</v>
      </c>
      <c r="O581" t="s">
        <v>265</v>
      </c>
      <c r="P581">
        <v>3.4641222105037749E-2</v>
      </c>
      <c r="Q581" t="s">
        <v>164</v>
      </c>
    </row>
    <row r="582" spans="9:17" x14ac:dyDescent="0.45">
      <c r="I582" t="s">
        <v>188</v>
      </c>
      <c r="J582" t="s">
        <v>266</v>
      </c>
      <c r="K582">
        <v>8.6862456935077759E-3</v>
      </c>
      <c r="L582" t="s">
        <v>164</v>
      </c>
      <c r="N582" t="s">
        <v>216</v>
      </c>
      <c r="O582" t="s">
        <v>266</v>
      </c>
      <c r="P582">
        <v>2.6918707899870795E-3</v>
      </c>
      <c r="Q582" t="s">
        <v>164</v>
      </c>
    </row>
    <row r="583" spans="9:17" x14ac:dyDescent="0.45">
      <c r="I583" t="s">
        <v>188</v>
      </c>
      <c r="J583" t="s">
        <v>267</v>
      </c>
      <c r="K583">
        <v>9.35610889494113E-3</v>
      </c>
      <c r="L583" t="s">
        <v>164</v>
      </c>
      <c r="N583" t="s">
        <v>216</v>
      </c>
      <c r="O583" t="s">
        <v>267</v>
      </c>
      <c r="P583">
        <v>1.8787576658835948E-3</v>
      </c>
      <c r="Q583" t="s">
        <v>164</v>
      </c>
    </row>
    <row r="584" spans="9:17" x14ac:dyDescent="0.45">
      <c r="I584" t="s">
        <v>188</v>
      </c>
      <c r="J584" t="s">
        <v>268</v>
      </c>
      <c r="K584">
        <v>5.2382558982605298E-2</v>
      </c>
      <c r="L584" t="s">
        <v>164</v>
      </c>
      <c r="N584" t="s">
        <v>216</v>
      </c>
      <c r="O584" t="s">
        <v>268</v>
      </c>
      <c r="P584">
        <v>9.7857276998659145E-3</v>
      </c>
      <c r="Q584" t="s">
        <v>164</v>
      </c>
    </row>
    <row r="585" spans="9:17" x14ac:dyDescent="0.45">
      <c r="I585" t="s">
        <v>188</v>
      </c>
      <c r="J585" t="s">
        <v>269</v>
      </c>
      <c r="K585">
        <v>0</v>
      </c>
      <c r="L585" t="s">
        <v>164</v>
      </c>
      <c r="N585" t="s">
        <v>216</v>
      </c>
      <c r="O585" t="s">
        <v>269</v>
      </c>
      <c r="P585">
        <v>3.2857398419357852E-3</v>
      </c>
      <c r="Q585" t="s">
        <v>164</v>
      </c>
    </row>
    <row r="586" spans="9:17" x14ac:dyDescent="0.45">
      <c r="I586" t="s">
        <v>188</v>
      </c>
      <c r="J586" t="s">
        <v>270</v>
      </c>
      <c r="K586">
        <v>0</v>
      </c>
      <c r="L586" t="s">
        <v>164</v>
      </c>
      <c r="N586" t="s">
        <v>216</v>
      </c>
      <c r="O586" t="s">
        <v>270</v>
      </c>
      <c r="P586">
        <v>1.7843204452972539E-2</v>
      </c>
      <c r="Q586" t="s">
        <v>164</v>
      </c>
    </row>
    <row r="587" spans="9:17" x14ac:dyDescent="0.45">
      <c r="I587" t="s">
        <v>188</v>
      </c>
      <c r="J587" t="s">
        <v>271</v>
      </c>
      <c r="K587">
        <v>1.7767188434911218E-2</v>
      </c>
      <c r="L587" t="s">
        <v>164</v>
      </c>
      <c r="N587" t="s">
        <v>216</v>
      </c>
      <c r="O587" t="s">
        <v>271</v>
      </c>
      <c r="P587">
        <v>5.6545319515324786E-2</v>
      </c>
      <c r="Q587" t="s">
        <v>164</v>
      </c>
    </row>
    <row r="588" spans="9:17" x14ac:dyDescent="0.45">
      <c r="I588" t="s">
        <v>188</v>
      </c>
      <c r="J588" t="s">
        <v>272</v>
      </c>
      <c r="K588">
        <v>8.8546202319228443E-3</v>
      </c>
      <c r="L588" t="s">
        <v>164</v>
      </c>
      <c r="N588" t="s">
        <v>216</v>
      </c>
      <c r="O588" t="s">
        <v>272</v>
      </c>
      <c r="P588">
        <v>6.1639776701328582E-3</v>
      </c>
      <c r="Q588" t="s">
        <v>164</v>
      </c>
    </row>
    <row r="589" spans="9:17" x14ac:dyDescent="0.45">
      <c r="I589" t="s">
        <v>188</v>
      </c>
      <c r="J589" t="s">
        <v>273</v>
      </c>
      <c r="K589">
        <v>9.3172593157135816E-3</v>
      </c>
      <c r="L589" t="s">
        <v>164</v>
      </c>
      <c r="N589" t="s">
        <v>216</v>
      </c>
      <c r="O589" t="s">
        <v>273</v>
      </c>
      <c r="P589">
        <v>5.1760590442272861E-3</v>
      </c>
      <c r="Q589" t="s">
        <v>164</v>
      </c>
    </row>
    <row r="590" spans="9:17" x14ac:dyDescent="0.45">
      <c r="I590" t="s">
        <v>188</v>
      </c>
      <c r="J590" t="s">
        <v>274</v>
      </c>
      <c r="K590">
        <v>5.7224856477311556E-2</v>
      </c>
      <c r="L590" t="s">
        <v>164</v>
      </c>
      <c r="N590" t="s">
        <v>216</v>
      </c>
      <c r="O590" t="s">
        <v>274</v>
      </c>
      <c r="P590">
        <v>2.8435751802900019E-2</v>
      </c>
      <c r="Q590" t="s">
        <v>164</v>
      </c>
    </row>
    <row r="591" spans="9:17" x14ac:dyDescent="0.45">
      <c r="I591" t="s">
        <v>188</v>
      </c>
      <c r="J591" t="s">
        <v>275</v>
      </c>
      <c r="K591">
        <v>0</v>
      </c>
      <c r="L591" t="s">
        <v>164</v>
      </c>
      <c r="N591" t="s">
        <v>216</v>
      </c>
      <c r="O591" t="s">
        <v>275</v>
      </c>
      <c r="P591">
        <v>6.3190751829878128E-3</v>
      </c>
      <c r="Q591" t="s">
        <v>164</v>
      </c>
    </row>
    <row r="592" spans="9:17" x14ac:dyDescent="0.45">
      <c r="I592" t="s">
        <v>188</v>
      </c>
      <c r="J592" t="s">
        <v>276</v>
      </c>
      <c r="K592">
        <v>0</v>
      </c>
      <c r="L592" t="s">
        <v>164</v>
      </c>
      <c r="N592" t="s">
        <v>216</v>
      </c>
      <c r="O592" t="s">
        <v>276</v>
      </c>
      <c r="P592">
        <v>3.5223662278538702E-2</v>
      </c>
      <c r="Q592" t="s">
        <v>164</v>
      </c>
    </row>
    <row r="593" spans="9:17" x14ac:dyDescent="0.45">
      <c r="I593" t="s">
        <v>188</v>
      </c>
      <c r="J593" t="s">
        <v>277</v>
      </c>
      <c r="K593">
        <v>2.9171217742688823E-2</v>
      </c>
      <c r="L593" t="s">
        <v>164</v>
      </c>
      <c r="N593" t="s">
        <v>216</v>
      </c>
      <c r="O593" t="s">
        <v>277</v>
      </c>
      <c r="P593">
        <v>5.9904730382427857E-2</v>
      </c>
      <c r="Q593" t="s">
        <v>164</v>
      </c>
    </row>
    <row r="594" spans="9:17" x14ac:dyDescent="0.45">
      <c r="I594" t="s">
        <v>188</v>
      </c>
      <c r="J594" t="s">
        <v>278</v>
      </c>
      <c r="K594">
        <v>1.5607295759602402E-2</v>
      </c>
      <c r="L594" t="s">
        <v>164</v>
      </c>
      <c r="N594" t="s">
        <v>216</v>
      </c>
      <c r="O594" t="s">
        <v>278</v>
      </c>
      <c r="P594">
        <v>7.6488149248809222E-3</v>
      </c>
      <c r="Q594" t="s">
        <v>164</v>
      </c>
    </row>
    <row r="595" spans="9:17" x14ac:dyDescent="0.45">
      <c r="I595" t="s">
        <v>188</v>
      </c>
      <c r="J595" t="s">
        <v>279</v>
      </c>
      <c r="K595">
        <v>1.7188042631885055E-2</v>
      </c>
      <c r="L595" t="s">
        <v>164</v>
      </c>
      <c r="N595" t="s">
        <v>216</v>
      </c>
      <c r="O595" t="s">
        <v>279</v>
      </c>
      <c r="P595">
        <v>6.9854635864169479E-3</v>
      </c>
      <c r="Q595" t="s">
        <v>164</v>
      </c>
    </row>
    <row r="596" spans="9:17" x14ac:dyDescent="0.45">
      <c r="I596" t="s">
        <v>188</v>
      </c>
      <c r="J596" t="s">
        <v>280</v>
      </c>
      <c r="K596">
        <v>0.11260055760514628</v>
      </c>
      <c r="L596" t="s">
        <v>164</v>
      </c>
      <c r="N596" t="s">
        <v>216</v>
      </c>
      <c r="O596" t="s">
        <v>280</v>
      </c>
      <c r="P596">
        <v>3.7527487284065235E-2</v>
      </c>
      <c r="Q596" t="s">
        <v>164</v>
      </c>
    </row>
    <row r="597" spans="9:17" x14ac:dyDescent="0.45">
      <c r="I597" t="s">
        <v>188</v>
      </c>
      <c r="J597" t="s">
        <v>281</v>
      </c>
      <c r="K597">
        <v>0</v>
      </c>
      <c r="L597" t="s">
        <v>164</v>
      </c>
      <c r="N597" t="s">
        <v>216</v>
      </c>
      <c r="O597" t="s">
        <v>281</v>
      </c>
      <c r="P597">
        <v>6.1908607651120469E-3</v>
      </c>
      <c r="Q597" t="s">
        <v>164</v>
      </c>
    </row>
    <row r="598" spans="9:17" x14ac:dyDescent="0.45">
      <c r="I598" t="s">
        <v>188</v>
      </c>
      <c r="J598" t="s">
        <v>282</v>
      </c>
      <c r="K598">
        <v>0</v>
      </c>
      <c r="L598" t="s">
        <v>164</v>
      </c>
      <c r="N598" t="s">
        <v>216</v>
      </c>
      <c r="O598" t="s">
        <v>282</v>
      </c>
      <c r="P598">
        <v>3.7850919907215411E-2</v>
      </c>
      <c r="Q598" t="s">
        <v>164</v>
      </c>
    </row>
    <row r="599" spans="9:17" x14ac:dyDescent="0.45">
      <c r="I599" t="s">
        <v>189</v>
      </c>
      <c r="J599" t="s">
        <v>163</v>
      </c>
      <c r="K599">
        <v>1.6427051046611067E-2</v>
      </c>
      <c r="L599" t="s">
        <v>164</v>
      </c>
      <c r="N599" t="s">
        <v>217</v>
      </c>
      <c r="O599" t="s">
        <v>163</v>
      </c>
      <c r="P599">
        <v>2.0480075420157152E-2</v>
      </c>
      <c r="Q599" t="s">
        <v>164</v>
      </c>
    </row>
    <row r="600" spans="9:17" x14ac:dyDescent="0.45">
      <c r="I600" t="s">
        <v>189</v>
      </c>
      <c r="J600" t="s">
        <v>165</v>
      </c>
      <c r="K600">
        <v>1.0860128708715557E-2</v>
      </c>
      <c r="L600" t="s">
        <v>164</v>
      </c>
      <c r="N600" t="s">
        <v>217</v>
      </c>
      <c r="O600" t="s">
        <v>165</v>
      </c>
      <c r="P600">
        <v>5.3258632585461612E-3</v>
      </c>
      <c r="Q600" t="s">
        <v>164</v>
      </c>
    </row>
    <row r="601" spans="9:17" x14ac:dyDescent="0.45">
      <c r="I601" t="s">
        <v>189</v>
      </c>
      <c r="J601" t="s">
        <v>166</v>
      </c>
      <c r="K601">
        <v>1.1257608377076516E-2</v>
      </c>
      <c r="L601" t="s">
        <v>164</v>
      </c>
      <c r="N601" t="s">
        <v>217</v>
      </c>
      <c r="O601" t="s">
        <v>166</v>
      </c>
      <c r="P601">
        <v>6.9702048850383419E-3</v>
      </c>
      <c r="Q601" t="s">
        <v>164</v>
      </c>
    </row>
    <row r="602" spans="9:17" x14ac:dyDescent="0.45">
      <c r="I602" t="s">
        <v>189</v>
      </c>
      <c r="J602" t="s">
        <v>253</v>
      </c>
      <c r="K602">
        <v>6.9978407507519116E-2</v>
      </c>
      <c r="L602" t="s">
        <v>164</v>
      </c>
      <c r="N602" t="s">
        <v>217</v>
      </c>
      <c r="O602" t="s">
        <v>253</v>
      </c>
      <c r="P602">
        <v>2.8014973266360398E-2</v>
      </c>
      <c r="Q602" t="s">
        <v>164</v>
      </c>
    </row>
    <row r="603" spans="9:17" x14ac:dyDescent="0.45">
      <c r="I603" t="s">
        <v>189</v>
      </c>
      <c r="J603" t="s">
        <v>254</v>
      </c>
      <c r="K603">
        <v>0</v>
      </c>
      <c r="L603" t="s">
        <v>164</v>
      </c>
      <c r="N603" t="s">
        <v>217</v>
      </c>
      <c r="O603" t="s">
        <v>254</v>
      </c>
      <c r="P603">
        <v>1.4894904625816011E-3</v>
      </c>
      <c r="Q603" t="s">
        <v>164</v>
      </c>
    </row>
    <row r="604" spans="9:17" x14ac:dyDescent="0.45">
      <c r="I604" t="s">
        <v>189</v>
      </c>
      <c r="J604" t="s">
        <v>255</v>
      </c>
      <c r="K604">
        <v>0</v>
      </c>
      <c r="L604" t="s">
        <v>164</v>
      </c>
      <c r="N604" t="s">
        <v>217</v>
      </c>
      <c r="O604" t="s">
        <v>255</v>
      </c>
      <c r="P604">
        <v>8.4583231092133209E-3</v>
      </c>
      <c r="Q604" t="s">
        <v>164</v>
      </c>
    </row>
    <row r="605" spans="9:17" x14ac:dyDescent="0.45">
      <c r="I605" t="s">
        <v>189</v>
      </c>
      <c r="J605" t="s">
        <v>167</v>
      </c>
      <c r="K605">
        <v>1.5820644072228135E-2</v>
      </c>
      <c r="L605" t="s">
        <v>164</v>
      </c>
      <c r="N605" t="s">
        <v>217</v>
      </c>
      <c r="O605" t="s">
        <v>167</v>
      </c>
      <c r="P605">
        <v>2.7609409563024191E-2</v>
      </c>
      <c r="Q605" t="s">
        <v>164</v>
      </c>
    </row>
    <row r="606" spans="9:17" x14ac:dyDescent="0.45">
      <c r="I606" t="s">
        <v>189</v>
      </c>
      <c r="J606" t="s">
        <v>168</v>
      </c>
      <c r="K606">
        <v>1.032692045403168E-2</v>
      </c>
      <c r="L606" t="s">
        <v>164</v>
      </c>
      <c r="N606" t="s">
        <v>217</v>
      </c>
      <c r="O606" t="s">
        <v>168</v>
      </c>
      <c r="P606">
        <v>6.2092480264480396E-3</v>
      </c>
      <c r="Q606" t="s">
        <v>164</v>
      </c>
    </row>
    <row r="607" spans="9:17" x14ac:dyDescent="0.45">
      <c r="I607" t="s">
        <v>189</v>
      </c>
      <c r="J607" t="s">
        <v>169</v>
      </c>
      <c r="K607">
        <v>1.0791321044368366E-2</v>
      </c>
      <c r="L607" t="s">
        <v>164</v>
      </c>
      <c r="N607" t="s">
        <v>217</v>
      </c>
      <c r="O607" t="s">
        <v>169</v>
      </c>
      <c r="P607">
        <v>7.4718753482555965E-3</v>
      </c>
      <c r="Q607" t="s">
        <v>164</v>
      </c>
    </row>
    <row r="608" spans="9:17" x14ac:dyDescent="0.45">
      <c r="I608" t="s">
        <v>189</v>
      </c>
      <c r="J608" t="s">
        <v>256</v>
      </c>
      <c r="K608">
        <v>6.5539719485523909E-2</v>
      </c>
      <c r="L608" t="s">
        <v>164</v>
      </c>
      <c r="N608" t="s">
        <v>217</v>
      </c>
      <c r="O608" t="s">
        <v>256</v>
      </c>
      <c r="P608">
        <v>3.4728702788323601E-2</v>
      </c>
      <c r="Q608" t="s">
        <v>164</v>
      </c>
    </row>
    <row r="609" spans="9:17" x14ac:dyDescent="0.45">
      <c r="I609" t="s">
        <v>189</v>
      </c>
      <c r="J609" t="s">
        <v>257</v>
      </c>
      <c r="K609">
        <v>0</v>
      </c>
      <c r="L609" t="s">
        <v>164</v>
      </c>
      <c r="N609" t="s">
        <v>217</v>
      </c>
      <c r="O609" t="s">
        <v>257</v>
      </c>
      <c r="P609">
        <v>3.3595619693766341E-3</v>
      </c>
      <c r="Q609" t="s">
        <v>164</v>
      </c>
    </row>
    <row r="610" spans="9:17" x14ac:dyDescent="0.45">
      <c r="I610" t="s">
        <v>189</v>
      </c>
      <c r="J610" t="s">
        <v>258</v>
      </c>
      <c r="K610">
        <v>0</v>
      </c>
      <c r="L610" t="s">
        <v>164</v>
      </c>
      <c r="N610" t="s">
        <v>217</v>
      </c>
      <c r="O610" t="s">
        <v>258</v>
      </c>
      <c r="P610">
        <v>1.7902939413678317E-2</v>
      </c>
      <c r="Q610" t="s">
        <v>164</v>
      </c>
    </row>
    <row r="611" spans="9:17" x14ac:dyDescent="0.45">
      <c r="I611" t="s">
        <v>189</v>
      </c>
      <c r="J611" t="s">
        <v>170</v>
      </c>
      <c r="K611">
        <v>1.3608277341546163E-2</v>
      </c>
      <c r="L611" t="s">
        <v>164</v>
      </c>
      <c r="N611" t="s">
        <v>217</v>
      </c>
      <c r="O611" t="s">
        <v>170</v>
      </c>
      <c r="P611">
        <v>3.1418815633928107E-2</v>
      </c>
      <c r="Q611" t="s">
        <v>164</v>
      </c>
    </row>
    <row r="612" spans="9:17" x14ac:dyDescent="0.45">
      <c r="I612" t="s">
        <v>189</v>
      </c>
      <c r="J612" t="s">
        <v>171</v>
      </c>
      <c r="K612">
        <v>8.4234873321790207E-3</v>
      </c>
      <c r="L612" t="s">
        <v>164</v>
      </c>
      <c r="N612" t="s">
        <v>217</v>
      </c>
      <c r="O612" t="s">
        <v>171</v>
      </c>
      <c r="P612">
        <v>6.0890269885530909E-3</v>
      </c>
      <c r="Q612" t="s">
        <v>164</v>
      </c>
    </row>
    <row r="613" spans="9:17" x14ac:dyDescent="0.45">
      <c r="I613" t="s">
        <v>189</v>
      </c>
      <c r="J613" t="s">
        <v>172</v>
      </c>
      <c r="K613">
        <v>9.1373610125074379E-3</v>
      </c>
      <c r="L613" t="s">
        <v>164</v>
      </c>
      <c r="N613" t="s">
        <v>217</v>
      </c>
      <c r="O613" t="s">
        <v>172</v>
      </c>
      <c r="P613">
        <v>6.9525528314941685E-3</v>
      </c>
      <c r="Q613" t="s">
        <v>164</v>
      </c>
    </row>
    <row r="614" spans="9:17" x14ac:dyDescent="0.45">
      <c r="I614" t="s">
        <v>189</v>
      </c>
      <c r="J614" t="s">
        <v>259</v>
      </c>
      <c r="K614">
        <v>5.7755698734181071E-2</v>
      </c>
      <c r="L614" t="s">
        <v>164</v>
      </c>
      <c r="N614" t="s">
        <v>217</v>
      </c>
      <c r="O614" t="s">
        <v>259</v>
      </c>
      <c r="P614">
        <v>3.1439713541167633E-2</v>
      </c>
      <c r="Q614" t="s">
        <v>164</v>
      </c>
    </row>
    <row r="615" spans="9:17" x14ac:dyDescent="0.45">
      <c r="I615" t="s">
        <v>189</v>
      </c>
      <c r="J615" t="s">
        <v>260</v>
      </c>
      <c r="K615">
        <v>0</v>
      </c>
      <c r="L615" t="s">
        <v>164</v>
      </c>
      <c r="N615" t="s">
        <v>217</v>
      </c>
      <c r="O615" t="s">
        <v>260</v>
      </c>
      <c r="P615">
        <v>2.8651890454110805E-3</v>
      </c>
      <c r="Q615" t="s">
        <v>164</v>
      </c>
    </row>
    <row r="616" spans="9:17" x14ac:dyDescent="0.45">
      <c r="I616" t="s">
        <v>189</v>
      </c>
      <c r="J616" t="s">
        <v>261</v>
      </c>
      <c r="K616">
        <v>0</v>
      </c>
      <c r="L616" t="s">
        <v>164</v>
      </c>
      <c r="N616" t="s">
        <v>217</v>
      </c>
      <c r="O616" t="s">
        <v>261</v>
      </c>
      <c r="P616">
        <v>1.5328739998070454E-2</v>
      </c>
      <c r="Q616" t="s">
        <v>164</v>
      </c>
    </row>
    <row r="617" spans="9:17" x14ac:dyDescent="0.45">
      <c r="I617" t="s">
        <v>189</v>
      </c>
      <c r="J617" t="s">
        <v>173</v>
      </c>
      <c r="K617">
        <v>5.9642629594943819E-2</v>
      </c>
      <c r="L617" t="s">
        <v>164</v>
      </c>
      <c r="N617" t="s">
        <v>217</v>
      </c>
      <c r="O617" t="s">
        <v>173</v>
      </c>
      <c r="P617">
        <v>0.2037407592242387</v>
      </c>
      <c r="Q617" t="s">
        <v>164</v>
      </c>
    </row>
    <row r="618" spans="9:17" x14ac:dyDescent="0.45">
      <c r="I618" t="s">
        <v>189</v>
      </c>
      <c r="J618" t="s">
        <v>174</v>
      </c>
      <c r="K618">
        <v>3.5163653061409061E-2</v>
      </c>
      <c r="L618" t="s">
        <v>164</v>
      </c>
      <c r="N618" t="s">
        <v>217</v>
      </c>
      <c r="O618" t="s">
        <v>174</v>
      </c>
      <c r="P618">
        <v>2.9414051286447255E-2</v>
      </c>
      <c r="Q618" t="s">
        <v>164</v>
      </c>
    </row>
    <row r="619" spans="9:17" x14ac:dyDescent="0.45">
      <c r="I619" t="s">
        <v>189</v>
      </c>
      <c r="J619" t="s">
        <v>175</v>
      </c>
      <c r="K619">
        <v>4.0142529454764347E-2</v>
      </c>
      <c r="L619" t="s">
        <v>164</v>
      </c>
      <c r="N619" t="s">
        <v>217</v>
      </c>
      <c r="O619" t="s">
        <v>175</v>
      </c>
      <c r="P619">
        <v>2.6193558212956509E-2</v>
      </c>
      <c r="Q619" t="s">
        <v>164</v>
      </c>
    </row>
    <row r="620" spans="9:17" x14ac:dyDescent="0.45">
      <c r="I620" t="s">
        <v>189</v>
      </c>
      <c r="J620" t="s">
        <v>262</v>
      </c>
      <c r="K620">
        <v>0.20008771779579099</v>
      </c>
      <c r="L620" t="s">
        <v>164</v>
      </c>
      <c r="N620" t="s">
        <v>217</v>
      </c>
      <c r="O620" t="s">
        <v>262</v>
      </c>
      <c r="P620">
        <v>8.5611819646684101E-2</v>
      </c>
      <c r="Q620" t="s">
        <v>164</v>
      </c>
    </row>
    <row r="621" spans="9:17" x14ac:dyDescent="0.45">
      <c r="I621" t="s">
        <v>189</v>
      </c>
      <c r="J621" t="s">
        <v>263</v>
      </c>
      <c r="K621">
        <v>1.1242363131743854E-5</v>
      </c>
      <c r="L621" t="s">
        <v>164</v>
      </c>
      <c r="N621" t="s">
        <v>217</v>
      </c>
      <c r="O621" t="s">
        <v>263</v>
      </c>
      <c r="P621">
        <v>7.4736246972673757E-3</v>
      </c>
      <c r="Q621" t="s">
        <v>164</v>
      </c>
    </row>
    <row r="622" spans="9:17" x14ac:dyDescent="0.45">
      <c r="I622" t="s">
        <v>189</v>
      </c>
      <c r="J622" t="s">
        <v>264</v>
      </c>
      <c r="K622">
        <v>0</v>
      </c>
      <c r="L622" t="s">
        <v>164</v>
      </c>
      <c r="N622" t="s">
        <v>217</v>
      </c>
      <c r="O622" t="s">
        <v>264</v>
      </c>
      <c r="P622">
        <v>5.4834898066912455E-2</v>
      </c>
      <c r="Q622" t="s">
        <v>164</v>
      </c>
    </row>
    <row r="623" spans="9:17" x14ac:dyDescent="0.45">
      <c r="I623" t="s">
        <v>189</v>
      </c>
      <c r="J623" t="s">
        <v>265</v>
      </c>
      <c r="K623">
        <v>1.7754494777172593E-2</v>
      </c>
      <c r="L623" t="s">
        <v>164</v>
      </c>
      <c r="N623" t="s">
        <v>217</v>
      </c>
      <c r="O623" t="s">
        <v>265</v>
      </c>
      <c r="P623">
        <v>2.8876375637538854E-2</v>
      </c>
      <c r="Q623" t="s">
        <v>164</v>
      </c>
    </row>
    <row r="624" spans="9:17" x14ac:dyDescent="0.45">
      <c r="I624" t="s">
        <v>189</v>
      </c>
      <c r="J624" t="s">
        <v>266</v>
      </c>
      <c r="K624">
        <v>9.2727437830885367E-3</v>
      </c>
      <c r="L624" t="s">
        <v>164</v>
      </c>
      <c r="N624" t="s">
        <v>217</v>
      </c>
      <c r="O624" t="s">
        <v>266</v>
      </c>
      <c r="P624">
        <v>4.2338317079994225E-3</v>
      </c>
      <c r="Q624" t="s">
        <v>164</v>
      </c>
    </row>
    <row r="625" spans="9:17" x14ac:dyDescent="0.45">
      <c r="I625" t="s">
        <v>189</v>
      </c>
      <c r="J625" t="s">
        <v>267</v>
      </c>
      <c r="K625">
        <v>1.0043645399586684E-2</v>
      </c>
      <c r="L625" t="s">
        <v>164</v>
      </c>
      <c r="N625" t="s">
        <v>217</v>
      </c>
      <c r="O625" t="s">
        <v>267</v>
      </c>
      <c r="P625">
        <v>3.726917020518767E-3</v>
      </c>
      <c r="Q625" t="s">
        <v>164</v>
      </c>
    </row>
    <row r="626" spans="9:17" x14ac:dyDescent="0.45">
      <c r="I626" t="s">
        <v>189</v>
      </c>
      <c r="J626" t="s">
        <v>268</v>
      </c>
      <c r="K626">
        <v>5.2228506821387854E-2</v>
      </c>
      <c r="L626" t="s">
        <v>164</v>
      </c>
      <c r="N626" t="s">
        <v>217</v>
      </c>
      <c r="O626" t="s">
        <v>268</v>
      </c>
      <c r="P626">
        <v>1.100954080817192E-2</v>
      </c>
      <c r="Q626" t="s">
        <v>164</v>
      </c>
    </row>
    <row r="627" spans="9:17" x14ac:dyDescent="0.45">
      <c r="I627" t="s">
        <v>189</v>
      </c>
      <c r="J627" t="s">
        <v>269</v>
      </c>
      <c r="K627">
        <v>0</v>
      </c>
      <c r="L627" t="s">
        <v>164</v>
      </c>
      <c r="N627" t="s">
        <v>217</v>
      </c>
      <c r="O627" t="s">
        <v>269</v>
      </c>
      <c r="P627">
        <v>1.058712649628465E-3</v>
      </c>
      <c r="Q627" t="s">
        <v>164</v>
      </c>
    </row>
    <row r="628" spans="9:17" x14ac:dyDescent="0.45">
      <c r="I628" t="s">
        <v>189</v>
      </c>
      <c r="J628" t="s">
        <v>270</v>
      </c>
      <c r="K628">
        <v>0</v>
      </c>
      <c r="L628" t="s">
        <v>164</v>
      </c>
      <c r="N628" t="s">
        <v>217</v>
      </c>
      <c r="O628" t="s">
        <v>270</v>
      </c>
      <c r="P628">
        <v>9.3026263866733648E-3</v>
      </c>
      <c r="Q628" t="s">
        <v>164</v>
      </c>
    </row>
    <row r="629" spans="9:17" x14ac:dyDescent="0.45">
      <c r="I629" t="s">
        <v>189</v>
      </c>
      <c r="J629" t="s">
        <v>271</v>
      </c>
      <c r="K629">
        <v>1.5963624351872405E-2</v>
      </c>
      <c r="L629" t="s">
        <v>164</v>
      </c>
      <c r="N629" t="s">
        <v>217</v>
      </c>
      <c r="O629" t="s">
        <v>271</v>
      </c>
      <c r="P629">
        <v>3.9720414700788978E-2</v>
      </c>
      <c r="Q629" t="s">
        <v>164</v>
      </c>
    </row>
    <row r="630" spans="9:17" x14ac:dyDescent="0.45">
      <c r="I630" t="s">
        <v>189</v>
      </c>
      <c r="J630" t="s">
        <v>272</v>
      </c>
      <c r="K630">
        <v>7.81176639111863E-3</v>
      </c>
      <c r="L630" t="s">
        <v>164</v>
      </c>
      <c r="N630" t="s">
        <v>217</v>
      </c>
      <c r="O630" t="s">
        <v>272</v>
      </c>
      <c r="P630">
        <v>7.6714841452257152E-3</v>
      </c>
      <c r="Q630" t="s">
        <v>164</v>
      </c>
    </row>
    <row r="631" spans="9:17" x14ac:dyDescent="0.45">
      <c r="I631" t="s">
        <v>189</v>
      </c>
      <c r="J631" t="s">
        <v>273</v>
      </c>
      <c r="K631">
        <v>8.7345753783152017E-3</v>
      </c>
      <c r="L631" t="s">
        <v>164</v>
      </c>
      <c r="N631" t="s">
        <v>217</v>
      </c>
      <c r="O631" t="s">
        <v>273</v>
      </c>
      <c r="P631">
        <v>7.1406191666130506E-3</v>
      </c>
      <c r="Q631" t="s">
        <v>164</v>
      </c>
    </row>
    <row r="632" spans="9:17" x14ac:dyDescent="0.45">
      <c r="I632" t="s">
        <v>189</v>
      </c>
      <c r="J632" t="s">
        <v>274</v>
      </c>
      <c r="K632">
        <v>5.3088029621228168E-2</v>
      </c>
      <c r="L632" t="s">
        <v>164</v>
      </c>
      <c r="N632" t="s">
        <v>217</v>
      </c>
      <c r="O632" t="s">
        <v>274</v>
      </c>
      <c r="P632">
        <v>2.79507465278632E-2</v>
      </c>
      <c r="Q632" t="s">
        <v>164</v>
      </c>
    </row>
    <row r="633" spans="9:17" x14ac:dyDescent="0.45">
      <c r="I633" t="s">
        <v>189</v>
      </c>
      <c r="J633" t="s">
        <v>275</v>
      </c>
      <c r="K633">
        <v>0</v>
      </c>
      <c r="L633" t="s">
        <v>164</v>
      </c>
      <c r="N633" t="s">
        <v>217</v>
      </c>
      <c r="O633" t="s">
        <v>275</v>
      </c>
      <c r="P633">
        <v>2.0585270095700653E-3</v>
      </c>
      <c r="Q633" t="s">
        <v>164</v>
      </c>
    </row>
    <row r="634" spans="9:17" x14ac:dyDescent="0.45">
      <c r="I634" t="s">
        <v>189</v>
      </c>
      <c r="J634" t="s">
        <v>276</v>
      </c>
      <c r="K634">
        <v>0</v>
      </c>
      <c r="L634" t="s">
        <v>164</v>
      </c>
      <c r="N634" t="s">
        <v>217</v>
      </c>
      <c r="O634" t="s">
        <v>276</v>
      </c>
      <c r="P634">
        <v>1.5288658460676306E-2</v>
      </c>
      <c r="Q634" t="s">
        <v>164</v>
      </c>
    </row>
    <row r="635" spans="9:17" x14ac:dyDescent="0.45">
      <c r="I635" t="s">
        <v>189</v>
      </c>
      <c r="J635" t="s">
        <v>277</v>
      </c>
      <c r="K635">
        <v>3.5512636782663254E-2</v>
      </c>
      <c r="L635" t="s">
        <v>164</v>
      </c>
      <c r="N635" t="s">
        <v>217</v>
      </c>
      <c r="O635" t="s">
        <v>277</v>
      </c>
      <c r="P635">
        <v>5.9884254004480317E-2</v>
      </c>
      <c r="Q635" t="s">
        <v>164</v>
      </c>
    </row>
    <row r="636" spans="9:17" x14ac:dyDescent="0.45">
      <c r="I636" t="s">
        <v>189</v>
      </c>
      <c r="J636" t="s">
        <v>278</v>
      </c>
      <c r="K636">
        <v>1.8165576399493712E-2</v>
      </c>
      <c r="L636" t="s">
        <v>164</v>
      </c>
      <c r="N636" t="s">
        <v>217</v>
      </c>
      <c r="O636" t="s">
        <v>278</v>
      </c>
      <c r="P636">
        <v>1.1939220633063158E-2</v>
      </c>
      <c r="Q636" t="s">
        <v>164</v>
      </c>
    </row>
    <row r="637" spans="9:17" x14ac:dyDescent="0.45">
      <c r="I637" t="s">
        <v>189</v>
      </c>
      <c r="J637" t="s">
        <v>279</v>
      </c>
      <c r="K637">
        <v>1.9140828013511257E-2</v>
      </c>
      <c r="L637" t="s">
        <v>164</v>
      </c>
      <c r="N637" t="s">
        <v>217</v>
      </c>
      <c r="O637" t="s">
        <v>279</v>
      </c>
      <c r="P637">
        <v>1.2695406119968207E-2</v>
      </c>
      <c r="Q637" t="s">
        <v>164</v>
      </c>
    </row>
    <row r="638" spans="9:17" x14ac:dyDescent="0.45">
      <c r="I638" t="s">
        <v>189</v>
      </c>
      <c r="J638" t="s">
        <v>280</v>
      </c>
      <c r="K638">
        <v>0.11730917489403325</v>
      </c>
      <c r="L638" t="s">
        <v>164</v>
      </c>
      <c r="N638" t="s">
        <v>217</v>
      </c>
      <c r="O638" t="s">
        <v>280</v>
      </c>
      <c r="P638">
        <v>5.3993462814310229E-2</v>
      </c>
      <c r="Q638" t="s">
        <v>164</v>
      </c>
    </row>
    <row r="639" spans="9:17" x14ac:dyDescent="0.45">
      <c r="I639" t="s">
        <v>189</v>
      </c>
      <c r="J639" t="s">
        <v>281</v>
      </c>
      <c r="K639">
        <v>0</v>
      </c>
      <c r="L639" t="s">
        <v>164</v>
      </c>
      <c r="N639" t="s">
        <v>217</v>
      </c>
      <c r="O639" t="s">
        <v>281</v>
      </c>
      <c r="P639">
        <v>4.9494919642881462E-3</v>
      </c>
      <c r="Q639" t="s">
        <v>164</v>
      </c>
    </row>
    <row r="640" spans="9:17" x14ac:dyDescent="0.45">
      <c r="I640" t="s">
        <v>189</v>
      </c>
      <c r="J640" t="s">
        <v>282</v>
      </c>
      <c r="K640">
        <v>0</v>
      </c>
      <c r="L640" t="s">
        <v>164</v>
      </c>
      <c r="N640" t="s">
        <v>217</v>
      </c>
      <c r="O640" t="s">
        <v>282</v>
      </c>
      <c r="P640">
        <v>2.9116293558484878E-2</v>
      </c>
      <c r="Q640" t="s">
        <v>164</v>
      </c>
    </row>
    <row r="641" spans="9:17" x14ac:dyDescent="0.45">
      <c r="I641" t="s">
        <v>190</v>
      </c>
      <c r="J641" t="s">
        <v>163</v>
      </c>
      <c r="K641">
        <v>1.6420615748932416E-2</v>
      </c>
      <c r="L641" t="s">
        <v>164</v>
      </c>
      <c r="N641" t="s">
        <v>218</v>
      </c>
      <c r="O641" t="s">
        <v>163</v>
      </c>
      <c r="P641">
        <v>2.5119503091528758E-2</v>
      </c>
      <c r="Q641" t="s">
        <v>164</v>
      </c>
    </row>
    <row r="642" spans="9:17" x14ac:dyDescent="0.45">
      <c r="I642" t="s">
        <v>190</v>
      </c>
      <c r="J642" t="s">
        <v>165</v>
      </c>
      <c r="K642">
        <v>1.0530371783245694E-2</v>
      </c>
      <c r="L642" t="s">
        <v>164</v>
      </c>
      <c r="N642" t="s">
        <v>218</v>
      </c>
      <c r="O642" t="s">
        <v>165</v>
      </c>
      <c r="P642">
        <v>3.8301954208911438E-3</v>
      </c>
      <c r="Q642" t="s">
        <v>164</v>
      </c>
    </row>
    <row r="643" spans="9:17" x14ac:dyDescent="0.45">
      <c r="I643" t="s">
        <v>190</v>
      </c>
      <c r="J643" t="s">
        <v>166</v>
      </c>
      <c r="K643">
        <v>1.0946071549177162E-2</v>
      </c>
      <c r="L643" t="s">
        <v>164</v>
      </c>
      <c r="N643" t="s">
        <v>218</v>
      </c>
      <c r="O643" t="s">
        <v>166</v>
      </c>
      <c r="P643">
        <v>4.1764571608565995E-3</v>
      </c>
      <c r="Q643" t="s">
        <v>164</v>
      </c>
    </row>
    <row r="644" spans="9:17" x14ac:dyDescent="0.45">
      <c r="I644" t="s">
        <v>190</v>
      </c>
      <c r="J644" t="s">
        <v>253</v>
      </c>
      <c r="K644">
        <v>6.805277193651002E-2</v>
      </c>
      <c r="L644" t="s">
        <v>164</v>
      </c>
      <c r="N644" t="s">
        <v>218</v>
      </c>
      <c r="O644" t="s">
        <v>253</v>
      </c>
      <c r="P644">
        <v>1.211452847893449E-2</v>
      </c>
      <c r="Q644" t="s">
        <v>164</v>
      </c>
    </row>
    <row r="645" spans="9:17" x14ac:dyDescent="0.45">
      <c r="I645" t="s">
        <v>190</v>
      </c>
      <c r="J645" t="s">
        <v>254</v>
      </c>
      <c r="K645">
        <v>0</v>
      </c>
      <c r="L645" t="s">
        <v>164</v>
      </c>
      <c r="N645" t="s">
        <v>218</v>
      </c>
      <c r="O645" t="s">
        <v>254</v>
      </c>
      <c r="P645">
        <v>1.3455709865572288E-3</v>
      </c>
      <c r="Q645" t="s">
        <v>164</v>
      </c>
    </row>
    <row r="646" spans="9:17" x14ac:dyDescent="0.45">
      <c r="I646" t="s">
        <v>190</v>
      </c>
      <c r="J646" t="s">
        <v>255</v>
      </c>
      <c r="K646">
        <v>0</v>
      </c>
      <c r="L646" t="s">
        <v>164</v>
      </c>
      <c r="N646" t="s">
        <v>218</v>
      </c>
      <c r="O646" t="s">
        <v>255</v>
      </c>
      <c r="P646">
        <v>9.816035371514438E-3</v>
      </c>
      <c r="Q646" t="s">
        <v>164</v>
      </c>
    </row>
    <row r="647" spans="9:17" x14ac:dyDescent="0.45">
      <c r="I647" t="s">
        <v>190</v>
      </c>
      <c r="J647" t="s">
        <v>167</v>
      </c>
      <c r="K647">
        <v>1.5167328378991039E-2</v>
      </c>
      <c r="L647" t="s">
        <v>164</v>
      </c>
      <c r="N647" t="s">
        <v>218</v>
      </c>
      <c r="O647" t="s">
        <v>167</v>
      </c>
      <c r="P647">
        <v>3.3069913917568229E-2</v>
      </c>
      <c r="Q647" t="s">
        <v>164</v>
      </c>
    </row>
    <row r="648" spans="9:17" x14ac:dyDescent="0.45">
      <c r="I648" t="s">
        <v>190</v>
      </c>
      <c r="J648" t="s">
        <v>168</v>
      </c>
      <c r="K648">
        <v>9.9611447574152433E-3</v>
      </c>
      <c r="L648" t="s">
        <v>164</v>
      </c>
      <c r="N648" t="s">
        <v>218</v>
      </c>
      <c r="O648" t="s">
        <v>168</v>
      </c>
      <c r="P648">
        <v>5.5853128357843925E-3</v>
      </c>
      <c r="Q648" t="s">
        <v>164</v>
      </c>
    </row>
    <row r="649" spans="9:17" x14ac:dyDescent="0.45">
      <c r="I649" t="s">
        <v>190</v>
      </c>
      <c r="J649" t="s">
        <v>169</v>
      </c>
      <c r="K649">
        <v>1.0484210855277228E-2</v>
      </c>
      <c r="L649" t="s">
        <v>164</v>
      </c>
      <c r="N649" t="s">
        <v>218</v>
      </c>
      <c r="O649" t="s">
        <v>169</v>
      </c>
      <c r="P649">
        <v>5.7660013054355993E-3</v>
      </c>
      <c r="Q649" t="s">
        <v>164</v>
      </c>
    </row>
    <row r="650" spans="9:17" x14ac:dyDescent="0.45">
      <c r="I650" t="s">
        <v>190</v>
      </c>
      <c r="J650" t="s">
        <v>256</v>
      </c>
      <c r="K650">
        <v>6.2904294094452237E-2</v>
      </c>
      <c r="L650" t="s">
        <v>164</v>
      </c>
      <c r="N650" t="s">
        <v>218</v>
      </c>
      <c r="O650" t="s">
        <v>256</v>
      </c>
      <c r="P650">
        <v>1.9754269720737232E-2</v>
      </c>
      <c r="Q650" t="s">
        <v>164</v>
      </c>
    </row>
    <row r="651" spans="9:17" x14ac:dyDescent="0.45">
      <c r="I651" t="s">
        <v>190</v>
      </c>
      <c r="J651" t="s">
        <v>257</v>
      </c>
      <c r="K651">
        <v>1.2242926672620792E-4</v>
      </c>
      <c r="L651" t="s">
        <v>164</v>
      </c>
      <c r="N651" t="s">
        <v>218</v>
      </c>
      <c r="O651" t="s">
        <v>257</v>
      </c>
      <c r="P651">
        <v>3.073812202893887E-3</v>
      </c>
      <c r="Q651" t="s">
        <v>164</v>
      </c>
    </row>
    <row r="652" spans="9:17" x14ac:dyDescent="0.45">
      <c r="I652" t="s">
        <v>190</v>
      </c>
      <c r="J652" t="s">
        <v>258</v>
      </c>
      <c r="K652">
        <v>0</v>
      </c>
      <c r="L652" t="s">
        <v>164</v>
      </c>
      <c r="N652" t="s">
        <v>218</v>
      </c>
      <c r="O652" t="s">
        <v>258</v>
      </c>
      <c r="P652">
        <v>2.053945279711291E-2</v>
      </c>
      <c r="Q652" t="s">
        <v>164</v>
      </c>
    </row>
    <row r="653" spans="9:17" x14ac:dyDescent="0.45">
      <c r="I653" t="s">
        <v>190</v>
      </c>
      <c r="J653" t="s">
        <v>170</v>
      </c>
      <c r="K653">
        <v>1.3098513491952086E-2</v>
      </c>
      <c r="L653" t="s">
        <v>164</v>
      </c>
      <c r="N653" t="s">
        <v>218</v>
      </c>
      <c r="O653" t="s">
        <v>170</v>
      </c>
      <c r="P653">
        <v>3.3097171504129684E-2</v>
      </c>
      <c r="Q653" t="s">
        <v>164</v>
      </c>
    </row>
    <row r="654" spans="9:17" x14ac:dyDescent="0.45">
      <c r="I654" t="s">
        <v>190</v>
      </c>
      <c r="J654" t="s">
        <v>171</v>
      </c>
      <c r="K654">
        <v>8.1303460999823888E-3</v>
      </c>
      <c r="L654" t="s">
        <v>164</v>
      </c>
      <c r="N654" t="s">
        <v>218</v>
      </c>
      <c r="O654" t="s">
        <v>171</v>
      </c>
      <c r="P654">
        <v>4.9367664451544918E-3</v>
      </c>
      <c r="Q654" t="s">
        <v>164</v>
      </c>
    </row>
    <row r="655" spans="9:17" x14ac:dyDescent="0.45">
      <c r="I655" t="s">
        <v>190</v>
      </c>
      <c r="J655" t="s">
        <v>172</v>
      </c>
      <c r="K655">
        <v>9.0656999408111477E-3</v>
      </c>
      <c r="L655" t="s">
        <v>164</v>
      </c>
      <c r="N655" t="s">
        <v>218</v>
      </c>
      <c r="O655" t="s">
        <v>172</v>
      </c>
      <c r="P655">
        <v>4.76023679299762E-3</v>
      </c>
      <c r="Q655" t="s">
        <v>164</v>
      </c>
    </row>
    <row r="656" spans="9:17" x14ac:dyDescent="0.45">
      <c r="I656" t="s">
        <v>190</v>
      </c>
      <c r="J656" t="s">
        <v>259</v>
      </c>
      <c r="K656">
        <v>5.847565328146459E-2</v>
      </c>
      <c r="L656" t="s">
        <v>164</v>
      </c>
      <c r="N656" t="s">
        <v>218</v>
      </c>
      <c r="O656" t="s">
        <v>259</v>
      </c>
      <c r="P656">
        <v>1.5476898308836334E-2</v>
      </c>
      <c r="Q656" t="s">
        <v>164</v>
      </c>
    </row>
    <row r="657" spans="9:17" x14ac:dyDescent="0.45">
      <c r="I657" t="s">
        <v>190</v>
      </c>
      <c r="J657" t="s">
        <v>260</v>
      </c>
      <c r="K657">
        <v>0</v>
      </c>
      <c r="L657" t="s">
        <v>164</v>
      </c>
      <c r="N657" t="s">
        <v>218</v>
      </c>
      <c r="O657" t="s">
        <v>260</v>
      </c>
      <c r="P657">
        <v>1.8409685410871515E-3</v>
      </c>
      <c r="Q657" t="s">
        <v>164</v>
      </c>
    </row>
    <row r="658" spans="9:17" x14ac:dyDescent="0.45">
      <c r="I658" t="s">
        <v>190</v>
      </c>
      <c r="J658" t="s">
        <v>261</v>
      </c>
      <c r="K658">
        <v>0</v>
      </c>
      <c r="L658" t="s">
        <v>164</v>
      </c>
      <c r="N658" t="s">
        <v>218</v>
      </c>
      <c r="O658" t="s">
        <v>261</v>
      </c>
      <c r="P658">
        <v>1.6100980874762211E-2</v>
      </c>
      <c r="Q658" t="s">
        <v>164</v>
      </c>
    </row>
    <row r="659" spans="9:17" x14ac:dyDescent="0.45">
      <c r="I659" t="s">
        <v>190</v>
      </c>
      <c r="J659" t="s">
        <v>173</v>
      </c>
      <c r="K659">
        <v>6.2543990848147046E-2</v>
      </c>
      <c r="L659" t="s">
        <v>164</v>
      </c>
      <c r="N659" t="s">
        <v>218</v>
      </c>
      <c r="O659" t="s">
        <v>173</v>
      </c>
      <c r="P659">
        <v>0.25592612054072467</v>
      </c>
      <c r="Q659" t="s">
        <v>164</v>
      </c>
    </row>
    <row r="660" spans="9:17" x14ac:dyDescent="0.45">
      <c r="I660" t="s">
        <v>190</v>
      </c>
      <c r="J660" t="s">
        <v>174</v>
      </c>
      <c r="K660">
        <v>3.3484733560046609E-2</v>
      </c>
      <c r="L660" t="s">
        <v>164</v>
      </c>
      <c r="N660" t="s">
        <v>218</v>
      </c>
      <c r="O660" t="s">
        <v>174</v>
      </c>
      <c r="P660">
        <v>3.374991046854782E-2</v>
      </c>
      <c r="Q660" t="s">
        <v>164</v>
      </c>
    </row>
    <row r="661" spans="9:17" x14ac:dyDescent="0.45">
      <c r="I661" t="s">
        <v>190</v>
      </c>
      <c r="J661" t="s">
        <v>175</v>
      </c>
      <c r="K661">
        <v>3.8260432097772704E-2</v>
      </c>
      <c r="L661" t="s">
        <v>164</v>
      </c>
      <c r="N661" t="s">
        <v>218</v>
      </c>
      <c r="O661" t="s">
        <v>175</v>
      </c>
      <c r="P661">
        <v>2.8169170426907312E-2</v>
      </c>
      <c r="Q661" t="s">
        <v>164</v>
      </c>
    </row>
    <row r="662" spans="9:17" x14ac:dyDescent="0.45">
      <c r="I662" t="s">
        <v>190</v>
      </c>
      <c r="J662" t="s">
        <v>262</v>
      </c>
      <c r="K662">
        <v>0.208987919939089</v>
      </c>
      <c r="L662" t="s">
        <v>164</v>
      </c>
      <c r="N662" t="s">
        <v>218</v>
      </c>
      <c r="O662" t="s">
        <v>262</v>
      </c>
      <c r="P662">
        <v>7.1315216370637702E-2</v>
      </c>
      <c r="Q662" t="s">
        <v>164</v>
      </c>
    </row>
    <row r="663" spans="9:17" x14ac:dyDescent="0.45">
      <c r="I663" t="s">
        <v>190</v>
      </c>
      <c r="J663" t="s">
        <v>263</v>
      </c>
      <c r="K663">
        <v>0</v>
      </c>
      <c r="L663" t="s">
        <v>164</v>
      </c>
      <c r="N663" t="s">
        <v>218</v>
      </c>
      <c r="O663" t="s">
        <v>263</v>
      </c>
      <c r="P663">
        <v>8.2168225185008676E-3</v>
      </c>
      <c r="Q663" t="s">
        <v>164</v>
      </c>
    </row>
    <row r="664" spans="9:17" x14ac:dyDescent="0.45">
      <c r="I664" t="s">
        <v>190</v>
      </c>
      <c r="J664" t="s">
        <v>264</v>
      </c>
      <c r="K664">
        <v>0</v>
      </c>
      <c r="L664" t="s">
        <v>164</v>
      </c>
      <c r="N664" t="s">
        <v>218</v>
      </c>
      <c r="O664" t="s">
        <v>264</v>
      </c>
      <c r="P664">
        <v>8.6712465315271603E-2</v>
      </c>
      <c r="Q664" t="s">
        <v>164</v>
      </c>
    </row>
    <row r="665" spans="9:17" x14ac:dyDescent="0.45">
      <c r="I665" t="s">
        <v>190</v>
      </c>
      <c r="J665" t="s">
        <v>265</v>
      </c>
      <c r="K665">
        <v>1.7910643342655717E-2</v>
      </c>
      <c r="L665" t="s">
        <v>164</v>
      </c>
      <c r="N665" t="s">
        <v>218</v>
      </c>
      <c r="O665" t="s">
        <v>265</v>
      </c>
      <c r="P665">
        <v>4.3362940100508819E-2</v>
      </c>
      <c r="Q665" t="s">
        <v>164</v>
      </c>
    </row>
    <row r="666" spans="9:17" x14ac:dyDescent="0.45">
      <c r="I666" t="s">
        <v>190</v>
      </c>
      <c r="J666" t="s">
        <v>266</v>
      </c>
      <c r="K666">
        <v>8.8608718186055889E-3</v>
      </c>
      <c r="L666" t="s">
        <v>164</v>
      </c>
      <c r="N666" t="s">
        <v>218</v>
      </c>
      <c r="O666" t="s">
        <v>266</v>
      </c>
      <c r="P666">
        <v>5.7743068761991296E-3</v>
      </c>
      <c r="Q666" t="s">
        <v>164</v>
      </c>
    </row>
    <row r="667" spans="9:17" x14ac:dyDescent="0.45">
      <c r="I667" t="s">
        <v>190</v>
      </c>
      <c r="J667" t="s">
        <v>267</v>
      </c>
      <c r="K667">
        <v>9.6841743753876292E-3</v>
      </c>
      <c r="L667" t="s">
        <v>164</v>
      </c>
      <c r="N667" t="s">
        <v>218</v>
      </c>
      <c r="O667" t="s">
        <v>267</v>
      </c>
      <c r="P667">
        <v>4.398921057417857E-3</v>
      </c>
      <c r="Q667" t="s">
        <v>164</v>
      </c>
    </row>
    <row r="668" spans="9:17" x14ac:dyDescent="0.45">
      <c r="I668" t="s">
        <v>190</v>
      </c>
      <c r="J668" t="s">
        <v>268</v>
      </c>
      <c r="K668">
        <v>5.3653074308265589E-2</v>
      </c>
      <c r="L668" t="s">
        <v>164</v>
      </c>
      <c r="N668" t="s">
        <v>218</v>
      </c>
      <c r="O668" t="s">
        <v>268</v>
      </c>
      <c r="P668">
        <v>9.5337420515764649E-3</v>
      </c>
      <c r="Q668" t="s">
        <v>164</v>
      </c>
    </row>
    <row r="669" spans="9:17" x14ac:dyDescent="0.45">
      <c r="I669" t="s">
        <v>190</v>
      </c>
      <c r="J669" t="s">
        <v>269</v>
      </c>
      <c r="K669">
        <v>0</v>
      </c>
      <c r="L669" t="s">
        <v>164</v>
      </c>
      <c r="N669" t="s">
        <v>218</v>
      </c>
      <c r="O669" t="s">
        <v>269</v>
      </c>
      <c r="P669">
        <v>1.5614374080136313E-3</v>
      </c>
      <c r="Q669" t="s">
        <v>164</v>
      </c>
    </row>
    <row r="670" spans="9:17" x14ac:dyDescent="0.45">
      <c r="I670" t="s">
        <v>190</v>
      </c>
      <c r="J670" t="s">
        <v>270</v>
      </c>
      <c r="K670">
        <v>0</v>
      </c>
      <c r="L670" t="s">
        <v>164</v>
      </c>
      <c r="N670" t="s">
        <v>218</v>
      </c>
      <c r="O670" t="s">
        <v>270</v>
      </c>
      <c r="P670">
        <v>1.5502642187299248E-2</v>
      </c>
      <c r="Q670" t="s">
        <v>164</v>
      </c>
    </row>
    <row r="671" spans="9:17" x14ac:dyDescent="0.45">
      <c r="I671" t="s">
        <v>190</v>
      </c>
      <c r="J671" t="s">
        <v>271</v>
      </c>
      <c r="K671">
        <v>1.7729501742814943E-2</v>
      </c>
      <c r="L671" t="s">
        <v>164</v>
      </c>
      <c r="N671" t="s">
        <v>218</v>
      </c>
      <c r="O671" t="s">
        <v>271</v>
      </c>
      <c r="P671">
        <v>3.9755012050252655E-2</v>
      </c>
      <c r="Q671" t="s">
        <v>164</v>
      </c>
    </row>
    <row r="672" spans="9:17" x14ac:dyDescent="0.45">
      <c r="I672" t="s">
        <v>190</v>
      </c>
      <c r="J672" t="s">
        <v>272</v>
      </c>
      <c r="K672">
        <v>8.4616123890988749E-3</v>
      </c>
      <c r="L672" t="s">
        <v>164</v>
      </c>
      <c r="N672" t="s">
        <v>218</v>
      </c>
      <c r="O672" t="s">
        <v>272</v>
      </c>
      <c r="P672">
        <v>6.5287263749589132E-3</v>
      </c>
      <c r="Q672" t="s">
        <v>164</v>
      </c>
    </row>
    <row r="673" spans="9:17" x14ac:dyDescent="0.45">
      <c r="I673" t="s">
        <v>190</v>
      </c>
      <c r="J673" t="s">
        <v>273</v>
      </c>
      <c r="K673">
        <v>9.0077136556291296E-3</v>
      </c>
      <c r="L673" t="s">
        <v>164</v>
      </c>
      <c r="N673" t="s">
        <v>218</v>
      </c>
      <c r="O673" t="s">
        <v>273</v>
      </c>
      <c r="P673">
        <v>5.4037431536279367E-3</v>
      </c>
      <c r="Q673" t="s">
        <v>164</v>
      </c>
    </row>
    <row r="674" spans="9:17" x14ac:dyDescent="0.45">
      <c r="I674" t="s">
        <v>190</v>
      </c>
      <c r="J674" t="s">
        <v>274</v>
      </c>
      <c r="K674">
        <v>5.5120058846243276E-2</v>
      </c>
      <c r="L674" t="s">
        <v>164</v>
      </c>
      <c r="N674" t="s">
        <v>218</v>
      </c>
      <c r="O674" t="s">
        <v>274</v>
      </c>
      <c r="P674">
        <v>1.6663631938084796E-2</v>
      </c>
      <c r="Q674" t="s">
        <v>164</v>
      </c>
    </row>
    <row r="675" spans="9:17" x14ac:dyDescent="0.45">
      <c r="I675" t="s">
        <v>190</v>
      </c>
      <c r="J675" t="s">
        <v>275</v>
      </c>
      <c r="K675">
        <v>0</v>
      </c>
      <c r="L675" t="s">
        <v>164</v>
      </c>
      <c r="N675" t="s">
        <v>218</v>
      </c>
      <c r="O675" t="s">
        <v>275</v>
      </c>
      <c r="P675">
        <v>1.8923419360735623E-3</v>
      </c>
      <c r="Q675" t="s">
        <v>164</v>
      </c>
    </row>
    <row r="676" spans="9:17" x14ac:dyDescent="0.45">
      <c r="I676" t="s">
        <v>190</v>
      </c>
      <c r="J676" t="s">
        <v>276</v>
      </c>
      <c r="K676">
        <v>0</v>
      </c>
      <c r="L676" t="s">
        <v>164</v>
      </c>
      <c r="N676" t="s">
        <v>218</v>
      </c>
      <c r="O676" t="s">
        <v>276</v>
      </c>
      <c r="P676">
        <v>1.8700734876782595E-2</v>
      </c>
      <c r="Q676" t="s">
        <v>164</v>
      </c>
    </row>
    <row r="677" spans="9:17" x14ac:dyDescent="0.45">
      <c r="I677" t="s">
        <v>190</v>
      </c>
      <c r="J677" t="s">
        <v>277</v>
      </c>
      <c r="K677">
        <v>3.3199371778213284E-2</v>
      </c>
      <c r="L677" t="s">
        <v>164</v>
      </c>
      <c r="N677" t="s">
        <v>218</v>
      </c>
      <c r="O677" t="s">
        <v>277</v>
      </c>
      <c r="P677">
        <v>5.7386018403199776E-2</v>
      </c>
      <c r="Q677" t="s">
        <v>164</v>
      </c>
    </row>
    <row r="678" spans="9:17" x14ac:dyDescent="0.45">
      <c r="I678" t="s">
        <v>190</v>
      </c>
      <c r="J678" t="s">
        <v>278</v>
      </c>
      <c r="K678">
        <v>1.7289710817979205E-2</v>
      </c>
      <c r="L678" t="s">
        <v>164</v>
      </c>
      <c r="N678" t="s">
        <v>218</v>
      </c>
      <c r="O678" t="s">
        <v>278</v>
      </c>
      <c r="P678">
        <v>7.0193887912475619E-3</v>
      </c>
      <c r="Q678" t="s">
        <v>164</v>
      </c>
    </row>
    <row r="679" spans="9:17" x14ac:dyDescent="0.45">
      <c r="I679" t="s">
        <v>190</v>
      </c>
      <c r="J679" t="s">
        <v>279</v>
      </c>
      <c r="K679">
        <v>1.8565253718943783E-2</v>
      </c>
      <c r="L679" t="s">
        <v>164</v>
      </c>
      <c r="N679" t="s">
        <v>218</v>
      </c>
      <c r="O679" t="s">
        <v>279</v>
      </c>
      <c r="P679">
        <v>6.6178961096243242E-3</v>
      </c>
      <c r="Q679" t="s">
        <v>164</v>
      </c>
    </row>
    <row r="680" spans="9:17" x14ac:dyDescent="0.45">
      <c r="I680" t="s">
        <v>190</v>
      </c>
      <c r="J680" t="s">
        <v>280</v>
      </c>
      <c r="K680">
        <v>0.11388148557617117</v>
      </c>
      <c r="L680" t="s">
        <v>164</v>
      </c>
      <c r="N680" t="s">
        <v>218</v>
      </c>
      <c r="O680" t="s">
        <v>280</v>
      </c>
      <c r="P680">
        <v>2.3758738038906442E-2</v>
      </c>
      <c r="Q680" t="s">
        <v>164</v>
      </c>
    </row>
    <row r="681" spans="9:17" x14ac:dyDescent="0.45">
      <c r="I681" t="s">
        <v>190</v>
      </c>
      <c r="J681" t="s">
        <v>281</v>
      </c>
      <c r="K681">
        <v>0</v>
      </c>
      <c r="L681" t="s">
        <v>164</v>
      </c>
      <c r="N681" t="s">
        <v>218</v>
      </c>
      <c r="O681" t="s">
        <v>281</v>
      </c>
      <c r="P681">
        <v>4.1227726277086206E-3</v>
      </c>
      <c r="Q681" t="s">
        <v>164</v>
      </c>
    </row>
    <row r="682" spans="9:17" x14ac:dyDescent="0.45">
      <c r="I682" t="s">
        <v>190</v>
      </c>
      <c r="J682" t="s">
        <v>282</v>
      </c>
      <c r="K682">
        <v>0</v>
      </c>
      <c r="L682" t="s">
        <v>164</v>
      </c>
      <c r="N682" t="s">
        <v>218</v>
      </c>
      <c r="O682" t="s">
        <v>282</v>
      </c>
      <c r="P682">
        <v>2.7523224621144361E-2</v>
      </c>
      <c r="Q682" t="s">
        <v>164</v>
      </c>
    </row>
    <row r="683" spans="9:17" x14ac:dyDescent="0.45">
      <c r="I683" t="s">
        <v>191</v>
      </c>
      <c r="J683" t="s">
        <v>163</v>
      </c>
      <c r="K683">
        <v>1.4648701807529033E-2</v>
      </c>
      <c r="L683" t="s">
        <v>164</v>
      </c>
      <c r="N683" t="s">
        <v>219</v>
      </c>
      <c r="O683" t="s">
        <v>163</v>
      </c>
      <c r="P683">
        <v>1.9058778577736531E-2</v>
      </c>
      <c r="Q683" t="s">
        <v>164</v>
      </c>
    </row>
    <row r="684" spans="9:17" x14ac:dyDescent="0.45">
      <c r="I684" t="s">
        <v>191</v>
      </c>
      <c r="J684" t="s">
        <v>165</v>
      </c>
      <c r="K684">
        <v>8.5943853109510509E-3</v>
      </c>
      <c r="L684" t="s">
        <v>164</v>
      </c>
      <c r="N684" t="s">
        <v>219</v>
      </c>
      <c r="O684" t="s">
        <v>165</v>
      </c>
      <c r="P684">
        <v>6.1741738701451016E-3</v>
      </c>
      <c r="Q684" t="s">
        <v>164</v>
      </c>
    </row>
    <row r="685" spans="9:17" x14ac:dyDescent="0.45">
      <c r="I685" t="s">
        <v>191</v>
      </c>
      <c r="J685" t="s">
        <v>166</v>
      </c>
      <c r="K685">
        <v>9.2432080829890958E-3</v>
      </c>
      <c r="L685" t="s">
        <v>164</v>
      </c>
      <c r="N685" t="s">
        <v>219</v>
      </c>
      <c r="O685" t="s">
        <v>166</v>
      </c>
      <c r="P685">
        <v>9.5930402445403903E-3</v>
      </c>
      <c r="Q685" t="s">
        <v>164</v>
      </c>
    </row>
    <row r="686" spans="9:17" x14ac:dyDescent="0.45">
      <c r="I686" t="s">
        <v>191</v>
      </c>
      <c r="J686" t="s">
        <v>253</v>
      </c>
      <c r="K686">
        <v>6.3569443660766015E-2</v>
      </c>
      <c r="L686" t="s">
        <v>164</v>
      </c>
      <c r="N686" t="s">
        <v>219</v>
      </c>
      <c r="O686" t="s">
        <v>253</v>
      </c>
      <c r="P686">
        <v>4.0142664278298427E-2</v>
      </c>
      <c r="Q686" t="s">
        <v>164</v>
      </c>
    </row>
    <row r="687" spans="9:17" x14ac:dyDescent="0.45">
      <c r="I687" t="s">
        <v>191</v>
      </c>
      <c r="J687" t="s">
        <v>254</v>
      </c>
      <c r="K687">
        <v>3.974890711493196E-3</v>
      </c>
      <c r="L687" t="s">
        <v>164</v>
      </c>
      <c r="N687" t="s">
        <v>219</v>
      </c>
      <c r="O687" t="s">
        <v>254</v>
      </c>
      <c r="P687">
        <v>2.7824203324155789E-3</v>
      </c>
      <c r="Q687" t="s">
        <v>164</v>
      </c>
    </row>
    <row r="688" spans="9:17" x14ac:dyDescent="0.45">
      <c r="I688" t="s">
        <v>191</v>
      </c>
      <c r="J688" t="s">
        <v>255</v>
      </c>
      <c r="K688">
        <v>0</v>
      </c>
      <c r="L688" t="s">
        <v>164</v>
      </c>
      <c r="N688" t="s">
        <v>219</v>
      </c>
      <c r="O688" t="s">
        <v>255</v>
      </c>
      <c r="P688">
        <v>1.0256236907794676E-2</v>
      </c>
      <c r="Q688" t="s">
        <v>164</v>
      </c>
    </row>
    <row r="689" spans="9:17" x14ac:dyDescent="0.45">
      <c r="I689" t="s">
        <v>191</v>
      </c>
      <c r="J689" t="s">
        <v>167</v>
      </c>
      <c r="K689">
        <v>1.0338359132731264E-2</v>
      </c>
      <c r="L689" t="s">
        <v>164</v>
      </c>
      <c r="N689" t="s">
        <v>219</v>
      </c>
      <c r="O689" t="s">
        <v>167</v>
      </c>
      <c r="P689">
        <v>3.1095555318550298E-2</v>
      </c>
      <c r="Q689" t="s">
        <v>164</v>
      </c>
    </row>
    <row r="690" spans="9:17" x14ac:dyDescent="0.45">
      <c r="I690" t="s">
        <v>191</v>
      </c>
      <c r="J690" t="s">
        <v>168</v>
      </c>
      <c r="K690">
        <v>7.3988453661999673E-3</v>
      </c>
      <c r="L690" t="s">
        <v>164</v>
      </c>
      <c r="N690" t="s">
        <v>219</v>
      </c>
      <c r="O690" t="s">
        <v>168</v>
      </c>
      <c r="P690">
        <v>7.8608306155679795E-3</v>
      </c>
      <c r="Q690" t="s">
        <v>164</v>
      </c>
    </row>
    <row r="691" spans="9:17" x14ac:dyDescent="0.45">
      <c r="I691" t="s">
        <v>191</v>
      </c>
      <c r="J691" t="s">
        <v>169</v>
      </c>
      <c r="K691">
        <v>8.3911697061437012E-3</v>
      </c>
      <c r="L691" t="s">
        <v>164</v>
      </c>
      <c r="N691" t="s">
        <v>219</v>
      </c>
      <c r="O691" t="s">
        <v>169</v>
      </c>
      <c r="P691">
        <v>1.022717027121361E-2</v>
      </c>
      <c r="Q691" t="s">
        <v>164</v>
      </c>
    </row>
    <row r="692" spans="9:17" x14ac:dyDescent="0.45">
      <c r="I692" t="s">
        <v>191</v>
      </c>
      <c r="J692" t="s">
        <v>256</v>
      </c>
      <c r="K692">
        <v>6.0193586143459619E-2</v>
      </c>
      <c r="L692" t="s">
        <v>164</v>
      </c>
      <c r="N692" t="s">
        <v>219</v>
      </c>
      <c r="O692" t="s">
        <v>256</v>
      </c>
      <c r="P692">
        <v>4.8270424515275731E-2</v>
      </c>
      <c r="Q692" t="s">
        <v>164</v>
      </c>
    </row>
    <row r="693" spans="9:17" x14ac:dyDescent="0.45">
      <c r="I693" t="s">
        <v>191</v>
      </c>
      <c r="J693" t="s">
        <v>257</v>
      </c>
      <c r="K693">
        <v>5.138083720030359E-3</v>
      </c>
      <c r="L693" t="s">
        <v>164</v>
      </c>
      <c r="N693" t="s">
        <v>219</v>
      </c>
      <c r="O693" t="s">
        <v>257</v>
      </c>
      <c r="P693">
        <v>4.5765748182561468E-3</v>
      </c>
      <c r="Q693" t="s">
        <v>164</v>
      </c>
    </row>
    <row r="694" spans="9:17" x14ac:dyDescent="0.45">
      <c r="I694" t="s">
        <v>191</v>
      </c>
      <c r="J694" t="s">
        <v>258</v>
      </c>
      <c r="K694">
        <v>0</v>
      </c>
      <c r="L694" t="s">
        <v>164</v>
      </c>
      <c r="N694" t="s">
        <v>219</v>
      </c>
      <c r="O694" t="s">
        <v>258</v>
      </c>
      <c r="P694">
        <v>1.8316955451540953E-2</v>
      </c>
      <c r="Q694" t="s">
        <v>164</v>
      </c>
    </row>
    <row r="695" spans="9:17" x14ac:dyDescent="0.45">
      <c r="I695" t="s">
        <v>191</v>
      </c>
      <c r="J695" t="s">
        <v>170</v>
      </c>
      <c r="K695">
        <v>9.9110311173687266E-3</v>
      </c>
      <c r="L695" t="s">
        <v>164</v>
      </c>
      <c r="N695" t="s">
        <v>219</v>
      </c>
      <c r="O695" t="s">
        <v>170</v>
      </c>
      <c r="P695">
        <v>3.1851803608179789E-2</v>
      </c>
      <c r="Q695" t="s">
        <v>164</v>
      </c>
    </row>
    <row r="696" spans="9:17" x14ac:dyDescent="0.45">
      <c r="I696" t="s">
        <v>191</v>
      </c>
      <c r="J696" t="s">
        <v>171</v>
      </c>
      <c r="K696">
        <v>7.0829342841910014E-3</v>
      </c>
      <c r="L696" t="s">
        <v>164</v>
      </c>
      <c r="N696" t="s">
        <v>219</v>
      </c>
      <c r="O696" t="s">
        <v>171</v>
      </c>
      <c r="P696">
        <v>7.9171579026054116E-3</v>
      </c>
      <c r="Q696" t="s">
        <v>164</v>
      </c>
    </row>
    <row r="697" spans="9:17" x14ac:dyDescent="0.45">
      <c r="I697" t="s">
        <v>191</v>
      </c>
      <c r="J697" t="s">
        <v>172</v>
      </c>
      <c r="K697">
        <v>8.292394303587379E-3</v>
      </c>
      <c r="L697" t="s">
        <v>164</v>
      </c>
      <c r="N697" t="s">
        <v>219</v>
      </c>
      <c r="O697" t="s">
        <v>172</v>
      </c>
      <c r="P697">
        <v>9.7468245803652102E-3</v>
      </c>
      <c r="Q697" t="s">
        <v>164</v>
      </c>
    </row>
    <row r="698" spans="9:17" x14ac:dyDescent="0.45">
      <c r="I698" t="s">
        <v>191</v>
      </c>
      <c r="J698" t="s">
        <v>259</v>
      </c>
      <c r="K698">
        <v>5.6819090957865206E-2</v>
      </c>
      <c r="L698" t="s">
        <v>164</v>
      </c>
      <c r="N698" t="s">
        <v>219</v>
      </c>
      <c r="O698" t="s">
        <v>259</v>
      </c>
      <c r="P698">
        <v>4.7812411187399408E-2</v>
      </c>
      <c r="Q698" t="s">
        <v>164</v>
      </c>
    </row>
    <row r="699" spans="9:17" x14ac:dyDescent="0.45">
      <c r="I699" t="s">
        <v>191</v>
      </c>
      <c r="J699" t="s">
        <v>260</v>
      </c>
      <c r="K699">
        <v>8.9322004926762298E-4</v>
      </c>
      <c r="L699" t="s">
        <v>164</v>
      </c>
      <c r="N699" t="s">
        <v>219</v>
      </c>
      <c r="O699" t="s">
        <v>260</v>
      </c>
      <c r="P699">
        <v>4.4340781096595195E-3</v>
      </c>
      <c r="Q699" t="s">
        <v>164</v>
      </c>
    </row>
    <row r="700" spans="9:17" x14ac:dyDescent="0.45">
      <c r="I700" t="s">
        <v>191</v>
      </c>
      <c r="J700" t="s">
        <v>261</v>
      </c>
      <c r="K700">
        <v>0</v>
      </c>
      <c r="L700" t="s">
        <v>164</v>
      </c>
      <c r="N700" t="s">
        <v>219</v>
      </c>
      <c r="O700" t="s">
        <v>261</v>
      </c>
      <c r="P700">
        <v>1.6701126098083868E-2</v>
      </c>
      <c r="Q700" t="s">
        <v>164</v>
      </c>
    </row>
    <row r="701" spans="9:17" x14ac:dyDescent="0.45">
      <c r="I701" t="s">
        <v>191</v>
      </c>
      <c r="J701" t="s">
        <v>173</v>
      </c>
      <c r="K701">
        <v>5.3548919136040082E-2</v>
      </c>
      <c r="L701" t="s">
        <v>164</v>
      </c>
      <c r="N701" t="s">
        <v>219</v>
      </c>
      <c r="O701" t="s">
        <v>173</v>
      </c>
      <c r="P701">
        <v>0.13481537576807018</v>
      </c>
      <c r="Q701" t="s">
        <v>164</v>
      </c>
    </row>
    <row r="702" spans="9:17" x14ac:dyDescent="0.45">
      <c r="I702" t="s">
        <v>191</v>
      </c>
      <c r="J702" t="s">
        <v>174</v>
      </c>
      <c r="K702">
        <v>3.1834244919322296E-2</v>
      </c>
      <c r="L702" t="s">
        <v>164</v>
      </c>
      <c r="N702" t="s">
        <v>219</v>
      </c>
      <c r="O702" t="s">
        <v>174</v>
      </c>
      <c r="P702">
        <v>2.5208502410927206E-2</v>
      </c>
      <c r="Q702" t="s">
        <v>164</v>
      </c>
    </row>
    <row r="703" spans="9:17" x14ac:dyDescent="0.45">
      <c r="I703" t="s">
        <v>191</v>
      </c>
      <c r="J703" t="s">
        <v>175</v>
      </c>
      <c r="K703">
        <v>3.6284224853820213E-2</v>
      </c>
      <c r="L703" t="s">
        <v>164</v>
      </c>
      <c r="N703" t="s">
        <v>219</v>
      </c>
      <c r="O703" t="s">
        <v>175</v>
      </c>
      <c r="P703">
        <v>2.39743448146474E-2</v>
      </c>
      <c r="Q703" t="s">
        <v>164</v>
      </c>
    </row>
    <row r="704" spans="9:17" x14ac:dyDescent="0.45">
      <c r="I704" t="s">
        <v>191</v>
      </c>
      <c r="J704" t="s">
        <v>262</v>
      </c>
      <c r="K704">
        <v>0.23635391425311564</v>
      </c>
      <c r="L704" t="s">
        <v>164</v>
      </c>
      <c r="N704" t="s">
        <v>219</v>
      </c>
      <c r="O704" t="s">
        <v>262</v>
      </c>
      <c r="P704">
        <v>9.5692205132251712E-2</v>
      </c>
      <c r="Q704" t="s">
        <v>164</v>
      </c>
    </row>
    <row r="705" spans="9:17" x14ac:dyDescent="0.45">
      <c r="I705" t="s">
        <v>191</v>
      </c>
      <c r="J705" t="s">
        <v>263</v>
      </c>
      <c r="K705">
        <v>0</v>
      </c>
      <c r="L705" t="s">
        <v>164</v>
      </c>
      <c r="N705" t="s">
        <v>219</v>
      </c>
      <c r="O705" t="s">
        <v>263</v>
      </c>
      <c r="P705">
        <v>1.0803597806003158E-2</v>
      </c>
      <c r="Q705" t="s">
        <v>164</v>
      </c>
    </row>
    <row r="706" spans="9:17" x14ac:dyDescent="0.45">
      <c r="I706" t="s">
        <v>191</v>
      </c>
      <c r="J706" t="s">
        <v>264</v>
      </c>
      <c r="K706">
        <v>0</v>
      </c>
      <c r="L706" t="s">
        <v>164</v>
      </c>
      <c r="N706" t="s">
        <v>219</v>
      </c>
      <c r="O706" t="s">
        <v>264</v>
      </c>
      <c r="P706">
        <v>4.8907127817651309E-2</v>
      </c>
      <c r="Q706" t="s">
        <v>164</v>
      </c>
    </row>
    <row r="707" spans="9:17" x14ac:dyDescent="0.45">
      <c r="I707" t="s">
        <v>191</v>
      </c>
      <c r="J707" t="s">
        <v>265</v>
      </c>
      <c r="K707">
        <v>1.4691747272311971E-2</v>
      </c>
      <c r="L707" t="s">
        <v>164</v>
      </c>
      <c r="N707" t="s">
        <v>219</v>
      </c>
      <c r="O707" t="s">
        <v>265</v>
      </c>
      <c r="P707">
        <v>1.3932226135790817E-2</v>
      </c>
      <c r="Q707" t="s">
        <v>164</v>
      </c>
    </row>
    <row r="708" spans="9:17" x14ac:dyDescent="0.45">
      <c r="I708" t="s">
        <v>191</v>
      </c>
      <c r="J708" t="s">
        <v>266</v>
      </c>
      <c r="K708">
        <v>7.7378810564432392E-3</v>
      </c>
      <c r="L708" t="s">
        <v>164</v>
      </c>
      <c r="N708" t="s">
        <v>219</v>
      </c>
      <c r="O708" t="s">
        <v>266</v>
      </c>
      <c r="P708">
        <v>2.3508447199568055E-3</v>
      </c>
      <c r="Q708" t="s">
        <v>164</v>
      </c>
    </row>
    <row r="709" spans="9:17" x14ac:dyDescent="0.45">
      <c r="I709" t="s">
        <v>191</v>
      </c>
      <c r="J709" t="s">
        <v>267</v>
      </c>
      <c r="K709">
        <v>8.6765781932813483E-3</v>
      </c>
      <c r="L709" t="s">
        <v>164</v>
      </c>
      <c r="N709" t="s">
        <v>219</v>
      </c>
      <c r="O709" t="s">
        <v>267</v>
      </c>
      <c r="P709">
        <v>2.5680731651307525E-3</v>
      </c>
      <c r="Q709" t="s">
        <v>164</v>
      </c>
    </row>
    <row r="710" spans="9:17" x14ac:dyDescent="0.45">
      <c r="I710" t="s">
        <v>191</v>
      </c>
      <c r="J710" t="s">
        <v>268</v>
      </c>
      <c r="K710">
        <v>5.6137276753866261E-2</v>
      </c>
      <c r="L710" t="s">
        <v>164</v>
      </c>
      <c r="N710" t="s">
        <v>219</v>
      </c>
      <c r="O710" t="s">
        <v>268</v>
      </c>
      <c r="P710">
        <v>1.0496607222635039E-2</v>
      </c>
      <c r="Q710" t="s">
        <v>164</v>
      </c>
    </row>
    <row r="711" spans="9:17" x14ac:dyDescent="0.45">
      <c r="I711" t="s">
        <v>191</v>
      </c>
      <c r="J711" t="s">
        <v>269</v>
      </c>
      <c r="K711">
        <v>0</v>
      </c>
      <c r="L711" t="s">
        <v>164</v>
      </c>
      <c r="N711" t="s">
        <v>219</v>
      </c>
      <c r="O711" t="s">
        <v>269</v>
      </c>
      <c r="P711">
        <v>1.4286198523349631E-3</v>
      </c>
      <c r="Q711" t="s">
        <v>164</v>
      </c>
    </row>
    <row r="712" spans="9:17" x14ac:dyDescent="0.45">
      <c r="I712" t="s">
        <v>191</v>
      </c>
      <c r="J712" t="s">
        <v>270</v>
      </c>
      <c r="K712">
        <v>0</v>
      </c>
      <c r="L712" t="s">
        <v>164</v>
      </c>
      <c r="N712" t="s">
        <v>219</v>
      </c>
      <c r="O712" t="s">
        <v>270</v>
      </c>
      <c r="P712">
        <v>6.8186412725905069E-3</v>
      </c>
      <c r="Q712" t="s">
        <v>164</v>
      </c>
    </row>
    <row r="713" spans="9:17" x14ac:dyDescent="0.45">
      <c r="I713" t="s">
        <v>191</v>
      </c>
      <c r="J713" t="s">
        <v>271</v>
      </c>
      <c r="K713">
        <v>1.6425232166480268E-2</v>
      </c>
      <c r="L713" t="s">
        <v>164</v>
      </c>
      <c r="N713" t="s">
        <v>219</v>
      </c>
      <c r="O713" t="s">
        <v>271</v>
      </c>
      <c r="P713">
        <v>2.3995356780334501E-2</v>
      </c>
      <c r="Q713" t="s">
        <v>164</v>
      </c>
    </row>
    <row r="714" spans="9:17" x14ac:dyDescent="0.45">
      <c r="I714" t="s">
        <v>191</v>
      </c>
      <c r="J714" t="s">
        <v>272</v>
      </c>
      <c r="K714">
        <v>8.4596156828659411E-3</v>
      </c>
      <c r="L714" t="s">
        <v>164</v>
      </c>
      <c r="N714" t="s">
        <v>219</v>
      </c>
      <c r="O714" t="s">
        <v>272</v>
      </c>
      <c r="P714">
        <v>6.7915553306604898E-3</v>
      </c>
      <c r="Q714" t="s">
        <v>164</v>
      </c>
    </row>
    <row r="715" spans="9:17" x14ac:dyDescent="0.45">
      <c r="I715" t="s">
        <v>191</v>
      </c>
      <c r="J715" t="s">
        <v>273</v>
      </c>
      <c r="K715">
        <v>9.398136640549247E-3</v>
      </c>
      <c r="L715" t="s">
        <v>164</v>
      </c>
      <c r="N715" t="s">
        <v>219</v>
      </c>
      <c r="O715" t="s">
        <v>273</v>
      </c>
      <c r="P715">
        <v>7.0601291049816476E-3</v>
      </c>
      <c r="Q715" t="s">
        <v>164</v>
      </c>
    </row>
    <row r="716" spans="9:17" x14ac:dyDescent="0.45">
      <c r="I716" t="s">
        <v>191</v>
      </c>
      <c r="J716" t="s">
        <v>274</v>
      </c>
      <c r="K716">
        <v>6.2512386377271939E-2</v>
      </c>
      <c r="L716" t="s">
        <v>164</v>
      </c>
      <c r="N716" t="s">
        <v>219</v>
      </c>
      <c r="O716" t="s">
        <v>274</v>
      </c>
      <c r="P716">
        <v>3.1591701017127133E-2</v>
      </c>
      <c r="Q716" t="s">
        <v>164</v>
      </c>
    </row>
    <row r="717" spans="9:17" x14ac:dyDescent="0.45">
      <c r="I717" t="s">
        <v>191</v>
      </c>
      <c r="J717" t="s">
        <v>275</v>
      </c>
      <c r="K717">
        <v>0</v>
      </c>
      <c r="L717" t="s">
        <v>164</v>
      </c>
      <c r="N717" t="s">
        <v>219</v>
      </c>
      <c r="O717" t="s">
        <v>275</v>
      </c>
      <c r="P717">
        <v>2.9664607886344045E-3</v>
      </c>
      <c r="Q717" t="s">
        <v>164</v>
      </c>
    </row>
    <row r="718" spans="9:17" x14ac:dyDescent="0.45">
      <c r="I718" t="s">
        <v>191</v>
      </c>
      <c r="J718" t="s">
        <v>276</v>
      </c>
      <c r="K718">
        <v>0</v>
      </c>
      <c r="L718" t="s">
        <v>164</v>
      </c>
      <c r="N718" t="s">
        <v>219</v>
      </c>
      <c r="O718" t="s">
        <v>276</v>
      </c>
      <c r="P718">
        <v>1.196823643935953E-2</v>
      </c>
      <c r="Q718" t="s">
        <v>164</v>
      </c>
    </row>
    <row r="719" spans="9:17" x14ac:dyDescent="0.45">
      <c r="I719" t="s">
        <v>191</v>
      </c>
      <c r="J719" t="s">
        <v>277</v>
      </c>
      <c r="K719">
        <v>3.3459008314521838E-2</v>
      </c>
      <c r="L719" t="s">
        <v>164</v>
      </c>
      <c r="N719" t="s">
        <v>219</v>
      </c>
      <c r="O719" t="s">
        <v>277</v>
      </c>
      <c r="P719">
        <v>5.9998536849122791E-2</v>
      </c>
      <c r="Q719" t="s">
        <v>164</v>
      </c>
    </row>
    <row r="720" spans="9:17" x14ac:dyDescent="0.45">
      <c r="I720" t="s">
        <v>191</v>
      </c>
      <c r="J720" t="s">
        <v>278</v>
      </c>
      <c r="K720">
        <v>1.7325889312478415E-2</v>
      </c>
      <c r="L720" t="s">
        <v>164</v>
      </c>
      <c r="N720" t="s">
        <v>219</v>
      </c>
      <c r="O720" t="s">
        <v>278</v>
      </c>
      <c r="P720">
        <v>1.6589264993564126E-2</v>
      </c>
      <c r="Q720" t="s">
        <v>164</v>
      </c>
    </row>
    <row r="721" spans="9:17" x14ac:dyDescent="0.45">
      <c r="I721" t="s">
        <v>191</v>
      </c>
      <c r="J721" t="s">
        <v>279</v>
      </c>
      <c r="K721">
        <v>1.8602365702352561E-2</v>
      </c>
      <c r="L721" t="s">
        <v>164</v>
      </c>
      <c r="N721" t="s">
        <v>219</v>
      </c>
      <c r="O721" t="s">
        <v>279</v>
      </c>
      <c r="P721">
        <v>1.8167803019821325E-2</v>
      </c>
      <c r="Q721" t="s">
        <v>164</v>
      </c>
    </row>
    <row r="722" spans="9:17" x14ac:dyDescent="0.45">
      <c r="I722" t="s">
        <v>191</v>
      </c>
      <c r="J722" t="s">
        <v>280</v>
      </c>
      <c r="K722">
        <v>0.11404749952609207</v>
      </c>
      <c r="L722" t="s">
        <v>164</v>
      </c>
      <c r="N722" t="s">
        <v>219</v>
      </c>
      <c r="O722" t="s">
        <v>280</v>
      </c>
      <c r="P722">
        <v>8.1786073972587137E-2</v>
      </c>
      <c r="Q722" t="s">
        <v>164</v>
      </c>
    </row>
    <row r="723" spans="9:17" x14ac:dyDescent="0.45">
      <c r="I723" t="s">
        <v>191</v>
      </c>
      <c r="J723" t="s">
        <v>281</v>
      </c>
      <c r="K723">
        <v>1.5735484613764686E-5</v>
      </c>
      <c r="L723" t="s">
        <v>164</v>
      </c>
      <c r="N723" t="s">
        <v>219</v>
      </c>
      <c r="O723" t="s">
        <v>281</v>
      </c>
      <c r="P723">
        <v>6.6498166620024947E-3</v>
      </c>
      <c r="Q723" t="s">
        <v>164</v>
      </c>
    </row>
    <row r="724" spans="9:17" x14ac:dyDescent="0.45">
      <c r="I724" t="s">
        <v>191</v>
      </c>
      <c r="J724" t="s">
        <v>282</v>
      </c>
      <c r="K724">
        <v>0</v>
      </c>
      <c r="L724" t="s">
        <v>164</v>
      </c>
      <c r="N724" t="s">
        <v>219</v>
      </c>
      <c r="O724" t="s">
        <v>282</v>
      </c>
      <c r="P724">
        <v>2.8620672236188416E-2</v>
      </c>
      <c r="Q724" t="s">
        <v>164</v>
      </c>
    </row>
    <row r="725" spans="9:17" x14ac:dyDescent="0.45">
      <c r="I725" t="s">
        <v>192</v>
      </c>
      <c r="J725" t="s">
        <v>163</v>
      </c>
      <c r="K725">
        <v>1.3331210300327492E-2</v>
      </c>
      <c r="L725" t="s">
        <v>164</v>
      </c>
      <c r="N725" t="s">
        <v>220</v>
      </c>
      <c r="O725" t="s">
        <v>163</v>
      </c>
      <c r="P725">
        <v>1.7373326569420533E-2</v>
      </c>
      <c r="Q725" t="s">
        <v>164</v>
      </c>
    </row>
    <row r="726" spans="9:17" x14ac:dyDescent="0.45">
      <c r="I726" t="s">
        <v>192</v>
      </c>
      <c r="J726" t="s">
        <v>165</v>
      </c>
      <c r="K726">
        <v>8.8581734879943311E-3</v>
      </c>
      <c r="L726" t="s">
        <v>164</v>
      </c>
      <c r="N726" t="s">
        <v>220</v>
      </c>
      <c r="O726" t="s">
        <v>165</v>
      </c>
      <c r="P726">
        <v>8.8054805820670014E-3</v>
      </c>
      <c r="Q726" t="s">
        <v>164</v>
      </c>
    </row>
    <row r="727" spans="9:17" x14ac:dyDescent="0.45">
      <c r="I727" t="s">
        <v>192</v>
      </c>
      <c r="J727" t="s">
        <v>166</v>
      </c>
      <c r="K727">
        <v>9.7589438521995028E-3</v>
      </c>
      <c r="L727" t="s">
        <v>164</v>
      </c>
      <c r="N727" t="s">
        <v>220</v>
      </c>
      <c r="O727" t="s">
        <v>166</v>
      </c>
      <c r="P727">
        <v>1.2558256649699133E-2</v>
      </c>
      <c r="Q727" t="s">
        <v>164</v>
      </c>
    </row>
    <row r="728" spans="9:17" x14ac:dyDescent="0.45">
      <c r="I728" t="s">
        <v>192</v>
      </c>
      <c r="J728" t="s">
        <v>253</v>
      </c>
      <c r="K728">
        <v>6.393751163177816E-2</v>
      </c>
      <c r="L728" t="s">
        <v>164</v>
      </c>
      <c r="N728" t="s">
        <v>220</v>
      </c>
      <c r="O728" t="s">
        <v>253</v>
      </c>
      <c r="P728">
        <v>6.1465164049193305E-2</v>
      </c>
      <c r="Q728" t="s">
        <v>164</v>
      </c>
    </row>
    <row r="729" spans="9:17" x14ac:dyDescent="0.45">
      <c r="I729" t="s">
        <v>192</v>
      </c>
      <c r="J729" t="s">
        <v>254</v>
      </c>
      <c r="K729">
        <v>4.5114656993038181E-3</v>
      </c>
      <c r="L729" t="s">
        <v>164</v>
      </c>
      <c r="N729" t="s">
        <v>220</v>
      </c>
      <c r="O729" t="s">
        <v>254</v>
      </c>
      <c r="P729">
        <v>5.6165264352786909E-3</v>
      </c>
      <c r="Q729" t="s">
        <v>164</v>
      </c>
    </row>
    <row r="730" spans="9:17" x14ac:dyDescent="0.45">
      <c r="I730" t="s">
        <v>192</v>
      </c>
      <c r="J730" t="s">
        <v>255</v>
      </c>
      <c r="K730">
        <v>0</v>
      </c>
      <c r="L730" t="s">
        <v>164</v>
      </c>
      <c r="N730" t="s">
        <v>220</v>
      </c>
      <c r="O730" t="s">
        <v>255</v>
      </c>
      <c r="P730">
        <v>1.7948097208736403E-2</v>
      </c>
      <c r="Q730" t="s">
        <v>164</v>
      </c>
    </row>
    <row r="731" spans="9:17" x14ac:dyDescent="0.45">
      <c r="I731" t="s">
        <v>192</v>
      </c>
      <c r="J731" t="s">
        <v>167</v>
      </c>
      <c r="K731">
        <v>1.198429643334116E-2</v>
      </c>
      <c r="L731" t="s">
        <v>164</v>
      </c>
      <c r="N731" t="s">
        <v>220</v>
      </c>
      <c r="O731" t="s">
        <v>167</v>
      </c>
      <c r="P731">
        <v>2.4831732024962305E-2</v>
      </c>
      <c r="Q731" t="s">
        <v>164</v>
      </c>
    </row>
    <row r="732" spans="9:17" x14ac:dyDescent="0.45">
      <c r="I732" t="s">
        <v>192</v>
      </c>
      <c r="J732" t="s">
        <v>168</v>
      </c>
      <c r="K732">
        <v>8.3467483425910764E-3</v>
      </c>
      <c r="L732" t="s">
        <v>164</v>
      </c>
      <c r="N732" t="s">
        <v>220</v>
      </c>
      <c r="O732" t="s">
        <v>168</v>
      </c>
      <c r="P732">
        <v>1.0353021911329283E-2</v>
      </c>
      <c r="Q732" t="s">
        <v>164</v>
      </c>
    </row>
    <row r="733" spans="9:17" x14ac:dyDescent="0.45">
      <c r="I733" t="s">
        <v>192</v>
      </c>
      <c r="J733" t="s">
        <v>169</v>
      </c>
      <c r="K733">
        <v>9.2240007508469085E-3</v>
      </c>
      <c r="L733" t="s">
        <v>164</v>
      </c>
      <c r="N733" t="s">
        <v>220</v>
      </c>
      <c r="O733" t="s">
        <v>169</v>
      </c>
      <c r="P733">
        <v>1.3350614633891445E-2</v>
      </c>
      <c r="Q733" t="s">
        <v>164</v>
      </c>
    </row>
    <row r="734" spans="9:17" x14ac:dyDescent="0.45">
      <c r="I734" t="s">
        <v>192</v>
      </c>
      <c r="J734" t="s">
        <v>256</v>
      </c>
      <c r="K734">
        <v>6.0715099220760523E-2</v>
      </c>
      <c r="L734" t="s">
        <v>164</v>
      </c>
      <c r="N734" t="s">
        <v>220</v>
      </c>
      <c r="O734" t="s">
        <v>256</v>
      </c>
      <c r="P734">
        <v>7.3237740109523525E-2</v>
      </c>
      <c r="Q734" t="s">
        <v>164</v>
      </c>
    </row>
    <row r="735" spans="9:17" x14ac:dyDescent="0.45">
      <c r="I735" t="s">
        <v>192</v>
      </c>
      <c r="J735" t="s">
        <v>257</v>
      </c>
      <c r="K735">
        <v>4.325091978672463E-3</v>
      </c>
      <c r="L735" t="s">
        <v>164</v>
      </c>
      <c r="N735" t="s">
        <v>220</v>
      </c>
      <c r="O735" t="s">
        <v>257</v>
      </c>
      <c r="P735">
        <v>8.5910658248594448E-3</v>
      </c>
      <c r="Q735" t="s">
        <v>164</v>
      </c>
    </row>
    <row r="736" spans="9:17" x14ac:dyDescent="0.45">
      <c r="I736" t="s">
        <v>192</v>
      </c>
      <c r="J736" t="s">
        <v>258</v>
      </c>
      <c r="K736">
        <v>0</v>
      </c>
      <c r="L736" t="s">
        <v>164</v>
      </c>
      <c r="N736" t="s">
        <v>220</v>
      </c>
      <c r="O736" t="s">
        <v>258</v>
      </c>
      <c r="P736">
        <v>2.9084097322660474E-2</v>
      </c>
      <c r="Q736" t="s">
        <v>164</v>
      </c>
    </row>
    <row r="737" spans="9:17" x14ac:dyDescent="0.45">
      <c r="I737" t="s">
        <v>192</v>
      </c>
      <c r="J737" t="s">
        <v>170</v>
      </c>
      <c r="K737">
        <v>1.0875732040866344E-2</v>
      </c>
      <c r="L737" t="s">
        <v>164</v>
      </c>
      <c r="N737" t="s">
        <v>220</v>
      </c>
      <c r="O737" t="s">
        <v>170</v>
      </c>
      <c r="P737">
        <v>2.0534459911788833E-2</v>
      </c>
      <c r="Q737" t="s">
        <v>164</v>
      </c>
    </row>
    <row r="738" spans="9:17" x14ac:dyDescent="0.45">
      <c r="I738" t="s">
        <v>192</v>
      </c>
      <c r="J738" t="s">
        <v>171</v>
      </c>
      <c r="K738">
        <v>8.2656790074876283E-3</v>
      </c>
      <c r="L738" t="s">
        <v>164</v>
      </c>
      <c r="N738" t="s">
        <v>220</v>
      </c>
      <c r="O738" t="s">
        <v>171</v>
      </c>
      <c r="P738">
        <v>6.9873642497567875E-3</v>
      </c>
      <c r="Q738" t="s">
        <v>164</v>
      </c>
    </row>
    <row r="739" spans="9:17" x14ac:dyDescent="0.45">
      <c r="I739" t="s">
        <v>192</v>
      </c>
      <c r="J739" t="s">
        <v>172</v>
      </c>
      <c r="K739">
        <v>9.0463879812874744E-3</v>
      </c>
      <c r="L739" t="s">
        <v>164</v>
      </c>
      <c r="N739" t="s">
        <v>220</v>
      </c>
      <c r="O739" t="s">
        <v>172</v>
      </c>
      <c r="P739">
        <v>9.9846179065741295E-3</v>
      </c>
      <c r="Q739" t="s">
        <v>164</v>
      </c>
    </row>
    <row r="740" spans="9:17" x14ac:dyDescent="0.45">
      <c r="I740" t="s">
        <v>192</v>
      </c>
      <c r="J740" t="s">
        <v>259</v>
      </c>
      <c r="K740">
        <v>5.8132139046051842E-2</v>
      </c>
      <c r="L740" t="s">
        <v>164</v>
      </c>
      <c r="N740" t="s">
        <v>220</v>
      </c>
      <c r="O740" t="s">
        <v>259</v>
      </c>
      <c r="P740">
        <v>6.2816869446197063E-2</v>
      </c>
      <c r="Q740" t="s">
        <v>164</v>
      </c>
    </row>
    <row r="741" spans="9:17" x14ac:dyDescent="0.45">
      <c r="I741" t="s">
        <v>192</v>
      </c>
      <c r="J741" t="s">
        <v>260</v>
      </c>
      <c r="K741">
        <v>2.6147801407056552E-3</v>
      </c>
      <c r="L741" t="s">
        <v>164</v>
      </c>
      <c r="N741" t="s">
        <v>220</v>
      </c>
      <c r="O741" t="s">
        <v>260</v>
      </c>
      <c r="P741">
        <v>6.4444779504078762E-3</v>
      </c>
      <c r="Q741" t="s">
        <v>164</v>
      </c>
    </row>
    <row r="742" spans="9:17" x14ac:dyDescent="0.45">
      <c r="I742" t="s">
        <v>192</v>
      </c>
      <c r="J742" t="s">
        <v>261</v>
      </c>
      <c r="K742">
        <v>0</v>
      </c>
      <c r="L742" t="s">
        <v>164</v>
      </c>
      <c r="N742" t="s">
        <v>220</v>
      </c>
      <c r="O742" t="s">
        <v>261</v>
      </c>
      <c r="P742">
        <v>2.2540792675423593E-2</v>
      </c>
      <c r="Q742" t="s">
        <v>164</v>
      </c>
    </row>
    <row r="743" spans="9:17" x14ac:dyDescent="0.45">
      <c r="I743" t="s">
        <v>192</v>
      </c>
      <c r="J743" t="s">
        <v>173</v>
      </c>
      <c r="K743">
        <v>5.6748986057699763E-2</v>
      </c>
      <c r="L743" t="s">
        <v>164</v>
      </c>
      <c r="N743" t="s">
        <v>220</v>
      </c>
      <c r="O743" t="s">
        <v>173</v>
      </c>
      <c r="P743">
        <v>4.4296467555184557E-2</v>
      </c>
      <c r="Q743" t="s">
        <v>164</v>
      </c>
    </row>
    <row r="744" spans="9:17" x14ac:dyDescent="0.45">
      <c r="I744" t="s">
        <v>192</v>
      </c>
      <c r="J744" t="s">
        <v>174</v>
      </c>
      <c r="K744">
        <v>3.6264596001087702E-2</v>
      </c>
      <c r="L744" t="s">
        <v>164</v>
      </c>
      <c r="N744" t="s">
        <v>220</v>
      </c>
      <c r="O744" t="s">
        <v>174</v>
      </c>
      <c r="P744">
        <v>6.2336563367135439E-3</v>
      </c>
      <c r="Q744" t="s">
        <v>164</v>
      </c>
    </row>
    <row r="745" spans="9:17" x14ac:dyDescent="0.45">
      <c r="I745" t="s">
        <v>192</v>
      </c>
      <c r="J745" t="s">
        <v>175</v>
      </c>
      <c r="K745">
        <v>3.9427291657001234E-2</v>
      </c>
      <c r="L745" t="s">
        <v>164</v>
      </c>
      <c r="N745" t="s">
        <v>220</v>
      </c>
      <c r="O745" t="s">
        <v>175</v>
      </c>
      <c r="P745">
        <v>6.586503001736666E-3</v>
      </c>
      <c r="Q745" t="s">
        <v>164</v>
      </c>
    </row>
    <row r="746" spans="9:17" x14ac:dyDescent="0.45">
      <c r="I746" t="s">
        <v>192</v>
      </c>
      <c r="J746" t="s">
        <v>262</v>
      </c>
      <c r="K746">
        <v>0.2164027692915873</v>
      </c>
      <c r="L746" t="s">
        <v>164</v>
      </c>
      <c r="N746" t="s">
        <v>220</v>
      </c>
      <c r="O746" t="s">
        <v>262</v>
      </c>
      <c r="P746">
        <v>5.5670371701623984E-2</v>
      </c>
      <c r="Q746" t="s">
        <v>164</v>
      </c>
    </row>
    <row r="747" spans="9:17" x14ac:dyDescent="0.45">
      <c r="I747" t="s">
        <v>192</v>
      </c>
      <c r="J747" t="s">
        <v>263</v>
      </c>
      <c r="K747">
        <v>0</v>
      </c>
      <c r="L747" t="s">
        <v>164</v>
      </c>
      <c r="N747" t="s">
        <v>220</v>
      </c>
      <c r="O747" t="s">
        <v>263</v>
      </c>
      <c r="P747">
        <v>7.4137187645560666E-3</v>
      </c>
      <c r="Q747" t="s">
        <v>164</v>
      </c>
    </row>
    <row r="748" spans="9:17" x14ac:dyDescent="0.45">
      <c r="I748" t="s">
        <v>192</v>
      </c>
      <c r="J748" t="s">
        <v>264</v>
      </c>
      <c r="K748">
        <v>0</v>
      </c>
      <c r="L748" t="s">
        <v>164</v>
      </c>
      <c r="N748" t="s">
        <v>220</v>
      </c>
      <c r="O748" t="s">
        <v>264</v>
      </c>
      <c r="P748">
        <v>2.8472853708790966E-2</v>
      </c>
      <c r="Q748" t="s">
        <v>164</v>
      </c>
    </row>
    <row r="749" spans="9:17" x14ac:dyDescent="0.45">
      <c r="I749" t="s">
        <v>192</v>
      </c>
      <c r="J749" t="s">
        <v>265</v>
      </c>
      <c r="K749">
        <v>1.509158589961492E-2</v>
      </c>
      <c r="L749" t="s">
        <v>164</v>
      </c>
      <c r="N749" t="s">
        <v>220</v>
      </c>
      <c r="O749" t="s">
        <v>265</v>
      </c>
      <c r="P749">
        <v>9.4491275638501852E-3</v>
      </c>
      <c r="Q749" t="s">
        <v>164</v>
      </c>
    </row>
    <row r="750" spans="9:17" x14ac:dyDescent="0.45">
      <c r="I750" t="s">
        <v>192</v>
      </c>
      <c r="J750" t="s">
        <v>266</v>
      </c>
      <c r="K750">
        <v>8.2882887955250985E-3</v>
      </c>
      <c r="L750" t="s">
        <v>164</v>
      </c>
      <c r="N750" t="s">
        <v>220</v>
      </c>
      <c r="O750" t="s">
        <v>266</v>
      </c>
      <c r="P750">
        <v>1.7267509954978224E-3</v>
      </c>
      <c r="Q750" t="s">
        <v>164</v>
      </c>
    </row>
    <row r="751" spans="9:17" x14ac:dyDescent="0.45">
      <c r="I751" t="s">
        <v>192</v>
      </c>
      <c r="J751" t="s">
        <v>267</v>
      </c>
      <c r="K751">
        <v>8.9951183740476191E-3</v>
      </c>
      <c r="L751" t="s">
        <v>164</v>
      </c>
      <c r="N751" t="s">
        <v>220</v>
      </c>
      <c r="O751" t="s">
        <v>267</v>
      </c>
      <c r="P751">
        <v>1.9178093211282582E-3</v>
      </c>
      <c r="Q751" t="s">
        <v>164</v>
      </c>
    </row>
    <row r="752" spans="9:17" x14ac:dyDescent="0.45">
      <c r="I752" t="s">
        <v>192</v>
      </c>
      <c r="J752" t="s">
        <v>268</v>
      </c>
      <c r="K752">
        <v>5.0703032902104379E-2</v>
      </c>
      <c r="L752" t="s">
        <v>164</v>
      </c>
      <c r="N752" t="s">
        <v>220</v>
      </c>
      <c r="O752" t="s">
        <v>268</v>
      </c>
      <c r="P752">
        <v>1.3013128681366478E-2</v>
      </c>
      <c r="Q752" t="s">
        <v>164</v>
      </c>
    </row>
    <row r="753" spans="9:17" x14ac:dyDescent="0.45">
      <c r="I753" t="s">
        <v>192</v>
      </c>
      <c r="J753" t="s">
        <v>269</v>
      </c>
      <c r="K753">
        <v>0</v>
      </c>
      <c r="L753" t="s">
        <v>164</v>
      </c>
      <c r="N753" t="s">
        <v>220</v>
      </c>
      <c r="O753" t="s">
        <v>269</v>
      </c>
      <c r="P753">
        <v>1.6470072943042321E-3</v>
      </c>
      <c r="Q753" t="s">
        <v>164</v>
      </c>
    </row>
    <row r="754" spans="9:17" x14ac:dyDescent="0.45">
      <c r="I754" t="s">
        <v>192</v>
      </c>
      <c r="J754" t="s">
        <v>270</v>
      </c>
      <c r="K754">
        <v>0</v>
      </c>
      <c r="L754" t="s">
        <v>164</v>
      </c>
      <c r="N754" t="s">
        <v>220</v>
      </c>
      <c r="O754" t="s">
        <v>270</v>
      </c>
      <c r="P754">
        <v>4.8620090272806938E-3</v>
      </c>
      <c r="Q754" t="s">
        <v>164</v>
      </c>
    </row>
    <row r="755" spans="9:17" x14ac:dyDescent="0.45">
      <c r="I755" t="s">
        <v>192</v>
      </c>
      <c r="J755" t="s">
        <v>271</v>
      </c>
      <c r="K755">
        <v>1.8407407084374557E-2</v>
      </c>
      <c r="L755" t="s">
        <v>164</v>
      </c>
      <c r="N755" t="s">
        <v>220</v>
      </c>
      <c r="O755" t="s">
        <v>271</v>
      </c>
      <c r="P755">
        <v>2.6811429285150557E-2</v>
      </c>
      <c r="Q755" t="s">
        <v>164</v>
      </c>
    </row>
    <row r="756" spans="9:17" x14ac:dyDescent="0.45">
      <c r="I756" t="s">
        <v>192</v>
      </c>
      <c r="J756" t="s">
        <v>272</v>
      </c>
      <c r="K756">
        <v>9.4141766635212742E-3</v>
      </c>
      <c r="L756" t="s">
        <v>164</v>
      </c>
      <c r="N756" t="s">
        <v>220</v>
      </c>
      <c r="O756" t="s">
        <v>272</v>
      </c>
      <c r="P756">
        <v>7.2289731447974905E-3</v>
      </c>
      <c r="Q756" t="s">
        <v>164</v>
      </c>
    </row>
    <row r="757" spans="9:17" x14ac:dyDescent="0.45">
      <c r="I757" t="s">
        <v>192</v>
      </c>
      <c r="J757" t="s">
        <v>273</v>
      </c>
      <c r="K757">
        <v>1.0052964292584007E-2</v>
      </c>
      <c r="L757" t="s">
        <v>164</v>
      </c>
      <c r="N757" t="s">
        <v>220</v>
      </c>
      <c r="O757" t="s">
        <v>273</v>
      </c>
      <c r="P757">
        <v>7.5278856329926156E-3</v>
      </c>
      <c r="Q757" t="s">
        <v>164</v>
      </c>
    </row>
    <row r="758" spans="9:17" x14ac:dyDescent="0.45">
      <c r="I758" t="s">
        <v>192</v>
      </c>
      <c r="J758" t="s">
        <v>274</v>
      </c>
      <c r="K758">
        <v>6.2151054843465635E-2</v>
      </c>
      <c r="L758" t="s">
        <v>164</v>
      </c>
      <c r="N758" t="s">
        <v>220</v>
      </c>
      <c r="O758" t="s">
        <v>274</v>
      </c>
      <c r="P758">
        <v>3.8626367029805167E-2</v>
      </c>
      <c r="Q758" t="s">
        <v>164</v>
      </c>
    </row>
    <row r="759" spans="9:17" x14ac:dyDescent="0.45">
      <c r="I759" t="s">
        <v>192</v>
      </c>
      <c r="J759" t="s">
        <v>275</v>
      </c>
      <c r="K759">
        <v>0</v>
      </c>
      <c r="L759" t="s">
        <v>164</v>
      </c>
      <c r="N759" t="s">
        <v>220</v>
      </c>
      <c r="O759" t="s">
        <v>275</v>
      </c>
      <c r="P759">
        <v>3.7527707436124927E-3</v>
      </c>
      <c r="Q759" t="s">
        <v>164</v>
      </c>
    </row>
    <row r="760" spans="9:17" x14ac:dyDescent="0.45">
      <c r="I760" t="s">
        <v>192</v>
      </c>
      <c r="J760" t="s">
        <v>276</v>
      </c>
      <c r="K760">
        <v>0</v>
      </c>
      <c r="L760" t="s">
        <v>164</v>
      </c>
      <c r="N760" t="s">
        <v>220</v>
      </c>
      <c r="O760" t="s">
        <v>276</v>
      </c>
      <c r="P760">
        <v>1.4182448303866391E-2</v>
      </c>
      <c r="Q760" t="s">
        <v>164</v>
      </c>
    </row>
    <row r="761" spans="9:17" x14ac:dyDescent="0.45">
      <c r="I761" t="s">
        <v>192</v>
      </c>
      <c r="J761" t="s">
        <v>277</v>
      </c>
      <c r="K761">
        <v>3.4075825166982099E-2</v>
      </c>
      <c r="L761" t="s">
        <v>164</v>
      </c>
      <c r="N761" t="s">
        <v>220</v>
      </c>
      <c r="O761" t="s">
        <v>277</v>
      </c>
      <c r="P761">
        <v>5.8647366358629348E-2</v>
      </c>
      <c r="Q761" t="s">
        <v>164</v>
      </c>
    </row>
    <row r="762" spans="9:17" x14ac:dyDescent="0.45">
      <c r="I762" t="s">
        <v>192</v>
      </c>
      <c r="J762" t="s">
        <v>278</v>
      </c>
      <c r="K762">
        <v>1.7861157153523516E-2</v>
      </c>
      <c r="L762" t="s">
        <v>164</v>
      </c>
      <c r="N762" t="s">
        <v>220</v>
      </c>
      <c r="O762" t="s">
        <v>278</v>
      </c>
      <c r="P762">
        <v>2.2487965074789933E-2</v>
      </c>
      <c r="Q762" t="s">
        <v>164</v>
      </c>
    </row>
    <row r="763" spans="9:17" x14ac:dyDescent="0.45">
      <c r="I763" t="s">
        <v>192</v>
      </c>
      <c r="J763" t="s">
        <v>279</v>
      </c>
      <c r="K763">
        <v>1.8994233433999204E-2</v>
      </c>
      <c r="L763" t="s">
        <v>164</v>
      </c>
      <c r="N763" t="s">
        <v>220</v>
      </c>
      <c r="O763" t="s">
        <v>279</v>
      </c>
      <c r="P763">
        <v>2.6160363642560771E-2</v>
      </c>
      <c r="Q763" t="s">
        <v>164</v>
      </c>
    </row>
    <row r="764" spans="9:17" x14ac:dyDescent="0.45">
      <c r="I764" t="s">
        <v>192</v>
      </c>
      <c r="J764" t="s">
        <v>280</v>
      </c>
      <c r="K764">
        <v>0.11268423822514768</v>
      </c>
      <c r="L764" t="s">
        <v>164</v>
      </c>
      <c r="N764" t="s">
        <v>220</v>
      </c>
      <c r="O764" t="s">
        <v>280</v>
      </c>
      <c r="P764">
        <v>0.14082297236224509</v>
      </c>
      <c r="Q764" t="s">
        <v>164</v>
      </c>
    </row>
    <row r="765" spans="9:17" x14ac:dyDescent="0.45">
      <c r="I765" t="s">
        <v>192</v>
      </c>
      <c r="J765" t="s">
        <v>281</v>
      </c>
      <c r="K765">
        <v>5.1001424352086432E-4</v>
      </c>
      <c r="L765" t="s">
        <v>164</v>
      </c>
      <c r="N765" t="s">
        <v>220</v>
      </c>
      <c r="O765" t="s">
        <v>281</v>
      </c>
      <c r="P765">
        <v>1.3087215064472682E-2</v>
      </c>
      <c r="Q765" t="s">
        <v>164</v>
      </c>
    </row>
    <row r="766" spans="9:17" x14ac:dyDescent="0.45">
      <c r="I766" t="s">
        <v>192</v>
      </c>
      <c r="J766" t="s">
        <v>282</v>
      </c>
      <c r="K766">
        <v>0</v>
      </c>
      <c r="L766" t="s">
        <v>164</v>
      </c>
      <c r="N766" t="s">
        <v>220</v>
      </c>
      <c r="O766" t="s">
        <v>282</v>
      </c>
      <c r="P766">
        <v>4.6851133943276585E-2</v>
      </c>
      <c r="Q766" t="s">
        <v>164</v>
      </c>
    </row>
    <row r="767" spans="9:17" x14ac:dyDescent="0.45">
      <c r="I767" t="s">
        <v>193</v>
      </c>
      <c r="J767" t="s">
        <v>163</v>
      </c>
      <c r="K767">
        <v>1.3883561661968727E-2</v>
      </c>
      <c r="L767" t="s">
        <v>164</v>
      </c>
      <c r="N767" t="s">
        <v>221</v>
      </c>
      <c r="O767" t="s">
        <v>163</v>
      </c>
      <c r="P767">
        <v>1.2862994393735614E-2</v>
      </c>
      <c r="Q767" t="s">
        <v>164</v>
      </c>
    </row>
    <row r="768" spans="9:17" x14ac:dyDescent="0.45">
      <c r="I768" t="s">
        <v>193</v>
      </c>
      <c r="J768" t="s">
        <v>165</v>
      </c>
      <c r="K768">
        <v>8.6959836863027551E-3</v>
      </c>
      <c r="L768" t="s">
        <v>164</v>
      </c>
      <c r="N768" t="s">
        <v>221</v>
      </c>
      <c r="O768" t="s">
        <v>165</v>
      </c>
      <c r="P768">
        <v>2.576316125415683E-3</v>
      </c>
      <c r="Q768" t="s">
        <v>164</v>
      </c>
    </row>
    <row r="769" spans="9:17" x14ac:dyDescent="0.45">
      <c r="I769" t="s">
        <v>193</v>
      </c>
      <c r="J769" t="s">
        <v>166</v>
      </c>
      <c r="K769">
        <v>9.7012522586907152E-3</v>
      </c>
      <c r="L769" t="s">
        <v>164</v>
      </c>
      <c r="N769" t="s">
        <v>221</v>
      </c>
      <c r="O769" t="s">
        <v>166</v>
      </c>
      <c r="P769">
        <v>5.6129203627048136E-3</v>
      </c>
      <c r="Q769" t="s">
        <v>164</v>
      </c>
    </row>
    <row r="770" spans="9:17" x14ac:dyDescent="0.45">
      <c r="I770" t="s">
        <v>193</v>
      </c>
      <c r="J770" t="s">
        <v>253</v>
      </c>
      <c r="K770">
        <v>6.5741348272434302E-2</v>
      </c>
      <c r="L770" t="s">
        <v>164</v>
      </c>
      <c r="N770" t="s">
        <v>221</v>
      </c>
      <c r="O770" t="s">
        <v>253</v>
      </c>
      <c r="P770">
        <v>3.8456200869122485E-2</v>
      </c>
      <c r="Q770" t="s">
        <v>164</v>
      </c>
    </row>
    <row r="771" spans="9:17" x14ac:dyDescent="0.45">
      <c r="I771" t="s">
        <v>193</v>
      </c>
      <c r="J771" t="s">
        <v>254</v>
      </c>
      <c r="K771">
        <v>4.280100828748145E-3</v>
      </c>
      <c r="L771" t="s">
        <v>164</v>
      </c>
      <c r="N771" t="s">
        <v>221</v>
      </c>
      <c r="O771" t="s">
        <v>254</v>
      </c>
      <c r="P771">
        <v>4.2780236620630603E-3</v>
      </c>
      <c r="Q771" t="s">
        <v>164</v>
      </c>
    </row>
    <row r="772" spans="9:17" x14ac:dyDescent="0.45">
      <c r="I772" t="s">
        <v>193</v>
      </c>
      <c r="J772" t="s">
        <v>255</v>
      </c>
      <c r="K772">
        <v>0</v>
      </c>
      <c r="L772" t="s">
        <v>164</v>
      </c>
      <c r="N772" t="s">
        <v>221</v>
      </c>
      <c r="O772" t="s">
        <v>255</v>
      </c>
      <c r="P772">
        <v>2.2969925839681205E-2</v>
      </c>
      <c r="Q772" t="s">
        <v>164</v>
      </c>
    </row>
    <row r="773" spans="9:17" x14ac:dyDescent="0.45">
      <c r="I773" t="s">
        <v>193</v>
      </c>
      <c r="J773" t="s">
        <v>167</v>
      </c>
      <c r="K773">
        <v>1.2337503446801094E-2</v>
      </c>
      <c r="L773" t="s">
        <v>164</v>
      </c>
      <c r="N773" t="s">
        <v>221</v>
      </c>
      <c r="O773" t="s">
        <v>167</v>
      </c>
      <c r="P773">
        <v>2.1098827398653711E-2</v>
      </c>
      <c r="Q773" t="s">
        <v>164</v>
      </c>
    </row>
    <row r="774" spans="9:17" x14ac:dyDescent="0.45">
      <c r="I774" t="s">
        <v>193</v>
      </c>
      <c r="J774" t="s">
        <v>168</v>
      </c>
      <c r="K774">
        <v>8.1129301662840186E-3</v>
      </c>
      <c r="L774" t="s">
        <v>164</v>
      </c>
      <c r="N774" t="s">
        <v>221</v>
      </c>
      <c r="O774" t="s">
        <v>168</v>
      </c>
      <c r="P774">
        <v>4.4168128545115483E-3</v>
      </c>
      <c r="Q774" t="s">
        <v>164</v>
      </c>
    </row>
    <row r="775" spans="9:17" x14ac:dyDescent="0.45">
      <c r="I775" t="s">
        <v>193</v>
      </c>
      <c r="J775" t="s">
        <v>169</v>
      </c>
      <c r="K775">
        <v>8.8753070972661299E-3</v>
      </c>
      <c r="L775" t="s">
        <v>164</v>
      </c>
      <c r="N775" t="s">
        <v>221</v>
      </c>
      <c r="O775" t="s">
        <v>169</v>
      </c>
      <c r="P775">
        <v>7.3158843738241131E-3</v>
      </c>
      <c r="Q775" t="s">
        <v>164</v>
      </c>
    </row>
    <row r="776" spans="9:17" x14ac:dyDescent="0.45">
      <c r="I776" t="s">
        <v>193</v>
      </c>
      <c r="J776" t="s">
        <v>256</v>
      </c>
      <c r="K776">
        <v>6.1872725715230954E-2</v>
      </c>
      <c r="L776" t="s">
        <v>164</v>
      </c>
      <c r="N776" t="s">
        <v>221</v>
      </c>
      <c r="O776" t="s">
        <v>256</v>
      </c>
      <c r="P776">
        <v>5.3608840869646089E-2</v>
      </c>
      <c r="Q776" t="s">
        <v>164</v>
      </c>
    </row>
    <row r="777" spans="9:17" x14ac:dyDescent="0.45">
      <c r="I777" t="s">
        <v>193</v>
      </c>
      <c r="J777" t="s">
        <v>257</v>
      </c>
      <c r="K777">
        <v>4.612279161151602E-3</v>
      </c>
      <c r="L777" t="s">
        <v>164</v>
      </c>
      <c r="N777" t="s">
        <v>221</v>
      </c>
      <c r="O777" t="s">
        <v>257</v>
      </c>
      <c r="P777">
        <v>8.1537948969354068E-3</v>
      </c>
      <c r="Q777" t="s">
        <v>164</v>
      </c>
    </row>
    <row r="778" spans="9:17" x14ac:dyDescent="0.45">
      <c r="I778" t="s">
        <v>193</v>
      </c>
      <c r="J778" t="s">
        <v>258</v>
      </c>
      <c r="K778">
        <v>0</v>
      </c>
      <c r="L778" t="s">
        <v>164</v>
      </c>
      <c r="N778" t="s">
        <v>221</v>
      </c>
      <c r="O778" t="s">
        <v>258</v>
      </c>
      <c r="P778">
        <v>3.6597767812547088E-2</v>
      </c>
      <c r="Q778" t="s">
        <v>164</v>
      </c>
    </row>
    <row r="779" spans="9:17" x14ac:dyDescent="0.45">
      <c r="I779" t="s">
        <v>193</v>
      </c>
      <c r="J779" t="s">
        <v>170</v>
      </c>
      <c r="K779">
        <v>1.0216397957320465E-2</v>
      </c>
      <c r="L779" t="s">
        <v>164</v>
      </c>
      <c r="N779" t="s">
        <v>221</v>
      </c>
      <c r="O779" t="s">
        <v>170</v>
      </c>
      <c r="P779">
        <v>1.9948908843784394E-2</v>
      </c>
      <c r="Q779" t="s">
        <v>164</v>
      </c>
    </row>
    <row r="780" spans="9:17" x14ac:dyDescent="0.45">
      <c r="I780" t="s">
        <v>193</v>
      </c>
      <c r="J780" t="s">
        <v>171</v>
      </c>
      <c r="K780">
        <v>7.4920857258893286E-3</v>
      </c>
      <c r="L780" t="s">
        <v>164</v>
      </c>
      <c r="N780" t="s">
        <v>221</v>
      </c>
      <c r="O780" t="s">
        <v>171</v>
      </c>
      <c r="P780">
        <v>3.3626612121690847E-3</v>
      </c>
      <c r="Q780" t="s">
        <v>164</v>
      </c>
    </row>
    <row r="781" spans="9:17" x14ac:dyDescent="0.45">
      <c r="I781" t="s">
        <v>193</v>
      </c>
      <c r="J781" t="s">
        <v>172</v>
      </c>
      <c r="K781">
        <v>8.8070164481503007E-3</v>
      </c>
      <c r="L781" t="s">
        <v>164</v>
      </c>
      <c r="N781" t="s">
        <v>221</v>
      </c>
      <c r="O781" t="s">
        <v>172</v>
      </c>
      <c r="P781">
        <v>5.1866537915162105E-3</v>
      </c>
      <c r="Q781" t="s">
        <v>164</v>
      </c>
    </row>
    <row r="782" spans="9:17" x14ac:dyDescent="0.45">
      <c r="I782" t="s">
        <v>193</v>
      </c>
      <c r="J782" t="s">
        <v>259</v>
      </c>
      <c r="K782">
        <v>6.092919351174781E-2</v>
      </c>
      <c r="L782" t="s">
        <v>164</v>
      </c>
      <c r="N782" t="s">
        <v>221</v>
      </c>
      <c r="O782" t="s">
        <v>259</v>
      </c>
      <c r="P782">
        <v>4.1973357085530634E-2</v>
      </c>
      <c r="Q782" t="s">
        <v>164</v>
      </c>
    </row>
    <row r="783" spans="9:17" x14ac:dyDescent="0.45">
      <c r="I783" t="s">
        <v>193</v>
      </c>
      <c r="J783" t="s">
        <v>260</v>
      </c>
      <c r="K783">
        <v>3.1053844623363355E-3</v>
      </c>
      <c r="L783" t="s">
        <v>164</v>
      </c>
      <c r="N783" t="s">
        <v>221</v>
      </c>
      <c r="O783" t="s">
        <v>260</v>
      </c>
      <c r="P783">
        <v>6.3611629485813845E-3</v>
      </c>
      <c r="Q783" t="s">
        <v>164</v>
      </c>
    </row>
    <row r="784" spans="9:17" x14ac:dyDescent="0.45">
      <c r="I784" t="s">
        <v>193</v>
      </c>
      <c r="J784" t="s">
        <v>261</v>
      </c>
      <c r="K784">
        <v>0</v>
      </c>
      <c r="L784" t="s">
        <v>164</v>
      </c>
      <c r="N784" t="s">
        <v>221</v>
      </c>
      <c r="O784" t="s">
        <v>261</v>
      </c>
      <c r="P784">
        <v>3.5158885204112041E-2</v>
      </c>
      <c r="Q784" t="s">
        <v>164</v>
      </c>
    </row>
    <row r="785" spans="9:17" x14ac:dyDescent="0.45">
      <c r="I785" t="s">
        <v>193</v>
      </c>
      <c r="J785" t="s">
        <v>173</v>
      </c>
      <c r="K785">
        <v>6.270298749772471E-2</v>
      </c>
      <c r="L785" t="s">
        <v>164</v>
      </c>
      <c r="N785" t="s">
        <v>221</v>
      </c>
      <c r="O785" t="s">
        <v>173</v>
      </c>
      <c r="P785">
        <v>0.12298576537647937</v>
      </c>
      <c r="Q785" t="s">
        <v>164</v>
      </c>
    </row>
    <row r="786" spans="9:17" x14ac:dyDescent="0.45">
      <c r="I786" t="s">
        <v>193</v>
      </c>
      <c r="J786" t="s">
        <v>174</v>
      </c>
      <c r="K786">
        <v>3.7089093480764425E-2</v>
      </c>
      <c r="L786" t="s">
        <v>164</v>
      </c>
      <c r="N786" t="s">
        <v>221</v>
      </c>
      <c r="O786" t="s">
        <v>174</v>
      </c>
      <c r="P786">
        <v>7.1948665118770896E-3</v>
      </c>
      <c r="Q786" t="s">
        <v>164</v>
      </c>
    </row>
    <row r="787" spans="9:17" x14ac:dyDescent="0.45">
      <c r="I787" t="s">
        <v>193</v>
      </c>
      <c r="J787" t="s">
        <v>175</v>
      </c>
      <c r="K787">
        <v>4.1264556754669925E-2</v>
      </c>
      <c r="L787" t="s">
        <v>164</v>
      </c>
      <c r="N787" t="s">
        <v>221</v>
      </c>
      <c r="O787" t="s">
        <v>175</v>
      </c>
      <c r="P787">
        <v>5.8399457570547444E-3</v>
      </c>
      <c r="Q787" t="s">
        <v>164</v>
      </c>
    </row>
    <row r="788" spans="9:17" x14ac:dyDescent="0.45">
      <c r="I788" t="s">
        <v>193</v>
      </c>
      <c r="J788" t="s">
        <v>262</v>
      </c>
      <c r="K788">
        <v>0.21372456696562592</v>
      </c>
      <c r="L788" t="s">
        <v>164</v>
      </c>
      <c r="N788" t="s">
        <v>221</v>
      </c>
      <c r="O788" t="s">
        <v>262</v>
      </c>
      <c r="P788">
        <v>3.9463567974851281E-2</v>
      </c>
      <c r="Q788" t="s">
        <v>164</v>
      </c>
    </row>
    <row r="789" spans="9:17" x14ac:dyDescent="0.45">
      <c r="I789" t="s">
        <v>193</v>
      </c>
      <c r="J789" t="s">
        <v>263</v>
      </c>
      <c r="K789">
        <v>3.3567180973863715E-5</v>
      </c>
      <c r="L789" t="s">
        <v>164</v>
      </c>
      <c r="N789" t="s">
        <v>221</v>
      </c>
      <c r="O789" t="s">
        <v>263</v>
      </c>
      <c r="P789">
        <v>7.7688931277911533E-3</v>
      </c>
      <c r="Q789" t="s">
        <v>164</v>
      </c>
    </row>
    <row r="790" spans="9:17" x14ac:dyDescent="0.45">
      <c r="I790" t="s">
        <v>193</v>
      </c>
      <c r="J790" t="s">
        <v>264</v>
      </c>
      <c r="K790">
        <v>0</v>
      </c>
      <c r="L790" t="s">
        <v>164</v>
      </c>
      <c r="N790" t="s">
        <v>221</v>
      </c>
      <c r="O790" t="s">
        <v>264</v>
      </c>
      <c r="P790">
        <v>7.4520544543248884E-2</v>
      </c>
      <c r="Q790" t="s">
        <v>164</v>
      </c>
    </row>
    <row r="791" spans="9:17" x14ac:dyDescent="0.45">
      <c r="I791" t="s">
        <v>193</v>
      </c>
      <c r="J791" t="s">
        <v>265</v>
      </c>
      <c r="K791">
        <v>1.6356382354693319E-2</v>
      </c>
      <c r="L791" t="s">
        <v>164</v>
      </c>
      <c r="N791" t="s">
        <v>221</v>
      </c>
      <c r="O791" t="s">
        <v>265</v>
      </c>
      <c r="P791">
        <v>2.8256227623183226E-2</v>
      </c>
      <c r="Q791" t="s">
        <v>164</v>
      </c>
    </row>
    <row r="792" spans="9:17" x14ac:dyDescent="0.45">
      <c r="I792" t="s">
        <v>193</v>
      </c>
      <c r="J792" t="s">
        <v>266</v>
      </c>
      <c r="K792">
        <v>8.4385033639046599E-3</v>
      </c>
      <c r="L792" t="s">
        <v>164</v>
      </c>
      <c r="N792" t="s">
        <v>221</v>
      </c>
      <c r="O792" t="s">
        <v>266</v>
      </c>
      <c r="P792">
        <v>1.5791563746187193E-3</v>
      </c>
      <c r="Q792" t="s">
        <v>164</v>
      </c>
    </row>
    <row r="793" spans="9:17" x14ac:dyDescent="0.45">
      <c r="I793" t="s">
        <v>193</v>
      </c>
      <c r="J793" t="s">
        <v>267</v>
      </c>
      <c r="K793">
        <v>9.3059554434200067E-3</v>
      </c>
      <c r="L793" t="s">
        <v>164</v>
      </c>
      <c r="N793" t="s">
        <v>221</v>
      </c>
      <c r="O793" t="s">
        <v>267</v>
      </c>
      <c r="P793">
        <v>1.3928524793278543E-3</v>
      </c>
      <c r="Q793" t="s">
        <v>164</v>
      </c>
    </row>
    <row r="794" spans="9:17" x14ac:dyDescent="0.45">
      <c r="I794" t="s">
        <v>193</v>
      </c>
      <c r="J794" t="s">
        <v>268</v>
      </c>
      <c r="K794">
        <v>5.0372826185484387E-2</v>
      </c>
      <c r="L794" t="s">
        <v>164</v>
      </c>
      <c r="N794" t="s">
        <v>221</v>
      </c>
      <c r="O794" t="s">
        <v>268</v>
      </c>
      <c r="P794">
        <v>1.1992501877166979E-2</v>
      </c>
      <c r="Q794" t="s">
        <v>164</v>
      </c>
    </row>
    <row r="795" spans="9:17" x14ac:dyDescent="0.45">
      <c r="I795" t="s">
        <v>193</v>
      </c>
      <c r="J795" t="s">
        <v>269</v>
      </c>
      <c r="K795">
        <v>0</v>
      </c>
      <c r="L795" t="s">
        <v>164</v>
      </c>
      <c r="N795" t="s">
        <v>221</v>
      </c>
      <c r="O795" t="s">
        <v>269</v>
      </c>
      <c r="P795">
        <v>2.3824553959690543E-3</v>
      </c>
      <c r="Q795" t="s">
        <v>164</v>
      </c>
    </row>
    <row r="796" spans="9:17" x14ac:dyDescent="0.45">
      <c r="I796" t="s">
        <v>193</v>
      </c>
      <c r="J796" t="s">
        <v>270</v>
      </c>
      <c r="K796">
        <v>0</v>
      </c>
      <c r="L796" t="s">
        <v>164</v>
      </c>
      <c r="N796" t="s">
        <v>221</v>
      </c>
      <c r="O796" t="s">
        <v>270</v>
      </c>
      <c r="P796">
        <v>1.8958538846136387E-2</v>
      </c>
      <c r="Q796" t="s">
        <v>164</v>
      </c>
    </row>
    <row r="797" spans="9:17" x14ac:dyDescent="0.45">
      <c r="I797" t="s">
        <v>193</v>
      </c>
      <c r="J797" t="s">
        <v>271</v>
      </c>
      <c r="K797">
        <v>1.9154715443368386E-2</v>
      </c>
      <c r="L797" t="s">
        <v>164</v>
      </c>
      <c r="N797" t="s">
        <v>221</v>
      </c>
      <c r="O797" t="s">
        <v>271</v>
      </c>
      <c r="P797">
        <v>4.5404139351123141E-2</v>
      </c>
      <c r="Q797" t="s">
        <v>164</v>
      </c>
    </row>
    <row r="798" spans="9:17" x14ac:dyDescent="0.45">
      <c r="I798" t="s">
        <v>193</v>
      </c>
      <c r="J798" t="s">
        <v>272</v>
      </c>
      <c r="K798">
        <v>9.7044671261129773E-3</v>
      </c>
      <c r="L798" t="s">
        <v>164</v>
      </c>
      <c r="N798" t="s">
        <v>221</v>
      </c>
      <c r="O798" t="s">
        <v>272</v>
      </c>
      <c r="P798">
        <v>4.601969680461151E-3</v>
      </c>
      <c r="Q798" t="s">
        <v>164</v>
      </c>
    </row>
    <row r="799" spans="9:17" x14ac:dyDescent="0.45">
      <c r="I799" t="s">
        <v>193</v>
      </c>
      <c r="J799" t="s">
        <v>273</v>
      </c>
      <c r="K799">
        <v>1.0286811874368527E-2</v>
      </c>
      <c r="L799" t="s">
        <v>164</v>
      </c>
      <c r="N799" t="s">
        <v>221</v>
      </c>
      <c r="O799" t="s">
        <v>273</v>
      </c>
      <c r="P799">
        <v>4.3686118994752231E-3</v>
      </c>
      <c r="Q799" t="s">
        <v>164</v>
      </c>
    </row>
    <row r="800" spans="9:17" x14ac:dyDescent="0.45">
      <c r="I800" t="s">
        <v>193</v>
      </c>
      <c r="J800" t="s">
        <v>274</v>
      </c>
      <c r="K800">
        <v>6.2265927594267925E-2</v>
      </c>
      <c r="L800" t="s">
        <v>164</v>
      </c>
      <c r="N800" t="s">
        <v>221</v>
      </c>
      <c r="O800" t="s">
        <v>274</v>
      </c>
      <c r="P800">
        <v>3.0658239422110951E-2</v>
      </c>
      <c r="Q800" t="s">
        <v>164</v>
      </c>
    </row>
    <row r="801" spans="9:17" x14ac:dyDescent="0.45">
      <c r="I801" t="s">
        <v>193</v>
      </c>
      <c r="J801" t="s">
        <v>275</v>
      </c>
      <c r="K801">
        <v>0</v>
      </c>
      <c r="L801" t="s">
        <v>164</v>
      </c>
      <c r="N801" t="s">
        <v>221</v>
      </c>
      <c r="O801" t="s">
        <v>275</v>
      </c>
      <c r="P801">
        <v>5.0648222522453419E-3</v>
      </c>
      <c r="Q801" t="s">
        <v>164</v>
      </c>
    </row>
    <row r="802" spans="9:17" x14ac:dyDescent="0.45">
      <c r="I802" t="s">
        <v>193</v>
      </c>
      <c r="J802" t="s">
        <v>276</v>
      </c>
      <c r="K802">
        <v>0</v>
      </c>
      <c r="L802" t="s">
        <v>164</v>
      </c>
      <c r="N802" t="s">
        <v>221</v>
      </c>
      <c r="O802" t="s">
        <v>276</v>
      </c>
      <c r="P802">
        <v>3.4702143183044064E-2</v>
      </c>
      <c r="Q802" t="s">
        <v>164</v>
      </c>
    </row>
    <row r="803" spans="9:17" x14ac:dyDescent="0.45">
      <c r="I803" t="s">
        <v>193</v>
      </c>
      <c r="J803" t="s">
        <v>277</v>
      </c>
      <c r="K803">
        <v>2.7141717781043278E-2</v>
      </c>
      <c r="L803" t="s">
        <v>164</v>
      </c>
      <c r="N803" t="s">
        <v>221</v>
      </c>
      <c r="O803" t="s">
        <v>277</v>
      </c>
      <c r="P803">
        <v>3.860143984087084E-2</v>
      </c>
      <c r="Q803" t="s">
        <v>164</v>
      </c>
    </row>
    <row r="804" spans="9:17" x14ac:dyDescent="0.45">
      <c r="I804" t="s">
        <v>193</v>
      </c>
      <c r="J804" t="s">
        <v>278</v>
      </c>
      <c r="K804">
        <v>1.4885943505008973E-2</v>
      </c>
      <c r="L804" t="s">
        <v>164</v>
      </c>
      <c r="N804" t="s">
        <v>221</v>
      </c>
      <c r="O804" t="s">
        <v>278</v>
      </c>
      <c r="P804">
        <v>9.1222073724697705E-3</v>
      </c>
      <c r="Q804" t="s">
        <v>164</v>
      </c>
    </row>
    <row r="805" spans="9:17" x14ac:dyDescent="0.45">
      <c r="I805" t="s">
        <v>193</v>
      </c>
      <c r="J805" t="s">
        <v>279</v>
      </c>
      <c r="K805">
        <v>1.7003300258749528E-2</v>
      </c>
      <c r="L805" t="s">
        <v>164</v>
      </c>
      <c r="N805" t="s">
        <v>221</v>
      </c>
      <c r="O805" t="s">
        <v>279</v>
      </c>
      <c r="P805">
        <v>1.2749366403144833E-2</v>
      </c>
      <c r="Q805" t="s">
        <v>164</v>
      </c>
    </row>
    <row r="806" spans="9:17" x14ac:dyDescent="0.45">
      <c r="I806" t="s">
        <v>193</v>
      </c>
      <c r="J806" t="s">
        <v>280</v>
      </c>
      <c r="K806">
        <v>0.11159600908046213</v>
      </c>
      <c r="L806" t="s">
        <v>164</v>
      </c>
      <c r="N806" t="s">
        <v>221</v>
      </c>
      <c r="O806" t="s">
        <v>280</v>
      </c>
      <c r="P806">
        <v>9.2805426710232716E-2</v>
      </c>
      <c r="Q806" t="s">
        <v>164</v>
      </c>
    </row>
    <row r="807" spans="9:17" x14ac:dyDescent="0.45">
      <c r="I807" t="s">
        <v>193</v>
      </c>
      <c r="J807" t="s">
        <v>281</v>
      </c>
      <c r="K807">
        <v>9.5977090364808697E-6</v>
      </c>
      <c r="L807" t="s">
        <v>164</v>
      </c>
      <c r="N807" t="s">
        <v>221</v>
      </c>
      <c r="O807" t="s">
        <v>281</v>
      </c>
      <c r="P807">
        <v>1.2335276128823154E-2</v>
      </c>
      <c r="Q807" t="s">
        <v>164</v>
      </c>
    </row>
    <row r="808" spans="9:17" x14ac:dyDescent="0.45">
      <c r="I808" t="s">
        <v>193</v>
      </c>
      <c r="J808" t="s">
        <v>282</v>
      </c>
      <c r="K808">
        <v>0</v>
      </c>
      <c r="L808" t="s">
        <v>164</v>
      </c>
      <c r="N808" t="s">
        <v>221</v>
      </c>
      <c r="O808" t="s">
        <v>282</v>
      </c>
      <c r="P808">
        <v>5.7311103323754969E-2</v>
      </c>
      <c r="Q808" t="s">
        <v>164</v>
      </c>
    </row>
    <row r="809" spans="9:17" x14ac:dyDescent="0.45">
      <c r="I809" t="s">
        <v>194</v>
      </c>
      <c r="J809" t="s">
        <v>163</v>
      </c>
      <c r="K809">
        <v>1.2583708907173599E-2</v>
      </c>
      <c r="L809" t="s">
        <v>164</v>
      </c>
      <c r="N809" t="s">
        <v>222</v>
      </c>
      <c r="O809" t="s">
        <v>163</v>
      </c>
      <c r="P809">
        <v>2.9945478101267874E-2</v>
      </c>
      <c r="Q809" t="s">
        <v>164</v>
      </c>
    </row>
    <row r="810" spans="9:17" x14ac:dyDescent="0.45">
      <c r="I810" t="s">
        <v>194</v>
      </c>
      <c r="J810" t="s">
        <v>165</v>
      </c>
      <c r="K810">
        <v>8.6017505586508548E-3</v>
      </c>
      <c r="L810" t="s">
        <v>164</v>
      </c>
      <c r="N810" t="s">
        <v>222</v>
      </c>
      <c r="O810" t="s">
        <v>165</v>
      </c>
      <c r="P810">
        <v>4.0663047317565509E-3</v>
      </c>
      <c r="Q810" t="s">
        <v>164</v>
      </c>
    </row>
    <row r="811" spans="9:17" x14ac:dyDescent="0.45">
      <c r="I811" t="s">
        <v>194</v>
      </c>
      <c r="J811" t="s">
        <v>166</v>
      </c>
      <c r="K811">
        <v>9.4747719262763958E-3</v>
      </c>
      <c r="L811" t="s">
        <v>164</v>
      </c>
      <c r="N811" t="s">
        <v>222</v>
      </c>
      <c r="O811" t="s">
        <v>166</v>
      </c>
      <c r="P811">
        <v>4.5888305420093796E-3</v>
      </c>
      <c r="Q811" t="s">
        <v>164</v>
      </c>
    </row>
    <row r="812" spans="9:17" x14ac:dyDescent="0.45">
      <c r="I812" t="s">
        <v>194</v>
      </c>
      <c r="J812" t="s">
        <v>253</v>
      </c>
      <c r="K812">
        <v>6.426051864844716E-2</v>
      </c>
      <c r="L812" t="s">
        <v>164</v>
      </c>
      <c r="N812" t="s">
        <v>222</v>
      </c>
      <c r="O812" t="s">
        <v>253</v>
      </c>
      <c r="P812">
        <v>3.0603219955576598E-2</v>
      </c>
      <c r="Q812" t="s">
        <v>164</v>
      </c>
    </row>
    <row r="813" spans="9:17" x14ac:dyDescent="0.45">
      <c r="I813" t="s">
        <v>194</v>
      </c>
      <c r="J813" t="s">
        <v>254</v>
      </c>
      <c r="K813">
        <v>4.8133766847986356E-3</v>
      </c>
      <c r="L813" t="s">
        <v>164</v>
      </c>
      <c r="N813" t="s">
        <v>222</v>
      </c>
      <c r="O813" t="s">
        <v>254</v>
      </c>
      <c r="P813">
        <v>8.0289011938148424E-3</v>
      </c>
      <c r="Q813" t="s">
        <v>164</v>
      </c>
    </row>
    <row r="814" spans="9:17" x14ac:dyDescent="0.45">
      <c r="I814" t="s">
        <v>194</v>
      </c>
      <c r="J814" t="s">
        <v>255</v>
      </c>
      <c r="K814">
        <v>0</v>
      </c>
      <c r="L814" t="s">
        <v>164</v>
      </c>
      <c r="N814" t="s">
        <v>222</v>
      </c>
      <c r="O814" t="s">
        <v>255</v>
      </c>
      <c r="P814">
        <v>4.4058538347396974E-2</v>
      </c>
      <c r="Q814" t="s">
        <v>164</v>
      </c>
    </row>
    <row r="815" spans="9:17" x14ac:dyDescent="0.45">
      <c r="I815" t="s">
        <v>194</v>
      </c>
      <c r="J815" t="s">
        <v>167</v>
      </c>
      <c r="K815">
        <v>1.2202699648084039E-2</v>
      </c>
      <c r="L815" t="s">
        <v>164</v>
      </c>
      <c r="N815" t="s">
        <v>222</v>
      </c>
      <c r="O815" t="s">
        <v>167</v>
      </c>
      <c r="P815">
        <v>4.376608903547119E-2</v>
      </c>
      <c r="Q815" t="s">
        <v>164</v>
      </c>
    </row>
    <row r="816" spans="9:17" x14ac:dyDescent="0.45">
      <c r="I816" t="s">
        <v>194</v>
      </c>
      <c r="J816" t="s">
        <v>168</v>
      </c>
      <c r="K816">
        <v>8.4583108584331303E-3</v>
      </c>
      <c r="L816" t="s">
        <v>164</v>
      </c>
      <c r="N816" t="s">
        <v>222</v>
      </c>
      <c r="O816" t="s">
        <v>168</v>
      </c>
      <c r="P816">
        <v>5.737278917320795E-3</v>
      </c>
      <c r="Q816" t="s">
        <v>164</v>
      </c>
    </row>
    <row r="817" spans="9:17" x14ac:dyDescent="0.45">
      <c r="I817" t="s">
        <v>194</v>
      </c>
      <c r="J817" t="s">
        <v>169</v>
      </c>
      <c r="K817">
        <v>9.3209307228766768E-3</v>
      </c>
      <c r="L817" t="s">
        <v>164</v>
      </c>
      <c r="N817" t="s">
        <v>222</v>
      </c>
      <c r="O817" t="s">
        <v>169</v>
      </c>
      <c r="P817">
        <v>6.3539556548443642E-3</v>
      </c>
      <c r="Q817" t="s">
        <v>164</v>
      </c>
    </row>
    <row r="818" spans="9:17" x14ac:dyDescent="0.45">
      <c r="I818" t="s">
        <v>194</v>
      </c>
      <c r="J818" t="s">
        <v>256</v>
      </c>
      <c r="K818">
        <v>6.1533706576826656E-2</v>
      </c>
      <c r="L818" t="s">
        <v>164</v>
      </c>
      <c r="N818" t="s">
        <v>222</v>
      </c>
      <c r="O818" t="s">
        <v>256</v>
      </c>
      <c r="P818">
        <v>4.7544955138004955E-2</v>
      </c>
      <c r="Q818" t="s">
        <v>164</v>
      </c>
    </row>
    <row r="819" spans="9:17" x14ac:dyDescent="0.45">
      <c r="I819" t="s">
        <v>194</v>
      </c>
      <c r="J819" t="s">
        <v>257</v>
      </c>
      <c r="K819">
        <v>4.4316239200866431E-3</v>
      </c>
      <c r="L819" t="s">
        <v>164</v>
      </c>
      <c r="N819" t="s">
        <v>222</v>
      </c>
      <c r="O819" t="s">
        <v>257</v>
      </c>
      <c r="P819">
        <v>1.2563994729059367E-2</v>
      </c>
      <c r="Q819" t="s">
        <v>164</v>
      </c>
    </row>
    <row r="820" spans="9:17" x14ac:dyDescent="0.45">
      <c r="I820" t="s">
        <v>194</v>
      </c>
      <c r="J820" t="s">
        <v>258</v>
      </c>
      <c r="K820">
        <v>0</v>
      </c>
      <c r="L820" t="s">
        <v>164</v>
      </c>
      <c r="N820" t="s">
        <v>222</v>
      </c>
      <c r="O820" t="s">
        <v>258</v>
      </c>
      <c r="P820">
        <v>6.618692731971812E-2</v>
      </c>
      <c r="Q820" t="s">
        <v>164</v>
      </c>
    </row>
    <row r="821" spans="9:17" x14ac:dyDescent="0.45">
      <c r="I821" t="s">
        <v>194</v>
      </c>
      <c r="J821" t="s">
        <v>170</v>
      </c>
      <c r="K821">
        <v>1.0281403167082615E-2</v>
      </c>
      <c r="L821" t="s">
        <v>164</v>
      </c>
      <c r="N821" t="s">
        <v>222</v>
      </c>
      <c r="O821" t="s">
        <v>170</v>
      </c>
      <c r="P821">
        <v>2.5840791714916961E-2</v>
      </c>
      <c r="Q821" t="s">
        <v>164</v>
      </c>
    </row>
    <row r="822" spans="9:17" x14ac:dyDescent="0.45">
      <c r="I822" t="s">
        <v>194</v>
      </c>
      <c r="J822" t="s">
        <v>171</v>
      </c>
      <c r="K822">
        <v>8.1670088313238517E-3</v>
      </c>
      <c r="L822" t="s">
        <v>164</v>
      </c>
      <c r="N822" t="s">
        <v>222</v>
      </c>
      <c r="O822" t="s">
        <v>171</v>
      </c>
      <c r="P822">
        <v>3.3860087962477494E-3</v>
      </c>
      <c r="Q822" t="s">
        <v>164</v>
      </c>
    </row>
    <row r="823" spans="9:17" x14ac:dyDescent="0.45">
      <c r="I823" t="s">
        <v>194</v>
      </c>
      <c r="J823" t="s">
        <v>172</v>
      </c>
      <c r="K823">
        <v>9.1606538906557223E-3</v>
      </c>
      <c r="L823" t="s">
        <v>164</v>
      </c>
      <c r="N823" t="s">
        <v>222</v>
      </c>
      <c r="O823" t="s">
        <v>172</v>
      </c>
      <c r="P823">
        <v>4.0319136406569301E-3</v>
      </c>
      <c r="Q823" t="s">
        <v>164</v>
      </c>
    </row>
    <row r="824" spans="9:17" x14ac:dyDescent="0.45">
      <c r="I824" t="s">
        <v>194</v>
      </c>
      <c r="J824" t="s">
        <v>259</v>
      </c>
      <c r="K824">
        <v>5.9525156635382784E-2</v>
      </c>
      <c r="L824" t="s">
        <v>164</v>
      </c>
      <c r="N824" t="s">
        <v>222</v>
      </c>
      <c r="O824" t="s">
        <v>259</v>
      </c>
      <c r="P824">
        <v>4.0577704757364504E-2</v>
      </c>
      <c r="Q824" t="s">
        <v>164</v>
      </c>
    </row>
    <row r="825" spans="9:17" x14ac:dyDescent="0.45">
      <c r="I825" t="s">
        <v>194</v>
      </c>
      <c r="J825" t="s">
        <v>260</v>
      </c>
      <c r="K825">
        <v>3.7452235119969563E-3</v>
      </c>
      <c r="L825" t="s">
        <v>164</v>
      </c>
      <c r="N825" t="s">
        <v>222</v>
      </c>
      <c r="O825" t="s">
        <v>260</v>
      </c>
      <c r="P825">
        <v>1.0786018689703795E-2</v>
      </c>
      <c r="Q825" t="s">
        <v>164</v>
      </c>
    </row>
    <row r="826" spans="9:17" x14ac:dyDescent="0.45">
      <c r="I826" t="s">
        <v>194</v>
      </c>
      <c r="J826" t="s">
        <v>261</v>
      </c>
      <c r="K826">
        <v>0</v>
      </c>
      <c r="L826" t="s">
        <v>164</v>
      </c>
      <c r="N826" t="s">
        <v>222</v>
      </c>
      <c r="O826" t="s">
        <v>261</v>
      </c>
      <c r="P826">
        <v>5.7445188590250593E-2</v>
      </c>
      <c r="Q826" t="s">
        <v>164</v>
      </c>
    </row>
    <row r="827" spans="9:17" x14ac:dyDescent="0.45">
      <c r="I827" t="s">
        <v>194</v>
      </c>
      <c r="J827" t="s">
        <v>173</v>
      </c>
      <c r="K827">
        <v>5.9061077823233978E-2</v>
      </c>
      <c r="L827" t="s">
        <v>164</v>
      </c>
      <c r="N827" t="s">
        <v>222</v>
      </c>
      <c r="O827" t="s">
        <v>173</v>
      </c>
      <c r="P827">
        <v>6.2135908535496769E-2</v>
      </c>
      <c r="Q827" t="s">
        <v>164</v>
      </c>
    </row>
    <row r="828" spans="9:17" x14ac:dyDescent="0.45">
      <c r="I828" t="s">
        <v>194</v>
      </c>
      <c r="J828" t="s">
        <v>174</v>
      </c>
      <c r="K828">
        <v>3.8244043606456044E-2</v>
      </c>
      <c r="L828" t="s">
        <v>164</v>
      </c>
      <c r="N828" t="s">
        <v>222</v>
      </c>
      <c r="O828" t="s">
        <v>174</v>
      </c>
      <c r="P828">
        <v>2.3555711875817239E-3</v>
      </c>
      <c r="Q828" t="s">
        <v>164</v>
      </c>
    </row>
    <row r="829" spans="9:17" x14ac:dyDescent="0.45">
      <c r="I829" t="s">
        <v>194</v>
      </c>
      <c r="J829" t="s">
        <v>175</v>
      </c>
      <c r="K829">
        <v>4.1857215067643241E-2</v>
      </c>
      <c r="L829" t="s">
        <v>164</v>
      </c>
      <c r="N829" t="s">
        <v>222</v>
      </c>
      <c r="O829" t="s">
        <v>175</v>
      </c>
      <c r="P829">
        <v>1.882266779695319E-3</v>
      </c>
      <c r="Q829" t="s">
        <v>164</v>
      </c>
    </row>
    <row r="830" spans="9:17" x14ac:dyDescent="0.45">
      <c r="I830" t="s">
        <v>194</v>
      </c>
      <c r="J830" t="s">
        <v>262</v>
      </c>
      <c r="K830">
        <v>0.21399616746332784</v>
      </c>
      <c r="L830" t="s">
        <v>164</v>
      </c>
      <c r="N830" t="s">
        <v>222</v>
      </c>
      <c r="O830" t="s">
        <v>262</v>
      </c>
      <c r="P830">
        <v>2.5601482676084815E-2</v>
      </c>
      <c r="Q830" t="s">
        <v>164</v>
      </c>
    </row>
    <row r="831" spans="9:17" x14ac:dyDescent="0.45">
      <c r="I831" t="s">
        <v>194</v>
      </c>
      <c r="J831" t="s">
        <v>263</v>
      </c>
      <c r="K831">
        <v>1.9154350419616538E-5</v>
      </c>
      <c r="L831" t="s">
        <v>164</v>
      </c>
      <c r="N831" t="s">
        <v>222</v>
      </c>
      <c r="O831" t="s">
        <v>263</v>
      </c>
      <c r="P831">
        <v>8.7553169400962794E-3</v>
      </c>
      <c r="Q831" t="s">
        <v>164</v>
      </c>
    </row>
    <row r="832" spans="9:17" x14ac:dyDescent="0.45">
      <c r="I832" t="s">
        <v>194</v>
      </c>
      <c r="J832" t="s">
        <v>264</v>
      </c>
      <c r="K832">
        <v>0</v>
      </c>
      <c r="L832" t="s">
        <v>164</v>
      </c>
      <c r="N832" t="s">
        <v>222</v>
      </c>
      <c r="O832" t="s">
        <v>264</v>
      </c>
      <c r="P832">
        <v>8.0870243707789918E-2</v>
      </c>
      <c r="Q832" t="s">
        <v>164</v>
      </c>
    </row>
    <row r="833" spans="9:17" x14ac:dyDescent="0.45">
      <c r="I833" t="s">
        <v>194</v>
      </c>
      <c r="J833" t="s">
        <v>265</v>
      </c>
      <c r="K833">
        <v>1.6947297664063093E-2</v>
      </c>
      <c r="L833" t="s">
        <v>164</v>
      </c>
      <c r="N833" t="s">
        <v>222</v>
      </c>
      <c r="O833" t="s">
        <v>265</v>
      </c>
      <c r="P833">
        <v>1.6090139915966205E-2</v>
      </c>
      <c r="Q833" t="s">
        <v>164</v>
      </c>
    </row>
    <row r="834" spans="9:17" x14ac:dyDescent="0.45">
      <c r="I834" t="s">
        <v>194</v>
      </c>
      <c r="J834" t="s">
        <v>266</v>
      </c>
      <c r="K834">
        <v>8.8079722809866253E-3</v>
      </c>
      <c r="L834" t="s">
        <v>164</v>
      </c>
      <c r="N834" t="s">
        <v>222</v>
      </c>
      <c r="O834" t="s">
        <v>266</v>
      </c>
      <c r="P834">
        <v>6.5529875461473562E-4</v>
      </c>
      <c r="Q834" t="s">
        <v>164</v>
      </c>
    </row>
    <row r="835" spans="9:17" x14ac:dyDescent="0.45">
      <c r="I835" t="s">
        <v>194</v>
      </c>
      <c r="J835" t="s">
        <v>267</v>
      </c>
      <c r="K835">
        <v>9.6051982698290087E-3</v>
      </c>
      <c r="L835" t="s">
        <v>164</v>
      </c>
      <c r="N835" t="s">
        <v>222</v>
      </c>
      <c r="O835" t="s">
        <v>267</v>
      </c>
      <c r="P835">
        <v>4.1998002558417538E-4</v>
      </c>
      <c r="Q835" t="s">
        <v>164</v>
      </c>
    </row>
    <row r="836" spans="9:17" x14ac:dyDescent="0.45">
      <c r="I836" t="s">
        <v>194</v>
      </c>
      <c r="J836" t="s">
        <v>268</v>
      </c>
      <c r="K836">
        <v>4.9102317342243768E-2</v>
      </c>
      <c r="L836" t="s">
        <v>164</v>
      </c>
      <c r="N836" t="s">
        <v>222</v>
      </c>
      <c r="O836" t="s">
        <v>268</v>
      </c>
      <c r="P836">
        <v>6.5842192911181163E-3</v>
      </c>
      <c r="Q836" t="s">
        <v>164</v>
      </c>
    </row>
    <row r="837" spans="9:17" x14ac:dyDescent="0.45">
      <c r="I837" t="s">
        <v>194</v>
      </c>
      <c r="J837" t="s">
        <v>269</v>
      </c>
      <c r="K837">
        <v>0</v>
      </c>
      <c r="L837" t="s">
        <v>164</v>
      </c>
      <c r="N837" t="s">
        <v>222</v>
      </c>
      <c r="O837" t="s">
        <v>269</v>
      </c>
      <c r="P837">
        <v>2.5435403850703527E-3</v>
      </c>
      <c r="Q837" t="s">
        <v>164</v>
      </c>
    </row>
    <row r="838" spans="9:17" x14ac:dyDescent="0.45">
      <c r="I838" t="s">
        <v>194</v>
      </c>
      <c r="J838" t="s">
        <v>270</v>
      </c>
      <c r="K838">
        <v>0</v>
      </c>
      <c r="L838" t="s">
        <v>164</v>
      </c>
      <c r="N838" t="s">
        <v>222</v>
      </c>
      <c r="O838" t="s">
        <v>270</v>
      </c>
      <c r="P838">
        <v>2.5962598406520553E-2</v>
      </c>
      <c r="Q838" t="s">
        <v>164</v>
      </c>
    </row>
    <row r="839" spans="9:17" x14ac:dyDescent="0.45">
      <c r="I839" t="s">
        <v>194</v>
      </c>
      <c r="J839" t="s">
        <v>271</v>
      </c>
      <c r="K839">
        <v>2.1684308251212852E-2</v>
      </c>
      <c r="L839" t="s">
        <v>164</v>
      </c>
      <c r="N839" t="s">
        <v>222</v>
      </c>
      <c r="O839" t="s">
        <v>271</v>
      </c>
      <c r="P839">
        <v>2.3555803336190489E-2</v>
      </c>
      <c r="Q839" t="s">
        <v>164</v>
      </c>
    </row>
    <row r="840" spans="9:17" x14ac:dyDescent="0.45">
      <c r="I840" t="s">
        <v>194</v>
      </c>
      <c r="J840" t="s">
        <v>272</v>
      </c>
      <c r="K840">
        <v>1.050355537865293E-2</v>
      </c>
      <c r="L840" t="s">
        <v>164</v>
      </c>
      <c r="N840" t="s">
        <v>222</v>
      </c>
      <c r="O840" t="s">
        <v>272</v>
      </c>
      <c r="P840">
        <v>1.7582512319826204E-3</v>
      </c>
      <c r="Q840" t="s">
        <v>164</v>
      </c>
    </row>
    <row r="841" spans="9:17" x14ac:dyDescent="0.45">
      <c r="I841" t="s">
        <v>194</v>
      </c>
      <c r="J841" t="s">
        <v>273</v>
      </c>
      <c r="K841">
        <v>1.0868683509614407E-2</v>
      </c>
      <c r="L841" t="s">
        <v>164</v>
      </c>
      <c r="N841" t="s">
        <v>222</v>
      </c>
      <c r="O841" t="s">
        <v>273</v>
      </c>
      <c r="P841">
        <v>1.5915052104308646E-3</v>
      </c>
      <c r="Q841" t="s">
        <v>164</v>
      </c>
    </row>
    <row r="842" spans="9:17" x14ac:dyDescent="0.45">
      <c r="I842" t="s">
        <v>194</v>
      </c>
      <c r="J842" t="s">
        <v>274</v>
      </c>
      <c r="K842">
        <v>6.241817198633981E-2</v>
      </c>
      <c r="L842" t="s">
        <v>164</v>
      </c>
      <c r="N842" t="s">
        <v>222</v>
      </c>
      <c r="O842" t="s">
        <v>274</v>
      </c>
      <c r="P842">
        <v>2.1352496297749411E-2</v>
      </c>
      <c r="Q842" t="s">
        <v>164</v>
      </c>
    </row>
    <row r="843" spans="9:17" x14ac:dyDescent="0.45">
      <c r="I843" t="s">
        <v>194</v>
      </c>
      <c r="J843" t="s">
        <v>275</v>
      </c>
      <c r="K843">
        <v>0</v>
      </c>
      <c r="L843" t="s">
        <v>164</v>
      </c>
      <c r="N843" t="s">
        <v>222</v>
      </c>
      <c r="O843" t="s">
        <v>275</v>
      </c>
      <c r="P843">
        <v>7.5538749181032847E-3</v>
      </c>
      <c r="Q843" t="s">
        <v>164</v>
      </c>
    </row>
    <row r="844" spans="9:17" x14ac:dyDescent="0.45">
      <c r="I844" t="s">
        <v>194</v>
      </c>
      <c r="J844" t="s">
        <v>276</v>
      </c>
      <c r="K844">
        <v>0</v>
      </c>
      <c r="L844" t="s">
        <v>164</v>
      </c>
      <c r="N844" t="s">
        <v>222</v>
      </c>
      <c r="O844" t="s">
        <v>276</v>
      </c>
      <c r="P844">
        <v>4.8082348490443953E-2</v>
      </c>
      <c r="Q844" t="s">
        <v>164</v>
      </c>
    </row>
    <row r="845" spans="9:17" x14ac:dyDescent="0.45">
      <c r="I845" t="s">
        <v>194</v>
      </c>
      <c r="J845" t="s">
        <v>277</v>
      </c>
      <c r="K845">
        <v>2.7620761200312094E-2</v>
      </c>
      <c r="L845" t="s">
        <v>164</v>
      </c>
      <c r="N845" t="s">
        <v>222</v>
      </c>
      <c r="O845" t="s">
        <v>277</v>
      </c>
      <c r="P845">
        <v>4.8304121284524368E-2</v>
      </c>
      <c r="Q845" t="s">
        <v>164</v>
      </c>
    </row>
    <row r="846" spans="9:17" x14ac:dyDescent="0.45">
      <c r="I846" t="s">
        <v>194</v>
      </c>
      <c r="J846" t="s">
        <v>278</v>
      </c>
      <c r="K846">
        <v>1.5465712558717664E-2</v>
      </c>
      <c r="L846" t="s">
        <v>164</v>
      </c>
      <c r="N846" t="s">
        <v>222</v>
      </c>
      <c r="O846" t="s">
        <v>278</v>
      </c>
      <c r="P846">
        <v>7.3939230385540273E-3</v>
      </c>
      <c r="Q846" t="s">
        <v>164</v>
      </c>
    </row>
    <row r="847" spans="9:17" x14ac:dyDescent="0.45">
      <c r="I847" t="s">
        <v>194</v>
      </c>
      <c r="J847" t="s">
        <v>279</v>
      </c>
      <c r="K847">
        <v>1.7024998761044505E-2</v>
      </c>
      <c r="L847" t="s">
        <v>164</v>
      </c>
      <c r="N847" t="s">
        <v>222</v>
      </c>
      <c r="O847" t="s">
        <v>279</v>
      </c>
      <c r="P847">
        <v>7.8942531870875247E-3</v>
      </c>
      <c r="Q847" t="s">
        <v>164</v>
      </c>
    </row>
    <row r="848" spans="9:17" x14ac:dyDescent="0.45">
      <c r="I848" t="s">
        <v>194</v>
      </c>
      <c r="J848" t="s">
        <v>280</v>
      </c>
      <c r="K848">
        <v>0.1097034565707404</v>
      </c>
      <c r="L848" t="s">
        <v>164</v>
      </c>
      <c r="N848" t="s">
        <v>222</v>
      </c>
      <c r="O848" t="s">
        <v>280</v>
      </c>
      <c r="P848">
        <v>6.2575043055611165E-2</v>
      </c>
      <c r="Q848" t="s">
        <v>164</v>
      </c>
    </row>
    <row r="849" spans="9:17" x14ac:dyDescent="0.45">
      <c r="I849" t="s">
        <v>194</v>
      </c>
      <c r="J849" t="s">
        <v>281</v>
      </c>
      <c r="K849">
        <v>5.0906342706830924E-4</v>
      </c>
      <c r="L849" t="s">
        <v>164</v>
      </c>
      <c r="N849" t="s">
        <v>222</v>
      </c>
      <c r="O849" t="s">
        <v>281</v>
      </c>
      <c r="P849">
        <v>1.6465374133750182E-2</v>
      </c>
      <c r="Q849" t="s">
        <v>164</v>
      </c>
    </row>
    <row r="850" spans="9:17" x14ac:dyDescent="0.45">
      <c r="I850" t="s">
        <v>194</v>
      </c>
      <c r="J850" t="s">
        <v>282</v>
      </c>
      <c r="K850">
        <v>0</v>
      </c>
      <c r="L850" t="s">
        <v>164</v>
      </c>
      <c r="N850" t="s">
        <v>222</v>
      </c>
      <c r="O850" t="s">
        <v>282</v>
      </c>
      <c r="P850">
        <v>7.4104339354571253E-2</v>
      </c>
      <c r="Q850" t="s">
        <v>164</v>
      </c>
    </row>
    <row r="851" spans="9:17" x14ac:dyDescent="0.45">
      <c r="I851" t="s">
        <v>195</v>
      </c>
      <c r="J851" t="s">
        <v>163</v>
      </c>
      <c r="K851">
        <v>1.4078153803352601E-2</v>
      </c>
      <c r="L851" t="s">
        <v>164</v>
      </c>
      <c r="N851" t="s">
        <v>223</v>
      </c>
      <c r="O851" t="s">
        <v>163</v>
      </c>
      <c r="P851">
        <v>1.7091135801506861E-2</v>
      </c>
      <c r="Q851" t="s">
        <v>164</v>
      </c>
    </row>
    <row r="852" spans="9:17" x14ac:dyDescent="0.45">
      <c r="I852" t="s">
        <v>195</v>
      </c>
      <c r="J852" t="s">
        <v>165</v>
      </c>
      <c r="K852">
        <v>9.3456420661851211E-3</v>
      </c>
      <c r="L852" t="s">
        <v>164</v>
      </c>
      <c r="N852" t="s">
        <v>223</v>
      </c>
      <c r="O852" t="s">
        <v>165</v>
      </c>
      <c r="P852">
        <v>4.525726356062609E-3</v>
      </c>
      <c r="Q852" t="s">
        <v>164</v>
      </c>
    </row>
    <row r="853" spans="9:17" x14ac:dyDescent="0.45">
      <c r="I853" t="s">
        <v>195</v>
      </c>
      <c r="J853" t="s">
        <v>166</v>
      </c>
      <c r="K853">
        <v>9.9712809309699755E-3</v>
      </c>
      <c r="L853" t="s">
        <v>164</v>
      </c>
      <c r="N853" t="s">
        <v>223</v>
      </c>
      <c r="O853" t="s">
        <v>166</v>
      </c>
      <c r="P853">
        <v>5.0565472672936575E-3</v>
      </c>
      <c r="Q853" t="s">
        <v>164</v>
      </c>
    </row>
    <row r="854" spans="9:17" x14ac:dyDescent="0.45">
      <c r="I854" t="s">
        <v>195</v>
      </c>
      <c r="J854" t="s">
        <v>253</v>
      </c>
      <c r="K854">
        <v>6.2168949470434574E-2</v>
      </c>
      <c r="L854" t="s">
        <v>164</v>
      </c>
      <c r="N854" t="s">
        <v>223</v>
      </c>
      <c r="O854" t="s">
        <v>253</v>
      </c>
      <c r="P854">
        <v>2.9511851197133853E-2</v>
      </c>
      <c r="Q854" t="s">
        <v>164</v>
      </c>
    </row>
    <row r="855" spans="9:17" x14ac:dyDescent="0.45">
      <c r="I855" t="s">
        <v>195</v>
      </c>
      <c r="J855" t="s">
        <v>254</v>
      </c>
      <c r="K855">
        <v>3.9999984750669808E-3</v>
      </c>
      <c r="L855" t="s">
        <v>164</v>
      </c>
      <c r="N855" t="s">
        <v>223</v>
      </c>
      <c r="O855" t="s">
        <v>254</v>
      </c>
      <c r="P855">
        <v>3.8180995725853768E-3</v>
      </c>
      <c r="Q855" t="s">
        <v>164</v>
      </c>
    </row>
    <row r="856" spans="9:17" x14ac:dyDescent="0.45">
      <c r="I856" t="s">
        <v>195</v>
      </c>
      <c r="J856" t="s">
        <v>255</v>
      </c>
      <c r="K856">
        <v>0</v>
      </c>
      <c r="L856" t="s">
        <v>164</v>
      </c>
      <c r="N856" t="s">
        <v>223</v>
      </c>
      <c r="O856" t="s">
        <v>255</v>
      </c>
      <c r="P856">
        <v>1.6125233066143285E-2</v>
      </c>
      <c r="Q856" t="s">
        <v>164</v>
      </c>
    </row>
    <row r="857" spans="9:17" x14ac:dyDescent="0.45">
      <c r="I857" t="s">
        <v>195</v>
      </c>
      <c r="J857" t="s">
        <v>167</v>
      </c>
      <c r="K857">
        <v>1.3339325583690607E-2</v>
      </c>
      <c r="L857" t="s">
        <v>164</v>
      </c>
      <c r="N857" t="s">
        <v>223</v>
      </c>
      <c r="O857" t="s">
        <v>167</v>
      </c>
      <c r="P857">
        <v>2.1385995089060309E-2</v>
      </c>
      <c r="Q857" t="s">
        <v>164</v>
      </c>
    </row>
    <row r="858" spans="9:17" x14ac:dyDescent="0.45">
      <c r="I858" t="s">
        <v>195</v>
      </c>
      <c r="J858" t="s">
        <v>168</v>
      </c>
      <c r="K858">
        <v>9.041781673248617E-3</v>
      </c>
      <c r="L858" t="s">
        <v>164</v>
      </c>
      <c r="N858" t="s">
        <v>223</v>
      </c>
      <c r="O858" t="s">
        <v>168</v>
      </c>
      <c r="P858">
        <v>5.1679667289478339E-3</v>
      </c>
      <c r="Q858" t="s">
        <v>164</v>
      </c>
    </row>
    <row r="859" spans="9:17" x14ac:dyDescent="0.45">
      <c r="I859" t="s">
        <v>195</v>
      </c>
      <c r="J859" t="s">
        <v>169</v>
      </c>
      <c r="K859">
        <v>9.7237687349724447E-3</v>
      </c>
      <c r="L859" t="s">
        <v>164</v>
      </c>
      <c r="N859" t="s">
        <v>223</v>
      </c>
      <c r="O859" t="s">
        <v>169</v>
      </c>
      <c r="P859">
        <v>6.0352341774742328E-3</v>
      </c>
      <c r="Q859" t="s">
        <v>164</v>
      </c>
    </row>
    <row r="860" spans="9:17" x14ac:dyDescent="0.45">
      <c r="I860" t="s">
        <v>195</v>
      </c>
      <c r="J860" t="s">
        <v>256</v>
      </c>
      <c r="K860">
        <v>5.8998537915968929E-2</v>
      </c>
      <c r="L860" t="s">
        <v>164</v>
      </c>
      <c r="N860" t="s">
        <v>223</v>
      </c>
      <c r="O860" t="s">
        <v>256</v>
      </c>
      <c r="P860">
        <v>3.8838610633683331E-2</v>
      </c>
      <c r="Q860" t="s">
        <v>164</v>
      </c>
    </row>
    <row r="861" spans="9:17" x14ac:dyDescent="0.45">
      <c r="I861" t="s">
        <v>195</v>
      </c>
      <c r="J861" t="s">
        <v>257</v>
      </c>
      <c r="K861">
        <v>4.0956083880648872E-3</v>
      </c>
      <c r="L861" t="s">
        <v>164</v>
      </c>
      <c r="N861" t="s">
        <v>223</v>
      </c>
      <c r="O861" t="s">
        <v>257</v>
      </c>
      <c r="P861">
        <v>5.5885185511836272E-3</v>
      </c>
      <c r="Q861" t="s">
        <v>164</v>
      </c>
    </row>
    <row r="862" spans="9:17" x14ac:dyDescent="0.45">
      <c r="I862" t="s">
        <v>195</v>
      </c>
      <c r="J862" t="s">
        <v>258</v>
      </c>
      <c r="K862">
        <v>0</v>
      </c>
      <c r="L862" t="s">
        <v>164</v>
      </c>
      <c r="N862" t="s">
        <v>223</v>
      </c>
      <c r="O862" t="s">
        <v>258</v>
      </c>
      <c r="P862">
        <v>2.397806765488469E-2</v>
      </c>
      <c r="Q862" t="s">
        <v>164</v>
      </c>
    </row>
    <row r="863" spans="9:17" x14ac:dyDescent="0.45">
      <c r="I863" t="s">
        <v>195</v>
      </c>
      <c r="J863" t="s">
        <v>170</v>
      </c>
      <c r="K863">
        <v>1.0824870095621693E-2</v>
      </c>
      <c r="L863" t="s">
        <v>164</v>
      </c>
      <c r="N863" t="s">
        <v>223</v>
      </c>
      <c r="O863" t="s">
        <v>170</v>
      </c>
      <c r="P863">
        <v>2.0824983367530952E-2</v>
      </c>
      <c r="Q863" t="s">
        <v>164</v>
      </c>
    </row>
    <row r="864" spans="9:17" x14ac:dyDescent="0.45">
      <c r="I864" t="s">
        <v>195</v>
      </c>
      <c r="J864" t="s">
        <v>171</v>
      </c>
      <c r="K864">
        <v>8.3956520527318241E-3</v>
      </c>
      <c r="L864" t="s">
        <v>164</v>
      </c>
      <c r="N864" t="s">
        <v>223</v>
      </c>
      <c r="O864" t="s">
        <v>171</v>
      </c>
      <c r="P864">
        <v>4.4697749345679709E-3</v>
      </c>
      <c r="Q864" t="s">
        <v>164</v>
      </c>
    </row>
    <row r="865" spans="9:17" x14ac:dyDescent="0.45">
      <c r="I865" t="s">
        <v>195</v>
      </c>
      <c r="J865" t="s">
        <v>172</v>
      </c>
      <c r="K865">
        <v>9.3494870536138357E-3</v>
      </c>
      <c r="L865" t="s">
        <v>164</v>
      </c>
      <c r="N865" t="s">
        <v>223</v>
      </c>
      <c r="O865" t="s">
        <v>172</v>
      </c>
      <c r="P865">
        <v>5.0765269519963303E-3</v>
      </c>
      <c r="Q865" t="s">
        <v>164</v>
      </c>
    </row>
    <row r="866" spans="9:17" x14ac:dyDescent="0.45">
      <c r="I866" t="s">
        <v>195</v>
      </c>
      <c r="J866" t="s">
        <v>259</v>
      </c>
      <c r="K866">
        <v>5.6432175696092275E-2</v>
      </c>
      <c r="L866" t="s">
        <v>164</v>
      </c>
      <c r="N866" t="s">
        <v>223</v>
      </c>
      <c r="O866" t="s">
        <v>259</v>
      </c>
      <c r="P866">
        <v>3.7238929478250374E-2</v>
      </c>
      <c r="Q866" t="s">
        <v>164</v>
      </c>
    </row>
    <row r="867" spans="9:17" x14ac:dyDescent="0.45">
      <c r="I867" t="s">
        <v>195</v>
      </c>
      <c r="J867" t="s">
        <v>260</v>
      </c>
      <c r="K867">
        <v>3.6546451854395979E-3</v>
      </c>
      <c r="L867" t="s">
        <v>164</v>
      </c>
      <c r="N867" t="s">
        <v>223</v>
      </c>
      <c r="O867" t="s">
        <v>260</v>
      </c>
      <c r="P867">
        <v>5.7940265697996023E-3</v>
      </c>
      <c r="Q867" t="s">
        <v>164</v>
      </c>
    </row>
    <row r="868" spans="9:17" x14ac:dyDescent="0.45">
      <c r="I868" t="s">
        <v>195</v>
      </c>
      <c r="J868" t="s">
        <v>261</v>
      </c>
      <c r="K868">
        <v>0</v>
      </c>
      <c r="L868" t="s">
        <v>164</v>
      </c>
      <c r="N868" t="s">
        <v>223</v>
      </c>
      <c r="O868" t="s">
        <v>261</v>
      </c>
      <c r="P868">
        <v>2.2358942689560297E-2</v>
      </c>
      <c r="Q868" t="s">
        <v>164</v>
      </c>
    </row>
    <row r="869" spans="9:17" x14ac:dyDescent="0.45">
      <c r="I869" t="s">
        <v>195</v>
      </c>
      <c r="J869" t="s">
        <v>173</v>
      </c>
      <c r="K869">
        <v>5.2032868926610326E-2</v>
      </c>
      <c r="L869" t="s">
        <v>164</v>
      </c>
      <c r="N869" t="s">
        <v>223</v>
      </c>
      <c r="O869" t="s">
        <v>173</v>
      </c>
      <c r="P869">
        <v>0.10676718766468793</v>
      </c>
      <c r="Q869" t="s">
        <v>164</v>
      </c>
    </row>
    <row r="870" spans="9:17" x14ac:dyDescent="0.45">
      <c r="I870" t="s">
        <v>195</v>
      </c>
      <c r="J870" t="s">
        <v>174</v>
      </c>
      <c r="K870">
        <v>3.5023280526298606E-2</v>
      </c>
      <c r="L870" t="s">
        <v>164</v>
      </c>
      <c r="N870" t="s">
        <v>223</v>
      </c>
      <c r="O870" t="s">
        <v>174</v>
      </c>
      <c r="P870">
        <v>9.6914243033070172E-3</v>
      </c>
      <c r="Q870" t="s">
        <v>164</v>
      </c>
    </row>
    <row r="871" spans="9:17" x14ac:dyDescent="0.45">
      <c r="I871" t="s">
        <v>195</v>
      </c>
      <c r="J871" t="s">
        <v>175</v>
      </c>
      <c r="K871">
        <v>3.9226196722716919E-2</v>
      </c>
      <c r="L871" t="s">
        <v>164</v>
      </c>
      <c r="N871" t="s">
        <v>223</v>
      </c>
      <c r="O871" t="s">
        <v>175</v>
      </c>
      <c r="P871">
        <v>9.5439830702440196E-3</v>
      </c>
      <c r="Q871" t="s">
        <v>164</v>
      </c>
    </row>
    <row r="872" spans="9:17" x14ac:dyDescent="0.45">
      <c r="I872" t="s">
        <v>195</v>
      </c>
      <c r="J872" t="s">
        <v>262</v>
      </c>
      <c r="K872">
        <v>0.22302944217809537</v>
      </c>
      <c r="L872" t="s">
        <v>164</v>
      </c>
      <c r="N872" t="s">
        <v>223</v>
      </c>
      <c r="O872" t="s">
        <v>262</v>
      </c>
      <c r="P872">
        <v>8.5084556256202301E-2</v>
      </c>
      <c r="Q872" t="s">
        <v>164</v>
      </c>
    </row>
    <row r="873" spans="9:17" x14ac:dyDescent="0.45">
      <c r="I873" t="s">
        <v>195</v>
      </c>
      <c r="J873" t="s">
        <v>263</v>
      </c>
      <c r="K873">
        <v>1.2382639908674288E-3</v>
      </c>
      <c r="L873" t="s">
        <v>164</v>
      </c>
      <c r="N873" t="s">
        <v>223</v>
      </c>
      <c r="O873" t="s">
        <v>263</v>
      </c>
      <c r="P873">
        <v>2.2941926808171149E-2</v>
      </c>
      <c r="Q873" t="s">
        <v>164</v>
      </c>
    </row>
    <row r="874" spans="9:17" x14ac:dyDescent="0.45">
      <c r="I874" t="s">
        <v>195</v>
      </c>
      <c r="J874" t="s">
        <v>264</v>
      </c>
      <c r="K874">
        <v>0</v>
      </c>
      <c r="L874" t="s">
        <v>164</v>
      </c>
      <c r="N874" t="s">
        <v>223</v>
      </c>
      <c r="O874" t="s">
        <v>264</v>
      </c>
      <c r="P874">
        <v>0.12688706044389761</v>
      </c>
      <c r="Q874" t="s">
        <v>164</v>
      </c>
    </row>
    <row r="875" spans="9:17" x14ac:dyDescent="0.45">
      <c r="I875" t="s">
        <v>195</v>
      </c>
      <c r="J875" t="s">
        <v>265</v>
      </c>
      <c r="K875">
        <v>1.5370878939688082E-2</v>
      </c>
      <c r="L875" t="s">
        <v>164</v>
      </c>
      <c r="N875" t="s">
        <v>223</v>
      </c>
      <c r="O875" t="s">
        <v>265</v>
      </c>
      <c r="P875">
        <v>2.289785201551699E-2</v>
      </c>
      <c r="Q875" t="s">
        <v>164</v>
      </c>
    </row>
    <row r="876" spans="9:17" x14ac:dyDescent="0.45">
      <c r="I876" t="s">
        <v>195</v>
      </c>
      <c r="J876" t="s">
        <v>266</v>
      </c>
      <c r="K876">
        <v>8.3993076534300028E-3</v>
      </c>
      <c r="L876" t="s">
        <v>164</v>
      </c>
      <c r="N876" t="s">
        <v>223</v>
      </c>
      <c r="O876" t="s">
        <v>266</v>
      </c>
      <c r="P876">
        <v>1.9420581949763805E-3</v>
      </c>
      <c r="Q876" t="s">
        <v>164</v>
      </c>
    </row>
    <row r="877" spans="9:17" x14ac:dyDescent="0.45">
      <c r="I877" t="s">
        <v>195</v>
      </c>
      <c r="J877" t="s">
        <v>267</v>
      </c>
      <c r="K877">
        <v>9.2683555695819448E-3</v>
      </c>
      <c r="L877" t="s">
        <v>164</v>
      </c>
      <c r="N877" t="s">
        <v>223</v>
      </c>
      <c r="O877" t="s">
        <v>267</v>
      </c>
      <c r="P877">
        <v>2.0398396193304258E-3</v>
      </c>
      <c r="Q877" t="s">
        <v>164</v>
      </c>
    </row>
    <row r="878" spans="9:17" x14ac:dyDescent="0.45">
      <c r="I878" t="s">
        <v>195</v>
      </c>
      <c r="J878" t="s">
        <v>268</v>
      </c>
      <c r="K878">
        <v>5.136529616049846E-2</v>
      </c>
      <c r="L878" t="s">
        <v>164</v>
      </c>
      <c r="N878" t="s">
        <v>223</v>
      </c>
      <c r="O878" t="s">
        <v>268</v>
      </c>
      <c r="P878">
        <v>2.0044108591263834E-2</v>
      </c>
      <c r="Q878" t="s">
        <v>164</v>
      </c>
    </row>
    <row r="879" spans="9:17" x14ac:dyDescent="0.45">
      <c r="I879" t="s">
        <v>195</v>
      </c>
      <c r="J879" t="s">
        <v>269</v>
      </c>
      <c r="K879">
        <v>0</v>
      </c>
      <c r="L879" t="s">
        <v>164</v>
      </c>
      <c r="N879" t="s">
        <v>223</v>
      </c>
      <c r="O879" t="s">
        <v>269</v>
      </c>
      <c r="P879">
        <v>6.2704539727117415E-3</v>
      </c>
      <c r="Q879" t="s">
        <v>164</v>
      </c>
    </row>
    <row r="880" spans="9:17" x14ac:dyDescent="0.45">
      <c r="I880" t="s">
        <v>195</v>
      </c>
      <c r="J880" t="s">
        <v>270</v>
      </c>
      <c r="K880">
        <v>0</v>
      </c>
      <c r="L880" t="s">
        <v>164</v>
      </c>
      <c r="N880" t="s">
        <v>223</v>
      </c>
      <c r="O880" t="s">
        <v>270</v>
      </c>
      <c r="P880">
        <v>3.3139053205014139E-2</v>
      </c>
      <c r="Q880" t="s">
        <v>164</v>
      </c>
    </row>
    <row r="881" spans="9:17" x14ac:dyDescent="0.45">
      <c r="I881" t="s">
        <v>195</v>
      </c>
      <c r="J881" t="s">
        <v>271</v>
      </c>
      <c r="K881">
        <v>2.1659468364821549E-2</v>
      </c>
      <c r="L881" t="s">
        <v>164</v>
      </c>
      <c r="N881" t="s">
        <v>223</v>
      </c>
      <c r="O881" t="s">
        <v>271</v>
      </c>
      <c r="P881">
        <v>3.6820875757398147E-2</v>
      </c>
      <c r="Q881" t="s">
        <v>164</v>
      </c>
    </row>
    <row r="882" spans="9:17" x14ac:dyDescent="0.45">
      <c r="I882" t="s">
        <v>195</v>
      </c>
      <c r="J882" t="s">
        <v>272</v>
      </c>
      <c r="K882">
        <v>1.0579359615955174E-2</v>
      </c>
      <c r="L882" t="s">
        <v>164</v>
      </c>
      <c r="N882" t="s">
        <v>223</v>
      </c>
      <c r="O882" t="s">
        <v>272</v>
      </c>
      <c r="P882">
        <v>4.4911259265666493E-3</v>
      </c>
      <c r="Q882" t="s">
        <v>164</v>
      </c>
    </row>
    <row r="883" spans="9:17" x14ac:dyDescent="0.45">
      <c r="I883" t="s">
        <v>195</v>
      </c>
      <c r="J883" t="s">
        <v>273</v>
      </c>
      <c r="K883">
        <v>1.1203617665752433E-2</v>
      </c>
      <c r="L883" t="s">
        <v>164</v>
      </c>
      <c r="N883" t="s">
        <v>223</v>
      </c>
      <c r="O883" t="s">
        <v>273</v>
      </c>
      <c r="P883">
        <v>4.8908415935695398E-3</v>
      </c>
      <c r="Q883" t="s">
        <v>164</v>
      </c>
    </row>
    <row r="884" spans="9:17" x14ac:dyDescent="0.45">
      <c r="I884" t="s">
        <v>195</v>
      </c>
      <c r="J884" t="s">
        <v>274</v>
      </c>
      <c r="K884">
        <v>6.4633861809633722E-2</v>
      </c>
      <c r="L884" t="s">
        <v>164</v>
      </c>
      <c r="N884" t="s">
        <v>223</v>
      </c>
      <c r="O884" t="s">
        <v>274</v>
      </c>
      <c r="P884">
        <v>4.2815738437716612E-2</v>
      </c>
      <c r="Q884" t="s">
        <v>164</v>
      </c>
    </row>
    <row r="885" spans="9:17" x14ac:dyDescent="0.45">
      <c r="I885" t="s">
        <v>195</v>
      </c>
      <c r="J885" t="s">
        <v>275</v>
      </c>
      <c r="K885">
        <v>0</v>
      </c>
      <c r="L885" t="s">
        <v>164</v>
      </c>
      <c r="N885" t="s">
        <v>223</v>
      </c>
      <c r="O885" t="s">
        <v>275</v>
      </c>
      <c r="P885">
        <v>8.918940761881362E-3</v>
      </c>
      <c r="Q885" t="s">
        <v>164</v>
      </c>
    </row>
    <row r="886" spans="9:17" x14ac:dyDescent="0.45">
      <c r="I886" t="s">
        <v>195</v>
      </c>
      <c r="J886" t="s">
        <v>276</v>
      </c>
      <c r="K886">
        <v>0</v>
      </c>
      <c r="L886" t="s">
        <v>164</v>
      </c>
      <c r="N886" t="s">
        <v>223</v>
      </c>
      <c r="O886" t="s">
        <v>276</v>
      </c>
      <c r="P886">
        <v>4.5121505417721627E-2</v>
      </c>
      <c r="Q886" t="s">
        <v>164</v>
      </c>
    </row>
    <row r="887" spans="9:17" x14ac:dyDescent="0.45">
      <c r="I887" t="s">
        <v>195</v>
      </c>
      <c r="J887" t="s">
        <v>277</v>
      </c>
      <c r="K887">
        <v>3.1225722971278021E-2</v>
      </c>
      <c r="L887" t="s">
        <v>164</v>
      </c>
      <c r="N887" t="s">
        <v>223</v>
      </c>
      <c r="O887" t="s">
        <v>277</v>
      </c>
      <c r="P887">
        <v>2.7002833165647885E-2</v>
      </c>
      <c r="Q887" t="s">
        <v>164</v>
      </c>
    </row>
    <row r="888" spans="9:17" x14ac:dyDescent="0.45">
      <c r="I888" t="s">
        <v>195</v>
      </c>
      <c r="J888" t="s">
        <v>278</v>
      </c>
      <c r="K888">
        <v>1.6214198050549144E-2</v>
      </c>
      <c r="L888" t="s">
        <v>164</v>
      </c>
      <c r="N888" t="s">
        <v>223</v>
      </c>
      <c r="O888" t="s">
        <v>278</v>
      </c>
      <c r="P888">
        <v>6.8901819987809481E-3</v>
      </c>
      <c r="Q888" t="s">
        <v>164</v>
      </c>
    </row>
    <row r="889" spans="9:17" x14ac:dyDescent="0.45">
      <c r="I889" t="s">
        <v>195</v>
      </c>
      <c r="J889" t="s">
        <v>279</v>
      </c>
      <c r="K889">
        <v>1.7357223811319603E-2</v>
      </c>
      <c r="L889" t="s">
        <v>164</v>
      </c>
      <c r="N889" t="s">
        <v>223</v>
      </c>
      <c r="O889" t="s">
        <v>279</v>
      </c>
      <c r="P889">
        <v>7.8795168716528658E-3</v>
      </c>
      <c r="Q889" t="s">
        <v>164</v>
      </c>
    </row>
    <row r="890" spans="9:17" x14ac:dyDescent="0.45">
      <c r="I890" t="s">
        <v>195</v>
      </c>
      <c r="J890" t="s">
        <v>280</v>
      </c>
      <c r="K890">
        <v>0.10707879548159149</v>
      </c>
      <c r="L890" t="s">
        <v>164</v>
      </c>
      <c r="N890" t="s">
        <v>223</v>
      </c>
      <c r="O890" t="s">
        <v>280</v>
      </c>
      <c r="P890">
        <v>5.5593329015527118E-2</v>
      </c>
      <c r="Q890" t="s">
        <v>164</v>
      </c>
    </row>
    <row r="891" spans="9:17" x14ac:dyDescent="0.45">
      <c r="I891" t="s">
        <v>195</v>
      </c>
      <c r="J891" t="s">
        <v>281</v>
      </c>
      <c r="K891">
        <v>1.6739844358578918E-3</v>
      </c>
      <c r="L891" t="s">
        <v>164</v>
      </c>
      <c r="N891" t="s">
        <v>223</v>
      </c>
      <c r="O891" t="s">
        <v>281</v>
      </c>
      <c r="P891">
        <v>7.9755655843788721E-3</v>
      </c>
      <c r="Q891" t="s">
        <v>164</v>
      </c>
    </row>
    <row r="892" spans="9:17" x14ac:dyDescent="0.45">
      <c r="I892" t="s">
        <v>195</v>
      </c>
      <c r="J892" t="s">
        <v>282</v>
      </c>
      <c r="K892">
        <v>0</v>
      </c>
      <c r="L892" t="s">
        <v>164</v>
      </c>
      <c r="N892" t="s">
        <v>223</v>
      </c>
      <c r="O892" t="s">
        <v>282</v>
      </c>
      <c r="P892">
        <v>3.1463871236163024E-2</v>
      </c>
      <c r="Q892" t="s">
        <v>164</v>
      </c>
    </row>
    <row r="893" spans="9:17" x14ac:dyDescent="0.45">
      <c r="I893" t="s">
        <v>196</v>
      </c>
      <c r="J893" t="s">
        <v>163</v>
      </c>
      <c r="K893">
        <v>1.3413227796328513E-2</v>
      </c>
      <c r="L893" t="s">
        <v>164</v>
      </c>
      <c r="N893" t="s">
        <v>224</v>
      </c>
      <c r="O893" t="s">
        <v>163</v>
      </c>
      <c r="P893">
        <v>1.1776923985046817E-2</v>
      </c>
      <c r="Q893" t="s">
        <v>164</v>
      </c>
    </row>
    <row r="894" spans="9:17" x14ac:dyDescent="0.45">
      <c r="I894" t="s">
        <v>196</v>
      </c>
      <c r="J894" t="s">
        <v>165</v>
      </c>
      <c r="K894">
        <v>9.0729617323602255E-3</v>
      </c>
      <c r="L894" t="s">
        <v>164</v>
      </c>
      <c r="N894" t="s">
        <v>224</v>
      </c>
      <c r="O894" t="s">
        <v>165</v>
      </c>
      <c r="P894">
        <v>2.2638443863593817E-3</v>
      </c>
      <c r="Q894" t="s">
        <v>164</v>
      </c>
    </row>
    <row r="895" spans="9:17" x14ac:dyDescent="0.45">
      <c r="I895" t="s">
        <v>196</v>
      </c>
      <c r="J895" t="s">
        <v>166</v>
      </c>
      <c r="K895">
        <v>9.6116683894918835E-3</v>
      </c>
      <c r="L895" t="s">
        <v>164</v>
      </c>
      <c r="N895" t="s">
        <v>224</v>
      </c>
      <c r="O895" t="s">
        <v>166</v>
      </c>
      <c r="P895">
        <v>3.0163963939341021E-3</v>
      </c>
      <c r="Q895" t="s">
        <v>164</v>
      </c>
    </row>
    <row r="896" spans="9:17" x14ac:dyDescent="0.45">
      <c r="I896" t="s">
        <v>196</v>
      </c>
      <c r="J896" t="s">
        <v>253</v>
      </c>
      <c r="K896">
        <v>6.1540357134918705E-2</v>
      </c>
      <c r="L896" t="s">
        <v>164</v>
      </c>
      <c r="N896" t="s">
        <v>224</v>
      </c>
      <c r="O896" t="s">
        <v>253</v>
      </c>
      <c r="P896">
        <v>2.7173413870819618E-2</v>
      </c>
      <c r="Q896" t="s">
        <v>164</v>
      </c>
    </row>
    <row r="897" spans="9:17" x14ac:dyDescent="0.45">
      <c r="I897" t="s">
        <v>196</v>
      </c>
      <c r="J897" t="s">
        <v>254</v>
      </c>
      <c r="K897">
        <v>2.7920531411189599E-3</v>
      </c>
      <c r="L897" t="s">
        <v>164</v>
      </c>
      <c r="N897" t="s">
        <v>224</v>
      </c>
      <c r="O897" t="s">
        <v>254</v>
      </c>
      <c r="P897">
        <v>6.2472897202740414E-3</v>
      </c>
      <c r="Q897" t="s">
        <v>164</v>
      </c>
    </row>
    <row r="898" spans="9:17" x14ac:dyDescent="0.45">
      <c r="I898" t="s">
        <v>196</v>
      </c>
      <c r="J898" t="s">
        <v>255</v>
      </c>
      <c r="K898">
        <v>0</v>
      </c>
      <c r="L898" t="s">
        <v>164</v>
      </c>
      <c r="N898" t="s">
        <v>224</v>
      </c>
      <c r="O898" t="s">
        <v>255</v>
      </c>
      <c r="P898">
        <v>2.4412009881906841E-2</v>
      </c>
      <c r="Q898" t="s">
        <v>164</v>
      </c>
    </row>
    <row r="899" spans="9:17" x14ac:dyDescent="0.45">
      <c r="I899" t="s">
        <v>196</v>
      </c>
      <c r="J899" t="s">
        <v>167</v>
      </c>
      <c r="K899">
        <v>1.2731744268290367E-2</v>
      </c>
      <c r="L899" t="s">
        <v>164</v>
      </c>
      <c r="N899" t="s">
        <v>224</v>
      </c>
      <c r="O899" t="s">
        <v>167</v>
      </c>
      <c r="P899">
        <v>1.1171302665427563E-2</v>
      </c>
      <c r="Q899" t="s">
        <v>164</v>
      </c>
    </row>
    <row r="900" spans="9:17" x14ac:dyDescent="0.45">
      <c r="I900" t="s">
        <v>196</v>
      </c>
      <c r="J900" t="s">
        <v>168</v>
      </c>
      <c r="K900">
        <v>8.7857237430285957E-3</v>
      </c>
      <c r="L900" t="s">
        <v>164</v>
      </c>
      <c r="N900" t="s">
        <v>224</v>
      </c>
      <c r="O900" t="s">
        <v>168</v>
      </c>
      <c r="P900">
        <v>1.8842257413065864E-3</v>
      </c>
      <c r="Q900" t="s">
        <v>164</v>
      </c>
    </row>
    <row r="901" spans="9:17" x14ac:dyDescent="0.45">
      <c r="I901" t="s">
        <v>196</v>
      </c>
      <c r="J901" t="s">
        <v>169</v>
      </c>
      <c r="K901">
        <v>9.2587303538001729E-3</v>
      </c>
      <c r="L901" t="s">
        <v>164</v>
      </c>
      <c r="N901" t="s">
        <v>224</v>
      </c>
      <c r="O901" t="s">
        <v>169</v>
      </c>
      <c r="P901">
        <v>3.1931550725453599E-3</v>
      </c>
      <c r="Q901" t="s">
        <v>164</v>
      </c>
    </row>
    <row r="902" spans="9:17" x14ac:dyDescent="0.45">
      <c r="I902" t="s">
        <v>196</v>
      </c>
      <c r="J902" t="s">
        <v>256</v>
      </c>
      <c r="K902">
        <v>5.6854531687788736E-2</v>
      </c>
      <c r="L902" t="s">
        <v>164</v>
      </c>
      <c r="N902" t="s">
        <v>224</v>
      </c>
      <c r="O902" t="s">
        <v>256</v>
      </c>
      <c r="P902">
        <v>3.4828798947001756E-2</v>
      </c>
      <c r="Q902" t="s">
        <v>164</v>
      </c>
    </row>
    <row r="903" spans="9:17" x14ac:dyDescent="0.45">
      <c r="I903" t="s">
        <v>196</v>
      </c>
      <c r="J903" t="s">
        <v>257</v>
      </c>
      <c r="K903">
        <v>3.8092675693701529E-3</v>
      </c>
      <c r="L903" t="s">
        <v>164</v>
      </c>
      <c r="N903" t="s">
        <v>224</v>
      </c>
      <c r="O903" t="s">
        <v>257</v>
      </c>
      <c r="P903">
        <v>8.3228385888565494E-3</v>
      </c>
      <c r="Q903" t="s">
        <v>164</v>
      </c>
    </row>
    <row r="904" spans="9:17" x14ac:dyDescent="0.45">
      <c r="I904" t="s">
        <v>196</v>
      </c>
      <c r="J904" t="s">
        <v>258</v>
      </c>
      <c r="K904">
        <v>0</v>
      </c>
      <c r="L904" t="s">
        <v>164</v>
      </c>
      <c r="N904" t="s">
        <v>224</v>
      </c>
      <c r="O904" t="s">
        <v>258</v>
      </c>
      <c r="P904">
        <v>3.8023569755969468E-2</v>
      </c>
      <c r="Q904" t="s">
        <v>164</v>
      </c>
    </row>
    <row r="905" spans="9:17" x14ac:dyDescent="0.45">
      <c r="I905" t="s">
        <v>196</v>
      </c>
      <c r="J905" t="s">
        <v>170</v>
      </c>
      <c r="K905">
        <v>1.1093444835758821E-2</v>
      </c>
      <c r="L905" t="s">
        <v>164</v>
      </c>
      <c r="N905" t="s">
        <v>224</v>
      </c>
      <c r="O905" t="s">
        <v>170</v>
      </c>
      <c r="P905">
        <v>1.032429760253774E-2</v>
      </c>
      <c r="Q905" t="s">
        <v>164</v>
      </c>
    </row>
    <row r="906" spans="9:17" x14ac:dyDescent="0.45">
      <c r="I906" t="s">
        <v>196</v>
      </c>
      <c r="J906" t="s">
        <v>171</v>
      </c>
      <c r="K906">
        <v>7.714610626654116E-3</v>
      </c>
      <c r="L906" t="s">
        <v>164</v>
      </c>
      <c r="N906" t="s">
        <v>224</v>
      </c>
      <c r="O906" t="s">
        <v>171</v>
      </c>
      <c r="P906">
        <v>1.2914014617484931E-3</v>
      </c>
      <c r="Q906" t="s">
        <v>164</v>
      </c>
    </row>
    <row r="907" spans="9:17" x14ac:dyDescent="0.45">
      <c r="I907" t="s">
        <v>196</v>
      </c>
      <c r="J907" t="s">
        <v>172</v>
      </c>
      <c r="K907">
        <v>8.2536181962396937E-3</v>
      </c>
      <c r="L907" t="s">
        <v>164</v>
      </c>
      <c r="N907" t="s">
        <v>224</v>
      </c>
      <c r="O907" t="s">
        <v>172</v>
      </c>
      <c r="P907">
        <v>2.0553994917528644E-3</v>
      </c>
      <c r="Q907" t="s">
        <v>164</v>
      </c>
    </row>
    <row r="908" spans="9:17" x14ac:dyDescent="0.45">
      <c r="I908" t="s">
        <v>196</v>
      </c>
      <c r="J908" t="s">
        <v>259</v>
      </c>
      <c r="K908">
        <v>5.6515515604489093E-2</v>
      </c>
      <c r="L908" t="s">
        <v>164</v>
      </c>
      <c r="N908" t="s">
        <v>224</v>
      </c>
      <c r="O908" t="s">
        <v>259</v>
      </c>
      <c r="P908">
        <v>3.4095576595165648E-2</v>
      </c>
      <c r="Q908" t="s">
        <v>164</v>
      </c>
    </row>
    <row r="909" spans="9:17" x14ac:dyDescent="0.45">
      <c r="I909" t="s">
        <v>196</v>
      </c>
      <c r="J909" t="s">
        <v>260</v>
      </c>
      <c r="K909">
        <v>3.6057828619507617E-3</v>
      </c>
      <c r="L909" t="s">
        <v>164</v>
      </c>
      <c r="N909" t="s">
        <v>224</v>
      </c>
      <c r="O909" t="s">
        <v>260</v>
      </c>
      <c r="P909">
        <v>8.2151122522294076E-3</v>
      </c>
      <c r="Q909" t="s">
        <v>164</v>
      </c>
    </row>
    <row r="910" spans="9:17" x14ac:dyDescent="0.45">
      <c r="I910" t="s">
        <v>196</v>
      </c>
      <c r="J910" t="s">
        <v>261</v>
      </c>
      <c r="K910">
        <v>0</v>
      </c>
      <c r="L910" t="s">
        <v>164</v>
      </c>
      <c r="N910" t="s">
        <v>224</v>
      </c>
      <c r="O910" t="s">
        <v>261</v>
      </c>
      <c r="P910">
        <v>3.9739007601745702E-2</v>
      </c>
      <c r="Q910" t="s">
        <v>164</v>
      </c>
    </row>
    <row r="911" spans="9:17" x14ac:dyDescent="0.45">
      <c r="I911" t="s">
        <v>196</v>
      </c>
      <c r="J911" t="s">
        <v>173</v>
      </c>
      <c r="K911">
        <v>5.6565339588142104E-2</v>
      </c>
      <c r="L911" t="s">
        <v>164</v>
      </c>
      <c r="N911" t="s">
        <v>224</v>
      </c>
      <c r="O911" t="s">
        <v>173</v>
      </c>
      <c r="P911">
        <v>3.2922545401594679E-2</v>
      </c>
      <c r="Q911" t="s">
        <v>164</v>
      </c>
    </row>
    <row r="912" spans="9:17" x14ac:dyDescent="0.45">
      <c r="I912" t="s">
        <v>196</v>
      </c>
      <c r="J912" t="s">
        <v>174</v>
      </c>
      <c r="K912">
        <v>3.4486465396213799E-2</v>
      </c>
      <c r="L912" t="s">
        <v>164</v>
      </c>
      <c r="N912" t="s">
        <v>224</v>
      </c>
      <c r="O912" t="s">
        <v>174</v>
      </c>
      <c r="P912">
        <v>3.3674145183920623E-3</v>
      </c>
      <c r="Q912" t="s">
        <v>164</v>
      </c>
    </row>
    <row r="913" spans="9:17" x14ac:dyDescent="0.45">
      <c r="I913" t="s">
        <v>196</v>
      </c>
      <c r="J913" t="s">
        <v>175</v>
      </c>
      <c r="K913">
        <v>3.9346241459047714E-2</v>
      </c>
      <c r="L913" t="s">
        <v>164</v>
      </c>
      <c r="N913" t="s">
        <v>224</v>
      </c>
      <c r="O913" t="s">
        <v>175</v>
      </c>
      <c r="P913">
        <v>5.2587347090579618E-3</v>
      </c>
      <c r="Q913" t="s">
        <v>164</v>
      </c>
    </row>
    <row r="914" spans="9:17" x14ac:dyDescent="0.45">
      <c r="I914" t="s">
        <v>196</v>
      </c>
      <c r="J914" t="s">
        <v>262</v>
      </c>
      <c r="K914">
        <v>0.23494306902312945</v>
      </c>
      <c r="L914" t="s">
        <v>164</v>
      </c>
      <c r="N914" t="s">
        <v>224</v>
      </c>
      <c r="O914" t="s">
        <v>262</v>
      </c>
      <c r="P914">
        <v>8.015486716883137E-2</v>
      </c>
      <c r="Q914" t="s">
        <v>164</v>
      </c>
    </row>
    <row r="915" spans="9:17" x14ac:dyDescent="0.45">
      <c r="I915" t="s">
        <v>196</v>
      </c>
      <c r="J915" t="s">
        <v>263</v>
      </c>
      <c r="K915">
        <v>4.6591461560180954E-3</v>
      </c>
      <c r="L915" t="s">
        <v>164</v>
      </c>
      <c r="N915" t="s">
        <v>224</v>
      </c>
      <c r="O915" t="s">
        <v>263</v>
      </c>
      <c r="P915">
        <v>2.9917662515334797E-2</v>
      </c>
      <c r="Q915" t="s">
        <v>164</v>
      </c>
    </row>
    <row r="916" spans="9:17" x14ac:dyDescent="0.45">
      <c r="I916" t="s">
        <v>196</v>
      </c>
      <c r="J916" t="s">
        <v>264</v>
      </c>
      <c r="K916">
        <v>0</v>
      </c>
      <c r="L916" t="s">
        <v>164</v>
      </c>
      <c r="N916" t="s">
        <v>224</v>
      </c>
      <c r="O916" t="s">
        <v>264</v>
      </c>
      <c r="P916">
        <v>0.15722499961511902</v>
      </c>
      <c r="Q916" t="s">
        <v>164</v>
      </c>
    </row>
    <row r="917" spans="9:17" x14ac:dyDescent="0.45">
      <c r="I917" t="s">
        <v>196</v>
      </c>
      <c r="J917" t="s">
        <v>265</v>
      </c>
      <c r="K917">
        <v>1.7221817286410274E-2</v>
      </c>
      <c r="L917" t="s">
        <v>164</v>
      </c>
      <c r="N917" t="s">
        <v>224</v>
      </c>
      <c r="O917" t="s">
        <v>265</v>
      </c>
      <c r="P917">
        <v>9.0239983745268124E-3</v>
      </c>
      <c r="Q917" t="s">
        <v>164</v>
      </c>
    </row>
    <row r="918" spans="9:17" x14ac:dyDescent="0.45">
      <c r="I918" t="s">
        <v>196</v>
      </c>
      <c r="J918" t="s">
        <v>266</v>
      </c>
      <c r="K918">
        <v>8.5749392718635839E-3</v>
      </c>
      <c r="L918" t="s">
        <v>164</v>
      </c>
      <c r="N918" t="s">
        <v>224</v>
      </c>
      <c r="O918" t="s">
        <v>266</v>
      </c>
      <c r="P918">
        <v>1.1100528454942734E-3</v>
      </c>
      <c r="Q918" t="s">
        <v>164</v>
      </c>
    </row>
    <row r="919" spans="9:17" x14ac:dyDescent="0.45">
      <c r="I919" t="s">
        <v>196</v>
      </c>
      <c r="J919" t="s">
        <v>267</v>
      </c>
      <c r="K919">
        <v>9.2302319831636444E-3</v>
      </c>
      <c r="L919" t="s">
        <v>164</v>
      </c>
      <c r="N919" t="s">
        <v>224</v>
      </c>
      <c r="O919" t="s">
        <v>267</v>
      </c>
      <c r="P919">
        <v>1.2399471869357539E-3</v>
      </c>
      <c r="Q919" t="s">
        <v>164</v>
      </c>
    </row>
    <row r="920" spans="9:17" x14ac:dyDescent="0.45">
      <c r="I920" t="s">
        <v>196</v>
      </c>
      <c r="J920" t="s">
        <v>268</v>
      </c>
      <c r="K920">
        <v>5.6692315117466072E-2</v>
      </c>
      <c r="L920" t="s">
        <v>164</v>
      </c>
      <c r="N920" t="s">
        <v>224</v>
      </c>
      <c r="O920" t="s">
        <v>268</v>
      </c>
      <c r="P920">
        <v>2.6436080431429424E-2</v>
      </c>
      <c r="Q920" t="s">
        <v>164</v>
      </c>
    </row>
    <row r="921" spans="9:17" x14ac:dyDescent="0.45">
      <c r="I921" t="s">
        <v>196</v>
      </c>
      <c r="J921" t="s">
        <v>269</v>
      </c>
      <c r="K921">
        <v>6.4823643560351629E-8</v>
      </c>
      <c r="L921" t="s">
        <v>164</v>
      </c>
      <c r="N921" t="s">
        <v>224</v>
      </c>
      <c r="O921" t="s">
        <v>269</v>
      </c>
      <c r="P921">
        <v>1.2225357664610552E-2</v>
      </c>
      <c r="Q921" t="s">
        <v>164</v>
      </c>
    </row>
    <row r="922" spans="9:17" x14ac:dyDescent="0.45">
      <c r="I922" t="s">
        <v>196</v>
      </c>
      <c r="J922" t="s">
        <v>270</v>
      </c>
      <c r="K922">
        <v>0</v>
      </c>
      <c r="L922" t="s">
        <v>164</v>
      </c>
      <c r="N922" t="s">
        <v>224</v>
      </c>
      <c r="O922" t="s">
        <v>270</v>
      </c>
      <c r="P922">
        <v>5.8198136264693452E-2</v>
      </c>
      <c r="Q922" t="s">
        <v>164</v>
      </c>
    </row>
    <row r="923" spans="9:17" x14ac:dyDescent="0.45">
      <c r="I923" t="s">
        <v>196</v>
      </c>
      <c r="J923" t="s">
        <v>271</v>
      </c>
      <c r="K923">
        <v>1.8619518594195021E-2</v>
      </c>
      <c r="L923" t="s">
        <v>164</v>
      </c>
      <c r="N923" t="s">
        <v>224</v>
      </c>
      <c r="O923" t="s">
        <v>271</v>
      </c>
      <c r="P923">
        <v>1.7316672623744138E-2</v>
      </c>
      <c r="Q923" t="s">
        <v>164</v>
      </c>
    </row>
    <row r="924" spans="9:17" x14ac:dyDescent="0.45">
      <c r="I924" t="s">
        <v>196</v>
      </c>
      <c r="J924" t="s">
        <v>272</v>
      </c>
      <c r="K924">
        <v>9.0249384595666171E-3</v>
      </c>
      <c r="L924" t="s">
        <v>164</v>
      </c>
      <c r="N924" t="s">
        <v>224</v>
      </c>
      <c r="O924" t="s">
        <v>272</v>
      </c>
      <c r="P924">
        <v>2.5445591502920618E-3</v>
      </c>
      <c r="Q924" t="s">
        <v>164</v>
      </c>
    </row>
    <row r="925" spans="9:17" x14ac:dyDescent="0.45">
      <c r="I925" t="s">
        <v>196</v>
      </c>
      <c r="J925" t="s">
        <v>273</v>
      </c>
      <c r="K925">
        <v>9.5412077935100401E-3</v>
      </c>
      <c r="L925" t="s">
        <v>164</v>
      </c>
      <c r="N925" t="s">
        <v>224</v>
      </c>
      <c r="O925" t="s">
        <v>273</v>
      </c>
      <c r="P925">
        <v>3.3390076600594734E-3</v>
      </c>
      <c r="Q925" t="s">
        <v>164</v>
      </c>
    </row>
    <row r="926" spans="9:17" x14ac:dyDescent="0.45">
      <c r="I926" t="s">
        <v>196</v>
      </c>
      <c r="J926" t="s">
        <v>274</v>
      </c>
      <c r="K926">
        <v>5.9231264440651035E-2</v>
      </c>
      <c r="L926" t="s">
        <v>164</v>
      </c>
      <c r="N926" t="s">
        <v>224</v>
      </c>
      <c r="O926" t="s">
        <v>274</v>
      </c>
      <c r="P926">
        <v>4.7191653484782187E-2</v>
      </c>
      <c r="Q926" t="s">
        <v>164</v>
      </c>
    </row>
    <row r="927" spans="9:17" x14ac:dyDescent="0.45">
      <c r="I927" t="s">
        <v>196</v>
      </c>
      <c r="J927" t="s">
        <v>275</v>
      </c>
      <c r="K927">
        <v>0</v>
      </c>
      <c r="L927" t="s">
        <v>164</v>
      </c>
      <c r="N927" t="s">
        <v>224</v>
      </c>
      <c r="O927" t="s">
        <v>275</v>
      </c>
      <c r="P927">
        <v>1.6227206628120223E-2</v>
      </c>
      <c r="Q927" t="s">
        <v>164</v>
      </c>
    </row>
    <row r="928" spans="9:17" x14ac:dyDescent="0.45">
      <c r="I928" t="s">
        <v>196</v>
      </c>
      <c r="J928" t="s">
        <v>276</v>
      </c>
      <c r="K928">
        <v>0</v>
      </c>
      <c r="L928" t="s">
        <v>164</v>
      </c>
      <c r="N928" t="s">
        <v>224</v>
      </c>
      <c r="O928" t="s">
        <v>276</v>
      </c>
      <c r="P928">
        <v>7.9879019519707065E-2</v>
      </c>
      <c r="Q928" t="s">
        <v>164</v>
      </c>
    </row>
    <row r="929" spans="9:17" x14ac:dyDescent="0.45">
      <c r="I929" t="s">
        <v>196</v>
      </c>
      <c r="J929" t="s">
        <v>277</v>
      </c>
      <c r="K929">
        <v>2.853634276762743E-2</v>
      </c>
      <c r="L929" t="s">
        <v>164</v>
      </c>
      <c r="N929" t="s">
        <v>224</v>
      </c>
      <c r="O929" t="s">
        <v>277</v>
      </c>
      <c r="P929">
        <v>2.468959845797581E-2</v>
      </c>
      <c r="Q929" t="s">
        <v>164</v>
      </c>
    </row>
    <row r="930" spans="9:17" x14ac:dyDescent="0.45">
      <c r="I930" t="s">
        <v>196</v>
      </c>
      <c r="J930" t="s">
        <v>278</v>
      </c>
      <c r="K930">
        <v>1.5808237145646515E-2</v>
      </c>
      <c r="L930" t="s">
        <v>164</v>
      </c>
      <c r="N930" t="s">
        <v>224</v>
      </c>
      <c r="O930" t="s">
        <v>278</v>
      </c>
      <c r="P930">
        <v>3.988482635394858E-3</v>
      </c>
      <c r="Q930" t="s">
        <v>164</v>
      </c>
    </row>
    <row r="931" spans="9:17" x14ac:dyDescent="0.45">
      <c r="I931" t="s">
        <v>196</v>
      </c>
      <c r="J931" t="s">
        <v>279</v>
      </c>
      <c r="K931">
        <v>1.6735495868858752E-2</v>
      </c>
      <c r="L931" t="s">
        <v>164</v>
      </c>
      <c r="N931" t="s">
        <v>224</v>
      </c>
      <c r="O931" t="s">
        <v>279</v>
      </c>
      <c r="P931">
        <v>4.7040204270844084E-3</v>
      </c>
      <c r="Q931" t="s">
        <v>164</v>
      </c>
    </row>
    <row r="932" spans="9:17" x14ac:dyDescent="0.45">
      <c r="I932" t="s">
        <v>196</v>
      </c>
      <c r="J932" t="s">
        <v>280</v>
      </c>
      <c r="K932">
        <v>0.10573012688325586</v>
      </c>
      <c r="L932" t="s">
        <v>164</v>
      </c>
      <c r="N932" t="s">
        <v>224</v>
      </c>
      <c r="O932" t="s">
        <v>280</v>
      </c>
      <c r="P932">
        <v>5.1904528898324052E-2</v>
      </c>
      <c r="Q932" t="s">
        <v>164</v>
      </c>
    </row>
    <row r="933" spans="9:17" x14ac:dyDescent="0.45">
      <c r="I933" t="s">
        <v>196</v>
      </c>
      <c r="J933" t="s">
        <v>281</v>
      </c>
      <c r="K933">
        <v>0</v>
      </c>
      <c r="L933" t="s">
        <v>164</v>
      </c>
      <c r="N933" t="s">
        <v>224</v>
      </c>
      <c r="O933" t="s">
        <v>281</v>
      </c>
      <c r="P933">
        <v>1.2188712577912273E-2</v>
      </c>
      <c r="Q933" t="s">
        <v>164</v>
      </c>
    </row>
    <row r="934" spans="9:17" x14ac:dyDescent="0.45">
      <c r="I934" t="s">
        <v>196</v>
      </c>
      <c r="J934" t="s">
        <v>282</v>
      </c>
      <c r="K934">
        <v>0</v>
      </c>
      <c r="L934" t="s">
        <v>164</v>
      </c>
      <c r="N934" t="s">
        <v>224</v>
      </c>
      <c r="O934" t="s">
        <v>282</v>
      </c>
      <c r="P934">
        <v>5.091217722595353E-2</v>
      </c>
      <c r="Q934" t="s">
        <v>164</v>
      </c>
    </row>
    <row r="935" spans="9:17" x14ac:dyDescent="0.45">
      <c r="I935" t="s">
        <v>197</v>
      </c>
      <c r="J935" t="s">
        <v>163</v>
      </c>
      <c r="K935">
        <v>1.4536783144154117E-2</v>
      </c>
      <c r="L935" t="s">
        <v>164</v>
      </c>
      <c r="N935" t="s">
        <v>225</v>
      </c>
      <c r="O935" t="s">
        <v>163</v>
      </c>
      <c r="P935">
        <v>1.5890596749226826E-2</v>
      </c>
      <c r="Q935" t="s">
        <v>164</v>
      </c>
    </row>
    <row r="936" spans="9:17" x14ac:dyDescent="0.45">
      <c r="I936" t="s">
        <v>197</v>
      </c>
      <c r="J936" t="s">
        <v>165</v>
      </c>
      <c r="K936">
        <v>9.8020778183801442E-3</v>
      </c>
      <c r="L936" t="s">
        <v>164</v>
      </c>
      <c r="N936" t="s">
        <v>225</v>
      </c>
      <c r="O936" t="s">
        <v>165</v>
      </c>
      <c r="P936">
        <v>1.2302823812237488E-3</v>
      </c>
      <c r="Q936" t="s">
        <v>164</v>
      </c>
    </row>
    <row r="937" spans="9:17" x14ac:dyDescent="0.45">
      <c r="I937" t="s">
        <v>197</v>
      </c>
      <c r="J937" t="s">
        <v>166</v>
      </c>
      <c r="K937">
        <v>1.027839906171386E-2</v>
      </c>
      <c r="L937" t="s">
        <v>164</v>
      </c>
      <c r="N937" t="s">
        <v>225</v>
      </c>
      <c r="O937" t="s">
        <v>166</v>
      </c>
      <c r="P937">
        <v>1.1616691338537798E-3</v>
      </c>
      <c r="Q937" t="s">
        <v>164</v>
      </c>
    </row>
    <row r="938" spans="9:17" x14ac:dyDescent="0.45">
      <c r="I938" t="s">
        <v>197</v>
      </c>
      <c r="J938" t="s">
        <v>253</v>
      </c>
      <c r="K938">
        <v>6.5001018525012597E-2</v>
      </c>
      <c r="L938" t="s">
        <v>164</v>
      </c>
      <c r="N938" t="s">
        <v>225</v>
      </c>
      <c r="O938" t="s">
        <v>253</v>
      </c>
      <c r="P938">
        <v>1.388058366154174E-2</v>
      </c>
      <c r="Q938" t="s">
        <v>164</v>
      </c>
    </row>
    <row r="939" spans="9:17" x14ac:dyDescent="0.45">
      <c r="I939" t="s">
        <v>197</v>
      </c>
      <c r="J939" t="s">
        <v>254</v>
      </c>
      <c r="K939">
        <v>9.7699997549877409E-4</v>
      </c>
      <c r="L939" t="s">
        <v>164</v>
      </c>
      <c r="N939" t="s">
        <v>225</v>
      </c>
      <c r="O939" t="s">
        <v>254</v>
      </c>
      <c r="P939">
        <v>7.1703133126670366E-3</v>
      </c>
      <c r="Q939" t="s">
        <v>164</v>
      </c>
    </row>
    <row r="940" spans="9:17" x14ac:dyDescent="0.45">
      <c r="I940" t="s">
        <v>197</v>
      </c>
      <c r="J940" t="s">
        <v>255</v>
      </c>
      <c r="K940">
        <v>0</v>
      </c>
      <c r="L940" t="s">
        <v>164</v>
      </c>
      <c r="N940" t="s">
        <v>225</v>
      </c>
      <c r="O940" t="s">
        <v>255</v>
      </c>
      <c r="P940">
        <v>4.6997324829795531E-2</v>
      </c>
      <c r="Q940" t="s">
        <v>164</v>
      </c>
    </row>
    <row r="941" spans="9:17" x14ac:dyDescent="0.45">
      <c r="I941" t="s">
        <v>197</v>
      </c>
      <c r="J941" t="s">
        <v>167</v>
      </c>
      <c r="K941">
        <v>1.3113586119044016E-2</v>
      </c>
      <c r="L941" t="s">
        <v>164</v>
      </c>
      <c r="N941" t="s">
        <v>225</v>
      </c>
      <c r="O941" t="s">
        <v>167</v>
      </c>
      <c r="P941">
        <v>1.866390560424025E-2</v>
      </c>
      <c r="Q941" t="s">
        <v>164</v>
      </c>
    </row>
    <row r="942" spans="9:17" x14ac:dyDescent="0.45">
      <c r="I942" t="s">
        <v>197</v>
      </c>
      <c r="J942" t="s">
        <v>168</v>
      </c>
      <c r="K942">
        <v>8.8107281848790776E-3</v>
      </c>
      <c r="L942" t="s">
        <v>164</v>
      </c>
      <c r="N942" t="s">
        <v>225</v>
      </c>
      <c r="O942" t="s">
        <v>168</v>
      </c>
      <c r="P942">
        <v>1.1842291294443612E-3</v>
      </c>
      <c r="Q942" t="s">
        <v>164</v>
      </c>
    </row>
    <row r="943" spans="9:17" x14ac:dyDescent="0.45">
      <c r="I943" t="s">
        <v>197</v>
      </c>
      <c r="J943" t="s">
        <v>169</v>
      </c>
      <c r="K943">
        <v>9.475727865548858E-3</v>
      </c>
      <c r="L943" t="s">
        <v>164</v>
      </c>
      <c r="N943" t="s">
        <v>225</v>
      </c>
      <c r="O943" t="s">
        <v>169</v>
      </c>
      <c r="P943">
        <v>1.7042900909468759E-3</v>
      </c>
      <c r="Q943" t="s">
        <v>164</v>
      </c>
    </row>
    <row r="944" spans="9:17" x14ac:dyDescent="0.45">
      <c r="I944" t="s">
        <v>197</v>
      </c>
      <c r="J944" t="s">
        <v>256</v>
      </c>
      <c r="K944">
        <v>5.9472793707928198E-2</v>
      </c>
      <c r="L944" t="s">
        <v>164</v>
      </c>
      <c r="N944" t="s">
        <v>225</v>
      </c>
      <c r="O944" t="s">
        <v>256</v>
      </c>
      <c r="P944">
        <v>2.0060097893526561E-2</v>
      </c>
      <c r="Q944" t="s">
        <v>164</v>
      </c>
    </row>
    <row r="945" spans="9:17" x14ac:dyDescent="0.45">
      <c r="I945" t="s">
        <v>197</v>
      </c>
      <c r="J945" t="s">
        <v>257</v>
      </c>
      <c r="K945">
        <v>4.168926854210742E-3</v>
      </c>
      <c r="L945" t="s">
        <v>164</v>
      </c>
      <c r="N945" t="s">
        <v>225</v>
      </c>
      <c r="O945" t="s">
        <v>257</v>
      </c>
      <c r="P945">
        <v>7.5297701544455309E-3</v>
      </c>
      <c r="Q945" t="s">
        <v>164</v>
      </c>
    </row>
    <row r="946" spans="9:17" x14ac:dyDescent="0.45">
      <c r="I946" t="s">
        <v>197</v>
      </c>
      <c r="J946" t="s">
        <v>258</v>
      </c>
      <c r="K946">
        <v>0</v>
      </c>
      <c r="L946" t="s">
        <v>164</v>
      </c>
      <c r="N946" t="s">
        <v>225</v>
      </c>
      <c r="O946" t="s">
        <v>258</v>
      </c>
      <c r="P946">
        <v>4.6988667605078895E-2</v>
      </c>
      <c r="Q946" t="s">
        <v>164</v>
      </c>
    </row>
    <row r="947" spans="9:17" x14ac:dyDescent="0.45">
      <c r="I947" t="s">
        <v>197</v>
      </c>
      <c r="J947" t="s">
        <v>170</v>
      </c>
      <c r="K947">
        <v>1.0660080745094535E-2</v>
      </c>
      <c r="L947" t="s">
        <v>164</v>
      </c>
      <c r="N947" t="s">
        <v>225</v>
      </c>
      <c r="O947" t="s">
        <v>170</v>
      </c>
      <c r="P947">
        <v>2.6481868012883211E-2</v>
      </c>
      <c r="Q947" t="s">
        <v>164</v>
      </c>
    </row>
    <row r="948" spans="9:17" x14ac:dyDescent="0.45">
      <c r="I948" t="s">
        <v>197</v>
      </c>
      <c r="J948" t="s">
        <v>171</v>
      </c>
      <c r="K948">
        <v>7.2604241624643151E-3</v>
      </c>
      <c r="L948" t="s">
        <v>164</v>
      </c>
      <c r="N948" t="s">
        <v>225</v>
      </c>
      <c r="O948" t="s">
        <v>171</v>
      </c>
      <c r="P948">
        <v>9.0918286928221243E-4</v>
      </c>
      <c r="Q948" t="s">
        <v>164</v>
      </c>
    </row>
    <row r="949" spans="9:17" x14ac:dyDescent="0.45">
      <c r="I949" t="s">
        <v>197</v>
      </c>
      <c r="J949" t="s">
        <v>172</v>
      </c>
      <c r="K949">
        <v>8.2619590804669952E-3</v>
      </c>
      <c r="L949" t="s">
        <v>164</v>
      </c>
      <c r="N949" t="s">
        <v>225</v>
      </c>
      <c r="O949" t="s">
        <v>172</v>
      </c>
      <c r="P949">
        <v>1.1228644675639887E-3</v>
      </c>
      <c r="Q949" t="s">
        <v>164</v>
      </c>
    </row>
    <row r="950" spans="9:17" x14ac:dyDescent="0.45">
      <c r="I950" t="s">
        <v>197</v>
      </c>
      <c r="J950" t="s">
        <v>259</v>
      </c>
      <c r="K950">
        <v>5.798115803636749E-2</v>
      </c>
      <c r="L950" t="s">
        <v>164</v>
      </c>
      <c r="N950" t="s">
        <v>225</v>
      </c>
      <c r="O950" t="s">
        <v>259</v>
      </c>
      <c r="P950">
        <v>2.0355273073081527E-2</v>
      </c>
      <c r="Q950" t="s">
        <v>164</v>
      </c>
    </row>
    <row r="951" spans="9:17" x14ac:dyDescent="0.45">
      <c r="I951" t="s">
        <v>197</v>
      </c>
      <c r="J951" t="s">
        <v>260</v>
      </c>
      <c r="K951">
        <v>5.8238579182687462E-4</v>
      </c>
      <c r="L951" t="s">
        <v>164</v>
      </c>
      <c r="N951" t="s">
        <v>225</v>
      </c>
      <c r="O951" t="s">
        <v>260</v>
      </c>
      <c r="P951">
        <v>8.9891167779114316E-3</v>
      </c>
      <c r="Q951" t="s">
        <v>164</v>
      </c>
    </row>
    <row r="952" spans="9:17" x14ac:dyDescent="0.45">
      <c r="I952" t="s">
        <v>197</v>
      </c>
      <c r="J952" t="s">
        <v>261</v>
      </c>
      <c r="K952">
        <v>0</v>
      </c>
      <c r="L952" t="s">
        <v>164</v>
      </c>
      <c r="N952" t="s">
        <v>225</v>
      </c>
      <c r="O952" t="s">
        <v>261</v>
      </c>
      <c r="P952">
        <v>5.7475972913384653E-2</v>
      </c>
      <c r="Q952" t="s">
        <v>164</v>
      </c>
    </row>
    <row r="953" spans="9:17" x14ac:dyDescent="0.45">
      <c r="I953" t="s">
        <v>197</v>
      </c>
      <c r="J953" t="s">
        <v>173</v>
      </c>
      <c r="K953">
        <v>6.4758448644402847E-2</v>
      </c>
      <c r="L953" t="s">
        <v>164</v>
      </c>
      <c r="N953" t="s">
        <v>225</v>
      </c>
      <c r="O953" t="s">
        <v>173</v>
      </c>
      <c r="P953">
        <v>0.10728046930691471</v>
      </c>
      <c r="Q953" t="s">
        <v>164</v>
      </c>
    </row>
    <row r="954" spans="9:17" x14ac:dyDescent="0.45">
      <c r="I954" t="s">
        <v>197</v>
      </c>
      <c r="J954" t="s">
        <v>174</v>
      </c>
      <c r="K954">
        <v>3.549742169626649E-2</v>
      </c>
      <c r="L954" t="s">
        <v>164</v>
      </c>
      <c r="N954" t="s">
        <v>225</v>
      </c>
      <c r="O954" t="s">
        <v>174</v>
      </c>
      <c r="P954">
        <v>1.1480646199253793E-3</v>
      </c>
      <c r="Q954" t="s">
        <v>164</v>
      </c>
    </row>
    <row r="955" spans="9:17" x14ac:dyDescent="0.45">
      <c r="I955" t="s">
        <v>197</v>
      </c>
      <c r="J955" t="s">
        <v>175</v>
      </c>
      <c r="K955">
        <v>3.9966929366215431E-2</v>
      </c>
      <c r="L955" t="s">
        <v>164</v>
      </c>
      <c r="N955" t="s">
        <v>225</v>
      </c>
      <c r="O955" t="s">
        <v>175</v>
      </c>
      <c r="P955">
        <v>1.3779643508777758E-3</v>
      </c>
      <c r="Q955" t="s">
        <v>164</v>
      </c>
    </row>
    <row r="956" spans="9:17" x14ac:dyDescent="0.45">
      <c r="I956" t="s">
        <v>197</v>
      </c>
      <c r="J956" t="s">
        <v>262</v>
      </c>
      <c r="K956">
        <v>0.22434008793248972</v>
      </c>
      <c r="L956" t="s">
        <v>164</v>
      </c>
      <c r="N956" t="s">
        <v>225</v>
      </c>
      <c r="O956" t="s">
        <v>262</v>
      </c>
      <c r="P956">
        <v>2.0624743285399809E-2</v>
      </c>
      <c r="Q956" t="s">
        <v>164</v>
      </c>
    </row>
    <row r="957" spans="9:17" x14ac:dyDescent="0.45">
      <c r="I957" t="s">
        <v>197</v>
      </c>
      <c r="J957" t="s">
        <v>263</v>
      </c>
      <c r="K957">
        <v>0</v>
      </c>
      <c r="L957" t="s">
        <v>164</v>
      </c>
      <c r="N957" t="s">
        <v>225</v>
      </c>
      <c r="O957" t="s">
        <v>263</v>
      </c>
      <c r="P957">
        <v>6.2249072509831119E-3</v>
      </c>
      <c r="Q957" t="s">
        <v>164</v>
      </c>
    </row>
    <row r="958" spans="9:17" x14ac:dyDescent="0.45">
      <c r="I958" t="s">
        <v>197</v>
      </c>
      <c r="J958" t="s">
        <v>264</v>
      </c>
      <c r="K958">
        <v>0</v>
      </c>
      <c r="L958" t="s">
        <v>164</v>
      </c>
      <c r="N958" t="s">
        <v>225</v>
      </c>
      <c r="O958" t="s">
        <v>264</v>
      </c>
      <c r="P958">
        <v>8.5005405148530097E-2</v>
      </c>
      <c r="Q958" t="s">
        <v>164</v>
      </c>
    </row>
    <row r="959" spans="9:17" x14ac:dyDescent="0.45">
      <c r="I959" t="s">
        <v>197</v>
      </c>
      <c r="J959" t="s">
        <v>265</v>
      </c>
      <c r="K959">
        <v>1.6141521592582895E-2</v>
      </c>
      <c r="L959" t="s">
        <v>164</v>
      </c>
      <c r="N959" t="s">
        <v>225</v>
      </c>
      <c r="O959" t="s">
        <v>265</v>
      </c>
      <c r="P959">
        <v>3.4232746570254102E-2</v>
      </c>
      <c r="Q959" t="s">
        <v>164</v>
      </c>
    </row>
    <row r="960" spans="9:17" x14ac:dyDescent="0.45">
      <c r="I960" t="s">
        <v>197</v>
      </c>
      <c r="J960" t="s">
        <v>266</v>
      </c>
      <c r="K960">
        <v>8.1727921207113783E-3</v>
      </c>
      <c r="L960" t="s">
        <v>164</v>
      </c>
      <c r="N960" t="s">
        <v>225</v>
      </c>
      <c r="O960" t="s">
        <v>266</v>
      </c>
      <c r="P960">
        <v>2.5255201074436912E-4</v>
      </c>
      <c r="Q960" t="s">
        <v>164</v>
      </c>
    </row>
    <row r="961" spans="9:17" x14ac:dyDescent="0.45">
      <c r="I961" t="s">
        <v>197</v>
      </c>
      <c r="J961" t="s">
        <v>267</v>
      </c>
      <c r="K961">
        <v>8.9273642716685316E-3</v>
      </c>
      <c r="L961" t="s">
        <v>164</v>
      </c>
      <c r="N961" t="s">
        <v>225</v>
      </c>
      <c r="O961" t="s">
        <v>267</v>
      </c>
      <c r="P961">
        <v>2.2349359929945315E-4</v>
      </c>
      <c r="Q961" t="s">
        <v>164</v>
      </c>
    </row>
    <row r="962" spans="9:17" x14ac:dyDescent="0.45">
      <c r="I962" t="s">
        <v>197</v>
      </c>
      <c r="J962" t="s">
        <v>268</v>
      </c>
      <c r="K962">
        <v>5.2854597283364183E-2</v>
      </c>
      <c r="L962" t="s">
        <v>164</v>
      </c>
      <c r="N962" t="s">
        <v>225</v>
      </c>
      <c r="O962" t="s">
        <v>268</v>
      </c>
      <c r="P962">
        <v>6.8994337445729172E-3</v>
      </c>
      <c r="Q962" t="s">
        <v>164</v>
      </c>
    </row>
    <row r="963" spans="9:17" x14ac:dyDescent="0.45">
      <c r="I963" t="s">
        <v>197</v>
      </c>
      <c r="J963" t="s">
        <v>269</v>
      </c>
      <c r="K963">
        <v>0</v>
      </c>
      <c r="L963" t="s">
        <v>164</v>
      </c>
      <c r="N963" t="s">
        <v>225</v>
      </c>
      <c r="O963" t="s">
        <v>269</v>
      </c>
      <c r="P963">
        <v>4.2499351230015237E-3</v>
      </c>
      <c r="Q963" t="s">
        <v>164</v>
      </c>
    </row>
    <row r="964" spans="9:17" x14ac:dyDescent="0.45">
      <c r="I964" t="s">
        <v>197</v>
      </c>
      <c r="J964" t="s">
        <v>270</v>
      </c>
      <c r="K964">
        <v>0</v>
      </c>
      <c r="L964" t="s">
        <v>164</v>
      </c>
      <c r="N964" t="s">
        <v>225</v>
      </c>
      <c r="O964" t="s">
        <v>270</v>
      </c>
      <c r="P964">
        <v>6.1543043025386032E-2</v>
      </c>
      <c r="Q964" t="s">
        <v>164</v>
      </c>
    </row>
    <row r="965" spans="9:17" x14ac:dyDescent="0.45">
      <c r="I965" t="s">
        <v>197</v>
      </c>
      <c r="J965" t="s">
        <v>271</v>
      </c>
      <c r="K965">
        <v>1.7503908243839409E-2</v>
      </c>
      <c r="L965" t="s">
        <v>164</v>
      </c>
      <c r="N965" t="s">
        <v>225</v>
      </c>
      <c r="O965" t="s">
        <v>271</v>
      </c>
      <c r="P965">
        <v>4.423025049484014E-2</v>
      </c>
      <c r="Q965" t="s">
        <v>164</v>
      </c>
    </row>
    <row r="966" spans="9:17" x14ac:dyDescent="0.45">
      <c r="I966" t="s">
        <v>197</v>
      </c>
      <c r="J966" t="s">
        <v>272</v>
      </c>
      <c r="K966">
        <v>8.7298281206586031E-3</v>
      </c>
      <c r="L966" t="s">
        <v>164</v>
      </c>
      <c r="N966" t="s">
        <v>225</v>
      </c>
      <c r="O966" t="s">
        <v>272</v>
      </c>
      <c r="P966">
        <v>7.7741496902806963E-4</v>
      </c>
      <c r="Q966" t="s">
        <v>164</v>
      </c>
    </row>
    <row r="967" spans="9:17" x14ac:dyDescent="0.45">
      <c r="I967" t="s">
        <v>197</v>
      </c>
      <c r="J967" t="s">
        <v>273</v>
      </c>
      <c r="K967">
        <v>9.5703504630263517E-3</v>
      </c>
      <c r="L967" t="s">
        <v>164</v>
      </c>
      <c r="N967" t="s">
        <v>225</v>
      </c>
      <c r="O967" t="s">
        <v>273</v>
      </c>
      <c r="P967">
        <v>8.8950565277495504E-4</v>
      </c>
      <c r="Q967" t="s">
        <v>164</v>
      </c>
    </row>
    <row r="968" spans="9:17" x14ac:dyDescent="0.45">
      <c r="I968" t="s">
        <v>197</v>
      </c>
      <c r="J968" t="s">
        <v>274</v>
      </c>
      <c r="K968">
        <v>6.0563927536174858E-2</v>
      </c>
      <c r="L968" t="s">
        <v>164</v>
      </c>
      <c r="N968" t="s">
        <v>225</v>
      </c>
      <c r="O968" t="s">
        <v>274</v>
      </c>
      <c r="P968">
        <v>2.2977295796424588E-2</v>
      </c>
      <c r="Q968" t="s">
        <v>164</v>
      </c>
    </row>
    <row r="969" spans="9:17" x14ac:dyDescent="0.45">
      <c r="I969" t="s">
        <v>197</v>
      </c>
      <c r="J969" t="s">
        <v>275</v>
      </c>
      <c r="K969">
        <v>0</v>
      </c>
      <c r="L969" t="s">
        <v>164</v>
      </c>
      <c r="N969" t="s">
        <v>225</v>
      </c>
      <c r="O969" t="s">
        <v>275</v>
      </c>
      <c r="P969">
        <v>1.2973223796512483E-2</v>
      </c>
      <c r="Q969" t="s">
        <v>164</v>
      </c>
    </row>
    <row r="970" spans="9:17" x14ac:dyDescent="0.45">
      <c r="I970" t="s">
        <v>197</v>
      </c>
      <c r="J970" t="s">
        <v>276</v>
      </c>
      <c r="K970">
        <v>0</v>
      </c>
      <c r="L970" t="s">
        <v>164</v>
      </c>
      <c r="N970" t="s">
        <v>225</v>
      </c>
      <c r="O970" t="s">
        <v>276</v>
      </c>
      <c r="P970">
        <v>0.10658391081861664</v>
      </c>
      <c r="Q970" t="s">
        <v>164</v>
      </c>
    </row>
    <row r="971" spans="9:17" x14ac:dyDescent="0.45">
      <c r="I971" t="s">
        <v>197</v>
      </c>
      <c r="J971" t="s">
        <v>277</v>
      </c>
      <c r="K971">
        <v>2.9497680511236208E-2</v>
      </c>
      <c r="L971" t="s">
        <v>164</v>
      </c>
      <c r="N971" t="s">
        <v>225</v>
      </c>
      <c r="O971" t="s">
        <v>277</v>
      </c>
      <c r="P971">
        <v>3.5147453762146265E-2</v>
      </c>
      <c r="Q971" t="s">
        <v>164</v>
      </c>
    </row>
    <row r="972" spans="9:17" x14ac:dyDescent="0.45">
      <c r="I972" t="s">
        <v>197</v>
      </c>
      <c r="J972" t="s">
        <v>278</v>
      </c>
      <c r="K972">
        <v>1.5799903636667719E-2</v>
      </c>
      <c r="L972" t="s">
        <v>164</v>
      </c>
      <c r="N972" t="s">
        <v>225</v>
      </c>
      <c r="O972" t="s">
        <v>278</v>
      </c>
      <c r="P972">
        <v>3.1952373318254955E-3</v>
      </c>
      <c r="Q972" t="s">
        <v>164</v>
      </c>
    </row>
    <row r="973" spans="9:17" x14ac:dyDescent="0.45">
      <c r="I973" t="s">
        <v>197</v>
      </c>
      <c r="J973" t="s">
        <v>279</v>
      </c>
      <c r="K973">
        <v>1.7281562537443999E-2</v>
      </c>
      <c r="L973" t="s">
        <v>164</v>
      </c>
      <c r="N973" t="s">
        <v>225</v>
      </c>
      <c r="O973" t="s">
        <v>279</v>
      </c>
      <c r="P973">
        <v>3.4105736841607698E-3</v>
      </c>
      <c r="Q973" t="s">
        <v>164</v>
      </c>
    </row>
    <row r="974" spans="9:17" x14ac:dyDescent="0.45">
      <c r="I974" t="s">
        <v>197</v>
      </c>
      <c r="J974" t="s">
        <v>280</v>
      </c>
      <c r="K974">
        <v>0.11001062697065901</v>
      </c>
      <c r="L974" t="s">
        <v>164</v>
      </c>
      <c r="N974" t="s">
        <v>225</v>
      </c>
      <c r="O974" t="s">
        <v>280</v>
      </c>
      <c r="P974">
        <v>4.2105034524444751E-2</v>
      </c>
      <c r="Q974" t="s">
        <v>164</v>
      </c>
    </row>
    <row r="975" spans="9:17" x14ac:dyDescent="0.45">
      <c r="I975" t="s">
        <v>197</v>
      </c>
      <c r="J975" t="s">
        <v>281</v>
      </c>
      <c r="K975">
        <v>0</v>
      </c>
      <c r="L975" t="s">
        <v>164</v>
      </c>
      <c r="N975" t="s">
        <v>225</v>
      </c>
      <c r="O975" t="s">
        <v>281</v>
      </c>
      <c r="P975">
        <v>1.5088893204277231E-2</v>
      </c>
      <c r="Q975" t="s">
        <v>164</v>
      </c>
    </row>
    <row r="976" spans="9:17" x14ac:dyDescent="0.45">
      <c r="I976" t="s">
        <v>197</v>
      </c>
      <c r="J976" t="s">
        <v>282</v>
      </c>
      <c r="K976">
        <v>0</v>
      </c>
      <c r="L976" t="s">
        <v>164</v>
      </c>
      <c r="N976" t="s">
        <v>225</v>
      </c>
      <c r="O976" t="s">
        <v>282</v>
      </c>
      <c r="P976">
        <v>8.5762439268959628E-2</v>
      </c>
      <c r="Q976" t="s">
        <v>164</v>
      </c>
    </row>
    <row r="977" spans="9:12" x14ac:dyDescent="0.45">
      <c r="I977" t="s">
        <v>198</v>
      </c>
      <c r="J977" t="s">
        <v>163</v>
      </c>
      <c r="K977">
        <v>1.3727806598326821E-2</v>
      </c>
      <c r="L977" t="s">
        <v>164</v>
      </c>
    </row>
    <row r="978" spans="9:12" x14ac:dyDescent="0.45">
      <c r="I978" t="s">
        <v>198</v>
      </c>
      <c r="J978" t="s">
        <v>165</v>
      </c>
      <c r="K978">
        <v>9.0403869279479902E-3</v>
      </c>
      <c r="L978" t="s">
        <v>164</v>
      </c>
    </row>
    <row r="979" spans="9:12" x14ac:dyDescent="0.45">
      <c r="I979" t="s">
        <v>198</v>
      </c>
      <c r="J979" t="s">
        <v>166</v>
      </c>
      <c r="K979">
        <v>9.569760148593006E-3</v>
      </c>
      <c r="L979" t="s">
        <v>164</v>
      </c>
    </row>
    <row r="980" spans="9:12" x14ac:dyDescent="0.45">
      <c r="I980" t="s">
        <v>198</v>
      </c>
      <c r="J980" t="s">
        <v>253</v>
      </c>
      <c r="K980">
        <v>6.2189464301475192E-2</v>
      </c>
      <c r="L980" t="s">
        <v>164</v>
      </c>
    </row>
    <row r="981" spans="9:12" x14ac:dyDescent="0.45">
      <c r="I981" t="s">
        <v>198</v>
      </c>
      <c r="J981" t="s">
        <v>254</v>
      </c>
      <c r="K981">
        <v>3.0049627071228016E-3</v>
      </c>
      <c r="L981" t="s">
        <v>164</v>
      </c>
    </row>
    <row r="982" spans="9:12" x14ac:dyDescent="0.45">
      <c r="I982" t="s">
        <v>198</v>
      </c>
      <c r="J982" t="s">
        <v>255</v>
      </c>
      <c r="K982">
        <v>0</v>
      </c>
      <c r="L982" t="s">
        <v>164</v>
      </c>
    </row>
    <row r="983" spans="9:12" x14ac:dyDescent="0.45">
      <c r="I983" t="s">
        <v>198</v>
      </c>
      <c r="J983" t="s">
        <v>167</v>
      </c>
      <c r="K983">
        <v>1.289345600216147E-2</v>
      </c>
      <c r="L983" t="s">
        <v>164</v>
      </c>
    </row>
    <row r="984" spans="9:12" x14ac:dyDescent="0.45">
      <c r="I984" t="s">
        <v>198</v>
      </c>
      <c r="J984" t="s">
        <v>168</v>
      </c>
      <c r="K984">
        <v>8.4794906003106824E-3</v>
      </c>
      <c r="L984" t="s">
        <v>164</v>
      </c>
    </row>
    <row r="985" spans="9:12" x14ac:dyDescent="0.45">
      <c r="I985" t="s">
        <v>198</v>
      </c>
      <c r="J985" t="s">
        <v>169</v>
      </c>
      <c r="K985">
        <v>9.034635354280807E-3</v>
      </c>
      <c r="L985" t="s">
        <v>164</v>
      </c>
    </row>
    <row r="986" spans="9:12" x14ac:dyDescent="0.45">
      <c r="I986" t="s">
        <v>198</v>
      </c>
      <c r="J986" t="s">
        <v>256</v>
      </c>
      <c r="K986">
        <v>5.8118449701342015E-2</v>
      </c>
      <c r="L986" t="s">
        <v>164</v>
      </c>
    </row>
    <row r="987" spans="9:12" x14ac:dyDescent="0.45">
      <c r="I987" t="s">
        <v>198</v>
      </c>
      <c r="J987" t="s">
        <v>257</v>
      </c>
      <c r="K987">
        <v>4.2891580732432114E-3</v>
      </c>
      <c r="L987" t="s">
        <v>164</v>
      </c>
    </row>
    <row r="988" spans="9:12" x14ac:dyDescent="0.45">
      <c r="I988" t="s">
        <v>198</v>
      </c>
      <c r="J988" t="s">
        <v>258</v>
      </c>
      <c r="K988">
        <v>0</v>
      </c>
      <c r="L988" t="s">
        <v>164</v>
      </c>
    </row>
    <row r="989" spans="9:12" x14ac:dyDescent="0.45">
      <c r="I989" t="s">
        <v>198</v>
      </c>
      <c r="J989" t="s">
        <v>170</v>
      </c>
      <c r="K989">
        <v>1.030105425218495E-2</v>
      </c>
      <c r="L989" t="s">
        <v>164</v>
      </c>
    </row>
    <row r="990" spans="9:12" x14ac:dyDescent="0.45">
      <c r="I990" t="s">
        <v>198</v>
      </c>
      <c r="J990" t="s">
        <v>171</v>
      </c>
      <c r="K990">
        <v>7.3782631272073101E-3</v>
      </c>
      <c r="L990" t="s">
        <v>164</v>
      </c>
    </row>
    <row r="991" spans="9:12" x14ac:dyDescent="0.45">
      <c r="I991" t="s">
        <v>198</v>
      </c>
      <c r="J991" t="s">
        <v>172</v>
      </c>
      <c r="K991">
        <v>8.1774961263598265E-3</v>
      </c>
      <c r="L991" t="s">
        <v>164</v>
      </c>
    </row>
    <row r="992" spans="9:12" x14ac:dyDescent="0.45">
      <c r="I992" t="s">
        <v>198</v>
      </c>
      <c r="J992" t="s">
        <v>259</v>
      </c>
      <c r="K992">
        <v>5.6414797120879337E-2</v>
      </c>
      <c r="L992" t="s">
        <v>164</v>
      </c>
    </row>
    <row r="993" spans="9:12" x14ac:dyDescent="0.45">
      <c r="I993" t="s">
        <v>198</v>
      </c>
      <c r="J993" t="s">
        <v>260</v>
      </c>
      <c r="K993">
        <v>2.9010621557530453E-3</v>
      </c>
      <c r="L993" t="s">
        <v>164</v>
      </c>
    </row>
    <row r="994" spans="9:12" x14ac:dyDescent="0.45">
      <c r="I994" t="s">
        <v>198</v>
      </c>
      <c r="J994" t="s">
        <v>261</v>
      </c>
      <c r="K994">
        <v>0</v>
      </c>
      <c r="L994" t="s">
        <v>164</v>
      </c>
    </row>
    <row r="995" spans="9:12" x14ac:dyDescent="0.45">
      <c r="I995" t="s">
        <v>198</v>
      </c>
      <c r="J995" t="s">
        <v>173</v>
      </c>
      <c r="K995">
        <v>6.3541631167970986E-2</v>
      </c>
      <c r="L995" t="s">
        <v>164</v>
      </c>
    </row>
    <row r="996" spans="9:12" x14ac:dyDescent="0.45">
      <c r="I996" t="s">
        <v>198</v>
      </c>
      <c r="J996" t="s">
        <v>174</v>
      </c>
      <c r="K996">
        <v>3.610609423890223E-2</v>
      </c>
      <c r="L996" t="s">
        <v>164</v>
      </c>
    </row>
    <row r="997" spans="9:12" x14ac:dyDescent="0.45">
      <c r="I997" t="s">
        <v>198</v>
      </c>
      <c r="J997" t="s">
        <v>175</v>
      </c>
      <c r="K997">
        <v>4.0646737931280721E-2</v>
      </c>
      <c r="L997" t="s">
        <v>164</v>
      </c>
    </row>
    <row r="998" spans="9:12" x14ac:dyDescent="0.45">
      <c r="I998" t="s">
        <v>198</v>
      </c>
      <c r="J998" t="s">
        <v>262</v>
      </c>
      <c r="K998">
        <v>0.2335665060581375</v>
      </c>
      <c r="L998" t="s">
        <v>164</v>
      </c>
    </row>
    <row r="999" spans="9:12" x14ac:dyDescent="0.45">
      <c r="I999" t="s">
        <v>198</v>
      </c>
      <c r="J999" t="s">
        <v>263</v>
      </c>
      <c r="K999">
        <v>7.9843186767016776E-4</v>
      </c>
      <c r="L999" t="s">
        <v>164</v>
      </c>
    </row>
    <row r="1000" spans="9:12" x14ac:dyDescent="0.45">
      <c r="I1000" t="s">
        <v>198</v>
      </c>
      <c r="J1000" t="s">
        <v>264</v>
      </c>
      <c r="K1000">
        <v>0</v>
      </c>
      <c r="L1000" t="s">
        <v>164</v>
      </c>
    </row>
    <row r="1001" spans="9:12" x14ac:dyDescent="0.45">
      <c r="I1001" t="s">
        <v>198</v>
      </c>
      <c r="J1001" t="s">
        <v>265</v>
      </c>
      <c r="K1001">
        <v>1.8166268291064394E-2</v>
      </c>
      <c r="L1001" t="s">
        <v>164</v>
      </c>
    </row>
    <row r="1002" spans="9:12" x14ac:dyDescent="0.45">
      <c r="I1002" t="s">
        <v>198</v>
      </c>
      <c r="J1002" t="s">
        <v>266</v>
      </c>
      <c r="K1002">
        <v>8.6554733108867212E-3</v>
      </c>
      <c r="L1002" t="s">
        <v>164</v>
      </c>
    </row>
    <row r="1003" spans="9:12" x14ac:dyDescent="0.45">
      <c r="I1003" t="s">
        <v>198</v>
      </c>
      <c r="J1003" t="s">
        <v>267</v>
      </c>
      <c r="K1003">
        <v>9.2482554495928512E-3</v>
      </c>
      <c r="L1003" t="s">
        <v>164</v>
      </c>
    </row>
    <row r="1004" spans="9:12" x14ac:dyDescent="0.45">
      <c r="I1004" t="s">
        <v>198</v>
      </c>
      <c r="J1004" t="s">
        <v>268</v>
      </c>
      <c r="K1004">
        <v>5.3433460919350258E-2</v>
      </c>
      <c r="L1004" t="s">
        <v>164</v>
      </c>
    </row>
    <row r="1005" spans="9:12" x14ac:dyDescent="0.45">
      <c r="I1005" t="s">
        <v>198</v>
      </c>
      <c r="J1005" t="s">
        <v>269</v>
      </c>
      <c r="K1005">
        <v>0</v>
      </c>
      <c r="L1005" t="s">
        <v>164</v>
      </c>
    </row>
    <row r="1006" spans="9:12" x14ac:dyDescent="0.45">
      <c r="I1006" t="s">
        <v>198</v>
      </c>
      <c r="J1006" t="s">
        <v>270</v>
      </c>
      <c r="K1006">
        <v>0</v>
      </c>
      <c r="L1006" t="s">
        <v>164</v>
      </c>
    </row>
    <row r="1007" spans="9:12" x14ac:dyDescent="0.45">
      <c r="I1007" t="s">
        <v>198</v>
      </c>
      <c r="J1007" t="s">
        <v>271</v>
      </c>
      <c r="K1007">
        <v>2.0099795110480666E-2</v>
      </c>
      <c r="L1007" t="s">
        <v>164</v>
      </c>
    </row>
    <row r="1008" spans="9:12" x14ac:dyDescent="0.45">
      <c r="I1008" t="s">
        <v>198</v>
      </c>
      <c r="J1008" t="s">
        <v>272</v>
      </c>
      <c r="K1008">
        <v>9.5052033713978398E-3</v>
      </c>
      <c r="L1008" t="s">
        <v>164</v>
      </c>
    </row>
    <row r="1009" spans="9:12" x14ac:dyDescent="0.45">
      <c r="I1009" t="s">
        <v>198</v>
      </c>
      <c r="J1009" t="s">
        <v>273</v>
      </c>
      <c r="K1009">
        <v>9.9520833364189366E-3</v>
      </c>
      <c r="L1009" t="s">
        <v>164</v>
      </c>
    </row>
    <row r="1010" spans="9:12" x14ac:dyDescent="0.45">
      <c r="I1010" t="s">
        <v>198</v>
      </c>
      <c r="J1010" t="s">
        <v>274</v>
      </c>
      <c r="K1010">
        <v>6.012710230076708E-2</v>
      </c>
      <c r="L1010" t="s">
        <v>164</v>
      </c>
    </row>
    <row r="1011" spans="9:12" x14ac:dyDescent="0.45">
      <c r="I1011" t="s">
        <v>198</v>
      </c>
      <c r="J1011" t="s">
        <v>275</v>
      </c>
      <c r="K1011">
        <v>0</v>
      </c>
      <c r="L1011" t="s">
        <v>164</v>
      </c>
    </row>
    <row r="1012" spans="9:12" x14ac:dyDescent="0.45">
      <c r="I1012" t="s">
        <v>198</v>
      </c>
      <c r="J1012" t="s">
        <v>276</v>
      </c>
      <c r="K1012">
        <v>0</v>
      </c>
      <c r="L1012" t="s">
        <v>164</v>
      </c>
    </row>
    <row r="1013" spans="9:12" x14ac:dyDescent="0.45">
      <c r="I1013" t="s">
        <v>198</v>
      </c>
      <c r="J1013" t="s">
        <v>277</v>
      </c>
      <c r="K1013">
        <v>2.7156559290055046E-2</v>
      </c>
      <c r="L1013" t="s">
        <v>164</v>
      </c>
    </row>
    <row r="1014" spans="9:12" x14ac:dyDescent="0.45">
      <c r="I1014" t="s">
        <v>198</v>
      </c>
      <c r="J1014" t="s">
        <v>278</v>
      </c>
      <c r="K1014">
        <v>1.4424737720530607E-2</v>
      </c>
      <c r="L1014" t="s">
        <v>164</v>
      </c>
    </row>
    <row r="1015" spans="9:12" x14ac:dyDescent="0.45">
      <c r="I1015" t="s">
        <v>198</v>
      </c>
      <c r="J1015" t="s">
        <v>279</v>
      </c>
      <c r="K1015">
        <v>1.5738299499021741E-2</v>
      </c>
      <c r="L1015" t="s">
        <v>164</v>
      </c>
    </row>
    <row r="1016" spans="9:12" x14ac:dyDescent="0.45">
      <c r="I1016" t="s">
        <v>198</v>
      </c>
      <c r="J1016" t="s">
        <v>280</v>
      </c>
      <c r="K1016">
        <v>0.1033131169392856</v>
      </c>
      <c r="L1016" t="s">
        <v>164</v>
      </c>
    </row>
    <row r="1017" spans="9:12" x14ac:dyDescent="0.45">
      <c r="I1017" t="s">
        <v>198</v>
      </c>
      <c r="J1017" t="s">
        <v>281</v>
      </c>
      <c r="K1017">
        <v>0</v>
      </c>
      <c r="L1017" t="s">
        <v>164</v>
      </c>
    </row>
    <row r="1018" spans="9:12" x14ac:dyDescent="0.45">
      <c r="I1018" t="s">
        <v>198</v>
      </c>
      <c r="J1018" t="s">
        <v>282</v>
      </c>
      <c r="K1018">
        <v>0</v>
      </c>
      <c r="L1018" t="s">
        <v>164</v>
      </c>
    </row>
    <row r="1019" spans="9:12" x14ac:dyDescent="0.45">
      <c r="I1019" t="s">
        <v>199</v>
      </c>
      <c r="J1019" t="s">
        <v>163</v>
      </c>
      <c r="K1019">
        <v>1.6418403371781454E-2</v>
      </c>
      <c r="L1019" t="s">
        <v>164</v>
      </c>
    </row>
    <row r="1020" spans="9:12" x14ac:dyDescent="0.45">
      <c r="I1020" t="s">
        <v>199</v>
      </c>
      <c r="J1020" t="s">
        <v>165</v>
      </c>
      <c r="K1020">
        <v>1.0131472061270599E-2</v>
      </c>
      <c r="L1020" t="s">
        <v>164</v>
      </c>
    </row>
    <row r="1021" spans="9:12" x14ac:dyDescent="0.45">
      <c r="I1021" t="s">
        <v>199</v>
      </c>
      <c r="J1021" t="s">
        <v>166</v>
      </c>
      <c r="K1021">
        <v>1.0846534911350623E-2</v>
      </c>
      <c r="L1021" t="s">
        <v>164</v>
      </c>
    </row>
    <row r="1022" spans="9:12" x14ac:dyDescent="0.45">
      <c r="I1022" t="s">
        <v>199</v>
      </c>
      <c r="J1022" t="s">
        <v>253</v>
      </c>
      <c r="K1022">
        <v>6.6494285305585168E-2</v>
      </c>
      <c r="L1022" t="s">
        <v>164</v>
      </c>
    </row>
    <row r="1023" spans="9:12" x14ac:dyDescent="0.45">
      <c r="I1023" t="s">
        <v>199</v>
      </c>
      <c r="J1023" t="s">
        <v>254</v>
      </c>
      <c r="K1023">
        <v>0</v>
      </c>
      <c r="L1023" t="s">
        <v>164</v>
      </c>
    </row>
    <row r="1024" spans="9:12" x14ac:dyDescent="0.45">
      <c r="I1024" t="s">
        <v>199</v>
      </c>
      <c r="J1024" t="s">
        <v>255</v>
      </c>
      <c r="K1024">
        <v>0</v>
      </c>
      <c r="L1024" t="s">
        <v>164</v>
      </c>
    </row>
    <row r="1025" spans="9:12" x14ac:dyDescent="0.45">
      <c r="I1025" t="s">
        <v>199</v>
      </c>
      <c r="J1025" t="s">
        <v>167</v>
      </c>
      <c r="K1025">
        <v>1.2771033152454671E-2</v>
      </c>
      <c r="L1025" t="s">
        <v>164</v>
      </c>
    </row>
    <row r="1026" spans="9:12" x14ac:dyDescent="0.45">
      <c r="I1026" t="s">
        <v>199</v>
      </c>
      <c r="J1026" t="s">
        <v>168</v>
      </c>
      <c r="K1026">
        <v>8.9786996515416693E-3</v>
      </c>
      <c r="L1026" t="s">
        <v>164</v>
      </c>
    </row>
    <row r="1027" spans="9:12" x14ac:dyDescent="0.45">
      <c r="I1027" t="s">
        <v>199</v>
      </c>
      <c r="J1027" t="s">
        <v>169</v>
      </c>
      <c r="K1027">
        <v>9.8906191609524144E-3</v>
      </c>
      <c r="L1027" t="s">
        <v>164</v>
      </c>
    </row>
    <row r="1028" spans="9:12" x14ac:dyDescent="0.45">
      <c r="I1028" t="s">
        <v>199</v>
      </c>
      <c r="J1028" t="s">
        <v>256</v>
      </c>
      <c r="K1028">
        <v>6.1274512330350875E-2</v>
      </c>
      <c r="L1028" t="s">
        <v>164</v>
      </c>
    </row>
    <row r="1029" spans="9:12" x14ac:dyDescent="0.45">
      <c r="I1029" t="s">
        <v>199</v>
      </c>
      <c r="J1029" t="s">
        <v>257</v>
      </c>
      <c r="K1029">
        <v>2.3865946076529642E-4</v>
      </c>
      <c r="L1029" t="s">
        <v>164</v>
      </c>
    </row>
    <row r="1030" spans="9:12" x14ac:dyDescent="0.45">
      <c r="I1030" t="s">
        <v>199</v>
      </c>
      <c r="J1030" t="s">
        <v>258</v>
      </c>
      <c r="K1030">
        <v>0</v>
      </c>
      <c r="L1030" t="s">
        <v>164</v>
      </c>
    </row>
    <row r="1031" spans="9:12" x14ac:dyDescent="0.45">
      <c r="I1031" t="s">
        <v>199</v>
      </c>
      <c r="J1031" t="s">
        <v>170</v>
      </c>
      <c r="K1031">
        <v>1.2326385260334957E-2</v>
      </c>
      <c r="L1031" t="s">
        <v>164</v>
      </c>
    </row>
    <row r="1032" spans="9:12" x14ac:dyDescent="0.45">
      <c r="I1032" t="s">
        <v>199</v>
      </c>
      <c r="J1032" t="s">
        <v>171</v>
      </c>
      <c r="K1032">
        <v>7.7527062380066975E-3</v>
      </c>
      <c r="L1032" t="s">
        <v>164</v>
      </c>
    </row>
    <row r="1033" spans="9:12" x14ac:dyDescent="0.45">
      <c r="I1033" t="s">
        <v>199</v>
      </c>
      <c r="J1033" t="s">
        <v>172</v>
      </c>
      <c r="K1033">
        <v>9.0263353642178381E-3</v>
      </c>
      <c r="L1033" t="s">
        <v>164</v>
      </c>
    </row>
    <row r="1034" spans="9:12" x14ac:dyDescent="0.45">
      <c r="I1034" t="s">
        <v>199</v>
      </c>
      <c r="J1034" t="s">
        <v>259</v>
      </c>
      <c r="K1034">
        <v>5.9366656107867545E-2</v>
      </c>
      <c r="L1034" t="s">
        <v>164</v>
      </c>
    </row>
    <row r="1035" spans="9:12" x14ac:dyDescent="0.45">
      <c r="I1035" t="s">
        <v>199</v>
      </c>
      <c r="J1035" t="s">
        <v>260</v>
      </c>
      <c r="K1035">
        <v>0</v>
      </c>
      <c r="L1035" t="s">
        <v>164</v>
      </c>
    </row>
    <row r="1036" spans="9:12" x14ac:dyDescent="0.45">
      <c r="I1036" t="s">
        <v>199</v>
      </c>
      <c r="J1036" t="s">
        <v>261</v>
      </c>
      <c r="K1036">
        <v>0</v>
      </c>
      <c r="L1036" t="s">
        <v>164</v>
      </c>
    </row>
    <row r="1037" spans="9:12" x14ac:dyDescent="0.45">
      <c r="I1037" t="s">
        <v>199</v>
      </c>
      <c r="J1037" t="s">
        <v>173</v>
      </c>
      <c r="K1037">
        <v>6.4489859684654677E-2</v>
      </c>
      <c r="L1037" t="s">
        <v>164</v>
      </c>
    </row>
    <row r="1038" spans="9:12" x14ac:dyDescent="0.45">
      <c r="I1038" t="s">
        <v>199</v>
      </c>
      <c r="J1038" t="s">
        <v>174</v>
      </c>
      <c r="K1038">
        <v>3.4296766910667797E-2</v>
      </c>
      <c r="L1038" t="s">
        <v>164</v>
      </c>
    </row>
    <row r="1039" spans="9:12" x14ac:dyDescent="0.45">
      <c r="I1039" t="s">
        <v>199</v>
      </c>
      <c r="J1039" t="s">
        <v>175</v>
      </c>
      <c r="K1039">
        <v>3.8808821744225695E-2</v>
      </c>
      <c r="L1039" t="s">
        <v>164</v>
      </c>
    </row>
    <row r="1040" spans="9:12" x14ac:dyDescent="0.45">
      <c r="I1040" t="s">
        <v>199</v>
      </c>
      <c r="J1040" t="s">
        <v>262</v>
      </c>
      <c r="K1040">
        <v>0.21580784432141201</v>
      </c>
      <c r="L1040" t="s">
        <v>164</v>
      </c>
    </row>
    <row r="1041" spans="9:12" x14ac:dyDescent="0.45">
      <c r="I1041" t="s">
        <v>199</v>
      </c>
      <c r="J1041" t="s">
        <v>263</v>
      </c>
      <c r="K1041">
        <v>0</v>
      </c>
      <c r="L1041" t="s">
        <v>164</v>
      </c>
    </row>
    <row r="1042" spans="9:12" x14ac:dyDescent="0.45">
      <c r="I1042" t="s">
        <v>199</v>
      </c>
      <c r="J1042" t="s">
        <v>264</v>
      </c>
      <c r="K1042">
        <v>0</v>
      </c>
      <c r="L1042" t="s">
        <v>164</v>
      </c>
    </row>
    <row r="1043" spans="9:12" x14ac:dyDescent="0.45">
      <c r="I1043" t="s">
        <v>199</v>
      </c>
      <c r="J1043" t="s">
        <v>265</v>
      </c>
      <c r="K1043">
        <v>1.6222700408617018E-2</v>
      </c>
      <c r="L1043" t="s">
        <v>164</v>
      </c>
    </row>
    <row r="1044" spans="9:12" x14ac:dyDescent="0.45">
      <c r="I1044" t="s">
        <v>199</v>
      </c>
      <c r="J1044" t="s">
        <v>266</v>
      </c>
      <c r="K1044">
        <v>8.2847368777865839E-3</v>
      </c>
      <c r="L1044" t="s">
        <v>164</v>
      </c>
    </row>
    <row r="1045" spans="9:12" x14ac:dyDescent="0.45">
      <c r="I1045" t="s">
        <v>199</v>
      </c>
      <c r="J1045" t="s">
        <v>267</v>
      </c>
      <c r="K1045">
        <v>9.1827958807629891E-3</v>
      </c>
      <c r="L1045" t="s">
        <v>164</v>
      </c>
    </row>
    <row r="1046" spans="9:12" x14ac:dyDescent="0.45">
      <c r="I1046" t="s">
        <v>199</v>
      </c>
      <c r="J1046" t="s">
        <v>268</v>
      </c>
      <c r="K1046">
        <v>5.4019768070454555E-2</v>
      </c>
      <c r="L1046" t="s">
        <v>164</v>
      </c>
    </row>
    <row r="1047" spans="9:12" x14ac:dyDescent="0.45">
      <c r="I1047" t="s">
        <v>199</v>
      </c>
      <c r="J1047" t="s">
        <v>269</v>
      </c>
      <c r="K1047">
        <v>0</v>
      </c>
      <c r="L1047" t="s">
        <v>164</v>
      </c>
    </row>
    <row r="1048" spans="9:12" x14ac:dyDescent="0.45">
      <c r="I1048" t="s">
        <v>199</v>
      </c>
      <c r="J1048" t="s">
        <v>270</v>
      </c>
      <c r="K1048">
        <v>0</v>
      </c>
      <c r="L1048" t="s">
        <v>164</v>
      </c>
    </row>
    <row r="1049" spans="9:12" x14ac:dyDescent="0.45">
      <c r="I1049" t="s">
        <v>199</v>
      </c>
      <c r="J1049" t="s">
        <v>271</v>
      </c>
      <c r="K1049">
        <v>1.7789329460687259E-2</v>
      </c>
      <c r="L1049" t="s">
        <v>164</v>
      </c>
    </row>
    <row r="1050" spans="9:12" x14ac:dyDescent="0.45">
      <c r="I1050" t="s">
        <v>199</v>
      </c>
      <c r="J1050" t="s">
        <v>272</v>
      </c>
      <c r="K1050">
        <v>8.8315288358882804E-3</v>
      </c>
      <c r="L1050" t="s">
        <v>164</v>
      </c>
    </row>
    <row r="1051" spans="9:12" x14ac:dyDescent="0.45">
      <c r="I1051" t="s">
        <v>199</v>
      </c>
      <c r="J1051" t="s">
        <v>273</v>
      </c>
      <c r="K1051">
        <v>9.6420427721674307E-3</v>
      </c>
      <c r="L1051" t="s">
        <v>164</v>
      </c>
    </row>
    <row r="1052" spans="9:12" x14ac:dyDescent="0.45">
      <c r="I1052" t="s">
        <v>199</v>
      </c>
      <c r="J1052" t="s">
        <v>274</v>
      </c>
      <c r="K1052">
        <v>5.7422904671594291E-2</v>
      </c>
      <c r="L1052" t="s">
        <v>164</v>
      </c>
    </row>
    <row r="1053" spans="9:12" x14ac:dyDescent="0.45">
      <c r="I1053" t="s">
        <v>199</v>
      </c>
      <c r="J1053" t="s">
        <v>275</v>
      </c>
      <c r="K1053">
        <v>0</v>
      </c>
      <c r="L1053" t="s">
        <v>164</v>
      </c>
    </row>
    <row r="1054" spans="9:12" x14ac:dyDescent="0.45">
      <c r="I1054" t="s">
        <v>199</v>
      </c>
      <c r="J1054" t="s">
        <v>276</v>
      </c>
      <c r="K1054">
        <v>0</v>
      </c>
      <c r="L1054" t="s">
        <v>164</v>
      </c>
    </row>
    <row r="1055" spans="9:12" x14ac:dyDescent="0.45">
      <c r="I1055" t="s">
        <v>199</v>
      </c>
      <c r="J1055" t="s">
        <v>277</v>
      </c>
      <c r="K1055">
        <v>3.3115891738545025E-2</v>
      </c>
      <c r="L1055" t="s">
        <v>164</v>
      </c>
    </row>
    <row r="1056" spans="9:12" x14ac:dyDescent="0.45">
      <c r="I1056" t="s">
        <v>199</v>
      </c>
      <c r="J1056" t="s">
        <v>278</v>
      </c>
      <c r="K1056">
        <v>1.7754577745922352E-2</v>
      </c>
      <c r="L1056" t="s">
        <v>164</v>
      </c>
    </row>
    <row r="1057" spans="9:12" x14ac:dyDescent="0.45">
      <c r="I1057" t="s">
        <v>199</v>
      </c>
      <c r="J1057" t="s">
        <v>279</v>
      </c>
      <c r="K1057">
        <v>1.8887775241656177E-2</v>
      </c>
      <c r="L1057" t="s">
        <v>164</v>
      </c>
    </row>
    <row r="1058" spans="9:12" x14ac:dyDescent="0.45">
      <c r="I1058" t="s">
        <v>199</v>
      </c>
      <c r="J1058" t="s">
        <v>280</v>
      </c>
      <c r="K1058">
        <v>0.10992635325847915</v>
      </c>
      <c r="L1058" t="s">
        <v>164</v>
      </c>
    </row>
    <row r="1059" spans="9:12" x14ac:dyDescent="0.45">
      <c r="I1059" t="s">
        <v>199</v>
      </c>
      <c r="J1059" t="s">
        <v>281</v>
      </c>
      <c r="K1059">
        <v>0</v>
      </c>
      <c r="L1059" t="s">
        <v>164</v>
      </c>
    </row>
    <row r="1060" spans="9:12" x14ac:dyDescent="0.45">
      <c r="I1060" t="s">
        <v>199</v>
      </c>
      <c r="J1060" t="s">
        <v>282</v>
      </c>
      <c r="K1060">
        <v>0</v>
      </c>
      <c r="L1060" t="s">
        <v>164</v>
      </c>
    </row>
    <row r="1061" spans="9:12" x14ac:dyDescent="0.45">
      <c r="I1061" t="s">
        <v>200</v>
      </c>
      <c r="J1061" t="s">
        <v>163</v>
      </c>
      <c r="K1061">
        <v>1.5061373632292594E-2</v>
      </c>
      <c r="L1061" t="s">
        <v>164</v>
      </c>
    </row>
    <row r="1062" spans="9:12" x14ac:dyDescent="0.45">
      <c r="I1062" t="s">
        <v>200</v>
      </c>
      <c r="J1062" t="s">
        <v>165</v>
      </c>
      <c r="K1062">
        <v>9.1814806468376257E-3</v>
      </c>
      <c r="L1062" t="s">
        <v>164</v>
      </c>
    </row>
    <row r="1063" spans="9:12" x14ac:dyDescent="0.45">
      <c r="I1063" t="s">
        <v>200</v>
      </c>
      <c r="J1063" t="s">
        <v>166</v>
      </c>
      <c r="K1063">
        <v>1.0238459023113478E-2</v>
      </c>
      <c r="L1063" t="s">
        <v>164</v>
      </c>
    </row>
    <row r="1064" spans="9:12" x14ac:dyDescent="0.45">
      <c r="I1064" t="s">
        <v>200</v>
      </c>
      <c r="J1064" t="s">
        <v>253</v>
      </c>
      <c r="K1064">
        <v>6.5820571048250023E-2</v>
      </c>
      <c r="L1064" t="s">
        <v>164</v>
      </c>
    </row>
    <row r="1065" spans="9:12" x14ac:dyDescent="0.45">
      <c r="I1065" t="s">
        <v>200</v>
      </c>
      <c r="J1065" t="s">
        <v>254</v>
      </c>
      <c r="K1065">
        <v>2.4378418606341664E-3</v>
      </c>
      <c r="L1065" t="s">
        <v>164</v>
      </c>
    </row>
    <row r="1066" spans="9:12" x14ac:dyDescent="0.45">
      <c r="I1066" t="s">
        <v>200</v>
      </c>
      <c r="J1066" t="s">
        <v>255</v>
      </c>
      <c r="K1066">
        <v>0</v>
      </c>
      <c r="L1066" t="s">
        <v>164</v>
      </c>
    </row>
    <row r="1067" spans="9:12" x14ac:dyDescent="0.45">
      <c r="I1067" t="s">
        <v>200</v>
      </c>
      <c r="J1067" t="s">
        <v>167</v>
      </c>
      <c r="K1067">
        <v>1.1390672586690517E-2</v>
      </c>
      <c r="L1067" t="s">
        <v>164</v>
      </c>
    </row>
    <row r="1068" spans="9:12" x14ac:dyDescent="0.45">
      <c r="I1068" t="s">
        <v>200</v>
      </c>
      <c r="J1068" t="s">
        <v>168</v>
      </c>
      <c r="K1068">
        <v>7.8275394594696113E-3</v>
      </c>
      <c r="L1068" t="s">
        <v>164</v>
      </c>
    </row>
    <row r="1069" spans="9:12" x14ac:dyDescent="0.45">
      <c r="I1069" t="s">
        <v>200</v>
      </c>
      <c r="J1069" t="s">
        <v>169</v>
      </c>
      <c r="K1069">
        <v>8.8556174171003366E-3</v>
      </c>
      <c r="L1069" t="s">
        <v>164</v>
      </c>
    </row>
    <row r="1070" spans="9:12" x14ac:dyDescent="0.45">
      <c r="I1070" t="s">
        <v>200</v>
      </c>
      <c r="J1070" t="s">
        <v>256</v>
      </c>
      <c r="K1070">
        <v>6.0312458895091813E-2</v>
      </c>
      <c r="L1070" t="s">
        <v>164</v>
      </c>
    </row>
    <row r="1071" spans="9:12" x14ac:dyDescent="0.45">
      <c r="I1071" t="s">
        <v>200</v>
      </c>
      <c r="J1071" t="s">
        <v>257</v>
      </c>
      <c r="K1071">
        <v>4.6857022062100559E-3</v>
      </c>
      <c r="L1071" t="s">
        <v>164</v>
      </c>
    </row>
    <row r="1072" spans="9:12" x14ac:dyDescent="0.45">
      <c r="I1072" t="s">
        <v>200</v>
      </c>
      <c r="J1072" t="s">
        <v>258</v>
      </c>
      <c r="K1072">
        <v>0</v>
      </c>
      <c r="L1072" t="s">
        <v>164</v>
      </c>
    </row>
    <row r="1073" spans="9:12" x14ac:dyDescent="0.45">
      <c r="I1073" t="s">
        <v>200</v>
      </c>
      <c r="J1073" t="s">
        <v>170</v>
      </c>
      <c r="K1073">
        <v>1.0767308553930098E-2</v>
      </c>
      <c r="L1073" t="s">
        <v>164</v>
      </c>
    </row>
    <row r="1074" spans="9:12" x14ac:dyDescent="0.45">
      <c r="I1074" t="s">
        <v>200</v>
      </c>
      <c r="J1074" t="s">
        <v>171</v>
      </c>
      <c r="K1074">
        <v>7.5892817732567631E-3</v>
      </c>
      <c r="L1074" t="s">
        <v>164</v>
      </c>
    </row>
    <row r="1075" spans="9:12" x14ac:dyDescent="0.45">
      <c r="I1075" t="s">
        <v>200</v>
      </c>
      <c r="J1075" t="s">
        <v>172</v>
      </c>
      <c r="K1075">
        <v>9.0769447267606794E-3</v>
      </c>
      <c r="L1075" t="s">
        <v>164</v>
      </c>
    </row>
    <row r="1076" spans="9:12" x14ac:dyDescent="0.45">
      <c r="I1076" t="s">
        <v>200</v>
      </c>
      <c r="J1076" t="s">
        <v>259</v>
      </c>
      <c r="K1076">
        <v>5.9686719269606253E-2</v>
      </c>
      <c r="L1076" t="s">
        <v>164</v>
      </c>
    </row>
    <row r="1077" spans="9:12" x14ac:dyDescent="0.45">
      <c r="I1077" t="s">
        <v>200</v>
      </c>
      <c r="J1077" t="s">
        <v>260</v>
      </c>
      <c r="K1077">
        <v>7.6869046607911523E-4</v>
      </c>
      <c r="L1077" t="s">
        <v>164</v>
      </c>
    </row>
    <row r="1078" spans="9:12" x14ac:dyDescent="0.45">
      <c r="I1078" t="s">
        <v>200</v>
      </c>
      <c r="J1078" t="s">
        <v>261</v>
      </c>
      <c r="K1078">
        <v>0</v>
      </c>
      <c r="L1078" t="s">
        <v>164</v>
      </c>
    </row>
    <row r="1079" spans="9:12" x14ac:dyDescent="0.45">
      <c r="I1079" t="s">
        <v>200</v>
      </c>
      <c r="J1079" t="s">
        <v>173</v>
      </c>
      <c r="K1079">
        <v>6.2343201673949973E-2</v>
      </c>
      <c r="L1079" t="s">
        <v>164</v>
      </c>
    </row>
    <row r="1080" spans="9:12" x14ac:dyDescent="0.45">
      <c r="I1080" t="s">
        <v>200</v>
      </c>
      <c r="J1080" t="s">
        <v>174</v>
      </c>
      <c r="K1080">
        <v>3.4959902485969467E-2</v>
      </c>
      <c r="L1080" t="s">
        <v>164</v>
      </c>
    </row>
    <row r="1081" spans="9:12" x14ac:dyDescent="0.45">
      <c r="I1081" t="s">
        <v>200</v>
      </c>
      <c r="J1081" t="s">
        <v>175</v>
      </c>
      <c r="K1081">
        <v>3.9093657373262258E-2</v>
      </c>
      <c r="L1081" t="s">
        <v>164</v>
      </c>
    </row>
    <row r="1082" spans="9:12" x14ac:dyDescent="0.45">
      <c r="I1082" t="s">
        <v>200</v>
      </c>
      <c r="J1082" t="s">
        <v>262</v>
      </c>
      <c r="K1082">
        <v>0.22065160267319966</v>
      </c>
      <c r="L1082" t="s">
        <v>164</v>
      </c>
    </row>
    <row r="1083" spans="9:12" x14ac:dyDescent="0.45">
      <c r="I1083" t="s">
        <v>200</v>
      </c>
      <c r="J1083" t="s">
        <v>263</v>
      </c>
      <c r="K1083">
        <v>0</v>
      </c>
      <c r="L1083" t="s">
        <v>164</v>
      </c>
    </row>
    <row r="1084" spans="9:12" x14ac:dyDescent="0.45">
      <c r="I1084" t="s">
        <v>200</v>
      </c>
      <c r="J1084" t="s">
        <v>264</v>
      </c>
      <c r="K1084">
        <v>0</v>
      </c>
      <c r="L1084" t="s">
        <v>164</v>
      </c>
    </row>
    <row r="1085" spans="9:12" x14ac:dyDescent="0.45">
      <c r="I1085" t="s">
        <v>200</v>
      </c>
      <c r="J1085" t="s">
        <v>265</v>
      </c>
      <c r="K1085">
        <v>1.4479756159750572E-2</v>
      </c>
      <c r="L1085" t="s">
        <v>164</v>
      </c>
    </row>
    <row r="1086" spans="9:12" x14ac:dyDescent="0.45">
      <c r="I1086" t="s">
        <v>200</v>
      </c>
      <c r="J1086" t="s">
        <v>266</v>
      </c>
      <c r="K1086">
        <v>7.945985072266095E-3</v>
      </c>
      <c r="L1086" t="s">
        <v>164</v>
      </c>
    </row>
    <row r="1087" spans="9:12" x14ac:dyDescent="0.45">
      <c r="I1087" t="s">
        <v>200</v>
      </c>
      <c r="J1087" t="s">
        <v>267</v>
      </c>
      <c r="K1087">
        <v>8.8934263818010277E-3</v>
      </c>
      <c r="L1087" t="s">
        <v>164</v>
      </c>
    </row>
    <row r="1088" spans="9:12" x14ac:dyDescent="0.45">
      <c r="I1088" t="s">
        <v>200</v>
      </c>
      <c r="J1088" t="s">
        <v>268</v>
      </c>
      <c r="K1088">
        <v>5.4510719105989355E-2</v>
      </c>
      <c r="L1088" t="s">
        <v>164</v>
      </c>
    </row>
    <row r="1089" spans="9:12" x14ac:dyDescent="0.45">
      <c r="I1089" t="s">
        <v>200</v>
      </c>
      <c r="J1089" t="s">
        <v>269</v>
      </c>
      <c r="K1089">
        <v>0</v>
      </c>
      <c r="L1089" t="s">
        <v>164</v>
      </c>
    </row>
    <row r="1090" spans="9:12" x14ac:dyDescent="0.45">
      <c r="I1090" t="s">
        <v>200</v>
      </c>
      <c r="J1090" t="s">
        <v>270</v>
      </c>
      <c r="K1090">
        <v>0</v>
      </c>
      <c r="L1090" t="s">
        <v>164</v>
      </c>
    </row>
    <row r="1091" spans="9:12" x14ac:dyDescent="0.45">
      <c r="I1091" t="s">
        <v>200</v>
      </c>
      <c r="J1091" t="s">
        <v>271</v>
      </c>
      <c r="K1091">
        <v>1.5989737375720129E-2</v>
      </c>
      <c r="L1091" t="s">
        <v>164</v>
      </c>
    </row>
    <row r="1092" spans="9:12" x14ac:dyDescent="0.45">
      <c r="I1092" t="s">
        <v>200</v>
      </c>
      <c r="J1092" t="s">
        <v>272</v>
      </c>
      <c r="K1092">
        <v>8.7392974637825766E-3</v>
      </c>
      <c r="L1092" t="s">
        <v>164</v>
      </c>
    </row>
    <row r="1093" spans="9:12" x14ac:dyDescent="0.45">
      <c r="I1093" t="s">
        <v>200</v>
      </c>
      <c r="J1093" t="s">
        <v>273</v>
      </c>
      <c r="K1093">
        <v>9.6207320718076084E-3</v>
      </c>
      <c r="L1093" t="s">
        <v>164</v>
      </c>
    </row>
    <row r="1094" spans="9:12" x14ac:dyDescent="0.45">
      <c r="I1094" t="s">
        <v>200</v>
      </c>
      <c r="J1094" t="s">
        <v>274</v>
      </c>
      <c r="K1094">
        <v>6.0299531120364E-2</v>
      </c>
      <c r="L1094" t="s">
        <v>164</v>
      </c>
    </row>
    <row r="1095" spans="9:12" x14ac:dyDescent="0.45">
      <c r="I1095" t="s">
        <v>200</v>
      </c>
      <c r="J1095" t="s">
        <v>275</v>
      </c>
      <c r="K1095">
        <v>0</v>
      </c>
      <c r="L1095" t="s">
        <v>164</v>
      </c>
    </row>
    <row r="1096" spans="9:12" x14ac:dyDescent="0.45">
      <c r="I1096" t="s">
        <v>200</v>
      </c>
      <c r="J1096" t="s">
        <v>276</v>
      </c>
      <c r="K1096">
        <v>0</v>
      </c>
      <c r="L1096" t="s">
        <v>164</v>
      </c>
    </row>
    <row r="1097" spans="9:12" x14ac:dyDescent="0.45">
      <c r="I1097" t="s">
        <v>200</v>
      </c>
      <c r="J1097" t="s">
        <v>277</v>
      </c>
      <c r="K1097">
        <v>3.1965699276634313E-2</v>
      </c>
      <c r="L1097" t="s">
        <v>164</v>
      </c>
    </row>
    <row r="1098" spans="9:12" x14ac:dyDescent="0.45">
      <c r="I1098" t="s">
        <v>200</v>
      </c>
      <c r="J1098" t="s">
        <v>278</v>
      </c>
      <c r="K1098">
        <v>1.6927330104192003E-2</v>
      </c>
      <c r="L1098" t="s">
        <v>164</v>
      </c>
    </row>
    <row r="1099" spans="9:12" x14ac:dyDescent="0.45">
      <c r="I1099" t="s">
        <v>200</v>
      </c>
      <c r="J1099" t="s">
        <v>279</v>
      </c>
      <c r="K1099">
        <v>1.8495223336660226E-2</v>
      </c>
      <c r="L1099" t="s">
        <v>164</v>
      </c>
    </row>
    <row r="1100" spans="9:12" x14ac:dyDescent="0.45">
      <c r="I1100" t="s">
        <v>200</v>
      </c>
      <c r="J1100" t="s">
        <v>280</v>
      </c>
      <c r="K1100">
        <v>0.11138353675932743</v>
      </c>
      <c r="L1100" t="s">
        <v>164</v>
      </c>
    </row>
    <row r="1101" spans="9:12" x14ac:dyDescent="0.45">
      <c r="I1101" t="s">
        <v>200</v>
      </c>
      <c r="J1101" t="s">
        <v>281</v>
      </c>
      <c r="K1101">
        <v>0</v>
      </c>
      <c r="L1101" t="s">
        <v>164</v>
      </c>
    </row>
    <row r="1102" spans="9:12" x14ac:dyDescent="0.45">
      <c r="I1102" t="s">
        <v>200</v>
      </c>
      <c r="J1102" t="s">
        <v>282</v>
      </c>
      <c r="K1102">
        <v>0</v>
      </c>
      <c r="L1102" t="s">
        <v>164</v>
      </c>
    </row>
    <row r="1103" spans="9:12" x14ac:dyDescent="0.45">
      <c r="I1103" t="s">
        <v>201</v>
      </c>
      <c r="J1103" t="s">
        <v>163</v>
      </c>
      <c r="K1103">
        <v>1.5578986305406044E-2</v>
      </c>
      <c r="L1103" t="s">
        <v>164</v>
      </c>
    </row>
    <row r="1104" spans="9:12" x14ac:dyDescent="0.45">
      <c r="I1104" t="s">
        <v>201</v>
      </c>
      <c r="J1104" t="s">
        <v>165</v>
      </c>
      <c r="K1104">
        <v>8.3903566128709119E-3</v>
      </c>
      <c r="L1104" t="s">
        <v>164</v>
      </c>
    </row>
    <row r="1105" spans="9:12" x14ac:dyDescent="0.45">
      <c r="I1105" t="s">
        <v>201</v>
      </c>
      <c r="J1105" t="s">
        <v>166</v>
      </c>
      <c r="K1105">
        <v>9.5583313105731434E-3</v>
      </c>
      <c r="L1105" t="s">
        <v>164</v>
      </c>
    </row>
    <row r="1106" spans="9:12" x14ac:dyDescent="0.45">
      <c r="I1106" t="s">
        <v>201</v>
      </c>
      <c r="J1106" t="s">
        <v>253</v>
      </c>
      <c r="K1106">
        <v>6.2760966833669649E-2</v>
      </c>
      <c r="L1106" t="s">
        <v>164</v>
      </c>
    </row>
    <row r="1107" spans="9:12" x14ac:dyDescent="0.45">
      <c r="I1107" t="s">
        <v>201</v>
      </c>
      <c r="J1107" t="s">
        <v>254</v>
      </c>
      <c r="K1107">
        <v>1.2050159986879941E-3</v>
      </c>
      <c r="L1107" t="s">
        <v>164</v>
      </c>
    </row>
    <row r="1108" spans="9:12" x14ac:dyDescent="0.45">
      <c r="I1108" t="s">
        <v>201</v>
      </c>
      <c r="J1108" t="s">
        <v>255</v>
      </c>
      <c r="K1108">
        <v>0</v>
      </c>
      <c r="L1108" t="s">
        <v>164</v>
      </c>
    </row>
    <row r="1109" spans="9:12" x14ac:dyDescent="0.45">
      <c r="I1109" t="s">
        <v>201</v>
      </c>
      <c r="J1109" t="s">
        <v>167</v>
      </c>
      <c r="K1109">
        <v>1.1018897053694601E-2</v>
      </c>
      <c r="L1109" t="s">
        <v>164</v>
      </c>
    </row>
    <row r="1110" spans="9:12" x14ac:dyDescent="0.45">
      <c r="I1110" t="s">
        <v>201</v>
      </c>
      <c r="J1110" t="s">
        <v>168</v>
      </c>
      <c r="K1110">
        <v>7.4689846511035926E-3</v>
      </c>
      <c r="L1110" t="s">
        <v>164</v>
      </c>
    </row>
    <row r="1111" spans="9:12" x14ac:dyDescent="0.45">
      <c r="I1111" t="s">
        <v>201</v>
      </c>
      <c r="J1111" t="s">
        <v>169</v>
      </c>
      <c r="K1111">
        <v>8.527592753031157E-3</v>
      </c>
      <c r="L1111" t="s">
        <v>164</v>
      </c>
    </row>
    <row r="1112" spans="9:12" x14ac:dyDescent="0.45">
      <c r="I1112" t="s">
        <v>201</v>
      </c>
      <c r="J1112" t="s">
        <v>256</v>
      </c>
      <c r="K1112">
        <v>5.76369119521268E-2</v>
      </c>
      <c r="L1112" t="s">
        <v>164</v>
      </c>
    </row>
    <row r="1113" spans="9:12" x14ac:dyDescent="0.45">
      <c r="I1113" t="s">
        <v>201</v>
      </c>
      <c r="J1113" t="s">
        <v>257</v>
      </c>
      <c r="K1113">
        <v>3.4602728172918721E-3</v>
      </c>
      <c r="L1113" t="s">
        <v>164</v>
      </c>
    </row>
    <row r="1114" spans="9:12" x14ac:dyDescent="0.45">
      <c r="I1114" t="s">
        <v>201</v>
      </c>
      <c r="J1114" t="s">
        <v>258</v>
      </c>
      <c r="K1114">
        <v>0</v>
      </c>
      <c r="L1114" t="s">
        <v>164</v>
      </c>
    </row>
    <row r="1115" spans="9:12" x14ac:dyDescent="0.45">
      <c r="I1115" t="s">
        <v>201</v>
      </c>
      <c r="J1115" t="s">
        <v>170</v>
      </c>
      <c r="K1115">
        <v>1.2329336868129247E-2</v>
      </c>
      <c r="L1115" t="s">
        <v>164</v>
      </c>
    </row>
    <row r="1116" spans="9:12" x14ac:dyDescent="0.45">
      <c r="I1116" t="s">
        <v>201</v>
      </c>
      <c r="J1116" t="s">
        <v>171</v>
      </c>
      <c r="K1116">
        <v>7.545520972030241E-3</v>
      </c>
      <c r="L1116" t="s">
        <v>164</v>
      </c>
    </row>
    <row r="1117" spans="9:12" x14ac:dyDescent="0.45">
      <c r="I1117" t="s">
        <v>201</v>
      </c>
      <c r="J1117" t="s">
        <v>172</v>
      </c>
      <c r="K1117">
        <v>8.7400933316374302E-3</v>
      </c>
      <c r="L1117" t="s">
        <v>164</v>
      </c>
    </row>
    <row r="1118" spans="9:12" x14ac:dyDescent="0.45">
      <c r="I1118" t="s">
        <v>201</v>
      </c>
      <c r="J1118" t="s">
        <v>259</v>
      </c>
      <c r="K1118">
        <v>5.6382125674939595E-2</v>
      </c>
      <c r="L1118" t="s">
        <v>164</v>
      </c>
    </row>
    <row r="1119" spans="9:12" x14ac:dyDescent="0.45">
      <c r="I1119" t="s">
        <v>201</v>
      </c>
      <c r="J1119" t="s">
        <v>260</v>
      </c>
      <c r="K1119">
        <v>0</v>
      </c>
      <c r="L1119" t="s">
        <v>164</v>
      </c>
    </row>
    <row r="1120" spans="9:12" x14ac:dyDescent="0.45">
      <c r="I1120" t="s">
        <v>201</v>
      </c>
      <c r="J1120" t="s">
        <v>261</v>
      </c>
      <c r="K1120">
        <v>0</v>
      </c>
      <c r="L1120" t="s">
        <v>164</v>
      </c>
    </row>
    <row r="1121" spans="9:12" x14ac:dyDescent="0.45">
      <c r="I1121" t="s">
        <v>201</v>
      </c>
      <c r="J1121" t="s">
        <v>173</v>
      </c>
      <c r="K1121">
        <v>6.2802795218518254E-2</v>
      </c>
      <c r="L1121" t="s">
        <v>164</v>
      </c>
    </row>
    <row r="1122" spans="9:12" x14ac:dyDescent="0.45">
      <c r="I1122" t="s">
        <v>201</v>
      </c>
      <c r="J1122" t="s">
        <v>174</v>
      </c>
      <c r="K1122">
        <v>3.3073287189258324E-2</v>
      </c>
      <c r="L1122" t="s">
        <v>164</v>
      </c>
    </row>
    <row r="1123" spans="9:12" x14ac:dyDescent="0.45">
      <c r="I1123" t="s">
        <v>201</v>
      </c>
      <c r="J1123" t="s">
        <v>175</v>
      </c>
      <c r="K1123">
        <v>3.716642196748652E-2</v>
      </c>
      <c r="L1123" t="s">
        <v>164</v>
      </c>
    </row>
    <row r="1124" spans="9:12" x14ac:dyDescent="0.45">
      <c r="I1124" t="s">
        <v>201</v>
      </c>
      <c r="J1124" t="s">
        <v>262</v>
      </c>
      <c r="K1124">
        <v>0.23373248111772127</v>
      </c>
      <c r="L1124" t="s">
        <v>164</v>
      </c>
    </row>
    <row r="1125" spans="9:12" x14ac:dyDescent="0.45">
      <c r="I1125" t="s">
        <v>201</v>
      </c>
      <c r="J1125" t="s">
        <v>263</v>
      </c>
      <c r="K1125">
        <v>0</v>
      </c>
      <c r="L1125" t="s">
        <v>164</v>
      </c>
    </row>
    <row r="1126" spans="9:12" x14ac:dyDescent="0.45">
      <c r="I1126" t="s">
        <v>201</v>
      </c>
      <c r="J1126" t="s">
        <v>264</v>
      </c>
      <c r="K1126">
        <v>0</v>
      </c>
      <c r="L1126" t="s">
        <v>164</v>
      </c>
    </row>
    <row r="1127" spans="9:12" x14ac:dyDescent="0.45">
      <c r="I1127" t="s">
        <v>201</v>
      </c>
      <c r="J1127" t="s">
        <v>265</v>
      </c>
      <c r="K1127">
        <v>1.5693308283765525E-2</v>
      </c>
      <c r="L1127" t="s">
        <v>164</v>
      </c>
    </row>
    <row r="1128" spans="9:12" x14ac:dyDescent="0.45">
      <c r="I1128" t="s">
        <v>201</v>
      </c>
      <c r="J1128" t="s">
        <v>266</v>
      </c>
      <c r="K1128">
        <v>7.8336465068955374E-3</v>
      </c>
      <c r="L1128" t="s">
        <v>164</v>
      </c>
    </row>
    <row r="1129" spans="9:12" x14ac:dyDescent="0.45">
      <c r="I1129" t="s">
        <v>201</v>
      </c>
      <c r="J1129" t="s">
        <v>267</v>
      </c>
      <c r="K1129">
        <v>8.5398103300257985E-3</v>
      </c>
      <c r="L1129" t="s">
        <v>164</v>
      </c>
    </row>
    <row r="1130" spans="9:12" x14ac:dyDescent="0.45">
      <c r="I1130" t="s">
        <v>201</v>
      </c>
      <c r="J1130" t="s">
        <v>268</v>
      </c>
      <c r="K1130">
        <v>5.6181726391899244E-2</v>
      </c>
      <c r="L1130" t="s">
        <v>164</v>
      </c>
    </row>
    <row r="1131" spans="9:12" x14ac:dyDescent="0.45">
      <c r="I1131" t="s">
        <v>201</v>
      </c>
      <c r="J1131" t="s">
        <v>269</v>
      </c>
      <c r="K1131">
        <v>0</v>
      </c>
      <c r="L1131" t="s">
        <v>164</v>
      </c>
    </row>
    <row r="1132" spans="9:12" x14ac:dyDescent="0.45">
      <c r="I1132" t="s">
        <v>201</v>
      </c>
      <c r="J1132" t="s">
        <v>270</v>
      </c>
      <c r="K1132">
        <v>0</v>
      </c>
      <c r="L1132" t="s">
        <v>164</v>
      </c>
    </row>
    <row r="1133" spans="9:12" x14ac:dyDescent="0.45">
      <c r="I1133" t="s">
        <v>201</v>
      </c>
      <c r="J1133" t="s">
        <v>271</v>
      </c>
      <c r="K1133">
        <v>1.7131763116928836E-2</v>
      </c>
      <c r="L1133" t="s">
        <v>164</v>
      </c>
    </row>
    <row r="1134" spans="9:12" x14ac:dyDescent="0.45">
      <c r="I1134" t="s">
        <v>201</v>
      </c>
      <c r="J1134" t="s">
        <v>272</v>
      </c>
      <c r="K1134">
        <v>8.5499320384264318E-3</v>
      </c>
      <c r="L1134" t="s">
        <v>164</v>
      </c>
    </row>
    <row r="1135" spans="9:12" x14ac:dyDescent="0.45">
      <c r="I1135" t="s">
        <v>201</v>
      </c>
      <c r="J1135" t="s">
        <v>273</v>
      </c>
      <c r="K1135">
        <v>9.3805920998789386E-3</v>
      </c>
      <c r="L1135" t="s">
        <v>164</v>
      </c>
    </row>
    <row r="1136" spans="9:12" x14ac:dyDescent="0.45">
      <c r="I1136" t="s">
        <v>201</v>
      </c>
      <c r="J1136" t="s">
        <v>274</v>
      </c>
      <c r="K1136">
        <v>6.0412029952962555E-2</v>
      </c>
      <c r="L1136" t="s">
        <v>164</v>
      </c>
    </row>
    <row r="1137" spans="9:12" x14ac:dyDescent="0.45">
      <c r="I1137" t="s">
        <v>201</v>
      </c>
      <c r="J1137" t="s">
        <v>275</v>
      </c>
      <c r="K1137">
        <v>0</v>
      </c>
      <c r="L1137" t="s">
        <v>164</v>
      </c>
    </row>
    <row r="1138" spans="9:12" x14ac:dyDescent="0.45">
      <c r="I1138" t="s">
        <v>201</v>
      </c>
      <c r="J1138" t="s">
        <v>276</v>
      </c>
      <c r="K1138">
        <v>0</v>
      </c>
      <c r="L1138" t="s">
        <v>164</v>
      </c>
    </row>
    <row r="1139" spans="9:12" x14ac:dyDescent="0.45">
      <c r="I1139" t="s">
        <v>201</v>
      </c>
      <c r="J1139" t="s">
        <v>277</v>
      </c>
      <c r="K1139">
        <v>3.5150819069809706E-2</v>
      </c>
      <c r="L1139" t="s">
        <v>164</v>
      </c>
    </row>
    <row r="1140" spans="9:12" x14ac:dyDescent="0.45">
      <c r="I1140" t="s">
        <v>201</v>
      </c>
      <c r="J1140" t="s">
        <v>278</v>
      </c>
      <c r="K1140">
        <v>1.7290199751018611E-2</v>
      </c>
      <c r="L1140" t="s">
        <v>164</v>
      </c>
    </row>
    <row r="1141" spans="9:12" x14ac:dyDescent="0.45">
      <c r="I1141" t="s">
        <v>201</v>
      </c>
      <c r="J1141" t="s">
        <v>279</v>
      </c>
      <c r="K1141">
        <v>1.8689877328840931E-2</v>
      </c>
      <c r="L1141" t="s">
        <v>164</v>
      </c>
    </row>
    <row r="1142" spans="9:12" x14ac:dyDescent="0.45">
      <c r="I1142" t="s">
        <v>201</v>
      </c>
      <c r="J1142" t="s">
        <v>280</v>
      </c>
      <c r="K1142">
        <v>0.10776791650137293</v>
      </c>
      <c r="L1142" t="s">
        <v>164</v>
      </c>
    </row>
    <row r="1143" spans="9:12" x14ac:dyDescent="0.45">
      <c r="I1143" t="s">
        <v>201</v>
      </c>
      <c r="J1143" t="s">
        <v>281</v>
      </c>
      <c r="K1143">
        <v>0</v>
      </c>
      <c r="L1143" t="s">
        <v>164</v>
      </c>
    </row>
    <row r="1144" spans="9:12" x14ac:dyDescent="0.45">
      <c r="I1144" t="s">
        <v>201</v>
      </c>
      <c r="J1144" t="s">
        <v>282</v>
      </c>
      <c r="K1144">
        <v>0</v>
      </c>
      <c r="L1144" t="s">
        <v>164</v>
      </c>
    </row>
    <row r="1145" spans="9:12" x14ac:dyDescent="0.45">
      <c r="I1145" t="s">
        <v>202</v>
      </c>
      <c r="J1145" t="s">
        <v>163</v>
      </c>
      <c r="K1145">
        <v>1.6388357805977801E-2</v>
      </c>
      <c r="L1145" t="s">
        <v>164</v>
      </c>
    </row>
    <row r="1146" spans="9:12" x14ac:dyDescent="0.45">
      <c r="I1146" t="s">
        <v>202</v>
      </c>
      <c r="J1146" t="s">
        <v>165</v>
      </c>
      <c r="K1146">
        <v>9.1208934849048868E-3</v>
      </c>
      <c r="L1146" t="s">
        <v>164</v>
      </c>
    </row>
    <row r="1147" spans="9:12" x14ac:dyDescent="0.45">
      <c r="I1147" t="s">
        <v>202</v>
      </c>
      <c r="J1147" t="s">
        <v>166</v>
      </c>
      <c r="K1147">
        <v>1.0179181805080616E-2</v>
      </c>
      <c r="L1147" t="s">
        <v>164</v>
      </c>
    </row>
    <row r="1148" spans="9:12" x14ac:dyDescent="0.45">
      <c r="I1148" t="s">
        <v>202</v>
      </c>
      <c r="J1148" t="s">
        <v>253</v>
      </c>
      <c r="K1148">
        <v>6.4056919156349451E-2</v>
      </c>
      <c r="L1148" t="s">
        <v>164</v>
      </c>
    </row>
    <row r="1149" spans="9:12" x14ac:dyDescent="0.45">
      <c r="I1149" t="s">
        <v>202</v>
      </c>
      <c r="J1149" t="s">
        <v>254</v>
      </c>
      <c r="K1149">
        <v>0</v>
      </c>
      <c r="L1149" t="s">
        <v>164</v>
      </c>
    </row>
    <row r="1150" spans="9:12" x14ac:dyDescent="0.45">
      <c r="I1150" t="s">
        <v>202</v>
      </c>
      <c r="J1150" t="s">
        <v>255</v>
      </c>
      <c r="K1150">
        <v>0</v>
      </c>
      <c r="L1150" t="s">
        <v>164</v>
      </c>
    </row>
    <row r="1151" spans="9:12" x14ac:dyDescent="0.45">
      <c r="I1151" t="s">
        <v>202</v>
      </c>
      <c r="J1151" t="s">
        <v>167</v>
      </c>
      <c r="K1151">
        <v>1.1302431779072681E-2</v>
      </c>
      <c r="L1151" t="s">
        <v>164</v>
      </c>
    </row>
    <row r="1152" spans="9:12" x14ac:dyDescent="0.45">
      <c r="I1152" t="s">
        <v>202</v>
      </c>
      <c r="J1152" t="s">
        <v>168</v>
      </c>
      <c r="K1152">
        <v>8.02528689785687E-3</v>
      </c>
      <c r="L1152" t="s">
        <v>164</v>
      </c>
    </row>
    <row r="1153" spans="9:12" x14ac:dyDescent="0.45">
      <c r="I1153" t="s">
        <v>202</v>
      </c>
      <c r="J1153" t="s">
        <v>169</v>
      </c>
      <c r="K1153">
        <v>9.2008260424273399E-3</v>
      </c>
      <c r="L1153" t="s">
        <v>164</v>
      </c>
    </row>
    <row r="1154" spans="9:12" x14ac:dyDescent="0.45">
      <c r="I1154" t="s">
        <v>202</v>
      </c>
      <c r="J1154" t="s">
        <v>256</v>
      </c>
      <c r="K1154">
        <v>5.9105334358369364E-2</v>
      </c>
      <c r="L1154" t="s">
        <v>164</v>
      </c>
    </row>
    <row r="1155" spans="9:12" x14ac:dyDescent="0.45">
      <c r="I1155" t="s">
        <v>202</v>
      </c>
      <c r="J1155" t="s">
        <v>257</v>
      </c>
      <c r="K1155">
        <v>4.7801737131443048E-5</v>
      </c>
      <c r="L1155" t="s">
        <v>164</v>
      </c>
    </row>
    <row r="1156" spans="9:12" x14ac:dyDescent="0.45">
      <c r="I1156" t="s">
        <v>202</v>
      </c>
      <c r="J1156" t="s">
        <v>258</v>
      </c>
      <c r="K1156">
        <v>0</v>
      </c>
      <c r="L1156" t="s">
        <v>164</v>
      </c>
    </row>
    <row r="1157" spans="9:12" x14ac:dyDescent="0.45">
      <c r="I1157" t="s">
        <v>202</v>
      </c>
      <c r="J1157" t="s">
        <v>170</v>
      </c>
      <c r="K1157">
        <v>1.4447497471509524E-2</v>
      </c>
      <c r="L1157" t="s">
        <v>164</v>
      </c>
    </row>
    <row r="1158" spans="9:12" x14ac:dyDescent="0.45">
      <c r="I1158" t="s">
        <v>202</v>
      </c>
      <c r="J1158" t="s">
        <v>171</v>
      </c>
      <c r="K1158">
        <v>8.1377877135419847E-3</v>
      </c>
      <c r="L1158" t="s">
        <v>164</v>
      </c>
    </row>
    <row r="1159" spans="9:12" x14ac:dyDescent="0.45">
      <c r="I1159" t="s">
        <v>202</v>
      </c>
      <c r="J1159" t="s">
        <v>172</v>
      </c>
      <c r="K1159">
        <v>9.298581116521697E-3</v>
      </c>
      <c r="L1159" t="s">
        <v>164</v>
      </c>
    </row>
    <row r="1160" spans="9:12" x14ac:dyDescent="0.45">
      <c r="I1160" t="s">
        <v>202</v>
      </c>
      <c r="J1160" t="s">
        <v>259</v>
      </c>
      <c r="K1160">
        <v>5.7842214331111613E-2</v>
      </c>
      <c r="L1160" t="s">
        <v>164</v>
      </c>
    </row>
    <row r="1161" spans="9:12" x14ac:dyDescent="0.45">
      <c r="I1161" t="s">
        <v>202</v>
      </c>
      <c r="J1161" t="s">
        <v>260</v>
      </c>
      <c r="K1161">
        <v>0</v>
      </c>
      <c r="L1161" t="s">
        <v>164</v>
      </c>
    </row>
    <row r="1162" spans="9:12" x14ac:dyDescent="0.45">
      <c r="I1162" t="s">
        <v>202</v>
      </c>
      <c r="J1162" t="s">
        <v>261</v>
      </c>
      <c r="K1162">
        <v>0</v>
      </c>
      <c r="L1162" t="s">
        <v>164</v>
      </c>
    </row>
    <row r="1163" spans="9:12" x14ac:dyDescent="0.45">
      <c r="I1163" t="s">
        <v>202</v>
      </c>
      <c r="J1163" t="s">
        <v>173</v>
      </c>
      <c r="K1163">
        <v>6.6140844957269768E-2</v>
      </c>
      <c r="L1163" t="s">
        <v>164</v>
      </c>
    </row>
    <row r="1164" spans="9:12" x14ac:dyDescent="0.45">
      <c r="I1164" t="s">
        <v>202</v>
      </c>
      <c r="J1164" t="s">
        <v>174</v>
      </c>
      <c r="K1164">
        <v>3.4121894451120176E-2</v>
      </c>
      <c r="L1164" t="s">
        <v>164</v>
      </c>
    </row>
    <row r="1165" spans="9:12" x14ac:dyDescent="0.45">
      <c r="I1165" t="s">
        <v>202</v>
      </c>
      <c r="J1165" t="s">
        <v>175</v>
      </c>
      <c r="K1165">
        <v>3.8170959628351347E-2</v>
      </c>
      <c r="L1165" t="s">
        <v>164</v>
      </c>
    </row>
    <row r="1166" spans="9:12" x14ac:dyDescent="0.45">
      <c r="I1166" t="s">
        <v>202</v>
      </c>
      <c r="J1166" t="s">
        <v>262</v>
      </c>
      <c r="K1166">
        <v>0.22513986158951688</v>
      </c>
      <c r="L1166" t="s">
        <v>164</v>
      </c>
    </row>
    <row r="1167" spans="9:12" x14ac:dyDescent="0.45">
      <c r="I1167" t="s">
        <v>202</v>
      </c>
      <c r="J1167" t="s">
        <v>263</v>
      </c>
      <c r="K1167">
        <v>0</v>
      </c>
      <c r="L1167" t="s">
        <v>164</v>
      </c>
    </row>
    <row r="1168" spans="9:12" x14ac:dyDescent="0.45">
      <c r="I1168" t="s">
        <v>202</v>
      </c>
      <c r="J1168" t="s">
        <v>264</v>
      </c>
      <c r="K1168">
        <v>0</v>
      </c>
      <c r="L1168" t="s">
        <v>164</v>
      </c>
    </row>
    <row r="1169" spans="9:12" x14ac:dyDescent="0.45">
      <c r="I1169" t="s">
        <v>202</v>
      </c>
      <c r="J1169" t="s">
        <v>265</v>
      </c>
      <c r="K1169">
        <v>1.5975655748469639E-2</v>
      </c>
      <c r="L1169" t="s">
        <v>164</v>
      </c>
    </row>
    <row r="1170" spans="9:12" x14ac:dyDescent="0.45">
      <c r="I1170" t="s">
        <v>202</v>
      </c>
      <c r="J1170" t="s">
        <v>266</v>
      </c>
      <c r="K1170">
        <v>7.932339193911989E-3</v>
      </c>
      <c r="L1170" t="s">
        <v>164</v>
      </c>
    </row>
    <row r="1171" spans="9:12" x14ac:dyDescent="0.45">
      <c r="I1171" t="s">
        <v>202</v>
      </c>
      <c r="J1171" t="s">
        <v>267</v>
      </c>
      <c r="K1171">
        <v>8.7182176873435852E-3</v>
      </c>
      <c r="L1171" t="s">
        <v>164</v>
      </c>
    </row>
    <row r="1172" spans="9:12" x14ac:dyDescent="0.45">
      <c r="I1172" t="s">
        <v>202</v>
      </c>
      <c r="J1172" t="s">
        <v>268</v>
      </c>
      <c r="K1172">
        <v>5.4905850329942961E-2</v>
      </c>
      <c r="L1172" t="s">
        <v>164</v>
      </c>
    </row>
    <row r="1173" spans="9:12" x14ac:dyDescent="0.45">
      <c r="I1173" t="s">
        <v>202</v>
      </c>
      <c r="J1173" t="s">
        <v>269</v>
      </c>
      <c r="K1173">
        <v>0</v>
      </c>
      <c r="L1173" t="s">
        <v>164</v>
      </c>
    </row>
    <row r="1174" spans="9:12" x14ac:dyDescent="0.45">
      <c r="I1174" t="s">
        <v>202</v>
      </c>
      <c r="J1174" t="s">
        <v>270</v>
      </c>
      <c r="K1174">
        <v>0</v>
      </c>
      <c r="L1174" t="s">
        <v>164</v>
      </c>
    </row>
    <row r="1175" spans="9:12" x14ac:dyDescent="0.45">
      <c r="I1175" t="s">
        <v>202</v>
      </c>
      <c r="J1175" t="s">
        <v>271</v>
      </c>
      <c r="K1175">
        <v>1.7248057869375884E-2</v>
      </c>
      <c r="L1175" t="s">
        <v>164</v>
      </c>
    </row>
    <row r="1176" spans="9:12" x14ac:dyDescent="0.45">
      <c r="I1176" t="s">
        <v>202</v>
      </c>
      <c r="J1176" t="s">
        <v>272</v>
      </c>
      <c r="K1176">
        <v>8.6808171441441241E-3</v>
      </c>
      <c r="L1176" t="s">
        <v>164</v>
      </c>
    </row>
    <row r="1177" spans="9:12" x14ac:dyDescent="0.45">
      <c r="I1177" t="s">
        <v>202</v>
      </c>
      <c r="J1177" t="s">
        <v>273</v>
      </c>
      <c r="K1177">
        <v>9.5803455871793716E-3</v>
      </c>
      <c r="L1177" t="s">
        <v>164</v>
      </c>
    </row>
    <row r="1178" spans="9:12" x14ac:dyDescent="0.45">
      <c r="I1178" t="s">
        <v>202</v>
      </c>
      <c r="J1178" t="s">
        <v>274</v>
      </c>
      <c r="K1178">
        <v>5.7708610623187523E-2</v>
      </c>
      <c r="L1178" t="s">
        <v>164</v>
      </c>
    </row>
    <row r="1179" spans="9:12" x14ac:dyDescent="0.45">
      <c r="I1179" t="s">
        <v>202</v>
      </c>
      <c r="J1179" t="s">
        <v>275</v>
      </c>
      <c r="K1179">
        <v>0</v>
      </c>
      <c r="L1179" t="s">
        <v>164</v>
      </c>
    </row>
    <row r="1180" spans="9:12" x14ac:dyDescent="0.45">
      <c r="I1180" t="s">
        <v>202</v>
      </c>
      <c r="J1180" t="s">
        <v>276</v>
      </c>
      <c r="K1180">
        <v>0</v>
      </c>
      <c r="L1180" t="s">
        <v>164</v>
      </c>
    </row>
    <row r="1181" spans="9:12" x14ac:dyDescent="0.45">
      <c r="I1181" t="s">
        <v>202</v>
      </c>
      <c r="J1181" t="s">
        <v>277</v>
      </c>
      <c r="K1181">
        <v>3.4932155404486631E-2</v>
      </c>
      <c r="L1181" t="s">
        <v>164</v>
      </c>
    </row>
    <row r="1182" spans="9:12" x14ac:dyDescent="0.45">
      <c r="I1182" t="s">
        <v>202</v>
      </c>
      <c r="J1182" t="s">
        <v>278</v>
      </c>
      <c r="K1182">
        <v>1.8050118960302633E-2</v>
      </c>
      <c r="L1182" t="s">
        <v>164</v>
      </c>
    </row>
    <row r="1183" spans="9:12" x14ac:dyDescent="0.45">
      <c r="I1183" t="s">
        <v>202</v>
      </c>
      <c r="J1183" t="s">
        <v>279</v>
      </c>
      <c r="K1183">
        <v>1.9316425263019289E-2</v>
      </c>
      <c r="L1183" t="s">
        <v>164</v>
      </c>
    </row>
    <row r="1184" spans="9:12" x14ac:dyDescent="0.45">
      <c r="I1184" t="s">
        <v>202</v>
      </c>
      <c r="J1184" t="s">
        <v>280</v>
      </c>
      <c r="K1184">
        <v>0.10622473186252335</v>
      </c>
      <c r="L1184" t="s">
        <v>164</v>
      </c>
    </row>
    <row r="1185" spans="9:12" x14ac:dyDescent="0.45">
      <c r="I1185" t="s">
        <v>202</v>
      </c>
      <c r="J1185" t="s">
        <v>281</v>
      </c>
      <c r="K1185">
        <v>0</v>
      </c>
      <c r="L1185" t="s">
        <v>164</v>
      </c>
    </row>
    <row r="1186" spans="9:12" x14ac:dyDescent="0.45">
      <c r="I1186" t="s">
        <v>202</v>
      </c>
      <c r="J1186" t="s">
        <v>282</v>
      </c>
      <c r="K1186">
        <v>0</v>
      </c>
      <c r="L1186" t="s">
        <v>164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BC89E-3C69-4FF5-867A-54E32321B515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236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242</v>
      </c>
      <c r="AK10" t="s">
        <v>47</v>
      </c>
      <c r="AL10" t="s">
        <v>121</v>
      </c>
      <c r="AM10" t="s">
        <v>243</v>
      </c>
      <c r="AN10" t="s">
        <v>244</v>
      </c>
    </row>
    <row r="11" spans="1:40" x14ac:dyDescent="0.45">
      <c r="A11" t="str">
        <f>IFERROR(IF(Veda!D5=A10,"ok","x"),"")</f>
        <v>ok</v>
      </c>
      <c r="C11" t="s">
        <v>285</v>
      </c>
      <c r="D11" t="s">
        <v>153</v>
      </c>
      <c r="E11" t="s">
        <v>286</v>
      </c>
      <c r="F11" t="s">
        <v>285</v>
      </c>
      <c r="G11" t="s">
        <v>153</v>
      </c>
      <c r="I11" t="s">
        <v>162</v>
      </c>
      <c r="J11" t="s">
        <v>287</v>
      </c>
      <c r="K11">
        <v>1.0000000000000007</v>
      </c>
      <c r="L11" t="s">
        <v>164</v>
      </c>
      <c r="N11" t="s">
        <v>203</v>
      </c>
      <c r="O11" t="s">
        <v>287</v>
      </c>
      <c r="P11">
        <v>1.0000000000000036</v>
      </c>
      <c r="Q11" t="s">
        <v>164</v>
      </c>
      <c r="S11" t="s">
        <v>226</v>
      </c>
      <c r="T11" t="s">
        <v>287</v>
      </c>
      <c r="U11">
        <v>1.0000000000000024</v>
      </c>
      <c r="V11" t="s">
        <v>164</v>
      </c>
      <c r="X11">
        <v>1</v>
      </c>
      <c r="Y11">
        <v>1.0000000000000002</v>
      </c>
      <c r="Z11" t="s">
        <v>287</v>
      </c>
      <c r="AA11" t="s">
        <v>25</v>
      </c>
      <c r="AC11" t="s">
        <v>22</v>
      </c>
      <c r="AD11" t="s">
        <v>287</v>
      </c>
      <c r="AE11">
        <v>1</v>
      </c>
      <c r="AG11" t="s">
        <v>96</v>
      </c>
      <c r="AH11" t="s">
        <v>287</v>
      </c>
      <c r="AI11">
        <v>0.2276946866804006</v>
      </c>
      <c r="AK11">
        <v>2020</v>
      </c>
      <c r="AL11" t="s">
        <v>285</v>
      </c>
      <c r="AM11">
        <v>0.56918725962761829</v>
      </c>
      <c r="AN11" t="s">
        <v>245</v>
      </c>
    </row>
    <row r="12" spans="1:40" x14ac:dyDescent="0.45">
      <c r="I12" t="s">
        <v>176</v>
      </c>
      <c r="J12" t="s">
        <v>287</v>
      </c>
      <c r="K12">
        <v>0.99999999999999933</v>
      </c>
      <c r="L12" t="s">
        <v>164</v>
      </c>
      <c r="N12" t="s">
        <v>204</v>
      </c>
      <c r="O12" t="s">
        <v>287</v>
      </c>
      <c r="P12">
        <v>1.0000000000000016</v>
      </c>
      <c r="Q12" t="s">
        <v>164</v>
      </c>
      <c r="S12" t="s">
        <v>227</v>
      </c>
      <c r="T12" t="s">
        <v>287</v>
      </c>
      <c r="U12">
        <v>1.0000000000000027</v>
      </c>
      <c r="V12" t="s">
        <v>164</v>
      </c>
      <c r="AC12" t="s">
        <v>19</v>
      </c>
      <c r="AD12" t="s">
        <v>287</v>
      </c>
      <c r="AE12">
        <v>1</v>
      </c>
      <c r="AK12">
        <v>2021</v>
      </c>
      <c r="AL12" t="s">
        <v>285</v>
      </c>
      <c r="AM12">
        <v>0.48831652357533833</v>
      </c>
      <c r="AN12" t="s">
        <v>245</v>
      </c>
    </row>
    <row r="13" spans="1:40" x14ac:dyDescent="0.45">
      <c r="I13" t="s">
        <v>177</v>
      </c>
      <c r="J13" t="s">
        <v>287</v>
      </c>
      <c r="K13">
        <v>0.99999999999999989</v>
      </c>
      <c r="L13" t="s">
        <v>164</v>
      </c>
      <c r="N13" t="s">
        <v>205</v>
      </c>
      <c r="O13" t="s">
        <v>287</v>
      </c>
      <c r="P13">
        <v>0.99999999999999878</v>
      </c>
      <c r="Q13" t="s">
        <v>164</v>
      </c>
      <c r="S13" t="s">
        <v>228</v>
      </c>
      <c r="T13" t="s">
        <v>287</v>
      </c>
      <c r="U13">
        <v>1.0000000000000002</v>
      </c>
      <c r="V13" t="s">
        <v>164</v>
      </c>
      <c r="AK13">
        <v>2022</v>
      </c>
      <c r="AL13" t="s">
        <v>285</v>
      </c>
      <c r="AM13">
        <v>0.40084425868371859</v>
      </c>
      <c r="AN13" t="s">
        <v>245</v>
      </c>
    </row>
    <row r="14" spans="1:40" x14ac:dyDescent="0.45">
      <c r="I14" t="s">
        <v>178</v>
      </c>
      <c r="J14" t="s">
        <v>287</v>
      </c>
      <c r="K14">
        <v>1</v>
      </c>
      <c r="L14" t="s">
        <v>164</v>
      </c>
      <c r="N14" t="s">
        <v>206</v>
      </c>
      <c r="O14" t="s">
        <v>287</v>
      </c>
      <c r="P14">
        <v>0.99999999999999978</v>
      </c>
      <c r="Q14" t="s">
        <v>164</v>
      </c>
      <c r="S14" t="s">
        <v>229</v>
      </c>
      <c r="T14" t="s">
        <v>287</v>
      </c>
      <c r="U14">
        <v>0.99999999999999611</v>
      </c>
      <c r="V14" t="s">
        <v>164</v>
      </c>
      <c r="AK14">
        <v>2025</v>
      </c>
      <c r="AL14" t="s">
        <v>285</v>
      </c>
      <c r="AM14">
        <v>0.37885833333333335</v>
      </c>
      <c r="AN14" t="s">
        <v>245</v>
      </c>
    </row>
    <row r="15" spans="1:40" x14ac:dyDescent="0.45">
      <c r="I15" t="s">
        <v>179</v>
      </c>
      <c r="J15" t="s">
        <v>287</v>
      </c>
      <c r="K15">
        <v>0.99999999999999656</v>
      </c>
      <c r="L15" t="s">
        <v>164</v>
      </c>
      <c r="N15" t="s">
        <v>207</v>
      </c>
      <c r="O15" t="s">
        <v>287</v>
      </c>
      <c r="P15">
        <v>0.99999999999999867</v>
      </c>
      <c r="Q15" t="s">
        <v>164</v>
      </c>
      <c r="S15" t="s">
        <v>230</v>
      </c>
      <c r="T15" t="s">
        <v>287</v>
      </c>
      <c r="U15">
        <v>1.0000000000000013</v>
      </c>
      <c r="V15" t="s">
        <v>164</v>
      </c>
      <c r="AK15">
        <v>2026</v>
      </c>
      <c r="AL15" t="s">
        <v>285</v>
      </c>
      <c r="AM15">
        <v>0.45091666666666663</v>
      </c>
      <c r="AN15" t="s">
        <v>245</v>
      </c>
    </row>
    <row r="16" spans="1:40" x14ac:dyDescent="0.45">
      <c r="I16" t="s">
        <v>180</v>
      </c>
      <c r="J16" t="s">
        <v>287</v>
      </c>
      <c r="K16">
        <v>1.0000000000000004</v>
      </c>
      <c r="L16" t="s">
        <v>164</v>
      </c>
      <c r="N16" t="s">
        <v>208</v>
      </c>
      <c r="O16" t="s">
        <v>287</v>
      </c>
      <c r="P16">
        <v>0.99999999999999967</v>
      </c>
      <c r="Q16" t="s">
        <v>164</v>
      </c>
      <c r="S16" t="s">
        <v>231</v>
      </c>
      <c r="T16" t="s">
        <v>287</v>
      </c>
      <c r="U16">
        <v>1.0000000000000004</v>
      </c>
      <c r="V16" t="s">
        <v>164</v>
      </c>
      <c r="AK16">
        <v>2027</v>
      </c>
      <c r="AL16" t="s">
        <v>285</v>
      </c>
      <c r="AM16">
        <v>0.50622500000000004</v>
      </c>
      <c r="AN16" t="s">
        <v>245</v>
      </c>
    </row>
    <row r="17" spans="9:40" x14ac:dyDescent="0.45">
      <c r="I17" t="s">
        <v>181</v>
      </c>
      <c r="J17" t="s">
        <v>287</v>
      </c>
      <c r="K17">
        <v>1.0000000000000009</v>
      </c>
      <c r="L17" t="s">
        <v>164</v>
      </c>
      <c r="N17" t="s">
        <v>209</v>
      </c>
      <c r="O17" t="s">
        <v>287</v>
      </c>
      <c r="P17">
        <v>0.99999999999999911</v>
      </c>
      <c r="Q17" t="s">
        <v>164</v>
      </c>
      <c r="S17" t="s">
        <v>232</v>
      </c>
      <c r="T17" t="s">
        <v>287</v>
      </c>
      <c r="U17">
        <v>1.0000000000000038</v>
      </c>
      <c r="V17" t="s">
        <v>164</v>
      </c>
      <c r="AK17">
        <v>2028</v>
      </c>
      <c r="AL17" t="s">
        <v>285</v>
      </c>
      <c r="AM17">
        <v>0.5099083333333333</v>
      </c>
      <c r="AN17" t="s">
        <v>245</v>
      </c>
    </row>
    <row r="18" spans="9:40" x14ac:dyDescent="0.45">
      <c r="I18" t="s">
        <v>182</v>
      </c>
      <c r="J18" t="s">
        <v>287</v>
      </c>
      <c r="K18">
        <v>1.0000000000000027</v>
      </c>
      <c r="L18" t="s">
        <v>164</v>
      </c>
      <c r="N18" t="s">
        <v>210</v>
      </c>
      <c r="O18" t="s">
        <v>287</v>
      </c>
      <c r="P18">
        <v>1.0000000000000011</v>
      </c>
      <c r="Q18" t="s">
        <v>164</v>
      </c>
      <c r="S18" t="s">
        <v>233</v>
      </c>
      <c r="T18" t="s">
        <v>287</v>
      </c>
      <c r="U18">
        <v>1.0000000000000011</v>
      </c>
      <c r="V18" t="s">
        <v>164</v>
      </c>
      <c r="AK18">
        <v>2029</v>
      </c>
      <c r="AL18" t="s">
        <v>285</v>
      </c>
      <c r="AM18">
        <v>0.5173833333333332</v>
      </c>
      <c r="AN18" t="s">
        <v>245</v>
      </c>
    </row>
    <row r="19" spans="9:40" x14ac:dyDescent="0.45">
      <c r="I19" t="s">
        <v>183</v>
      </c>
      <c r="J19" t="s">
        <v>287</v>
      </c>
      <c r="K19">
        <v>0.99999999999999822</v>
      </c>
      <c r="L19" t="s">
        <v>164</v>
      </c>
      <c r="N19" t="s">
        <v>211</v>
      </c>
      <c r="O19" t="s">
        <v>287</v>
      </c>
      <c r="P19">
        <v>1.0000000000000029</v>
      </c>
      <c r="Q19" t="s">
        <v>164</v>
      </c>
      <c r="S19" t="s">
        <v>234</v>
      </c>
      <c r="T19" t="s">
        <v>287</v>
      </c>
      <c r="U19">
        <v>0.999999999999998</v>
      </c>
      <c r="V19" t="s">
        <v>164</v>
      </c>
      <c r="AK19">
        <v>2030</v>
      </c>
      <c r="AL19" t="s">
        <v>285</v>
      </c>
      <c r="AM19">
        <v>0.52139999999999997</v>
      </c>
      <c r="AN19" t="s">
        <v>245</v>
      </c>
    </row>
    <row r="20" spans="9:40" x14ac:dyDescent="0.45">
      <c r="I20" t="s">
        <v>184</v>
      </c>
      <c r="J20" t="s">
        <v>287</v>
      </c>
      <c r="K20">
        <v>1.0000000000000013</v>
      </c>
      <c r="L20" t="s">
        <v>164</v>
      </c>
      <c r="N20" t="s">
        <v>212</v>
      </c>
      <c r="O20" t="s">
        <v>287</v>
      </c>
      <c r="P20">
        <v>1.0000000000000029</v>
      </c>
      <c r="Q20" t="s">
        <v>164</v>
      </c>
      <c r="S20" t="s">
        <v>235</v>
      </c>
      <c r="T20" t="s">
        <v>287</v>
      </c>
      <c r="U20">
        <v>0.99999999999999878</v>
      </c>
      <c r="V20" t="s">
        <v>164</v>
      </c>
      <c r="AK20">
        <v>2031</v>
      </c>
      <c r="AL20" t="s">
        <v>285</v>
      </c>
      <c r="AM20">
        <v>0.4466666666666666</v>
      </c>
      <c r="AN20" t="s">
        <v>245</v>
      </c>
    </row>
    <row r="21" spans="9:40" x14ac:dyDescent="0.45">
      <c r="I21" t="s">
        <v>185</v>
      </c>
      <c r="J21" t="s">
        <v>287</v>
      </c>
      <c r="K21">
        <v>0.99999999999999789</v>
      </c>
      <c r="L21" t="s">
        <v>164</v>
      </c>
      <c r="N21" t="s">
        <v>213</v>
      </c>
      <c r="O21" t="s">
        <v>287</v>
      </c>
      <c r="P21">
        <v>1.0000000000000018</v>
      </c>
      <c r="Q21" t="s">
        <v>164</v>
      </c>
      <c r="AK21">
        <v>2032</v>
      </c>
      <c r="AL21" t="s">
        <v>285</v>
      </c>
      <c r="AM21">
        <v>0.44941666666666663</v>
      </c>
      <c r="AN21" t="s">
        <v>245</v>
      </c>
    </row>
    <row r="22" spans="9:40" x14ac:dyDescent="0.45">
      <c r="I22" t="s">
        <v>186</v>
      </c>
      <c r="J22" t="s">
        <v>287</v>
      </c>
      <c r="K22">
        <v>1.0000000000000002</v>
      </c>
      <c r="L22" t="s">
        <v>164</v>
      </c>
      <c r="N22" t="s">
        <v>214</v>
      </c>
      <c r="O22" t="s">
        <v>287</v>
      </c>
      <c r="P22">
        <v>0.999999999999999</v>
      </c>
      <c r="Q22" t="s">
        <v>164</v>
      </c>
      <c r="AK22">
        <v>2033</v>
      </c>
      <c r="AL22" t="s">
        <v>285</v>
      </c>
      <c r="AM22">
        <v>0.4469583333333334</v>
      </c>
      <c r="AN22" t="s">
        <v>245</v>
      </c>
    </row>
    <row r="23" spans="9:40" x14ac:dyDescent="0.45">
      <c r="I23" t="s">
        <v>187</v>
      </c>
      <c r="J23" t="s">
        <v>287</v>
      </c>
      <c r="K23">
        <v>0.99999999999999889</v>
      </c>
      <c r="L23" t="s">
        <v>164</v>
      </c>
      <c r="N23" t="s">
        <v>215</v>
      </c>
      <c r="O23" t="s">
        <v>287</v>
      </c>
      <c r="P23">
        <v>1.0000000000000029</v>
      </c>
      <c r="Q23" t="s">
        <v>164</v>
      </c>
      <c r="AK23">
        <v>2034</v>
      </c>
      <c r="AL23" t="s">
        <v>285</v>
      </c>
      <c r="AM23">
        <v>0.44474166666666665</v>
      </c>
      <c r="AN23" t="s">
        <v>245</v>
      </c>
    </row>
    <row r="24" spans="9:40" x14ac:dyDescent="0.45">
      <c r="I24" t="s">
        <v>188</v>
      </c>
      <c r="J24" t="s">
        <v>287</v>
      </c>
      <c r="K24">
        <v>0.999999999999999</v>
      </c>
      <c r="L24" t="s">
        <v>164</v>
      </c>
      <c r="N24" t="s">
        <v>216</v>
      </c>
      <c r="O24" t="s">
        <v>287</v>
      </c>
      <c r="P24">
        <v>1.0000000000000049</v>
      </c>
      <c r="Q24" t="s">
        <v>164</v>
      </c>
      <c r="AK24">
        <v>2035</v>
      </c>
      <c r="AL24" t="s">
        <v>285</v>
      </c>
      <c r="AM24">
        <v>0.44499166666666667</v>
      </c>
      <c r="AN24" t="s">
        <v>245</v>
      </c>
    </row>
    <row r="25" spans="9:40" x14ac:dyDescent="0.45">
      <c r="I25" t="s">
        <v>189</v>
      </c>
      <c r="J25" t="s">
        <v>287</v>
      </c>
      <c r="K25">
        <v>0.99999999999999956</v>
      </c>
      <c r="L25" t="s">
        <v>164</v>
      </c>
      <c r="N25" t="s">
        <v>217</v>
      </c>
      <c r="O25" t="s">
        <v>287</v>
      </c>
      <c r="P25">
        <v>0.99999999999999734</v>
      </c>
      <c r="Q25" t="s">
        <v>164</v>
      </c>
      <c r="AK25">
        <v>2036</v>
      </c>
      <c r="AL25" t="s">
        <v>285</v>
      </c>
      <c r="AM25">
        <v>0.45474166666666666</v>
      </c>
      <c r="AN25" t="s">
        <v>245</v>
      </c>
    </row>
    <row r="26" spans="9:40" x14ac:dyDescent="0.45">
      <c r="I26" t="s">
        <v>190</v>
      </c>
      <c r="J26" t="s">
        <v>287</v>
      </c>
      <c r="K26">
        <v>1.0000000000000011</v>
      </c>
      <c r="L26" t="s">
        <v>164</v>
      </c>
      <c r="N26" t="s">
        <v>218</v>
      </c>
      <c r="O26" t="s">
        <v>287</v>
      </c>
      <c r="P26">
        <v>0.99999999999999911</v>
      </c>
      <c r="Q26" t="s">
        <v>164</v>
      </c>
      <c r="AK26">
        <v>2037</v>
      </c>
      <c r="AL26" t="s">
        <v>285</v>
      </c>
      <c r="AM26">
        <v>0.45130833333333337</v>
      </c>
      <c r="AN26" t="s">
        <v>245</v>
      </c>
    </row>
    <row r="27" spans="9:40" x14ac:dyDescent="0.45">
      <c r="I27" t="s">
        <v>191</v>
      </c>
      <c r="J27" t="s">
        <v>287</v>
      </c>
      <c r="K27">
        <v>1.0000000000000004</v>
      </c>
      <c r="L27" t="s">
        <v>164</v>
      </c>
      <c r="N27" t="s">
        <v>219</v>
      </c>
      <c r="O27" t="s">
        <v>287</v>
      </c>
      <c r="P27">
        <v>1.0000000000000024</v>
      </c>
      <c r="Q27" t="s">
        <v>164</v>
      </c>
      <c r="AK27">
        <v>2038</v>
      </c>
      <c r="AL27" t="s">
        <v>285</v>
      </c>
      <c r="AM27">
        <v>0.44119166666666665</v>
      </c>
      <c r="AN27" t="s">
        <v>245</v>
      </c>
    </row>
    <row r="28" spans="9:40" x14ac:dyDescent="0.45">
      <c r="I28" t="s">
        <v>192</v>
      </c>
      <c r="J28" t="s">
        <v>287</v>
      </c>
      <c r="K28">
        <v>1.0000000000000013</v>
      </c>
      <c r="L28" t="s">
        <v>164</v>
      </c>
      <c r="N28" t="s">
        <v>220</v>
      </c>
      <c r="O28" t="s">
        <v>287</v>
      </c>
      <c r="P28">
        <v>1.0000000000000024</v>
      </c>
      <c r="Q28" t="s">
        <v>164</v>
      </c>
      <c r="AK28">
        <v>2039</v>
      </c>
      <c r="AL28" t="s">
        <v>285</v>
      </c>
      <c r="AM28">
        <v>0.44241666666666668</v>
      </c>
      <c r="AN28" t="s">
        <v>245</v>
      </c>
    </row>
    <row r="29" spans="9:40" x14ac:dyDescent="0.45">
      <c r="I29" t="s">
        <v>193</v>
      </c>
      <c r="J29" t="s">
        <v>287</v>
      </c>
      <c r="K29">
        <v>1.000000000000002</v>
      </c>
      <c r="L29" t="s">
        <v>164</v>
      </c>
      <c r="N29" t="s">
        <v>221</v>
      </c>
      <c r="O29" t="s">
        <v>287</v>
      </c>
      <c r="P29">
        <v>0.99999999999999545</v>
      </c>
      <c r="Q29" t="s">
        <v>164</v>
      </c>
      <c r="AK29">
        <v>2040</v>
      </c>
      <c r="AL29" t="s">
        <v>285</v>
      </c>
      <c r="AM29">
        <v>0.44885000000000014</v>
      </c>
      <c r="AN29" t="s">
        <v>245</v>
      </c>
    </row>
    <row r="30" spans="9:40" x14ac:dyDescent="0.45">
      <c r="I30" t="s">
        <v>194</v>
      </c>
      <c r="J30" t="s">
        <v>287</v>
      </c>
      <c r="K30">
        <v>1.000000000000002</v>
      </c>
      <c r="L30" t="s">
        <v>164</v>
      </c>
      <c r="N30" t="s">
        <v>222</v>
      </c>
      <c r="O30" t="s">
        <v>287</v>
      </c>
      <c r="P30">
        <v>0.99999999999999967</v>
      </c>
      <c r="Q30" t="s">
        <v>164</v>
      </c>
      <c r="AK30">
        <v>2041</v>
      </c>
      <c r="AL30" t="s">
        <v>285</v>
      </c>
      <c r="AM30">
        <v>0.44701666666666667</v>
      </c>
      <c r="AN30" t="s">
        <v>245</v>
      </c>
    </row>
    <row r="31" spans="9:40" x14ac:dyDescent="0.45">
      <c r="I31" t="s">
        <v>195</v>
      </c>
      <c r="J31" t="s">
        <v>287</v>
      </c>
      <c r="K31">
        <v>1.0000000000000002</v>
      </c>
      <c r="L31" t="s">
        <v>164</v>
      </c>
      <c r="N31" t="s">
        <v>223</v>
      </c>
      <c r="O31" t="s">
        <v>287</v>
      </c>
      <c r="P31">
        <v>0.99999999999999334</v>
      </c>
      <c r="Q31" t="s">
        <v>164</v>
      </c>
      <c r="AK31">
        <v>2042</v>
      </c>
      <c r="AL31" t="s">
        <v>285</v>
      </c>
      <c r="AM31">
        <v>0.43934166666666657</v>
      </c>
      <c r="AN31" t="s">
        <v>245</v>
      </c>
    </row>
    <row r="32" spans="9:40" x14ac:dyDescent="0.45">
      <c r="I32" t="s">
        <v>196</v>
      </c>
      <c r="J32" t="s">
        <v>287</v>
      </c>
      <c r="K32">
        <v>0.99999999999999833</v>
      </c>
      <c r="L32" t="s">
        <v>164</v>
      </c>
      <c r="N32" t="s">
        <v>224</v>
      </c>
      <c r="O32" t="s">
        <v>287</v>
      </c>
      <c r="P32">
        <v>0.99999999999999822</v>
      </c>
      <c r="Q32" t="s">
        <v>164</v>
      </c>
      <c r="AK32">
        <v>2043</v>
      </c>
      <c r="AL32" t="s">
        <v>285</v>
      </c>
      <c r="AM32">
        <v>0.44870833333333326</v>
      </c>
      <c r="AN32" t="s">
        <v>245</v>
      </c>
    </row>
    <row r="33" spans="9:40" x14ac:dyDescent="0.45">
      <c r="I33" t="s">
        <v>197</v>
      </c>
      <c r="J33" t="s">
        <v>287</v>
      </c>
      <c r="K33">
        <v>0.99999999999999822</v>
      </c>
      <c r="L33" t="s">
        <v>164</v>
      </c>
      <c r="N33" t="s">
        <v>225</v>
      </c>
      <c r="O33" t="s">
        <v>287</v>
      </c>
      <c r="P33">
        <v>0.99999999999999845</v>
      </c>
      <c r="Q33" t="s">
        <v>164</v>
      </c>
      <c r="AK33">
        <v>2044</v>
      </c>
      <c r="AL33" t="s">
        <v>285</v>
      </c>
      <c r="AM33">
        <v>0.45370833333333338</v>
      </c>
      <c r="AN33" t="s">
        <v>245</v>
      </c>
    </row>
    <row r="34" spans="9:40" x14ac:dyDescent="0.45">
      <c r="I34" t="s">
        <v>198</v>
      </c>
      <c r="J34" t="s">
        <v>287</v>
      </c>
      <c r="K34">
        <v>1.0000000000000018</v>
      </c>
      <c r="L34" t="s">
        <v>164</v>
      </c>
      <c r="AK34">
        <v>2045</v>
      </c>
      <c r="AL34" t="s">
        <v>285</v>
      </c>
      <c r="AM34">
        <v>0.43429166666666674</v>
      </c>
      <c r="AN34" t="s">
        <v>245</v>
      </c>
    </row>
    <row r="35" spans="9:40" x14ac:dyDescent="0.45">
      <c r="I35" t="s">
        <v>199</v>
      </c>
      <c r="J35" t="s">
        <v>287</v>
      </c>
      <c r="K35">
        <v>1.0000000000000011</v>
      </c>
      <c r="L35" t="s">
        <v>164</v>
      </c>
      <c r="AK35">
        <v>2046</v>
      </c>
      <c r="AL35" t="s">
        <v>285</v>
      </c>
      <c r="AM35">
        <v>0.38326666666666664</v>
      </c>
      <c r="AN35" t="s">
        <v>245</v>
      </c>
    </row>
    <row r="36" spans="9:40" x14ac:dyDescent="0.45">
      <c r="I36" t="s">
        <v>200</v>
      </c>
      <c r="J36" t="s">
        <v>287</v>
      </c>
      <c r="K36">
        <v>0.99999999999999978</v>
      </c>
      <c r="L36" t="s">
        <v>164</v>
      </c>
      <c r="AK36">
        <v>2047</v>
      </c>
      <c r="AL36" t="s">
        <v>285</v>
      </c>
      <c r="AM36">
        <v>0.38044166666666662</v>
      </c>
      <c r="AN36" t="s">
        <v>245</v>
      </c>
    </row>
    <row r="37" spans="9:40" x14ac:dyDescent="0.45">
      <c r="I37" t="s">
        <v>201</v>
      </c>
      <c r="J37" t="s">
        <v>287</v>
      </c>
      <c r="K37">
        <v>1.0000000000000018</v>
      </c>
      <c r="L37" t="s">
        <v>164</v>
      </c>
      <c r="AK37">
        <v>2048</v>
      </c>
      <c r="AL37" t="s">
        <v>285</v>
      </c>
      <c r="AM37">
        <v>0.37212499999999998</v>
      </c>
      <c r="AN37" t="s">
        <v>245</v>
      </c>
    </row>
    <row r="38" spans="9:40" x14ac:dyDescent="0.45">
      <c r="I38" t="s">
        <v>202</v>
      </c>
      <c r="J38" t="s">
        <v>287</v>
      </c>
      <c r="K38">
        <v>1.0000000000000004</v>
      </c>
      <c r="L38" t="s">
        <v>164</v>
      </c>
      <c r="AK38">
        <v>2049</v>
      </c>
      <c r="AL38" t="s">
        <v>285</v>
      </c>
      <c r="AM38">
        <v>0.36824166666666663</v>
      </c>
      <c r="AN38" t="s">
        <v>245</v>
      </c>
    </row>
    <row r="39" spans="9:40" x14ac:dyDescent="0.45">
      <c r="AK39">
        <v>2050</v>
      </c>
      <c r="AL39" t="s">
        <v>285</v>
      </c>
      <c r="AM39">
        <v>0.37856666666666672</v>
      </c>
      <c r="AN39" t="s">
        <v>245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1E268-3971-4D79-B727-089463FAEB23}">
  <dimension ref="A9:AN34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236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242</v>
      </c>
      <c r="AK10" t="s">
        <v>47</v>
      </c>
      <c r="AL10" t="s">
        <v>121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288</v>
      </c>
      <c r="D11" t="s">
        <v>153</v>
      </c>
      <c r="E11" t="s">
        <v>238</v>
      </c>
      <c r="F11" t="s">
        <v>289</v>
      </c>
      <c r="G11" t="s">
        <v>153</v>
      </c>
      <c r="I11" t="s">
        <v>162</v>
      </c>
      <c r="J11" t="s">
        <v>294</v>
      </c>
      <c r="K11">
        <v>0.22735436818264093</v>
      </c>
      <c r="L11" t="s">
        <v>164</v>
      </c>
      <c r="N11" t="s">
        <v>203</v>
      </c>
      <c r="O11" t="s">
        <v>294</v>
      </c>
      <c r="P11">
        <v>0.11414489175382635</v>
      </c>
      <c r="Q11" t="s">
        <v>164</v>
      </c>
      <c r="S11" t="s">
        <v>226</v>
      </c>
      <c r="T11" t="s">
        <v>294</v>
      </c>
      <c r="U11">
        <v>5.0224104456699975E-2</v>
      </c>
      <c r="V11" t="s">
        <v>164</v>
      </c>
      <c r="X11">
        <v>0.11426940639269406</v>
      </c>
      <c r="Y11">
        <v>0.16087081189037786</v>
      </c>
      <c r="Z11" t="s">
        <v>294</v>
      </c>
      <c r="AA11" t="s">
        <v>25</v>
      </c>
      <c r="AC11" t="s">
        <v>22</v>
      </c>
      <c r="AD11" t="s">
        <v>294</v>
      </c>
      <c r="AE11">
        <v>0.13471282138628521</v>
      </c>
      <c r="AG11" t="s">
        <v>96</v>
      </c>
      <c r="AH11" t="s">
        <v>294</v>
      </c>
      <c r="AI11">
        <v>0.11253260987496927</v>
      </c>
      <c r="AK11">
        <v>2020</v>
      </c>
      <c r="AL11" t="s">
        <v>288</v>
      </c>
      <c r="AM11">
        <v>0.60352097828378659</v>
      </c>
      <c r="AN11" t="s">
        <v>245</v>
      </c>
    </row>
    <row r="12" spans="1:40" x14ac:dyDescent="0.45">
      <c r="C12" t="s">
        <v>290</v>
      </c>
      <c r="E12" t="s">
        <v>240</v>
      </c>
      <c r="G12" t="s">
        <v>153</v>
      </c>
      <c r="I12" t="s">
        <v>162</v>
      </c>
      <c r="J12" t="s">
        <v>295</v>
      </c>
      <c r="K12">
        <v>0</v>
      </c>
      <c r="L12" t="s">
        <v>164</v>
      </c>
      <c r="N12" t="s">
        <v>203</v>
      </c>
      <c r="O12" t="s">
        <v>295</v>
      </c>
      <c r="P12">
        <v>0.10057241123687574</v>
      </c>
      <c r="Q12" t="s">
        <v>164</v>
      </c>
      <c r="S12" t="s">
        <v>226</v>
      </c>
      <c r="T12" t="s">
        <v>295</v>
      </c>
      <c r="U12">
        <v>7.2678490301482115E-2</v>
      </c>
      <c r="V12" t="s">
        <v>164</v>
      </c>
      <c r="X12">
        <v>0.11426940639269406</v>
      </c>
      <c r="Y12">
        <v>5.2547713165767528E-2</v>
      </c>
      <c r="Z12" t="s">
        <v>295</v>
      </c>
      <c r="AA12" t="s">
        <v>25</v>
      </c>
      <c r="AC12" t="s">
        <v>22</v>
      </c>
      <c r="AD12" t="s">
        <v>295</v>
      </c>
      <c r="AE12">
        <v>8.8525082392256385E-2</v>
      </c>
      <c r="AG12" t="s">
        <v>96</v>
      </c>
      <c r="AH12" t="s">
        <v>295</v>
      </c>
      <c r="AI12">
        <v>0.18638066262837105</v>
      </c>
      <c r="AK12">
        <v>2020</v>
      </c>
      <c r="AL12" t="s">
        <v>290</v>
      </c>
      <c r="AM12">
        <v>0.5218216318785579</v>
      </c>
      <c r="AN12" t="s">
        <v>245</v>
      </c>
    </row>
    <row r="13" spans="1:40" x14ac:dyDescent="0.45">
      <c r="C13" t="s">
        <v>291</v>
      </c>
      <c r="E13" t="s">
        <v>292</v>
      </c>
      <c r="G13" t="s">
        <v>153</v>
      </c>
      <c r="I13" t="s">
        <v>162</v>
      </c>
      <c r="J13" t="s">
        <v>296</v>
      </c>
      <c r="K13">
        <v>2.9336396722239224E-2</v>
      </c>
      <c r="L13" t="s">
        <v>164</v>
      </c>
      <c r="N13" t="s">
        <v>203</v>
      </c>
      <c r="O13" t="s">
        <v>296</v>
      </c>
      <c r="P13">
        <v>7.1371910332846303E-2</v>
      </c>
      <c r="Q13" t="s">
        <v>164</v>
      </c>
      <c r="S13" t="s">
        <v>226</v>
      </c>
      <c r="T13" t="s">
        <v>296</v>
      </c>
      <c r="U13">
        <v>1.5834671458901675E-2</v>
      </c>
      <c r="V13" t="s">
        <v>164</v>
      </c>
      <c r="X13">
        <v>2.0776255707762557E-2</v>
      </c>
      <c r="Y13">
        <v>3.5896543437005365E-2</v>
      </c>
      <c r="Z13" t="s">
        <v>296</v>
      </c>
      <c r="AA13" t="s">
        <v>25</v>
      </c>
      <c r="AC13" t="s">
        <v>22</v>
      </c>
      <c r="AD13" t="s">
        <v>296</v>
      </c>
      <c r="AE13">
        <v>2.6521261944539402E-2</v>
      </c>
      <c r="AG13" t="s">
        <v>96</v>
      </c>
      <c r="AH13" t="s">
        <v>296</v>
      </c>
      <c r="AI13">
        <v>5.1566344382926399E-2</v>
      </c>
      <c r="AK13">
        <v>2020</v>
      </c>
      <c r="AL13" t="s">
        <v>291</v>
      </c>
      <c r="AM13">
        <v>0.55924520345772721</v>
      </c>
      <c r="AN13" t="s">
        <v>245</v>
      </c>
    </row>
    <row r="14" spans="1:40" x14ac:dyDescent="0.45">
      <c r="C14" t="s">
        <v>293</v>
      </c>
      <c r="I14" t="s">
        <v>162</v>
      </c>
      <c r="J14" t="s">
        <v>297</v>
      </c>
      <c r="K14">
        <v>0.21377066040165099</v>
      </c>
      <c r="L14" t="s">
        <v>164</v>
      </c>
      <c r="N14" t="s">
        <v>203</v>
      </c>
      <c r="O14" t="s">
        <v>297</v>
      </c>
      <c r="P14">
        <v>7.8230121301630096E-2</v>
      </c>
      <c r="Q14" t="s">
        <v>164</v>
      </c>
      <c r="S14" t="s">
        <v>226</v>
      </c>
      <c r="T14" t="s">
        <v>297</v>
      </c>
      <c r="U14">
        <v>0.10023444467805594</v>
      </c>
      <c r="V14" t="s">
        <v>164</v>
      </c>
      <c r="X14">
        <v>0.11552511415525114</v>
      </c>
      <c r="Y14">
        <v>0.16263862301005233</v>
      </c>
      <c r="Z14" t="s">
        <v>297</v>
      </c>
      <c r="AA14" t="s">
        <v>25</v>
      </c>
      <c r="AC14" t="s">
        <v>22</v>
      </c>
      <c r="AD14" t="s">
        <v>297</v>
      </c>
      <c r="AE14">
        <v>0.13609920463828043</v>
      </c>
      <c r="AG14" t="s">
        <v>96</v>
      </c>
      <c r="AH14" t="s">
        <v>297</v>
      </c>
      <c r="AI14">
        <v>0.12441561327487327</v>
      </c>
      <c r="AK14">
        <v>2020</v>
      </c>
      <c r="AL14" t="s">
        <v>293</v>
      </c>
      <c r="AM14">
        <v>0.59216122489040113</v>
      </c>
      <c r="AN14" t="s">
        <v>245</v>
      </c>
    </row>
    <row r="15" spans="1:40" x14ac:dyDescent="0.45">
      <c r="I15" t="s">
        <v>162</v>
      </c>
      <c r="J15" t="s">
        <v>298</v>
      </c>
      <c r="K15">
        <v>0</v>
      </c>
      <c r="L15" t="s">
        <v>164</v>
      </c>
      <c r="N15" t="s">
        <v>203</v>
      </c>
      <c r="O15" t="s">
        <v>298</v>
      </c>
      <c r="P15">
        <v>7.0115126913587025E-2</v>
      </c>
      <c r="Q15" t="s">
        <v>164</v>
      </c>
      <c r="S15" t="s">
        <v>226</v>
      </c>
      <c r="T15" t="s">
        <v>298</v>
      </c>
      <c r="U15">
        <v>0.11003709603437091</v>
      </c>
      <c r="V15" t="s">
        <v>164</v>
      </c>
      <c r="X15">
        <v>0.11552511415525114</v>
      </c>
      <c r="Y15">
        <v>5.3125160563193538E-2</v>
      </c>
      <c r="Z15" t="s">
        <v>298</v>
      </c>
      <c r="AA15" t="s">
        <v>25</v>
      </c>
      <c r="AC15" t="s">
        <v>22</v>
      </c>
      <c r="AD15" t="s">
        <v>298</v>
      </c>
      <c r="AE15">
        <v>9.068040040027768E-2</v>
      </c>
      <c r="AG15" t="s">
        <v>96</v>
      </c>
      <c r="AH15" t="s">
        <v>298</v>
      </c>
      <c r="AI15">
        <v>0.20336490474437396</v>
      </c>
      <c r="AK15">
        <v>2021</v>
      </c>
      <c r="AL15" t="s">
        <v>288</v>
      </c>
      <c r="AM15">
        <v>0.45757967269595173</v>
      </c>
      <c r="AN15" t="s">
        <v>245</v>
      </c>
    </row>
    <row r="16" spans="1:40" x14ac:dyDescent="0.45">
      <c r="I16" t="s">
        <v>162</v>
      </c>
      <c r="J16" t="s">
        <v>299</v>
      </c>
      <c r="K16">
        <v>2.9728921371319932E-2</v>
      </c>
      <c r="L16" t="s">
        <v>164</v>
      </c>
      <c r="N16" t="s">
        <v>203</v>
      </c>
      <c r="O16" t="s">
        <v>299</v>
      </c>
      <c r="P16">
        <v>3.5221387318251453E-2</v>
      </c>
      <c r="Q16" t="s">
        <v>164</v>
      </c>
      <c r="S16" t="s">
        <v>226</v>
      </c>
      <c r="T16" t="s">
        <v>299</v>
      </c>
      <c r="U16">
        <v>2.4262114452708521E-2</v>
      </c>
      <c r="V16" t="s">
        <v>164</v>
      </c>
      <c r="X16">
        <v>2.1004566210045664E-2</v>
      </c>
      <c r="Y16">
        <v>3.6291010947302131E-2</v>
      </c>
      <c r="Z16" t="s">
        <v>299</v>
      </c>
      <c r="AA16" t="s">
        <v>25</v>
      </c>
      <c r="AC16" t="s">
        <v>22</v>
      </c>
      <c r="AD16" t="s">
        <v>299</v>
      </c>
      <c r="AE16">
        <v>2.6789233261508401E-2</v>
      </c>
      <c r="AG16" t="s">
        <v>96</v>
      </c>
      <c r="AH16" t="s">
        <v>299</v>
      </c>
      <c r="AI16">
        <v>5.5808022649013189E-2</v>
      </c>
      <c r="AK16">
        <v>2021</v>
      </c>
      <c r="AL16" t="s">
        <v>290</v>
      </c>
      <c r="AM16">
        <v>0.52113722875163238</v>
      </c>
      <c r="AN16" t="s">
        <v>245</v>
      </c>
    </row>
    <row r="17" spans="9:40" x14ac:dyDescent="0.45">
      <c r="I17" t="s">
        <v>162</v>
      </c>
      <c r="J17" t="s">
        <v>300</v>
      </c>
      <c r="K17">
        <v>0.1795467592920989</v>
      </c>
      <c r="L17" t="s">
        <v>164</v>
      </c>
      <c r="N17" t="s">
        <v>203</v>
      </c>
      <c r="O17" t="s">
        <v>300</v>
      </c>
      <c r="P17">
        <v>0.17001478183749558</v>
      </c>
      <c r="Q17" t="s">
        <v>164</v>
      </c>
      <c r="S17" t="s">
        <v>226</v>
      </c>
      <c r="T17" t="s">
        <v>300</v>
      </c>
      <c r="U17">
        <v>0.16973513000943172</v>
      </c>
      <c r="V17" t="s">
        <v>164</v>
      </c>
      <c r="X17">
        <v>0.11552511415525114</v>
      </c>
      <c r="Y17">
        <v>0.16263862301005233</v>
      </c>
      <c r="Z17" t="s">
        <v>300</v>
      </c>
      <c r="AA17" t="s">
        <v>25</v>
      </c>
      <c r="AC17" t="s">
        <v>22</v>
      </c>
      <c r="AD17" t="s">
        <v>300</v>
      </c>
      <c r="AE17">
        <v>0.13385472082042177</v>
      </c>
      <c r="AG17" t="s">
        <v>96</v>
      </c>
      <c r="AH17" t="s">
        <v>300</v>
      </c>
      <c r="AI17">
        <v>7.3367958639340758E-2</v>
      </c>
      <c r="AK17">
        <v>2021</v>
      </c>
      <c r="AL17" t="s">
        <v>291</v>
      </c>
      <c r="AM17">
        <v>0.46400489011141682</v>
      </c>
      <c r="AN17" t="s">
        <v>245</v>
      </c>
    </row>
    <row r="18" spans="9:40" x14ac:dyDescent="0.45">
      <c r="I18" t="s">
        <v>162</v>
      </c>
      <c r="J18" t="s">
        <v>301</v>
      </c>
      <c r="K18">
        <v>0</v>
      </c>
      <c r="L18" t="s">
        <v>164</v>
      </c>
      <c r="N18" t="s">
        <v>203</v>
      </c>
      <c r="O18" t="s">
        <v>301</v>
      </c>
      <c r="P18">
        <v>0.16001326660604409</v>
      </c>
      <c r="Q18" t="s">
        <v>164</v>
      </c>
      <c r="S18" t="s">
        <v>226</v>
      </c>
      <c r="T18" t="s">
        <v>301</v>
      </c>
      <c r="U18">
        <v>0.20168932456682151</v>
      </c>
      <c r="V18" t="s">
        <v>164</v>
      </c>
      <c r="X18">
        <v>0.11552511415525114</v>
      </c>
      <c r="Y18">
        <v>5.3125160563193538E-2</v>
      </c>
      <c r="Z18" t="s">
        <v>301</v>
      </c>
      <c r="AA18" t="s">
        <v>25</v>
      </c>
      <c r="AC18" t="s">
        <v>22</v>
      </c>
      <c r="AD18" t="s">
        <v>301</v>
      </c>
      <c r="AE18">
        <v>8.9407813591265498E-2</v>
      </c>
      <c r="AG18" t="s">
        <v>96</v>
      </c>
      <c r="AH18" t="s">
        <v>301</v>
      </c>
      <c r="AI18">
        <v>0.18321314713550185</v>
      </c>
      <c r="AK18">
        <v>2021</v>
      </c>
      <c r="AL18" t="s">
        <v>293</v>
      </c>
      <c r="AM18">
        <v>0.5105443027423523</v>
      </c>
      <c r="AN18" t="s">
        <v>245</v>
      </c>
    </row>
    <row r="19" spans="9:40" x14ac:dyDescent="0.45">
      <c r="I19" t="s">
        <v>162</v>
      </c>
      <c r="J19" t="s">
        <v>302</v>
      </c>
      <c r="K19">
        <v>1.1001140549272646E-2</v>
      </c>
      <c r="L19" t="s">
        <v>164</v>
      </c>
      <c r="N19" t="s">
        <v>203</v>
      </c>
      <c r="O19" t="s">
        <v>302</v>
      </c>
      <c r="P19">
        <v>7.0377146122542825E-2</v>
      </c>
      <c r="Q19" t="s">
        <v>164</v>
      </c>
      <c r="S19" t="s">
        <v>226</v>
      </c>
      <c r="T19" t="s">
        <v>302</v>
      </c>
      <c r="U19">
        <v>3.4374002846179891E-2</v>
      </c>
      <c r="V19" t="s">
        <v>164</v>
      </c>
      <c r="X19">
        <v>2.1004566210045664E-2</v>
      </c>
      <c r="Y19">
        <v>3.6291010947302131E-2</v>
      </c>
      <c r="Z19" t="s">
        <v>302</v>
      </c>
      <c r="AA19" t="s">
        <v>25</v>
      </c>
      <c r="AC19" t="s">
        <v>22</v>
      </c>
      <c r="AD19" t="s">
        <v>302</v>
      </c>
      <c r="AE19">
        <v>2.6342903108054202E-2</v>
      </c>
      <c r="AG19" t="s">
        <v>96</v>
      </c>
      <c r="AH19" t="s">
        <v>302</v>
      </c>
      <c r="AI19">
        <v>2.4491334903908646E-2</v>
      </c>
      <c r="AK19">
        <v>2022</v>
      </c>
      <c r="AL19" t="s">
        <v>288</v>
      </c>
      <c r="AM19">
        <v>0.3832555361062488</v>
      </c>
      <c r="AN19" t="s">
        <v>245</v>
      </c>
    </row>
    <row r="20" spans="9:40" x14ac:dyDescent="0.45">
      <c r="I20" t="s">
        <v>162</v>
      </c>
      <c r="J20" t="s">
        <v>303</v>
      </c>
      <c r="K20">
        <v>0.26783710659066473</v>
      </c>
      <c r="L20" t="s">
        <v>164</v>
      </c>
      <c r="N20" t="s">
        <v>203</v>
      </c>
      <c r="O20" t="s">
        <v>303</v>
      </c>
      <c r="P20">
        <v>6.0137052469472568E-2</v>
      </c>
      <c r="Q20" t="s">
        <v>164</v>
      </c>
      <c r="S20" t="s">
        <v>226</v>
      </c>
      <c r="T20" t="s">
        <v>303</v>
      </c>
      <c r="U20">
        <v>8.5309421442924957E-2</v>
      </c>
      <c r="V20" t="s">
        <v>164</v>
      </c>
      <c r="X20">
        <v>0.11301369863013698</v>
      </c>
      <c r="Y20">
        <v>0.15910300077070333</v>
      </c>
      <c r="Z20" t="s">
        <v>303</v>
      </c>
      <c r="AA20" t="s">
        <v>25</v>
      </c>
      <c r="AC20" t="s">
        <v>22</v>
      </c>
      <c r="AD20" t="s">
        <v>303</v>
      </c>
      <c r="AE20">
        <v>0.13267711643580921</v>
      </c>
      <c r="AG20" t="s">
        <v>96</v>
      </c>
      <c r="AH20" t="s">
        <v>303</v>
      </c>
      <c r="AI20">
        <v>0.11783688802648196</v>
      </c>
      <c r="AK20">
        <v>2022</v>
      </c>
      <c r="AL20" t="s">
        <v>290</v>
      </c>
      <c r="AM20">
        <v>0.39471673473924035</v>
      </c>
      <c r="AN20" t="s">
        <v>245</v>
      </c>
    </row>
    <row r="21" spans="9:40" x14ac:dyDescent="0.45">
      <c r="I21" t="s">
        <v>162</v>
      </c>
      <c r="J21" t="s">
        <v>304</v>
      </c>
      <c r="K21">
        <v>0</v>
      </c>
      <c r="L21" t="s">
        <v>164</v>
      </c>
      <c r="N21" t="s">
        <v>203</v>
      </c>
      <c r="O21" t="s">
        <v>304</v>
      </c>
      <c r="P21">
        <v>4.8010894436127535E-2</v>
      </c>
      <c r="Q21" t="s">
        <v>164</v>
      </c>
      <c r="S21" t="s">
        <v>226</v>
      </c>
      <c r="T21" t="s">
        <v>304</v>
      </c>
      <c r="U21">
        <v>0.10642860710990402</v>
      </c>
      <c r="V21" t="s">
        <v>164</v>
      </c>
      <c r="X21">
        <v>0.11301369863013698</v>
      </c>
      <c r="Y21">
        <v>5.197026576834151E-2</v>
      </c>
      <c r="Z21" t="s">
        <v>304</v>
      </c>
      <c r="AA21" t="s">
        <v>25</v>
      </c>
      <c r="AC21" t="s">
        <v>22</v>
      </c>
      <c r="AD21" t="s">
        <v>304</v>
      </c>
      <c r="AE21">
        <v>8.8253557692035217E-2</v>
      </c>
      <c r="AG21" t="s">
        <v>96</v>
      </c>
      <c r="AH21" t="s">
        <v>304</v>
      </c>
      <c r="AI21">
        <v>0.19075184148319058</v>
      </c>
      <c r="AK21">
        <v>2022</v>
      </c>
      <c r="AL21" t="s">
        <v>291</v>
      </c>
      <c r="AM21">
        <v>0.40565696979800508</v>
      </c>
      <c r="AN21" t="s">
        <v>245</v>
      </c>
    </row>
    <row r="22" spans="9:40" x14ac:dyDescent="0.45">
      <c r="I22" t="s">
        <v>162</v>
      </c>
      <c r="J22" t="s">
        <v>305</v>
      </c>
      <c r="K22">
        <v>4.1424646890113263E-2</v>
      </c>
      <c r="L22" t="s">
        <v>164</v>
      </c>
      <c r="N22" t="s">
        <v>203</v>
      </c>
      <c r="O22" t="s">
        <v>305</v>
      </c>
      <c r="P22">
        <v>2.1791009671303901E-2</v>
      </c>
      <c r="Q22" t="s">
        <v>164</v>
      </c>
      <c r="S22" t="s">
        <v>226</v>
      </c>
      <c r="T22" t="s">
        <v>305</v>
      </c>
      <c r="U22">
        <v>2.9192592642521158E-2</v>
      </c>
      <c r="V22" t="s">
        <v>164</v>
      </c>
      <c r="X22">
        <v>2.0547945205479451E-2</v>
      </c>
      <c r="Y22">
        <v>3.5502075926708607E-2</v>
      </c>
      <c r="Z22" t="s">
        <v>305</v>
      </c>
      <c r="AA22" t="s">
        <v>25</v>
      </c>
      <c r="AC22" t="s">
        <v>22</v>
      </c>
      <c r="AD22" t="s">
        <v>305</v>
      </c>
      <c r="AE22">
        <v>2.613588432926665E-2</v>
      </c>
      <c r="AG22" t="s">
        <v>96</v>
      </c>
      <c r="AH22" t="s">
        <v>305</v>
      </c>
      <c r="AI22">
        <v>5.2713298656936525E-2</v>
      </c>
      <c r="AK22">
        <v>2022</v>
      </c>
      <c r="AL22" t="s">
        <v>293</v>
      </c>
      <c r="AM22">
        <v>0.41974779409138002</v>
      </c>
      <c r="AN22" t="s">
        <v>245</v>
      </c>
    </row>
    <row r="23" spans="9:40" x14ac:dyDescent="0.45">
      <c r="I23" t="s">
        <v>176</v>
      </c>
      <c r="J23" t="s">
        <v>294</v>
      </c>
      <c r="K23">
        <v>0.23403577315878474</v>
      </c>
      <c r="L23" t="s">
        <v>164</v>
      </c>
      <c r="N23" t="s">
        <v>204</v>
      </c>
      <c r="O23" t="s">
        <v>294</v>
      </c>
      <c r="P23">
        <v>9.5937359137351158E-2</v>
      </c>
      <c r="Q23" t="s">
        <v>164</v>
      </c>
      <c r="S23" t="s">
        <v>227</v>
      </c>
      <c r="T23" t="s">
        <v>294</v>
      </c>
      <c r="U23">
        <v>5.7229545166096858E-2</v>
      </c>
      <c r="V23" t="s">
        <v>164</v>
      </c>
      <c r="AC23" t="s">
        <v>19</v>
      </c>
      <c r="AD23" t="s">
        <v>294</v>
      </c>
      <c r="AE23">
        <v>0.11531591159972908</v>
      </c>
      <c r="AK23">
        <v>2025</v>
      </c>
      <c r="AL23" t="s">
        <v>288</v>
      </c>
      <c r="AM23">
        <v>0.39573333333333333</v>
      </c>
      <c r="AN23" t="s">
        <v>245</v>
      </c>
    </row>
    <row r="24" spans="9:40" x14ac:dyDescent="0.45">
      <c r="I24" t="s">
        <v>176</v>
      </c>
      <c r="J24" t="s">
        <v>295</v>
      </c>
      <c r="K24">
        <v>0</v>
      </c>
      <c r="L24" t="s">
        <v>164</v>
      </c>
      <c r="N24" t="s">
        <v>204</v>
      </c>
      <c r="O24" t="s">
        <v>295</v>
      </c>
      <c r="P24">
        <v>0.13093550792159195</v>
      </c>
      <c r="Q24" t="s">
        <v>164</v>
      </c>
      <c r="S24" t="s">
        <v>227</v>
      </c>
      <c r="T24" t="s">
        <v>295</v>
      </c>
      <c r="U24">
        <v>6.0921260657962384E-2</v>
      </c>
      <c r="V24" t="s">
        <v>164</v>
      </c>
      <c r="AC24" t="s">
        <v>19</v>
      </c>
      <c r="AD24" t="s">
        <v>295</v>
      </c>
      <c r="AE24">
        <v>0.11293005709402799</v>
      </c>
      <c r="AK24">
        <v>2025</v>
      </c>
      <c r="AL24" t="s">
        <v>290</v>
      </c>
      <c r="AM24">
        <v>0.35476666666666667</v>
      </c>
      <c r="AN24" t="s">
        <v>245</v>
      </c>
    </row>
    <row r="25" spans="9:40" x14ac:dyDescent="0.45">
      <c r="I25" t="s">
        <v>176</v>
      </c>
      <c r="J25" t="s">
        <v>296</v>
      </c>
      <c r="K25">
        <v>3.2814038405069947E-2</v>
      </c>
      <c r="L25" t="s">
        <v>164</v>
      </c>
      <c r="N25" t="s">
        <v>204</v>
      </c>
      <c r="O25" t="s">
        <v>296</v>
      </c>
      <c r="P25">
        <v>3.9496724388408982E-2</v>
      </c>
      <c r="Q25" t="s">
        <v>164</v>
      </c>
      <c r="S25" t="s">
        <v>227</v>
      </c>
      <c r="T25" t="s">
        <v>296</v>
      </c>
      <c r="U25">
        <v>1.6072522733075613E-2</v>
      </c>
      <c r="V25" t="s">
        <v>164</v>
      </c>
      <c r="AC25" t="s">
        <v>19</v>
      </c>
      <c r="AD25" t="s">
        <v>296</v>
      </c>
      <c r="AE25">
        <v>2.1071288021140867E-2</v>
      </c>
      <c r="AK25">
        <v>2025</v>
      </c>
      <c r="AL25" t="s">
        <v>291</v>
      </c>
      <c r="AM25">
        <v>0.37540000000000001</v>
      </c>
      <c r="AN25" t="s">
        <v>245</v>
      </c>
    </row>
    <row r="26" spans="9:40" x14ac:dyDescent="0.45">
      <c r="I26" t="s">
        <v>176</v>
      </c>
      <c r="J26" t="s">
        <v>297</v>
      </c>
      <c r="K26">
        <v>0.20246695804327713</v>
      </c>
      <c r="L26" t="s">
        <v>164</v>
      </c>
      <c r="N26" t="s">
        <v>204</v>
      </c>
      <c r="O26" t="s">
        <v>297</v>
      </c>
      <c r="P26">
        <v>8.3829869222056388E-2</v>
      </c>
      <c r="Q26" t="s">
        <v>164</v>
      </c>
      <c r="S26" t="s">
        <v>227</v>
      </c>
      <c r="T26" t="s">
        <v>297</v>
      </c>
      <c r="U26">
        <v>0.11575063965951386</v>
      </c>
      <c r="V26" t="s">
        <v>164</v>
      </c>
      <c r="AC26" t="s">
        <v>19</v>
      </c>
      <c r="AD26" t="s">
        <v>297</v>
      </c>
      <c r="AE26">
        <v>0.11655545432116639</v>
      </c>
      <c r="AK26">
        <v>2025</v>
      </c>
      <c r="AL26" t="s">
        <v>293</v>
      </c>
      <c r="AM26">
        <v>0.38953333333333334</v>
      </c>
      <c r="AN26" t="s">
        <v>245</v>
      </c>
    </row>
    <row r="27" spans="9:40" x14ac:dyDescent="0.45">
      <c r="I27" t="s">
        <v>176</v>
      </c>
      <c r="J27" t="s">
        <v>298</v>
      </c>
      <c r="K27">
        <v>0</v>
      </c>
      <c r="L27" t="s">
        <v>164</v>
      </c>
      <c r="N27" t="s">
        <v>204</v>
      </c>
      <c r="O27" t="s">
        <v>298</v>
      </c>
      <c r="P27">
        <v>9.9875442233583606E-2</v>
      </c>
      <c r="Q27" t="s">
        <v>164</v>
      </c>
      <c r="S27" t="s">
        <v>227</v>
      </c>
      <c r="T27" t="s">
        <v>298</v>
      </c>
      <c r="U27">
        <v>0.10659443679790899</v>
      </c>
      <c r="V27" t="s">
        <v>164</v>
      </c>
      <c r="AC27" t="s">
        <v>19</v>
      </c>
      <c r="AD27" t="s">
        <v>298</v>
      </c>
      <c r="AE27">
        <v>0.11420931958725347</v>
      </c>
      <c r="AK27">
        <v>2026</v>
      </c>
      <c r="AL27" t="s">
        <v>288</v>
      </c>
      <c r="AM27">
        <v>0.4458333333333333</v>
      </c>
      <c r="AN27" t="s">
        <v>245</v>
      </c>
    </row>
    <row r="28" spans="9:40" x14ac:dyDescent="0.45">
      <c r="I28" t="s">
        <v>176</v>
      </c>
      <c r="J28" t="s">
        <v>299</v>
      </c>
      <c r="K28">
        <v>2.8522527356281926E-2</v>
      </c>
      <c r="L28" t="s">
        <v>164</v>
      </c>
      <c r="N28" t="s">
        <v>204</v>
      </c>
      <c r="O28" t="s">
        <v>299</v>
      </c>
      <c r="P28">
        <v>2.4608281740290776E-2</v>
      </c>
      <c r="Q28" t="s">
        <v>164</v>
      </c>
      <c r="S28" t="s">
        <v>227</v>
      </c>
      <c r="T28" t="s">
        <v>299</v>
      </c>
      <c r="U28">
        <v>2.6010684309994984E-2</v>
      </c>
      <c r="V28" t="s">
        <v>164</v>
      </c>
      <c r="AC28" t="s">
        <v>19</v>
      </c>
      <c r="AD28" t="s">
        <v>299</v>
      </c>
      <c r="AE28">
        <v>2.1297480833226825E-2</v>
      </c>
      <c r="AK28">
        <v>2026</v>
      </c>
      <c r="AL28" t="s">
        <v>290</v>
      </c>
      <c r="AM28">
        <v>0.42913333333333331</v>
      </c>
      <c r="AN28" t="s">
        <v>245</v>
      </c>
    </row>
    <row r="29" spans="9:40" x14ac:dyDescent="0.45">
      <c r="I29" t="s">
        <v>176</v>
      </c>
      <c r="J29" t="s">
        <v>300</v>
      </c>
      <c r="K29">
        <v>0.19944971244126924</v>
      </c>
      <c r="L29" t="s">
        <v>164</v>
      </c>
      <c r="N29" t="s">
        <v>204</v>
      </c>
      <c r="O29" t="s">
        <v>300</v>
      </c>
      <c r="P29">
        <v>0.20444697892316155</v>
      </c>
      <c r="Q29" t="s">
        <v>164</v>
      </c>
      <c r="S29" t="s">
        <v>227</v>
      </c>
      <c r="T29" t="s">
        <v>300</v>
      </c>
      <c r="U29">
        <v>0.18138510932698604</v>
      </c>
      <c r="V29" t="s">
        <v>164</v>
      </c>
      <c r="AC29" t="s">
        <v>19</v>
      </c>
      <c r="AD29" t="s">
        <v>300</v>
      </c>
      <c r="AE29">
        <v>0.11652439878254908</v>
      </c>
      <c r="AK29">
        <v>2026</v>
      </c>
      <c r="AL29" t="s">
        <v>291</v>
      </c>
      <c r="AM29">
        <v>0.45019999999999999</v>
      </c>
      <c r="AN29" t="s">
        <v>245</v>
      </c>
    </row>
    <row r="30" spans="9:40" x14ac:dyDescent="0.45">
      <c r="I30" t="s">
        <v>176</v>
      </c>
      <c r="J30" t="s">
        <v>301</v>
      </c>
      <c r="K30">
        <v>0</v>
      </c>
      <c r="L30" t="s">
        <v>164</v>
      </c>
      <c r="N30" t="s">
        <v>204</v>
      </c>
      <c r="O30" t="s">
        <v>301</v>
      </c>
      <c r="P30">
        <v>0.20175238780246657</v>
      </c>
      <c r="Q30" t="s">
        <v>164</v>
      </c>
      <c r="S30" t="s">
        <v>227</v>
      </c>
      <c r="T30" t="s">
        <v>301</v>
      </c>
      <c r="U30">
        <v>0.18229365933787414</v>
      </c>
      <c r="V30" t="s">
        <v>164</v>
      </c>
      <c r="AC30" t="s">
        <v>19</v>
      </c>
      <c r="AD30" t="s">
        <v>301</v>
      </c>
      <c r="AE30">
        <v>0.11422846795357151</v>
      </c>
      <c r="AK30">
        <v>2026</v>
      </c>
      <c r="AL30" t="s">
        <v>293</v>
      </c>
      <c r="AM30">
        <v>0.47849999999999993</v>
      </c>
      <c r="AN30" t="s">
        <v>245</v>
      </c>
    </row>
    <row r="31" spans="9:40" x14ac:dyDescent="0.45">
      <c r="I31" t="s">
        <v>176</v>
      </c>
      <c r="J31" t="s">
        <v>302</v>
      </c>
      <c r="K31">
        <v>2.8118555907289872E-2</v>
      </c>
      <c r="L31" t="s">
        <v>164</v>
      </c>
      <c r="N31" t="s">
        <v>204</v>
      </c>
      <c r="O31" t="s">
        <v>302</v>
      </c>
      <c r="P31">
        <v>5.2871947209952974E-2</v>
      </c>
      <c r="Q31" t="s">
        <v>164</v>
      </c>
      <c r="S31" t="s">
        <v>227</v>
      </c>
      <c r="T31" t="s">
        <v>302</v>
      </c>
      <c r="U31">
        <v>3.3854170284717364E-2</v>
      </c>
      <c r="V31" t="s">
        <v>164</v>
      </c>
      <c r="AC31" t="s">
        <v>19</v>
      </c>
      <c r="AD31" t="s">
        <v>302</v>
      </c>
      <c r="AE31">
        <v>2.1289858949283345E-2</v>
      </c>
      <c r="AK31">
        <v>2027</v>
      </c>
      <c r="AL31" t="s">
        <v>288</v>
      </c>
      <c r="AM31">
        <v>0.52166666666666661</v>
      </c>
      <c r="AN31" t="s">
        <v>245</v>
      </c>
    </row>
    <row r="32" spans="9:40" x14ac:dyDescent="0.45">
      <c r="I32" t="s">
        <v>176</v>
      </c>
      <c r="J32" t="s">
        <v>303</v>
      </c>
      <c r="K32">
        <v>0.23569326571961882</v>
      </c>
      <c r="L32" t="s">
        <v>164</v>
      </c>
      <c r="N32" t="s">
        <v>204</v>
      </c>
      <c r="O32" t="s">
        <v>303</v>
      </c>
      <c r="P32">
        <v>1.6510360912249205E-2</v>
      </c>
      <c r="Q32" t="s">
        <v>164</v>
      </c>
      <c r="S32" t="s">
        <v>227</v>
      </c>
      <c r="T32" t="s">
        <v>303</v>
      </c>
      <c r="U32">
        <v>9.0918853068300096E-2</v>
      </c>
      <c r="V32" t="s">
        <v>164</v>
      </c>
      <c r="AC32" t="s">
        <v>19</v>
      </c>
      <c r="AD32" t="s">
        <v>303</v>
      </c>
      <c r="AE32">
        <v>0.11401890348148989</v>
      </c>
      <c r="AK32">
        <v>2027</v>
      </c>
      <c r="AL32" t="s">
        <v>290</v>
      </c>
      <c r="AM32">
        <v>0.47813333333333335</v>
      </c>
      <c r="AN32" t="s">
        <v>245</v>
      </c>
    </row>
    <row r="33" spans="9:40" x14ac:dyDescent="0.45">
      <c r="I33" t="s">
        <v>176</v>
      </c>
      <c r="J33" t="s">
        <v>304</v>
      </c>
      <c r="K33">
        <v>0</v>
      </c>
      <c r="L33" t="s">
        <v>164</v>
      </c>
      <c r="N33" t="s">
        <v>204</v>
      </c>
      <c r="O33" t="s">
        <v>304</v>
      </c>
      <c r="P33">
        <v>4.2024355491445106E-2</v>
      </c>
      <c r="Q33" t="s">
        <v>164</v>
      </c>
      <c r="S33" t="s">
        <v>227</v>
      </c>
      <c r="T33" t="s">
        <v>304</v>
      </c>
      <c r="U33">
        <v>9.2810914596877625E-2</v>
      </c>
      <c r="V33" t="s">
        <v>164</v>
      </c>
      <c r="AC33" t="s">
        <v>19</v>
      </c>
      <c r="AD33" t="s">
        <v>304</v>
      </c>
      <c r="AE33">
        <v>0.11172417873209672</v>
      </c>
      <c r="AK33">
        <v>2027</v>
      </c>
      <c r="AL33" t="s">
        <v>291</v>
      </c>
      <c r="AM33">
        <v>0.51946666666666663</v>
      </c>
      <c r="AN33" t="s">
        <v>245</v>
      </c>
    </row>
    <row r="34" spans="9:40" x14ac:dyDescent="0.45">
      <c r="I34" t="s">
        <v>176</v>
      </c>
      <c r="J34" t="s">
        <v>305</v>
      </c>
      <c r="K34">
        <v>3.8899168968407602E-2</v>
      </c>
      <c r="L34" t="s">
        <v>164</v>
      </c>
      <c r="N34" t="s">
        <v>204</v>
      </c>
      <c r="O34" t="s">
        <v>305</v>
      </c>
      <c r="P34">
        <v>7.7107850174433041E-3</v>
      </c>
      <c r="Q34" t="s">
        <v>164</v>
      </c>
      <c r="S34" t="s">
        <v>227</v>
      </c>
      <c r="T34" t="s">
        <v>305</v>
      </c>
      <c r="U34">
        <v>3.615820406069474E-2</v>
      </c>
      <c r="V34" t="s">
        <v>164</v>
      </c>
      <c r="AC34" t="s">
        <v>19</v>
      </c>
      <c r="AD34" t="s">
        <v>305</v>
      </c>
      <c r="AE34">
        <v>2.0834680644464799E-2</v>
      </c>
      <c r="AK34">
        <v>2027</v>
      </c>
      <c r="AL34" t="s">
        <v>293</v>
      </c>
      <c r="AM34">
        <v>0.50563333333333338</v>
      </c>
      <c r="AN34" t="s">
        <v>245</v>
      </c>
    </row>
    <row r="35" spans="9:40" x14ac:dyDescent="0.45">
      <c r="I35" t="s">
        <v>177</v>
      </c>
      <c r="J35" t="s">
        <v>294</v>
      </c>
      <c r="K35">
        <v>0.24986979136005494</v>
      </c>
      <c r="L35" t="s">
        <v>164</v>
      </c>
      <c r="N35" t="s">
        <v>205</v>
      </c>
      <c r="O35" t="s">
        <v>294</v>
      </c>
      <c r="P35">
        <v>7.7142848897586352E-2</v>
      </c>
      <c r="Q35" t="s">
        <v>164</v>
      </c>
      <c r="S35" t="s">
        <v>228</v>
      </c>
      <c r="T35" t="s">
        <v>294</v>
      </c>
      <c r="U35">
        <v>7.1278723692581591E-2</v>
      </c>
      <c r="V35" t="s">
        <v>164</v>
      </c>
      <c r="AK35">
        <v>2028</v>
      </c>
      <c r="AL35" t="s">
        <v>288</v>
      </c>
      <c r="AM35">
        <v>0.50713333333333332</v>
      </c>
      <c r="AN35" t="s">
        <v>245</v>
      </c>
    </row>
    <row r="36" spans="9:40" x14ac:dyDescent="0.45">
      <c r="I36" t="s">
        <v>177</v>
      </c>
      <c r="J36" t="s">
        <v>295</v>
      </c>
      <c r="K36">
        <v>0</v>
      </c>
      <c r="L36" t="s">
        <v>164</v>
      </c>
      <c r="N36" t="s">
        <v>205</v>
      </c>
      <c r="O36" t="s">
        <v>295</v>
      </c>
      <c r="P36">
        <v>7.8806519563388702E-2</v>
      </c>
      <c r="Q36" t="s">
        <v>164</v>
      </c>
      <c r="S36" t="s">
        <v>228</v>
      </c>
      <c r="T36" t="s">
        <v>295</v>
      </c>
      <c r="U36">
        <v>7.4441026171352551E-2</v>
      </c>
      <c r="V36" t="s">
        <v>164</v>
      </c>
      <c r="AK36">
        <v>2028</v>
      </c>
      <c r="AL36" t="s">
        <v>290</v>
      </c>
      <c r="AM36">
        <v>0.47193333333333332</v>
      </c>
      <c r="AN36" t="s">
        <v>245</v>
      </c>
    </row>
    <row r="37" spans="9:40" x14ac:dyDescent="0.45">
      <c r="I37" t="s">
        <v>177</v>
      </c>
      <c r="J37" t="s">
        <v>296</v>
      </c>
      <c r="K37">
        <v>1.3352740281222131E-2</v>
      </c>
      <c r="L37" t="s">
        <v>164</v>
      </c>
      <c r="N37" t="s">
        <v>205</v>
      </c>
      <c r="O37" t="s">
        <v>296</v>
      </c>
      <c r="P37">
        <v>2.0819846911325861E-2</v>
      </c>
      <c r="Q37" t="s">
        <v>164</v>
      </c>
      <c r="S37" t="s">
        <v>228</v>
      </c>
      <c r="T37" t="s">
        <v>296</v>
      </c>
      <c r="U37">
        <v>2.0126482545174927E-2</v>
      </c>
      <c r="V37" t="s">
        <v>164</v>
      </c>
      <c r="AK37">
        <v>2028</v>
      </c>
      <c r="AL37" t="s">
        <v>291</v>
      </c>
      <c r="AM37">
        <v>0.54166666666666663</v>
      </c>
      <c r="AN37" t="s">
        <v>245</v>
      </c>
    </row>
    <row r="38" spans="9:40" x14ac:dyDescent="0.45">
      <c r="I38" t="s">
        <v>177</v>
      </c>
      <c r="J38" t="s">
        <v>297</v>
      </c>
      <c r="K38">
        <v>0.22739336652535616</v>
      </c>
      <c r="L38" t="s">
        <v>164</v>
      </c>
      <c r="N38" t="s">
        <v>205</v>
      </c>
      <c r="O38" t="s">
        <v>297</v>
      </c>
      <c r="P38">
        <v>9.9652571839752568E-2</v>
      </c>
      <c r="Q38" t="s">
        <v>164</v>
      </c>
      <c r="S38" t="s">
        <v>228</v>
      </c>
      <c r="T38" t="s">
        <v>297</v>
      </c>
      <c r="U38">
        <v>0.1125593311372924</v>
      </c>
      <c r="V38" t="s">
        <v>164</v>
      </c>
      <c r="AK38">
        <v>2028</v>
      </c>
      <c r="AL38" t="s">
        <v>293</v>
      </c>
      <c r="AM38">
        <v>0.51890000000000003</v>
      </c>
      <c r="AN38" t="s">
        <v>245</v>
      </c>
    </row>
    <row r="39" spans="9:40" x14ac:dyDescent="0.45">
      <c r="I39" t="s">
        <v>177</v>
      </c>
      <c r="J39" t="s">
        <v>298</v>
      </c>
      <c r="K39">
        <v>0</v>
      </c>
      <c r="L39" t="s">
        <v>164</v>
      </c>
      <c r="N39" t="s">
        <v>205</v>
      </c>
      <c r="O39" t="s">
        <v>298</v>
      </c>
      <c r="P39">
        <v>9.8881638782381071E-2</v>
      </c>
      <c r="Q39" t="s">
        <v>164</v>
      </c>
      <c r="S39" t="s">
        <v>228</v>
      </c>
      <c r="T39" t="s">
        <v>298</v>
      </c>
      <c r="U39">
        <v>0.10788447533009655</v>
      </c>
      <c r="V39" t="s">
        <v>164</v>
      </c>
      <c r="AK39">
        <v>2029</v>
      </c>
      <c r="AL39" t="s">
        <v>288</v>
      </c>
      <c r="AM39">
        <v>0.56386666666666663</v>
      </c>
      <c r="AN39" t="s">
        <v>245</v>
      </c>
    </row>
    <row r="40" spans="9:40" x14ac:dyDescent="0.45">
      <c r="I40" t="s">
        <v>177</v>
      </c>
      <c r="J40" t="s">
        <v>299</v>
      </c>
      <c r="K40">
        <v>2.0177916905224989E-2</v>
      </c>
      <c r="L40" t="s">
        <v>164</v>
      </c>
      <c r="N40" t="s">
        <v>205</v>
      </c>
      <c r="O40" t="s">
        <v>299</v>
      </c>
      <c r="P40">
        <v>2.5079920822429491E-2</v>
      </c>
      <c r="Q40" t="s">
        <v>164</v>
      </c>
      <c r="S40" t="s">
        <v>228</v>
      </c>
      <c r="T40" t="s">
        <v>299</v>
      </c>
      <c r="U40">
        <v>2.7777497237165452E-2</v>
      </c>
      <c r="V40" t="s">
        <v>164</v>
      </c>
      <c r="AK40">
        <v>2029</v>
      </c>
      <c r="AL40" t="s">
        <v>290</v>
      </c>
      <c r="AM40">
        <v>0.47596666666666665</v>
      </c>
      <c r="AN40" t="s">
        <v>245</v>
      </c>
    </row>
    <row r="41" spans="9:40" x14ac:dyDescent="0.45">
      <c r="I41" t="s">
        <v>177</v>
      </c>
      <c r="J41" t="s">
        <v>300</v>
      </c>
      <c r="K41">
        <v>0.19781189402280533</v>
      </c>
      <c r="L41" t="s">
        <v>164</v>
      </c>
      <c r="N41" t="s">
        <v>205</v>
      </c>
      <c r="O41" t="s">
        <v>300</v>
      </c>
      <c r="P41">
        <v>0.18759335445610231</v>
      </c>
      <c r="Q41" t="s">
        <v>164</v>
      </c>
      <c r="S41" t="s">
        <v>228</v>
      </c>
      <c r="T41" t="s">
        <v>300</v>
      </c>
      <c r="U41">
        <v>0.19119110416486651</v>
      </c>
      <c r="V41" t="s">
        <v>164</v>
      </c>
      <c r="AK41">
        <v>2029</v>
      </c>
      <c r="AL41" t="s">
        <v>291</v>
      </c>
      <c r="AM41">
        <v>0.51926666666666665</v>
      </c>
      <c r="AN41" t="s">
        <v>245</v>
      </c>
    </row>
    <row r="42" spans="9:40" x14ac:dyDescent="0.45">
      <c r="I42" t="s">
        <v>177</v>
      </c>
      <c r="J42" t="s">
        <v>301</v>
      </c>
      <c r="K42">
        <v>0</v>
      </c>
      <c r="L42" t="s">
        <v>164</v>
      </c>
      <c r="N42" t="s">
        <v>205</v>
      </c>
      <c r="O42" t="s">
        <v>301</v>
      </c>
      <c r="P42">
        <v>0.18576929884522134</v>
      </c>
      <c r="Q42" t="s">
        <v>164</v>
      </c>
      <c r="S42" t="s">
        <v>228</v>
      </c>
      <c r="T42" t="s">
        <v>301</v>
      </c>
      <c r="U42">
        <v>0.1957050500313679</v>
      </c>
      <c r="V42" t="s">
        <v>164</v>
      </c>
      <c r="AK42">
        <v>2029</v>
      </c>
      <c r="AL42" t="s">
        <v>293</v>
      </c>
      <c r="AM42">
        <v>0.51043333333333329</v>
      </c>
      <c r="AN42" t="s">
        <v>245</v>
      </c>
    </row>
    <row r="43" spans="9:40" x14ac:dyDescent="0.45">
      <c r="I43" t="s">
        <v>177</v>
      </c>
      <c r="J43" t="s">
        <v>302</v>
      </c>
      <c r="K43">
        <v>1.4401173608099765E-2</v>
      </c>
      <c r="L43" t="s">
        <v>164</v>
      </c>
      <c r="N43" t="s">
        <v>205</v>
      </c>
      <c r="O43" t="s">
        <v>302</v>
      </c>
      <c r="P43">
        <v>3.6247975881821645E-2</v>
      </c>
      <c r="Q43" t="s">
        <v>164</v>
      </c>
      <c r="S43" t="s">
        <v>228</v>
      </c>
      <c r="T43" t="s">
        <v>302</v>
      </c>
      <c r="U43">
        <v>3.7688202332202596E-2</v>
      </c>
      <c r="V43" t="s">
        <v>164</v>
      </c>
      <c r="AK43">
        <v>2030</v>
      </c>
      <c r="AL43" t="s">
        <v>288</v>
      </c>
      <c r="AM43">
        <v>0.53373333333333328</v>
      </c>
      <c r="AN43" t="s">
        <v>245</v>
      </c>
    </row>
    <row r="44" spans="9:40" x14ac:dyDescent="0.45">
      <c r="I44" t="s">
        <v>177</v>
      </c>
      <c r="J44" t="s">
        <v>303</v>
      </c>
      <c r="K44">
        <v>0.25469593058492723</v>
      </c>
      <c r="L44" t="s">
        <v>164</v>
      </c>
      <c r="N44" t="s">
        <v>205</v>
      </c>
      <c r="O44" t="s">
        <v>303</v>
      </c>
      <c r="P44">
        <v>7.0813195059023018E-2</v>
      </c>
      <c r="Q44" t="s">
        <v>164</v>
      </c>
      <c r="S44" t="s">
        <v>228</v>
      </c>
      <c r="T44" t="s">
        <v>303</v>
      </c>
      <c r="U44">
        <v>6.0046036175530906E-2</v>
      </c>
      <c r="V44" t="s">
        <v>164</v>
      </c>
      <c r="AK44">
        <v>2030</v>
      </c>
      <c r="AL44" t="s">
        <v>290</v>
      </c>
      <c r="AM44">
        <v>0.47923333333333334</v>
      </c>
      <c r="AN44" t="s">
        <v>245</v>
      </c>
    </row>
    <row r="45" spans="9:40" x14ac:dyDescent="0.45">
      <c r="I45" t="s">
        <v>177</v>
      </c>
      <c r="J45" t="s">
        <v>304</v>
      </c>
      <c r="K45">
        <v>0</v>
      </c>
      <c r="L45" t="s">
        <v>164</v>
      </c>
      <c r="N45" t="s">
        <v>205</v>
      </c>
      <c r="O45" t="s">
        <v>304</v>
      </c>
      <c r="P45">
        <v>9.1520032421273517E-2</v>
      </c>
      <c r="Q45" t="s">
        <v>164</v>
      </c>
      <c r="S45" t="s">
        <v>228</v>
      </c>
      <c r="T45" t="s">
        <v>304</v>
      </c>
      <c r="U45">
        <v>7.6566526828106302E-2</v>
      </c>
      <c r="V45" t="s">
        <v>164</v>
      </c>
      <c r="AK45">
        <v>2030</v>
      </c>
      <c r="AL45" t="s">
        <v>291</v>
      </c>
      <c r="AM45">
        <v>0.52269999999999994</v>
      </c>
      <c r="AN45" t="s">
        <v>245</v>
      </c>
    </row>
    <row r="46" spans="9:40" x14ac:dyDescent="0.45">
      <c r="I46" t="s">
        <v>177</v>
      </c>
      <c r="J46" t="s">
        <v>305</v>
      </c>
      <c r="K46">
        <v>2.2297186712309364E-2</v>
      </c>
      <c r="L46" t="s">
        <v>164</v>
      </c>
      <c r="N46" t="s">
        <v>205</v>
      </c>
      <c r="O46" t="s">
        <v>305</v>
      </c>
      <c r="P46">
        <v>2.7672796519692927E-2</v>
      </c>
      <c r="Q46" t="s">
        <v>164</v>
      </c>
      <c r="S46" t="s">
        <v>228</v>
      </c>
      <c r="T46" t="s">
        <v>305</v>
      </c>
      <c r="U46">
        <v>2.4735544354262458E-2</v>
      </c>
      <c r="V46" t="s">
        <v>164</v>
      </c>
      <c r="AK46">
        <v>2030</v>
      </c>
      <c r="AL46" t="s">
        <v>293</v>
      </c>
      <c r="AM46">
        <v>0.54993333333333327</v>
      </c>
      <c r="AN46" t="s">
        <v>245</v>
      </c>
    </row>
    <row r="47" spans="9:40" x14ac:dyDescent="0.45">
      <c r="I47" t="s">
        <v>178</v>
      </c>
      <c r="J47" t="s">
        <v>294</v>
      </c>
      <c r="K47">
        <v>0.24681246609536558</v>
      </c>
      <c r="L47" t="s">
        <v>164</v>
      </c>
      <c r="N47" t="s">
        <v>206</v>
      </c>
      <c r="O47" t="s">
        <v>294</v>
      </c>
      <c r="P47">
        <v>9.7027584949428466E-2</v>
      </c>
      <c r="Q47" t="s">
        <v>164</v>
      </c>
      <c r="S47" t="s">
        <v>229</v>
      </c>
      <c r="T47" t="s">
        <v>294</v>
      </c>
      <c r="U47">
        <v>8.4008492697320317E-2</v>
      </c>
      <c r="V47" t="s">
        <v>164</v>
      </c>
      <c r="AK47">
        <v>2031</v>
      </c>
      <c r="AL47" t="s">
        <v>288</v>
      </c>
      <c r="AM47">
        <v>0.44223333333333342</v>
      </c>
      <c r="AN47" t="s">
        <v>245</v>
      </c>
    </row>
    <row r="48" spans="9:40" x14ac:dyDescent="0.45">
      <c r="I48" t="s">
        <v>178</v>
      </c>
      <c r="J48" t="s">
        <v>295</v>
      </c>
      <c r="K48">
        <v>0</v>
      </c>
      <c r="L48" t="s">
        <v>164</v>
      </c>
      <c r="N48" t="s">
        <v>206</v>
      </c>
      <c r="O48" t="s">
        <v>295</v>
      </c>
      <c r="P48">
        <v>8.9722252921437873E-2</v>
      </c>
      <c r="Q48" t="s">
        <v>164</v>
      </c>
      <c r="S48" t="s">
        <v>229</v>
      </c>
      <c r="T48" t="s">
        <v>295</v>
      </c>
      <c r="U48">
        <v>8.2276151267675915E-2</v>
      </c>
      <c r="V48" t="s">
        <v>164</v>
      </c>
      <c r="AK48">
        <v>2031</v>
      </c>
      <c r="AL48" t="s">
        <v>290</v>
      </c>
      <c r="AM48">
        <v>0.42513333333333331</v>
      </c>
      <c r="AN48" t="s">
        <v>245</v>
      </c>
    </row>
    <row r="49" spans="9:40" x14ac:dyDescent="0.45">
      <c r="I49" t="s">
        <v>178</v>
      </c>
      <c r="J49" t="s">
        <v>296</v>
      </c>
      <c r="K49">
        <v>1.7131287767150293E-2</v>
      </c>
      <c r="L49" t="s">
        <v>164</v>
      </c>
      <c r="N49" t="s">
        <v>206</v>
      </c>
      <c r="O49" t="s">
        <v>296</v>
      </c>
      <c r="P49">
        <v>3.8969823509219445E-2</v>
      </c>
      <c r="Q49" t="s">
        <v>164</v>
      </c>
      <c r="S49" t="s">
        <v>229</v>
      </c>
      <c r="T49" t="s">
        <v>296</v>
      </c>
      <c r="U49">
        <v>2.2926548031927865E-2</v>
      </c>
      <c r="V49" t="s">
        <v>164</v>
      </c>
      <c r="AK49">
        <v>2031</v>
      </c>
      <c r="AL49" t="s">
        <v>291</v>
      </c>
      <c r="AM49">
        <v>0.436</v>
      </c>
      <c r="AN49" t="s">
        <v>245</v>
      </c>
    </row>
    <row r="50" spans="9:40" x14ac:dyDescent="0.45">
      <c r="I50" t="s">
        <v>178</v>
      </c>
      <c r="J50" t="s">
        <v>297</v>
      </c>
      <c r="K50">
        <v>0.22472967132008556</v>
      </c>
      <c r="L50" t="s">
        <v>164</v>
      </c>
      <c r="N50" t="s">
        <v>206</v>
      </c>
      <c r="O50" t="s">
        <v>297</v>
      </c>
      <c r="P50">
        <v>0.10224664383475535</v>
      </c>
      <c r="Q50" t="s">
        <v>164</v>
      </c>
      <c r="S50" t="s">
        <v>229</v>
      </c>
      <c r="T50" t="s">
        <v>297</v>
      </c>
      <c r="U50">
        <v>9.9550871870023247E-2</v>
      </c>
      <c r="V50" t="s">
        <v>164</v>
      </c>
      <c r="AK50">
        <v>2031</v>
      </c>
      <c r="AL50" t="s">
        <v>293</v>
      </c>
      <c r="AM50">
        <v>0.48330000000000001</v>
      </c>
      <c r="AN50" t="s">
        <v>245</v>
      </c>
    </row>
    <row r="51" spans="9:40" x14ac:dyDescent="0.45">
      <c r="I51" t="s">
        <v>178</v>
      </c>
      <c r="J51" t="s">
        <v>298</v>
      </c>
      <c r="K51">
        <v>0</v>
      </c>
      <c r="L51" t="s">
        <v>164</v>
      </c>
      <c r="N51" t="s">
        <v>206</v>
      </c>
      <c r="O51" t="s">
        <v>298</v>
      </c>
      <c r="P51">
        <v>9.7595741334712091E-2</v>
      </c>
      <c r="Q51" t="s">
        <v>164</v>
      </c>
      <c r="S51" t="s">
        <v>229</v>
      </c>
      <c r="T51" t="s">
        <v>298</v>
      </c>
      <c r="U51">
        <v>9.967177183399481E-2</v>
      </c>
      <c r="V51" t="s">
        <v>164</v>
      </c>
      <c r="AK51">
        <v>2032</v>
      </c>
      <c r="AL51" t="s">
        <v>288</v>
      </c>
      <c r="AM51">
        <v>0.46796666666666664</v>
      </c>
      <c r="AN51" t="s">
        <v>245</v>
      </c>
    </row>
    <row r="52" spans="9:40" x14ac:dyDescent="0.45">
      <c r="I52" t="s">
        <v>178</v>
      </c>
      <c r="J52" t="s">
        <v>299</v>
      </c>
      <c r="K52">
        <v>2.4207319864096771E-2</v>
      </c>
      <c r="L52" t="s">
        <v>164</v>
      </c>
      <c r="N52" t="s">
        <v>206</v>
      </c>
      <c r="O52" t="s">
        <v>299</v>
      </c>
      <c r="P52">
        <v>3.2129903515179296E-2</v>
      </c>
      <c r="Q52" t="s">
        <v>164</v>
      </c>
      <c r="S52" t="s">
        <v>229</v>
      </c>
      <c r="T52" t="s">
        <v>299</v>
      </c>
      <c r="U52">
        <v>2.7006012990811113E-2</v>
      </c>
      <c r="V52" t="s">
        <v>164</v>
      </c>
      <c r="AK52">
        <v>2032</v>
      </c>
      <c r="AL52" t="s">
        <v>290</v>
      </c>
      <c r="AM52">
        <v>0.43029999999999996</v>
      </c>
      <c r="AN52" t="s">
        <v>245</v>
      </c>
    </row>
    <row r="53" spans="9:40" x14ac:dyDescent="0.45">
      <c r="I53" t="s">
        <v>178</v>
      </c>
      <c r="J53" t="s">
        <v>300</v>
      </c>
      <c r="K53">
        <v>0.20009628104957014</v>
      </c>
      <c r="L53" t="s">
        <v>164</v>
      </c>
      <c r="N53" t="s">
        <v>206</v>
      </c>
      <c r="O53" t="s">
        <v>300</v>
      </c>
      <c r="P53">
        <v>0.22985891414287421</v>
      </c>
      <c r="Q53" t="s">
        <v>164</v>
      </c>
      <c r="S53" t="s">
        <v>229</v>
      </c>
      <c r="T53" t="s">
        <v>300</v>
      </c>
      <c r="U53">
        <v>0.20172251373858907</v>
      </c>
      <c r="V53" t="s">
        <v>164</v>
      </c>
      <c r="AK53">
        <v>2032</v>
      </c>
      <c r="AL53" t="s">
        <v>291</v>
      </c>
      <c r="AM53">
        <v>0.43726666666666669</v>
      </c>
      <c r="AN53" t="s">
        <v>245</v>
      </c>
    </row>
    <row r="54" spans="9:40" x14ac:dyDescent="0.45">
      <c r="I54" t="s">
        <v>178</v>
      </c>
      <c r="J54" t="s">
        <v>301</v>
      </c>
      <c r="K54">
        <v>0</v>
      </c>
      <c r="L54" t="s">
        <v>164</v>
      </c>
      <c r="N54" t="s">
        <v>206</v>
      </c>
      <c r="O54" t="s">
        <v>301</v>
      </c>
      <c r="P54">
        <v>0.17364056332053326</v>
      </c>
      <c r="Q54" t="s">
        <v>164</v>
      </c>
      <c r="S54" t="s">
        <v>229</v>
      </c>
      <c r="T54" t="s">
        <v>301</v>
      </c>
      <c r="U54">
        <v>0.19509254679879434</v>
      </c>
      <c r="V54" t="s">
        <v>164</v>
      </c>
      <c r="AK54">
        <v>2032</v>
      </c>
      <c r="AL54" t="s">
        <v>293</v>
      </c>
      <c r="AM54">
        <v>0.46213333333333334</v>
      </c>
      <c r="AN54" t="s">
        <v>245</v>
      </c>
    </row>
    <row r="55" spans="9:40" x14ac:dyDescent="0.45">
      <c r="I55" t="s">
        <v>178</v>
      </c>
      <c r="J55" t="s">
        <v>302</v>
      </c>
      <c r="K55">
        <v>1.8247954482271955E-2</v>
      </c>
      <c r="L55" t="s">
        <v>164</v>
      </c>
      <c r="N55" t="s">
        <v>206</v>
      </c>
      <c r="O55" t="s">
        <v>302</v>
      </c>
      <c r="P55">
        <v>5.277264162218432E-2</v>
      </c>
      <c r="Q55" t="s">
        <v>164</v>
      </c>
      <c r="S55" t="s">
        <v>229</v>
      </c>
      <c r="T55" t="s">
        <v>302</v>
      </c>
      <c r="U55">
        <v>3.8938165741651161E-2</v>
      </c>
      <c r="V55" t="s">
        <v>164</v>
      </c>
      <c r="AK55">
        <v>2033</v>
      </c>
      <c r="AL55" t="s">
        <v>288</v>
      </c>
      <c r="AM55">
        <v>0.47316666666666674</v>
      </c>
      <c r="AN55" t="s">
        <v>245</v>
      </c>
    </row>
    <row r="56" spans="9:40" x14ac:dyDescent="0.45">
      <c r="I56" t="s">
        <v>178</v>
      </c>
      <c r="J56" t="s">
        <v>303</v>
      </c>
      <c r="K56">
        <v>0.24393854212257579</v>
      </c>
      <c r="L56" t="s">
        <v>164</v>
      </c>
      <c r="N56" t="s">
        <v>206</v>
      </c>
      <c r="O56" t="s">
        <v>303</v>
      </c>
      <c r="P56">
        <v>1.7965424084080833E-2</v>
      </c>
      <c r="Q56" t="s">
        <v>164</v>
      </c>
      <c r="S56" t="s">
        <v>229</v>
      </c>
      <c r="T56" t="s">
        <v>303</v>
      </c>
      <c r="U56">
        <v>4.2764287324440348E-2</v>
      </c>
      <c r="V56" t="s">
        <v>164</v>
      </c>
      <c r="AK56">
        <v>2033</v>
      </c>
      <c r="AL56" t="s">
        <v>290</v>
      </c>
      <c r="AM56">
        <v>0.42973333333333336</v>
      </c>
      <c r="AN56" t="s">
        <v>245</v>
      </c>
    </row>
    <row r="57" spans="9:40" x14ac:dyDescent="0.45">
      <c r="I57" t="s">
        <v>178</v>
      </c>
      <c r="J57" t="s">
        <v>304</v>
      </c>
      <c r="K57">
        <v>0</v>
      </c>
      <c r="L57" t="s">
        <v>164</v>
      </c>
      <c r="N57" t="s">
        <v>206</v>
      </c>
      <c r="O57" t="s">
        <v>304</v>
      </c>
      <c r="P57">
        <v>5.3451602532980334E-2</v>
      </c>
      <c r="Q57" t="s">
        <v>164</v>
      </c>
      <c r="S57" t="s">
        <v>229</v>
      </c>
      <c r="T57" t="s">
        <v>304</v>
      </c>
      <c r="U57">
        <v>8.0654923950087554E-2</v>
      </c>
      <c r="V57" t="s">
        <v>164</v>
      </c>
      <c r="AK57">
        <v>2033</v>
      </c>
      <c r="AL57" t="s">
        <v>291</v>
      </c>
      <c r="AM57">
        <v>0.4378333333333333</v>
      </c>
      <c r="AN57" t="s">
        <v>245</v>
      </c>
    </row>
    <row r="58" spans="9:40" x14ac:dyDescent="0.45">
      <c r="I58" t="s">
        <v>178</v>
      </c>
      <c r="J58" t="s">
        <v>305</v>
      </c>
      <c r="K58">
        <v>2.4836477298883896E-2</v>
      </c>
      <c r="L58" t="s">
        <v>164</v>
      </c>
      <c r="N58" t="s">
        <v>206</v>
      </c>
      <c r="O58" t="s">
        <v>305</v>
      </c>
      <c r="P58">
        <v>1.4618904232614281E-2</v>
      </c>
      <c r="Q58" t="s">
        <v>164</v>
      </c>
      <c r="S58" t="s">
        <v>229</v>
      </c>
      <c r="T58" t="s">
        <v>305</v>
      </c>
      <c r="U58">
        <v>2.5387713754680394E-2</v>
      </c>
      <c r="V58" t="s">
        <v>164</v>
      </c>
      <c r="AK58">
        <v>2033</v>
      </c>
      <c r="AL58" t="s">
        <v>293</v>
      </c>
      <c r="AM58">
        <v>0.4471</v>
      </c>
      <c r="AN58" t="s">
        <v>245</v>
      </c>
    </row>
    <row r="59" spans="9:40" x14ac:dyDescent="0.45">
      <c r="I59" t="s">
        <v>179</v>
      </c>
      <c r="J59" t="s">
        <v>294</v>
      </c>
      <c r="K59">
        <v>0.26120261509520409</v>
      </c>
      <c r="L59" t="s">
        <v>164</v>
      </c>
      <c r="N59" t="s">
        <v>207</v>
      </c>
      <c r="O59" t="s">
        <v>294</v>
      </c>
      <c r="P59">
        <v>9.1685938604589706E-2</v>
      </c>
      <c r="Q59" t="s">
        <v>164</v>
      </c>
      <c r="S59" t="s">
        <v>230</v>
      </c>
      <c r="T59" t="s">
        <v>294</v>
      </c>
      <c r="U59">
        <v>8.7030910617635099E-2</v>
      </c>
      <c r="V59" t="s">
        <v>164</v>
      </c>
      <c r="AK59">
        <v>2034</v>
      </c>
      <c r="AL59" t="s">
        <v>288</v>
      </c>
      <c r="AM59">
        <v>0.42896666666666666</v>
      </c>
      <c r="AN59" t="s">
        <v>245</v>
      </c>
    </row>
    <row r="60" spans="9:40" x14ac:dyDescent="0.45">
      <c r="I60" t="s">
        <v>179</v>
      </c>
      <c r="J60" t="s">
        <v>295</v>
      </c>
      <c r="K60">
        <v>0</v>
      </c>
      <c r="L60" t="s">
        <v>164</v>
      </c>
      <c r="N60" t="s">
        <v>207</v>
      </c>
      <c r="O60" t="s">
        <v>295</v>
      </c>
      <c r="P60">
        <v>8.534111849658528E-2</v>
      </c>
      <c r="Q60" t="s">
        <v>164</v>
      </c>
      <c r="S60" t="s">
        <v>230</v>
      </c>
      <c r="T60" t="s">
        <v>295</v>
      </c>
      <c r="U60">
        <v>8.0853601009988285E-2</v>
      </c>
      <c r="V60" t="s">
        <v>164</v>
      </c>
      <c r="AK60">
        <v>2034</v>
      </c>
      <c r="AL60" t="s">
        <v>290</v>
      </c>
      <c r="AM60">
        <v>0.40983333333333333</v>
      </c>
      <c r="AN60" t="s">
        <v>245</v>
      </c>
    </row>
    <row r="61" spans="9:40" x14ac:dyDescent="0.45">
      <c r="I61" t="s">
        <v>179</v>
      </c>
      <c r="J61" t="s">
        <v>296</v>
      </c>
      <c r="K61">
        <v>1.529973144841911E-2</v>
      </c>
      <c r="L61" t="s">
        <v>164</v>
      </c>
      <c r="N61" t="s">
        <v>207</v>
      </c>
      <c r="O61" t="s">
        <v>296</v>
      </c>
      <c r="P61">
        <v>3.0647592162216311E-2</v>
      </c>
      <c r="Q61" t="s">
        <v>164</v>
      </c>
      <c r="S61" t="s">
        <v>230</v>
      </c>
      <c r="T61" t="s">
        <v>296</v>
      </c>
      <c r="U61">
        <v>2.1342565609777153E-2</v>
      </c>
      <c r="V61" t="s">
        <v>164</v>
      </c>
      <c r="AK61">
        <v>2034</v>
      </c>
      <c r="AL61" t="s">
        <v>291</v>
      </c>
      <c r="AM61">
        <v>0.46366666666666667</v>
      </c>
      <c r="AN61" t="s">
        <v>245</v>
      </c>
    </row>
    <row r="62" spans="9:40" x14ac:dyDescent="0.45">
      <c r="I62" t="s">
        <v>179</v>
      </c>
      <c r="J62" t="s">
        <v>297</v>
      </c>
      <c r="K62">
        <v>0.21277694373908909</v>
      </c>
      <c r="L62" t="s">
        <v>164</v>
      </c>
      <c r="N62" t="s">
        <v>207</v>
      </c>
      <c r="O62" t="s">
        <v>297</v>
      </c>
      <c r="P62">
        <v>8.3134208840783999E-2</v>
      </c>
      <c r="Q62" t="s">
        <v>164</v>
      </c>
      <c r="S62" t="s">
        <v>230</v>
      </c>
      <c r="T62" t="s">
        <v>297</v>
      </c>
      <c r="U62">
        <v>8.3127576685419841E-2</v>
      </c>
      <c r="V62" t="s">
        <v>164</v>
      </c>
      <c r="AK62">
        <v>2034</v>
      </c>
      <c r="AL62" t="s">
        <v>293</v>
      </c>
      <c r="AM62">
        <v>0.47649999999999998</v>
      </c>
      <c r="AN62" t="s">
        <v>245</v>
      </c>
    </row>
    <row r="63" spans="9:40" x14ac:dyDescent="0.45">
      <c r="I63" t="s">
        <v>179</v>
      </c>
      <c r="J63" t="s">
        <v>298</v>
      </c>
      <c r="K63">
        <v>0</v>
      </c>
      <c r="L63" t="s">
        <v>164</v>
      </c>
      <c r="N63" t="s">
        <v>207</v>
      </c>
      <c r="O63" t="s">
        <v>298</v>
      </c>
      <c r="P63">
        <v>8.1277023691990358E-2</v>
      </c>
      <c r="Q63" t="s">
        <v>164</v>
      </c>
      <c r="S63" t="s">
        <v>230</v>
      </c>
      <c r="T63" t="s">
        <v>298</v>
      </c>
      <c r="U63">
        <v>8.2794890939455162E-2</v>
      </c>
      <c r="V63" t="s">
        <v>164</v>
      </c>
      <c r="AK63">
        <v>2035</v>
      </c>
      <c r="AL63" t="s">
        <v>288</v>
      </c>
      <c r="AM63">
        <v>0.46690000000000004</v>
      </c>
      <c r="AN63" t="s">
        <v>245</v>
      </c>
    </row>
    <row r="64" spans="9:40" x14ac:dyDescent="0.45">
      <c r="I64" t="s">
        <v>179</v>
      </c>
      <c r="J64" t="s">
        <v>299</v>
      </c>
      <c r="K64">
        <v>1.7765435515078948E-2</v>
      </c>
      <c r="L64" t="s">
        <v>164</v>
      </c>
      <c r="N64" t="s">
        <v>207</v>
      </c>
      <c r="O64" t="s">
        <v>299</v>
      </c>
      <c r="P64">
        <v>2.4401366408524559E-2</v>
      </c>
      <c r="Q64" t="s">
        <v>164</v>
      </c>
      <c r="S64" t="s">
        <v>230</v>
      </c>
      <c r="T64" t="s">
        <v>299</v>
      </c>
      <c r="U64">
        <v>2.2021370238320299E-2</v>
      </c>
      <c r="V64" t="s">
        <v>164</v>
      </c>
      <c r="AK64">
        <v>2035</v>
      </c>
      <c r="AL64" t="s">
        <v>290</v>
      </c>
      <c r="AM64">
        <v>0.4093</v>
      </c>
      <c r="AN64" t="s">
        <v>245</v>
      </c>
    </row>
    <row r="65" spans="9:40" x14ac:dyDescent="0.45">
      <c r="I65" t="s">
        <v>179</v>
      </c>
      <c r="J65" t="s">
        <v>300</v>
      </c>
      <c r="K65">
        <v>0.19866326087228395</v>
      </c>
      <c r="L65" t="s">
        <v>164</v>
      </c>
      <c r="N65" t="s">
        <v>207</v>
      </c>
      <c r="O65" t="s">
        <v>300</v>
      </c>
      <c r="P65">
        <v>0.23736415919518014</v>
      </c>
      <c r="Q65" t="s">
        <v>164</v>
      </c>
      <c r="S65" t="s">
        <v>230</v>
      </c>
      <c r="T65" t="s">
        <v>300</v>
      </c>
      <c r="U65">
        <v>0.19408099515632476</v>
      </c>
      <c r="V65" t="s">
        <v>164</v>
      </c>
      <c r="AK65">
        <v>2035</v>
      </c>
      <c r="AL65" t="s">
        <v>291</v>
      </c>
      <c r="AM65">
        <v>0.44746666666666668</v>
      </c>
      <c r="AN65" t="s">
        <v>245</v>
      </c>
    </row>
    <row r="66" spans="9:40" x14ac:dyDescent="0.45">
      <c r="I66" t="s">
        <v>179</v>
      </c>
      <c r="J66" t="s">
        <v>301</v>
      </c>
      <c r="K66">
        <v>0</v>
      </c>
      <c r="L66" t="s">
        <v>164</v>
      </c>
      <c r="N66" t="s">
        <v>207</v>
      </c>
      <c r="O66" t="s">
        <v>301</v>
      </c>
      <c r="P66">
        <v>0.15826679928428949</v>
      </c>
      <c r="Q66" t="s">
        <v>164</v>
      </c>
      <c r="S66" t="s">
        <v>230</v>
      </c>
      <c r="T66" t="s">
        <v>301</v>
      </c>
      <c r="U66">
        <v>0.18759234370002306</v>
      </c>
      <c r="V66" t="s">
        <v>164</v>
      </c>
      <c r="AK66">
        <v>2035</v>
      </c>
      <c r="AL66" t="s">
        <v>293</v>
      </c>
      <c r="AM66">
        <v>0.45629999999999998</v>
      </c>
      <c r="AN66" t="s">
        <v>245</v>
      </c>
    </row>
    <row r="67" spans="9:40" x14ac:dyDescent="0.45">
      <c r="I67" t="s">
        <v>179</v>
      </c>
      <c r="J67" t="s">
        <v>302</v>
      </c>
      <c r="K67">
        <v>1.843086745576742E-2</v>
      </c>
      <c r="L67" t="s">
        <v>164</v>
      </c>
      <c r="N67" t="s">
        <v>207</v>
      </c>
      <c r="O67" t="s">
        <v>302</v>
      </c>
      <c r="P67">
        <v>4.6629828489452081E-2</v>
      </c>
      <c r="Q67" t="s">
        <v>164</v>
      </c>
      <c r="S67" t="s">
        <v>230</v>
      </c>
      <c r="T67" t="s">
        <v>302</v>
      </c>
      <c r="U67">
        <v>3.7010798832623662E-2</v>
      </c>
      <c r="V67" t="s">
        <v>164</v>
      </c>
      <c r="AK67">
        <v>2036</v>
      </c>
      <c r="AL67" t="s">
        <v>288</v>
      </c>
      <c r="AM67">
        <v>0.45953333333333335</v>
      </c>
      <c r="AN67" t="s">
        <v>245</v>
      </c>
    </row>
    <row r="68" spans="9:40" x14ac:dyDescent="0.45">
      <c r="I68" t="s">
        <v>179</v>
      </c>
      <c r="J68" t="s">
        <v>303</v>
      </c>
      <c r="K68">
        <v>0.24967904155730355</v>
      </c>
      <c r="L68" t="s">
        <v>164</v>
      </c>
      <c r="N68" t="s">
        <v>207</v>
      </c>
      <c r="O68" t="s">
        <v>303</v>
      </c>
      <c r="P68">
        <v>3.9366358381464649E-2</v>
      </c>
      <c r="Q68" t="s">
        <v>164</v>
      </c>
      <c r="S68" t="s">
        <v>230</v>
      </c>
      <c r="T68" t="s">
        <v>303</v>
      </c>
      <c r="U68">
        <v>7.093274813278537E-2</v>
      </c>
      <c r="V68" t="s">
        <v>164</v>
      </c>
      <c r="AK68">
        <v>2036</v>
      </c>
      <c r="AL68" t="s">
        <v>290</v>
      </c>
      <c r="AM68">
        <v>0.43526666666666669</v>
      </c>
      <c r="AN68" t="s">
        <v>245</v>
      </c>
    </row>
    <row r="69" spans="9:40" x14ac:dyDescent="0.45">
      <c r="I69" t="s">
        <v>179</v>
      </c>
      <c r="J69" t="s">
        <v>304</v>
      </c>
      <c r="K69">
        <v>0</v>
      </c>
      <c r="L69" t="s">
        <v>164</v>
      </c>
      <c r="N69" t="s">
        <v>207</v>
      </c>
      <c r="O69" t="s">
        <v>304</v>
      </c>
      <c r="P69">
        <v>9.9800376892167794E-2</v>
      </c>
      <c r="Q69" t="s">
        <v>164</v>
      </c>
      <c r="S69" t="s">
        <v>230</v>
      </c>
      <c r="T69" t="s">
        <v>304</v>
      </c>
      <c r="U69">
        <v>0.10353669875858371</v>
      </c>
      <c r="V69" t="s">
        <v>164</v>
      </c>
      <c r="AK69">
        <v>2036</v>
      </c>
      <c r="AL69" t="s">
        <v>291</v>
      </c>
      <c r="AM69">
        <v>0.45169999999999999</v>
      </c>
      <c r="AN69" t="s">
        <v>245</v>
      </c>
    </row>
    <row r="70" spans="9:40" x14ac:dyDescent="0.45">
      <c r="I70" t="s">
        <v>179</v>
      </c>
      <c r="J70" t="s">
        <v>305</v>
      </c>
      <c r="K70">
        <v>2.6182104316850415E-2</v>
      </c>
      <c r="L70" t="s">
        <v>164</v>
      </c>
      <c r="N70" t="s">
        <v>207</v>
      </c>
      <c r="O70" t="s">
        <v>305</v>
      </c>
      <c r="P70">
        <v>2.208522955275426E-2</v>
      </c>
      <c r="Q70" t="s">
        <v>164</v>
      </c>
      <c r="S70" t="s">
        <v>230</v>
      </c>
      <c r="T70" t="s">
        <v>305</v>
      </c>
      <c r="U70">
        <v>2.9675500319064983E-2</v>
      </c>
      <c r="V70" t="s">
        <v>164</v>
      </c>
      <c r="AK70">
        <v>2036</v>
      </c>
      <c r="AL70" t="s">
        <v>293</v>
      </c>
      <c r="AM70">
        <v>0.47246666666666665</v>
      </c>
      <c r="AN70" t="s">
        <v>245</v>
      </c>
    </row>
    <row r="71" spans="9:40" x14ac:dyDescent="0.45">
      <c r="I71" t="s">
        <v>180</v>
      </c>
      <c r="J71" t="s">
        <v>294</v>
      </c>
      <c r="K71">
        <v>0.25738700282708349</v>
      </c>
      <c r="L71" t="s">
        <v>164</v>
      </c>
      <c r="N71" t="s">
        <v>208</v>
      </c>
      <c r="O71" t="s">
        <v>294</v>
      </c>
      <c r="P71">
        <v>8.1396553180406145E-2</v>
      </c>
      <c r="Q71" t="s">
        <v>164</v>
      </c>
      <c r="S71" t="s">
        <v>231</v>
      </c>
      <c r="T71" t="s">
        <v>294</v>
      </c>
      <c r="U71">
        <v>6.1059729299327598E-2</v>
      </c>
      <c r="V71" t="s">
        <v>164</v>
      </c>
      <c r="AK71">
        <v>2037</v>
      </c>
      <c r="AL71" t="s">
        <v>288</v>
      </c>
      <c r="AM71">
        <v>0.47733333333333333</v>
      </c>
      <c r="AN71" t="s">
        <v>245</v>
      </c>
    </row>
    <row r="72" spans="9:40" x14ac:dyDescent="0.45">
      <c r="I72" t="s">
        <v>180</v>
      </c>
      <c r="J72" t="s">
        <v>295</v>
      </c>
      <c r="K72">
        <v>0</v>
      </c>
      <c r="L72" t="s">
        <v>164</v>
      </c>
      <c r="N72" t="s">
        <v>208</v>
      </c>
      <c r="O72" t="s">
        <v>295</v>
      </c>
      <c r="P72">
        <v>0.11994147441649912</v>
      </c>
      <c r="Q72" t="s">
        <v>164</v>
      </c>
      <c r="S72" t="s">
        <v>231</v>
      </c>
      <c r="T72" t="s">
        <v>295</v>
      </c>
      <c r="U72">
        <v>8.9812173934422368E-2</v>
      </c>
      <c r="V72" t="s">
        <v>164</v>
      </c>
      <c r="AK72">
        <v>2037</v>
      </c>
      <c r="AL72" t="s">
        <v>290</v>
      </c>
      <c r="AM72">
        <v>0.43156666666666665</v>
      </c>
      <c r="AN72" t="s">
        <v>245</v>
      </c>
    </row>
    <row r="73" spans="9:40" x14ac:dyDescent="0.45">
      <c r="I73" t="s">
        <v>180</v>
      </c>
      <c r="J73" t="s">
        <v>296</v>
      </c>
      <c r="K73">
        <v>1.3756866675270854E-2</v>
      </c>
      <c r="L73" t="s">
        <v>164</v>
      </c>
      <c r="N73" t="s">
        <v>208</v>
      </c>
      <c r="O73" t="s">
        <v>296</v>
      </c>
      <c r="P73">
        <v>2.7005194603052018E-2</v>
      </c>
      <c r="Q73" t="s">
        <v>164</v>
      </c>
      <c r="S73" t="s">
        <v>231</v>
      </c>
      <c r="T73" t="s">
        <v>296</v>
      </c>
      <c r="U73">
        <v>1.5469119805811353E-2</v>
      </c>
      <c r="V73" t="s">
        <v>164</v>
      </c>
      <c r="AK73">
        <v>2037</v>
      </c>
      <c r="AL73" t="s">
        <v>291</v>
      </c>
      <c r="AM73">
        <v>0.4516</v>
      </c>
      <c r="AN73" t="s">
        <v>245</v>
      </c>
    </row>
    <row r="74" spans="9:40" x14ac:dyDescent="0.45">
      <c r="I74" t="s">
        <v>180</v>
      </c>
      <c r="J74" t="s">
        <v>297</v>
      </c>
      <c r="K74">
        <v>0.22148445687079193</v>
      </c>
      <c r="L74" t="s">
        <v>164</v>
      </c>
      <c r="N74" t="s">
        <v>208</v>
      </c>
      <c r="O74" t="s">
        <v>297</v>
      </c>
      <c r="P74">
        <v>7.8304744984509733E-2</v>
      </c>
      <c r="Q74" t="s">
        <v>164</v>
      </c>
      <c r="S74" t="s">
        <v>231</v>
      </c>
      <c r="T74" t="s">
        <v>297</v>
      </c>
      <c r="U74">
        <v>6.4074367525630296E-2</v>
      </c>
      <c r="V74" t="s">
        <v>164</v>
      </c>
      <c r="AK74">
        <v>2037</v>
      </c>
      <c r="AL74" t="s">
        <v>293</v>
      </c>
      <c r="AM74">
        <v>0.44473333333333337</v>
      </c>
      <c r="AN74" t="s">
        <v>245</v>
      </c>
    </row>
    <row r="75" spans="9:40" x14ac:dyDescent="0.45">
      <c r="I75" t="s">
        <v>180</v>
      </c>
      <c r="J75" t="s">
        <v>298</v>
      </c>
      <c r="K75">
        <v>0</v>
      </c>
      <c r="L75" t="s">
        <v>164</v>
      </c>
      <c r="N75" t="s">
        <v>208</v>
      </c>
      <c r="O75" t="s">
        <v>298</v>
      </c>
      <c r="P75">
        <v>0.10130195014966313</v>
      </c>
      <c r="Q75" t="s">
        <v>164</v>
      </c>
      <c r="S75" t="s">
        <v>231</v>
      </c>
      <c r="T75" t="s">
        <v>298</v>
      </c>
      <c r="U75">
        <v>8.9289320604767949E-2</v>
      </c>
      <c r="V75" t="s">
        <v>164</v>
      </c>
      <c r="AK75">
        <v>2038</v>
      </c>
      <c r="AL75" t="s">
        <v>288</v>
      </c>
      <c r="AM75">
        <v>0.45</v>
      </c>
      <c r="AN75" t="s">
        <v>245</v>
      </c>
    </row>
    <row r="76" spans="9:40" x14ac:dyDescent="0.45">
      <c r="I76" t="s">
        <v>180</v>
      </c>
      <c r="J76" t="s">
        <v>299</v>
      </c>
      <c r="K76">
        <v>1.8488580955037037E-2</v>
      </c>
      <c r="L76" t="s">
        <v>164</v>
      </c>
      <c r="N76" t="s">
        <v>208</v>
      </c>
      <c r="O76" t="s">
        <v>299</v>
      </c>
      <c r="P76">
        <v>2.0215652758067731E-2</v>
      </c>
      <c r="Q76" t="s">
        <v>164</v>
      </c>
      <c r="S76" t="s">
        <v>231</v>
      </c>
      <c r="T76" t="s">
        <v>299</v>
      </c>
      <c r="U76">
        <v>1.6729953441954677E-2</v>
      </c>
      <c r="V76" t="s">
        <v>164</v>
      </c>
      <c r="AK76">
        <v>2038</v>
      </c>
      <c r="AL76" t="s">
        <v>290</v>
      </c>
      <c r="AM76">
        <v>0.41253333333333336</v>
      </c>
      <c r="AN76" t="s">
        <v>245</v>
      </c>
    </row>
    <row r="77" spans="9:40" x14ac:dyDescent="0.45">
      <c r="I77" t="s">
        <v>180</v>
      </c>
      <c r="J77" t="s">
        <v>300</v>
      </c>
      <c r="K77">
        <v>0.1767649836045854</v>
      </c>
      <c r="L77" t="s">
        <v>164</v>
      </c>
      <c r="N77" t="s">
        <v>208</v>
      </c>
      <c r="O77" t="s">
        <v>300</v>
      </c>
      <c r="P77">
        <v>0.21607600049185202</v>
      </c>
      <c r="Q77" t="s">
        <v>164</v>
      </c>
      <c r="S77" t="s">
        <v>231</v>
      </c>
      <c r="T77" t="s">
        <v>300</v>
      </c>
      <c r="U77">
        <v>0.16589712914400803</v>
      </c>
      <c r="V77" t="s">
        <v>164</v>
      </c>
      <c r="AK77">
        <v>2038</v>
      </c>
      <c r="AL77" t="s">
        <v>291</v>
      </c>
      <c r="AM77">
        <v>0.46366666666666667</v>
      </c>
      <c r="AN77" t="s">
        <v>245</v>
      </c>
    </row>
    <row r="78" spans="9:40" x14ac:dyDescent="0.45">
      <c r="I78" t="s">
        <v>180</v>
      </c>
      <c r="J78" t="s">
        <v>301</v>
      </c>
      <c r="K78">
        <v>0</v>
      </c>
      <c r="L78" t="s">
        <v>164</v>
      </c>
      <c r="N78" t="s">
        <v>208</v>
      </c>
      <c r="O78" t="s">
        <v>301</v>
      </c>
      <c r="P78">
        <v>0.18720770644830165</v>
      </c>
      <c r="Q78" t="s">
        <v>164</v>
      </c>
      <c r="S78" t="s">
        <v>231</v>
      </c>
      <c r="T78" t="s">
        <v>301</v>
      </c>
      <c r="U78">
        <v>0.20980575743051066</v>
      </c>
      <c r="V78" t="s">
        <v>164</v>
      </c>
      <c r="AK78">
        <v>2038</v>
      </c>
      <c r="AL78" t="s">
        <v>293</v>
      </c>
      <c r="AM78">
        <v>0.4385666666666666</v>
      </c>
      <c r="AN78" t="s">
        <v>245</v>
      </c>
    </row>
    <row r="79" spans="9:40" x14ac:dyDescent="0.45">
      <c r="I79" t="s">
        <v>180</v>
      </c>
      <c r="J79" t="s">
        <v>302</v>
      </c>
      <c r="K79">
        <v>1.1017734774114057E-2</v>
      </c>
      <c r="L79" t="s">
        <v>164</v>
      </c>
      <c r="N79" t="s">
        <v>208</v>
      </c>
      <c r="O79" t="s">
        <v>302</v>
      </c>
      <c r="P79">
        <v>4.6705703671930866E-2</v>
      </c>
      <c r="Q79" t="s">
        <v>164</v>
      </c>
      <c r="S79" t="s">
        <v>231</v>
      </c>
      <c r="T79" t="s">
        <v>302</v>
      </c>
      <c r="U79">
        <v>3.3697346233660046E-2</v>
      </c>
      <c r="V79" t="s">
        <v>164</v>
      </c>
      <c r="AK79">
        <v>2039</v>
      </c>
      <c r="AL79" t="s">
        <v>288</v>
      </c>
      <c r="AM79">
        <v>0.43409999999999999</v>
      </c>
      <c r="AN79" t="s">
        <v>245</v>
      </c>
    </row>
    <row r="80" spans="9:40" x14ac:dyDescent="0.45">
      <c r="I80" t="s">
        <v>180</v>
      </c>
      <c r="J80" t="s">
        <v>303</v>
      </c>
      <c r="K80">
        <v>0.27250939997455625</v>
      </c>
      <c r="L80" t="s">
        <v>164</v>
      </c>
      <c r="N80" t="s">
        <v>208</v>
      </c>
      <c r="O80" t="s">
        <v>303</v>
      </c>
      <c r="P80">
        <v>2.4953749776708042E-2</v>
      </c>
      <c r="Q80" t="s">
        <v>164</v>
      </c>
      <c r="S80" t="s">
        <v>231</v>
      </c>
      <c r="T80" t="s">
        <v>303</v>
      </c>
      <c r="U80">
        <v>0.10207150370998498</v>
      </c>
      <c r="V80" t="s">
        <v>164</v>
      </c>
      <c r="AK80">
        <v>2039</v>
      </c>
      <c r="AL80" t="s">
        <v>290</v>
      </c>
      <c r="AM80">
        <v>0.44090000000000001</v>
      </c>
      <c r="AN80" t="s">
        <v>245</v>
      </c>
    </row>
    <row r="81" spans="9:40" x14ac:dyDescent="0.45">
      <c r="I81" t="s">
        <v>180</v>
      </c>
      <c r="J81" t="s">
        <v>304</v>
      </c>
      <c r="K81">
        <v>0</v>
      </c>
      <c r="L81" t="s">
        <v>164</v>
      </c>
      <c r="N81" t="s">
        <v>208</v>
      </c>
      <c r="O81" t="s">
        <v>304</v>
      </c>
      <c r="P81">
        <v>9.0993459471902904E-2</v>
      </c>
      <c r="Q81" t="s">
        <v>164</v>
      </c>
      <c r="S81" t="s">
        <v>231</v>
      </c>
      <c r="T81" t="s">
        <v>304</v>
      </c>
      <c r="U81">
        <v>0.12882920538031511</v>
      </c>
      <c r="V81" t="s">
        <v>164</v>
      </c>
      <c r="AK81">
        <v>2039</v>
      </c>
      <c r="AL81" t="s">
        <v>291</v>
      </c>
      <c r="AM81">
        <v>0.43593333333333328</v>
      </c>
      <c r="AN81" t="s">
        <v>245</v>
      </c>
    </row>
    <row r="82" spans="9:40" x14ac:dyDescent="0.45">
      <c r="I82" t="s">
        <v>180</v>
      </c>
      <c r="J82" t="s">
        <v>305</v>
      </c>
      <c r="K82">
        <v>2.8590974318561394E-2</v>
      </c>
      <c r="L82" t="s">
        <v>164</v>
      </c>
      <c r="N82" t="s">
        <v>208</v>
      </c>
      <c r="O82" t="s">
        <v>305</v>
      </c>
      <c r="P82">
        <v>5.8978100471062693E-3</v>
      </c>
      <c r="Q82" t="s">
        <v>164</v>
      </c>
      <c r="S82" t="s">
        <v>231</v>
      </c>
      <c r="T82" t="s">
        <v>305</v>
      </c>
      <c r="U82">
        <v>2.3264393489607398E-2</v>
      </c>
      <c r="V82" t="s">
        <v>164</v>
      </c>
      <c r="AK82">
        <v>2039</v>
      </c>
      <c r="AL82" t="s">
        <v>293</v>
      </c>
      <c r="AM82">
        <v>0.45873333333333338</v>
      </c>
      <c r="AN82" t="s">
        <v>245</v>
      </c>
    </row>
    <row r="83" spans="9:40" x14ac:dyDescent="0.45">
      <c r="I83" t="s">
        <v>181</v>
      </c>
      <c r="J83" t="s">
        <v>294</v>
      </c>
      <c r="K83">
        <v>0.25475023877037334</v>
      </c>
      <c r="L83" t="s">
        <v>164</v>
      </c>
      <c r="N83" t="s">
        <v>209</v>
      </c>
      <c r="O83" t="s">
        <v>294</v>
      </c>
      <c r="P83">
        <v>9.2405995557925294E-2</v>
      </c>
      <c r="Q83" t="s">
        <v>164</v>
      </c>
      <c r="S83" t="s">
        <v>232</v>
      </c>
      <c r="T83" t="s">
        <v>294</v>
      </c>
      <c r="U83">
        <v>5.6405926370365414E-2</v>
      </c>
      <c r="V83" t="s">
        <v>164</v>
      </c>
      <c r="AK83">
        <v>2040</v>
      </c>
      <c r="AL83" t="s">
        <v>288</v>
      </c>
      <c r="AM83">
        <v>0.47026666666666661</v>
      </c>
      <c r="AN83" t="s">
        <v>245</v>
      </c>
    </row>
    <row r="84" spans="9:40" x14ac:dyDescent="0.45">
      <c r="I84" t="s">
        <v>181</v>
      </c>
      <c r="J84" t="s">
        <v>295</v>
      </c>
      <c r="K84">
        <v>0</v>
      </c>
      <c r="L84" t="s">
        <v>164</v>
      </c>
      <c r="N84" t="s">
        <v>209</v>
      </c>
      <c r="O84" t="s">
        <v>295</v>
      </c>
      <c r="P84">
        <v>0.12884728707287579</v>
      </c>
      <c r="Q84" t="s">
        <v>164</v>
      </c>
      <c r="S84" t="s">
        <v>232</v>
      </c>
      <c r="T84" t="s">
        <v>295</v>
      </c>
      <c r="U84">
        <v>8.9893244127681127E-2</v>
      </c>
      <c r="V84" t="s">
        <v>164</v>
      </c>
      <c r="AK84">
        <v>2040</v>
      </c>
      <c r="AL84" t="s">
        <v>290</v>
      </c>
      <c r="AM84">
        <v>0.43113333333333337</v>
      </c>
      <c r="AN84" t="s">
        <v>245</v>
      </c>
    </row>
    <row r="85" spans="9:40" x14ac:dyDescent="0.45">
      <c r="I85" t="s">
        <v>181</v>
      </c>
      <c r="J85" t="s">
        <v>296</v>
      </c>
      <c r="K85">
        <v>1.1631552158623758E-2</v>
      </c>
      <c r="L85" t="s">
        <v>164</v>
      </c>
      <c r="N85" t="s">
        <v>209</v>
      </c>
      <c r="O85" t="s">
        <v>296</v>
      </c>
      <c r="P85">
        <v>2.0533916723774255E-2</v>
      </c>
      <c r="Q85" t="s">
        <v>164</v>
      </c>
      <c r="S85" t="s">
        <v>232</v>
      </c>
      <c r="T85" t="s">
        <v>296</v>
      </c>
      <c r="U85">
        <v>1.6249194132982567E-2</v>
      </c>
      <c r="V85" t="s">
        <v>164</v>
      </c>
      <c r="AK85">
        <v>2040</v>
      </c>
      <c r="AL85" t="s">
        <v>291</v>
      </c>
      <c r="AM85">
        <v>0.43660000000000004</v>
      </c>
      <c r="AN85" t="s">
        <v>245</v>
      </c>
    </row>
    <row r="86" spans="9:40" x14ac:dyDescent="0.45">
      <c r="I86" t="s">
        <v>181</v>
      </c>
      <c r="J86" t="s">
        <v>297</v>
      </c>
      <c r="K86">
        <v>0.2249118965252245</v>
      </c>
      <c r="L86" t="s">
        <v>164</v>
      </c>
      <c r="N86" t="s">
        <v>209</v>
      </c>
      <c r="O86" t="s">
        <v>297</v>
      </c>
      <c r="P86">
        <v>8.6553935372278901E-2</v>
      </c>
      <c r="Q86" t="s">
        <v>164</v>
      </c>
      <c r="S86" t="s">
        <v>232</v>
      </c>
      <c r="T86" t="s">
        <v>297</v>
      </c>
      <c r="U86">
        <v>7.5222401787485349E-2</v>
      </c>
      <c r="V86" t="s">
        <v>164</v>
      </c>
      <c r="AK86">
        <v>2040</v>
      </c>
      <c r="AL86" t="s">
        <v>293</v>
      </c>
      <c r="AM86">
        <v>0.45739999999999997</v>
      </c>
      <c r="AN86" t="s">
        <v>245</v>
      </c>
    </row>
    <row r="87" spans="9:40" x14ac:dyDescent="0.45">
      <c r="I87" t="s">
        <v>181</v>
      </c>
      <c r="J87" t="s">
        <v>298</v>
      </c>
      <c r="K87">
        <v>0</v>
      </c>
      <c r="L87" t="s">
        <v>164</v>
      </c>
      <c r="N87" t="s">
        <v>209</v>
      </c>
      <c r="O87" t="s">
        <v>298</v>
      </c>
      <c r="P87">
        <v>0.1086795495592278</v>
      </c>
      <c r="Q87" t="s">
        <v>164</v>
      </c>
      <c r="S87" t="s">
        <v>232</v>
      </c>
      <c r="T87" t="s">
        <v>298</v>
      </c>
      <c r="U87">
        <v>0.10192728558711567</v>
      </c>
      <c r="V87" t="s">
        <v>164</v>
      </c>
      <c r="AK87">
        <v>2041</v>
      </c>
      <c r="AL87" t="s">
        <v>288</v>
      </c>
      <c r="AM87">
        <v>0.4533666666666667</v>
      </c>
      <c r="AN87" t="s">
        <v>245</v>
      </c>
    </row>
    <row r="88" spans="9:40" x14ac:dyDescent="0.45">
      <c r="I88" t="s">
        <v>181</v>
      </c>
      <c r="J88" t="s">
        <v>299</v>
      </c>
      <c r="K88">
        <v>1.6262226626319366E-2</v>
      </c>
      <c r="L88" t="s">
        <v>164</v>
      </c>
      <c r="N88" t="s">
        <v>209</v>
      </c>
      <c r="O88" t="s">
        <v>299</v>
      </c>
      <c r="P88">
        <v>1.7741581168415659E-2</v>
      </c>
      <c r="Q88" t="s">
        <v>164</v>
      </c>
      <c r="S88" t="s">
        <v>232</v>
      </c>
      <c r="T88" t="s">
        <v>299</v>
      </c>
      <c r="U88">
        <v>2.0112068483714191E-2</v>
      </c>
      <c r="V88" t="s">
        <v>164</v>
      </c>
      <c r="AK88">
        <v>2041</v>
      </c>
      <c r="AL88" t="s">
        <v>290</v>
      </c>
      <c r="AM88">
        <v>0.39513333333333334</v>
      </c>
      <c r="AN88" t="s">
        <v>245</v>
      </c>
    </row>
    <row r="89" spans="9:40" x14ac:dyDescent="0.45">
      <c r="I89" t="s">
        <v>181</v>
      </c>
      <c r="J89" t="s">
        <v>300</v>
      </c>
      <c r="K89">
        <v>0.18815326945045602</v>
      </c>
      <c r="L89" t="s">
        <v>164</v>
      </c>
      <c r="N89" t="s">
        <v>209</v>
      </c>
      <c r="O89" t="s">
        <v>300</v>
      </c>
      <c r="P89">
        <v>0.20831184943502826</v>
      </c>
      <c r="Q89" t="s">
        <v>164</v>
      </c>
      <c r="S89" t="s">
        <v>232</v>
      </c>
      <c r="T89" t="s">
        <v>300</v>
      </c>
      <c r="U89">
        <v>0.17221695823213187</v>
      </c>
      <c r="V89" t="s">
        <v>164</v>
      </c>
      <c r="AK89">
        <v>2041</v>
      </c>
      <c r="AL89" t="s">
        <v>291</v>
      </c>
      <c r="AM89">
        <v>0.48366666666666669</v>
      </c>
      <c r="AN89" t="s">
        <v>245</v>
      </c>
    </row>
    <row r="90" spans="9:40" x14ac:dyDescent="0.45">
      <c r="I90" t="s">
        <v>181</v>
      </c>
      <c r="J90" t="s">
        <v>301</v>
      </c>
      <c r="K90">
        <v>0</v>
      </c>
      <c r="L90" t="s">
        <v>164</v>
      </c>
      <c r="N90" t="s">
        <v>209</v>
      </c>
      <c r="O90" t="s">
        <v>301</v>
      </c>
      <c r="P90">
        <v>0.20754561360670984</v>
      </c>
      <c r="Q90" t="s">
        <v>164</v>
      </c>
      <c r="S90" t="s">
        <v>232</v>
      </c>
      <c r="T90" t="s">
        <v>301</v>
      </c>
      <c r="U90">
        <v>0.22231863675028471</v>
      </c>
      <c r="V90" t="s">
        <v>164</v>
      </c>
      <c r="AK90">
        <v>2041</v>
      </c>
      <c r="AL90" t="s">
        <v>293</v>
      </c>
      <c r="AM90">
        <v>0.45590000000000003</v>
      </c>
      <c r="AN90" t="s">
        <v>245</v>
      </c>
    </row>
    <row r="91" spans="9:40" x14ac:dyDescent="0.45">
      <c r="I91" t="s">
        <v>181</v>
      </c>
      <c r="J91" t="s">
        <v>302</v>
      </c>
      <c r="K91">
        <v>1.2497307910207246E-2</v>
      </c>
      <c r="L91" t="s">
        <v>164</v>
      </c>
      <c r="N91" t="s">
        <v>209</v>
      </c>
      <c r="O91" t="s">
        <v>302</v>
      </c>
      <c r="P91">
        <v>3.9461696624137184E-2</v>
      </c>
      <c r="Q91" t="s">
        <v>164</v>
      </c>
      <c r="S91" t="s">
        <v>232</v>
      </c>
      <c r="T91" t="s">
        <v>302</v>
      </c>
      <c r="U91">
        <v>3.552568048453611E-2</v>
      </c>
      <c r="V91" t="s">
        <v>164</v>
      </c>
      <c r="AK91">
        <v>2042</v>
      </c>
      <c r="AL91" t="s">
        <v>288</v>
      </c>
      <c r="AM91">
        <v>0.41470000000000001</v>
      </c>
      <c r="AN91" t="s">
        <v>245</v>
      </c>
    </row>
    <row r="92" spans="9:40" x14ac:dyDescent="0.45">
      <c r="I92" t="s">
        <v>181</v>
      </c>
      <c r="J92" t="s">
        <v>303</v>
      </c>
      <c r="K92">
        <v>0.26720608234335946</v>
      </c>
      <c r="L92" t="s">
        <v>164</v>
      </c>
      <c r="N92" t="s">
        <v>209</v>
      </c>
      <c r="O92" t="s">
        <v>303</v>
      </c>
      <c r="P92">
        <v>2.5049126501914744E-2</v>
      </c>
      <c r="Q92" t="s">
        <v>164</v>
      </c>
      <c r="S92" t="s">
        <v>232</v>
      </c>
      <c r="T92" t="s">
        <v>303</v>
      </c>
      <c r="U92">
        <v>7.0676011775771236E-2</v>
      </c>
      <c r="V92" t="s">
        <v>164</v>
      </c>
      <c r="AK92">
        <v>2042</v>
      </c>
      <c r="AL92" t="s">
        <v>290</v>
      </c>
      <c r="AM92">
        <v>0.40709999999999996</v>
      </c>
      <c r="AN92" t="s">
        <v>245</v>
      </c>
    </row>
    <row r="93" spans="9:40" x14ac:dyDescent="0.45">
      <c r="I93" t="s">
        <v>181</v>
      </c>
      <c r="J93" t="s">
        <v>304</v>
      </c>
      <c r="K93">
        <v>0</v>
      </c>
      <c r="L93" t="s">
        <v>164</v>
      </c>
      <c r="N93" t="s">
        <v>209</v>
      </c>
      <c r="O93" t="s">
        <v>304</v>
      </c>
      <c r="P93">
        <v>6.1679394243666273E-2</v>
      </c>
      <c r="Q93" t="s">
        <v>164</v>
      </c>
      <c r="S93" t="s">
        <v>232</v>
      </c>
      <c r="T93" t="s">
        <v>304</v>
      </c>
      <c r="U93">
        <v>0.11862897302890488</v>
      </c>
      <c r="V93" t="s">
        <v>164</v>
      </c>
      <c r="AK93">
        <v>2042</v>
      </c>
      <c r="AL93" t="s">
        <v>291</v>
      </c>
      <c r="AM93">
        <v>0.45920000000000005</v>
      </c>
      <c r="AN93" t="s">
        <v>245</v>
      </c>
    </row>
    <row r="94" spans="9:40" x14ac:dyDescent="0.45">
      <c r="I94" t="s">
        <v>181</v>
      </c>
      <c r="J94" t="s">
        <v>305</v>
      </c>
      <c r="K94">
        <v>2.4587426215437278E-2</v>
      </c>
      <c r="L94" t="s">
        <v>164</v>
      </c>
      <c r="N94" t="s">
        <v>209</v>
      </c>
      <c r="O94" t="s">
        <v>305</v>
      </c>
      <c r="P94">
        <v>3.190054134045041E-3</v>
      </c>
      <c r="Q94" t="s">
        <v>164</v>
      </c>
      <c r="S94" t="s">
        <v>232</v>
      </c>
      <c r="T94" t="s">
        <v>305</v>
      </c>
      <c r="U94">
        <v>2.0823619239030672E-2</v>
      </c>
      <c r="V94" t="s">
        <v>164</v>
      </c>
      <c r="AK94">
        <v>2042</v>
      </c>
      <c r="AL94" t="s">
        <v>293</v>
      </c>
      <c r="AM94">
        <v>0.47636666666666666</v>
      </c>
      <c r="AN94" t="s">
        <v>245</v>
      </c>
    </row>
    <row r="95" spans="9:40" x14ac:dyDescent="0.45">
      <c r="I95" t="s">
        <v>182</v>
      </c>
      <c r="J95" t="s">
        <v>294</v>
      </c>
      <c r="K95">
        <v>0.2490659452339028</v>
      </c>
      <c r="L95" t="s">
        <v>164</v>
      </c>
      <c r="N95" t="s">
        <v>210</v>
      </c>
      <c r="O95" t="s">
        <v>294</v>
      </c>
      <c r="P95">
        <v>0.10086492452318138</v>
      </c>
      <c r="Q95" t="s">
        <v>164</v>
      </c>
      <c r="S95" t="s">
        <v>233</v>
      </c>
      <c r="T95" t="s">
        <v>294</v>
      </c>
      <c r="U95">
        <v>5.2567011426940487E-2</v>
      </c>
      <c r="V95" t="s">
        <v>164</v>
      </c>
      <c r="AK95">
        <v>2043</v>
      </c>
      <c r="AL95" t="s">
        <v>288</v>
      </c>
      <c r="AM95">
        <v>0.44166666666666671</v>
      </c>
      <c r="AN95" t="s">
        <v>245</v>
      </c>
    </row>
    <row r="96" spans="9:40" x14ac:dyDescent="0.45">
      <c r="I96" t="s">
        <v>182</v>
      </c>
      <c r="J96" t="s">
        <v>295</v>
      </c>
      <c r="K96">
        <v>0</v>
      </c>
      <c r="L96" t="s">
        <v>164</v>
      </c>
      <c r="N96" t="s">
        <v>210</v>
      </c>
      <c r="O96" t="s">
        <v>295</v>
      </c>
      <c r="P96">
        <v>0.13100931810782249</v>
      </c>
      <c r="Q96" t="s">
        <v>164</v>
      </c>
      <c r="S96" t="s">
        <v>233</v>
      </c>
      <c r="T96" t="s">
        <v>295</v>
      </c>
      <c r="U96">
        <v>8.4984729645952689E-2</v>
      </c>
      <c r="V96" t="s">
        <v>164</v>
      </c>
      <c r="AK96">
        <v>2043</v>
      </c>
      <c r="AL96" t="s">
        <v>290</v>
      </c>
      <c r="AM96">
        <v>0.43490000000000001</v>
      </c>
      <c r="AN96" t="s">
        <v>245</v>
      </c>
    </row>
    <row r="97" spans="9:40" x14ac:dyDescent="0.45">
      <c r="I97" t="s">
        <v>182</v>
      </c>
      <c r="J97" t="s">
        <v>296</v>
      </c>
      <c r="K97">
        <v>1.2249756065114982E-2</v>
      </c>
      <c r="L97" t="s">
        <v>164</v>
      </c>
      <c r="N97" t="s">
        <v>210</v>
      </c>
      <c r="O97" t="s">
        <v>296</v>
      </c>
      <c r="P97">
        <v>2.4732575364730228E-2</v>
      </c>
      <c r="Q97" t="s">
        <v>164</v>
      </c>
      <c r="S97" t="s">
        <v>233</v>
      </c>
      <c r="T97" t="s">
        <v>296</v>
      </c>
      <c r="U97">
        <v>1.6590698088836283E-2</v>
      </c>
      <c r="V97" t="s">
        <v>164</v>
      </c>
      <c r="AK97">
        <v>2043</v>
      </c>
      <c r="AL97" t="s">
        <v>291</v>
      </c>
      <c r="AM97">
        <v>0.43756666666666666</v>
      </c>
      <c r="AN97" t="s">
        <v>245</v>
      </c>
    </row>
    <row r="98" spans="9:40" x14ac:dyDescent="0.45">
      <c r="I98" t="s">
        <v>182</v>
      </c>
      <c r="J98" t="s">
        <v>297</v>
      </c>
      <c r="K98">
        <v>0.23156237825994988</v>
      </c>
      <c r="L98" t="s">
        <v>164</v>
      </c>
      <c r="N98" t="s">
        <v>210</v>
      </c>
      <c r="O98" t="s">
        <v>297</v>
      </c>
      <c r="P98">
        <v>9.2328816285702275E-2</v>
      </c>
      <c r="Q98" t="s">
        <v>164</v>
      </c>
      <c r="S98" t="s">
        <v>233</v>
      </c>
      <c r="T98" t="s">
        <v>297</v>
      </c>
      <c r="U98">
        <v>8.6433570676427041E-2</v>
      </c>
      <c r="V98" t="s">
        <v>164</v>
      </c>
      <c r="AK98">
        <v>2043</v>
      </c>
      <c r="AL98" t="s">
        <v>293</v>
      </c>
      <c r="AM98">
        <v>0.48069999999999996</v>
      </c>
      <c r="AN98" t="s">
        <v>245</v>
      </c>
    </row>
    <row r="99" spans="9:40" x14ac:dyDescent="0.45">
      <c r="I99" t="s">
        <v>182</v>
      </c>
      <c r="J99" t="s">
        <v>298</v>
      </c>
      <c r="K99">
        <v>0</v>
      </c>
      <c r="L99" t="s">
        <v>164</v>
      </c>
      <c r="N99" t="s">
        <v>210</v>
      </c>
      <c r="O99" t="s">
        <v>298</v>
      </c>
      <c r="P99">
        <v>0.10255679872893773</v>
      </c>
      <c r="Q99" t="s">
        <v>164</v>
      </c>
      <c r="S99" t="s">
        <v>233</v>
      </c>
      <c r="T99" t="s">
        <v>298</v>
      </c>
      <c r="U99">
        <v>0.10930031158269542</v>
      </c>
      <c r="V99" t="s">
        <v>164</v>
      </c>
      <c r="AK99">
        <v>2044</v>
      </c>
      <c r="AL99" t="s">
        <v>288</v>
      </c>
      <c r="AM99">
        <v>0.47016666666666668</v>
      </c>
      <c r="AN99" t="s">
        <v>245</v>
      </c>
    </row>
    <row r="100" spans="9:40" x14ac:dyDescent="0.45">
      <c r="I100" t="s">
        <v>182</v>
      </c>
      <c r="J100" t="s">
        <v>299</v>
      </c>
      <c r="K100">
        <v>1.6782781361435687E-2</v>
      </c>
      <c r="L100" t="s">
        <v>164</v>
      </c>
      <c r="N100" t="s">
        <v>210</v>
      </c>
      <c r="O100" t="s">
        <v>299</v>
      </c>
      <c r="P100">
        <v>1.9259638680590312E-2</v>
      </c>
      <c r="Q100" t="s">
        <v>164</v>
      </c>
      <c r="S100" t="s">
        <v>233</v>
      </c>
      <c r="T100" t="s">
        <v>299</v>
      </c>
      <c r="U100">
        <v>2.2391607010633887E-2</v>
      </c>
      <c r="V100" t="s">
        <v>164</v>
      </c>
      <c r="AK100">
        <v>2044</v>
      </c>
      <c r="AL100" t="s">
        <v>290</v>
      </c>
      <c r="AM100">
        <v>0.42283333333333334</v>
      </c>
      <c r="AN100" t="s">
        <v>245</v>
      </c>
    </row>
    <row r="101" spans="9:40" x14ac:dyDescent="0.45">
      <c r="I101" t="s">
        <v>182</v>
      </c>
      <c r="J101" t="s">
        <v>300</v>
      </c>
      <c r="K101">
        <v>0.1977725257704166</v>
      </c>
      <c r="L101" t="s">
        <v>164</v>
      </c>
      <c r="N101" t="s">
        <v>210</v>
      </c>
      <c r="O101" t="s">
        <v>300</v>
      </c>
      <c r="P101">
        <v>0.16556560610081739</v>
      </c>
      <c r="Q101" t="s">
        <v>164</v>
      </c>
      <c r="S101" t="s">
        <v>233</v>
      </c>
      <c r="T101" t="s">
        <v>300</v>
      </c>
      <c r="U101">
        <v>0.17001944343516612</v>
      </c>
      <c r="V101" t="s">
        <v>164</v>
      </c>
      <c r="AK101">
        <v>2044</v>
      </c>
      <c r="AL101" t="s">
        <v>291</v>
      </c>
      <c r="AM101">
        <v>0.47403333333333331</v>
      </c>
      <c r="AN101" t="s">
        <v>245</v>
      </c>
    </row>
    <row r="102" spans="9:40" x14ac:dyDescent="0.45">
      <c r="I102" t="s">
        <v>182</v>
      </c>
      <c r="J102" t="s">
        <v>301</v>
      </c>
      <c r="K102">
        <v>0</v>
      </c>
      <c r="L102" t="s">
        <v>164</v>
      </c>
      <c r="N102" t="s">
        <v>210</v>
      </c>
      <c r="O102" t="s">
        <v>301</v>
      </c>
      <c r="P102">
        <v>0.21067313237461663</v>
      </c>
      <c r="Q102" t="s">
        <v>164</v>
      </c>
      <c r="S102" t="s">
        <v>233</v>
      </c>
      <c r="T102" t="s">
        <v>301</v>
      </c>
      <c r="U102">
        <v>0.21783932911508527</v>
      </c>
      <c r="V102" t="s">
        <v>164</v>
      </c>
      <c r="AK102">
        <v>2044</v>
      </c>
      <c r="AL102" t="s">
        <v>293</v>
      </c>
      <c r="AM102">
        <v>0.44779999999999998</v>
      </c>
      <c r="AN102" t="s">
        <v>245</v>
      </c>
    </row>
    <row r="103" spans="9:40" x14ac:dyDescent="0.45">
      <c r="I103" t="s">
        <v>182</v>
      </c>
      <c r="J103" t="s">
        <v>302</v>
      </c>
      <c r="K103">
        <v>1.4485658243812715E-2</v>
      </c>
      <c r="L103" t="s">
        <v>164</v>
      </c>
      <c r="N103" t="s">
        <v>210</v>
      </c>
      <c r="O103" t="s">
        <v>302</v>
      </c>
      <c r="P103">
        <v>3.5049708148406404E-2</v>
      </c>
      <c r="Q103" t="s">
        <v>164</v>
      </c>
      <c r="S103" t="s">
        <v>233</v>
      </c>
      <c r="T103" t="s">
        <v>302</v>
      </c>
      <c r="U103">
        <v>3.4905675402816534E-2</v>
      </c>
      <c r="V103" t="s">
        <v>164</v>
      </c>
      <c r="AK103">
        <v>2045</v>
      </c>
      <c r="AL103" t="s">
        <v>288</v>
      </c>
      <c r="AM103">
        <v>0.45233333333333331</v>
      </c>
      <c r="AN103" t="s">
        <v>245</v>
      </c>
    </row>
    <row r="104" spans="9:40" x14ac:dyDescent="0.45">
      <c r="I104" t="s">
        <v>182</v>
      </c>
      <c r="J104" t="s">
        <v>303</v>
      </c>
      <c r="K104">
        <v>0.25379977202045118</v>
      </c>
      <c r="L104" t="s">
        <v>164</v>
      </c>
      <c r="N104" t="s">
        <v>210</v>
      </c>
      <c r="O104" t="s">
        <v>303</v>
      </c>
      <c r="P104">
        <v>5.3693658662413699E-2</v>
      </c>
      <c r="Q104" t="s">
        <v>164</v>
      </c>
      <c r="S104" t="s">
        <v>233</v>
      </c>
      <c r="T104" t="s">
        <v>303</v>
      </c>
      <c r="U104">
        <v>6.7480878566027427E-2</v>
      </c>
      <c r="V104" t="s">
        <v>164</v>
      </c>
      <c r="AK104">
        <v>2045</v>
      </c>
      <c r="AL104" t="s">
        <v>290</v>
      </c>
      <c r="AM104">
        <v>0.42699999999999999</v>
      </c>
      <c r="AN104" t="s">
        <v>245</v>
      </c>
    </row>
    <row r="105" spans="9:40" x14ac:dyDescent="0.45">
      <c r="I105" t="s">
        <v>182</v>
      </c>
      <c r="J105" t="s">
        <v>304</v>
      </c>
      <c r="K105">
        <v>0</v>
      </c>
      <c r="L105" t="s">
        <v>164</v>
      </c>
      <c r="N105" t="s">
        <v>210</v>
      </c>
      <c r="O105" t="s">
        <v>304</v>
      </c>
      <c r="P105">
        <v>5.5309734865796011E-2</v>
      </c>
      <c r="Q105" t="s">
        <v>164</v>
      </c>
      <c r="S105" t="s">
        <v>233</v>
      </c>
      <c r="T105" t="s">
        <v>304</v>
      </c>
      <c r="U105">
        <v>0.11416977280841303</v>
      </c>
      <c r="V105" t="s">
        <v>164</v>
      </c>
      <c r="AK105">
        <v>2045</v>
      </c>
      <c r="AL105" t="s">
        <v>291</v>
      </c>
      <c r="AM105">
        <v>0.41923333333333335</v>
      </c>
      <c r="AN105" t="s">
        <v>245</v>
      </c>
    </row>
    <row r="106" spans="9:40" x14ac:dyDescent="0.45">
      <c r="I106" t="s">
        <v>182</v>
      </c>
      <c r="J106" t="s">
        <v>305</v>
      </c>
      <c r="K106">
        <v>2.4281183044918893E-2</v>
      </c>
      <c r="L106" t="s">
        <v>164</v>
      </c>
      <c r="N106" t="s">
        <v>210</v>
      </c>
      <c r="O106" t="s">
        <v>305</v>
      </c>
      <c r="P106">
        <v>8.956088156986626E-3</v>
      </c>
      <c r="Q106" t="s">
        <v>164</v>
      </c>
      <c r="S106" t="s">
        <v>233</v>
      </c>
      <c r="T106" t="s">
        <v>305</v>
      </c>
      <c r="U106">
        <v>2.331697224100698E-2</v>
      </c>
      <c r="V106" t="s">
        <v>164</v>
      </c>
      <c r="AK106">
        <v>2045</v>
      </c>
      <c r="AL106" t="s">
        <v>293</v>
      </c>
      <c r="AM106">
        <v>0.43859999999999993</v>
      </c>
      <c r="AN106" t="s">
        <v>245</v>
      </c>
    </row>
    <row r="107" spans="9:40" x14ac:dyDescent="0.45">
      <c r="I107" t="s">
        <v>183</v>
      </c>
      <c r="J107" t="s">
        <v>294</v>
      </c>
      <c r="K107">
        <v>0.25203055235435218</v>
      </c>
      <c r="L107" t="s">
        <v>164</v>
      </c>
      <c r="N107" t="s">
        <v>211</v>
      </c>
      <c r="O107" t="s">
        <v>294</v>
      </c>
      <c r="P107">
        <v>8.0192306446758163E-2</v>
      </c>
      <c r="Q107" t="s">
        <v>164</v>
      </c>
      <c r="S107" t="s">
        <v>234</v>
      </c>
      <c r="T107" t="s">
        <v>294</v>
      </c>
      <c r="U107">
        <v>6.0406640463339191E-2</v>
      </c>
      <c r="V107" t="s">
        <v>164</v>
      </c>
      <c r="AK107">
        <v>2046</v>
      </c>
      <c r="AL107" t="s">
        <v>288</v>
      </c>
      <c r="AM107">
        <v>0.39363333333333334</v>
      </c>
      <c r="AN107" t="s">
        <v>245</v>
      </c>
    </row>
    <row r="108" spans="9:40" x14ac:dyDescent="0.45">
      <c r="I108" t="s">
        <v>183</v>
      </c>
      <c r="J108" t="s">
        <v>295</v>
      </c>
      <c r="K108">
        <v>0</v>
      </c>
      <c r="L108" t="s">
        <v>164</v>
      </c>
      <c r="N108" t="s">
        <v>211</v>
      </c>
      <c r="O108" t="s">
        <v>295</v>
      </c>
      <c r="P108">
        <v>9.0204863732803703E-2</v>
      </c>
      <c r="Q108" t="s">
        <v>164</v>
      </c>
      <c r="S108" t="s">
        <v>234</v>
      </c>
      <c r="T108" t="s">
        <v>295</v>
      </c>
      <c r="U108">
        <v>9.0280408411646959E-2</v>
      </c>
      <c r="V108" t="s">
        <v>164</v>
      </c>
      <c r="AK108">
        <v>2046</v>
      </c>
      <c r="AL108" t="s">
        <v>290</v>
      </c>
      <c r="AM108">
        <v>0.37769999999999998</v>
      </c>
      <c r="AN108" t="s">
        <v>245</v>
      </c>
    </row>
    <row r="109" spans="9:40" x14ac:dyDescent="0.45">
      <c r="I109" t="s">
        <v>183</v>
      </c>
      <c r="J109" t="s">
        <v>296</v>
      </c>
      <c r="K109">
        <v>1.2842612183751783E-2</v>
      </c>
      <c r="L109" t="s">
        <v>164</v>
      </c>
      <c r="N109" t="s">
        <v>211</v>
      </c>
      <c r="O109" t="s">
        <v>296</v>
      </c>
      <c r="P109">
        <v>1.4445390258157007E-2</v>
      </c>
      <c r="Q109" t="s">
        <v>164</v>
      </c>
      <c r="S109" t="s">
        <v>234</v>
      </c>
      <c r="T109" t="s">
        <v>296</v>
      </c>
      <c r="U109">
        <v>1.9523446387967755E-2</v>
      </c>
      <c r="V109" t="s">
        <v>164</v>
      </c>
      <c r="AK109">
        <v>2046</v>
      </c>
      <c r="AL109" t="s">
        <v>291</v>
      </c>
      <c r="AM109">
        <v>0.39253333333333335</v>
      </c>
      <c r="AN109" t="s">
        <v>245</v>
      </c>
    </row>
    <row r="110" spans="9:40" x14ac:dyDescent="0.45">
      <c r="I110" t="s">
        <v>183</v>
      </c>
      <c r="J110" t="s">
        <v>297</v>
      </c>
      <c r="K110">
        <v>0.23274244705764835</v>
      </c>
      <c r="L110" t="s">
        <v>164</v>
      </c>
      <c r="N110" t="s">
        <v>211</v>
      </c>
      <c r="O110" t="s">
        <v>297</v>
      </c>
      <c r="P110">
        <v>6.9129150410356707E-2</v>
      </c>
      <c r="Q110" t="s">
        <v>164</v>
      </c>
      <c r="S110" t="s">
        <v>234</v>
      </c>
      <c r="T110" t="s">
        <v>297</v>
      </c>
      <c r="U110">
        <v>8.6541806505226124E-2</v>
      </c>
      <c r="V110" t="s">
        <v>164</v>
      </c>
      <c r="AK110">
        <v>2046</v>
      </c>
      <c r="AL110" t="s">
        <v>293</v>
      </c>
      <c r="AM110">
        <v>0.36920000000000003</v>
      </c>
      <c r="AN110" t="s">
        <v>245</v>
      </c>
    </row>
    <row r="111" spans="9:40" x14ac:dyDescent="0.45">
      <c r="I111" t="s">
        <v>183</v>
      </c>
      <c r="J111" t="s">
        <v>298</v>
      </c>
      <c r="K111">
        <v>0</v>
      </c>
      <c r="L111" t="s">
        <v>164</v>
      </c>
      <c r="N111" t="s">
        <v>211</v>
      </c>
      <c r="O111" t="s">
        <v>298</v>
      </c>
      <c r="P111">
        <v>6.6743669593336941E-2</v>
      </c>
      <c r="Q111" t="s">
        <v>164</v>
      </c>
      <c r="S111" t="s">
        <v>234</v>
      </c>
      <c r="T111" t="s">
        <v>298</v>
      </c>
      <c r="U111">
        <v>0.11020584550551492</v>
      </c>
      <c r="V111" t="s">
        <v>164</v>
      </c>
      <c r="AK111">
        <v>2047</v>
      </c>
      <c r="AL111" t="s">
        <v>288</v>
      </c>
      <c r="AM111">
        <v>0.39169999999999999</v>
      </c>
      <c r="AN111" t="s">
        <v>245</v>
      </c>
    </row>
    <row r="112" spans="9:40" x14ac:dyDescent="0.45">
      <c r="I112" t="s">
        <v>183</v>
      </c>
      <c r="J112" t="s">
        <v>299</v>
      </c>
      <c r="K112">
        <v>1.8944803087177903E-2</v>
      </c>
      <c r="L112" t="s">
        <v>164</v>
      </c>
      <c r="N112" t="s">
        <v>211</v>
      </c>
      <c r="O112" t="s">
        <v>299</v>
      </c>
      <c r="P112">
        <v>1.0861488358926851E-2</v>
      </c>
      <c r="Q112" t="s">
        <v>164</v>
      </c>
      <c r="S112" t="s">
        <v>234</v>
      </c>
      <c r="T112" t="s">
        <v>299</v>
      </c>
      <c r="U112">
        <v>2.5025093807996432E-2</v>
      </c>
      <c r="V112" t="s">
        <v>164</v>
      </c>
      <c r="AK112">
        <v>2047</v>
      </c>
      <c r="AL112" t="s">
        <v>290</v>
      </c>
      <c r="AM112">
        <v>0.35773333333333329</v>
      </c>
      <c r="AN112" t="s">
        <v>245</v>
      </c>
    </row>
    <row r="113" spans="9:40" x14ac:dyDescent="0.45">
      <c r="I113" t="s">
        <v>183</v>
      </c>
      <c r="J113" t="s">
        <v>300</v>
      </c>
      <c r="K113">
        <v>0.19525897860361421</v>
      </c>
      <c r="L113" t="s">
        <v>164</v>
      </c>
      <c r="N113" t="s">
        <v>211</v>
      </c>
      <c r="O113" t="s">
        <v>300</v>
      </c>
      <c r="P113">
        <v>0.2399104288687712</v>
      </c>
      <c r="Q113" t="s">
        <v>164</v>
      </c>
      <c r="S113" t="s">
        <v>234</v>
      </c>
      <c r="T113" t="s">
        <v>300</v>
      </c>
      <c r="U113">
        <v>0.16921582576414559</v>
      </c>
      <c r="V113" t="s">
        <v>164</v>
      </c>
      <c r="AK113">
        <v>2047</v>
      </c>
      <c r="AL113" t="s">
        <v>291</v>
      </c>
      <c r="AM113">
        <v>0.39743333333333331</v>
      </c>
      <c r="AN113" t="s">
        <v>245</v>
      </c>
    </row>
    <row r="114" spans="9:40" x14ac:dyDescent="0.45">
      <c r="I114" t="s">
        <v>183</v>
      </c>
      <c r="J114" t="s">
        <v>301</v>
      </c>
      <c r="K114">
        <v>0</v>
      </c>
      <c r="L114" t="s">
        <v>164</v>
      </c>
      <c r="N114" t="s">
        <v>211</v>
      </c>
      <c r="O114" t="s">
        <v>301</v>
      </c>
      <c r="P114">
        <v>0.19387162568208738</v>
      </c>
      <c r="Q114" t="s">
        <v>164</v>
      </c>
      <c r="S114" t="s">
        <v>234</v>
      </c>
      <c r="T114" t="s">
        <v>301</v>
      </c>
      <c r="U114">
        <v>0.2138941785829821</v>
      </c>
      <c r="V114" t="s">
        <v>164</v>
      </c>
      <c r="AK114">
        <v>2047</v>
      </c>
      <c r="AL114" t="s">
        <v>293</v>
      </c>
      <c r="AM114">
        <v>0.37490000000000001</v>
      </c>
      <c r="AN114" t="s">
        <v>245</v>
      </c>
    </row>
    <row r="115" spans="9:40" x14ac:dyDescent="0.45">
      <c r="I115" t="s">
        <v>183</v>
      </c>
      <c r="J115" t="s">
        <v>302</v>
      </c>
      <c r="K115">
        <v>1.4848913865003933E-2</v>
      </c>
      <c r="L115" t="s">
        <v>164</v>
      </c>
      <c r="N115" t="s">
        <v>211</v>
      </c>
      <c r="O115" t="s">
        <v>302</v>
      </c>
      <c r="P115">
        <v>3.2444636461378268E-2</v>
      </c>
      <c r="Q115" t="s">
        <v>164</v>
      </c>
      <c r="S115" t="s">
        <v>234</v>
      </c>
      <c r="T115" t="s">
        <v>302</v>
      </c>
      <c r="U115">
        <v>3.7222403594005672E-2</v>
      </c>
      <c r="V115" t="s">
        <v>164</v>
      </c>
      <c r="AK115">
        <v>2048</v>
      </c>
      <c r="AL115" t="s">
        <v>288</v>
      </c>
      <c r="AM115">
        <v>0.37236666666666668</v>
      </c>
      <c r="AN115" t="s">
        <v>245</v>
      </c>
    </row>
    <row r="116" spans="9:40" x14ac:dyDescent="0.45">
      <c r="I116" t="s">
        <v>183</v>
      </c>
      <c r="J116" t="s">
        <v>303</v>
      </c>
      <c r="K116">
        <v>0.24937832703774776</v>
      </c>
      <c r="L116" t="s">
        <v>164</v>
      </c>
      <c r="N116" t="s">
        <v>211</v>
      </c>
      <c r="O116" t="s">
        <v>303</v>
      </c>
      <c r="P116">
        <v>7.8660689303029246E-2</v>
      </c>
      <c r="Q116" t="s">
        <v>164</v>
      </c>
      <c r="S116" t="s">
        <v>234</v>
      </c>
      <c r="T116" t="s">
        <v>303</v>
      </c>
      <c r="U116">
        <v>5.6323300017799602E-2</v>
      </c>
      <c r="V116" t="s">
        <v>164</v>
      </c>
      <c r="AK116">
        <v>2048</v>
      </c>
      <c r="AL116" t="s">
        <v>290</v>
      </c>
      <c r="AM116">
        <v>0.33603333333333335</v>
      </c>
      <c r="AN116" t="s">
        <v>245</v>
      </c>
    </row>
    <row r="117" spans="9:40" x14ac:dyDescent="0.45">
      <c r="I117" t="s">
        <v>183</v>
      </c>
      <c r="J117" t="s">
        <v>304</v>
      </c>
      <c r="K117">
        <v>0</v>
      </c>
      <c r="L117" t="s">
        <v>164</v>
      </c>
      <c r="N117" t="s">
        <v>211</v>
      </c>
      <c r="O117" t="s">
        <v>304</v>
      </c>
      <c r="P117">
        <v>0.10657597798654214</v>
      </c>
      <c r="Q117" t="s">
        <v>164</v>
      </c>
      <c r="S117" t="s">
        <v>234</v>
      </c>
      <c r="T117" t="s">
        <v>304</v>
      </c>
      <c r="U117">
        <v>0.10540343063723742</v>
      </c>
      <c r="V117" t="s">
        <v>164</v>
      </c>
      <c r="AK117">
        <v>2048</v>
      </c>
      <c r="AL117" t="s">
        <v>291</v>
      </c>
      <c r="AM117">
        <v>0.37706666666666666</v>
      </c>
      <c r="AN117" t="s">
        <v>245</v>
      </c>
    </row>
    <row r="118" spans="9:40" x14ac:dyDescent="0.45">
      <c r="I118" t="s">
        <v>183</v>
      </c>
      <c r="J118" t="s">
        <v>305</v>
      </c>
      <c r="K118">
        <v>2.3953365810702083E-2</v>
      </c>
      <c r="L118" t="s">
        <v>164</v>
      </c>
      <c r="N118" t="s">
        <v>211</v>
      </c>
      <c r="O118" t="s">
        <v>305</v>
      </c>
      <c r="P118">
        <v>1.6959772897855236E-2</v>
      </c>
      <c r="Q118" t="s">
        <v>164</v>
      </c>
      <c r="S118" t="s">
        <v>234</v>
      </c>
      <c r="T118" t="s">
        <v>305</v>
      </c>
      <c r="U118">
        <v>2.5957620322136277E-2</v>
      </c>
      <c r="V118" t="s">
        <v>164</v>
      </c>
      <c r="AK118">
        <v>2048</v>
      </c>
      <c r="AL118" t="s">
        <v>293</v>
      </c>
      <c r="AM118">
        <v>0.40303333333333335</v>
      </c>
      <c r="AN118" t="s">
        <v>245</v>
      </c>
    </row>
    <row r="119" spans="9:40" x14ac:dyDescent="0.45">
      <c r="I119" t="s">
        <v>184</v>
      </c>
      <c r="J119" t="s">
        <v>294</v>
      </c>
      <c r="K119">
        <v>0.24505035811904025</v>
      </c>
      <c r="L119" t="s">
        <v>164</v>
      </c>
      <c r="N119" t="s">
        <v>212</v>
      </c>
      <c r="O119" t="s">
        <v>294</v>
      </c>
      <c r="P119">
        <v>7.6339232769876086E-2</v>
      </c>
      <c r="Q119" t="s">
        <v>164</v>
      </c>
      <c r="S119" t="s">
        <v>235</v>
      </c>
      <c r="T119" t="s">
        <v>294</v>
      </c>
      <c r="U119">
        <v>6.246141929309551E-2</v>
      </c>
      <c r="V119" t="s">
        <v>164</v>
      </c>
      <c r="AK119">
        <v>2049</v>
      </c>
      <c r="AL119" t="s">
        <v>288</v>
      </c>
      <c r="AM119">
        <v>0.34783333333333338</v>
      </c>
      <c r="AN119" t="s">
        <v>245</v>
      </c>
    </row>
    <row r="120" spans="9:40" x14ac:dyDescent="0.45">
      <c r="I120" t="s">
        <v>184</v>
      </c>
      <c r="J120" t="s">
        <v>295</v>
      </c>
      <c r="K120">
        <v>0</v>
      </c>
      <c r="L120" t="s">
        <v>164</v>
      </c>
      <c r="N120" t="s">
        <v>212</v>
      </c>
      <c r="O120" t="s">
        <v>295</v>
      </c>
      <c r="P120">
        <v>0.12290433009538551</v>
      </c>
      <c r="Q120" t="s">
        <v>164</v>
      </c>
      <c r="S120" t="s">
        <v>235</v>
      </c>
      <c r="T120" t="s">
        <v>295</v>
      </c>
      <c r="U120">
        <v>8.659906637238321E-2</v>
      </c>
      <c r="V120" t="s">
        <v>164</v>
      </c>
      <c r="AK120">
        <v>2049</v>
      </c>
      <c r="AL120" t="s">
        <v>290</v>
      </c>
      <c r="AM120">
        <v>0.34769999999999995</v>
      </c>
      <c r="AN120" t="s">
        <v>245</v>
      </c>
    </row>
    <row r="121" spans="9:40" x14ac:dyDescent="0.45">
      <c r="I121" t="s">
        <v>184</v>
      </c>
      <c r="J121" t="s">
        <v>296</v>
      </c>
      <c r="K121">
        <v>1.1487832729592862E-2</v>
      </c>
      <c r="L121" t="s">
        <v>164</v>
      </c>
      <c r="N121" t="s">
        <v>212</v>
      </c>
      <c r="O121" t="s">
        <v>296</v>
      </c>
      <c r="P121">
        <v>1.5447001001142173E-2</v>
      </c>
      <c r="Q121" t="s">
        <v>164</v>
      </c>
      <c r="S121" t="s">
        <v>235</v>
      </c>
      <c r="T121" t="s">
        <v>296</v>
      </c>
      <c r="U121">
        <v>1.7871852776546845E-2</v>
      </c>
      <c r="V121" t="s">
        <v>164</v>
      </c>
      <c r="AK121">
        <v>2049</v>
      </c>
      <c r="AL121" t="s">
        <v>291</v>
      </c>
      <c r="AM121">
        <v>0.39126666666666665</v>
      </c>
      <c r="AN121" t="s">
        <v>245</v>
      </c>
    </row>
    <row r="122" spans="9:40" x14ac:dyDescent="0.45">
      <c r="I122" t="s">
        <v>184</v>
      </c>
      <c r="J122" t="s">
        <v>297</v>
      </c>
      <c r="K122">
        <v>0.22817306096496795</v>
      </c>
      <c r="L122" t="s">
        <v>164</v>
      </c>
      <c r="N122" t="s">
        <v>212</v>
      </c>
      <c r="O122" t="s">
        <v>297</v>
      </c>
      <c r="P122">
        <v>6.3313396255981341E-2</v>
      </c>
      <c r="Q122" t="s">
        <v>164</v>
      </c>
      <c r="S122" t="s">
        <v>235</v>
      </c>
      <c r="T122" t="s">
        <v>297</v>
      </c>
      <c r="U122">
        <v>7.2854131335586686E-2</v>
      </c>
      <c r="V122" t="s">
        <v>164</v>
      </c>
      <c r="AK122">
        <v>2049</v>
      </c>
      <c r="AL122" t="s">
        <v>293</v>
      </c>
      <c r="AM122">
        <v>0.38616666666666671</v>
      </c>
      <c r="AN122" t="s">
        <v>245</v>
      </c>
    </row>
    <row r="123" spans="9:40" x14ac:dyDescent="0.45">
      <c r="I123" t="s">
        <v>184</v>
      </c>
      <c r="J123" t="s">
        <v>298</v>
      </c>
      <c r="K123">
        <v>0</v>
      </c>
      <c r="L123" t="s">
        <v>164</v>
      </c>
      <c r="N123" t="s">
        <v>212</v>
      </c>
      <c r="O123" t="s">
        <v>298</v>
      </c>
      <c r="P123">
        <v>9.6564719245280678E-2</v>
      </c>
      <c r="Q123" t="s">
        <v>164</v>
      </c>
      <c r="S123" t="s">
        <v>235</v>
      </c>
      <c r="T123" t="s">
        <v>298</v>
      </c>
      <c r="U123">
        <v>9.6424548436258986E-2</v>
      </c>
      <c r="V123" t="s">
        <v>164</v>
      </c>
      <c r="AK123">
        <v>2050</v>
      </c>
      <c r="AL123" t="s">
        <v>288</v>
      </c>
      <c r="AM123">
        <v>0.38723333333333332</v>
      </c>
      <c r="AN123" t="s">
        <v>245</v>
      </c>
    </row>
    <row r="124" spans="9:40" x14ac:dyDescent="0.45">
      <c r="I124" t="s">
        <v>184</v>
      </c>
      <c r="J124" t="s">
        <v>299</v>
      </c>
      <c r="K124">
        <v>1.8300902987423175E-2</v>
      </c>
      <c r="L124" t="s">
        <v>164</v>
      </c>
      <c r="N124" t="s">
        <v>212</v>
      </c>
      <c r="O124" t="s">
        <v>299</v>
      </c>
      <c r="P124">
        <v>1.1274379866960874E-2</v>
      </c>
      <c r="Q124" t="s">
        <v>164</v>
      </c>
      <c r="S124" t="s">
        <v>235</v>
      </c>
      <c r="T124" t="s">
        <v>299</v>
      </c>
      <c r="U124">
        <v>2.0552203837349983E-2</v>
      </c>
      <c r="V124" t="s">
        <v>164</v>
      </c>
      <c r="AK124">
        <v>2050</v>
      </c>
      <c r="AL124" t="s">
        <v>290</v>
      </c>
      <c r="AM124">
        <v>0.34686666666666666</v>
      </c>
      <c r="AN124" t="s">
        <v>245</v>
      </c>
    </row>
    <row r="125" spans="9:40" x14ac:dyDescent="0.45">
      <c r="I125" t="s">
        <v>184</v>
      </c>
      <c r="J125" t="s">
        <v>300</v>
      </c>
      <c r="K125">
        <v>0.19681229073919074</v>
      </c>
      <c r="L125" t="s">
        <v>164</v>
      </c>
      <c r="N125" t="s">
        <v>212</v>
      </c>
      <c r="O125" t="s">
        <v>300</v>
      </c>
      <c r="P125">
        <v>0.20664988258343131</v>
      </c>
      <c r="Q125" t="s">
        <v>164</v>
      </c>
      <c r="S125" t="s">
        <v>235</v>
      </c>
      <c r="T125" t="s">
        <v>300</v>
      </c>
      <c r="U125">
        <v>0.17038536253216169</v>
      </c>
      <c r="V125" t="s">
        <v>164</v>
      </c>
      <c r="AK125">
        <v>2050</v>
      </c>
      <c r="AL125" t="s">
        <v>291</v>
      </c>
      <c r="AM125">
        <v>0.39366666666666666</v>
      </c>
      <c r="AN125" t="s">
        <v>245</v>
      </c>
    </row>
    <row r="126" spans="9:40" x14ac:dyDescent="0.45">
      <c r="I126" t="s">
        <v>184</v>
      </c>
      <c r="J126" t="s">
        <v>301</v>
      </c>
      <c r="K126">
        <v>0</v>
      </c>
      <c r="L126" t="s">
        <v>164</v>
      </c>
      <c r="N126" t="s">
        <v>212</v>
      </c>
      <c r="O126" t="s">
        <v>301</v>
      </c>
      <c r="P126">
        <v>0.2081961732625483</v>
      </c>
      <c r="Q126" t="s">
        <v>164</v>
      </c>
      <c r="S126" t="s">
        <v>235</v>
      </c>
      <c r="T126" t="s">
        <v>301</v>
      </c>
      <c r="U126">
        <v>0.2095707235253369</v>
      </c>
      <c r="V126" t="s">
        <v>164</v>
      </c>
      <c r="AK126">
        <v>2050</v>
      </c>
      <c r="AL126" t="s">
        <v>293</v>
      </c>
      <c r="AM126">
        <v>0.38650000000000001</v>
      </c>
      <c r="AN126" t="s">
        <v>245</v>
      </c>
    </row>
    <row r="127" spans="9:40" x14ac:dyDescent="0.45">
      <c r="I127" t="s">
        <v>184</v>
      </c>
      <c r="J127" t="s">
        <v>302</v>
      </c>
      <c r="K127">
        <v>1.0949057827147392E-2</v>
      </c>
      <c r="L127" t="s">
        <v>164</v>
      </c>
      <c r="N127" t="s">
        <v>212</v>
      </c>
      <c r="O127" t="s">
        <v>302</v>
      </c>
      <c r="P127">
        <v>3.1462087677508889E-2</v>
      </c>
      <c r="Q127" t="s">
        <v>164</v>
      </c>
      <c r="S127" t="s">
        <v>235</v>
      </c>
      <c r="T127" t="s">
        <v>302</v>
      </c>
      <c r="U127">
        <v>3.5698665124030513E-2</v>
      </c>
      <c r="V127" t="s">
        <v>164</v>
      </c>
    </row>
    <row r="128" spans="9:40" x14ac:dyDescent="0.45">
      <c r="I128" t="s">
        <v>184</v>
      </c>
      <c r="J128" t="s">
        <v>303</v>
      </c>
      <c r="K128">
        <v>0.26381629682559465</v>
      </c>
      <c r="L128" t="s">
        <v>164</v>
      </c>
      <c r="N128" t="s">
        <v>212</v>
      </c>
      <c r="O128" t="s">
        <v>303</v>
      </c>
      <c r="P128">
        <v>5.1016730451719651E-2</v>
      </c>
      <c r="Q128" t="s">
        <v>164</v>
      </c>
      <c r="S128" t="s">
        <v>235</v>
      </c>
      <c r="T128" t="s">
        <v>303</v>
      </c>
      <c r="U128">
        <v>8.1601776975748261E-2</v>
      </c>
      <c r="V128" t="s">
        <v>164</v>
      </c>
    </row>
    <row r="129" spans="9:22" x14ac:dyDescent="0.45">
      <c r="I129" t="s">
        <v>184</v>
      </c>
      <c r="J129" t="s">
        <v>304</v>
      </c>
      <c r="K129">
        <v>0</v>
      </c>
      <c r="L129" t="s">
        <v>164</v>
      </c>
      <c r="N129" t="s">
        <v>212</v>
      </c>
      <c r="O129" t="s">
        <v>304</v>
      </c>
      <c r="P129">
        <v>0.10871975299876974</v>
      </c>
      <c r="Q129" t="s">
        <v>164</v>
      </c>
      <c r="S129" t="s">
        <v>235</v>
      </c>
      <c r="T129" t="s">
        <v>304</v>
      </c>
      <c r="U129">
        <v>0.11862648745511457</v>
      </c>
      <c r="V129" t="s">
        <v>164</v>
      </c>
    </row>
    <row r="130" spans="9:22" x14ac:dyDescent="0.45">
      <c r="I130" t="s">
        <v>184</v>
      </c>
      <c r="J130" t="s">
        <v>305</v>
      </c>
      <c r="K130">
        <v>2.5410199807044266E-2</v>
      </c>
      <c r="L130" t="s">
        <v>164</v>
      </c>
      <c r="N130" t="s">
        <v>212</v>
      </c>
      <c r="O130" t="s">
        <v>305</v>
      </c>
      <c r="P130">
        <v>8.1123137913983907E-3</v>
      </c>
      <c r="Q130" t="s">
        <v>164</v>
      </c>
      <c r="S130" t="s">
        <v>235</v>
      </c>
      <c r="T130" t="s">
        <v>305</v>
      </c>
      <c r="U130">
        <v>2.735376233638559E-2</v>
      </c>
      <c r="V130" t="s">
        <v>164</v>
      </c>
    </row>
    <row r="131" spans="9:22" x14ac:dyDescent="0.45">
      <c r="I131" t="s">
        <v>185</v>
      </c>
      <c r="J131" t="s">
        <v>294</v>
      </c>
      <c r="K131">
        <v>0.25841353264130218</v>
      </c>
      <c r="L131" t="s">
        <v>164</v>
      </c>
      <c r="N131" t="s">
        <v>213</v>
      </c>
      <c r="O131" t="s">
        <v>294</v>
      </c>
      <c r="P131">
        <v>0.10575891056711327</v>
      </c>
      <c r="Q131" t="s">
        <v>164</v>
      </c>
    </row>
    <row r="132" spans="9:22" x14ac:dyDescent="0.45">
      <c r="I132" t="s">
        <v>185</v>
      </c>
      <c r="J132" t="s">
        <v>295</v>
      </c>
      <c r="K132">
        <v>0</v>
      </c>
      <c r="L132" t="s">
        <v>164</v>
      </c>
      <c r="N132" t="s">
        <v>213</v>
      </c>
      <c r="O132" t="s">
        <v>295</v>
      </c>
      <c r="P132">
        <v>0.11459022253491638</v>
      </c>
      <c r="Q132" t="s">
        <v>164</v>
      </c>
    </row>
    <row r="133" spans="9:22" x14ac:dyDescent="0.45">
      <c r="I133" t="s">
        <v>185</v>
      </c>
      <c r="J133" t="s">
        <v>296</v>
      </c>
      <c r="K133">
        <v>1.3206072216360176E-2</v>
      </c>
      <c r="L133" t="s">
        <v>164</v>
      </c>
      <c r="N133" t="s">
        <v>213</v>
      </c>
      <c r="O133" t="s">
        <v>296</v>
      </c>
      <c r="P133">
        <v>2.1700584915803157E-2</v>
      </c>
      <c r="Q133" t="s">
        <v>164</v>
      </c>
    </row>
    <row r="134" spans="9:22" x14ac:dyDescent="0.45">
      <c r="I134" t="s">
        <v>185</v>
      </c>
      <c r="J134" t="s">
        <v>297</v>
      </c>
      <c r="K134">
        <v>0.22301498606301368</v>
      </c>
      <c r="L134" t="s">
        <v>164</v>
      </c>
      <c r="N134" t="s">
        <v>213</v>
      </c>
      <c r="O134" t="s">
        <v>297</v>
      </c>
      <c r="P134">
        <v>9.3775154669832619E-2</v>
      </c>
      <c r="Q134" t="s">
        <v>164</v>
      </c>
    </row>
    <row r="135" spans="9:22" x14ac:dyDescent="0.45">
      <c r="I135" t="s">
        <v>185</v>
      </c>
      <c r="J135" t="s">
        <v>298</v>
      </c>
      <c r="K135">
        <v>0</v>
      </c>
      <c r="L135" t="s">
        <v>164</v>
      </c>
      <c r="N135" t="s">
        <v>213</v>
      </c>
      <c r="O135" t="s">
        <v>298</v>
      </c>
      <c r="P135">
        <v>9.476052077485328E-2</v>
      </c>
      <c r="Q135" t="s">
        <v>164</v>
      </c>
    </row>
    <row r="136" spans="9:22" x14ac:dyDescent="0.45">
      <c r="I136" t="s">
        <v>185</v>
      </c>
      <c r="J136" t="s">
        <v>299</v>
      </c>
      <c r="K136">
        <v>1.6625977783501569E-2</v>
      </c>
      <c r="L136" t="s">
        <v>164</v>
      </c>
      <c r="N136" t="s">
        <v>213</v>
      </c>
      <c r="O136" t="s">
        <v>299</v>
      </c>
      <c r="P136">
        <v>1.7425733493065681E-2</v>
      </c>
      <c r="Q136" t="s">
        <v>164</v>
      </c>
    </row>
    <row r="137" spans="9:22" x14ac:dyDescent="0.45">
      <c r="I137" t="s">
        <v>185</v>
      </c>
      <c r="J137" t="s">
        <v>300</v>
      </c>
      <c r="K137">
        <v>0.20283651000791053</v>
      </c>
      <c r="L137" t="s">
        <v>164</v>
      </c>
      <c r="N137" t="s">
        <v>213</v>
      </c>
      <c r="O137" t="s">
        <v>300</v>
      </c>
      <c r="P137">
        <v>0.1466266759070104</v>
      </c>
      <c r="Q137" t="s">
        <v>164</v>
      </c>
    </row>
    <row r="138" spans="9:22" x14ac:dyDescent="0.45">
      <c r="I138" t="s">
        <v>185</v>
      </c>
      <c r="J138" t="s">
        <v>301</v>
      </c>
      <c r="K138">
        <v>0</v>
      </c>
      <c r="L138" t="s">
        <v>164</v>
      </c>
      <c r="N138" t="s">
        <v>213</v>
      </c>
      <c r="O138" t="s">
        <v>301</v>
      </c>
      <c r="P138">
        <v>0.18164041848178619</v>
      </c>
      <c r="Q138" t="s">
        <v>164</v>
      </c>
    </row>
    <row r="139" spans="9:22" x14ac:dyDescent="0.45">
      <c r="I139" t="s">
        <v>185</v>
      </c>
      <c r="J139" t="s">
        <v>302</v>
      </c>
      <c r="K139">
        <v>1.6543274677231923E-2</v>
      </c>
      <c r="L139" t="s">
        <v>164</v>
      </c>
      <c r="N139" t="s">
        <v>213</v>
      </c>
      <c r="O139" t="s">
        <v>302</v>
      </c>
      <c r="P139">
        <v>2.6391856216121244E-2</v>
      </c>
      <c r="Q139" t="s">
        <v>164</v>
      </c>
    </row>
    <row r="140" spans="9:22" x14ac:dyDescent="0.45">
      <c r="I140" t="s">
        <v>185</v>
      </c>
      <c r="J140" t="s">
        <v>303</v>
      </c>
      <c r="K140">
        <v>0.24695398756812867</v>
      </c>
      <c r="L140" t="s">
        <v>164</v>
      </c>
      <c r="N140" t="s">
        <v>213</v>
      </c>
      <c r="O140" t="s">
        <v>303</v>
      </c>
      <c r="P140">
        <v>8.4940217013501199E-2</v>
      </c>
      <c r="Q140" t="s">
        <v>164</v>
      </c>
    </row>
    <row r="141" spans="9:22" x14ac:dyDescent="0.45">
      <c r="I141" t="s">
        <v>185</v>
      </c>
      <c r="J141" t="s">
        <v>304</v>
      </c>
      <c r="K141">
        <v>0</v>
      </c>
      <c r="L141" t="s">
        <v>164</v>
      </c>
      <c r="N141" t="s">
        <v>213</v>
      </c>
      <c r="O141" t="s">
        <v>304</v>
      </c>
      <c r="P141">
        <v>9.443546226941775E-2</v>
      </c>
      <c r="Q141" t="s">
        <v>164</v>
      </c>
    </row>
    <row r="142" spans="9:22" x14ac:dyDescent="0.45">
      <c r="I142" t="s">
        <v>185</v>
      </c>
      <c r="J142" t="s">
        <v>305</v>
      </c>
      <c r="K142">
        <v>2.2405659042549157E-2</v>
      </c>
      <c r="L142" t="s">
        <v>164</v>
      </c>
      <c r="N142" t="s">
        <v>213</v>
      </c>
      <c r="O142" t="s">
        <v>305</v>
      </c>
      <c r="P142">
        <v>1.7954243156580615E-2</v>
      </c>
      <c r="Q142" t="s">
        <v>164</v>
      </c>
    </row>
    <row r="143" spans="9:22" x14ac:dyDescent="0.45">
      <c r="I143" t="s">
        <v>186</v>
      </c>
      <c r="J143" t="s">
        <v>294</v>
      </c>
      <c r="K143">
        <v>0.24633859134513453</v>
      </c>
      <c r="L143" t="s">
        <v>164</v>
      </c>
      <c r="N143" t="s">
        <v>214</v>
      </c>
      <c r="O143" t="s">
        <v>294</v>
      </c>
      <c r="P143">
        <v>0.10161009351035734</v>
      </c>
      <c r="Q143" t="s">
        <v>164</v>
      </c>
    </row>
    <row r="144" spans="9:22" x14ac:dyDescent="0.45">
      <c r="I144" t="s">
        <v>186</v>
      </c>
      <c r="J144" t="s">
        <v>295</v>
      </c>
      <c r="K144">
        <v>0</v>
      </c>
      <c r="L144" t="s">
        <v>164</v>
      </c>
      <c r="N144" t="s">
        <v>214</v>
      </c>
      <c r="O144" t="s">
        <v>295</v>
      </c>
      <c r="P144">
        <v>0.16493753577884668</v>
      </c>
      <c r="Q144" t="s">
        <v>164</v>
      </c>
    </row>
    <row r="145" spans="9:17" x14ac:dyDescent="0.45">
      <c r="I145" t="s">
        <v>186</v>
      </c>
      <c r="J145" t="s">
        <v>296</v>
      </c>
      <c r="K145">
        <v>1.3042284963096944E-2</v>
      </c>
      <c r="L145" t="s">
        <v>164</v>
      </c>
      <c r="N145" t="s">
        <v>214</v>
      </c>
      <c r="O145" t="s">
        <v>296</v>
      </c>
      <c r="P145">
        <v>1.7008296124962383E-2</v>
      </c>
      <c r="Q145" t="s">
        <v>164</v>
      </c>
    </row>
    <row r="146" spans="9:17" x14ac:dyDescent="0.45">
      <c r="I146" t="s">
        <v>186</v>
      </c>
      <c r="J146" t="s">
        <v>297</v>
      </c>
      <c r="K146">
        <v>0.22233914965160753</v>
      </c>
      <c r="L146" t="s">
        <v>164</v>
      </c>
      <c r="N146" t="s">
        <v>214</v>
      </c>
      <c r="O146" t="s">
        <v>297</v>
      </c>
      <c r="P146">
        <v>8.287646467970404E-2</v>
      </c>
      <c r="Q146" t="s">
        <v>164</v>
      </c>
    </row>
    <row r="147" spans="9:17" x14ac:dyDescent="0.45">
      <c r="I147" t="s">
        <v>186</v>
      </c>
      <c r="J147" t="s">
        <v>298</v>
      </c>
      <c r="K147">
        <v>0</v>
      </c>
      <c r="L147" t="s">
        <v>164</v>
      </c>
      <c r="N147" t="s">
        <v>214</v>
      </c>
      <c r="O147" t="s">
        <v>298</v>
      </c>
      <c r="P147">
        <v>0.14160209835541207</v>
      </c>
      <c r="Q147" t="s">
        <v>164</v>
      </c>
    </row>
    <row r="148" spans="9:17" x14ac:dyDescent="0.45">
      <c r="I148" t="s">
        <v>186</v>
      </c>
      <c r="J148" t="s">
        <v>299</v>
      </c>
      <c r="K148">
        <v>1.6918109591178933E-2</v>
      </c>
      <c r="L148" t="s">
        <v>164</v>
      </c>
      <c r="N148" t="s">
        <v>214</v>
      </c>
      <c r="O148" t="s">
        <v>299</v>
      </c>
      <c r="P148">
        <v>1.2850314056938605E-2</v>
      </c>
      <c r="Q148" t="s">
        <v>164</v>
      </c>
    </row>
    <row r="149" spans="9:17" x14ac:dyDescent="0.45">
      <c r="I149" t="s">
        <v>186</v>
      </c>
      <c r="J149" t="s">
        <v>300</v>
      </c>
      <c r="K149">
        <v>0.20689622944630359</v>
      </c>
      <c r="L149" t="s">
        <v>164</v>
      </c>
      <c r="N149" t="s">
        <v>214</v>
      </c>
      <c r="O149" t="s">
        <v>300</v>
      </c>
      <c r="P149">
        <v>9.0119763435313888E-2</v>
      </c>
      <c r="Q149" t="s">
        <v>164</v>
      </c>
    </row>
    <row r="150" spans="9:17" x14ac:dyDescent="0.45">
      <c r="I150" t="s">
        <v>186</v>
      </c>
      <c r="J150" t="s">
        <v>301</v>
      </c>
      <c r="K150">
        <v>0</v>
      </c>
      <c r="L150" t="s">
        <v>164</v>
      </c>
      <c r="N150" t="s">
        <v>214</v>
      </c>
      <c r="O150" t="s">
        <v>301</v>
      </c>
      <c r="P150">
        <v>0.15978654417981794</v>
      </c>
      <c r="Q150" t="s">
        <v>164</v>
      </c>
    </row>
    <row r="151" spans="9:17" x14ac:dyDescent="0.45">
      <c r="I151" t="s">
        <v>186</v>
      </c>
      <c r="J151" t="s">
        <v>302</v>
      </c>
      <c r="K151">
        <v>1.6337632589301904E-2</v>
      </c>
      <c r="L151" t="s">
        <v>164</v>
      </c>
      <c r="N151" t="s">
        <v>214</v>
      </c>
      <c r="O151" t="s">
        <v>302</v>
      </c>
      <c r="P151">
        <v>7.1820536638839477E-3</v>
      </c>
      <c r="Q151" t="s">
        <v>164</v>
      </c>
    </row>
    <row r="152" spans="9:17" x14ac:dyDescent="0.45">
      <c r="I152" t="s">
        <v>186</v>
      </c>
      <c r="J152" t="s">
        <v>303</v>
      </c>
      <c r="K152">
        <v>0.25332731675373132</v>
      </c>
      <c r="L152" t="s">
        <v>164</v>
      </c>
      <c r="N152" t="s">
        <v>214</v>
      </c>
      <c r="O152" t="s">
        <v>303</v>
      </c>
      <c r="P152">
        <v>9.0584322984342117E-2</v>
      </c>
      <c r="Q152" t="s">
        <v>164</v>
      </c>
    </row>
    <row r="153" spans="9:17" x14ac:dyDescent="0.45">
      <c r="I153" t="s">
        <v>186</v>
      </c>
      <c r="J153" t="s">
        <v>304</v>
      </c>
      <c r="K153">
        <v>0</v>
      </c>
      <c r="L153" t="s">
        <v>164</v>
      </c>
      <c r="N153" t="s">
        <v>214</v>
      </c>
      <c r="O153" t="s">
        <v>304</v>
      </c>
      <c r="P153">
        <v>0.11379438365540566</v>
      </c>
      <c r="Q153" t="s">
        <v>164</v>
      </c>
    </row>
    <row r="154" spans="9:17" x14ac:dyDescent="0.45">
      <c r="I154" t="s">
        <v>186</v>
      </c>
      <c r="J154" t="s">
        <v>305</v>
      </c>
      <c r="K154">
        <v>2.4800685659645424E-2</v>
      </c>
      <c r="L154" t="s">
        <v>164</v>
      </c>
      <c r="N154" t="s">
        <v>214</v>
      </c>
      <c r="O154" t="s">
        <v>305</v>
      </c>
      <c r="P154">
        <v>1.7648129575014302E-2</v>
      </c>
      <c r="Q154" t="s">
        <v>164</v>
      </c>
    </row>
    <row r="155" spans="9:17" x14ac:dyDescent="0.45">
      <c r="I155" t="s">
        <v>187</v>
      </c>
      <c r="J155" t="s">
        <v>294</v>
      </c>
      <c r="K155">
        <v>0.24633407225437362</v>
      </c>
      <c r="L155" t="s">
        <v>164</v>
      </c>
      <c r="N155" t="s">
        <v>215</v>
      </c>
      <c r="O155" t="s">
        <v>294</v>
      </c>
      <c r="P155">
        <v>0.11141341321764341</v>
      </c>
      <c r="Q155" t="s">
        <v>164</v>
      </c>
    </row>
    <row r="156" spans="9:17" x14ac:dyDescent="0.45">
      <c r="I156" t="s">
        <v>187</v>
      </c>
      <c r="J156" t="s">
        <v>295</v>
      </c>
      <c r="K156">
        <v>0</v>
      </c>
      <c r="L156" t="s">
        <v>164</v>
      </c>
      <c r="N156" t="s">
        <v>215</v>
      </c>
      <c r="O156" t="s">
        <v>295</v>
      </c>
      <c r="P156">
        <v>0.1270247044269989</v>
      </c>
      <c r="Q156" t="s">
        <v>164</v>
      </c>
    </row>
    <row r="157" spans="9:17" x14ac:dyDescent="0.45">
      <c r="I157" t="s">
        <v>187</v>
      </c>
      <c r="J157" t="s">
        <v>296</v>
      </c>
      <c r="K157">
        <v>1.325880001946758E-2</v>
      </c>
      <c r="L157" t="s">
        <v>164</v>
      </c>
      <c r="N157" t="s">
        <v>215</v>
      </c>
      <c r="O157" t="s">
        <v>296</v>
      </c>
      <c r="P157">
        <v>2.0054590498386139E-2</v>
      </c>
      <c r="Q157" t="s">
        <v>164</v>
      </c>
    </row>
    <row r="158" spans="9:17" x14ac:dyDescent="0.45">
      <c r="I158" t="s">
        <v>187</v>
      </c>
      <c r="J158" t="s">
        <v>297</v>
      </c>
      <c r="K158">
        <v>0.22002253127512494</v>
      </c>
      <c r="L158" t="s">
        <v>164</v>
      </c>
      <c r="N158" t="s">
        <v>215</v>
      </c>
      <c r="O158" t="s">
        <v>297</v>
      </c>
      <c r="P158">
        <v>0.1055763165262841</v>
      </c>
      <c r="Q158" t="s">
        <v>164</v>
      </c>
    </row>
    <row r="159" spans="9:17" x14ac:dyDescent="0.45">
      <c r="I159" t="s">
        <v>187</v>
      </c>
      <c r="J159" t="s">
        <v>298</v>
      </c>
      <c r="K159">
        <v>0</v>
      </c>
      <c r="L159" t="s">
        <v>164</v>
      </c>
      <c r="N159" t="s">
        <v>215</v>
      </c>
      <c r="O159" t="s">
        <v>298</v>
      </c>
      <c r="P159">
        <v>0.11710862709056692</v>
      </c>
      <c r="Q159" t="s">
        <v>164</v>
      </c>
    </row>
    <row r="160" spans="9:17" x14ac:dyDescent="0.45">
      <c r="I160" t="s">
        <v>187</v>
      </c>
      <c r="J160" t="s">
        <v>299</v>
      </c>
      <c r="K160">
        <v>1.5534497746470774E-2</v>
      </c>
      <c r="L160" t="s">
        <v>164</v>
      </c>
      <c r="N160" t="s">
        <v>215</v>
      </c>
      <c r="O160" t="s">
        <v>299</v>
      </c>
      <c r="P160">
        <v>1.7404471149236867E-2</v>
      </c>
      <c r="Q160" t="s">
        <v>164</v>
      </c>
    </row>
    <row r="161" spans="9:17" x14ac:dyDescent="0.45">
      <c r="I161" t="s">
        <v>187</v>
      </c>
      <c r="J161" t="s">
        <v>300</v>
      </c>
      <c r="K161">
        <v>0.1843346493801056</v>
      </c>
      <c r="L161" t="s">
        <v>164</v>
      </c>
      <c r="N161" t="s">
        <v>215</v>
      </c>
      <c r="O161" t="s">
        <v>300</v>
      </c>
      <c r="P161">
        <v>0.12082257583186481</v>
      </c>
      <c r="Q161" t="s">
        <v>164</v>
      </c>
    </row>
    <row r="162" spans="9:17" x14ac:dyDescent="0.45">
      <c r="I162" t="s">
        <v>187</v>
      </c>
      <c r="J162" t="s">
        <v>301</v>
      </c>
      <c r="K162">
        <v>0</v>
      </c>
      <c r="L162" t="s">
        <v>164</v>
      </c>
      <c r="N162" t="s">
        <v>215</v>
      </c>
      <c r="O162" t="s">
        <v>301</v>
      </c>
      <c r="P162">
        <v>0.1600537800057128</v>
      </c>
      <c r="Q162" t="s">
        <v>164</v>
      </c>
    </row>
    <row r="163" spans="9:17" x14ac:dyDescent="0.45">
      <c r="I163" t="s">
        <v>187</v>
      </c>
      <c r="J163" t="s">
        <v>302</v>
      </c>
      <c r="K163">
        <v>7.8256003413845442E-3</v>
      </c>
      <c r="L163" t="s">
        <v>164</v>
      </c>
      <c r="N163" t="s">
        <v>215</v>
      </c>
      <c r="O163" t="s">
        <v>302</v>
      </c>
      <c r="P163">
        <v>1.7381442861573324E-2</v>
      </c>
      <c r="Q163" t="s">
        <v>164</v>
      </c>
    </row>
    <row r="164" spans="9:17" x14ac:dyDescent="0.45">
      <c r="I164" t="s">
        <v>187</v>
      </c>
      <c r="J164" t="s">
        <v>303</v>
      </c>
      <c r="K164">
        <v>0.29016536091550538</v>
      </c>
      <c r="L164" t="s">
        <v>164</v>
      </c>
      <c r="N164" t="s">
        <v>215</v>
      </c>
      <c r="O164" t="s">
        <v>303</v>
      </c>
      <c r="P164">
        <v>8.8439932782755359E-2</v>
      </c>
      <c r="Q164" t="s">
        <v>164</v>
      </c>
    </row>
    <row r="165" spans="9:17" x14ac:dyDescent="0.45">
      <c r="I165" t="s">
        <v>187</v>
      </c>
      <c r="J165" t="s">
        <v>304</v>
      </c>
      <c r="K165">
        <v>0</v>
      </c>
      <c r="L165" t="s">
        <v>164</v>
      </c>
      <c r="N165" t="s">
        <v>215</v>
      </c>
      <c r="O165" t="s">
        <v>304</v>
      </c>
      <c r="P165">
        <v>9.9097735152205171E-2</v>
      </c>
      <c r="Q165" t="s">
        <v>164</v>
      </c>
    </row>
    <row r="166" spans="9:17" x14ac:dyDescent="0.45">
      <c r="I166" t="s">
        <v>187</v>
      </c>
      <c r="J166" t="s">
        <v>305</v>
      </c>
      <c r="K166">
        <v>2.2524488067566441E-2</v>
      </c>
      <c r="L166" t="s">
        <v>164</v>
      </c>
      <c r="N166" t="s">
        <v>215</v>
      </c>
      <c r="O166" t="s">
        <v>305</v>
      </c>
      <c r="P166">
        <v>1.5622410456775135E-2</v>
      </c>
      <c r="Q166" t="s">
        <v>164</v>
      </c>
    </row>
    <row r="167" spans="9:17" x14ac:dyDescent="0.45">
      <c r="I167" t="s">
        <v>188</v>
      </c>
      <c r="J167" t="s">
        <v>294</v>
      </c>
      <c r="K167">
        <v>0.24391442038110506</v>
      </c>
      <c r="L167" t="s">
        <v>164</v>
      </c>
      <c r="N167" t="s">
        <v>216</v>
      </c>
      <c r="O167" t="s">
        <v>294</v>
      </c>
      <c r="P167">
        <v>0.12521810231195243</v>
      </c>
      <c r="Q167" t="s">
        <v>164</v>
      </c>
    </row>
    <row r="168" spans="9:17" x14ac:dyDescent="0.45">
      <c r="I168" t="s">
        <v>188</v>
      </c>
      <c r="J168" t="s">
        <v>295</v>
      </c>
      <c r="K168">
        <v>0</v>
      </c>
      <c r="L168" t="s">
        <v>164</v>
      </c>
      <c r="N168" t="s">
        <v>216</v>
      </c>
      <c r="O168" t="s">
        <v>295</v>
      </c>
      <c r="P168">
        <v>0.16145980407690302</v>
      </c>
      <c r="Q168" t="s">
        <v>164</v>
      </c>
    </row>
    <row r="169" spans="9:17" x14ac:dyDescent="0.45">
      <c r="I169" t="s">
        <v>188</v>
      </c>
      <c r="J169" t="s">
        <v>296</v>
      </c>
      <c r="K169">
        <v>1.3221917883244306E-2</v>
      </c>
      <c r="L169" t="s">
        <v>164</v>
      </c>
      <c r="N169" t="s">
        <v>216</v>
      </c>
      <c r="O169" t="s">
        <v>296</v>
      </c>
      <c r="P169">
        <v>2.4595128889466283E-2</v>
      </c>
      <c r="Q169" t="s">
        <v>164</v>
      </c>
    </row>
    <row r="170" spans="9:17" x14ac:dyDescent="0.45">
      <c r="I170" t="s">
        <v>188</v>
      </c>
      <c r="J170" t="s">
        <v>297</v>
      </c>
      <c r="K170">
        <v>0.22641386586166939</v>
      </c>
      <c r="L170" t="s">
        <v>164</v>
      </c>
      <c r="N170" t="s">
        <v>216</v>
      </c>
      <c r="O170" t="s">
        <v>297</v>
      </c>
      <c r="P170">
        <v>0.10494692601973646</v>
      </c>
      <c r="Q170" t="s">
        <v>164</v>
      </c>
    </row>
    <row r="171" spans="9:17" x14ac:dyDescent="0.45">
      <c r="I171" t="s">
        <v>188</v>
      </c>
      <c r="J171" t="s">
        <v>298</v>
      </c>
      <c r="K171">
        <v>0</v>
      </c>
      <c r="L171" t="s">
        <v>164</v>
      </c>
      <c r="N171" t="s">
        <v>216</v>
      </c>
      <c r="O171" t="s">
        <v>298</v>
      </c>
      <c r="P171">
        <v>0.12811646056935386</v>
      </c>
      <c r="Q171" t="s">
        <v>164</v>
      </c>
    </row>
    <row r="172" spans="9:17" x14ac:dyDescent="0.45">
      <c r="I172" t="s">
        <v>188</v>
      </c>
      <c r="J172" t="s">
        <v>299</v>
      </c>
      <c r="K172">
        <v>1.617188142506068E-2</v>
      </c>
      <c r="L172" t="s">
        <v>164</v>
      </c>
      <c r="N172" t="s">
        <v>216</v>
      </c>
      <c r="O172" t="s">
        <v>299</v>
      </c>
      <c r="P172">
        <v>1.7112169918687199E-2</v>
      </c>
      <c r="Q172" t="s">
        <v>164</v>
      </c>
    </row>
    <row r="173" spans="9:17" x14ac:dyDescent="0.45">
      <c r="I173" t="s">
        <v>188</v>
      </c>
      <c r="J173" t="s">
        <v>300</v>
      </c>
      <c r="K173">
        <v>0.19366071586367914</v>
      </c>
      <c r="L173" t="s">
        <v>164</v>
      </c>
      <c r="N173" t="s">
        <v>216</v>
      </c>
      <c r="O173" t="s">
        <v>300</v>
      </c>
      <c r="P173">
        <v>8.8288607179817485E-2</v>
      </c>
      <c r="Q173" t="s">
        <v>164</v>
      </c>
    </row>
    <row r="174" spans="9:17" x14ac:dyDescent="0.45">
      <c r="I174" t="s">
        <v>188</v>
      </c>
      <c r="J174" t="s">
        <v>301</v>
      </c>
      <c r="K174">
        <v>0</v>
      </c>
      <c r="L174" t="s">
        <v>164</v>
      </c>
      <c r="N174" t="s">
        <v>216</v>
      </c>
      <c r="O174" t="s">
        <v>301</v>
      </c>
      <c r="P174">
        <v>0.14751382578614319</v>
      </c>
      <c r="Q174" t="s">
        <v>164</v>
      </c>
    </row>
    <row r="175" spans="9:17" x14ac:dyDescent="0.45">
      <c r="I175" t="s">
        <v>188</v>
      </c>
      <c r="J175" t="s">
        <v>302</v>
      </c>
      <c r="K175">
        <v>5.671097451031123E-3</v>
      </c>
      <c r="L175" t="s">
        <v>164</v>
      </c>
      <c r="N175" t="s">
        <v>216</v>
      </c>
      <c r="O175" t="s">
        <v>302</v>
      </c>
      <c r="P175">
        <v>1.9881149151987243E-2</v>
      </c>
      <c r="Q175" t="s">
        <v>164</v>
      </c>
    </row>
    <row r="176" spans="9:17" x14ac:dyDescent="0.45">
      <c r="I176" t="s">
        <v>188</v>
      </c>
      <c r="J176" t="s">
        <v>303</v>
      </c>
      <c r="K176">
        <v>0.27891726268381045</v>
      </c>
      <c r="L176" t="s">
        <v>164</v>
      </c>
      <c r="N176" t="s">
        <v>216</v>
      </c>
      <c r="O176" t="s">
        <v>303</v>
      </c>
      <c r="P176">
        <v>6.247593303382442E-2</v>
      </c>
      <c r="Q176" t="s">
        <v>164</v>
      </c>
    </row>
    <row r="177" spans="9:17" x14ac:dyDescent="0.45">
      <c r="I177" t="s">
        <v>188</v>
      </c>
      <c r="J177" t="s">
        <v>304</v>
      </c>
      <c r="K177">
        <v>0</v>
      </c>
      <c r="L177" t="s">
        <v>164</v>
      </c>
      <c r="N177" t="s">
        <v>216</v>
      </c>
      <c r="O177" t="s">
        <v>304</v>
      </c>
      <c r="P177">
        <v>0.10587924064451876</v>
      </c>
      <c r="Q177" t="s">
        <v>164</v>
      </c>
    </row>
    <row r="178" spans="9:17" x14ac:dyDescent="0.45">
      <c r="I178" t="s">
        <v>188</v>
      </c>
      <c r="J178" t="s">
        <v>305</v>
      </c>
      <c r="K178">
        <v>2.2028838450398793E-2</v>
      </c>
      <c r="L178" t="s">
        <v>164</v>
      </c>
      <c r="N178" t="s">
        <v>216</v>
      </c>
      <c r="O178" t="s">
        <v>305</v>
      </c>
      <c r="P178">
        <v>1.4512652417614461E-2</v>
      </c>
      <c r="Q178" t="s">
        <v>164</v>
      </c>
    </row>
    <row r="179" spans="9:17" x14ac:dyDescent="0.45">
      <c r="I179" t="s">
        <v>189</v>
      </c>
      <c r="J179" t="s">
        <v>294</v>
      </c>
      <c r="K179">
        <v>0.24314168400614616</v>
      </c>
      <c r="L179" t="s">
        <v>164</v>
      </c>
      <c r="N179" t="s">
        <v>217</v>
      </c>
      <c r="O179" t="s">
        <v>294</v>
      </c>
      <c r="P179">
        <v>0.13086147029783476</v>
      </c>
      <c r="Q179" t="s">
        <v>164</v>
      </c>
    </row>
    <row r="180" spans="9:17" x14ac:dyDescent="0.45">
      <c r="I180" t="s">
        <v>189</v>
      </c>
      <c r="J180" t="s">
        <v>295</v>
      </c>
      <c r="K180">
        <v>0</v>
      </c>
      <c r="L180" t="s">
        <v>164</v>
      </c>
      <c r="N180" t="s">
        <v>217</v>
      </c>
      <c r="O180" t="s">
        <v>295</v>
      </c>
      <c r="P180">
        <v>0.10292779740479525</v>
      </c>
      <c r="Q180" t="s">
        <v>164</v>
      </c>
    </row>
    <row r="181" spans="9:17" x14ac:dyDescent="0.45">
      <c r="I181" t="s">
        <v>189</v>
      </c>
      <c r="J181" t="s">
        <v>296</v>
      </c>
      <c r="K181">
        <v>1.1639806125052271E-2</v>
      </c>
      <c r="L181" t="s">
        <v>164</v>
      </c>
      <c r="N181" t="s">
        <v>217</v>
      </c>
      <c r="O181" t="s">
        <v>296</v>
      </c>
      <c r="P181">
        <v>1.316074234440553E-2</v>
      </c>
      <c r="Q181" t="s">
        <v>164</v>
      </c>
    </row>
    <row r="182" spans="9:17" x14ac:dyDescent="0.45">
      <c r="I182" t="s">
        <v>189</v>
      </c>
      <c r="J182" t="s">
        <v>297</v>
      </c>
      <c r="K182">
        <v>0.22643464072842978</v>
      </c>
      <c r="L182" t="s">
        <v>164</v>
      </c>
      <c r="N182" t="s">
        <v>217</v>
      </c>
      <c r="O182" t="s">
        <v>297</v>
      </c>
      <c r="P182">
        <v>0.13583870440555001</v>
      </c>
      <c r="Q182" t="s">
        <v>164</v>
      </c>
    </row>
    <row r="183" spans="9:17" x14ac:dyDescent="0.45">
      <c r="I183" t="s">
        <v>189</v>
      </c>
      <c r="J183" t="s">
        <v>298</v>
      </c>
      <c r="K183">
        <v>0</v>
      </c>
      <c r="L183" t="s">
        <v>164</v>
      </c>
      <c r="N183" t="s">
        <v>217</v>
      </c>
      <c r="O183" t="s">
        <v>298</v>
      </c>
      <c r="P183">
        <v>0.1087076033665661</v>
      </c>
      <c r="Q183" t="s">
        <v>164</v>
      </c>
    </row>
    <row r="184" spans="9:17" x14ac:dyDescent="0.45">
      <c r="I184" t="s">
        <v>189</v>
      </c>
      <c r="J184" t="s">
        <v>299</v>
      </c>
      <c r="K184">
        <v>1.266387391208054E-2</v>
      </c>
      <c r="L184" t="s">
        <v>164</v>
      </c>
      <c r="N184" t="s">
        <v>217</v>
      </c>
      <c r="O184" t="s">
        <v>299</v>
      </c>
      <c r="P184">
        <v>1.4032837394671899E-2</v>
      </c>
      <c r="Q184" t="s">
        <v>164</v>
      </c>
    </row>
    <row r="185" spans="9:17" x14ac:dyDescent="0.45">
      <c r="I185" t="s">
        <v>189</v>
      </c>
      <c r="J185" t="s">
        <v>300</v>
      </c>
      <c r="K185">
        <v>0.18140862127611829</v>
      </c>
      <c r="L185" t="s">
        <v>164</v>
      </c>
      <c r="N185" t="s">
        <v>217</v>
      </c>
      <c r="O185" t="s">
        <v>300</v>
      </c>
      <c r="P185">
        <v>0.12089212561825011</v>
      </c>
      <c r="Q185" t="s">
        <v>164</v>
      </c>
    </row>
    <row r="186" spans="9:17" x14ac:dyDescent="0.45">
      <c r="I186" t="s">
        <v>189</v>
      </c>
      <c r="J186" t="s">
        <v>301</v>
      </c>
      <c r="K186">
        <v>0</v>
      </c>
      <c r="L186" t="s">
        <v>164</v>
      </c>
      <c r="N186" t="s">
        <v>217</v>
      </c>
      <c r="O186" t="s">
        <v>301</v>
      </c>
      <c r="P186">
        <v>0.11382372795952474</v>
      </c>
      <c r="Q186" t="s">
        <v>164</v>
      </c>
    </row>
    <row r="187" spans="9:17" x14ac:dyDescent="0.45">
      <c r="I187" t="s">
        <v>189</v>
      </c>
      <c r="J187" t="s">
        <v>302</v>
      </c>
      <c r="K187">
        <v>3.4654607738250393E-3</v>
      </c>
      <c r="L187" t="s">
        <v>164</v>
      </c>
      <c r="N187" t="s">
        <v>217</v>
      </c>
      <c r="O187" t="s">
        <v>302</v>
      </c>
      <c r="P187">
        <v>8.0677504285680789E-3</v>
      </c>
      <c r="Q187" t="s">
        <v>164</v>
      </c>
    </row>
    <row r="188" spans="9:17" x14ac:dyDescent="0.45">
      <c r="I188" t="s">
        <v>189</v>
      </c>
      <c r="J188" t="s">
        <v>303</v>
      </c>
      <c r="K188">
        <v>0.30300937231822161</v>
      </c>
      <c r="L188" t="s">
        <v>164</v>
      </c>
      <c r="N188" t="s">
        <v>217</v>
      </c>
      <c r="O188" t="s">
        <v>303</v>
      </c>
      <c r="P188">
        <v>0.14446486401300865</v>
      </c>
      <c r="Q188" t="s">
        <v>164</v>
      </c>
    </row>
    <row r="189" spans="9:17" x14ac:dyDescent="0.45">
      <c r="I189" t="s">
        <v>189</v>
      </c>
      <c r="J189" t="s">
        <v>304</v>
      </c>
      <c r="K189">
        <v>0</v>
      </c>
      <c r="L189" t="s">
        <v>164</v>
      </c>
      <c r="N189" t="s">
        <v>217</v>
      </c>
      <c r="O189" t="s">
        <v>304</v>
      </c>
      <c r="P189">
        <v>9.2273891207773392E-2</v>
      </c>
      <c r="Q189" t="s">
        <v>164</v>
      </c>
    </row>
    <row r="190" spans="9:17" x14ac:dyDescent="0.45">
      <c r="I190" t="s">
        <v>189</v>
      </c>
      <c r="J190" t="s">
        <v>305</v>
      </c>
      <c r="K190">
        <v>1.8236540860125848E-2</v>
      </c>
      <c r="L190" t="s">
        <v>164</v>
      </c>
      <c r="N190" t="s">
        <v>217</v>
      </c>
      <c r="O190" t="s">
        <v>305</v>
      </c>
      <c r="P190">
        <v>1.494848555904882E-2</v>
      </c>
      <c r="Q190" t="s">
        <v>164</v>
      </c>
    </row>
    <row r="191" spans="9:17" x14ac:dyDescent="0.45">
      <c r="I191" t="s">
        <v>190</v>
      </c>
      <c r="J191" t="s">
        <v>294</v>
      </c>
      <c r="K191">
        <v>0.24611433194291851</v>
      </c>
      <c r="L191" t="s">
        <v>164</v>
      </c>
      <c r="N191" t="s">
        <v>218</v>
      </c>
      <c r="O191" t="s">
        <v>294</v>
      </c>
      <c r="P191">
        <v>0.10396950213981127</v>
      </c>
      <c r="Q191" t="s">
        <v>164</v>
      </c>
    </row>
    <row r="192" spans="9:17" x14ac:dyDescent="0.45">
      <c r="I192" t="s">
        <v>190</v>
      </c>
      <c r="J192" t="s">
        <v>295</v>
      </c>
      <c r="K192">
        <v>0</v>
      </c>
      <c r="L192" t="s">
        <v>164</v>
      </c>
      <c r="N192" t="s">
        <v>218</v>
      </c>
      <c r="O192" t="s">
        <v>295</v>
      </c>
      <c r="P192">
        <v>0.11549129616456358</v>
      </c>
      <c r="Q192" t="s">
        <v>164</v>
      </c>
    </row>
    <row r="193" spans="9:17" x14ac:dyDescent="0.45">
      <c r="I193" t="s">
        <v>190</v>
      </c>
      <c r="J193" t="s">
        <v>296</v>
      </c>
      <c r="K193">
        <v>1.21293025489432E-2</v>
      </c>
      <c r="L193" t="s">
        <v>164</v>
      </c>
      <c r="N193" t="s">
        <v>218</v>
      </c>
      <c r="O193" t="s">
        <v>296</v>
      </c>
      <c r="P193">
        <v>1.02254375570575E-2</v>
      </c>
      <c r="Q193" t="s">
        <v>164</v>
      </c>
    </row>
    <row r="194" spans="9:17" x14ac:dyDescent="0.45">
      <c r="I194" t="s">
        <v>190</v>
      </c>
      <c r="J194" t="s">
        <v>297</v>
      </c>
      <c r="K194">
        <v>0.22741332854819735</v>
      </c>
      <c r="L194" t="s">
        <v>164</v>
      </c>
      <c r="N194" t="s">
        <v>218</v>
      </c>
      <c r="O194" t="s">
        <v>297</v>
      </c>
      <c r="P194">
        <v>0.10767491498733966</v>
      </c>
      <c r="Q194" t="s">
        <v>164</v>
      </c>
    </row>
    <row r="195" spans="9:17" x14ac:dyDescent="0.45">
      <c r="I195" t="s">
        <v>190</v>
      </c>
      <c r="J195" t="s">
        <v>298</v>
      </c>
      <c r="K195">
        <v>0</v>
      </c>
      <c r="L195" t="s">
        <v>164</v>
      </c>
      <c r="N195" t="s">
        <v>218</v>
      </c>
      <c r="O195" t="s">
        <v>298</v>
      </c>
      <c r="P195">
        <v>0.12395942537393409</v>
      </c>
      <c r="Q195" t="s">
        <v>164</v>
      </c>
    </row>
    <row r="196" spans="9:17" x14ac:dyDescent="0.45">
      <c r="I196" t="s">
        <v>190</v>
      </c>
      <c r="J196" t="s">
        <v>299</v>
      </c>
      <c r="K196">
        <v>1.3579332649253468E-2</v>
      </c>
      <c r="L196" t="s">
        <v>164</v>
      </c>
      <c r="N196" t="s">
        <v>218</v>
      </c>
      <c r="O196" t="s">
        <v>299</v>
      </c>
      <c r="P196">
        <v>9.1496827420989493E-3</v>
      </c>
      <c r="Q196" t="s">
        <v>164</v>
      </c>
    </row>
    <row r="197" spans="9:17" x14ac:dyDescent="0.45">
      <c r="I197" t="s">
        <v>190</v>
      </c>
      <c r="J197" t="s">
        <v>300</v>
      </c>
      <c r="K197">
        <v>0.1866160125880458</v>
      </c>
      <c r="L197" t="s">
        <v>164</v>
      </c>
      <c r="N197" t="s">
        <v>218</v>
      </c>
      <c r="O197" t="s">
        <v>300</v>
      </c>
      <c r="P197">
        <v>0.1475267887923033</v>
      </c>
      <c r="Q197" t="s">
        <v>164</v>
      </c>
    </row>
    <row r="198" spans="9:17" x14ac:dyDescent="0.45">
      <c r="I198" t="s">
        <v>190</v>
      </c>
      <c r="J198" t="s">
        <v>301</v>
      </c>
      <c r="K198">
        <v>0</v>
      </c>
      <c r="L198" t="s">
        <v>164</v>
      </c>
      <c r="N198" t="s">
        <v>218</v>
      </c>
      <c r="O198" t="s">
        <v>301</v>
      </c>
      <c r="P198">
        <v>0.16205586286041293</v>
      </c>
      <c r="Q198" t="s">
        <v>164</v>
      </c>
    </row>
    <row r="199" spans="9:17" x14ac:dyDescent="0.45">
      <c r="I199" t="s">
        <v>190</v>
      </c>
      <c r="J199" t="s">
        <v>302</v>
      </c>
      <c r="K199">
        <v>4.4386154737689355E-3</v>
      </c>
      <c r="L199" t="s">
        <v>164</v>
      </c>
      <c r="N199" t="s">
        <v>218</v>
      </c>
      <c r="O199" t="s">
        <v>302</v>
      </c>
      <c r="P199">
        <v>9.9360533514685698E-3</v>
      </c>
      <c r="Q199" t="s">
        <v>164</v>
      </c>
    </row>
    <row r="200" spans="9:17" x14ac:dyDescent="0.45">
      <c r="I200" t="s">
        <v>190</v>
      </c>
      <c r="J200" t="s">
        <v>303</v>
      </c>
      <c r="K200">
        <v>0.29212915547122542</v>
      </c>
      <c r="L200" t="s">
        <v>164</v>
      </c>
      <c r="N200" t="s">
        <v>218</v>
      </c>
      <c r="O200" t="s">
        <v>303</v>
      </c>
      <c r="P200">
        <v>9.0763063248517101E-2</v>
      </c>
      <c r="Q200" t="s">
        <v>164</v>
      </c>
    </row>
    <row r="201" spans="9:17" x14ac:dyDescent="0.45">
      <c r="I201" t="s">
        <v>190</v>
      </c>
      <c r="J201" t="s">
        <v>304</v>
      </c>
      <c r="K201">
        <v>0</v>
      </c>
      <c r="L201" t="s">
        <v>164</v>
      </c>
      <c r="N201" t="s">
        <v>218</v>
      </c>
      <c r="O201" t="s">
        <v>304</v>
      </c>
      <c r="P201">
        <v>0.1074701600777631</v>
      </c>
      <c r="Q201" t="s">
        <v>164</v>
      </c>
    </row>
    <row r="202" spans="9:17" x14ac:dyDescent="0.45">
      <c r="I202" t="s">
        <v>190</v>
      </c>
      <c r="J202" t="s">
        <v>305</v>
      </c>
      <c r="K202">
        <v>1.7579920777648306E-2</v>
      </c>
      <c r="L202" t="s">
        <v>164</v>
      </c>
      <c r="N202" t="s">
        <v>218</v>
      </c>
      <c r="O202" t="s">
        <v>305</v>
      </c>
      <c r="P202">
        <v>1.177781270472905E-2</v>
      </c>
      <c r="Q202" t="s">
        <v>164</v>
      </c>
    </row>
    <row r="203" spans="9:17" x14ac:dyDescent="0.45">
      <c r="I203" t="s">
        <v>191</v>
      </c>
      <c r="J203" t="s">
        <v>294</v>
      </c>
      <c r="K203">
        <v>0.25750647227848295</v>
      </c>
      <c r="L203" t="s">
        <v>164</v>
      </c>
      <c r="N203" t="s">
        <v>219</v>
      </c>
      <c r="O203" t="s">
        <v>294</v>
      </c>
      <c r="P203">
        <v>0.13827516791958663</v>
      </c>
      <c r="Q203" t="s">
        <v>164</v>
      </c>
    </row>
    <row r="204" spans="9:17" x14ac:dyDescent="0.45">
      <c r="I204" t="s">
        <v>191</v>
      </c>
      <c r="J204" t="s">
        <v>295</v>
      </c>
      <c r="K204">
        <v>0</v>
      </c>
      <c r="L204" t="s">
        <v>164</v>
      </c>
      <c r="N204" t="s">
        <v>219</v>
      </c>
      <c r="O204" t="s">
        <v>295</v>
      </c>
      <c r="P204">
        <v>7.6609359287037451E-2</v>
      </c>
      <c r="Q204" t="s">
        <v>164</v>
      </c>
    </row>
    <row r="205" spans="9:17" x14ac:dyDescent="0.45">
      <c r="I205" t="s">
        <v>191</v>
      </c>
      <c r="J205" t="s">
        <v>296</v>
      </c>
      <c r="K205">
        <v>1.5143861176233285E-2</v>
      </c>
      <c r="L205" t="s">
        <v>164</v>
      </c>
      <c r="N205" t="s">
        <v>219</v>
      </c>
      <c r="O205" t="s">
        <v>296</v>
      </c>
      <c r="P205">
        <v>1.7280496433124359E-2</v>
      </c>
      <c r="Q205" t="s">
        <v>164</v>
      </c>
    </row>
    <row r="206" spans="9:17" x14ac:dyDescent="0.45">
      <c r="I206" t="s">
        <v>191</v>
      </c>
      <c r="J206" t="s">
        <v>297</v>
      </c>
      <c r="K206">
        <v>0.21283016753548006</v>
      </c>
      <c r="L206" t="s">
        <v>164</v>
      </c>
      <c r="N206" t="s">
        <v>219</v>
      </c>
      <c r="O206" t="s">
        <v>297</v>
      </c>
      <c r="P206">
        <v>0.16643131141844761</v>
      </c>
      <c r="Q206" t="s">
        <v>164</v>
      </c>
    </row>
    <row r="207" spans="9:17" x14ac:dyDescent="0.45">
      <c r="I207" t="s">
        <v>191</v>
      </c>
      <c r="J207" t="s">
        <v>298</v>
      </c>
      <c r="K207">
        <v>0</v>
      </c>
      <c r="L207" t="s">
        <v>164</v>
      </c>
      <c r="N207" t="s">
        <v>219</v>
      </c>
      <c r="O207" t="s">
        <v>298</v>
      </c>
      <c r="P207">
        <v>9.7612539703162166E-2</v>
      </c>
      <c r="Q207" t="s">
        <v>164</v>
      </c>
    </row>
    <row r="208" spans="9:17" x14ac:dyDescent="0.45">
      <c r="I208" t="s">
        <v>191</v>
      </c>
      <c r="J208" t="s">
        <v>299</v>
      </c>
      <c r="K208">
        <v>1.4552945093800488E-2</v>
      </c>
      <c r="L208" t="s">
        <v>164</v>
      </c>
      <c r="N208" t="s">
        <v>219</v>
      </c>
      <c r="O208" t="s">
        <v>299</v>
      </c>
      <c r="P208">
        <v>2.159776701317587E-2</v>
      </c>
      <c r="Q208" t="s">
        <v>164</v>
      </c>
    </row>
    <row r="209" spans="9:17" x14ac:dyDescent="0.45">
      <c r="I209" t="s">
        <v>191</v>
      </c>
      <c r="J209" t="s">
        <v>300</v>
      </c>
      <c r="K209">
        <v>0.20117202715950078</v>
      </c>
      <c r="L209" t="s">
        <v>164</v>
      </c>
      <c r="N209" t="s">
        <v>219</v>
      </c>
      <c r="O209" t="s">
        <v>300</v>
      </c>
      <c r="P209">
        <v>8.8480049219838236E-2</v>
      </c>
      <c r="Q209" t="s">
        <v>164</v>
      </c>
    </row>
    <row r="210" spans="9:17" x14ac:dyDescent="0.45">
      <c r="I210" t="s">
        <v>191</v>
      </c>
      <c r="J210" t="s">
        <v>301</v>
      </c>
      <c r="K210">
        <v>0</v>
      </c>
      <c r="L210" t="s">
        <v>164</v>
      </c>
      <c r="N210" t="s">
        <v>219</v>
      </c>
      <c r="O210" t="s">
        <v>301</v>
      </c>
      <c r="P210">
        <v>7.4228583661529318E-2</v>
      </c>
      <c r="Q210" t="s">
        <v>164</v>
      </c>
    </row>
    <row r="211" spans="9:17" x14ac:dyDescent="0.45">
      <c r="I211" t="s">
        <v>191</v>
      </c>
      <c r="J211" t="s">
        <v>302</v>
      </c>
      <c r="K211">
        <v>1.2464834085796841E-2</v>
      </c>
      <c r="L211" t="s">
        <v>164</v>
      </c>
      <c r="N211" t="s">
        <v>219</v>
      </c>
      <c r="O211" t="s">
        <v>302</v>
      </c>
      <c r="P211">
        <v>9.5143042196909697E-3</v>
      </c>
      <c r="Q211" t="s">
        <v>164</v>
      </c>
    </row>
    <row r="212" spans="9:17" x14ac:dyDescent="0.45">
      <c r="I212" t="s">
        <v>191</v>
      </c>
      <c r="J212" t="s">
        <v>303</v>
      </c>
      <c r="K212">
        <v>0.25928996948233679</v>
      </c>
      <c r="L212" t="s">
        <v>164</v>
      </c>
      <c r="N212" t="s">
        <v>219</v>
      </c>
      <c r="O212" t="s">
        <v>303</v>
      </c>
      <c r="P212">
        <v>0.19203515806446206</v>
      </c>
      <c r="Q212" t="s">
        <v>164</v>
      </c>
    </row>
    <row r="213" spans="9:17" x14ac:dyDescent="0.45">
      <c r="I213" t="s">
        <v>191</v>
      </c>
      <c r="J213" t="s">
        <v>304</v>
      </c>
      <c r="K213">
        <v>0</v>
      </c>
      <c r="L213" t="s">
        <v>164</v>
      </c>
      <c r="N213" t="s">
        <v>219</v>
      </c>
      <c r="O213" t="s">
        <v>304</v>
      </c>
      <c r="P213">
        <v>9.5541056280275594E-2</v>
      </c>
      <c r="Q213" t="s">
        <v>164</v>
      </c>
    </row>
    <row r="214" spans="9:17" x14ac:dyDescent="0.45">
      <c r="I214" t="s">
        <v>191</v>
      </c>
      <c r="J214" t="s">
        <v>305</v>
      </c>
      <c r="K214">
        <v>2.7039723188369141E-2</v>
      </c>
      <c r="L214" t="s">
        <v>164</v>
      </c>
      <c r="N214" t="s">
        <v>219</v>
      </c>
      <c r="O214" t="s">
        <v>305</v>
      </c>
      <c r="P214">
        <v>2.2394206779672202E-2</v>
      </c>
      <c r="Q214" t="s">
        <v>164</v>
      </c>
    </row>
    <row r="215" spans="9:17" x14ac:dyDescent="0.45">
      <c r="I215" t="s">
        <v>192</v>
      </c>
      <c r="J215" t="s">
        <v>294</v>
      </c>
      <c r="K215">
        <v>0.25927862983054606</v>
      </c>
      <c r="L215" t="s">
        <v>164</v>
      </c>
      <c r="N215" t="s">
        <v>220</v>
      </c>
      <c r="O215" t="s">
        <v>294</v>
      </c>
      <c r="P215">
        <v>0.18613130522708909</v>
      </c>
      <c r="Q215" t="s">
        <v>164</v>
      </c>
    </row>
    <row r="216" spans="9:17" x14ac:dyDescent="0.45">
      <c r="I216" t="s">
        <v>192</v>
      </c>
      <c r="J216" t="s">
        <v>295</v>
      </c>
      <c r="K216">
        <v>0</v>
      </c>
      <c r="L216" t="s">
        <v>164</v>
      </c>
      <c r="N216" t="s">
        <v>220</v>
      </c>
      <c r="O216" t="s">
        <v>295</v>
      </c>
      <c r="P216">
        <v>8.9540435683059069E-2</v>
      </c>
      <c r="Q216" t="s">
        <v>164</v>
      </c>
    </row>
    <row r="217" spans="9:17" x14ac:dyDescent="0.45">
      <c r="I217" t="s">
        <v>192</v>
      </c>
      <c r="J217" t="s">
        <v>296</v>
      </c>
      <c r="K217">
        <v>1.4183869916151996E-2</v>
      </c>
      <c r="L217" t="s">
        <v>164</v>
      </c>
      <c r="N217" t="s">
        <v>220</v>
      </c>
      <c r="O217" t="s">
        <v>296</v>
      </c>
      <c r="P217">
        <v>2.6429037553870448E-2</v>
      </c>
      <c r="Q217" t="s">
        <v>164</v>
      </c>
    </row>
    <row r="218" spans="9:17" x14ac:dyDescent="0.45">
      <c r="I218" t="s">
        <v>192</v>
      </c>
      <c r="J218" t="s">
        <v>297</v>
      </c>
      <c r="K218">
        <v>0.21929512563905096</v>
      </c>
      <c r="L218" t="s">
        <v>164</v>
      </c>
      <c r="N218" t="s">
        <v>220</v>
      </c>
      <c r="O218" t="s">
        <v>297</v>
      </c>
      <c r="P218">
        <v>0.1197845204781423</v>
      </c>
      <c r="Q218" t="s">
        <v>164</v>
      </c>
    </row>
    <row r="219" spans="9:17" x14ac:dyDescent="0.45">
      <c r="I219" t="s">
        <v>192</v>
      </c>
      <c r="J219" t="s">
        <v>298</v>
      </c>
      <c r="K219">
        <v>0</v>
      </c>
      <c r="L219" t="s">
        <v>164</v>
      </c>
      <c r="N219" t="s">
        <v>220</v>
      </c>
      <c r="O219" t="s">
        <v>298</v>
      </c>
      <c r="P219">
        <v>6.815238541109514E-2</v>
      </c>
      <c r="Q219" t="s">
        <v>164</v>
      </c>
    </row>
    <row r="220" spans="9:17" x14ac:dyDescent="0.45">
      <c r="I220" t="s">
        <v>192</v>
      </c>
      <c r="J220" t="s">
        <v>299</v>
      </c>
      <c r="K220">
        <v>1.5348664742221513E-2</v>
      </c>
      <c r="L220" t="s">
        <v>164</v>
      </c>
      <c r="N220" t="s">
        <v>220</v>
      </c>
      <c r="O220" t="s">
        <v>299</v>
      </c>
      <c r="P220">
        <v>2.3794577430583125E-2</v>
      </c>
      <c r="Q220" t="s">
        <v>164</v>
      </c>
    </row>
    <row r="221" spans="9:17" x14ac:dyDescent="0.45">
      <c r="I221" t="s">
        <v>192</v>
      </c>
      <c r="J221" t="s">
        <v>300</v>
      </c>
      <c r="K221">
        <v>0.19276953617368445</v>
      </c>
      <c r="L221" t="s">
        <v>164</v>
      </c>
      <c r="N221" t="s">
        <v>220</v>
      </c>
      <c r="O221" t="s">
        <v>300</v>
      </c>
      <c r="P221">
        <v>2.9385142365807089E-2</v>
      </c>
      <c r="Q221" t="s">
        <v>164</v>
      </c>
    </row>
    <row r="222" spans="9:17" x14ac:dyDescent="0.45">
      <c r="I222" t="s">
        <v>192</v>
      </c>
      <c r="J222" t="s">
        <v>301</v>
      </c>
      <c r="K222">
        <v>0</v>
      </c>
      <c r="L222" t="s">
        <v>164</v>
      </c>
      <c r="N222" t="s">
        <v>220</v>
      </c>
      <c r="O222" t="s">
        <v>301</v>
      </c>
      <c r="P222">
        <v>3.1294873717116173E-2</v>
      </c>
      <c r="Q222" t="s">
        <v>164</v>
      </c>
    </row>
    <row r="223" spans="9:17" x14ac:dyDescent="0.45">
      <c r="I223" t="s">
        <v>192</v>
      </c>
      <c r="J223" t="s">
        <v>302</v>
      </c>
      <c r="K223">
        <v>1.0365034668818071E-2</v>
      </c>
      <c r="L223" t="s">
        <v>164</v>
      </c>
      <c r="N223" t="s">
        <v>220</v>
      </c>
      <c r="O223" t="s">
        <v>302</v>
      </c>
      <c r="P223">
        <v>5.5706538060102386E-3</v>
      </c>
      <c r="Q223" t="s">
        <v>164</v>
      </c>
    </row>
    <row r="224" spans="9:17" x14ac:dyDescent="0.45">
      <c r="I224" t="s">
        <v>192</v>
      </c>
      <c r="J224" t="s">
        <v>303</v>
      </c>
      <c r="K224">
        <v>0.26247188606613714</v>
      </c>
      <c r="L224" t="s">
        <v>164</v>
      </c>
      <c r="N224" t="s">
        <v>220</v>
      </c>
      <c r="O224" t="s">
        <v>303</v>
      </c>
      <c r="P224">
        <v>0.26646863469530735</v>
      </c>
      <c r="Q224" t="s">
        <v>164</v>
      </c>
    </row>
    <row r="225" spans="9:17" x14ac:dyDescent="0.45">
      <c r="I225" t="s">
        <v>192</v>
      </c>
      <c r="J225" t="s">
        <v>304</v>
      </c>
      <c r="K225">
        <v>0</v>
      </c>
      <c r="L225" t="s">
        <v>164</v>
      </c>
      <c r="N225" t="s">
        <v>220</v>
      </c>
      <c r="O225" t="s">
        <v>304</v>
      </c>
      <c r="P225">
        <v>0.10964996407115661</v>
      </c>
      <c r="Q225" t="s">
        <v>164</v>
      </c>
    </row>
    <row r="226" spans="9:17" x14ac:dyDescent="0.45">
      <c r="I226" t="s">
        <v>192</v>
      </c>
      <c r="J226" t="s">
        <v>305</v>
      </c>
      <c r="K226">
        <v>2.628725296339111E-2</v>
      </c>
      <c r="L226" t="s">
        <v>164</v>
      </c>
      <c r="N226" t="s">
        <v>220</v>
      </c>
      <c r="O226" t="s">
        <v>305</v>
      </c>
      <c r="P226">
        <v>4.379846956076576E-2</v>
      </c>
      <c r="Q226" t="s">
        <v>164</v>
      </c>
    </row>
    <row r="227" spans="9:17" x14ac:dyDescent="0.45">
      <c r="I227" t="s">
        <v>193</v>
      </c>
      <c r="J227" t="s">
        <v>294</v>
      </c>
      <c r="K227">
        <v>0.25458724017750617</v>
      </c>
      <c r="L227" t="s">
        <v>164</v>
      </c>
      <c r="N227" t="s">
        <v>221</v>
      </c>
      <c r="O227" t="s">
        <v>294</v>
      </c>
      <c r="P227">
        <v>0.12507847345157755</v>
      </c>
      <c r="Q227" t="s">
        <v>164</v>
      </c>
    </row>
    <row r="228" spans="9:17" x14ac:dyDescent="0.45">
      <c r="I228" t="s">
        <v>193</v>
      </c>
      <c r="J228" t="s">
        <v>295</v>
      </c>
      <c r="K228">
        <v>0</v>
      </c>
      <c r="L228" t="s">
        <v>164</v>
      </c>
      <c r="N228" t="s">
        <v>221</v>
      </c>
      <c r="O228" t="s">
        <v>295</v>
      </c>
      <c r="P228">
        <v>0.16313889084142144</v>
      </c>
      <c r="Q228" t="s">
        <v>164</v>
      </c>
    </row>
    <row r="229" spans="9:17" x14ac:dyDescent="0.45">
      <c r="I229" t="s">
        <v>193</v>
      </c>
      <c r="J229" t="s">
        <v>296</v>
      </c>
      <c r="K229">
        <v>1.3789918032757822E-2</v>
      </c>
      <c r="L229" t="s">
        <v>164</v>
      </c>
      <c r="N229" t="s">
        <v>221</v>
      </c>
      <c r="O229" t="s">
        <v>296</v>
      </c>
      <c r="P229">
        <v>2.9675920375140063E-2</v>
      </c>
      <c r="Q229" t="s">
        <v>164</v>
      </c>
    </row>
    <row r="230" spans="9:17" x14ac:dyDescent="0.45">
      <c r="I230" t="s">
        <v>193</v>
      </c>
      <c r="J230" t="s">
        <v>297</v>
      </c>
      <c r="K230">
        <v>0.23607137955960247</v>
      </c>
      <c r="L230" t="s">
        <v>164</v>
      </c>
      <c r="N230" t="s">
        <v>221</v>
      </c>
      <c r="O230" t="s">
        <v>297</v>
      </c>
      <c r="P230">
        <v>7.8660916433436326E-2</v>
      </c>
      <c r="Q230" t="s">
        <v>164</v>
      </c>
    </row>
    <row r="231" spans="9:17" x14ac:dyDescent="0.45">
      <c r="I231" t="s">
        <v>193</v>
      </c>
      <c r="J231" t="s">
        <v>298</v>
      </c>
      <c r="K231">
        <v>0</v>
      </c>
      <c r="L231" t="s">
        <v>164</v>
      </c>
      <c r="N231" t="s">
        <v>221</v>
      </c>
      <c r="O231" t="s">
        <v>298</v>
      </c>
      <c r="P231">
        <v>0.11742938424516657</v>
      </c>
      <c r="Q231" t="s">
        <v>164</v>
      </c>
    </row>
    <row r="232" spans="9:17" x14ac:dyDescent="0.45">
      <c r="I232" t="s">
        <v>193</v>
      </c>
      <c r="J232" t="s">
        <v>299</v>
      </c>
      <c r="K232">
        <v>1.724652020175407E-2</v>
      </c>
      <c r="L232" t="s">
        <v>164</v>
      </c>
      <c r="N232" t="s">
        <v>221</v>
      </c>
      <c r="O232" t="s">
        <v>299</v>
      </c>
      <c r="P232">
        <v>2.0801308289530147E-2</v>
      </c>
      <c r="Q232" t="s">
        <v>164</v>
      </c>
    </row>
    <row r="233" spans="9:17" x14ac:dyDescent="0.45">
      <c r="I233" t="s">
        <v>193</v>
      </c>
      <c r="J233" t="s">
        <v>300</v>
      </c>
      <c r="K233">
        <v>0.18459630352979195</v>
      </c>
      <c r="L233" t="s">
        <v>164</v>
      </c>
      <c r="N233" t="s">
        <v>221</v>
      </c>
      <c r="O233" t="s">
        <v>300</v>
      </c>
      <c r="P233">
        <v>3.9280744083163399E-2</v>
      </c>
      <c r="Q233" t="s">
        <v>164</v>
      </c>
    </row>
    <row r="234" spans="9:17" x14ac:dyDescent="0.45">
      <c r="I234" t="s">
        <v>193</v>
      </c>
      <c r="J234" t="s">
        <v>301</v>
      </c>
      <c r="K234">
        <v>0</v>
      </c>
      <c r="L234" t="s">
        <v>164</v>
      </c>
      <c r="N234" t="s">
        <v>221</v>
      </c>
      <c r="O234" t="s">
        <v>301</v>
      </c>
      <c r="P234">
        <v>0.10650382619618612</v>
      </c>
      <c r="Q234" t="s">
        <v>164</v>
      </c>
    </row>
    <row r="235" spans="9:17" x14ac:dyDescent="0.45">
      <c r="I235" t="s">
        <v>193</v>
      </c>
      <c r="J235" t="s">
        <v>302</v>
      </c>
      <c r="K235">
        <v>7.4506466940546003E-3</v>
      </c>
      <c r="L235" t="s">
        <v>164</v>
      </c>
      <c r="N235" t="s">
        <v>221</v>
      </c>
      <c r="O235" t="s">
        <v>302</v>
      </c>
      <c r="P235">
        <v>7.0890331295137225E-3</v>
      </c>
      <c r="Q235" t="s">
        <v>164</v>
      </c>
    </row>
    <row r="236" spans="9:17" x14ac:dyDescent="0.45">
      <c r="I236" t="s">
        <v>193</v>
      </c>
      <c r="J236" t="s">
        <v>303</v>
      </c>
      <c r="K236">
        <v>0.25902743461829397</v>
      </c>
      <c r="L236" t="s">
        <v>164</v>
      </c>
      <c r="N236" t="s">
        <v>221</v>
      </c>
      <c r="O236" t="s">
        <v>303</v>
      </c>
      <c r="P236">
        <v>0.15649314207848089</v>
      </c>
      <c r="Q236" t="s">
        <v>164</v>
      </c>
    </row>
    <row r="237" spans="9:17" x14ac:dyDescent="0.45">
      <c r="I237" t="s">
        <v>193</v>
      </c>
      <c r="J237" t="s">
        <v>304</v>
      </c>
      <c r="K237">
        <v>0</v>
      </c>
      <c r="L237" t="s">
        <v>164</v>
      </c>
      <c r="N237" t="s">
        <v>221</v>
      </c>
      <c r="O237" t="s">
        <v>304</v>
      </c>
      <c r="P237">
        <v>0.11985666132951125</v>
      </c>
      <c r="Q237" t="s">
        <v>164</v>
      </c>
    </row>
    <row r="238" spans="9:17" x14ac:dyDescent="0.45">
      <c r="I238" t="s">
        <v>193</v>
      </c>
      <c r="J238" t="s">
        <v>305</v>
      </c>
      <c r="K238">
        <v>2.723055718624107E-2</v>
      </c>
      <c r="L238" t="s">
        <v>164</v>
      </c>
      <c r="N238" t="s">
        <v>221</v>
      </c>
      <c r="O238" t="s">
        <v>305</v>
      </c>
      <c r="P238">
        <v>3.5991699546867983E-2</v>
      </c>
      <c r="Q238" t="s">
        <v>164</v>
      </c>
    </row>
    <row r="239" spans="9:17" x14ac:dyDescent="0.45">
      <c r="I239" t="s">
        <v>194</v>
      </c>
      <c r="J239" t="s">
        <v>294</v>
      </c>
      <c r="K239">
        <v>0.26048291909819515</v>
      </c>
      <c r="L239" t="s">
        <v>164</v>
      </c>
      <c r="N239" t="s">
        <v>222</v>
      </c>
      <c r="O239" t="s">
        <v>294</v>
      </c>
      <c r="P239">
        <v>6.9034990561490192E-2</v>
      </c>
      <c r="Q239" t="s">
        <v>164</v>
      </c>
    </row>
    <row r="240" spans="9:17" x14ac:dyDescent="0.45">
      <c r="I240" t="s">
        <v>194</v>
      </c>
      <c r="J240" t="s">
        <v>295</v>
      </c>
      <c r="K240">
        <v>0</v>
      </c>
      <c r="L240" t="s">
        <v>164</v>
      </c>
      <c r="N240" t="s">
        <v>222</v>
      </c>
      <c r="O240" t="s">
        <v>295</v>
      </c>
      <c r="P240">
        <v>0.14870306686772589</v>
      </c>
      <c r="Q240" t="s">
        <v>164</v>
      </c>
    </row>
    <row r="241" spans="9:17" x14ac:dyDescent="0.45">
      <c r="I241" t="s">
        <v>194</v>
      </c>
      <c r="J241" t="s">
        <v>296</v>
      </c>
      <c r="K241">
        <v>1.3424888666686017E-2</v>
      </c>
      <c r="L241" t="s">
        <v>164</v>
      </c>
      <c r="N241" t="s">
        <v>222</v>
      </c>
      <c r="O241" t="s">
        <v>296</v>
      </c>
      <c r="P241">
        <v>3.2228993677272173E-2</v>
      </c>
      <c r="Q241" t="s">
        <v>164</v>
      </c>
    </row>
    <row r="242" spans="9:17" x14ac:dyDescent="0.45">
      <c r="I242" t="s">
        <v>194</v>
      </c>
      <c r="J242" t="s">
        <v>297</v>
      </c>
      <c r="K242">
        <v>0.22497961164595356</v>
      </c>
      <c r="L242" t="s">
        <v>164</v>
      </c>
      <c r="N242" t="s">
        <v>222</v>
      </c>
      <c r="O242" t="s">
        <v>297</v>
      </c>
      <c r="P242">
        <v>6.1661963283982373E-2</v>
      </c>
      <c r="Q242" t="s">
        <v>164</v>
      </c>
    </row>
    <row r="243" spans="9:17" x14ac:dyDescent="0.45">
      <c r="I243" t="s">
        <v>194</v>
      </c>
      <c r="J243" t="s">
        <v>298</v>
      </c>
      <c r="K243">
        <v>0</v>
      </c>
      <c r="L243" t="s">
        <v>164</v>
      </c>
      <c r="N243" t="s">
        <v>222</v>
      </c>
      <c r="O243" t="s">
        <v>298</v>
      </c>
      <c r="P243">
        <v>0.13067471089582122</v>
      </c>
      <c r="Q243" t="s">
        <v>164</v>
      </c>
    </row>
    <row r="244" spans="9:17" x14ac:dyDescent="0.45">
      <c r="I244" t="s">
        <v>194</v>
      </c>
      <c r="J244" t="s">
        <v>299</v>
      </c>
      <c r="K244">
        <v>1.6725499388557302E-2</v>
      </c>
      <c r="L244" t="s">
        <v>164</v>
      </c>
      <c r="N244" t="s">
        <v>222</v>
      </c>
      <c r="O244" t="s">
        <v>299</v>
      </c>
      <c r="P244">
        <v>2.7153467311110117E-2</v>
      </c>
      <c r="Q244" t="s">
        <v>164</v>
      </c>
    </row>
    <row r="245" spans="9:17" x14ac:dyDescent="0.45">
      <c r="I245" t="s">
        <v>194</v>
      </c>
      <c r="J245" t="s">
        <v>300</v>
      </c>
      <c r="K245">
        <v>0.19378916092903906</v>
      </c>
      <c r="L245" t="s">
        <v>164</v>
      </c>
      <c r="N245" t="s">
        <v>222</v>
      </c>
      <c r="O245" t="s">
        <v>300</v>
      </c>
      <c r="P245">
        <v>1.5970069888140925E-2</v>
      </c>
      <c r="Q245" t="s">
        <v>164</v>
      </c>
    </row>
    <row r="246" spans="9:17" x14ac:dyDescent="0.45">
      <c r="I246" t="s">
        <v>194</v>
      </c>
      <c r="J246" t="s">
        <v>301</v>
      </c>
      <c r="K246">
        <v>0</v>
      </c>
      <c r="L246" t="s">
        <v>164</v>
      </c>
      <c r="N246" t="s">
        <v>222</v>
      </c>
      <c r="O246" t="s">
        <v>301</v>
      </c>
      <c r="P246">
        <v>8.0184956812687516E-2</v>
      </c>
      <c r="Q246" t="s">
        <v>164</v>
      </c>
    </row>
    <row r="247" spans="9:17" x14ac:dyDescent="0.45">
      <c r="I247" t="s">
        <v>194</v>
      </c>
      <c r="J247" t="s">
        <v>302</v>
      </c>
      <c r="K247">
        <v>8.5628323839727037E-3</v>
      </c>
      <c r="L247" t="s">
        <v>164</v>
      </c>
      <c r="N247" t="s">
        <v>222</v>
      </c>
      <c r="O247" t="s">
        <v>302</v>
      </c>
      <c r="P247">
        <v>8.0232478241431971E-3</v>
      </c>
      <c r="Q247" t="s">
        <v>164</v>
      </c>
    </row>
    <row r="248" spans="9:17" x14ac:dyDescent="0.45">
      <c r="I248" t="s">
        <v>194</v>
      </c>
      <c r="J248" t="s">
        <v>303</v>
      </c>
      <c r="K248">
        <v>0.25411206777733436</v>
      </c>
      <c r="L248" t="s">
        <v>164</v>
      </c>
      <c r="N248" t="s">
        <v>222</v>
      </c>
      <c r="O248" t="s">
        <v>303</v>
      </c>
      <c r="P248">
        <v>0.14428625144752311</v>
      </c>
      <c r="Q248" t="s">
        <v>164</v>
      </c>
    </row>
    <row r="249" spans="9:17" x14ac:dyDescent="0.45">
      <c r="I249" t="s">
        <v>194</v>
      </c>
      <c r="J249" t="s">
        <v>304</v>
      </c>
      <c r="K249">
        <v>0</v>
      </c>
      <c r="L249" t="s">
        <v>164</v>
      </c>
      <c r="N249" t="s">
        <v>222</v>
      </c>
      <c r="O249" t="s">
        <v>304</v>
      </c>
      <c r="P249">
        <v>0.22994402447409584</v>
      </c>
      <c r="Q249" t="s">
        <v>164</v>
      </c>
    </row>
    <row r="250" spans="9:17" x14ac:dyDescent="0.45">
      <c r="I250" t="s">
        <v>194</v>
      </c>
      <c r="J250" t="s">
        <v>305</v>
      </c>
      <c r="K250">
        <v>2.7923020110263749E-2</v>
      </c>
      <c r="L250" t="s">
        <v>164</v>
      </c>
      <c r="N250" t="s">
        <v>222</v>
      </c>
      <c r="O250" t="s">
        <v>305</v>
      </c>
      <c r="P250">
        <v>5.213425695600709E-2</v>
      </c>
      <c r="Q250" t="s">
        <v>164</v>
      </c>
    </row>
    <row r="251" spans="9:17" x14ac:dyDescent="0.45">
      <c r="I251" t="s">
        <v>195</v>
      </c>
      <c r="J251" t="s">
        <v>294</v>
      </c>
      <c r="K251">
        <v>0.26476944429832194</v>
      </c>
      <c r="L251" t="s">
        <v>164</v>
      </c>
      <c r="N251" t="s">
        <v>223</v>
      </c>
      <c r="O251" t="s">
        <v>294</v>
      </c>
      <c r="P251">
        <v>0.11004469158944549</v>
      </c>
      <c r="Q251" t="s">
        <v>164</v>
      </c>
    </row>
    <row r="252" spans="9:17" x14ac:dyDescent="0.45">
      <c r="I252" t="s">
        <v>195</v>
      </c>
      <c r="J252" t="s">
        <v>295</v>
      </c>
      <c r="K252">
        <v>0</v>
      </c>
      <c r="L252" t="s">
        <v>164</v>
      </c>
      <c r="N252" t="s">
        <v>223</v>
      </c>
      <c r="O252" t="s">
        <v>295</v>
      </c>
      <c r="P252">
        <v>0.14457623755622909</v>
      </c>
      <c r="Q252" t="s">
        <v>164</v>
      </c>
    </row>
    <row r="253" spans="9:17" x14ac:dyDescent="0.45">
      <c r="I253" t="s">
        <v>195</v>
      </c>
      <c r="J253" t="s">
        <v>296</v>
      </c>
      <c r="K253">
        <v>1.385231500436078E-2</v>
      </c>
      <c r="L253" t="s">
        <v>164</v>
      </c>
      <c r="N253" t="s">
        <v>223</v>
      </c>
      <c r="O253" t="s">
        <v>296</v>
      </c>
      <c r="P253">
        <v>3.693949185195778E-2</v>
      </c>
      <c r="Q253" t="s">
        <v>164</v>
      </c>
    </row>
    <row r="254" spans="9:17" x14ac:dyDescent="0.45">
      <c r="I254" t="s">
        <v>195</v>
      </c>
      <c r="J254" t="s">
        <v>297</v>
      </c>
      <c r="K254">
        <v>0.21471646331551861</v>
      </c>
      <c r="L254" t="s">
        <v>164</v>
      </c>
      <c r="N254" t="s">
        <v>223</v>
      </c>
      <c r="O254" t="s">
        <v>297</v>
      </c>
      <c r="P254">
        <v>8.9101527849108339E-2</v>
      </c>
      <c r="Q254" t="s">
        <v>164</v>
      </c>
    </row>
    <row r="255" spans="9:17" x14ac:dyDescent="0.45">
      <c r="I255" t="s">
        <v>195</v>
      </c>
      <c r="J255" t="s">
        <v>298</v>
      </c>
      <c r="K255">
        <v>0</v>
      </c>
      <c r="L255" t="s">
        <v>164</v>
      </c>
      <c r="N255" t="s">
        <v>223</v>
      </c>
      <c r="O255" t="s">
        <v>298</v>
      </c>
      <c r="P255">
        <v>0.10077509477098727</v>
      </c>
      <c r="Q255" t="s">
        <v>164</v>
      </c>
    </row>
    <row r="256" spans="9:17" x14ac:dyDescent="0.45">
      <c r="I256" t="s">
        <v>195</v>
      </c>
      <c r="J256" t="s">
        <v>299</v>
      </c>
      <c r="K256">
        <v>1.54832095061512E-2</v>
      </c>
      <c r="L256" t="s">
        <v>164</v>
      </c>
      <c r="N256" t="s">
        <v>223</v>
      </c>
      <c r="O256" t="s">
        <v>299</v>
      </c>
      <c r="P256">
        <v>2.7870641613392842E-2</v>
      </c>
      <c r="Q256" t="s">
        <v>164</v>
      </c>
    </row>
    <row r="257" spans="9:17" x14ac:dyDescent="0.45">
      <c r="I257" t="s">
        <v>195</v>
      </c>
      <c r="J257" t="s">
        <v>300</v>
      </c>
      <c r="K257">
        <v>0.19831390878526517</v>
      </c>
      <c r="L257" t="s">
        <v>164</v>
      </c>
      <c r="N257" t="s">
        <v>223</v>
      </c>
      <c r="O257" t="s">
        <v>300</v>
      </c>
      <c r="P257">
        <v>6.1124396181732002E-2</v>
      </c>
      <c r="Q257" t="s">
        <v>164</v>
      </c>
    </row>
    <row r="258" spans="9:17" x14ac:dyDescent="0.45">
      <c r="I258" t="s">
        <v>195</v>
      </c>
      <c r="J258" t="s">
        <v>301</v>
      </c>
      <c r="K258">
        <v>0</v>
      </c>
      <c r="L258" t="s">
        <v>164</v>
      </c>
      <c r="N258" t="s">
        <v>223</v>
      </c>
      <c r="O258" t="s">
        <v>301</v>
      </c>
      <c r="P258">
        <v>0.15067175827420159</v>
      </c>
      <c r="Q258" t="s">
        <v>164</v>
      </c>
    </row>
    <row r="259" spans="9:17" x14ac:dyDescent="0.45">
      <c r="I259" t="s">
        <v>195</v>
      </c>
      <c r="J259" t="s">
        <v>302</v>
      </c>
      <c r="K259">
        <v>1.0693300821152923E-2</v>
      </c>
      <c r="L259" t="s">
        <v>164</v>
      </c>
      <c r="N259" t="s">
        <v>223</v>
      </c>
      <c r="O259" t="s">
        <v>302</v>
      </c>
      <c r="P259">
        <v>2.713590384879349E-2</v>
      </c>
      <c r="Q259" t="s">
        <v>164</v>
      </c>
    </row>
    <row r="260" spans="9:17" x14ac:dyDescent="0.45">
      <c r="I260" t="s">
        <v>195</v>
      </c>
      <c r="J260" t="s">
        <v>303</v>
      </c>
      <c r="K260">
        <v>0.25593257374667827</v>
      </c>
      <c r="L260" t="s">
        <v>164</v>
      </c>
      <c r="N260" t="s">
        <v>223</v>
      </c>
      <c r="O260" t="s">
        <v>303</v>
      </c>
      <c r="P260">
        <v>0.12962895355173235</v>
      </c>
      <c r="Q260" t="s">
        <v>164</v>
      </c>
    </row>
    <row r="261" spans="9:17" x14ac:dyDescent="0.45">
      <c r="I261" t="s">
        <v>195</v>
      </c>
      <c r="J261" t="s">
        <v>304</v>
      </c>
      <c r="K261">
        <v>0</v>
      </c>
      <c r="L261" t="s">
        <v>164</v>
      </c>
      <c r="N261" t="s">
        <v>223</v>
      </c>
      <c r="O261" t="s">
        <v>304</v>
      </c>
      <c r="P261">
        <v>9.4248269442481797E-2</v>
      </c>
      <c r="Q261" t="s">
        <v>164</v>
      </c>
    </row>
    <row r="262" spans="9:17" x14ac:dyDescent="0.45">
      <c r="I262" t="s">
        <v>195</v>
      </c>
      <c r="J262" t="s">
        <v>305</v>
      </c>
      <c r="K262">
        <v>2.6238784522551239E-2</v>
      </c>
      <c r="L262" t="s">
        <v>164</v>
      </c>
      <c r="N262" t="s">
        <v>223</v>
      </c>
      <c r="O262" t="s">
        <v>305</v>
      </c>
      <c r="P262">
        <v>2.7883033469931314E-2</v>
      </c>
      <c r="Q262" t="s">
        <v>164</v>
      </c>
    </row>
    <row r="263" spans="9:17" x14ac:dyDescent="0.45">
      <c r="I263" t="s">
        <v>196</v>
      </c>
      <c r="J263" t="s">
        <v>294</v>
      </c>
      <c r="K263">
        <v>0.25043852114969406</v>
      </c>
      <c r="L263" t="s">
        <v>164</v>
      </c>
      <c r="N263" t="s">
        <v>224</v>
      </c>
      <c r="O263" t="s">
        <v>294</v>
      </c>
      <c r="P263">
        <v>9.646399399326655E-2</v>
      </c>
      <c r="Q263" t="s">
        <v>164</v>
      </c>
    </row>
    <row r="264" spans="9:17" x14ac:dyDescent="0.45">
      <c r="I264" t="s">
        <v>196</v>
      </c>
      <c r="J264" t="s">
        <v>295</v>
      </c>
      <c r="K264">
        <v>0</v>
      </c>
      <c r="L264" t="s">
        <v>164</v>
      </c>
      <c r="N264" t="s">
        <v>224</v>
      </c>
      <c r="O264" t="s">
        <v>295</v>
      </c>
      <c r="P264">
        <v>0.20699518268502989</v>
      </c>
      <c r="Q264" t="s">
        <v>164</v>
      </c>
    </row>
    <row r="265" spans="9:17" x14ac:dyDescent="0.45">
      <c r="I265" t="s">
        <v>196</v>
      </c>
      <c r="J265" t="s">
        <v>296</v>
      </c>
      <c r="K265">
        <v>1.4240127015353831E-2</v>
      </c>
      <c r="L265" t="s">
        <v>164</v>
      </c>
      <c r="N265" t="s">
        <v>224</v>
      </c>
      <c r="O265" t="s">
        <v>296</v>
      </c>
      <c r="P265">
        <v>6.573095965175918E-2</v>
      </c>
      <c r="Q265" t="s">
        <v>164</v>
      </c>
    </row>
    <row r="266" spans="9:17" x14ac:dyDescent="0.45">
      <c r="I266" t="s">
        <v>196</v>
      </c>
      <c r="J266" t="s">
        <v>297</v>
      </c>
      <c r="K266">
        <v>0.22722457387830253</v>
      </c>
      <c r="L266" t="s">
        <v>164</v>
      </c>
      <c r="N266" t="s">
        <v>224</v>
      </c>
      <c r="O266" t="s">
        <v>297</v>
      </c>
      <c r="P266">
        <v>6.1929207764367514E-2</v>
      </c>
      <c r="Q266" t="s">
        <v>164</v>
      </c>
    </row>
    <row r="267" spans="9:17" x14ac:dyDescent="0.45">
      <c r="I267" t="s">
        <v>196</v>
      </c>
      <c r="J267" t="s">
        <v>298</v>
      </c>
      <c r="K267">
        <v>0</v>
      </c>
      <c r="L267" t="s">
        <v>164</v>
      </c>
      <c r="N267" t="s">
        <v>224</v>
      </c>
      <c r="O267" t="s">
        <v>298</v>
      </c>
      <c r="P267">
        <v>9.0794801809117989E-2</v>
      </c>
      <c r="Q267" t="s">
        <v>164</v>
      </c>
    </row>
    <row r="268" spans="9:17" x14ac:dyDescent="0.45">
      <c r="I268" t="s">
        <v>196</v>
      </c>
      <c r="J268" t="s">
        <v>299</v>
      </c>
      <c r="K268">
        <v>1.8338025122223524E-2</v>
      </c>
      <c r="L268" t="s">
        <v>164</v>
      </c>
      <c r="N268" t="s">
        <v>224</v>
      </c>
      <c r="O268" t="s">
        <v>299</v>
      </c>
      <c r="P268">
        <v>3.2703292724960177E-2</v>
      </c>
      <c r="Q268" t="s">
        <v>164</v>
      </c>
    </row>
    <row r="269" spans="9:17" x14ac:dyDescent="0.45">
      <c r="I269" t="s">
        <v>196</v>
      </c>
      <c r="J269" t="s">
        <v>300</v>
      </c>
      <c r="K269">
        <v>0.19819641947130232</v>
      </c>
      <c r="L269" t="s">
        <v>164</v>
      </c>
      <c r="N269" t="s">
        <v>224</v>
      </c>
      <c r="O269" t="s">
        <v>300</v>
      </c>
      <c r="P269">
        <v>3.9053104016843324E-2</v>
      </c>
      <c r="Q269" t="s">
        <v>164</v>
      </c>
    </row>
    <row r="270" spans="9:17" x14ac:dyDescent="0.45">
      <c r="I270" t="s">
        <v>196</v>
      </c>
      <c r="J270" t="s">
        <v>301</v>
      </c>
      <c r="K270">
        <v>0</v>
      </c>
      <c r="L270" t="s">
        <v>164</v>
      </c>
      <c r="N270" t="s">
        <v>224</v>
      </c>
      <c r="O270" t="s">
        <v>301</v>
      </c>
      <c r="P270">
        <v>0.14393435635397206</v>
      </c>
      <c r="Q270" t="s">
        <v>164</v>
      </c>
    </row>
    <row r="271" spans="9:17" x14ac:dyDescent="0.45">
      <c r="I271" t="s">
        <v>196</v>
      </c>
      <c r="J271" t="s">
        <v>302</v>
      </c>
      <c r="K271">
        <v>1.3424215275815277E-2</v>
      </c>
      <c r="L271" t="s">
        <v>164</v>
      </c>
      <c r="N271" t="s">
        <v>224</v>
      </c>
      <c r="O271" t="s">
        <v>302</v>
      </c>
      <c r="P271">
        <v>3.6152256264248686E-2</v>
      </c>
      <c r="Q271" t="s">
        <v>164</v>
      </c>
    </row>
    <row r="272" spans="9:17" x14ac:dyDescent="0.45">
      <c r="I272" t="s">
        <v>196</v>
      </c>
      <c r="J272" t="s">
        <v>303</v>
      </c>
      <c r="K272">
        <v>0.25518269082450784</v>
      </c>
      <c r="L272" t="s">
        <v>164</v>
      </c>
      <c r="N272" t="s">
        <v>224</v>
      </c>
      <c r="O272" t="s">
        <v>303</v>
      </c>
      <c r="P272">
        <v>8.8012754095162057E-2</v>
      </c>
      <c r="Q272" t="s">
        <v>164</v>
      </c>
    </row>
    <row r="273" spans="9:17" x14ac:dyDescent="0.45">
      <c r="I273" t="s">
        <v>196</v>
      </c>
      <c r="J273" t="s">
        <v>304</v>
      </c>
      <c r="K273">
        <v>0</v>
      </c>
      <c r="L273" t="s">
        <v>164</v>
      </c>
      <c r="N273" t="s">
        <v>224</v>
      </c>
      <c r="O273" t="s">
        <v>304</v>
      </c>
      <c r="P273">
        <v>0.1026158188093458</v>
      </c>
      <c r="Q273" t="s">
        <v>164</v>
      </c>
    </row>
    <row r="274" spans="9:17" x14ac:dyDescent="0.45">
      <c r="I274" t="s">
        <v>196</v>
      </c>
      <c r="J274" t="s">
        <v>305</v>
      </c>
      <c r="K274">
        <v>2.2955427262799019E-2</v>
      </c>
      <c r="L274" t="s">
        <v>164</v>
      </c>
      <c r="N274" t="s">
        <v>224</v>
      </c>
      <c r="O274" t="s">
        <v>305</v>
      </c>
      <c r="P274">
        <v>3.5614271831924962E-2</v>
      </c>
      <c r="Q274" t="s">
        <v>164</v>
      </c>
    </row>
    <row r="275" spans="9:17" x14ac:dyDescent="0.45">
      <c r="I275" t="s">
        <v>197</v>
      </c>
      <c r="J275" t="s">
        <v>294</v>
      </c>
      <c r="K275">
        <v>0.24652701088342091</v>
      </c>
      <c r="L275" t="s">
        <v>164</v>
      </c>
      <c r="N275" t="s">
        <v>225</v>
      </c>
      <c r="O275" t="s">
        <v>294</v>
      </c>
      <c r="P275">
        <v>5.8769345933823575E-2</v>
      </c>
      <c r="Q275" t="s">
        <v>164</v>
      </c>
    </row>
    <row r="276" spans="9:17" x14ac:dyDescent="0.45">
      <c r="I276" t="s">
        <v>197</v>
      </c>
      <c r="J276" t="s">
        <v>295</v>
      </c>
      <c r="K276">
        <v>0</v>
      </c>
      <c r="L276" t="s">
        <v>164</v>
      </c>
      <c r="N276" t="s">
        <v>225</v>
      </c>
      <c r="O276" t="s">
        <v>295</v>
      </c>
      <c r="P276">
        <v>0.31423241303510774</v>
      </c>
      <c r="Q276" t="s">
        <v>164</v>
      </c>
    </row>
    <row r="277" spans="9:17" x14ac:dyDescent="0.45">
      <c r="I277" t="s">
        <v>197</v>
      </c>
      <c r="J277" t="s">
        <v>296</v>
      </c>
      <c r="K277">
        <v>1.3374705269093234E-2</v>
      </c>
      <c r="L277" t="s">
        <v>164</v>
      </c>
      <c r="N277" t="s">
        <v>225</v>
      </c>
      <c r="O277" t="s">
        <v>296</v>
      </c>
      <c r="P277">
        <v>4.6887506087266634E-2</v>
      </c>
      <c r="Q277" t="s">
        <v>164</v>
      </c>
    </row>
    <row r="278" spans="9:17" x14ac:dyDescent="0.45">
      <c r="I278" t="s">
        <v>197</v>
      </c>
      <c r="J278" t="s">
        <v>297</v>
      </c>
      <c r="K278">
        <v>0.2339061091407022</v>
      </c>
      <c r="L278" t="s">
        <v>164</v>
      </c>
      <c r="N278" t="s">
        <v>225</v>
      </c>
      <c r="O278" t="s">
        <v>297</v>
      </c>
      <c r="P278">
        <v>2.4594502182474921E-2</v>
      </c>
      <c r="Q278" t="s">
        <v>164</v>
      </c>
    </row>
    <row r="279" spans="9:17" x14ac:dyDescent="0.45">
      <c r="I279" t="s">
        <v>197</v>
      </c>
      <c r="J279" t="s">
        <v>298</v>
      </c>
      <c r="K279">
        <v>0</v>
      </c>
      <c r="L279" t="s">
        <v>164</v>
      </c>
      <c r="N279" t="s">
        <v>225</v>
      </c>
      <c r="O279" t="s">
        <v>298</v>
      </c>
      <c r="P279">
        <v>0.10607551887255008</v>
      </c>
      <c r="Q279" t="s">
        <v>164</v>
      </c>
    </row>
    <row r="280" spans="9:17" x14ac:dyDescent="0.45">
      <c r="I280" t="s">
        <v>197</v>
      </c>
      <c r="J280" t="s">
        <v>299</v>
      </c>
      <c r="K280">
        <v>1.4763923574444907E-2</v>
      </c>
      <c r="L280" t="s">
        <v>164</v>
      </c>
      <c r="N280" t="s">
        <v>225</v>
      </c>
      <c r="O280" t="s">
        <v>299</v>
      </c>
      <c r="P280">
        <v>1.9307305738402801E-2</v>
      </c>
      <c r="Q280" t="s">
        <v>164</v>
      </c>
    </row>
    <row r="281" spans="9:17" x14ac:dyDescent="0.45">
      <c r="I281" t="s">
        <v>197</v>
      </c>
      <c r="J281" t="s">
        <v>300</v>
      </c>
      <c r="K281">
        <v>0.19362531538684732</v>
      </c>
      <c r="L281" t="s">
        <v>164</v>
      </c>
      <c r="N281" t="s">
        <v>225</v>
      </c>
      <c r="O281" t="s">
        <v>300</v>
      </c>
      <c r="P281">
        <v>2.2098877953479184E-2</v>
      </c>
      <c r="Q281" t="s">
        <v>164</v>
      </c>
    </row>
    <row r="282" spans="9:17" x14ac:dyDescent="0.45">
      <c r="I282" t="s">
        <v>197</v>
      </c>
      <c r="J282" t="s">
        <v>301</v>
      </c>
      <c r="K282">
        <v>0</v>
      </c>
      <c r="L282" t="s">
        <v>164</v>
      </c>
      <c r="N282" t="s">
        <v>225</v>
      </c>
      <c r="O282" t="s">
        <v>301</v>
      </c>
      <c r="P282">
        <v>0.15689294914484597</v>
      </c>
      <c r="Q282" t="s">
        <v>164</v>
      </c>
    </row>
    <row r="283" spans="9:17" x14ac:dyDescent="0.45">
      <c r="I283" t="s">
        <v>197</v>
      </c>
      <c r="J283" t="s">
        <v>302</v>
      </c>
      <c r="K283">
        <v>7.0135473536002829E-3</v>
      </c>
      <c r="L283" t="s">
        <v>164</v>
      </c>
      <c r="N283" t="s">
        <v>225</v>
      </c>
      <c r="O283" t="s">
        <v>302</v>
      </c>
      <c r="P283">
        <v>8.0266781849849256E-3</v>
      </c>
      <c r="Q283" t="s">
        <v>164</v>
      </c>
    </row>
    <row r="284" spans="9:17" x14ac:dyDescent="0.45">
      <c r="I284" t="s">
        <v>197</v>
      </c>
      <c r="J284" t="s">
        <v>303</v>
      </c>
      <c r="K284">
        <v>0.26840531668467399</v>
      </c>
      <c r="L284" t="s">
        <v>164</v>
      </c>
      <c r="N284" t="s">
        <v>225</v>
      </c>
      <c r="O284" t="s">
        <v>303</v>
      </c>
      <c r="P284">
        <v>4.8268281776076394E-2</v>
      </c>
      <c r="Q284" t="s">
        <v>164</v>
      </c>
    </row>
    <row r="285" spans="9:17" x14ac:dyDescent="0.45">
      <c r="I285" t="s">
        <v>197</v>
      </c>
      <c r="J285" t="s">
        <v>304</v>
      </c>
      <c r="K285">
        <v>0</v>
      </c>
      <c r="L285" t="s">
        <v>164</v>
      </c>
      <c r="N285" t="s">
        <v>225</v>
      </c>
      <c r="O285" t="s">
        <v>304</v>
      </c>
      <c r="P285">
        <v>0.1611524249038962</v>
      </c>
      <c r="Q285" t="s">
        <v>164</v>
      </c>
    </row>
    <row r="286" spans="9:17" x14ac:dyDescent="0.45">
      <c r="I286" t="s">
        <v>197</v>
      </c>
      <c r="J286" t="s">
        <v>305</v>
      </c>
      <c r="K286">
        <v>2.2384071707215372E-2</v>
      </c>
      <c r="L286" t="s">
        <v>164</v>
      </c>
      <c r="N286" t="s">
        <v>225</v>
      </c>
      <c r="O286" t="s">
        <v>305</v>
      </c>
      <c r="P286">
        <v>3.3694196187090006E-2</v>
      </c>
      <c r="Q286" t="s">
        <v>164</v>
      </c>
    </row>
    <row r="287" spans="9:17" x14ac:dyDescent="0.45">
      <c r="I287" t="s">
        <v>198</v>
      </c>
      <c r="J287" t="s">
        <v>294</v>
      </c>
      <c r="K287">
        <v>0.24840424797253208</v>
      </c>
      <c r="L287" t="s">
        <v>164</v>
      </c>
    </row>
    <row r="288" spans="9:17" x14ac:dyDescent="0.45">
      <c r="I288" t="s">
        <v>198</v>
      </c>
      <c r="J288" t="s">
        <v>295</v>
      </c>
      <c r="K288">
        <v>0</v>
      </c>
      <c r="L288" t="s">
        <v>164</v>
      </c>
    </row>
    <row r="289" spans="9:12" x14ac:dyDescent="0.45">
      <c r="I289" t="s">
        <v>198</v>
      </c>
      <c r="J289" t="s">
        <v>296</v>
      </c>
      <c r="K289">
        <v>1.3480518798179072E-2</v>
      </c>
      <c r="L289" t="s">
        <v>164</v>
      </c>
    </row>
    <row r="290" spans="9:12" x14ac:dyDescent="0.45">
      <c r="I290" t="s">
        <v>198</v>
      </c>
      <c r="J290" t="s">
        <v>297</v>
      </c>
      <c r="K290">
        <v>0.23441983303878516</v>
      </c>
      <c r="L290" t="s">
        <v>164</v>
      </c>
    </row>
    <row r="291" spans="9:12" x14ac:dyDescent="0.45">
      <c r="I291" t="s">
        <v>198</v>
      </c>
      <c r="J291" t="s">
        <v>298</v>
      </c>
      <c r="K291">
        <v>0</v>
      </c>
      <c r="L291" t="s">
        <v>164</v>
      </c>
    </row>
    <row r="292" spans="9:12" x14ac:dyDescent="0.45">
      <c r="I292" t="s">
        <v>198</v>
      </c>
      <c r="J292" t="s">
        <v>299</v>
      </c>
      <c r="K292">
        <v>1.7268347370999016E-2</v>
      </c>
      <c r="L292" t="s">
        <v>164</v>
      </c>
    </row>
    <row r="293" spans="9:12" x14ac:dyDescent="0.45">
      <c r="I293" t="s">
        <v>198</v>
      </c>
      <c r="J293" t="s">
        <v>300</v>
      </c>
      <c r="K293">
        <v>0.19874837506420656</v>
      </c>
      <c r="L293" t="s">
        <v>164</v>
      </c>
    </row>
    <row r="294" spans="9:12" x14ac:dyDescent="0.45">
      <c r="I294" t="s">
        <v>198</v>
      </c>
      <c r="J294" t="s">
        <v>301</v>
      </c>
      <c r="K294">
        <v>0</v>
      </c>
      <c r="L294" t="s">
        <v>164</v>
      </c>
    </row>
    <row r="295" spans="9:12" x14ac:dyDescent="0.45">
      <c r="I295" t="s">
        <v>198</v>
      </c>
      <c r="J295" t="s">
        <v>302</v>
      </c>
      <c r="K295">
        <v>9.395518572355337E-3</v>
      </c>
      <c r="L295" t="s">
        <v>164</v>
      </c>
    </row>
    <row r="296" spans="9:12" x14ac:dyDescent="0.45">
      <c r="I296" t="s">
        <v>198</v>
      </c>
      <c r="J296" t="s">
        <v>303</v>
      </c>
      <c r="K296">
        <v>0.25437042482074712</v>
      </c>
      <c r="L296" t="s">
        <v>164</v>
      </c>
    </row>
    <row r="297" spans="9:12" x14ac:dyDescent="0.45">
      <c r="I297" t="s">
        <v>198</v>
      </c>
      <c r="J297" t="s">
        <v>304</v>
      </c>
      <c r="K297">
        <v>0</v>
      </c>
      <c r="L297" t="s">
        <v>164</v>
      </c>
    </row>
    <row r="298" spans="9:12" x14ac:dyDescent="0.45">
      <c r="I298" t="s">
        <v>198</v>
      </c>
      <c r="J298" t="s">
        <v>305</v>
      </c>
      <c r="K298">
        <v>2.3912734362197447E-2</v>
      </c>
      <c r="L298" t="s">
        <v>164</v>
      </c>
    </row>
    <row r="299" spans="9:12" x14ac:dyDescent="0.45">
      <c r="I299" t="s">
        <v>199</v>
      </c>
      <c r="J299" t="s">
        <v>294</v>
      </c>
      <c r="K299">
        <v>0.25110776471867702</v>
      </c>
      <c r="L299" t="s">
        <v>164</v>
      </c>
    </row>
    <row r="300" spans="9:12" x14ac:dyDescent="0.45">
      <c r="I300" t="s">
        <v>199</v>
      </c>
      <c r="J300" t="s">
        <v>295</v>
      </c>
      <c r="K300">
        <v>0</v>
      </c>
      <c r="L300" t="s">
        <v>164</v>
      </c>
    </row>
    <row r="301" spans="9:12" x14ac:dyDescent="0.45">
      <c r="I301" t="s">
        <v>199</v>
      </c>
      <c r="J301" t="s">
        <v>296</v>
      </c>
      <c r="K301">
        <v>1.1960702980534661E-2</v>
      </c>
      <c r="L301" t="s">
        <v>164</v>
      </c>
    </row>
    <row r="302" spans="9:12" x14ac:dyDescent="0.45">
      <c r="I302" t="s">
        <v>199</v>
      </c>
      <c r="J302" t="s">
        <v>297</v>
      </c>
      <c r="K302">
        <v>0.23180665586004987</v>
      </c>
      <c r="L302" t="s">
        <v>164</v>
      </c>
    </row>
    <row r="303" spans="9:12" x14ac:dyDescent="0.45">
      <c r="I303" t="s">
        <v>199</v>
      </c>
      <c r="J303" t="s">
        <v>298</v>
      </c>
      <c r="K303">
        <v>0</v>
      </c>
      <c r="L303" t="s">
        <v>164</v>
      </c>
    </row>
    <row r="304" spans="9:12" x14ac:dyDescent="0.45">
      <c r="I304" t="s">
        <v>199</v>
      </c>
      <c r="J304" t="s">
        <v>299</v>
      </c>
      <c r="K304">
        <v>1.2956622716853111E-2</v>
      </c>
      <c r="L304" t="s">
        <v>164</v>
      </c>
    </row>
    <row r="305" spans="9:12" x14ac:dyDescent="0.45">
      <c r="I305" t="s">
        <v>199</v>
      </c>
      <c r="J305" t="s">
        <v>300</v>
      </c>
      <c r="K305">
        <v>0.19122716468047124</v>
      </c>
      <c r="L305" t="s">
        <v>164</v>
      </c>
    </row>
    <row r="306" spans="9:12" x14ac:dyDescent="0.45">
      <c r="I306" t="s">
        <v>199</v>
      </c>
      <c r="J306" t="s">
        <v>301</v>
      </c>
      <c r="K306">
        <v>0</v>
      </c>
      <c r="L306" t="s">
        <v>164</v>
      </c>
    </row>
    <row r="307" spans="9:12" x14ac:dyDescent="0.45">
      <c r="I307" t="s">
        <v>199</v>
      </c>
      <c r="J307" t="s">
        <v>302</v>
      </c>
      <c r="K307">
        <v>5.8849323740129888E-3</v>
      </c>
      <c r="L307" t="s">
        <v>164</v>
      </c>
    </row>
    <row r="308" spans="9:12" x14ac:dyDescent="0.45">
      <c r="I308" t="s">
        <v>199</v>
      </c>
      <c r="J308" t="s">
        <v>303</v>
      </c>
      <c r="K308">
        <v>0.27825751336775406</v>
      </c>
      <c r="L308" t="s">
        <v>164</v>
      </c>
    </row>
    <row r="309" spans="9:12" x14ac:dyDescent="0.45">
      <c r="I309" t="s">
        <v>199</v>
      </c>
      <c r="J309" t="s">
        <v>304</v>
      </c>
      <c r="K309">
        <v>0</v>
      </c>
      <c r="L309" t="s">
        <v>164</v>
      </c>
    </row>
    <row r="310" spans="9:12" x14ac:dyDescent="0.45">
      <c r="I310" t="s">
        <v>199</v>
      </c>
      <c r="J310" t="s">
        <v>305</v>
      </c>
      <c r="K310">
        <v>1.679864330164817E-2</v>
      </c>
      <c r="L310" t="s">
        <v>164</v>
      </c>
    </row>
    <row r="311" spans="9:12" x14ac:dyDescent="0.45">
      <c r="I311" t="s">
        <v>200</v>
      </c>
      <c r="J311" t="s">
        <v>294</v>
      </c>
      <c r="K311">
        <v>0.25218595964706786</v>
      </c>
      <c r="L311" t="s">
        <v>164</v>
      </c>
    </row>
    <row r="312" spans="9:12" x14ac:dyDescent="0.45">
      <c r="I312" t="s">
        <v>200</v>
      </c>
      <c r="J312" t="s">
        <v>295</v>
      </c>
      <c r="K312">
        <v>0</v>
      </c>
      <c r="L312" t="s">
        <v>164</v>
      </c>
    </row>
    <row r="313" spans="9:12" x14ac:dyDescent="0.45">
      <c r="I313" t="s">
        <v>200</v>
      </c>
      <c r="J313" t="s">
        <v>296</v>
      </c>
      <c r="K313">
        <v>1.365910645053285E-2</v>
      </c>
      <c r="L313" t="s">
        <v>164</v>
      </c>
    </row>
    <row r="314" spans="9:12" x14ac:dyDescent="0.45">
      <c r="I314" t="s">
        <v>200</v>
      </c>
      <c r="J314" t="s">
        <v>297</v>
      </c>
      <c r="K314">
        <v>0.22920703192623101</v>
      </c>
      <c r="L314" t="s">
        <v>164</v>
      </c>
    </row>
    <row r="315" spans="9:12" x14ac:dyDescent="0.45">
      <c r="I315" t="s">
        <v>200</v>
      </c>
      <c r="J315" t="s">
        <v>298</v>
      </c>
      <c r="K315">
        <v>0</v>
      </c>
      <c r="L315" t="s">
        <v>164</v>
      </c>
    </row>
    <row r="316" spans="9:12" x14ac:dyDescent="0.45">
      <c r="I316" t="s">
        <v>200</v>
      </c>
      <c r="J316" t="s">
        <v>299</v>
      </c>
      <c r="K316">
        <v>1.4150723640792937E-2</v>
      </c>
      <c r="L316" t="s">
        <v>164</v>
      </c>
    </row>
    <row r="317" spans="9:12" x14ac:dyDescent="0.45">
      <c r="I317" t="s">
        <v>200</v>
      </c>
      <c r="J317" t="s">
        <v>300</v>
      </c>
      <c r="K317">
        <v>0.19311234267588198</v>
      </c>
      <c r="L317" t="s">
        <v>164</v>
      </c>
    </row>
    <row r="318" spans="9:12" x14ac:dyDescent="0.45">
      <c r="I318" t="s">
        <v>200</v>
      </c>
      <c r="J318" t="s">
        <v>301</v>
      </c>
      <c r="K318">
        <v>0</v>
      </c>
      <c r="L318" t="s">
        <v>164</v>
      </c>
    </row>
    <row r="319" spans="9:12" x14ac:dyDescent="0.45">
      <c r="I319" t="s">
        <v>200</v>
      </c>
      <c r="J319" t="s">
        <v>302</v>
      </c>
      <c r="K319">
        <v>8.4672107531083094E-3</v>
      </c>
      <c r="L319" t="s">
        <v>164</v>
      </c>
    </row>
    <row r="320" spans="9:12" x14ac:dyDescent="0.45">
      <c r="I320" t="s">
        <v>200</v>
      </c>
      <c r="J320" t="s">
        <v>303</v>
      </c>
      <c r="K320">
        <v>0.26478002074105744</v>
      </c>
      <c r="L320" t="s">
        <v>164</v>
      </c>
    </row>
    <row r="321" spans="9:12" x14ac:dyDescent="0.45">
      <c r="I321" t="s">
        <v>200</v>
      </c>
      <c r="J321" t="s">
        <v>304</v>
      </c>
      <c r="K321">
        <v>0</v>
      </c>
      <c r="L321" t="s">
        <v>164</v>
      </c>
    </row>
    <row r="322" spans="9:12" x14ac:dyDescent="0.45">
      <c r="I322" t="s">
        <v>200</v>
      </c>
      <c r="J322" t="s">
        <v>305</v>
      </c>
      <c r="K322">
        <v>2.4437604165327417E-2</v>
      </c>
      <c r="L322" t="s">
        <v>164</v>
      </c>
    </row>
    <row r="323" spans="9:12" x14ac:dyDescent="0.45">
      <c r="I323" t="s">
        <v>201</v>
      </c>
      <c r="J323" t="s">
        <v>294</v>
      </c>
      <c r="K323">
        <v>0.25529062366505023</v>
      </c>
      <c r="L323" t="s">
        <v>164</v>
      </c>
    </row>
    <row r="324" spans="9:12" x14ac:dyDescent="0.45">
      <c r="I324" t="s">
        <v>201</v>
      </c>
      <c r="J324" t="s">
        <v>295</v>
      </c>
      <c r="K324">
        <v>0</v>
      </c>
      <c r="L324" t="s">
        <v>164</v>
      </c>
    </row>
    <row r="325" spans="9:12" x14ac:dyDescent="0.45">
      <c r="I325" t="s">
        <v>201</v>
      </c>
      <c r="J325" t="s">
        <v>296</v>
      </c>
      <c r="K325">
        <v>1.4599044228680398E-2</v>
      </c>
      <c r="L325" t="s">
        <v>164</v>
      </c>
    </row>
    <row r="326" spans="9:12" x14ac:dyDescent="0.45">
      <c r="I326" t="s">
        <v>201</v>
      </c>
      <c r="J326" t="s">
        <v>297</v>
      </c>
      <c r="K326">
        <v>0.21687317369786835</v>
      </c>
      <c r="L326" t="s">
        <v>164</v>
      </c>
    </row>
    <row r="327" spans="9:12" x14ac:dyDescent="0.45">
      <c r="I327" t="s">
        <v>201</v>
      </c>
      <c r="J327" t="s">
        <v>298</v>
      </c>
      <c r="K327">
        <v>0</v>
      </c>
      <c r="L327" t="s">
        <v>164</v>
      </c>
    </row>
    <row r="328" spans="9:12" x14ac:dyDescent="0.45">
      <c r="I328" t="s">
        <v>201</v>
      </c>
      <c r="J328" t="s">
        <v>299</v>
      </c>
      <c r="K328">
        <v>1.2952691198863917E-2</v>
      </c>
      <c r="L328" t="s">
        <v>164</v>
      </c>
    </row>
    <row r="329" spans="9:12" x14ac:dyDescent="0.45">
      <c r="I329" t="s">
        <v>201</v>
      </c>
      <c r="J329" t="s">
        <v>300</v>
      </c>
      <c r="K329">
        <v>0.20980002205580059</v>
      </c>
      <c r="L329" t="s">
        <v>164</v>
      </c>
    </row>
    <row r="330" spans="9:12" x14ac:dyDescent="0.45">
      <c r="I330" t="s">
        <v>201</v>
      </c>
      <c r="J330" t="s">
        <v>301</v>
      </c>
      <c r="K330">
        <v>0</v>
      </c>
      <c r="L330" t="s">
        <v>164</v>
      </c>
    </row>
    <row r="331" spans="9:12" x14ac:dyDescent="0.45">
      <c r="I331" t="s">
        <v>201</v>
      </c>
      <c r="J331" t="s">
        <v>302</v>
      </c>
      <c r="K331">
        <v>1.2146175387188022E-2</v>
      </c>
      <c r="L331" t="s">
        <v>164</v>
      </c>
    </row>
    <row r="332" spans="9:12" x14ac:dyDescent="0.45">
      <c r="I332" t="s">
        <v>201</v>
      </c>
      <c r="J332" t="s">
        <v>303</v>
      </c>
      <c r="K332">
        <v>0.25714179856912039</v>
      </c>
      <c r="L332" t="s">
        <v>164</v>
      </c>
    </row>
    <row r="333" spans="9:12" x14ac:dyDescent="0.45">
      <c r="I333" t="s">
        <v>201</v>
      </c>
      <c r="J333" t="s">
        <v>304</v>
      </c>
      <c r="K333">
        <v>0</v>
      </c>
      <c r="L333" t="s">
        <v>164</v>
      </c>
    </row>
    <row r="334" spans="9:12" x14ac:dyDescent="0.45">
      <c r="I334" t="s">
        <v>201</v>
      </c>
      <c r="J334" t="s">
        <v>305</v>
      </c>
      <c r="K334">
        <v>2.1196471197429827E-2</v>
      </c>
      <c r="L334" t="s">
        <v>164</v>
      </c>
    </row>
    <row r="335" spans="9:12" x14ac:dyDescent="0.45">
      <c r="I335" t="s">
        <v>202</v>
      </c>
      <c r="J335" t="s">
        <v>294</v>
      </c>
      <c r="K335">
        <v>0.25287097724714575</v>
      </c>
      <c r="L335" t="s">
        <v>164</v>
      </c>
    </row>
    <row r="336" spans="9:12" x14ac:dyDescent="0.45">
      <c r="I336" t="s">
        <v>202</v>
      </c>
      <c r="J336" t="s">
        <v>295</v>
      </c>
      <c r="K336">
        <v>0</v>
      </c>
      <c r="L336" t="s">
        <v>164</v>
      </c>
    </row>
    <row r="337" spans="9:12" x14ac:dyDescent="0.45">
      <c r="I337" t="s">
        <v>202</v>
      </c>
      <c r="J337" t="s">
        <v>296</v>
      </c>
      <c r="K337">
        <v>1.3124214906928822E-2</v>
      </c>
      <c r="L337" t="s">
        <v>164</v>
      </c>
    </row>
    <row r="338" spans="9:12" x14ac:dyDescent="0.45">
      <c r="I338" t="s">
        <v>202</v>
      </c>
      <c r="J338" t="s">
        <v>297</v>
      </c>
      <c r="K338">
        <v>0.22195890603669596</v>
      </c>
      <c r="L338" t="s">
        <v>164</v>
      </c>
    </row>
    <row r="339" spans="9:12" x14ac:dyDescent="0.45">
      <c r="I339" t="s">
        <v>202</v>
      </c>
      <c r="J339" t="s">
        <v>298</v>
      </c>
      <c r="K339">
        <v>0</v>
      </c>
      <c r="L339" t="s">
        <v>164</v>
      </c>
    </row>
    <row r="340" spans="9:12" x14ac:dyDescent="0.45">
      <c r="I340" t="s">
        <v>202</v>
      </c>
      <c r="J340" t="s">
        <v>299</v>
      </c>
      <c r="K340">
        <v>1.210487829647647E-2</v>
      </c>
      <c r="L340" t="s">
        <v>164</v>
      </c>
    </row>
    <row r="341" spans="9:12" x14ac:dyDescent="0.45">
      <c r="I341" t="s">
        <v>202</v>
      </c>
      <c r="J341" t="s">
        <v>300</v>
      </c>
      <c r="K341">
        <v>0.20857533466436981</v>
      </c>
      <c r="L341" t="s">
        <v>164</v>
      </c>
    </row>
    <row r="342" spans="9:12" x14ac:dyDescent="0.45">
      <c r="I342" t="s">
        <v>202</v>
      </c>
      <c r="J342" t="s">
        <v>301</v>
      </c>
      <c r="K342">
        <v>0</v>
      </c>
      <c r="L342" t="s">
        <v>164</v>
      </c>
    </row>
    <row r="343" spans="9:12" x14ac:dyDescent="0.45">
      <c r="I343" t="s">
        <v>202</v>
      </c>
      <c r="J343" t="s">
        <v>302</v>
      </c>
      <c r="K343">
        <v>1.0660522261400766E-2</v>
      </c>
      <c r="L343" t="s">
        <v>164</v>
      </c>
    </row>
    <row r="344" spans="9:12" x14ac:dyDescent="0.45">
      <c r="I344" t="s">
        <v>202</v>
      </c>
      <c r="J344" t="s">
        <v>303</v>
      </c>
      <c r="K344">
        <v>0.26478744982995883</v>
      </c>
      <c r="L344" t="s">
        <v>164</v>
      </c>
    </row>
    <row r="345" spans="9:12" x14ac:dyDescent="0.45">
      <c r="I345" t="s">
        <v>202</v>
      </c>
      <c r="J345" t="s">
        <v>304</v>
      </c>
      <c r="K345">
        <v>0</v>
      </c>
      <c r="L345" t="s">
        <v>164</v>
      </c>
    </row>
    <row r="346" spans="9:12" x14ac:dyDescent="0.45">
      <c r="I346" t="s">
        <v>202</v>
      </c>
      <c r="J346" t="s">
        <v>305</v>
      </c>
      <c r="K346">
        <v>1.5917716757024015E-2</v>
      </c>
      <c r="L346" t="s">
        <v>164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2025-12-06T07:20:18Z</dcterms:modified>
</cp:coreProperties>
</file>