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SuppXLS\"/>
    </mc:Choice>
  </mc:AlternateContent>
  <xr:revisionPtr revIDLastSave="0" documentId="13_ncr:1_{08694626-DDCB-4A08-9FAF-41D512691E2F}" xr6:coauthVersionLast="47" xr6:coauthVersionMax="47" xr10:uidLastSave="{00000000-0000-0000-0000-000000000000}"/>
  <bookViews>
    <workbookView xWindow="368" yWindow="368" windowWidth="21599" windowHeight="11422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<sst xmlns="http://schemas.openxmlformats.org/spreadsheetml/2006/main" count="1689" uniqueCount="109">
  <si>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</si>
  <si>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</si>
  <si>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</si>
  <si>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</si>
  <si>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</si>
  <si>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</si>
  <si>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</si>
  <si>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</si>
  <si>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</si>
  <si>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</si>
  <si>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</si>
  <si>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</si>
  <si>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</si>
  <si>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</si>
  <si>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</si>
  <si>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</si>
  <si>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</si>
  <si>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</si>
  <si>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</si>
  <si>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</si>
  <si>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</si>
  <si>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</si>
  <si>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</si>
  <si>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</si>
  <si>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</si>
  <si>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</si>
  <si>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</si>
  <si>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</si>
  <si>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</si>
  <si>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</si>
  <si>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</si>
  <si>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</si>
  <si>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</si>
  <si>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</si>
  <si>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</si>
  <si>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</si>
  <si>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</si>
  <si>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</si>
  <si>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</si>
  <si>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</si>
  <si>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</si>
  <si>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</si>
  <si>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</si>
  <si>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</si>
  <si>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</si>
  <si>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</si>
  <si>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</si>
  <si>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</si>
  <si>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</si>
  <si>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</si>
  <si>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</si>
  <si>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</si>
  <si>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</si>
  <si>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</si>
  <si>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</si>
  <si>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</si>
  <si>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</si>
  <si>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</si>
  <si>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</si>
  <si>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</si>
  <si>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</si>
  <si>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</si>
  <si>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</si>
  <si>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</si>
  <si>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</si>
  <si>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</si>
  <si>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</si>
  <si>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</si>
  <si>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</si>
  <si>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</si>
  <si>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</si>
  <si>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</si>
  <si>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</si>
  <si>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</si>
  <si>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</si>
  <si>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</si>
  <si>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</si>
  <si>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</si>
  <si>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</si>
  <si>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</si>
  <si>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</si>
  <si>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</si>
  <si>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</si>
  <si>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</si>
  <si>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</si>
  <si>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</si>
  <si>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</si>
  <si>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</si>
  <si>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</si>
  <si>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</si>
  <si>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</si>
  <si>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</si>
  <si>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</si>
  <si>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</si>
  <si>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</si>
  <si>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</si>
  <si>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</si>
  <si>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</si>
  <si>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</si>
  <si>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</si>
  <si>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</si>
  <si>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</si>
  <si>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</si>
  <si>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</si>
  <si>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TUR</t>
  </si>
  <si>
    <t>Agricultural residues available</t>
  </si>
  <si>
    <t>~tfm_ins-ts: region=TUR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</si>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</sst>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331.11</c:v>
                </c:pt>
                <c:pt idx="1">
                  <c:v>347.66550000000001</c:v>
                </c:pt>
                <c:pt idx="2">
                  <c:v>387.39870000000002</c:v>
                </c:pt>
                <c:pt idx="3">
                  <c:v>427.13190000000003</c:v>
                </c:pt>
                <c:pt idx="4">
                  <c:v>470.17619999999999</c:v>
                </c:pt>
                <c:pt idx="5">
                  <c:v>526.46490000000006</c:v>
                </c:pt>
                <c:pt idx="6">
                  <c:v>572.82029999999997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104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331.11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10.923999999999999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-5.8230000000000004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331.11</v>
      </c>
      <c r="P15" s="8">
        <f t="shared" ref="P15:U15" si="0">$N$11*E15</f>
        <v>347.66550000000001</v>
      </c>
      <c r="Q15" s="8">
        <f t="shared" si="0"/>
        <v>387.39870000000002</v>
      </c>
      <c r="R15" s="8">
        <f t="shared" si="0"/>
        <v>427.13190000000003</v>
      </c>
      <c r="S15" s="8">
        <f t="shared" si="0"/>
        <v>470.17619999999999</v>
      </c>
      <c r="T15" s="8">
        <f t="shared" si="0"/>
        <v>526.46490000000006</v>
      </c>
      <c r="U15" s="8">
        <f t="shared" si="0"/>
        <v>572.82029999999997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region=TUR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122.5107</v>
      </c>
      <c r="P20" s="6">
        <f t="shared" si="2"/>
        <v>121.682925</v>
      </c>
      <c r="Q20" s="6">
        <f t="shared" si="2"/>
        <v>131.71555800000002</v>
      </c>
      <c r="R20" s="6">
        <f t="shared" si="2"/>
        <v>140.95352700000001</v>
      </c>
      <c r="S20" s="6">
        <f t="shared" si="2"/>
        <v>141.05285999999998</v>
      </c>
      <c r="T20" s="6">
        <f t="shared" si="2"/>
        <v>152.67482100000001</v>
      </c>
      <c r="U20" s="6">
        <f t="shared" si="2"/>
        <v>171.84608999999998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195.35489999999999</v>
      </c>
      <c r="P21" s="6">
        <f t="shared" si="2"/>
        <v>205.12264500000001</v>
      </c>
      <c r="Q21" s="6">
        <f t="shared" si="2"/>
        <v>228.56523300000001</v>
      </c>
      <c r="R21" s="6">
        <f t="shared" si="2"/>
        <v>247.736502</v>
      </c>
      <c r="S21" s="6">
        <f t="shared" si="2"/>
        <v>272.70219599999996</v>
      </c>
      <c r="T21" s="6">
        <f t="shared" si="2"/>
        <v>294.82034400000003</v>
      </c>
      <c r="U21" s="6">
        <f t="shared" si="2"/>
        <v>309.32296200000002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9.9333000000000009</v>
      </c>
      <c r="P22" s="6">
        <f t="shared" ref="P22:U22" si="3">O22</f>
        <v>9.9333000000000009</v>
      </c>
      <c r="Q22" s="6">
        <f t="shared" si="3"/>
        <v>9.9333000000000009</v>
      </c>
      <c r="R22" s="6">
        <f t="shared" si="3"/>
        <v>9.9333000000000009</v>
      </c>
      <c r="S22" s="6">
        <f t="shared" si="3"/>
        <v>9.9333000000000009</v>
      </c>
      <c r="T22" s="6">
        <f t="shared" si="3"/>
        <v>9.9333000000000009</v>
      </c>
      <c r="U22" s="6">
        <f t="shared" si="3"/>
        <v>9.9333000000000009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3.3111000000000672</v>
      </c>
      <c r="P23" s="6">
        <f t="shared" si="4"/>
        <v>10.926630000000046</v>
      </c>
      <c r="Q23" s="6">
        <f t="shared" si="4"/>
        <v>17.184609000000023</v>
      </c>
      <c r="R23" s="6">
        <f t="shared" si="4"/>
        <v>28.508571000000074</v>
      </c>
      <c r="S23" s="6">
        <f t="shared" si="4"/>
        <v>46.487844000000052</v>
      </c>
      <c r="T23" s="6">
        <f t="shared" si="4"/>
        <v>69.03643500000004</v>
      </c>
      <c r="U23" s="6">
        <f t="shared" si="4"/>
        <v>81.717948000000035</v>
      </c>
      <c r="V23" t="s">
        <v>16</v>
      </c>
    </row>
    <row r="24" spans="2:24" x14ac:dyDescent="0.45">
      <c r="N24" s="18" t="s">
        <v>102</v>
      </c>
      <c r="O24" s="19">
        <f>N12</f>
        <v>10.923999999999999</v>
      </c>
      <c r="P24" s="20">
        <f>$N$12*E16</f>
        <v>10.70552</v>
      </c>
      <c r="Q24" s="20">
        <f>$N$12*F16</f>
        <v>10.487039999999999</v>
      </c>
      <c r="R24" s="20">
        <f t="shared" ref="R24:U24" si="5">$N$12*G16</f>
        <v>10.050079999999999</v>
      </c>
      <c r="S24" s="20">
        <f t="shared" si="5"/>
        <v>9.1761599999999994</v>
      </c>
      <c r="T24" s="20">
        <f t="shared" si="5"/>
        <v>9.0669199999999996</v>
      </c>
      <c r="U24" s="20">
        <f t="shared" si="5"/>
        <v>8.7392000000000003</v>
      </c>
      <c r="V24" s="18" t="s">
        <v>16</v>
      </c>
    </row>
    <row r="25" spans="2:24" x14ac:dyDescent="0.45">
      <c r="N25" s="18" t="s">
        <v>103</v>
      </c>
      <c r="O25" s="19">
        <f>N13</f>
        <v>-5.8230000000000004</v>
      </c>
      <c r="P25" s="20">
        <f>$N$13*E16</f>
        <v>-5.7065400000000004</v>
      </c>
      <c r="Q25" s="20">
        <f t="shared" ref="Q25:U25" si="6">$N$13*F16</f>
        <v>-5.5900800000000004</v>
      </c>
      <c r="R25" s="20">
        <f t="shared" si="6"/>
        <v>-5.3571600000000004</v>
      </c>
      <c r="S25" s="20">
        <f t="shared" si="6"/>
        <v>-4.8913200000000003</v>
      </c>
      <c r="T25" s="20">
        <f t="shared" si="6"/>
        <v>-4.8330900000000003</v>
      </c>
      <c r="U25" s="20">
        <f t="shared" si="6"/>
        <v>-4.6584000000000003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region=TUR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6.44</v>
      </c>
      <c r="N30" t="s">
        <v>30</v>
      </c>
      <c r="O30" s="3">
        <f>L30</f>
        <v>6.44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3.71</v>
      </c>
      <c r="N31" t="s">
        <v>33</v>
      </c>
      <c r="O31" s="3">
        <f>ABS(L31)</f>
        <v>3.71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region=TUR;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36.9</v>
      </c>
      <c r="E47">
        <f t="shared" si="9"/>
        <v>39.483000000000004</v>
      </c>
      <c r="F47">
        <f t="shared" si="9"/>
        <v>45.756</v>
      </c>
      <c r="G47">
        <f t="shared" si="9"/>
        <v>42.434999999999995</v>
      </c>
      <c r="H47">
        <f t="shared" si="9"/>
        <v>46.125</v>
      </c>
      <c r="I47">
        <f t="shared" si="9"/>
        <v>43.172999999999995</v>
      </c>
      <c r="J47">
        <f t="shared" si="9"/>
        <v>49.445999999999998</v>
      </c>
      <c r="M47">
        <f>HLOOKUP($B47&amp;"_"&amp;M$46,fuel_prices!$B$10:$I$100,MATCH($A$1,fuel_prices!$A$10:$A$100,0),FALSE)</f>
        <v>30.9</v>
      </c>
      <c r="N47">
        <f>HLOOKUP($B47&amp;"_"&amp;N$46,fuel_prices!$B$10:$I$100,MATCH($A$1,fuel_prices!$A$10:$A$100,0),FALSE)</f>
        <v>42.9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16.75</v>
      </c>
      <c r="E48">
        <f t="shared" si="9"/>
        <v>17.085000000000001</v>
      </c>
      <c r="F48">
        <f t="shared" si="9"/>
        <v>17.755000000000003</v>
      </c>
      <c r="G48">
        <f t="shared" si="9"/>
        <v>17.922499999999999</v>
      </c>
      <c r="H48">
        <f t="shared" si="9"/>
        <v>18.09</v>
      </c>
      <c r="I48">
        <f t="shared" si="9"/>
        <v>18.425000000000001</v>
      </c>
      <c r="J48">
        <f t="shared" si="9"/>
        <v>18.760000000000002</v>
      </c>
      <c r="M48">
        <f>HLOOKUP($B48&amp;"_"&amp;M$46,fuel_prices!$B$10:$I$100,MATCH($A$1,fuel_prices!$A$10:$A$100,0),FALSE)</f>
        <v>15.2</v>
      </c>
      <c r="N48">
        <f>HLOOKUP($B48&amp;"_"&amp;N$46,fuel_prices!$B$10:$I$100,MATCH($A$1,fuel_prices!$A$10:$A$100,0),FALSE)</f>
        <v>18.3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</v>
      </c>
      <c r="D56">
        <v>0</v>
      </c>
      <c r="E56">
        <v>0</v>
      </c>
      <c r="F56" t="s">
        <v>108</v>
      </c>
    </row>
    <row r="57" spans="1:14" x14ac:dyDescent="0.45">
      <c r="A57" t="s">
        <v>30</v>
      </c>
      <c r="B57" t="s">
        <v>107</v>
      </c>
      <c r="C57">
        <v>0.53200000000000003</v>
      </c>
      <c r="D57">
        <v>1.56</v>
      </c>
      <c r="E57">
        <v>1.56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104</v>
      </c>
      <c r="B11">
        <v>30.9</v>
      </c>
      <c r="C11">
        <v>42.9</v>
      </c>
      <c r="D11">
        <v>15.2</v>
      </c>
      <c r="E11">
        <v>18.3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104</v>
      </c>
      <c r="B11">
        <v>2015</v>
      </c>
      <c r="C11">
        <v>119.34</v>
      </c>
      <c r="D11">
        <v>112.72</v>
      </c>
      <c r="E11">
        <v>1.06</v>
      </c>
      <c r="F11">
        <v>0</v>
      </c>
      <c r="G11">
        <v>7.14</v>
      </c>
      <c r="H11">
        <v>3.2</v>
      </c>
      <c r="I11">
        <v>261.77999999999997</v>
      </c>
      <c r="J11">
        <v>11.526999999999999</v>
      </c>
      <c r="K11">
        <v>9.6940000000000008</v>
      </c>
      <c r="L11">
        <v>11.526999999999999</v>
      </c>
      <c r="M11">
        <v>-1.833</v>
      </c>
    </row>
    <row r="12" spans="1:13" x14ac:dyDescent="0.45">
      <c r="A12" t="s">
        <v>104</v>
      </c>
      <c r="B12">
        <v>2016</v>
      </c>
      <c r="C12">
        <v>125.82</v>
      </c>
      <c r="D12">
        <v>121.75</v>
      </c>
      <c r="E12">
        <v>1.1599999999999999</v>
      </c>
      <c r="F12">
        <v>0</v>
      </c>
      <c r="G12">
        <v>6.33</v>
      </c>
      <c r="H12">
        <v>1.45</v>
      </c>
      <c r="I12">
        <v>274.41000000000003</v>
      </c>
      <c r="J12">
        <v>10.789</v>
      </c>
      <c r="K12">
        <v>6.883</v>
      </c>
      <c r="L12">
        <v>10.789</v>
      </c>
      <c r="M12">
        <v>-3.9060000000000001</v>
      </c>
    </row>
    <row r="13" spans="1:13" x14ac:dyDescent="0.45">
      <c r="A13" t="s">
        <v>104</v>
      </c>
      <c r="B13">
        <v>2017</v>
      </c>
      <c r="C13">
        <v>133.5</v>
      </c>
      <c r="D13">
        <v>131.29</v>
      </c>
      <c r="E13">
        <v>1.25</v>
      </c>
      <c r="F13">
        <v>0</v>
      </c>
      <c r="G13">
        <v>2.73</v>
      </c>
      <c r="H13">
        <v>3.3</v>
      </c>
      <c r="I13">
        <v>297.27999999999997</v>
      </c>
      <c r="J13">
        <v>12.028</v>
      </c>
      <c r="K13">
        <v>8.0960000000000001</v>
      </c>
      <c r="L13">
        <v>12.028</v>
      </c>
      <c r="M13">
        <v>-3.9319999999999999</v>
      </c>
    </row>
    <row r="14" spans="1:13" x14ac:dyDescent="0.45">
      <c r="A14" t="s">
        <v>104</v>
      </c>
      <c r="B14">
        <v>2018</v>
      </c>
      <c r="C14">
        <v>134.33000000000001</v>
      </c>
      <c r="D14">
        <v>139.16999999999999</v>
      </c>
      <c r="E14">
        <v>1.35</v>
      </c>
      <c r="F14">
        <v>0</v>
      </c>
      <c r="G14">
        <v>2.48</v>
      </c>
      <c r="H14">
        <v>3.11</v>
      </c>
      <c r="I14">
        <v>304.8</v>
      </c>
      <c r="J14">
        <v>11.558999999999999</v>
      </c>
      <c r="K14">
        <v>7.1420000000000003</v>
      </c>
      <c r="L14">
        <v>11.558999999999999</v>
      </c>
      <c r="M14">
        <v>-4.4169999999999998</v>
      </c>
    </row>
    <row r="15" spans="1:13" x14ac:dyDescent="0.45">
      <c r="A15" t="s">
        <v>104</v>
      </c>
      <c r="B15">
        <v>2019</v>
      </c>
      <c r="C15">
        <v>134.54</v>
      </c>
      <c r="D15">
        <v>140.02000000000001</v>
      </c>
      <c r="E15">
        <v>1.58</v>
      </c>
      <c r="F15">
        <v>0</v>
      </c>
      <c r="G15">
        <v>2.21</v>
      </c>
      <c r="H15">
        <v>2.79</v>
      </c>
      <c r="I15">
        <v>303.89999999999998</v>
      </c>
      <c r="J15">
        <v>11.942</v>
      </c>
      <c r="K15">
        <v>7.0469999999999997</v>
      </c>
      <c r="L15">
        <v>11.942</v>
      </c>
      <c r="M15">
        <v>-4.8949999999999996</v>
      </c>
    </row>
    <row r="16" spans="1:13" x14ac:dyDescent="0.45">
      <c r="A16" t="s">
        <v>104</v>
      </c>
      <c r="B16">
        <v>2020</v>
      </c>
      <c r="C16">
        <v>141.72999999999999</v>
      </c>
      <c r="D16">
        <v>141.24</v>
      </c>
      <c r="E16">
        <v>1.44</v>
      </c>
      <c r="F16">
        <v>0</v>
      </c>
      <c r="G16">
        <v>1.89</v>
      </c>
      <c r="H16">
        <v>2.48</v>
      </c>
      <c r="I16">
        <v>306.7</v>
      </c>
      <c r="J16">
        <v>12.667</v>
      </c>
      <c r="K16">
        <v>6.6529999999999996</v>
      </c>
      <c r="L16">
        <v>12.667</v>
      </c>
      <c r="M16">
        <v>-6.0140000000000002</v>
      </c>
    </row>
    <row r="17" spans="1:13" x14ac:dyDescent="0.45">
      <c r="A17" t="s">
        <v>104</v>
      </c>
      <c r="B17">
        <v>2021</v>
      </c>
      <c r="C17">
        <v>163.38999999999999</v>
      </c>
      <c r="D17">
        <v>147.72999999999999</v>
      </c>
      <c r="E17">
        <v>1.57</v>
      </c>
      <c r="F17">
        <v>0</v>
      </c>
      <c r="G17">
        <v>2.33</v>
      </c>
      <c r="H17">
        <v>4.1900000000000004</v>
      </c>
      <c r="I17">
        <v>334.72</v>
      </c>
      <c r="J17">
        <v>12.045999999999999</v>
      </c>
      <c r="K17">
        <v>6.0970000000000004</v>
      </c>
      <c r="L17">
        <v>12.045999999999999</v>
      </c>
      <c r="M17">
        <v>-5.9489999999999998</v>
      </c>
    </row>
    <row r="18" spans="1:13" x14ac:dyDescent="0.45">
      <c r="A18" t="s">
        <v>104</v>
      </c>
      <c r="B18">
        <v>2022</v>
      </c>
      <c r="C18">
        <v>154.63</v>
      </c>
      <c r="D18">
        <v>151.44999999999999</v>
      </c>
      <c r="E18">
        <v>1.79</v>
      </c>
      <c r="F18">
        <v>0</v>
      </c>
      <c r="G18">
        <v>6.44</v>
      </c>
      <c r="H18">
        <v>3.71</v>
      </c>
      <c r="I18">
        <v>328.38</v>
      </c>
      <c r="J18">
        <v>10.923999999999999</v>
      </c>
      <c r="K18">
        <v>5.101</v>
      </c>
      <c r="L18">
        <v>10.923999999999999</v>
      </c>
      <c r="M18">
        <v>-5.8230000000000004</v>
      </c>
    </row>
    <row r="19" spans="1:13" x14ac:dyDescent="0.45">
      <c r="A19" t="s">
        <v>104</v>
      </c>
      <c r="B19">
        <v>2023</v>
      </c>
      <c r="C19">
        <v>156.72999999999999</v>
      </c>
      <c r="D19">
        <v>157.37</v>
      </c>
      <c r="E19">
        <v>1.73</v>
      </c>
      <c r="F19">
        <v>0</v>
      </c>
      <c r="G19">
        <v>6.09</v>
      </c>
      <c r="H19">
        <v>2.08</v>
      </c>
      <c r="I19">
        <v>331.15</v>
      </c>
      <c r="J19">
        <v>9.3870000000000005</v>
      </c>
      <c r="K19">
        <v>4.3170000000000002</v>
      </c>
      <c r="L19">
        <v>9.3870000000000005</v>
      </c>
      <c r="M19">
        <v>-5.07</v>
      </c>
    </row>
    <row r="20" spans="1:13" x14ac:dyDescent="0.45">
      <c r="A20" t="s">
        <v>104</v>
      </c>
      <c r="B20">
        <v>2024</v>
      </c>
      <c r="C20">
        <v>167.82</v>
      </c>
      <c r="D20">
        <v>173.01</v>
      </c>
      <c r="E20">
        <v>1.85</v>
      </c>
      <c r="F20">
        <v>0</v>
      </c>
      <c r="G20">
        <v>2.68</v>
      </c>
      <c r="H20">
        <v>3.67</v>
      </c>
      <c r="I20">
        <v>354.57</v>
      </c>
      <c r="J20">
        <v>8.4730000000000008</v>
      </c>
      <c r="K20">
        <v>2.9929999999999999</v>
      </c>
      <c r="L20">
        <v>8.4730000000000008</v>
      </c>
      <c r="M20">
        <v>-5.48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2026-09-25T12:31:25Z</dcterms:modified>
</cp:coreProperties>
</file>