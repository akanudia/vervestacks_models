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_grids_kan\SuppXLS\"/>
    </mc:Choice>
  </mc:AlternateContent>
  <xr:revisionPtr revIDLastSave="0" documentId="8_{D11623F7-978A-43D8-B1EB-DE1CFA7C3340}" xr6:coauthVersionLast="47" xr6:coauthVersionMax="47" xr10:uidLastSave="{00000000-0000-0000-0000-000000000000}"/>
  <bookViews>
    <workbookView xWindow="-98" yWindow="-98" windowWidth="28996" windowHeight="17475" firstSheet="9" activeTab="9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s1v1_d" sheetId="9" r:id="rId8"/>
    <sheet name="ts_annual" sheetId="10" r:id="rId9"/>
    <sheet name="ts_12t" sheetId="11" r:id="rId10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1" l="1"/>
  <c r="AG9" i="11"/>
  <c r="AC9" i="11"/>
  <c r="A10" i="6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B83" i="1"/>
  <c r="B82" i="1"/>
  <c r="B81" i="1"/>
  <c r="B80" i="1"/>
  <c r="B79" i="1"/>
  <c r="E83" i="1"/>
  <c r="E82" i="1"/>
  <c r="E81" i="1"/>
  <c r="E80" i="1"/>
  <c r="E79" i="1"/>
  <c r="C79" i="1"/>
  <c r="C80" i="1" s="1"/>
  <c r="C81" i="1" s="1"/>
  <c r="C82" i="1" s="1"/>
  <c r="C83" i="1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<sst xmlns="http://schemas.openxmlformats.org/spreadsheetml/2006/main" count="36698" uniqueCount="419">
  <si>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</si>
  <si>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</si>
  <si>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</si>
  <si>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</si>
  <si>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</si>
  <si>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</si>
  <si>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</si>
  <si>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</si>
  <si>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</si>
  <si>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</si>
  <si>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</si>
  <si>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</si>
  <si>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</si>
  <si>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</si>
  <si>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</si>
  <si>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</si>
  <si>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</si>
  <si>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</si>
  <si>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</si>
  <si>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</si>
  <si>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</si>
  <si>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</si>
  <si>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</si>
  <si>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</si>
  <si>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</si>
  <si>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</si>
  <si>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</si>
  <si>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</si>
  <si>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</si>
  <si>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</si>
  <si>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</si>
  <si>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</si>
  <si>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</si>
  <si>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</si>
  <si>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</si>
  <si>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</si>
  <si>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</si>
  <si>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</si>
  <si>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</si>
  <si>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</si>
  <si>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</si>
  <si>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</si>
  <si>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</si>
  <si>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</si>
  <si>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</si>
  <si>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</si>
  <si>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</si>
  <si>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</si>
  <si>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</si>
  <si>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</si>
  <si>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</si>
  <si>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</si>
  <si>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</si>
  <si>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</si>
  <si>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</si>
  <si>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</si>
  <si>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</si>
  <si>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</si>
  <si>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</si>
  <si>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</si>
  <si>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</si>
  <si>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</si>
  <si>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</si>
  <si>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</si>
  <si>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</si>
  <si>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</si>
  <si>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</si>
  <si>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</si>
  <si>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</si>
  <si>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</si>
  <si>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</si>
  <si>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</si>
  <si>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</si>
  <si>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</si>
  <si>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</si>
  <si>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</si>
  <si>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</si>
  <si>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</si>
  <si>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</si>
  <si>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</si>
  <si>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</si>
  <si>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</si>
  <si>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</si>
  <si>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</si>
  <si>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</si>
  <si>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</si>
  <si>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</si>
  <si>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</si>
  <si>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</si>
  <si>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</si>
  <si>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</si>
  <si>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</si>
  <si>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</si>
  <si>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</si>
  <si>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</si>
  <si>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</si>
  <si>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</si>
  <si>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</si>
  <si>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</si>
  <si>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</si>
  <si>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</si>
  <si>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</si>
  <si>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</si>
  <si>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</si>
  <si>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</si>
  <si>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</si>
  <si>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</si>
  <si>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</si>
  <si>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</si>
  <si>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</si>
  <si>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</si>
  <si>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</si>
  <si>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</si>
  <si>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</si>
  <si>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</si>
  <si>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</si>
  <si>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</si>
  <si>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</si>
  <si>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</si>
  <si>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</si>
  <si>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</si>
  <si>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</si>
  <si>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</si>
  <si>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</si>
  <si>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</si>
  <si>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</si>
  <si>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</si>
  <si>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</si>
  <si>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</si>
  <si>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</si>
  <si>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</si>
  <si>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</si>
  <si>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</si>
  <si>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</si>
  <si>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</si>
  <si>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</si>
  <si>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</si>
  <si>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</si>
  <si>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</si>
  <si>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</si>
  <si>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</si>
  <si>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</si>
  <si>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</si>
  <si>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s1v1_d</t>
  </si>
  <si>
    <t>e2d</t>
  </si>
  <si>
    <t>VNM</t>
  </si>
  <si>
    <t>R10REST_ASIA</t>
  </si>
  <si>
    <t>Offshore gas, major coal producer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</si>
  <si>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</si>
  <si>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</si>
  <si>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</si>
  <si>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</si>
  <si>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</si>
  <si>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</si>
  <si>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</si>
  <si>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</si>
  <si>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</si>
  <si>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</si>
  <si>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</si>
  <si>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</si>
  <si>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</si>
  <si>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</si>
  <si>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</si>
  <si>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</si>
  <si>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</si>
  <si>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</si>
  <si>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</si>
  <si>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</si>
  <si>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</si>
  <si>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</si>
  <si>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</si>
  <si>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</si>
  <si>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</si>
  <si>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</si>
  <si>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</si>
  <si>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</si>
  <si>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</si>
  <si>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</si>
  <si>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</si>
  <si>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</si>
  <si>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</si>
  <si>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</si>
  <si>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</si>
  <si>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</si>
  <si>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</si>
  <si>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</si>
  <si>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</si>
  <si>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</si>
  <si>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</si>
  <si>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</si>
  <si>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</si>
  <si>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</si>
  <si>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</si>
  <si>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</si>
  <si>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</si>
  <si>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</si>
  <si>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</si>
  <si>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</si>
  <si>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</si>
  <si>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</si>
  <si>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</si>
  <si>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</si>
  <si>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</si>
  <si>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</si>
  <si>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</si>
  <si>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</si>
  <si>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</si>
  <si>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</si>
  <si>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</si>
  <si>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</si>
  <si>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</si>
  <si>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</si>
  <si>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</si>
  <si>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</si>
  <si>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</si>
  <si>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</si>
  <si>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</si>
  <si>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</si>
  <si>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</si>
  <si>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</si>
  <si>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</si>
  <si>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</si>
  <si>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</si>
  <si>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</si>
  <si>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</si>
  <si>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</si>
  <si>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</si>
  <si>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</si>
  <si>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</si>
  <si>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</si>
  <si>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</si>
  <si>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</si>
  <si>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</si>
  <si>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</si>
  <si>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</si>
  <si>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</si>
  <si>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</si>
  <si>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</si>
  <si>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</si>
  <si>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</si>
  <si>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g_yrfr</t>
  </si>
  <si>
    <t>day_night</t>
  </si>
  <si>
    <t>D</t>
  </si>
  <si>
    <t>S03aH03,S03aH02,S02aH02,S01aH03,S02aH03,S04aH02,S01aH02,S04aH03</t>
  </si>
  <si>
    <t>N</t>
  </si>
  <si>
    <t>S03aH01,S01aH01,S04aH01,S02aH01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</si>
  <si>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</si>
  <si>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</si>
  <si>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</si>
  <si>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</si>
  <si>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</si>
  <si>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</si>
  <si>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</si>
  <si>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</si>
  <si>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</si>
  <si>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</si>
  <si>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</si>
  <si>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</si>
  <si>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</si>
  <si>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</si>
  <si>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</si>
  <si>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</si>
  <si>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</si>
  <si>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</si>
  <si>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</si>
  <si>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</si>
  <si>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</si>
  <si>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</si>
  <si>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</si>
  <si>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</si>
  <si>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</si>
  <si>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</si>
  <si>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</si>
  <si>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</si>
  <si>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</si>
  <si>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</si>
  <si>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</si>
  <si>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</si>
  <si>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</si>
  <si>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</si>
  <si>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</si>
  <si>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</si>
  <si>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</si>
  <si>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</si>
  <si>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</si>
  <si>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</si>
  <si>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</si>
  <si>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</si>
  <si>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</si>
  <si>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</si>
  <si>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</si>
  <si>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</si>
  <si>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</si>
  <si>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</si>
  <si>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S03aH04,S08aH05,S01aH03,S05aH02,S05aH03,S03aH05,S05aH05,S06aH04,S08aH04,S04aH03,S07aH04,S08aH03,S03aH03,S04aH02,S05aH04,S06aH02,S06aH03,S02aH03,S07aH03,S01aH05,S06aH05,S02aH04,S02aH05,S02aH02,S03aH02,S07aH05,S01aH04,S07aH02,S08aH02,S01aH02,S04aH04,S04aH05</t>
  </si>
  <si>
    <t>S05aH01,S07aH06,S02aH05,S02aH01,S05aH06,S06aH06,S07aH05,S01aH06,S07aH01,S08aH06,S01aH01,S04aH01,S04aH06,S02aH06,S03aH05,S05aH05,S03aH01,S08aH01,S08aH05,S04aH05,S06aH01,S01aH05,S03aH06,S06aH05</t>
  </si>
  <si>
    <t>0115h01</t>
  </si>
  <si>
    <t>b</t>
  </si>
  <si>
    <t>0115h02</t>
  </si>
  <si>
    <t>c</t>
  </si>
  <si>
    <t>0115h03</t>
  </si>
  <si>
    <t>0115h04</t>
  </si>
  <si>
    <t>0115h05</t>
  </si>
  <si>
    <t>0115h06</t>
  </si>
  <si>
    <t>0115h07</t>
  </si>
  <si>
    <t>0115h08</t>
  </si>
  <si>
    <t>0115h09</t>
  </si>
  <si>
    <t>0115h10</t>
  </si>
  <si>
    <t>0115h11</t>
  </si>
  <si>
    <t>0115h12</t>
  </si>
  <si>
    <t>0115h13</t>
  </si>
  <si>
    <t>0115h14</t>
  </si>
  <si>
    <t>0115h15</t>
  </si>
  <si>
    <t>0115h16</t>
  </si>
  <si>
    <t>0115h17</t>
  </si>
  <si>
    <t>0115h18</t>
  </si>
  <si>
    <t>0115h19</t>
  </si>
  <si>
    <t>0115h20</t>
  </si>
  <si>
    <t>0115h21</t>
  </si>
  <si>
    <t>0115h22</t>
  </si>
  <si>
    <t>0115h23</t>
  </si>
  <si>
    <t>0115h24</t>
  </si>
  <si>
    <t>0219h01</t>
  </si>
  <si>
    <t>0219h02</t>
  </si>
  <si>
    <t>0219h03</t>
  </si>
  <si>
    <t>0219h04</t>
  </si>
  <si>
    <t>0219h05</t>
  </si>
  <si>
    <t>0219h06</t>
  </si>
  <si>
    <t>0219h07</t>
  </si>
  <si>
    <t>0219h08</t>
  </si>
  <si>
    <t>0219h09</t>
  </si>
  <si>
    <t>0219h10</t>
  </si>
  <si>
    <t>0219h11</t>
  </si>
  <si>
    <t>0219h12</t>
  </si>
  <si>
    <t>0219h13</t>
  </si>
  <si>
    <t>0219h14</t>
  </si>
  <si>
    <t>0219h15</t>
  </si>
  <si>
    <t>0219h16</t>
  </si>
  <si>
    <t>0219h17</t>
  </si>
  <si>
    <t>0219h18</t>
  </si>
  <si>
    <t>0219h19</t>
  </si>
  <si>
    <t>0219h20</t>
  </si>
  <si>
    <t>0219h21</t>
  </si>
  <si>
    <t>0219h22</t>
  </si>
  <si>
    <t>0219h23</t>
  </si>
  <si>
    <t>0219h24</t>
  </si>
  <si>
    <t>S01b0115h01</t>
  </si>
  <si>
    <t>S01b0115h02</t>
  </si>
  <si>
    <t>S01b0115h03</t>
  </si>
  <si>
    <t>S01b0115h04</t>
  </si>
  <si>
    <t>S01b0115h05</t>
  </si>
  <si>
    <t>S01b0115h06</t>
  </si>
  <si>
    <t>S01b0115h07</t>
  </si>
  <si>
    <t>S01b0115h08</t>
  </si>
  <si>
    <t>S01b0115h09</t>
  </si>
  <si>
    <t>S01b0115h10</t>
  </si>
  <si>
    <t>S01b0115h11</t>
  </si>
  <si>
    <t>S01b0115h12</t>
  </si>
  <si>
    <t>S01b0115h13</t>
  </si>
  <si>
    <t>S01b0115h14</t>
  </si>
  <si>
    <t>S01b0115h15</t>
  </si>
  <si>
    <t>S01b0115h16</t>
  </si>
  <si>
    <t>S01b0115h17</t>
  </si>
  <si>
    <t>S01b0115h18</t>
  </si>
  <si>
    <t>S01b0115h19</t>
  </si>
  <si>
    <t>S01b0115h20</t>
  </si>
  <si>
    <t>S01b0115h21</t>
  </si>
  <si>
    <t>S01b0115h22</t>
  </si>
  <si>
    <t>S01b0115h23</t>
  </si>
  <si>
    <t>S01b0115h24</t>
  </si>
  <si>
    <t>S01c0219h01</t>
  </si>
  <si>
    <t>S01c0219h02</t>
  </si>
  <si>
    <t>S01c0219h03</t>
  </si>
  <si>
    <t>S01c0219h04</t>
  </si>
  <si>
    <t>S01c0219h05</t>
  </si>
  <si>
    <t>S01c0219h06</t>
  </si>
  <si>
    <t>S01c0219h07</t>
  </si>
  <si>
    <t>S01c0219h08</t>
  </si>
  <si>
    <t>S01c0219h09</t>
  </si>
  <si>
    <t>S01c0219h10</t>
  </si>
  <si>
    <t>S01c0219h11</t>
  </si>
  <si>
    <t>S01c0219h12</t>
  </si>
  <si>
    <t>S01c0219h13</t>
  </si>
  <si>
    <t>S01c0219h14</t>
  </si>
  <si>
    <t>S01c0219h15</t>
  </si>
  <si>
    <t>S01c0219h16</t>
  </si>
  <si>
    <t>S01c0219h17</t>
  </si>
  <si>
    <t>S01c0219h18</t>
  </si>
  <si>
    <t>S01c0219h19</t>
  </si>
  <si>
    <t>S01c0219h20</t>
  </si>
  <si>
    <t>S01c0219h21</t>
  </si>
  <si>
    <t>S01c0219h22</t>
  </si>
  <si>
    <t>S01c0219h23</t>
  </si>
  <si>
    <t>S01c0219h24</t>
  </si>
  <si>
    <t>S01aH03,S01b0115h08,S01b0115h14,S01b0115h15,S01c0219h11,S01c0219h13,S05aH02,S05aH03,S01aH05,S01b0115h17,S06aH05,S01b0115h07,S01c0219h09,S04aH02,S02aH02,S01b0115h11,S01c0219h14,S02aH04,S02aH05,S01aH04,S01b0115h12,S01c0219h18,S07aH02,S01b0115h09,S01b0115h13,S01c0219h08,S01c0219h16,S01c0219h17,S08aH02,S01c0219h07,S04aH03,S07aH04,S08aH03,S03aH05,S05aH05,S06aH04,S08aH04,S03aH02,S07aH05,S01b0115h10,S01b0115h16,S01c0219h10,S05aH04,S06aH02,S06aH03,S04aH05,S03aH04,S08aH05,S01aH02,S04aH04,S01b0115h18,S03aH03,S01c0219h12,S01c0219h15,S02aH03,S07aH03</t>
  </si>
  <si>
    <t>S01b0115h24,S01c0219h03,S07aH05,S01b0115h03,S03aH01,S02aH06,S03aH05,S05aH05,S01b0115h22,S01c0219h05,S01c0219h22,S08aH01,S08aH05,S01b0115h02,S01b0115h20,S04aH05,S06aH01,S01c0219h04,S01c0219h20,S02aH01,S05aH06,S01b0115h01,S01c0219h01,S01c0219h19,S02aH05,S01b0115h06,S01b0115h21,S01aH06,S01b0115h05,S01b0115h23,S01c0219h21,S07aH01,S08aH06,S01b0115h19,S05aH01,S07aH06,S01aH05,S03aH06,S06aH05,S01b0115h04,S01c0219h02,S01c0219h23,S01c0219h24,S06aH06,S01aH01,S01c0219h06,S04aH01,S04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</si>
  <si>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</si>
  <si>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</si>
  <si>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</si>
  <si>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</si>
  <si>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</si>
  <si>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</si>
  <si>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</si>
  <si>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</si>
  <si>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</si>
  <si>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</si>
  <si>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</si>
  <si>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</si>
  <si>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</si>
  <si>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</si>
  <si>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</si>
  <si>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</si>
  <si>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</si>
  <si>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</si>
  <si>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</si>
  <si>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</si>
  <si>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</si>
  <si>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RaD,WaD,SaD,RaP,FaP,SaP,FaD,WaP</t>
  </si>
  <si>
    <t>FaN,WaP,FaP,SaP,RaP,RaN,SaN,WaN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</si>
</sst>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278.74</c:v>
                </c:pt>
                <c:pt idx="1">
                  <c:v>323.33839999999998</c:v>
                </c:pt>
                <c:pt idx="2">
                  <c:v>365.14940000000001</c:v>
                </c:pt>
                <c:pt idx="3">
                  <c:v>418.11</c:v>
                </c:pt>
                <c:pt idx="4">
                  <c:v>479.43279999999999</c:v>
                </c:pt>
                <c:pt idx="5">
                  <c:v>593.71619999999996</c:v>
                </c:pt>
                <c:pt idx="6">
                  <c:v>699.63739999999996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3"/>
  <sheetViews>
    <sheetView topLeftCell="A45" workbookViewId="0">
      <selection activeCell="B53" sqref="B53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148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278.74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278.74</v>
      </c>
      <c r="U14" s="8">
        <f t="shared" ref="U14:Z14" si="3">$S$12*J15</f>
        <v>323.33839999999998</v>
      </c>
      <c r="V14" s="8">
        <f t="shared" si="3"/>
        <v>365.14940000000001</v>
      </c>
      <c r="W14" s="8">
        <f t="shared" si="3"/>
        <v>418.11</v>
      </c>
      <c r="X14" s="8">
        <f t="shared" si="3"/>
        <v>479.43279999999999</v>
      </c>
      <c r="Y14" s="8">
        <f t="shared" si="3"/>
        <v>593.71619999999996</v>
      </c>
      <c r="Z14" s="8">
        <f t="shared" si="3"/>
        <v>699.63739999999996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9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4.1810999999999998</v>
      </c>
      <c r="X18" s="6">
        <f t="shared" si="7"/>
        <v>9.5886560000000003</v>
      </c>
      <c r="Y18" s="6">
        <f t="shared" si="7"/>
        <v>17.811485999999999</v>
      </c>
      <c r="Z18" s="6">
        <f t="shared" si="7"/>
        <v>20.989121999999998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7"/>
        <v>128.22040000000001</v>
      </c>
      <c r="U19" s="6">
        <f t="shared" si="7"/>
        <v>135.80212799999998</v>
      </c>
      <c r="V19" s="6">
        <f t="shared" si="7"/>
        <v>160.66573600000001</v>
      </c>
      <c r="W19" s="6">
        <f t="shared" si="7"/>
        <v>179.78730000000002</v>
      </c>
      <c r="X19" s="6">
        <f t="shared" si="7"/>
        <v>196.56744799999998</v>
      </c>
      <c r="Y19" s="6">
        <f t="shared" si="7"/>
        <v>255.29796599999997</v>
      </c>
      <c r="Z19" s="6">
        <f t="shared" si="7"/>
        <v>272.858586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7"/>
        <v>147.73220000000001</v>
      </c>
      <c r="U20" s="6">
        <f t="shared" si="7"/>
        <v>181.06950399999999</v>
      </c>
      <c r="V20" s="6">
        <f t="shared" si="7"/>
        <v>193.52918200000002</v>
      </c>
      <c r="W20" s="6">
        <f t="shared" si="7"/>
        <v>217.41720000000001</v>
      </c>
      <c r="X20" s="6">
        <f t="shared" si="7"/>
        <v>249.30505600000001</v>
      </c>
      <c r="Y20" s="6">
        <f t="shared" si="7"/>
        <v>296.85809999999998</v>
      </c>
      <c r="Z20" s="6">
        <f t="shared" si="7"/>
        <v>342.82232599999998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2.7874000000000003</v>
      </c>
      <c r="U21" s="6">
        <f t="shared" ref="U21:Z21" si="8">T21</f>
        <v>2.7874000000000003</v>
      </c>
      <c r="V21" s="6">
        <f t="shared" si="8"/>
        <v>2.7874000000000003</v>
      </c>
      <c r="W21" s="6">
        <f t="shared" si="8"/>
        <v>2.7874000000000003</v>
      </c>
      <c r="X21" s="6">
        <f t="shared" si="8"/>
        <v>2.7874000000000003</v>
      </c>
      <c r="Y21" s="6">
        <f t="shared" si="8"/>
        <v>2.7874000000000003</v>
      </c>
      <c r="Z21" s="6">
        <f t="shared" si="8"/>
        <v>2.7874000000000003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3.6793680000000109</v>
      </c>
      <c r="V22" s="6">
        <f t="shared" si="9"/>
        <v>8.1670819999999935</v>
      </c>
      <c r="W22" s="6">
        <f t="shared" si="9"/>
        <v>18.11809999999997</v>
      </c>
      <c r="X22" s="6">
        <f t="shared" si="9"/>
        <v>30.772896000000003</v>
      </c>
      <c r="Y22" s="6">
        <f t="shared" si="9"/>
        <v>38.7727339999999</v>
      </c>
      <c r="Z22" s="6">
        <f t="shared" si="9"/>
        <v>81.169087999999874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G23">
        <v>15</v>
      </c>
      <c r="AH23" t="s">
        <v>143</v>
      </c>
      <c r="AI23" t="s">
        <v>144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3.28</v>
      </c>
      <c r="S28" t="s">
        <v>32</v>
      </c>
      <c r="T28" s="3">
        <f>Q28</f>
        <v>3.28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-0.96</v>
      </c>
      <c r="S29" t="s">
        <v>35</v>
      </c>
      <c r="T29" s="3">
        <f>-1*Q29</f>
        <v>0.96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25.75</v>
      </c>
      <c r="J45">
        <f t="shared" si="12"/>
        <v>27.810000000000002</v>
      </c>
      <c r="K45">
        <f t="shared" si="12"/>
        <v>33.217500000000001</v>
      </c>
      <c r="L45">
        <f t="shared" si="12"/>
        <v>32.96</v>
      </c>
      <c r="M45">
        <f t="shared" si="12"/>
        <v>36.049999999999997</v>
      </c>
      <c r="N45">
        <f t="shared" si="12"/>
        <v>38.11</v>
      </c>
      <c r="O45">
        <f t="shared" si="12"/>
        <v>39.397500000000001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13.1</v>
      </c>
      <c r="J46">
        <f t="shared" si="12"/>
        <v>13.624000000000001</v>
      </c>
      <c r="K46">
        <f t="shared" si="12"/>
        <v>14.541</v>
      </c>
      <c r="L46">
        <f t="shared" si="12"/>
        <v>14.933999999999997</v>
      </c>
      <c r="M46">
        <f t="shared" si="12"/>
        <v>15.195999999999998</v>
      </c>
      <c r="N46">
        <f t="shared" si="12"/>
        <v>15.457999999999998</v>
      </c>
      <c r="O46">
        <f t="shared" si="12"/>
        <v>15.588999999999999</v>
      </c>
      <c r="R46">
        <f>HLOOKUP($G46&amp;"_"&amp;R$44,fuel_prices!$B$10:$I$11,2,FALSE)</f>
        <v>11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47</v>
      </c>
      <c r="J47">
        <f t="shared" si="12"/>
        <v>54.989999999999995</v>
      </c>
      <c r="K47">
        <f t="shared" si="12"/>
        <v>62.980000000000004</v>
      </c>
      <c r="L47">
        <f t="shared" si="12"/>
        <v>62.510000000000005</v>
      </c>
      <c r="M47">
        <f t="shared" si="12"/>
        <v>67.679999999999993</v>
      </c>
      <c r="N47">
        <f t="shared" si="12"/>
        <v>76.61</v>
      </c>
      <c r="O47">
        <f t="shared" si="12"/>
        <v>88.83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83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79" spans="1:36" x14ac:dyDescent="0.45">
      <c r="A79">
        <v>5</v>
      </c>
      <c r="B79" t="str">
        <f t="shared" ref="B79:B83" si="17">VLOOKUP(E79,$AK$9:$AL$15,2,FALSE)&amp;"."&amp;VLOOKUP(D79,$AH$9:$AI$24,2,FALSE)</f>
        <v>e 1.5 deg no OS.e2d</v>
      </c>
      <c r="C79">
        <f t="shared" si="16"/>
        <v>71</v>
      </c>
      <c r="D79" t="s">
        <v>143</v>
      </c>
      <c r="E79" t="str">
        <f t="shared" si="4"/>
        <v>C1</v>
      </c>
    </row>
    <row r="80" spans="1:36" x14ac:dyDescent="0.45">
      <c r="A80">
        <v>5</v>
      </c>
      <c r="B80" t="str">
        <f t="shared" si="17"/>
        <v>d 1.5 deg OS.e2d</v>
      </c>
      <c r="C80">
        <f t="shared" si="16"/>
        <v>72</v>
      </c>
      <c r="D80" t="s">
        <v>143</v>
      </c>
      <c r="E80" t="str">
        <f t="shared" ref="E80:E83" si="18">E75</f>
        <v>C2</v>
      </c>
    </row>
    <row r="81" spans="1:5" x14ac:dyDescent="0.45">
      <c r="A81">
        <v>5</v>
      </c>
      <c r="B81" t="str">
        <f t="shared" si="17"/>
        <v>c 2 deg (67%).e2d</v>
      </c>
      <c r="C81">
        <f t="shared" si="16"/>
        <v>73</v>
      </c>
      <c r="D81" t="s">
        <v>143</v>
      </c>
      <c r="E81" t="str">
        <f t="shared" si="18"/>
        <v>C3</v>
      </c>
    </row>
    <row r="82" spans="1:5" x14ac:dyDescent="0.45">
      <c r="A82">
        <v>5</v>
      </c>
      <c r="B82" t="str">
        <f t="shared" si="17"/>
        <v>b 2 deg (50%).e2d</v>
      </c>
      <c r="C82">
        <f t="shared" si="16"/>
        <v>74</v>
      </c>
      <c r="D82" t="s">
        <v>143</v>
      </c>
      <c r="E82" t="str">
        <f t="shared" si="18"/>
        <v>C4</v>
      </c>
    </row>
    <row r="83" spans="1:5" x14ac:dyDescent="0.45">
      <c r="A83">
        <v>5</v>
      </c>
      <c r="B83" t="str">
        <f t="shared" si="17"/>
        <v>a 3 deg.e2d</v>
      </c>
      <c r="C83">
        <f t="shared" si="16"/>
        <v>75</v>
      </c>
      <c r="D83" t="s">
        <v>143</v>
      </c>
      <c r="E83" t="str">
        <f t="shared" si="18"/>
        <v>C7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145</v>
      </c>
      <c r="B11">
        <v>20.6</v>
      </c>
      <c r="C11">
        <v>30.9</v>
      </c>
      <c r="D11">
        <v>11</v>
      </c>
      <c r="E11">
        <v>15.2</v>
      </c>
      <c r="F11">
        <v>42</v>
      </c>
      <c r="G11">
        <v>52</v>
      </c>
      <c r="H11">
        <v>14</v>
      </c>
      <c r="I11">
        <v>22</v>
      </c>
      <c r="J11" t="s">
        <v>147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145</v>
      </c>
      <c r="B11">
        <v>2000</v>
      </c>
      <c r="C11">
        <v>13.25</v>
      </c>
      <c r="D11">
        <v>13.32</v>
      </c>
      <c r="E11">
        <v>0</v>
      </c>
      <c r="F11">
        <v>0</v>
      </c>
      <c r="G11">
        <v>0</v>
      </c>
      <c r="H11">
        <v>0</v>
      </c>
      <c r="I11">
        <v>26.56</v>
      </c>
    </row>
    <row r="12" spans="1:9" x14ac:dyDescent="0.45">
      <c r="A12" t="s">
        <v>145</v>
      </c>
      <c r="B12">
        <v>2001</v>
      </c>
      <c r="C12">
        <v>15.37</v>
      </c>
      <c r="D12">
        <v>15.24</v>
      </c>
      <c r="E12">
        <v>0</v>
      </c>
      <c r="F12">
        <v>0</v>
      </c>
      <c r="G12">
        <v>0</v>
      </c>
      <c r="H12">
        <v>0</v>
      </c>
      <c r="I12">
        <v>30.61</v>
      </c>
    </row>
    <row r="13" spans="1:9" x14ac:dyDescent="0.45">
      <c r="A13" t="s">
        <v>145</v>
      </c>
      <c r="B13">
        <v>2002</v>
      </c>
      <c r="C13">
        <v>18.41</v>
      </c>
      <c r="D13">
        <v>17.39</v>
      </c>
      <c r="E13">
        <v>0</v>
      </c>
      <c r="F13">
        <v>0</v>
      </c>
      <c r="G13">
        <v>0</v>
      </c>
      <c r="H13">
        <v>0</v>
      </c>
      <c r="I13">
        <v>35.799999999999997</v>
      </c>
    </row>
    <row r="14" spans="1:9" x14ac:dyDescent="0.45">
      <c r="A14" t="s">
        <v>145</v>
      </c>
      <c r="B14">
        <v>2003</v>
      </c>
      <c r="C14">
        <v>21.29</v>
      </c>
      <c r="D14">
        <v>19.63</v>
      </c>
      <c r="E14">
        <v>0</v>
      </c>
      <c r="F14">
        <v>0</v>
      </c>
      <c r="G14">
        <v>0</v>
      </c>
      <c r="H14">
        <v>0</v>
      </c>
      <c r="I14">
        <v>40.92</v>
      </c>
    </row>
    <row r="15" spans="1:9" x14ac:dyDescent="0.45">
      <c r="A15" t="s">
        <v>145</v>
      </c>
      <c r="B15">
        <v>2004</v>
      </c>
      <c r="C15">
        <v>24.31</v>
      </c>
      <c r="D15">
        <v>21.7</v>
      </c>
      <c r="E15">
        <v>0</v>
      </c>
      <c r="F15">
        <v>0</v>
      </c>
      <c r="G15">
        <v>0</v>
      </c>
      <c r="H15">
        <v>0</v>
      </c>
      <c r="I15">
        <v>46.21</v>
      </c>
    </row>
    <row r="16" spans="1:9" x14ac:dyDescent="0.45">
      <c r="A16" t="s">
        <v>145</v>
      </c>
      <c r="B16">
        <v>2005</v>
      </c>
      <c r="C16">
        <v>29.74</v>
      </c>
      <c r="D16">
        <v>24.3</v>
      </c>
      <c r="E16">
        <v>0</v>
      </c>
      <c r="F16">
        <v>0</v>
      </c>
      <c r="G16">
        <v>0.38</v>
      </c>
      <c r="H16">
        <v>0</v>
      </c>
      <c r="I16">
        <v>53.66</v>
      </c>
    </row>
    <row r="17" spans="1:9" x14ac:dyDescent="0.45">
      <c r="A17" t="s">
        <v>145</v>
      </c>
      <c r="B17">
        <v>2006</v>
      </c>
      <c r="C17">
        <v>34.5</v>
      </c>
      <c r="D17">
        <v>26.96</v>
      </c>
      <c r="E17">
        <v>0</v>
      </c>
      <c r="F17">
        <v>0</v>
      </c>
      <c r="G17">
        <v>0.97</v>
      </c>
      <c r="H17">
        <v>0</v>
      </c>
      <c r="I17">
        <v>60.49</v>
      </c>
    </row>
    <row r="18" spans="1:9" x14ac:dyDescent="0.45">
      <c r="A18" t="s">
        <v>145</v>
      </c>
      <c r="B18">
        <v>2007</v>
      </c>
      <c r="C18">
        <v>40.409999999999997</v>
      </c>
      <c r="D18">
        <v>29.23</v>
      </c>
      <c r="E18">
        <v>0</v>
      </c>
      <c r="F18">
        <v>0</v>
      </c>
      <c r="G18">
        <v>2.63</v>
      </c>
      <c r="H18">
        <v>0</v>
      </c>
      <c r="I18">
        <v>67.010000000000005</v>
      </c>
    </row>
    <row r="19" spans="1:9" x14ac:dyDescent="0.45">
      <c r="A19" t="s">
        <v>145</v>
      </c>
      <c r="B19">
        <v>2008</v>
      </c>
      <c r="C19">
        <v>43.84</v>
      </c>
      <c r="D19">
        <v>32.770000000000003</v>
      </c>
      <c r="E19">
        <v>0</v>
      </c>
      <c r="F19">
        <v>0</v>
      </c>
      <c r="G19">
        <v>3.22</v>
      </c>
      <c r="H19">
        <v>0</v>
      </c>
      <c r="I19">
        <v>73.400000000000006</v>
      </c>
    </row>
    <row r="20" spans="1:9" x14ac:dyDescent="0.45">
      <c r="A20" t="s">
        <v>145</v>
      </c>
      <c r="B20">
        <v>2009</v>
      </c>
      <c r="C20">
        <v>49.91</v>
      </c>
      <c r="D20">
        <v>36.99</v>
      </c>
      <c r="E20">
        <v>0</v>
      </c>
      <c r="F20">
        <v>0</v>
      </c>
      <c r="G20">
        <v>4.0999999999999996</v>
      </c>
      <c r="H20">
        <v>-0.37</v>
      </c>
      <c r="I20">
        <v>83.18</v>
      </c>
    </row>
    <row r="21" spans="1:9" x14ac:dyDescent="0.45">
      <c r="A21" t="s">
        <v>145</v>
      </c>
      <c r="B21">
        <v>2010</v>
      </c>
      <c r="C21">
        <v>59.13</v>
      </c>
      <c r="D21">
        <v>40.409999999999997</v>
      </c>
      <c r="E21">
        <v>0</v>
      </c>
      <c r="F21">
        <v>0</v>
      </c>
      <c r="G21">
        <v>5.6</v>
      </c>
      <c r="H21">
        <v>-0.96</v>
      </c>
      <c r="I21">
        <v>94.9</v>
      </c>
    </row>
    <row r="22" spans="1:9" x14ac:dyDescent="0.45">
      <c r="A22" t="s">
        <v>145</v>
      </c>
      <c r="B22">
        <v>2011</v>
      </c>
      <c r="C22">
        <v>63.08</v>
      </c>
      <c r="D22">
        <v>44.58</v>
      </c>
      <c r="E22">
        <v>0</v>
      </c>
      <c r="F22">
        <v>0</v>
      </c>
      <c r="G22">
        <v>4.96</v>
      </c>
      <c r="H22">
        <v>-1.0900000000000001</v>
      </c>
      <c r="I22">
        <v>104.07</v>
      </c>
    </row>
    <row r="23" spans="1:9" x14ac:dyDescent="0.45">
      <c r="A23" t="s">
        <v>145</v>
      </c>
      <c r="B23">
        <v>2012</v>
      </c>
      <c r="C23">
        <v>68.97</v>
      </c>
      <c r="D23">
        <v>50.08</v>
      </c>
      <c r="E23">
        <v>0</v>
      </c>
      <c r="F23">
        <v>0</v>
      </c>
      <c r="G23">
        <v>2.68</v>
      </c>
      <c r="H23">
        <v>-1.22</v>
      </c>
      <c r="I23">
        <v>117.59</v>
      </c>
    </row>
    <row r="24" spans="1:9" x14ac:dyDescent="0.45">
      <c r="A24" t="s">
        <v>145</v>
      </c>
      <c r="B24">
        <v>2013</v>
      </c>
      <c r="C24">
        <v>75.11</v>
      </c>
      <c r="D24">
        <v>54.58</v>
      </c>
      <c r="E24">
        <v>0</v>
      </c>
      <c r="F24">
        <v>0</v>
      </c>
      <c r="G24">
        <v>3.66</v>
      </c>
      <c r="H24">
        <v>-1.34</v>
      </c>
      <c r="I24">
        <v>120.58</v>
      </c>
    </row>
    <row r="25" spans="1:9" x14ac:dyDescent="0.45">
      <c r="A25" t="s">
        <v>145</v>
      </c>
      <c r="B25">
        <v>2014</v>
      </c>
      <c r="C25">
        <v>85.42</v>
      </c>
      <c r="D25">
        <v>59.26</v>
      </c>
      <c r="E25">
        <v>0</v>
      </c>
      <c r="F25">
        <v>0</v>
      </c>
      <c r="G25">
        <v>2.33</v>
      </c>
      <c r="H25">
        <v>-0.88</v>
      </c>
      <c r="I25">
        <v>138.37</v>
      </c>
    </row>
    <row r="26" spans="1:9" x14ac:dyDescent="0.45">
      <c r="A26" t="s">
        <v>145</v>
      </c>
      <c r="B26">
        <v>2015</v>
      </c>
      <c r="C26">
        <v>97.57</v>
      </c>
      <c r="D26">
        <v>65.680000000000007</v>
      </c>
      <c r="E26">
        <v>0</v>
      </c>
      <c r="F26">
        <v>0</v>
      </c>
      <c r="G26">
        <v>2.39</v>
      </c>
      <c r="H26">
        <v>-1.42</v>
      </c>
      <c r="I26">
        <v>161.91</v>
      </c>
    </row>
    <row r="27" spans="1:9" x14ac:dyDescent="0.45">
      <c r="A27" t="s">
        <v>145</v>
      </c>
      <c r="B27">
        <v>2016</v>
      </c>
      <c r="C27">
        <v>106.62</v>
      </c>
      <c r="D27">
        <v>73.66</v>
      </c>
      <c r="E27">
        <v>0</v>
      </c>
      <c r="F27">
        <v>0</v>
      </c>
      <c r="G27">
        <v>2.74</v>
      </c>
      <c r="H27">
        <v>-1.41</v>
      </c>
      <c r="I27">
        <v>180.46</v>
      </c>
    </row>
    <row r="28" spans="1:9" x14ac:dyDescent="0.45">
      <c r="A28" t="s">
        <v>145</v>
      </c>
      <c r="B28">
        <v>2017</v>
      </c>
      <c r="C28">
        <v>116.85</v>
      </c>
      <c r="D28">
        <v>78.22</v>
      </c>
      <c r="E28">
        <v>0</v>
      </c>
      <c r="F28">
        <v>0</v>
      </c>
      <c r="G28">
        <v>2.36</v>
      </c>
      <c r="H28">
        <v>-1.65</v>
      </c>
      <c r="I28">
        <v>195.98</v>
      </c>
    </row>
    <row r="29" spans="1:9" x14ac:dyDescent="0.45">
      <c r="A29" t="s">
        <v>145</v>
      </c>
      <c r="B29">
        <v>2018</v>
      </c>
      <c r="C29">
        <v>133.01</v>
      </c>
      <c r="D29">
        <v>85.79</v>
      </c>
      <c r="E29">
        <v>0</v>
      </c>
      <c r="F29">
        <v>0</v>
      </c>
      <c r="G29">
        <v>3.12</v>
      </c>
      <c r="H29">
        <v>-1.51</v>
      </c>
      <c r="I29">
        <v>217.36</v>
      </c>
    </row>
    <row r="30" spans="1:9" x14ac:dyDescent="0.45">
      <c r="A30" t="s">
        <v>145</v>
      </c>
      <c r="B30">
        <v>2019</v>
      </c>
      <c r="C30">
        <v>142.49</v>
      </c>
      <c r="D30">
        <v>95.64</v>
      </c>
      <c r="E30">
        <v>0</v>
      </c>
      <c r="F30">
        <v>0</v>
      </c>
      <c r="G30">
        <v>3.32</v>
      </c>
      <c r="H30">
        <v>-2.0699999999999998</v>
      </c>
      <c r="I30">
        <v>236.78</v>
      </c>
    </row>
    <row r="31" spans="1:9" x14ac:dyDescent="0.45">
      <c r="A31" t="s">
        <v>145</v>
      </c>
      <c r="B31">
        <v>2020</v>
      </c>
      <c r="C31">
        <v>143.43</v>
      </c>
      <c r="D31">
        <v>99.87</v>
      </c>
      <c r="E31">
        <v>0</v>
      </c>
      <c r="F31">
        <v>0</v>
      </c>
      <c r="G31">
        <v>3.07</v>
      </c>
      <c r="H31">
        <v>-1.56</v>
      </c>
      <c r="I31">
        <v>240.12</v>
      </c>
    </row>
    <row r="32" spans="1:9" x14ac:dyDescent="0.45">
      <c r="A32" t="s">
        <v>145</v>
      </c>
      <c r="B32">
        <v>2021</v>
      </c>
      <c r="C32">
        <v>153.34</v>
      </c>
      <c r="D32">
        <v>101.84</v>
      </c>
      <c r="E32">
        <v>0</v>
      </c>
      <c r="F32">
        <v>0.14000000000000001</v>
      </c>
      <c r="G32">
        <v>1.4</v>
      </c>
      <c r="H32">
        <v>-0.57999999999999996</v>
      </c>
      <c r="I32">
        <v>253.42</v>
      </c>
    </row>
    <row r="33" spans="1:9" x14ac:dyDescent="0.45">
      <c r="A33" t="s">
        <v>145</v>
      </c>
      <c r="B33">
        <v>2022</v>
      </c>
      <c r="C33">
        <v>151.61000000000001</v>
      </c>
      <c r="D33">
        <v>112.78</v>
      </c>
      <c r="E33">
        <v>0</v>
      </c>
      <c r="F33">
        <v>0.48</v>
      </c>
      <c r="G33">
        <v>3.28</v>
      </c>
      <c r="H33">
        <v>-0.96</v>
      </c>
      <c r="I33">
        <v>276.42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146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45">
      <c r="A12" t="s">
        <v>0</v>
      </c>
      <c r="B12" t="s">
        <v>146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146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146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45">
      <c r="A15" t="s">
        <v>0</v>
      </c>
      <c r="B15" t="s">
        <v>146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146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146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45">
      <c r="A18" t="s">
        <v>2</v>
      </c>
      <c r="B18" t="s">
        <v>146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45">
      <c r="A19" t="s">
        <v>2</v>
      </c>
      <c r="B19" t="s">
        <v>146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45">
      <c r="A20" t="s">
        <v>2</v>
      </c>
      <c r="B20" t="s">
        <v>146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45">
      <c r="A21" t="s">
        <v>2</v>
      </c>
      <c r="B21" t="s">
        <v>146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146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45">
      <c r="A23" t="s">
        <v>2</v>
      </c>
      <c r="B23" t="s">
        <v>146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45">
      <c r="A24" t="s">
        <v>2</v>
      </c>
      <c r="B24" t="s">
        <v>146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146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45">
      <c r="A26" t="s">
        <v>5</v>
      </c>
      <c r="B26" t="s">
        <v>146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45">
      <c r="A27" t="s">
        <v>5</v>
      </c>
      <c r="B27" t="s">
        <v>146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45">
      <c r="A28" t="s">
        <v>5</v>
      </c>
      <c r="B28" t="s">
        <v>146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45">
      <c r="A29" t="s">
        <v>5</v>
      </c>
      <c r="B29" t="s">
        <v>146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45">
      <c r="A30" t="s">
        <v>5</v>
      </c>
      <c r="B30" t="s">
        <v>146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45">
      <c r="A31" t="s">
        <v>5</v>
      </c>
      <c r="B31" t="s">
        <v>146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45">
      <c r="A32" t="s">
        <v>7</v>
      </c>
      <c r="B32" t="s">
        <v>146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45">
      <c r="A33" t="s">
        <v>7</v>
      </c>
      <c r="B33" t="s">
        <v>146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45">
      <c r="A34" t="s">
        <v>7</v>
      </c>
      <c r="B34" t="s">
        <v>146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45">
      <c r="A35" t="s">
        <v>7</v>
      </c>
      <c r="B35" t="s">
        <v>146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146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45">
      <c r="A37" t="s">
        <v>7</v>
      </c>
      <c r="B37" t="s">
        <v>146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146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146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45">
      <c r="A40" t="s">
        <v>9</v>
      </c>
      <c r="B40" t="s">
        <v>146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45">
      <c r="A41" t="s">
        <v>9</v>
      </c>
      <c r="B41" t="s">
        <v>146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45">
      <c r="A42" t="s">
        <v>9</v>
      </c>
      <c r="B42" t="s">
        <v>146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45">
      <c r="A43" t="s">
        <v>9</v>
      </c>
      <c r="B43" t="s">
        <v>146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146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45">
      <c r="A45" t="s">
        <v>9</v>
      </c>
      <c r="B45" t="s">
        <v>146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146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146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146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146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45">
      <c r="A50" t="s">
        <v>0</v>
      </c>
      <c r="B50" t="s">
        <v>146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45">
      <c r="A51" t="s">
        <v>0</v>
      </c>
      <c r="B51" t="s">
        <v>146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45">
      <c r="A52" t="s">
        <v>0</v>
      </c>
      <c r="B52" t="s">
        <v>146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45">
      <c r="A53" t="s">
        <v>2</v>
      </c>
      <c r="B53" t="s">
        <v>146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146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146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146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45">
      <c r="A57" t="s">
        <v>2</v>
      </c>
      <c r="B57" t="s">
        <v>146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45">
      <c r="A58" t="s">
        <v>2</v>
      </c>
      <c r="B58" t="s">
        <v>146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45">
      <c r="A59" t="s">
        <v>2</v>
      </c>
      <c r="B59" t="s">
        <v>146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45">
      <c r="A60" t="s">
        <v>5</v>
      </c>
      <c r="B60" t="s">
        <v>146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146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146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45">
      <c r="A63" t="s">
        <v>5</v>
      </c>
      <c r="B63" t="s">
        <v>146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45">
      <c r="A64" t="s">
        <v>5</v>
      </c>
      <c r="B64" t="s">
        <v>146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45">
      <c r="A65" t="s">
        <v>5</v>
      </c>
      <c r="B65" t="s">
        <v>146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45">
      <c r="A66" t="s">
        <v>5</v>
      </c>
      <c r="B66" t="s">
        <v>146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45">
      <c r="A67" t="s">
        <v>7</v>
      </c>
      <c r="B67" t="s">
        <v>146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146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45">
      <c r="A69" t="s">
        <v>7</v>
      </c>
      <c r="B69" t="s">
        <v>146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45">
      <c r="A70" t="s">
        <v>7</v>
      </c>
      <c r="B70" t="s">
        <v>146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45">
      <c r="A71" t="s">
        <v>7</v>
      </c>
      <c r="B71" t="s">
        <v>146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45">
      <c r="A72" t="s">
        <v>7</v>
      </c>
      <c r="B72" t="s">
        <v>146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45">
      <c r="A73" t="s">
        <v>7</v>
      </c>
      <c r="B73" t="s">
        <v>146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45">
      <c r="A74" t="s">
        <v>9</v>
      </c>
      <c r="B74" t="s">
        <v>146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146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45">
      <c r="A76" t="s">
        <v>9</v>
      </c>
      <c r="B76" t="s">
        <v>146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45">
      <c r="A77" t="s">
        <v>9</v>
      </c>
      <c r="B77" t="s">
        <v>146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45">
      <c r="A78" t="s">
        <v>9</v>
      </c>
      <c r="B78" t="s">
        <v>146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45">
      <c r="A79" t="s">
        <v>9</v>
      </c>
      <c r="B79" t="s">
        <v>146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45">
      <c r="A80" t="s">
        <v>9</v>
      </c>
      <c r="B80" t="s">
        <v>146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45">
      <c r="A81" t="s">
        <v>0</v>
      </c>
      <c r="B81" t="s">
        <v>146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146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146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146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146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45">
      <c r="A86" t="s">
        <v>0</v>
      </c>
      <c r="B86" t="s">
        <v>146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146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146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146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146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146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146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146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45">
      <c r="A94" t="s">
        <v>2</v>
      </c>
      <c r="B94" t="s">
        <v>146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45">
      <c r="A95" t="s">
        <v>5</v>
      </c>
      <c r="B95" t="s">
        <v>146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146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146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146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146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146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146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146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146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146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146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146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146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146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45">
      <c r="A109" t="s">
        <v>9</v>
      </c>
      <c r="B109" t="s">
        <v>146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146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146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146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146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146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146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146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45">
      <c r="A117" t="s">
        <v>0</v>
      </c>
      <c r="B117" t="s">
        <v>146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45">
      <c r="A118" t="s">
        <v>0</v>
      </c>
      <c r="B118" t="s">
        <v>146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45">
      <c r="A119" t="s">
        <v>0</v>
      </c>
      <c r="B119" t="s">
        <v>146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45">
      <c r="A120" t="s">
        <v>0</v>
      </c>
      <c r="B120" t="s">
        <v>146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45">
      <c r="A121" t="s">
        <v>0</v>
      </c>
      <c r="B121" t="s">
        <v>146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146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45">
      <c r="A123" t="s">
        <v>2</v>
      </c>
      <c r="B123" t="s">
        <v>146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45">
      <c r="A124" t="s">
        <v>2</v>
      </c>
      <c r="B124" t="s">
        <v>146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45">
      <c r="A125" t="s">
        <v>2</v>
      </c>
      <c r="B125" t="s">
        <v>146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146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45">
      <c r="A127" t="s">
        <v>2</v>
      </c>
      <c r="B127" t="s">
        <v>146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45">
      <c r="A128" t="s">
        <v>2</v>
      </c>
      <c r="B128" t="s">
        <v>146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45">
      <c r="A129" t="s">
        <v>2</v>
      </c>
      <c r="B129" t="s">
        <v>146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45">
      <c r="A130" t="s">
        <v>5</v>
      </c>
      <c r="B130" t="s">
        <v>146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45">
      <c r="A131" t="s">
        <v>5</v>
      </c>
      <c r="B131" t="s">
        <v>146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45">
      <c r="A132" t="s">
        <v>5</v>
      </c>
      <c r="B132" t="s">
        <v>146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146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45">
      <c r="A134" t="s">
        <v>5</v>
      </c>
      <c r="B134" t="s">
        <v>146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45">
      <c r="A135" t="s">
        <v>5</v>
      </c>
      <c r="B135" t="s">
        <v>146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45">
      <c r="A136" t="s">
        <v>5</v>
      </c>
      <c r="B136" t="s">
        <v>146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45">
      <c r="A137" t="s">
        <v>7</v>
      </c>
      <c r="B137" t="s">
        <v>146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45">
      <c r="A138" t="s">
        <v>7</v>
      </c>
      <c r="B138" t="s">
        <v>146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45">
      <c r="A139" t="s">
        <v>7</v>
      </c>
      <c r="B139" t="s">
        <v>146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45">
      <c r="A140" t="s">
        <v>7</v>
      </c>
      <c r="B140" t="s">
        <v>146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45">
      <c r="A141" t="s">
        <v>7</v>
      </c>
      <c r="B141" t="s">
        <v>146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146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146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146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146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146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146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146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146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146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146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146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45">
      <c r="A153" t="s">
        <v>0</v>
      </c>
      <c r="B153" t="s">
        <v>146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146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146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146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45">
      <c r="A157" t="s">
        <v>0</v>
      </c>
      <c r="B157" t="s">
        <v>146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146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146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146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146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146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146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45">
      <c r="A164" t="s">
        <v>2</v>
      </c>
      <c r="B164" t="s">
        <v>146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146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146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146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146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146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45">
      <c r="A170" t="s">
        <v>5</v>
      </c>
      <c r="B170" t="s">
        <v>146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146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146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45">
      <c r="A173" t="s">
        <v>7</v>
      </c>
      <c r="B173" t="s">
        <v>146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45">
      <c r="A174" t="s">
        <v>7</v>
      </c>
      <c r="B174" t="s">
        <v>146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45">
      <c r="A175" t="s">
        <v>7</v>
      </c>
      <c r="B175" t="s">
        <v>146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146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146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45">
      <c r="A178" t="s">
        <v>7</v>
      </c>
      <c r="B178" t="s">
        <v>146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45">
      <c r="A179" t="s">
        <v>9</v>
      </c>
      <c r="B179" t="s">
        <v>146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146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146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146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146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146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146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146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146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146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146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146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146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146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146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146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146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146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45">
      <c r="A197" t="s">
        <v>2</v>
      </c>
      <c r="B197" t="s">
        <v>146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146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146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146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146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146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146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146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45">
      <c r="A205" t="s">
        <v>5</v>
      </c>
      <c r="B205" t="s">
        <v>146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45">
      <c r="A206" t="s">
        <v>5</v>
      </c>
      <c r="B206" t="s">
        <v>146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45">
      <c r="A207" t="s">
        <v>7</v>
      </c>
      <c r="B207" t="s">
        <v>146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146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146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146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146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146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45">
      <c r="A213" t="s">
        <v>7</v>
      </c>
      <c r="B213" t="s">
        <v>146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45">
      <c r="A214" t="s">
        <v>9</v>
      </c>
      <c r="B214" t="s">
        <v>146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146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146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146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146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146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146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146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146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146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146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45">
      <c r="A225" t="s">
        <v>0</v>
      </c>
      <c r="B225" t="s">
        <v>146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45">
      <c r="A226" t="s">
        <v>0</v>
      </c>
      <c r="B226" t="s">
        <v>146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146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45">
      <c r="A228" t="s">
        <v>2</v>
      </c>
      <c r="B228" t="s">
        <v>146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146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45">
      <c r="A230" t="s">
        <v>2</v>
      </c>
      <c r="B230" t="s">
        <v>146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146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45">
      <c r="A232" t="s">
        <v>2</v>
      </c>
      <c r="B232" t="s">
        <v>146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146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146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146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146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45">
      <c r="A237" t="s">
        <v>5</v>
      </c>
      <c r="B237" t="s">
        <v>146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45">
      <c r="A238" t="s">
        <v>5</v>
      </c>
      <c r="B238" t="s">
        <v>146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45">
      <c r="A239" t="s">
        <v>5</v>
      </c>
      <c r="B239" t="s">
        <v>146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45">
      <c r="A240" t="s">
        <v>5</v>
      </c>
      <c r="B240" t="s">
        <v>146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146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45">
      <c r="A242" t="s">
        <v>7</v>
      </c>
      <c r="B242" t="s">
        <v>146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146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146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45">
      <c r="A245" t="s">
        <v>7</v>
      </c>
      <c r="B245" t="s">
        <v>146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45">
      <c r="A246" t="s">
        <v>7</v>
      </c>
      <c r="B246" t="s">
        <v>146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45">
      <c r="A247" t="s">
        <v>7</v>
      </c>
      <c r="B247" t="s">
        <v>146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45">
      <c r="A248" t="s">
        <v>7</v>
      </c>
      <c r="B248" t="s">
        <v>146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146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146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146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146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146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146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146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146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146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146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146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45">
      <c r="A260" t="s">
        <v>0</v>
      </c>
      <c r="B260" t="s">
        <v>146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45">
      <c r="A261" t="s">
        <v>0</v>
      </c>
      <c r="B261" t="s">
        <v>146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45">
      <c r="A262" t="s">
        <v>0</v>
      </c>
      <c r="B262" t="s">
        <v>146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146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146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45">
      <c r="A265" t="s">
        <v>2</v>
      </c>
      <c r="B265" t="s">
        <v>146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45">
      <c r="A266" t="s">
        <v>2</v>
      </c>
      <c r="B266" t="s">
        <v>146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146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45">
      <c r="A268" t="s">
        <v>2</v>
      </c>
      <c r="B268" t="s">
        <v>146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45">
      <c r="A269" t="s">
        <v>2</v>
      </c>
      <c r="B269" t="s">
        <v>146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45">
      <c r="A270" t="s">
        <v>5</v>
      </c>
      <c r="B270" t="s">
        <v>146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146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45">
      <c r="A272" t="s">
        <v>5</v>
      </c>
      <c r="B272" t="s">
        <v>146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45">
      <c r="A273" t="s">
        <v>5</v>
      </c>
      <c r="B273" t="s">
        <v>146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146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45">
      <c r="A275" t="s">
        <v>5</v>
      </c>
      <c r="B275" t="s">
        <v>146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45">
      <c r="A276" t="s">
        <v>5</v>
      </c>
      <c r="B276" t="s">
        <v>146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45">
      <c r="A277" t="s">
        <v>7</v>
      </c>
      <c r="B277" t="s">
        <v>146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146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45">
      <c r="A279" t="s">
        <v>7</v>
      </c>
      <c r="B279" t="s">
        <v>146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45">
      <c r="A280" t="s">
        <v>7</v>
      </c>
      <c r="B280" t="s">
        <v>146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146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45">
      <c r="A282" t="s">
        <v>7</v>
      </c>
      <c r="B282" t="s">
        <v>146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45">
      <c r="A283" t="s">
        <v>7</v>
      </c>
      <c r="B283" t="s">
        <v>146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146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146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146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146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146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146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146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146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146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45">
      <c r="A293" t="s">
        <v>0</v>
      </c>
      <c r="B293" t="s">
        <v>146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45">
      <c r="A294" t="s">
        <v>0</v>
      </c>
      <c r="B294" t="s">
        <v>146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45">
      <c r="A295" t="s">
        <v>0</v>
      </c>
      <c r="B295" t="s">
        <v>146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45">
      <c r="A296" t="s">
        <v>0</v>
      </c>
      <c r="B296" t="s">
        <v>146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45">
      <c r="A297" t="s">
        <v>0</v>
      </c>
      <c r="B297" t="s">
        <v>146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45">
      <c r="A298" t="s">
        <v>2</v>
      </c>
      <c r="B298" t="s">
        <v>146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146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146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45">
      <c r="A301" t="s">
        <v>2</v>
      </c>
      <c r="B301" t="s">
        <v>146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146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45">
      <c r="A303" t="s">
        <v>2</v>
      </c>
      <c r="B303" t="s">
        <v>146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45">
      <c r="A304" t="s">
        <v>2</v>
      </c>
      <c r="B304" t="s">
        <v>146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146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146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45">
      <c r="A307" t="s">
        <v>5</v>
      </c>
      <c r="B307" t="s">
        <v>146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45">
      <c r="A308" t="s">
        <v>5</v>
      </c>
      <c r="B308" t="s">
        <v>146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146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45">
      <c r="A310" t="s">
        <v>5</v>
      </c>
      <c r="B310" t="s">
        <v>146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45">
      <c r="A311" t="s">
        <v>5</v>
      </c>
      <c r="B311" t="s">
        <v>146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45">
      <c r="A312" t="s">
        <v>7</v>
      </c>
      <c r="B312" t="s">
        <v>146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146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45">
      <c r="A314" t="s">
        <v>7</v>
      </c>
      <c r="B314" t="s">
        <v>146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45">
      <c r="A315" t="s">
        <v>7</v>
      </c>
      <c r="B315" t="s">
        <v>146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45">
      <c r="A316" t="s">
        <v>7</v>
      </c>
      <c r="B316" t="s">
        <v>146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45">
      <c r="A317" t="s">
        <v>7</v>
      </c>
      <c r="B317" t="s">
        <v>146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146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146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146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146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146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146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146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146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146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146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45">
      <c r="A328" t="s">
        <v>0</v>
      </c>
      <c r="B328" t="s">
        <v>146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146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45">
      <c r="A330" t="s">
        <v>0</v>
      </c>
      <c r="B330" t="s">
        <v>146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146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45">
      <c r="A332" t="s">
        <v>0</v>
      </c>
      <c r="B332" t="s">
        <v>146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45">
      <c r="A333" t="s">
        <v>2</v>
      </c>
      <c r="B333" t="s">
        <v>146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146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45">
      <c r="A335" t="s">
        <v>2</v>
      </c>
      <c r="B335" t="s">
        <v>146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146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146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146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146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146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146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146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146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45">
      <c r="A344" t="s">
        <v>5</v>
      </c>
      <c r="B344" t="s">
        <v>146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45">
      <c r="A345" t="s">
        <v>5</v>
      </c>
      <c r="B345" t="s">
        <v>146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146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146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146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146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45">
      <c r="A350" t="s">
        <v>7</v>
      </c>
      <c r="B350" t="s">
        <v>146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45">
      <c r="A351" t="s">
        <v>7</v>
      </c>
      <c r="B351" t="s">
        <v>146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45">
      <c r="A352" t="s">
        <v>7</v>
      </c>
      <c r="B352" t="s">
        <v>146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45">
      <c r="A353" t="s">
        <v>7</v>
      </c>
      <c r="B353" t="s">
        <v>146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146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146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146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146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146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146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146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P24"/>
  <sheetViews>
    <sheetView workbookViewId="0">
      <selection activeCell="H21" sqref="H21"/>
    </sheetView>
  </sheetViews>
  <sheetFormatPr defaultRowHeight="14.25" x14ac:dyDescent="0.45"/>
  <sheetData>
    <row r="10" spans="1:16" x14ac:dyDescent="0.45">
      <c r="A10" t="str">
        <f>IFERROR(Veda!D5,"ts_12t")</f>
        <v>ts_annual</v>
      </c>
      <c r="B10" s="15"/>
      <c r="C10" s="15" t="s">
        <v>241</v>
      </c>
      <c r="D10" t="s">
        <v>124</v>
      </c>
      <c r="F10" t="s">
        <v>241</v>
      </c>
      <c r="G10" t="s">
        <v>126</v>
      </c>
      <c r="I10" t="s">
        <v>241</v>
      </c>
      <c r="J10" t="s">
        <v>143</v>
      </c>
      <c r="L10" t="s">
        <v>241</v>
      </c>
      <c r="M10" t="s">
        <v>106</v>
      </c>
      <c r="O10" t="s">
        <v>241</v>
      </c>
      <c r="P10" t="s">
        <v>131</v>
      </c>
    </row>
    <row r="11" spans="1:16" x14ac:dyDescent="0.45">
      <c r="B11" s="15"/>
      <c r="C11" s="15" t="s">
        <v>242</v>
      </c>
      <c r="D11" t="s">
        <v>243</v>
      </c>
      <c r="F11" t="s">
        <v>242</v>
      </c>
      <c r="G11" t="s">
        <v>294</v>
      </c>
      <c r="I11" t="s">
        <v>242</v>
      </c>
      <c r="J11" t="s">
        <v>394</v>
      </c>
      <c r="L11" t="s">
        <v>242</v>
      </c>
      <c r="M11" t="s">
        <v>398</v>
      </c>
      <c r="O11" t="s">
        <v>242</v>
      </c>
      <c r="P11" t="s">
        <v>417</v>
      </c>
    </row>
    <row r="12" spans="1:16" x14ac:dyDescent="0.45">
      <c r="B12" s="15"/>
      <c r="C12" s="15" t="s">
        <v>244</v>
      </c>
      <c r="D12" t="s">
        <v>245</v>
      </c>
      <c r="F12" t="s">
        <v>244</v>
      </c>
      <c r="G12" t="s">
        <v>295</v>
      </c>
      <c r="I12" t="s">
        <v>244</v>
      </c>
      <c r="J12" t="s">
        <v>395</v>
      </c>
      <c r="L12" t="s">
        <v>244</v>
      </c>
      <c r="M12" t="s">
        <v>398</v>
      </c>
      <c r="O12" t="s">
        <v>244</v>
      </c>
      <c r="P12" t="s">
        <v>418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7144-5778-4DC5-BC20-444914C3D4F3}">
  <dimension ref="A9:AN29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240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246</v>
      </c>
      <c r="AK10" t="s">
        <v>47</v>
      </c>
      <c r="AL10" t="s">
        <v>121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155</v>
      </c>
      <c r="I11" t="s">
        <v>164</v>
      </c>
      <c r="J11" t="s">
        <v>165</v>
      </c>
      <c r="K11">
        <v>3.0943377569577182E-2</v>
      </c>
      <c r="L11" t="s">
        <v>166</v>
      </c>
      <c r="N11" t="s">
        <v>201</v>
      </c>
      <c r="O11" t="s">
        <v>165</v>
      </c>
      <c r="P11">
        <v>0.226846413882278</v>
      </c>
      <c r="Q11" t="s">
        <v>166</v>
      </c>
      <c r="S11" t="s">
        <v>218</v>
      </c>
      <c r="T11" t="s">
        <v>165</v>
      </c>
      <c r="U11">
        <v>0.18539529437967178</v>
      </c>
      <c r="V11" t="s">
        <v>166</v>
      </c>
      <c r="X11">
        <v>0.22191780821917809</v>
      </c>
      <c r="Y11">
        <v>0.12300126793128308</v>
      </c>
      <c r="Z11" t="s">
        <v>165</v>
      </c>
      <c r="AA11" t="s">
        <v>25</v>
      </c>
      <c r="AC11" t="s">
        <v>22</v>
      </c>
      <c r="AD11" t="s">
        <v>165</v>
      </c>
      <c r="AE11">
        <v>0.26570341759391325</v>
      </c>
      <c r="AG11" t="s">
        <v>96</v>
      </c>
      <c r="AH11" t="s">
        <v>165</v>
      </c>
      <c r="AI11">
        <v>0.17563284906308341</v>
      </c>
      <c r="AK11">
        <v>2020</v>
      </c>
      <c r="AL11" t="s">
        <v>154</v>
      </c>
      <c r="AM11">
        <v>0.31941651407364191</v>
      </c>
      <c r="AN11" t="s">
        <v>249</v>
      </c>
    </row>
    <row r="12" spans="1:40" x14ac:dyDescent="0.45">
      <c r="C12" t="s">
        <v>158</v>
      </c>
      <c r="E12" t="s">
        <v>159</v>
      </c>
      <c r="G12" t="s">
        <v>155</v>
      </c>
      <c r="I12" t="s">
        <v>164</v>
      </c>
      <c r="J12" t="s">
        <v>167</v>
      </c>
      <c r="K12">
        <v>4.6021353050936631E-2</v>
      </c>
      <c r="L12" t="s">
        <v>166</v>
      </c>
      <c r="N12" t="s">
        <v>201</v>
      </c>
      <c r="O12" t="s">
        <v>167</v>
      </c>
      <c r="P12">
        <v>2.5717493811290525E-2</v>
      </c>
      <c r="Q12" t="s">
        <v>166</v>
      </c>
      <c r="S12" t="s">
        <v>218</v>
      </c>
      <c r="T12" t="s">
        <v>167</v>
      </c>
      <c r="U12">
        <v>2.6219340331388574E-2</v>
      </c>
      <c r="V12" t="s">
        <v>166</v>
      </c>
      <c r="X12">
        <v>2.7739726027397261E-2</v>
      </c>
      <c r="Y12">
        <v>3.5442408572209934E-2</v>
      </c>
      <c r="Z12" t="s">
        <v>167</v>
      </c>
      <c r="AA12" t="s">
        <v>25</v>
      </c>
      <c r="AC12" t="s">
        <v>22</v>
      </c>
      <c r="AD12" t="s">
        <v>167</v>
      </c>
      <c r="AE12">
        <v>3.622562300874916E-2</v>
      </c>
      <c r="AG12" t="s">
        <v>96</v>
      </c>
      <c r="AH12" t="s">
        <v>167</v>
      </c>
      <c r="AI12">
        <v>0.12354730475918041</v>
      </c>
      <c r="AK12">
        <v>2020</v>
      </c>
      <c r="AL12" t="s">
        <v>158</v>
      </c>
      <c r="AM12">
        <v>0.65208400042693992</v>
      </c>
      <c r="AN12" t="s">
        <v>249</v>
      </c>
    </row>
    <row r="13" spans="1:40" x14ac:dyDescent="0.45">
      <c r="C13" t="s">
        <v>160</v>
      </c>
      <c r="E13" t="s">
        <v>161</v>
      </c>
      <c r="G13" t="s">
        <v>155</v>
      </c>
      <c r="I13" t="s">
        <v>164</v>
      </c>
      <c r="J13" t="s">
        <v>168</v>
      </c>
      <c r="K13">
        <v>0.66514641161494503</v>
      </c>
      <c r="L13" t="s">
        <v>166</v>
      </c>
      <c r="N13" t="s">
        <v>201</v>
      </c>
      <c r="O13" t="s">
        <v>168</v>
      </c>
      <c r="P13">
        <v>0.3961633983037019</v>
      </c>
      <c r="Q13" t="s">
        <v>166</v>
      </c>
      <c r="S13" t="s">
        <v>218</v>
      </c>
      <c r="T13" t="s">
        <v>168</v>
      </c>
      <c r="U13">
        <v>0.36520195412821432</v>
      </c>
      <c r="V13" t="s">
        <v>166</v>
      </c>
      <c r="X13">
        <v>0.4160958904109589</v>
      </c>
      <c r="Y13">
        <v>0.5073097481540414</v>
      </c>
      <c r="Z13" t="s">
        <v>168</v>
      </c>
      <c r="AA13" t="s">
        <v>25</v>
      </c>
      <c r="AC13" t="s">
        <v>22</v>
      </c>
      <c r="AD13" t="s">
        <v>168</v>
      </c>
      <c r="AE13">
        <v>0.39883959946533792</v>
      </c>
      <c r="AG13" t="s">
        <v>96</v>
      </c>
      <c r="AH13" t="s">
        <v>168</v>
      </c>
      <c r="AI13">
        <v>0.40859063717051547</v>
      </c>
      <c r="AK13">
        <v>2020</v>
      </c>
      <c r="AL13" t="s">
        <v>160</v>
      </c>
      <c r="AM13">
        <v>0.52967232362045058</v>
      </c>
      <c r="AN13" t="s">
        <v>249</v>
      </c>
    </row>
    <row r="14" spans="1:40" x14ac:dyDescent="0.45">
      <c r="C14" t="s">
        <v>162</v>
      </c>
      <c r="I14" t="s">
        <v>164</v>
      </c>
      <c r="J14" t="s">
        <v>169</v>
      </c>
      <c r="K14">
        <v>5.1195147031987834E-3</v>
      </c>
      <c r="L14" t="s">
        <v>166</v>
      </c>
      <c r="N14" t="s">
        <v>201</v>
      </c>
      <c r="O14" t="s">
        <v>169</v>
      </c>
      <c r="P14">
        <v>5.8151003503039964E-2</v>
      </c>
      <c r="Q14" t="s">
        <v>166</v>
      </c>
      <c r="S14" t="s">
        <v>218</v>
      </c>
      <c r="T14" t="s">
        <v>169</v>
      </c>
      <c r="U14">
        <v>4.3632317871027775E-2</v>
      </c>
      <c r="V14" t="s">
        <v>166</v>
      </c>
      <c r="X14">
        <v>5.5707762557077628E-2</v>
      </c>
      <c r="Y14">
        <v>3.0876861497153366E-2</v>
      </c>
      <c r="Z14" t="s">
        <v>169</v>
      </c>
      <c r="AA14" t="s">
        <v>25</v>
      </c>
      <c r="AC14" t="s">
        <v>22</v>
      </c>
      <c r="AD14" t="s">
        <v>169</v>
      </c>
      <c r="AE14">
        <v>6.2821242715871334E-2</v>
      </c>
      <c r="AG14" t="s">
        <v>96</v>
      </c>
      <c r="AH14" t="s">
        <v>169</v>
      </c>
      <c r="AI14">
        <v>0.10086698775543557</v>
      </c>
      <c r="AK14">
        <v>2020</v>
      </c>
      <c r="AL14" t="s">
        <v>162</v>
      </c>
      <c r="AM14">
        <v>0.59715637362750873</v>
      </c>
      <c r="AN14" t="s">
        <v>249</v>
      </c>
    </row>
    <row r="15" spans="1:40" x14ac:dyDescent="0.45">
      <c r="I15" t="s">
        <v>164</v>
      </c>
      <c r="J15" t="s">
        <v>170</v>
      </c>
      <c r="K15">
        <v>9.7144655309426321E-3</v>
      </c>
      <c r="L15" t="s">
        <v>166</v>
      </c>
      <c r="N15" t="s">
        <v>201</v>
      </c>
      <c r="O15" t="s">
        <v>170</v>
      </c>
      <c r="P15">
        <v>7.7121537717761701E-3</v>
      </c>
      <c r="Q15" t="s">
        <v>166</v>
      </c>
      <c r="S15" t="s">
        <v>218</v>
      </c>
      <c r="T15" t="s">
        <v>170</v>
      </c>
      <c r="U15">
        <v>5.279943473696415E-3</v>
      </c>
      <c r="V15" t="s">
        <v>166</v>
      </c>
      <c r="X15">
        <v>6.9634703196347035E-3</v>
      </c>
      <c r="Y15">
        <v>8.8970655263572278E-3</v>
      </c>
      <c r="Z15" t="s">
        <v>170</v>
      </c>
      <c r="AA15" t="s">
        <v>25</v>
      </c>
      <c r="AC15" t="s">
        <v>22</v>
      </c>
      <c r="AD15" t="s">
        <v>170</v>
      </c>
      <c r="AE15">
        <v>8.4159671084456864E-3</v>
      </c>
      <c r="AG15" t="s">
        <v>96</v>
      </c>
      <c r="AH15" t="s">
        <v>170</v>
      </c>
      <c r="AI15">
        <v>5.8846435047355872E-2</v>
      </c>
      <c r="AK15">
        <v>2021</v>
      </c>
      <c r="AL15" t="s">
        <v>154</v>
      </c>
      <c r="AM15">
        <v>0.36521824810975545</v>
      </c>
      <c r="AN15" t="s">
        <v>249</v>
      </c>
    </row>
    <row r="16" spans="1:40" x14ac:dyDescent="0.45">
      <c r="I16" t="s">
        <v>164</v>
      </c>
      <c r="J16" t="s">
        <v>171</v>
      </c>
      <c r="K16">
        <v>0.13203311556604622</v>
      </c>
      <c r="L16" t="s">
        <v>166</v>
      </c>
      <c r="N16" t="s">
        <v>201</v>
      </c>
      <c r="O16" t="s">
        <v>171</v>
      </c>
      <c r="P16">
        <v>9.7229388598526159E-2</v>
      </c>
      <c r="Q16" t="s">
        <v>166</v>
      </c>
      <c r="S16" t="s">
        <v>218</v>
      </c>
      <c r="T16" t="s">
        <v>171</v>
      </c>
      <c r="U16">
        <v>7.5969480113032103E-2</v>
      </c>
      <c r="V16" t="s">
        <v>166</v>
      </c>
      <c r="X16">
        <v>0.10445205479452055</v>
      </c>
      <c r="Y16">
        <v>0.12734936064772232</v>
      </c>
      <c r="Z16" t="s">
        <v>171</v>
      </c>
      <c r="AA16" t="s">
        <v>25</v>
      </c>
      <c r="AC16" t="s">
        <v>22</v>
      </c>
      <c r="AD16" t="s">
        <v>171</v>
      </c>
      <c r="AE16">
        <v>8.878141261516044E-2</v>
      </c>
      <c r="AG16" t="s">
        <v>96</v>
      </c>
      <c r="AH16" t="s">
        <v>171</v>
      </c>
      <c r="AI16">
        <v>0.46716453294823723</v>
      </c>
      <c r="AK16">
        <v>2021</v>
      </c>
      <c r="AL16" t="s">
        <v>158</v>
      </c>
      <c r="AM16">
        <v>0.53094986179802006</v>
      </c>
      <c r="AN16" t="s">
        <v>249</v>
      </c>
    </row>
    <row r="17" spans="9:40" x14ac:dyDescent="0.45">
      <c r="I17" t="s">
        <v>164</v>
      </c>
      <c r="J17" t="s">
        <v>172</v>
      </c>
      <c r="K17">
        <v>1.6486531918941958E-3</v>
      </c>
      <c r="L17" t="s">
        <v>166</v>
      </c>
      <c r="N17" t="s">
        <v>201</v>
      </c>
      <c r="O17" t="s">
        <v>172</v>
      </c>
      <c r="P17">
        <v>3.5818915057541215E-2</v>
      </c>
      <c r="Q17" t="s">
        <v>166</v>
      </c>
      <c r="S17" t="s">
        <v>218</v>
      </c>
      <c r="T17" t="s">
        <v>172</v>
      </c>
      <c r="U17">
        <v>3.0338831108290581E-2</v>
      </c>
      <c r="V17" t="s">
        <v>166</v>
      </c>
      <c r="X17">
        <v>2.7397260273972601E-2</v>
      </c>
      <c r="Y17">
        <v>1.5185341719911493E-2</v>
      </c>
      <c r="Z17" t="s">
        <v>172</v>
      </c>
      <c r="AA17" t="s">
        <v>25</v>
      </c>
      <c r="AC17" t="s">
        <v>22</v>
      </c>
      <c r="AD17" t="s">
        <v>172</v>
      </c>
      <c r="AE17">
        <v>3.0001053381045913E-2</v>
      </c>
      <c r="AG17" t="s">
        <v>96</v>
      </c>
      <c r="AH17" t="s">
        <v>172</v>
      </c>
      <c r="AI17">
        <v>0.12400144514471512</v>
      </c>
      <c r="AK17">
        <v>2021</v>
      </c>
      <c r="AL17" t="s">
        <v>160</v>
      </c>
      <c r="AM17">
        <v>0.54347826086956519</v>
      </c>
      <c r="AN17" t="s">
        <v>249</v>
      </c>
    </row>
    <row r="18" spans="9:40" x14ac:dyDescent="0.45">
      <c r="I18" t="s">
        <v>164</v>
      </c>
      <c r="J18" t="s">
        <v>173</v>
      </c>
      <c r="K18">
        <v>3.4991878188363134E-3</v>
      </c>
      <c r="L18" t="s">
        <v>166</v>
      </c>
      <c r="N18" t="s">
        <v>201</v>
      </c>
      <c r="O18" t="s">
        <v>173</v>
      </c>
      <c r="P18">
        <v>4.9614437565531E-3</v>
      </c>
      <c r="Q18" t="s">
        <v>166</v>
      </c>
      <c r="S18" t="s">
        <v>218</v>
      </c>
      <c r="T18" t="s">
        <v>173</v>
      </c>
      <c r="U18">
        <v>4.3810612812869411E-3</v>
      </c>
      <c r="V18" t="s">
        <v>166</v>
      </c>
      <c r="X18">
        <v>3.4246575342465752E-3</v>
      </c>
      <c r="Y18">
        <v>4.3756059965691279E-3</v>
      </c>
      <c r="Z18" t="s">
        <v>173</v>
      </c>
      <c r="AA18" t="s">
        <v>25</v>
      </c>
      <c r="AC18" t="s">
        <v>22</v>
      </c>
      <c r="AD18" t="s">
        <v>173</v>
      </c>
      <c r="AE18">
        <v>4.0661104137225106E-3</v>
      </c>
      <c r="AG18" t="s">
        <v>96</v>
      </c>
      <c r="AH18" t="s">
        <v>173</v>
      </c>
      <c r="AI18">
        <v>7.8597769582796406E-2</v>
      </c>
      <c r="AK18">
        <v>2021</v>
      </c>
      <c r="AL18" t="s">
        <v>162</v>
      </c>
      <c r="AM18">
        <v>0.41276051278265791</v>
      </c>
      <c r="AN18" t="s">
        <v>249</v>
      </c>
    </row>
    <row r="19" spans="9:40" x14ac:dyDescent="0.45">
      <c r="I19" t="s">
        <v>164</v>
      </c>
      <c r="J19" t="s">
        <v>174</v>
      </c>
      <c r="K19">
        <v>5.3771492588432328E-2</v>
      </c>
      <c r="L19" t="s">
        <v>166</v>
      </c>
      <c r="N19" t="s">
        <v>201</v>
      </c>
      <c r="O19" t="s">
        <v>174</v>
      </c>
      <c r="P19">
        <v>5.8680809127561531E-2</v>
      </c>
      <c r="Q19" t="s">
        <v>166</v>
      </c>
      <c r="S19" t="s">
        <v>218</v>
      </c>
      <c r="T19" t="s">
        <v>174</v>
      </c>
      <c r="U19">
        <v>6.3409095846586438E-2</v>
      </c>
      <c r="V19" t="s">
        <v>166</v>
      </c>
      <c r="X19">
        <v>5.1369863013698627E-2</v>
      </c>
      <c r="Y19">
        <v>6.2630833105437198E-2</v>
      </c>
      <c r="Z19" t="s">
        <v>174</v>
      </c>
      <c r="AA19" t="s">
        <v>25</v>
      </c>
      <c r="AC19" t="s">
        <v>22</v>
      </c>
      <c r="AD19" t="s">
        <v>174</v>
      </c>
      <c r="AE19">
        <v>4.2264653127616396E-2</v>
      </c>
      <c r="AG19" t="s">
        <v>96</v>
      </c>
      <c r="AH19" t="s">
        <v>174</v>
      </c>
      <c r="AI19">
        <v>0.44376293290130087</v>
      </c>
      <c r="AK19">
        <v>2022</v>
      </c>
      <c r="AL19" t="s">
        <v>154</v>
      </c>
      <c r="AM19">
        <v>0.48080325254442557</v>
      </c>
      <c r="AN19" t="s">
        <v>249</v>
      </c>
    </row>
    <row r="20" spans="9:40" x14ac:dyDescent="0.45">
      <c r="I20" t="s">
        <v>164</v>
      </c>
      <c r="J20" t="s">
        <v>175</v>
      </c>
      <c r="K20">
        <v>1.318361825505196E-3</v>
      </c>
      <c r="L20" t="s">
        <v>166</v>
      </c>
      <c r="N20" t="s">
        <v>201</v>
      </c>
      <c r="O20" t="s">
        <v>175</v>
      </c>
      <c r="P20">
        <v>3.4942946645856322E-2</v>
      </c>
      <c r="Q20" t="s">
        <v>166</v>
      </c>
      <c r="S20" t="s">
        <v>218</v>
      </c>
      <c r="T20" t="s">
        <v>175</v>
      </c>
      <c r="U20">
        <v>6.3240074869887586E-2</v>
      </c>
      <c r="V20" t="s">
        <v>166</v>
      </c>
      <c r="X20">
        <v>2.8310502283105023E-2</v>
      </c>
      <c r="Y20">
        <v>1.5691519777241876E-2</v>
      </c>
      <c r="Z20" t="s">
        <v>175</v>
      </c>
      <c r="AA20" t="s">
        <v>25</v>
      </c>
      <c r="AC20" t="s">
        <v>22</v>
      </c>
      <c r="AD20" t="s">
        <v>175</v>
      </c>
      <c r="AE20">
        <v>2.52797257100245E-2</v>
      </c>
      <c r="AG20" t="s">
        <v>96</v>
      </c>
      <c r="AH20" t="s">
        <v>175</v>
      </c>
      <c r="AI20">
        <v>0.10836729109311483</v>
      </c>
      <c r="AK20">
        <v>2022</v>
      </c>
      <c r="AL20" t="s">
        <v>158</v>
      </c>
      <c r="AM20">
        <v>0.58065749053034832</v>
      </c>
      <c r="AN20" t="s">
        <v>249</v>
      </c>
    </row>
    <row r="21" spans="9:40" x14ac:dyDescent="0.45">
      <c r="I21" t="s">
        <v>164</v>
      </c>
      <c r="J21" t="s">
        <v>176</v>
      </c>
      <c r="K21">
        <v>2.711026978010362E-3</v>
      </c>
      <c r="L21" t="s">
        <v>166</v>
      </c>
      <c r="N21" t="s">
        <v>201</v>
      </c>
      <c r="O21" t="s">
        <v>176</v>
      </c>
      <c r="P21">
        <v>4.5894171504327706E-3</v>
      </c>
      <c r="Q21" t="s">
        <v>166</v>
      </c>
      <c r="S21" t="s">
        <v>218</v>
      </c>
      <c r="T21" t="s">
        <v>176</v>
      </c>
      <c r="U21">
        <v>7.9746396475785797E-3</v>
      </c>
      <c r="V21" t="s">
        <v>166</v>
      </c>
      <c r="X21">
        <v>3.5388127853881279E-3</v>
      </c>
      <c r="Y21">
        <v>4.521459529788099E-3</v>
      </c>
      <c r="Z21" t="s">
        <v>176</v>
      </c>
      <c r="AA21" t="s">
        <v>25</v>
      </c>
      <c r="AC21" t="s">
        <v>22</v>
      </c>
      <c r="AD21" t="s">
        <v>176</v>
      </c>
      <c r="AE21">
        <v>3.5073990760722392E-3</v>
      </c>
      <c r="AG21" t="s">
        <v>96</v>
      </c>
      <c r="AH21" t="s">
        <v>176</v>
      </c>
      <c r="AI21">
        <v>5.7770046565276845E-2</v>
      </c>
      <c r="AK21">
        <v>2022</v>
      </c>
      <c r="AL21" t="s">
        <v>160</v>
      </c>
      <c r="AM21">
        <v>0.60844799526557181</v>
      </c>
      <c r="AN21" t="s">
        <v>249</v>
      </c>
    </row>
    <row r="22" spans="9:40" x14ac:dyDescent="0.45">
      <c r="I22" t="s">
        <v>164</v>
      </c>
      <c r="J22" t="s">
        <v>177</v>
      </c>
      <c r="K22">
        <v>4.8073039561675794E-2</v>
      </c>
      <c r="L22" t="s">
        <v>166</v>
      </c>
      <c r="N22" t="s">
        <v>201</v>
      </c>
      <c r="O22" t="s">
        <v>177</v>
      </c>
      <c r="P22">
        <v>4.9186616391441722E-2</v>
      </c>
      <c r="Q22" t="s">
        <v>166</v>
      </c>
      <c r="S22" t="s">
        <v>218</v>
      </c>
      <c r="T22" t="s">
        <v>177</v>
      </c>
      <c r="U22">
        <v>0.12895796694933712</v>
      </c>
      <c r="V22" t="s">
        <v>166</v>
      </c>
      <c r="X22">
        <v>5.3082191780821915E-2</v>
      </c>
      <c r="Y22">
        <v>6.4718527542285118E-2</v>
      </c>
      <c r="Z22" t="s">
        <v>177</v>
      </c>
      <c r="AA22" t="s">
        <v>25</v>
      </c>
      <c r="AC22" t="s">
        <v>22</v>
      </c>
      <c r="AD22" t="s">
        <v>177</v>
      </c>
      <c r="AE22">
        <v>3.4093795784040717E-2</v>
      </c>
      <c r="AG22" t="s">
        <v>96</v>
      </c>
      <c r="AH22" t="s">
        <v>177</v>
      </c>
      <c r="AI22">
        <v>0.34627309301956544</v>
      </c>
      <c r="AK22">
        <v>2022</v>
      </c>
      <c r="AL22" t="s">
        <v>162</v>
      </c>
      <c r="AM22">
        <v>0.60075216318504843</v>
      </c>
      <c r="AN22" t="s">
        <v>249</v>
      </c>
    </row>
    <row r="23" spans="9:40" x14ac:dyDescent="0.45">
      <c r="I23" t="s">
        <v>178</v>
      </c>
      <c r="J23" t="s">
        <v>165</v>
      </c>
      <c r="K23">
        <v>3.7043020148175759E-2</v>
      </c>
      <c r="L23" t="s">
        <v>166</v>
      </c>
      <c r="N23" t="s">
        <v>202</v>
      </c>
      <c r="O23" t="s">
        <v>165</v>
      </c>
      <c r="P23">
        <v>0.20296963694496231</v>
      </c>
      <c r="Q23" t="s">
        <v>166</v>
      </c>
      <c r="S23" t="s">
        <v>219</v>
      </c>
      <c r="T23" t="s">
        <v>165</v>
      </c>
      <c r="U23">
        <v>0.19438773378035842</v>
      </c>
      <c r="V23" t="s">
        <v>166</v>
      </c>
      <c r="AC23" t="s">
        <v>19</v>
      </c>
      <c r="AD23" t="s">
        <v>165</v>
      </c>
      <c r="AE23">
        <v>0.22346436176148593</v>
      </c>
      <c r="AK23">
        <v>2025</v>
      </c>
      <c r="AL23" t="s">
        <v>154</v>
      </c>
      <c r="AM23">
        <v>0.37782500000000002</v>
      </c>
      <c r="AN23" t="s">
        <v>249</v>
      </c>
    </row>
    <row r="24" spans="9:40" x14ac:dyDescent="0.45">
      <c r="I24" t="s">
        <v>178</v>
      </c>
      <c r="J24" t="s">
        <v>167</v>
      </c>
      <c r="K24">
        <v>4.8823837089392141E-2</v>
      </c>
      <c r="L24" t="s">
        <v>166</v>
      </c>
      <c r="N24" t="s">
        <v>202</v>
      </c>
      <c r="O24" t="s">
        <v>167</v>
      </c>
      <c r="P24">
        <v>2.7345681397152627E-2</v>
      </c>
      <c r="Q24" t="s">
        <v>166</v>
      </c>
      <c r="S24" t="s">
        <v>219</v>
      </c>
      <c r="T24" t="s">
        <v>167</v>
      </c>
      <c r="U24">
        <v>2.8082834317516559E-2</v>
      </c>
      <c r="V24" t="s">
        <v>166</v>
      </c>
      <c r="AC24" t="s">
        <v>19</v>
      </c>
      <c r="AD24" t="s">
        <v>167</v>
      </c>
      <c r="AE24">
        <v>2.80732932374031E-2</v>
      </c>
      <c r="AK24">
        <v>2025</v>
      </c>
      <c r="AL24" t="s">
        <v>158</v>
      </c>
      <c r="AM24">
        <v>0.54285000000000005</v>
      </c>
      <c r="AN24" t="s">
        <v>249</v>
      </c>
    </row>
    <row r="25" spans="9:40" x14ac:dyDescent="0.45">
      <c r="I25" t="s">
        <v>178</v>
      </c>
      <c r="J25" t="s">
        <v>168</v>
      </c>
      <c r="K25">
        <v>0.65225111839369099</v>
      </c>
      <c r="L25" t="s">
        <v>166</v>
      </c>
      <c r="N25" t="s">
        <v>202</v>
      </c>
      <c r="O25" t="s">
        <v>168</v>
      </c>
      <c r="P25">
        <v>0.46767390259915104</v>
      </c>
      <c r="Q25" t="s">
        <v>166</v>
      </c>
      <c r="S25" t="s">
        <v>219</v>
      </c>
      <c r="T25" t="s">
        <v>168</v>
      </c>
      <c r="U25">
        <v>0.38041792452563095</v>
      </c>
      <c r="V25" t="s">
        <v>166</v>
      </c>
      <c r="AC25" t="s">
        <v>19</v>
      </c>
      <c r="AD25" t="s">
        <v>168</v>
      </c>
      <c r="AE25">
        <v>0.41437050349144194</v>
      </c>
      <c r="AK25">
        <v>2025</v>
      </c>
      <c r="AL25" t="s">
        <v>160</v>
      </c>
      <c r="AM25">
        <v>0.53080000000000005</v>
      </c>
      <c r="AN25" t="s">
        <v>249</v>
      </c>
    </row>
    <row r="26" spans="9:40" x14ac:dyDescent="0.45">
      <c r="I26" t="s">
        <v>178</v>
      </c>
      <c r="J26" t="s">
        <v>169</v>
      </c>
      <c r="K26">
        <v>5.6692270184287149E-3</v>
      </c>
      <c r="L26" t="s">
        <v>166</v>
      </c>
      <c r="N26" t="s">
        <v>202</v>
      </c>
      <c r="O26" t="s">
        <v>169</v>
      </c>
      <c r="P26">
        <v>4.9934102762123442E-2</v>
      </c>
      <c r="Q26" t="s">
        <v>166</v>
      </c>
      <c r="S26" t="s">
        <v>219</v>
      </c>
      <c r="T26" t="s">
        <v>169</v>
      </c>
      <c r="U26">
        <v>5.2586644781204103E-2</v>
      </c>
      <c r="V26" t="s">
        <v>166</v>
      </c>
      <c r="AC26" t="s">
        <v>19</v>
      </c>
      <c r="AD26" t="s">
        <v>169</v>
      </c>
      <c r="AE26">
        <v>5.6138692617435475E-2</v>
      </c>
      <c r="AK26">
        <v>2025</v>
      </c>
      <c r="AL26" t="s">
        <v>162</v>
      </c>
      <c r="AM26">
        <v>0.5</v>
      </c>
      <c r="AN26" t="s">
        <v>249</v>
      </c>
    </row>
    <row r="27" spans="9:40" x14ac:dyDescent="0.45">
      <c r="I27" t="s">
        <v>178</v>
      </c>
      <c r="J27" t="s">
        <v>170</v>
      </c>
      <c r="K27">
        <v>1.0231283291311233E-2</v>
      </c>
      <c r="L27" t="s">
        <v>166</v>
      </c>
      <c r="N27" t="s">
        <v>202</v>
      </c>
      <c r="O27" t="s">
        <v>170</v>
      </c>
      <c r="P27">
        <v>6.2057713840251039E-3</v>
      </c>
      <c r="Q27" t="s">
        <v>166</v>
      </c>
      <c r="S27" t="s">
        <v>219</v>
      </c>
      <c r="T27" t="s">
        <v>170</v>
      </c>
      <c r="U27">
        <v>6.4074897318605979E-3</v>
      </c>
      <c r="V27" t="s">
        <v>166</v>
      </c>
      <c r="AC27" t="s">
        <v>19</v>
      </c>
      <c r="AD27" t="s">
        <v>170</v>
      </c>
      <c r="AE27">
        <v>7.0435600539814087E-3</v>
      </c>
      <c r="AK27">
        <v>2026</v>
      </c>
      <c r="AL27" t="s">
        <v>154</v>
      </c>
      <c r="AM27">
        <v>0.38817500000000005</v>
      </c>
      <c r="AN27" t="s">
        <v>249</v>
      </c>
    </row>
    <row r="28" spans="9:40" x14ac:dyDescent="0.45">
      <c r="I28" t="s">
        <v>178</v>
      </c>
      <c r="J28" t="s">
        <v>171</v>
      </c>
      <c r="K28">
        <v>0.13120169640883206</v>
      </c>
      <c r="L28" t="s">
        <v>166</v>
      </c>
      <c r="N28" t="s">
        <v>202</v>
      </c>
      <c r="O28" t="s">
        <v>171</v>
      </c>
      <c r="P28">
        <v>9.1759431529151711E-2</v>
      </c>
      <c r="Q28" t="s">
        <v>166</v>
      </c>
      <c r="S28" t="s">
        <v>219</v>
      </c>
      <c r="T28" t="s">
        <v>171</v>
      </c>
      <c r="U28">
        <v>8.708474706492976E-2</v>
      </c>
      <c r="V28" t="s">
        <v>166</v>
      </c>
      <c r="AC28" t="s">
        <v>19</v>
      </c>
      <c r="AD28" t="s">
        <v>171</v>
      </c>
      <c r="AE28">
        <v>0.10390963916034561</v>
      </c>
      <c r="AK28">
        <v>2026</v>
      </c>
      <c r="AL28" t="s">
        <v>158</v>
      </c>
      <c r="AM28">
        <v>0.56935000000000002</v>
      </c>
      <c r="AN28" t="s">
        <v>249</v>
      </c>
    </row>
    <row r="29" spans="9:40" x14ac:dyDescent="0.45">
      <c r="I29" t="s">
        <v>178</v>
      </c>
      <c r="J29" t="s">
        <v>172</v>
      </c>
      <c r="K29">
        <v>2.0831382273489322E-3</v>
      </c>
      <c r="L29" t="s">
        <v>166</v>
      </c>
      <c r="N29" t="s">
        <v>202</v>
      </c>
      <c r="O29" t="s">
        <v>172</v>
      </c>
      <c r="P29">
        <v>2.3823724846561003E-2</v>
      </c>
      <c r="Q29" t="s">
        <v>166</v>
      </c>
      <c r="S29" t="s">
        <v>219</v>
      </c>
      <c r="T29" t="s">
        <v>172</v>
      </c>
      <c r="U29">
        <v>3.4541469857869253E-2</v>
      </c>
      <c r="V29" t="s">
        <v>166</v>
      </c>
      <c r="AC29" t="s">
        <v>19</v>
      </c>
      <c r="AD29" t="s">
        <v>172</v>
      </c>
      <c r="AE29">
        <v>2.7600772763492622E-2</v>
      </c>
      <c r="AK29">
        <v>2026</v>
      </c>
      <c r="AL29" t="s">
        <v>160</v>
      </c>
      <c r="AM29">
        <v>0.55020000000000002</v>
      </c>
      <c r="AN29" t="s">
        <v>249</v>
      </c>
    </row>
    <row r="30" spans="9:40" x14ac:dyDescent="0.45">
      <c r="I30" t="s">
        <v>178</v>
      </c>
      <c r="J30" t="s">
        <v>173</v>
      </c>
      <c r="K30">
        <v>3.9137217618568539E-3</v>
      </c>
      <c r="L30" t="s">
        <v>166</v>
      </c>
      <c r="N30" t="s">
        <v>202</v>
      </c>
      <c r="O30" t="s">
        <v>173</v>
      </c>
      <c r="P30">
        <v>3.1361889376891909E-3</v>
      </c>
      <c r="Q30" t="s">
        <v>166</v>
      </c>
      <c r="S30" t="s">
        <v>219</v>
      </c>
      <c r="T30" t="s">
        <v>173</v>
      </c>
      <c r="U30">
        <v>4.8283287753678574E-3</v>
      </c>
      <c r="V30" t="s">
        <v>166</v>
      </c>
      <c r="AC30" t="s">
        <v>19</v>
      </c>
      <c r="AD30" t="s">
        <v>173</v>
      </c>
      <c r="AE30">
        <v>3.4648061428728207E-3</v>
      </c>
      <c r="AK30">
        <v>2026</v>
      </c>
      <c r="AL30" t="s">
        <v>162</v>
      </c>
      <c r="AM30">
        <v>0.49680000000000002</v>
      </c>
      <c r="AN30" t="s">
        <v>249</v>
      </c>
    </row>
    <row r="31" spans="9:40" x14ac:dyDescent="0.45">
      <c r="I31" t="s">
        <v>178</v>
      </c>
      <c r="J31" t="s">
        <v>174</v>
      </c>
      <c r="K31">
        <v>5.762719423925005E-2</v>
      </c>
      <c r="L31" t="s">
        <v>166</v>
      </c>
      <c r="N31" t="s">
        <v>202</v>
      </c>
      <c r="O31" t="s">
        <v>174</v>
      </c>
      <c r="P31">
        <v>5.0498151373770034E-2</v>
      </c>
      <c r="Q31" t="s">
        <v>166</v>
      </c>
      <c r="S31" t="s">
        <v>219</v>
      </c>
      <c r="T31" t="s">
        <v>174</v>
      </c>
      <c r="U31">
        <v>7.027792913562457E-2</v>
      </c>
      <c r="V31" t="s">
        <v>166</v>
      </c>
      <c r="AC31" t="s">
        <v>19</v>
      </c>
      <c r="AD31" t="s">
        <v>174</v>
      </c>
      <c r="AE31">
        <v>5.1100306467999172E-2</v>
      </c>
      <c r="AK31">
        <v>2027</v>
      </c>
      <c r="AL31" t="s">
        <v>154</v>
      </c>
      <c r="AM31">
        <v>0.37718750000000001</v>
      </c>
      <c r="AN31" t="s">
        <v>249</v>
      </c>
    </row>
    <row r="32" spans="9:40" x14ac:dyDescent="0.45">
      <c r="I32" t="s">
        <v>178</v>
      </c>
      <c r="J32" t="s">
        <v>175</v>
      </c>
      <c r="K32">
        <v>1.2613029915392773E-3</v>
      </c>
      <c r="L32" t="s">
        <v>166</v>
      </c>
      <c r="N32" t="s">
        <v>202</v>
      </c>
      <c r="O32" t="s">
        <v>175</v>
      </c>
      <c r="P32">
        <v>2.6078535271939086E-2</v>
      </c>
      <c r="Q32" t="s">
        <v>166</v>
      </c>
      <c r="S32" t="s">
        <v>219</v>
      </c>
      <c r="T32" t="s">
        <v>175</v>
      </c>
      <c r="U32">
        <v>4.2896481391140204E-2</v>
      </c>
      <c r="V32" t="s">
        <v>166</v>
      </c>
      <c r="AC32" t="s">
        <v>19</v>
      </c>
      <c r="AD32" t="s">
        <v>175</v>
      </c>
      <c r="AE32">
        <v>2.8479100457426271E-2</v>
      </c>
      <c r="AK32">
        <v>2027</v>
      </c>
      <c r="AL32" t="s">
        <v>158</v>
      </c>
      <c r="AM32">
        <v>0.56725000000000003</v>
      </c>
      <c r="AN32" t="s">
        <v>249</v>
      </c>
    </row>
    <row r="33" spans="9:40" x14ac:dyDescent="0.45">
      <c r="I33" t="s">
        <v>178</v>
      </c>
      <c r="J33" t="s">
        <v>176</v>
      </c>
      <c r="K33">
        <v>2.6859352430666106E-3</v>
      </c>
      <c r="L33" t="s">
        <v>166</v>
      </c>
      <c r="N33" t="s">
        <v>202</v>
      </c>
      <c r="O33" t="s">
        <v>176</v>
      </c>
      <c r="P33">
        <v>3.5299861712303005E-3</v>
      </c>
      <c r="Q33" t="s">
        <v>166</v>
      </c>
      <c r="S33" t="s">
        <v>219</v>
      </c>
      <c r="T33" t="s">
        <v>176</v>
      </c>
      <c r="U33">
        <v>5.9214276428238566E-3</v>
      </c>
      <c r="V33" t="s">
        <v>166</v>
      </c>
      <c r="AC33" t="s">
        <v>19</v>
      </c>
      <c r="AD33" t="s">
        <v>176</v>
      </c>
      <c r="AE33">
        <v>3.5760613906023597E-3</v>
      </c>
      <c r="AK33">
        <v>2027</v>
      </c>
      <c r="AL33" t="s">
        <v>160</v>
      </c>
      <c r="AM33">
        <v>0.57240000000000002</v>
      </c>
      <c r="AN33" t="s">
        <v>249</v>
      </c>
    </row>
    <row r="34" spans="9:40" x14ac:dyDescent="0.45">
      <c r="I34" t="s">
        <v>178</v>
      </c>
      <c r="J34" t="s">
        <v>177</v>
      </c>
      <c r="K34">
        <v>4.7208525187106297E-2</v>
      </c>
      <c r="L34" t="s">
        <v>166</v>
      </c>
      <c r="N34" t="s">
        <v>202</v>
      </c>
      <c r="O34" t="s">
        <v>177</v>
      </c>
      <c r="P34">
        <v>4.7044886782242799E-2</v>
      </c>
      <c r="Q34" t="s">
        <v>166</v>
      </c>
      <c r="S34" t="s">
        <v>219</v>
      </c>
      <c r="T34" t="s">
        <v>177</v>
      </c>
      <c r="U34">
        <v>9.256698899567295E-2</v>
      </c>
      <c r="V34" t="s">
        <v>166</v>
      </c>
      <c r="AC34" t="s">
        <v>19</v>
      </c>
      <c r="AD34" t="s">
        <v>177</v>
      </c>
      <c r="AE34">
        <v>5.2778902455513234E-2</v>
      </c>
      <c r="AK34">
        <v>2027</v>
      </c>
      <c r="AL34" t="s">
        <v>162</v>
      </c>
      <c r="AM34">
        <v>0.46779999999999999</v>
      </c>
      <c r="AN34" t="s">
        <v>249</v>
      </c>
    </row>
    <row r="35" spans="9:40" x14ac:dyDescent="0.45">
      <c r="I35" t="s">
        <v>179</v>
      </c>
      <c r="J35" t="s">
        <v>165</v>
      </c>
      <c r="K35">
        <v>3.3687874108774836E-2</v>
      </c>
      <c r="L35" t="s">
        <v>166</v>
      </c>
      <c r="N35" t="s">
        <v>203</v>
      </c>
      <c r="O35" t="s">
        <v>165</v>
      </c>
      <c r="P35">
        <v>0.19408989808070179</v>
      </c>
      <c r="Q35" t="s">
        <v>166</v>
      </c>
      <c r="S35" t="s">
        <v>220</v>
      </c>
      <c r="T35" t="s">
        <v>165</v>
      </c>
      <c r="U35">
        <v>0.19551351456870769</v>
      </c>
      <c r="V35" t="s">
        <v>166</v>
      </c>
      <c r="AK35">
        <v>2028</v>
      </c>
      <c r="AL35" t="s">
        <v>154</v>
      </c>
      <c r="AM35">
        <v>0.39016249999999997</v>
      </c>
      <c r="AN35" t="s">
        <v>249</v>
      </c>
    </row>
    <row r="36" spans="9:40" x14ac:dyDescent="0.45">
      <c r="I36" t="s">
        <v>179</v>
      </c>
      <c r="J36" t="s">
        <v>167</v>
      </c>
      <c r="K36">
        <v>4.8422159105229991E-2</v>
      </c>
      <c r="L36" t="s">
        <v>166</v>
      </c>
      <c r="N36" t="s">
        <v>203</v>
      </c>
      <c r="O36" t="s">
        <v>167</v>
      </c>
      <c r="P36">
        <v>2.4058016029717862E-2</v>
      </c>
      <c r="Q36" t="s">
        <v>166</v>
      </c>
      <c r="S36" t="s">
        <v>220</v>
      </c>
      <c r="T36" t="s">
        <v>167</v>
      </c>
      <c r="U36">
        <v>2.6488824154510891E-2</v>
      </c>
      <c r="V36" t="s">
        <v>166</v>
      </c>
      <c r="AK36">
        <v>2028</v>
      </c>
      <c r="AL36" t="s">
        <v>158</v>
      </c>
      <c r="AM36">
        <v>0.57139999999999991</v>
      </c>
      <c r="AN36" t="s">
        <v>249</v>
      </c>
    </row>
    <row r="37" spans="9:40" x14ac:dyDescent="0.45">
      <c r="I37" t="s">
        <v>179</v>
      </c>
      <c r="J37" t="s">
        <v>168</v>
      </c>
      <c r="K37">
        <v>0.63030449569560731</v>
      </c>
      <c r="L37" t="s">
        <v>166</v>
      </c>
      <c r="N37" t="s">
        <v>203</v>
      </c>
      <c r="O37" t="s">
        <v>168</v>
      </c>
      <c r="P37">
        <v>0.4253490748792394</v>
      </c>
      <c r="Q37" t="s">
        <v>166</v>
      </c>
      <c r="S37" t="s">
        <v>220</v>
      </c>
      <c r="T37" t="s">
        <v>168</v>
      </c>
      <c r="U37">
        <v>0.3797733341627999</v>
      </c>
      <c r="V37" t="s">
        <v>166</v>
      </c>
      <c r="AK37">
        <v>2028</v>
      </c>
      <c r="AL37" t="s">
        <v>160</v>
      </c>
      <c r="AM37">
        <v>0.5141</v>
      </c>
      <c r="AN37" t="s">
        <v>249</v>
      </c>
    </row>
    <row r="38" spans="9:40" x14ac:dyDescent="0.45">
      <c r="I38" t="s">
        <v>179</v>
      </c>
      <c r="J38" t="s">
        <v>169</v>
      </c>
      <c r="K38">
        <v>6.235514678131885E-3</v>
      </c>
      <c r="L38" t="s">
        <v>166</v>
      </c>
      <c r="N38" t="s">
        <v>203</v>
      </c>
      <c r="O38" t="s">
        <v>169</v>
      </c>
      <c r="P38">
        <v>5.6092216027827463E-2</v>
      </c>
      <c r="Q38" t="s">
        <v>166</v>
      </c>
      <c r="S38" t="s">
        <v>220</v>
      </c>
      <c r="T38" t="s">
        <v>169</v>
      </c>
      <c r="U38">
        <v>4.6168174855055664E-2</v>
      </c>
      <c r="V38" t="s">
        <v>166</v>
      </c>
      <c r="AK38">
        <v>2028</v>
      </c>
      <c r="AL38" t="s">
        <v>162</v>
      </c>
      <c r="AM38">
        <v>0.48449999999999999</v>
      </c>
      <c r="AN38" t="s">
        <v>249</v>
      </c>
    </row>
    <row r="39" spans="9:40" x14ac:dyDescent="0.45">
      <c r="I39" t="s">
        <v>179</v>
      </c>
      <c r="J39" t="s">
        <v>170</v>
      </c>
      <c r="K39">
        <v>1.0986468942076435E-2</v>
      </c>
      <c r="L39" t="s">
        <v>166</v>
      </c>
      <c r="N39" t="s">
        <v>203</v>
      </c>
      <c r="O39" t="s">
        <v>170</v>
      </c>
      <c r="P39">
        <v>7.054187095690282E-3</v>
      </c>
      <c r="Q39" t="s">
        <v>166</v>
      </c>
      <c r="S39" t="s">
        <v>220</v>
      </c>
      <c r="T39" t="s">
        <v>170</v>
      </c>
      <c r="U39">
        <v>5.8897394202116248E-3</v>
      </c>
      <c r="V39" t="s">
        <v>166</v>
      </c>
      <c r="AK39">
        <v>2029</v>
      </c>
      <c r="AL39" t="s">
        <v>154</v>
      </c>
      <c r="AM39">
        <v>0.37871250000000001</v>
      </c>
      <c r="AN39" t="s">
        <v>249</v>
      </c>
    </row>
    <row r="40" spans="9:40" x14ac:dyDescent="0.45">
      <c r="I40" t="s">
        <v>179</v>
      </c>
      <c r="J40" t="s">
        <v>171</v>
      </c>
      <c r="K40">
        <v>0.13293021910511962</v>
      </c>
      <c r="L40" t="s">
        <v>166</v>
      </c>
      <c r="N40" t="s">
        <v>203</v>
      </c>
      <c r="O40" t="s">
        <v>171</v>
      </c>
      <c r="P40">
        <v>0.10160940425958703</v>
      </c>
      <c r="Q40" t="s">
        <v>166</v>
      </c>
      <c r="S40" t="s">
        <v>220</v>
      </c>
      <c r="T40" t="s">
        <v>171</v>
      </c>
      <c r="U40">
        <v>8.605850085244543E-2</v>
      </c>
      <c r="V40" t="s">
        <v>166</v>
      </c>
      <c r="AK40">
        <v>2029</v>
      </c>
      <c r="AL40" t="s">
        <v>158</v>
      </c>
      <c r="AM40">
        <v>0.57464999999999999</v>
      </c>
      <c r="AN40" t="s">
        <v>249</v>
      </c>
    </row>
    <row r="41" spans="9:40" x14ac:dyDescent="0.45">
      <c r="I41" t="s">
        <v>179</v>
      </c>
      <c r="J41" t="s">
        <v>172</v>
      </c>
      <c r="K41">
        <v>2.4949532237288777E-3</v>
      </c>
      <c r="L41" t="s">
        <v>166</v>
      </c>
      <c r="N41" t="s">
        <v>203</v>
      </c>
      <c r="O41" t="s">
        <v>172</v>
      </c>
      <c r="P41">
        <v>3.736194628372505E-2</v>
      </c>
      <c r="Q41" t="s">
        <v>166</v>
      </c>
      <c r="S41" t="s">
        <v>220</v>
      </c>
      <c r="T41" t="s">
        <v>172</v>
      </c>
      <c r="U41">
        <v>3.0760931689427794E-2</v>
      </c>
      <c r="V41" t="s">
        <v>166</v>
      </c>
      <c r="AK41">
        <v>2029</v>
      </c>
      <c r="AL41" t="s">
        <v>160</v>
      </c>
      <c r="AM41">
        <v>0.55679999999999996</v>
      </c>
      <c r="AN41" t="s">
        <v>249</v>
      </c>
    </row>
    <row r="42" spans="9:40" x14ac:dyDescent="0.45">
      <c r="I42" t="s">
        <v>179</v>
      </c>
      <c r="J42" t="s">
        <v>173</v>
      </c>
      <c r="K42">
        <v>4.8338444834794244E-3</v>
      </c>
      <c r="L42" t="s">
        <v>166</v>
      </c>
      <c r="N42" t="s">
        <v>203</v>
      </c>
      <c r="O42" t="s">
        <v>173</v>
      </c>
      <c r="P42">
        <v>4.3011527088452671E-3</v>
      </c>
      <c r="Q42" t="s">
        <v>166</v>
      </c>
      <c r="S42" t="s">
        <v>220</v>
      </c>
      <c r="T42" t="s">
        <v>173</v>
      </c>
      <c r="U42">
        <v>4.2093584031184959E-3</v>
      </c>
      <c r="V42" t="s">
        <v>166</v>
      </c>
      <c r="AK42">
        <v>2029</v>
      </c>
      <c r="AL42" t="s">
        <v>162</v>
      </c>
      <c r="AM42">
        <v>0.50509999999999999</v>
      </c>
      <c r="AN42" t="s">
        <v>249</v>
      </c>
    </row>
    <row r="43" spans="9:40" x14ac:dyDescent="0.45">
      <c r="I43" t="s">
        <v>179</v>
      </c>
      <c r="J43" t="s">
        <v>174</v>
      </c>
      <c r="K43">
        <v>6.136367595742593E-2</v>
      </c>
      <c r="L43" t="s">
        <v>166</v>
      </c>
      <c r="N43" t="s">
        <v>203</v>
      </c>
      <c r="O43" t="s">
        <v>174</v>
      </c>
      <c r="P43">
        <v>5.9937503974573744E-2</v>
      </c>
      <c r="Q43" t="s">
        <v>166</v>
      </c>
      <c r="S43" t="s">
        <v>220</v>
      </c>
      <c r="T43" t="s">
        <v>174</v>
      </c>
      <c r="U43">
        <v>6.1916718142220981E-2</v>
      </c>
      <c r="V43" t="s">
        <v>166</v>
      </c>
      <c r="AK43">
        <v>2030</v>
      </c>
      <c r="AL43" t="s">
        <v>154</v>
      </c>
      <c r="AM43">
        <v>0.38728750000000001</v>
      </c>
      <c r="AN43" t="s">
        <v>249</v>
      </c>
    </row>
    <row r="44" spans="9:40" x14ac:dyDescent="0.45">
      <c r="I44" t="s">
        <v>179</v>
      </c>
      <c r="J44" t="s">
        <v>175</v>
      </c>
      <c r="K44">
        <v>2.4656610775688555E-3</v>
      </c>
      <c r="L44" t="s">
        <v>166</v>
      </c>
      <c r="N44" t="s">
        <v>203</v>
      </c>
      <c r="O44" t="s">
        <v>175</v>
      </c>
      <c r="P44">
        <v>3.5203946393604947E-2</v>
      </c>
      <c r="Q44" t="s">
        <v>166</v>
      </c>
      <c r="S44" t="s">
        <v>220</v>
      </c>
      <c r="T44" t="s">
        <v>175</v>
      </c>
      <c r="U44">
        <v>5.1720566691903107E-2</v>
      </c>
      <c r="V44" t="s">
        <v>166</v>
      </c>
      <c r="AK44">
        <v>2030</v>
      </c>
      <c r="AL44" t="s">
        <v>158</v>
      </c>
      <c r="AM44">
        <v>0.57784999999999997</v>
      </c>
      <c r="AN44" t="s">
        <v>249</v>
      </c>
    </row>
    <row r="45" spans="9:40" x14ac:dyDescent="0.45">
      <c r="I45" t="s">
        <v>179</v>
      </c>
      <c r="J45" t="s">
        <v>176</v>
      </c>
      <c r="K45">
        <v>4.9019862033780849E-3</v>
      </c>
      <c r="L45" t="s">
        <v>166</v>
      </c>
      <c r="N45" t="s">
        <v>203</v>
      </c>
      <c r="O45" t="s">
        <v>176</v>
      </c>
      <c r="P45">
        <v>4.0412465076214189E-3</v>
      </c>
      <c r="Q45" t="s">
        <v>166</v>
      </c>
      <c r="S45" t="s">
        <v>220</v>
      </c>
      <c r="T45" t="s">
        <v>176</v>
      </c>
      <c r="U45">
        <v>6.7793688120040552E-3</v>
      </c>
      <c r="V45" t="s">
        <v>166</v>
      </c>
      <c r="AK45">
        <v>2030</v>
      </c>
      <c r="AL45" t="s">
        <v>160</v>
      </c>
      <c r="AM45">
        <v>0.48959999999999998</v>
      </c>
      <c r="AN45" t="s">
        <v>249</v>
      </c>
    </row>
    <row r="46" spans="9:40" x14ac:dyDescent="0.45">
      <c r="I46" t="s">
        <v>179</v>
      </c>
      <c r="J46" t="s">
        <v>177</v>
      </c>
      <c r="K46">
        <v>6.1373147419477352E-2</v>
      </c>
      <c r="L46" t="s">
        <v>166</v>
      </c>
      <c r="N46" t="s">
        <v>203</v>
      </c>
      <c r="O46" t="s">
        <v>177</v>
      </c>
      <c r="P46">
        <v>5.0901407758867298E-2</v>
      </c>
      <c r="Q46" t="s">
        <v>166</v>
      </c>
      <c r="S46" t="s">
        <v>220</v>
      </c>
      <c r="T46" t="s">
        <v>177</v>
      </c>
      <c r="U46">
        <v>0.10472096824759361</v>
      </c>
      <c r="V46" t="s">
        <v>166</v>
      </c>
      <c r="AK46">
        <v>2030</v>
      </c>
      <c r="AL46" t="s">
        <v>162</v>
      </c>
      <c r="AM46">
        <v>0.54949999999999999</v>
      </c>
      <c r="AN46" t="s">
        <v>249</v>
      </c>
    </row>
    <row r="47" spans="9:40" x14ac:dyDescent="0.45">
      <c r="I47" t="s">
        <v>180</v>
      </c>
      <c r="J47" t="s">
        <v>165</v>
      </c>
      <c r="K47">
        <v>2.5314644798648412E-2</v>
      </c>
      <c r="L47" t="s">
        <v>166</v>
      </c>
      <c r="N47" t="s">
        <v>204</v>
      </c>
      <c r="O47" t="s">
        <v>165</v>
      </c>
      <c r="P47">
        <v>0.24902053886011682</v>
      </c>
      <c r="Q47" t="s">
        <v>166</v>
      </c>
      <c r="S47" t="s">
        <v>221</v>
      </c>
      <c r="T47" t="s">
        <v>165</v>
      </c>
      <c r="U47">
        <v>0.19868681420673021</v>
      </c>
      <c r="V47" t="s">
        <v>166</v>
      </c>
      <c r="AK47">
        <v>2031</v>
      </c>
      <c r="AL47" t="s">
        <v>154</v>
      </c>
      <c r="AM47">
        <v>0.38626250000000006</v>
      </c>
      <c r="AN47" t="s">
        <v>249</v>
      </c>
    </row>
    <row r="48" spans="9:40" x14ac:dyDescent="0.45">
      <c r="I48" t="s">
        <v>180</v>
      </c>
      <c r="J48" t="s">
        <v>167</v>
      </c>
      <c r="K48">
        <v>4.354415384625638E-2</v>
      </c>
      <c r="L48" t="s">
        <v>166</v>
      </c>
      <c r="N48" t="s">
        <v>204</v>
      </c>
      <c r="O48" t="s">
        <v>167</v>
      </c>
      <c r="P48">
        <v>2.3288532140116759E-2</v>
      </c>
      <c r="Q48" t="s">
        <v>166</v>
      </c>
      <c r="S48" t="s">
        <v>221</v>
      </c>
      <c r="T48" t="s">
        <v>167</v>
      </c>
      <c r="U48">
        <v>2.3418259294373505E-2</v>
      </c>
      <c r="V48" t="s">
        <v>166</v>
      </c>
      <c r="AK48">
        <v>2031</v>
      </c>
      <c r="AL48" t="s">
        <v>158</v>
      </c>
      <c r="AM48">
        <v>0.55420000000000003</v>
      </c>
      <c r="AN48" t="s">
        <v>249</v>
      </c>
    </row>
    <row r="49" spans="9:40" x14ac:dyDescent="0.45">
      <c r="I49" t="s">
        <v>180</v>
      </c>
      <c r="J49" t="s">
        <v>168</v>
      </c>
      <c r="K49">
        <v>0.61659559894584393</v>
      </c>
      <c r="L49" t="s">
        <v>166</v>
      </c>
      <c r="N49" t="s">
        <v>204</v>
      </c>
      <c r="O49" t="s">
        <v>168</v>
      </c>
      <c r="P49">
        <v>0.50675917749728228</v>
      </c>
      <c r="Q49" t="s">
        <v>166</v>
      </c>
      <c r="S49" t="s">
        <v>221</v>
      </c>
      <c r="T49" t="s">
        <v>168</v>
      </c>
      <c r="U49">
        <v>0.38582785946633957</v>
      </c>
      <c r="V49" t="s">
        <v>166</v>
      </c>
      <c r="AK49">
        <v>2031</v>
      </c>
      <c r="AL49" t="s">
        <v>160</v>
      </c>
      <c r="AM49">
        <v>0.51639999999999997</v>
      </c>
      <c r="AN49" t="s">
        <v>249</v>
      </c>
    </row>
    <row r="50" spans="9:40" x14ac:dyDescent="0.45">
      <c r="I50" t="s">
        <v>180</v>
      </c>
      <c r="J50" t="s">
        <v>169</v>
      </c>
      <c r="K50">
        <v>5.0483707629748941E-3</v>
      </c>
      <c r="L50" t="s">
        <v>166</v>
      </c>
      <c r="N50" t="s">
        <v>204</v>
      </c>
      <c r="O50" t="s">
        <v>169</v>
      </c>
      <c r="P50">
        <v>3.1941533141033041E-2</v>
      </c>
      <c r="Q50" t="s">
        <v>166</v>
      </c>
      <c r="S50" t="s">
        <v>221</v>
      </c>
      <c r="T50" t="s">
        <v>169</v>
      </c>
      <c r="U50">
        <v>4.3730648042575246E-2</v>
      </c>
      <c r="V50" t="s">
        <v>166</v>
      </c>
      <c r="AK50">
        <v>2031</v>
      </c>
      <c r="AL50" t="s">
        <v>162</v>
      </c>
      <c r="AM50">
        <v>0.53090000000000004</v>
      </c>
      <c r="AN50" t="s">
        <v>249</v>
      </c>
    </row>
    <row r="51" spans="9:40" x14ac:dyDescent="0.45">
      <c r="I51" t="s">
        <v>180</v>
      </c>
      <c r="J51" t="s">
        <v>170</v>
      </c>
      <c r="K51">
        <v>9.2852582943102769E-3</v>
      </c>
      <c r="L51" t="s">
        <v>166</v>
      </c>
      <c r="N51" t="s">
        <v>204</v>
      </c>
      <c r="O51" t="s">
        <v>170</v>
      </c>
      <c r="P51">
        <v>3.3620282026688483E-3</v>
      </c>
      <c r="Q51" t="s">
        <v>166</v>
      </c>
      <c r="S51" t="s">
        <v>221</v>
      </c>
      <c r="T51" t="s">
        <v>170</v>
      </c>
      <c r="U51">
        <v>5.2384825428804663E-3</v>
      </c>
      <c r="V51" t="s">
        <v>166</v>
      </c>
      <c r="AK51">
        <v>2032</v>
      </c>
      <c r="AL51" t="s">
        <v>154</v>
      </c>
      <c r="AM51">
        <v>0.32756249999999998</v>
      </c>
      <c r="AN51" t="s">
        <v>249</v>
      </c>
    </row>
    <row r="52" spans="9:40" x14ac:dyDescent="0.45">
      <c r="I52" t="s">
        <v>180</v>
      </c>
      <c r="J52" t="s">
        <v>171</v>
      </c>
      <c r="K52">
        <v>0.12239265679231565</v>
      </c>
      <c r="L52" t="s">
        <v>166</v>
      </c>
      <c r="N52" t="s">
        <v>204</v>
      </c>
      <c r="O52" t="s">
        <v>171</v>
      </c>
      <c r="P52">
        <v>7.2634373216213258E-2</v>
      </c>
      <c r="Q52" t="s">
        <v>166</v>
      </c>
      <c r="S52" t="s">
        <v>221</v>
      </c>
      <c r="T52" t="s">
        <v>171</v>
      </c>
      <c r="U52">
        <v>8.8516114974406271E-2</v>
      </c>
      <c r="V52" t="s">
        <v>166</v>
      </c>
      <c r="AK52">
        <v>2032</v>
      </c>
      <c r="AL52" t="s">
        <v>158</v>
      </c>
      <c r="AM52">
        <v>0.46250000000000002</v>
      </c>
      <c r="AN52" t="s">
        <v>249</v>
      </c>
    </row>
    <row r="53" spans="9:40" x14ac:dyDescent="0.45">
      <c r="I53" t="s">
        <v>180</v>
      </c>
      <c r="J53" t="s">
        <v>172</v>
      </c>
      <c r="K53">
        <v>4.1071195096201172E-3</v>
      </c>
      <c r="L53" t="s">
        <v>166</v>
      </c>
      <c r="N53" t="s">
        <v>204</v>
      </c>
      <c r="O53" t="s">
        <v>172</v>
      </c>
      <c r="P53">
        <v>2.0341412992913695E-2</v>
      </c>
      <c r="Q53" t="s">
        <v>166</v>
      </c>
      <c r="S53" t="s">
        <v>221</v>
      </c>
      <c r="T53" t="s">
        <v>172</v>
      </c>
      <c r="U53">
        <v>3.3099675427711493E-2</v>
      </c>
      <c r="V53" t="s">
        <v>166</v>
      </c>
      <c r="AK53">
        <v>2032</v>
      </c>
      <c r="AL53" t="s">
        <v>160</v>
      </c>
      <c r="AM53">
        <v>0.41039999999999999</v>
      </c>
      <c r="AN53" t="s">
        <v>249</v>
      </c>
    </row>
    <row r="54" spans="9:40" x14ac:dyDescent="0.45">
      <c r="I54" t="s">
        <v>180</v>
      </c>
      <c r="J54" t="s">
        <v>173</v>
      </c>
      <c r="K54">
        <v>7.1281556908616298E-3</v>
      </c>
      <c r="L54" t="s">
        <v>166</v>
      </c>
      <c r="N54" t="s">
        <v>204</v>
      </c>
      <c r="O54" t="s">
        <v>173</v>
      </c>
      <c r="P54">
        <v>2.2579123300268235E-3</v>
      </c>
      <c r="Q54" t="s">
        <v>166</v>
      </c>
      <c r="S54" t="s">
        <v>221</v>
      </c>
      <c r="T54" t="s">
        <v>173</v>
      </c>
      <c r="U54">
        <v>4.452198209183229E-3</v>
      </c>
      <c r="V54" t="s">
        <v>166</v>
      </c>
      <c r="AK54">
        <v>2032</v>
      </c>
      <c r="AL54" t="s">
        <v>162</v>
      </c>
      <c r="AM54">
        <v>0.45050000000000001</v>
      </c>
      <c r="AN54" t="s">
        <v>249</v>
      </c>
    </row>
    <row r="55" spans="9:40" x14ac:dyDescent="0.45">
      <c r="I55" t="s">
        <v>180</v>
      </c>
      <c r="J55" t="s">
        <v>174</v>
      </c>
      <c r="K55">
        <v>7.1219345832811878E-2</v>
      </c>
      <c r="L55" t="s">
        <v>166</v>
      </c>
      <c r="N55" t="s">
        <v>204</v>
      </c>
      <c r="O55" t="s">
        <v>174</v>
      </c>
      <c r="P55">
        <v>4.7701146107803225E-2</v>
      </c>
      <c r="Q55" t="s">
        <v>166</v>
      </c>
      <c r="S55" t="s">
        <v>221</v>
      </c>
      <c r="T55" t="s">
        <v>174</v>
      </c>
      <c r="U55">
        <v>6.6024883621050828E-2</v>
      </c>
      <c r="V55" t="s">
        <v>166</v>
      </c>
      <c r="AK55">
        <v>2033</v>
      </c>
      <c r="AL55" t="s">
        <v>154</v>
      </c>
      <c r="AM55">
        <v>0.32152500000000001</v>
      </c>
      <c r="AN55" t="s">
        <v>249</v>
      </c>
    </row>
    <row r="56" spans="9:40" x14ac:dyDescent="0.45">
      <c r="I56" t="s">
        <v>180</v>
      </c>
      <c r="J56" t="s">
        <v>175</v>
      </c>
      <c r="K56">
        <v>4.0335667514228846E-3</v>
      </c>
      <c r="L56" t="s">
        <v>166</v>
      </c>
      <c r="N56" t="s">
        <v>204</v>
      </c>
      <c r="O56" t="s">
        <v>175</v>
      </c>
      <c r="P56">
        <v>1.2336567425081043E-2</v>
      </c>
      <c r="Q56" t="s">
        <v>166</v>
      </c>
      <c r="S56" t="s">
        <v>221</v>
      </c>
      <c r="T56" t="s">
        <v>175</v>
      </c>
      <c r="U56">
        <v>4.8996467406082121E-2</v>
      </c>
      <c r="V56" t="s">
        <v>166</v>
      </c>
      <c r="AK56">
        <v>2033</v>
      </c>
      <c r="AL56" t="s">
        <v>158</v>
      </c>
      <c r="AM56">
        <v>0.47909999999999997</v>
      </c>
      <c r="AN56" t="s">
        <v>249</v>
      </c>
    </row>
    <row r="57" spans="9:40" x14ac:dyDescent="0.45">
      <c r="I57" t="s">
        <v>180</v>
      </c>
      <c r="J57" t="s">
        <v>176</v>
      </c>
      <c r="K57">
        <v>7.434343869002988E-3</v>
      </c>
      <c r="L57" t="s">
        <v>166</v>
      </c>
      <c r="N57" t="s">
        <v>204</v>
      </c>
      <c r="O57" t="s">
        <v>176</v>
      </c>
      <c r="P57">
        <v>1.214570001410813E-3</v>
      </c>
      <c r="Q57" t="s">
        <v>166</v>
      </c>
      <c r="S57" t="s">
        <v>221</v>
      </c>
      <c r="T57" t="s">
        <v>176</v>
      </c>
      <c r="U57">
        <v>6.1479638604127499E-3</v>
      </c>
      <c r="V57" t="s">
        <v>166</v>
      </c>
      <c r="AK57">
        <v>2033</v>
      </c>
      <c r="AL57" t="s">
        <v>160</v>
      </c>
      <c r="AM57">
        <v>0.48010000000000003</v>
      </c>
      <c r="AN57" t="s">
        <v>249</v>
      </c>
    </row>
    <row r="58" spans="9:40" x14ac:dyDescent="0.45">
      <c r="I58" t="s">
        <v>180</v>
      </c>
      <c r="J58" t="s">
        <v>177</v>
      </c>
      <c r="K58">
        <v>8.3896784905929889E-2</v>
      </c>
      <c r="L58" t="s">
        <v>166</v>
      </c>
      <c r="N58" t="s">
        <v>204</v>
      </c>
      <c r="O58" t="s">
        <v>177</v>
      </c>
      <c r="P58">
        <v>2.9142208085333826E-2</v>
      </c>
      <c r="Q58" t="s">
        <v>166</v>
      </c>
      <c r="S58" t="s">
        <v>221</v>
      </c>
      <c r="T58" t="s">
        <v>177</v>
      </c>
      <c r="U58">
        <v>9.5860632948252741E-2</v>
      </c>
      <c r="V58" t="s">
        <v>166</v>
      </c>
      <c r="AK58">
        <v>2033</v>
      </c>
      <c r="AL58" t="s">
        <v>162</v>
      </c>
      <c r="AM58">
        <v>0.41699999999999998</v>
      </c>
      <c r="AN58" t="s">
        <v>249</v>
      </c>
    </row>
    <row r="59" spans="9:40" x14ac:dyDescent="0.45">
      <c r="I59" t="s">
        <v>181</v>
      </c>
      <c r="J59" t="s">
        <v>165</v>
      </c>
      <c r="K59">
        <v>2.9723589889301783E-2</v>
      </c>
      <c r="L59" t="s">
        <v>166</v>
      </c>
      <c r="N59" t="s">
        <v>205</v>
      </c>
      <c r="O59" t="s">
        <v>165</v>
      </c>
      <c r="P59">
        <v>0.21577806367855279</v>
      </c>
      <c r="Q59" t="s">
        <v>166</v>
      </c>
      <c r="S59" t="s">
        <v>222</v>
      </c>
      <c r="T59" t="s">
        <v>165</v>
      </c>
      <c r="U59">
        <v>0.20534876359568746</v>
      </c>
      <c r="V59" t="s">
        <v>166</v>
      </c>
      <c r="AK59">
        <v>2034</v>
      </c>
      <c r="AL59" t="s">
        <v>154</v>
      </c>
      <c r="AM59">
        <v>0.31733750000000005</v>
      </c>
      <c r="AN59" t="s">
        <v>249</v>
      </c>
    </row>
    <row r="60" spans="9:40" x14ac:dyDescent="0.45">
      <c r="I60" t="s">
        <v>181</v>
      </c>
      <c r="J60" t="s">
        <v>167</v>
      </c>
      <c r="K60">
        <v>4.5568007362816201E-2</v>
      </c>
      <c r="L60" t="s">
        <v>166</v>
      </c>
      <c r="N60" t="s">
        <v>205</v>
      </c>
      <c r="O60" t="s">
        <v>167</v>
      </c>
      <c r="P60">
        <v>2.6166946386686627E-2</v>
      </c>
      <c r="Q60" t="s">
        <v>166</v>
      </c>
      <c r="S60" t="s">
        <v>222</v>
      </c>
      <c r="T60" t="s">
        <v>167</v>
      </c>
      <c r="U60">
        <v>2.5042121705446181E-2</v>
      </c>
      <c r="V60" t="s">
        <v>166</v>
      </c>
      <c r="AK60">
        <v>2034</v>
      </c>
      <c r="AL60" t="s">
        <v>158</v>
      </c>
      <c r="AM60">
        <v>0.45695000000000002</v>
      </c>
      <c r="AN60" t="s">
        <v>249</v>
      </c>
    </row>
    <row r="61" spans="9:40" x14ac:dyDescent="0.45">
      <c r="I61" t="s">
        <v>181</v>
      </c>
      <c r="J61" t="s">
        <v>168</v>
      </c>
      <c r="K61">
        <v>0.63538029935038409</v>
      </c>
      <c r="L61" t="s">
        <v>166</v>
      </c>
      <c r="N61" t="s">
        <v>205</v>
      </c>
      <c r="O61" t="s">
        <v>168</v>
      </c>
      <c r="P61">
        <v>0.43790310913511465</v>
      </c>
      <c r="Q61" t="s">
        <v>166</v>
      </c>
      <c r="S61" t="s">
        <v>222</v>
      </c>
      <c r="T61" t="s">
        <v>168</v>
      </c>
      <c r="U61">
        <v>0.3831318854474895</v>
      </c>
      <c r="V61" t="s">
        <v>166</v>
      </c>
      <c r="AK61">
        <v>2034</v>
      </c>
      <c r="AL61" t="s">
        <v>160</v>
      </c>
      <c r="AM61">
        <v>0.4239</v>
      </c>
      <c r="AN61" t="s">
        <v>249</v>
      </c>
    </row>
    <row r="62" spans="9:40" x14ac:dyDescent="0.45">
      <c r="I62" t="s">
        <v>181</v>
      </c>
      <c r="J62" t="s">
        <v>169</v>
      </c>
      <c r="K62">
        <v>5.0738056899622052E-3</v>
      </c>
      <c r="L62" t="s">
        <v>166</v>
      </c>
      <c r="N62" t="s">
        <v>205</v>
      </c>
      <c r="O62" t="s">
        <v>169</v>
      </c>
      <c r="P62">
        <v>4.1355927860402375E-2</v>
      </c>
      <c r="Q62" t="s">
        <v>166</v>
      </c>
      <c r="S62" t="s">
        <v>222</v>
      </c>
      <c r="T62" t="s">
        <v>169</v>
      </c>
      <c r="U62">
        <v>4.8176400293345238E-2</v>
      </c>
      <c r="V62" t="s">
        <v>166</v>
      </c>
      <c r="AK62">
        <v>2034</v>
      </c>
      <c r="AL62" t="s">
        <v>162</v>
      </c>
      <c r="AM62">
        <v>0.4788</v>
      </c>
      <c r="AN62" t="s">
        <v>249</v>
      </c>
    </row>
    <row r="63" spans="9:40" x14ac:dyDescent="0.45">
      <c r="I63" t="s">
        <v>181</v>
      </c>
      <c r="J63" t="s">
        <v>170</v>
      </c>
      <c r="K63">
        <v>9.8927956174423674E-3</v>
      </c>
      <c r="L63" t="s">
        <v>166</v>
      </c>
      <c r="N63" t="s">
        <v>205</v>
      </c>
      <c r="O63" t="s">
        <v>170</v>
      </c>
      <c r="P63">
        <v>4.9334435261548801E-3</v>
      </c>
      <c r="Q63" t="s">
        <v>166</v>
      </c>
      <c r="S63" t="s">
        <v>222</v>
      </c>
      <c r="T63" t="s">
        <v>170</v>
      </c>
      <c r="U63">
        <v>5.8043384645879784E-3</v>
      </c>
      <c r="V63" t="s">
        <v>166</v>
      </c>
      <c r="AK63">
        <v>2035</v>
      </c>
      <c r="AL63" t="s">
        <v>154</v>
      </c>
      <c r="AM63">
        <v>0.38318750000000001</v>
      </c>
      <c r="AN63" t="s">
        <v>249</v>
      </c>
    </row>
    <row r="64" spans="9:40" x14ac:dyDescent="0.45">
      <c r="I64" t="s">
        <v>181</v>
      </c>
      <c r="J64" t="s">
        <v>171</v>
      </c>
      <c r="K64">
        <v>0.12514396208006681</v>
      </c>
      <c r="L64" t="s">
        <v>166</v>
      </c>
      <c r="N64" t="s">
        <v>205</v>
      </c>
      <c r="O64" t="s">
        <v>171</v>
      </c>
      <c r="P64">
        <v>8.8192100167881884E-2</v>
      </c>
      <c r="Q64" t="s">
        <v>166</v>
      </c>
      <c r="S64" t="s">
        <v>222</v>
      </c>
      <c r="T64" t="s">
        <v>171</v>
      </c>
      <c r="U64">
        <v>9.4671017495302046E-2</v>
      </c>
      <c r="V64" t="s">
        <v>166</v>
      </c>
      <c r="AK64">
        <v>2035</v>
      </c>
      <c r="AL64" t="s">
        <v>158</v>
      </c>
      <c r="AM64">
        <v>0.52174999999999994</v>
      </c>
      <c r="AN64" t="s">
        <v>249</v>
      </c>
    </row>
    <row r="65" spans="9:40" x14ac:dyDescent="0.45">
      <c r="I65" t="s">
        <v>181</v>
      </c>
      <c r="J65" t="s">
        <v>172</v>
      </c>
      <c r="K65">
        <v>2.6072905217553325E-3</v>
      </c>
      <c r="L65" t="s">
        <v>166</v>
      </c>
      <c r="N65" t="s">
        <v>205</v>
      </c>
      <c r="O65" t="s">
        <v>172</v>
      </c>
      <c r="P65">
        <v>2.8744610973857224E-2</v>
      </c>
      <c r="Q65" t="s">
        <v>166</v>
      </c>
      <c r="S65" t="s">
        <v>222</v>
      </c>
      <c r="T65" t="s">
        <v>172</v>
      </c>
      <c r="U65">
        <v>3.1044982108371522E-2</v>
      </c>
      <c r="V65" t="s">
        <v>166</v>
      </c>
      <c r="AK65">
        <v>2035</v>
      </c>
      <c r="AL65" t="s">
        <v>160</v>
      </c>
      <c r="AM65">
        <v>0.55869999999999997</v>
      </c>
      <c r="AN65" t="s">
        <v>249</v>
      </c>
    </row>
    <row r="66" spans="9:40" x14ac:dyDescent="0.45">
      <c r="I66" t="s">
        <v>181</v>
      </c>
      <c r="J66" t="s">
        <v>173</v>
      </c>
      <c r="K66">
        <v>4.9023399905613035E-3</v>
      </c>
      <c r="L66" t="s">
        <v>166</v>
      </c>
      <c r="N66" t="s">
        <v>205</v>
      </c>
      <c r="O66" t="s">
        <v>173</v>
      </c>
      <c r="P66">
        <v>3.4313396811103958E-3</v>
      </c>
      <c r="Q66" t="s">
        <v>166</v>
      </c>
      <c r="S66" t="s">
        <v>222</v>
      </c>
      <c r="T66" t="s">
        <v>173</v>
      </c>
      <c r="U66">
        <v>3.976033882905637E-3</v>
      </c>
      <c r="V66" t="s">
        <v>166</v>
      </c>
      <c r="AK66">
        <v>2035</v>
      </c>
      <c r="AL66" t="s">
        <v>162</v>
      </c>
      <c r="AM66">
        <v>0.48509999999999998</v>
      </c>
      <c r="AN66" t="s">
        <v>249</v>
      </c>
    </row>
    <row r="67" spans="9:40" x14ac:dyDescent="0.45">
      <c r="I67" t="s">
        <v>181</v>
      </c>
      <c r="J67" t="s">
        <v>174</v>
      </c>
      <c r="K67">
        <v>6.6063359062952909E-2</v>
      </c>
      <c r="L67" t="s">
        <v>166</v>
      </c>
      <c r="N67" t="s">
        <v>205</v>
      </c>
      <c r="O67" t="s">
        <v>174</v>
      </c>
      <c r="P67">
        <v>5.8625495127920008E-2</v>
      </c>
      <c r="Q67" t="s">
        <v>166</v>
      </c>
      <c r="S67" t="s">
        <v>222</v>
      </c>
      <c r="T67" t="s">
        <v>174</v>
      </c>
      <c r="U67">
        <v>5.89026820230397E-2</v>
      </c>
      <c r="V67" t="s">
        <v>166</v>
      </c>
      <c r="AK67">
        <v>2036</v>
      </c>
      <c r="AL67" t="s">
        <v>154</v>
      </c>
      <c r="AM67">
        <v>0.38230000000000008</v>
      </c>
      <c r="AN67" t="s">
        <v>249</v>
      </c>
    </row>
    <row r="68" spans="9:40" x14ac:dyDescent="0.45">
      <c r="I68" t="s">
        <v>181</v>
      </c>
      <c r="J68" t="s">
        <v>175</v>
      </c>
      <c r="K68">
        <v>2.2262711466790922E-3</v>
      </c>
      <c r="L68" t="s">
        <v>166</v>
      </c>
      <c r="N68" t="s">
        <v>205</v>
      </c>
      <c r="O68" t="s">
        <v>175</v>
      </c>
      <c r="P68">
        <v>2.9153441679409361E-2</v>
      </c>
      <c r="Q68" t="s">
        <v>166</v>
      </c>
      <c r="S68" t="s">
        <v>222</v>
      </c>
      <c r="T68" t="s">
        <v>175</v>
      </c>
      <c r="U68">
        <v>4.7939646942566375E-2</v>
      </c>
      <c r="V68" t="s">
        <v>166</v>
      </c>
      <c r="AK68">
        <v>2036</v>
      </c>
      <c r="AL68" t="s">
        <v>158</v>
      </c>
      <c r="AM68">
        <v>0.57145000000000001</v>
      </c>
      <c r="AN68" t="s">
        <v>249</v>
      </c>
    </row>
    <row r="69" spans="9:40" x14ac:dyDescent="0.45">
      <c r="I69" t="s">
        <v>181</v>
      </c>
      <c r="J69" t="s">
        <v>176</v>
      </c>
      <c r="K69">
        <v>4.7025186732771269E-3</v>
      </c>
      <c r="L69" t="s">
        <v>166</v>
      </c>
      <c r="N69" t="s">
        <v>205</v>
      </c>
      <c r="O69" t="s">
        <v>176</v>
      </c>
      <c r="P69">
        <v>3.601070516592174E-3</v>
      </c>
      <c r="Q69" t="s">
        <v>166</v>
      </c>
      <c r="S69" t="s">
        <v>222</v>
      </c>
      <c r="T69" t="s">
        <v>176</v>
      </c>
      <c r="U69">
        <v>5.9530916412529082E-3</v>
      </c>
      <c r="V69" t="s">
        <v>166</v>
      </c>
      <c r="AK69">
        <v>2036</v>
      </c>
      <c r="AL69" t="s">
        <v>160</v>
      </c>
      <c r="AM69">
        <v>0.52980000000000005</v>
      </c>
      <c r="AN69" t="s">
        <v>249</v>
      </c>
    </row>
    <row r="70" spans="9:40" x14ac:dyDescent="0.45">
      <c r="I70" t="s">
        <v>181</v>
      </c>
      <c r="J70" t="s">
        <v>177</v>
      </c>
      <c r="K70">
        <v>6.8715760614802571E-2</v>
      </c>
      <c r="L70" t="s">
        <v>166</v>
      </c>
      <c r="N70" t="s">
        <v>205</v>
      </c>
      <c r="O70" t="s">
        <v>177</v>
      </c>
      <c r="P70">
        <v>6.2114451266317011E-2</v>
      </c>
      <c r="Q70" t="s">
        <v>166</v>
      </c>
      <c r="S70" t="s">
        <v>222</v>
      </c>
      <c r="T70" t="s">
        <v>177</v>
      </c>
      <c r="U70">
        <v>9.0009036400004308E-2</v>
      </c>
      <c r="V70" t="s">
        <v>166</v>
      </c>
      <c r="AK70">
        <v>2036</v>
      </c>
      <c r="AL70" t="s">
        <v>162</v>
      </c>
      <c r="AM70">
        <v>0.47039999999999998</v>
      </c>
      <c r="AN70" t="s">
        <v>249</v>
      </c>
    </row>
    <row r="71" spans="9:40" x14ac:dyDescent="0.45">
      <c r="I71" t="s">
        <v>182</v>
      </c>
      <c r="J71" t="s">
        <v>165</v>
      </c>
      <c r="K71">
        <v>2.6254095552477458E-2</v>
      </c>
      <c r="L71" t="s">
        <v>166</v>
      </c>
      <c r="N71" t="s">
        <v>206</v>
      </c>
      <c r="O71" t="s">
        <v>165</v>
      </c>
      <c r="P71">
        <v>0.2097190837250632</v>
      </c>
      <c r="Q71" t="s">
        <v>166</v>
      </c>
      <c r="S71" t="s">
        <v>223</v>
      </c>
      <c r="T71" t="s">
        <v>165</v>
      </c>
      <c r="U71">
        <v>0.21015768823854933</v>
      </c>
      <c r="V71" t="s">
        <v>166</v>
      </c>
      <c r="AK71">
        <v>2037</v>
      </c>
      <c r="AL71" t="s">
        <v>154</v>
      </c>
      <c r="AM71">
        <v>0.38246249999999998</v>
      </c>
      <c r="AN71" t="s">
        <v>249</v>
      </c>
    </row>
    <row r="72" spans="9:40" x14ac:dyDescent="0.45">
      <c r="I72" t="s">
        <v>182</v>
      </c>
      <c r="J72" t="s">
        <v>167</v>
      </c>
      <c r="K72">
        <v>4.452269154991937E-2</v>
      </c>
      <c r="L72" t="s">
        <v>166</v>
      </c>
      <c r="N72" t="s">
        <v>206</v>
      </c>
      <c r="O72" t="s">
        <v>167</v>
      </c>
      <c r="P72">
        <v>1.9364662943212596E-2</v>
      </c>
      <c r="Q72" t="s">
        <v>166</v>
      </c>
      <c r="S72" t="s">
        <v>223</v>
      </c>
      <c r="T72" t="s">
        <v>167</v>
      </c>
      <c r="U72">
        <v>2.6084977632415195E-2</v>
      </c>
      <c r="V72" t="s">
        <v>166</v>
      </c>
      <c r="AK72">
        <v>2037</v>
      </c>
      <c r="AL72" t="s">
        <v>158</v>
      </c>
      <c r="AM72">
        <v>0.52329999999999999</v>
      </c>
      <c r="AN72" t="s">
        <v>249</v>
      </c>
    </row>
    <row r="73" spans="9:40" x14ac:dyDescent="0.45">
      <c r="I73" t="s">
        <v>182</v>
      </c>
      <c r="J73" t="s">
        <v>168</v>
      </c>
      <c r="K73">
        <v>0.61292945981745528</v>
      </c>
      <c r="L73" t="s">
        <v>166</v>
      </c>
      <c r="N73" t="s">
        <v>206</v>
      </c>
      <c r="O73" t="s">
        <v>168</v>
      </c>
      <c r="P73">
        <v>0.45872094583474443</v>
      </c>
      <c r="Q73" t="s">
        <v>166</v>
      </c>
      <c r="S73" t="s">
        <v>223</v>
      </c>
      <c r="T73" t="s">
        <v>168</v>
      </c>
      <c r="U73">
        <v>0.38308858233555709</v>
      </c>
      <c r="V73" t="s">
        <v>166</v>
      </c>
      <c r="AK73">
        <v>2037</v>
      </c>
      <c r="AL73" t="s">
        <v>160</v>
      </c>
      <c r="AM73">
        <v>0.55130000000000001</v>
      </c>
      <c r="AN73" t="s">
        <v>249</v>
      </c>
    </row>
    <row r="74" spans="9:40" x14ac:dyDescent="0.45">
      <c r="I74" t="s">
        <v>182</v>
      </c>
      <c r="J74" t="s">
        <v>169</v>
      </c>
      <c r="K74">
        <v>5.977064825235222E-3</v>
      </c>
      <c r="L74" t="s">
        <v>166</v>
      </c>
      <c r="N74" t="s">
        <v>206</v>
      </c>
      <c r="O74" t="s">
        <v>169</v>
      </c>
      <c r="P74">
        <v>4.7861591057637778E-2</v>
      </c>
      <c r="Q74" t="s">
        <v>166</v>
      </c>
      <c r="S74" t="s">
        <v>223</v>
      </c>
      <c r="T74" t="s">
        <v>169</v>
      </c>
      <c r="U74">
        <v>4.6327694677800645E-2</v>
      </c>
      <c r="V74" t="s">
        <v>166</v>
      </c>
      <c r="AK74">
        <v>2037</v>
      </c>
      <c r="AL74" t="s">
        <v>162</v>
      </c>
      <c r="AM74">
        <v>0.46899999999999997</v>
      </c>
      <c r="AN74" t="s">
        <v>249</v>
      </c>
    </row>
    <row r="75" spans="9:40" x14ac:dyDescent="0.45">
      <c r="I75" t="s">
        <v>182</v>
      </c>
      <c r="J75" t="s">
        <v>170</v>
      </c>
      <c r="K75">
        <v>1.1196608305267848E-2</v>
      </c>
      <c r="L75" t="s">
        <v>166</v>
      </c>
      <c r="N75" t="s">
        <v>206</v>
      </c>
      <c r="O75" t="s">
        <v>170</v>
      </c>
      <c r="P75">
        <v>4.4144803619863057E-3</v>
      </c>
      <c r="Q75" t="s">
        <v>166</v>
      </c>
      <c r="S75" t="s">
        <v>223</v>
      </c>
      <c r="T75" t="s">
        <v>170</v>
      </c>
      <c r="U75">
        <v>5.9035275199561489E-3</v>
      </c>
      <c r="V75" t="s">
        <v>166</v>
      </c>
      <c r="AK75">
        <v>2038</v>
      </c>
      <c r="AL75" t="s">
        <v>154</v>
      </c>
      <c r="AM75">
        <v>0.31640000000000001</v>
      </c>
      <c r="AN75" t="s">
        <v>249</v>
      </c>
    </row>
    <row r="76" spans="9:40" x14ac:dyDescent="0.45">
      <c r="I76" t="s">
        <v>182</v>
      </c>
      <c r="J76" t="s">
        <v>171</v>
      </c>
      <c r="K76">
        <v>0.14122714898412714</v>
      </c>
      <c r="L76" t="s">
        <v>166</v>
      </c>
      <c r="N76" t="s">
        <v>206</v>
      </c>
      <c r="O76" t="s">
        <v>171</v>
      </c>
      <c r="P76">
        <v>0.10464661733951677</v>
      </c>
      <c r="Q76" t="s">
        <v>166</v>
      </c>
      <c r="S76" t="s">
        <v>223</v>
      </c>
      <c r="T76" t="s">
        <v>171</v>
      </c>
      <c r="U76">
        <v>9.342543294489207E-2</v>
      </c>
      <c r="V76" t="s">
        <v>166</v>
      </c>
      <c r="AK76">
        <v>2038</v>
      </c>
      <c r="AL76" t="s">
        <v>158</v>
      </c>
      <c r="AM76">
        <v>0.47115000000000001</v>
      </c>
      <c r="AN76" t="s">
        <v>249</v>
      </c>
    </row>
    <row r="77" spans="9:40" x14ac:dyDescent="0.45">
      <c r="I77" t="s">
        <v>182</v>
      </c>
      <c r="J77" t="s">
        <v>172</v>
      </c>
      <c r="K77">
        <v>3.3670970683397539E-3</v>
      </c>
      <c r="L77" t="s">
        <v>166</v>
      </c>
      <c r="N77" t="s">
        <v>206</v>
      </c>
      <c r="O77" t="s">
        <v>172</v>
      </c>
      <c r="P77">
        <v>1.7412620263869933E-2</v>
      </c>
      <c r="Q77" t="s">
        <v>166</v>
      </c>
      <c r="S77" t="s">
        <v>223</v>
      </c>
      <c r="T77" t="s">
        <v>172</v>
      </c>
      <c r="U77">
        <v>2.3551916885513165E-2</v>
      </c>
      <c r="V77" t="s">
        <v>166</v>
      </c>
      <c r="AK77">
        <v>2038</v>
      </c>
      <c r="AL77" t="s">
        <v>160</v>
      </c>
      <c r="AM77">
        <v>0.40770000000000001</v>
      </c>
      <c r="AN77" t="s">
        <v>249</v>
      </c>
    </row>
    <row r="78" spans="9:40" x14ac:dyDescent="0.45">
      <c r="I78" t="s">
        <v>182</v>
      </c>
      <c r="J78" t="s">
        <v>173</v>
      </c>
      <c r="K78">
        <v>6.0097979066266963E-3</v>
      </c>
      <c r="L78" t="s">
        <v>166</v>
      </c>
      <c r="N78" t="s">
        <v>206</v>
      </c>
      <c r="O78" t="s">
        <v>173</v>
      </c>
      <c r="P78">
        <v>1.8707674647891481E-3</v>
      </c>
      <c r="Q78" t="s">
        <v>166</v>
      </c>
      <c r="S78" t="s">
        <v>223</v>
      </c>
      <c r="T78" t="s">
        <v>173</v>
      </c>
      <c r="U78">
        <v>3.2193657759623621E-3</v>
      </c>
      <c r="V78" t="s">
        <v>166</v>
      </c>
      <c r="AK78">
        <v>2038</v>
      </c>
      <c r="AL78" t="s">
        <v>162</v>
      </c>
      <c r="AM78">
        <v>0.4073</v>
      </c>
      <c r="AN78" t="s">
        <v>249</v>
      </c>
    </row>
    <row r="79" spans="9:40" x14ac:dyDescent="0.45">
      <c r="I79" t="s">
        <v>182</v>
      </c>
      <c r="J79" t="s">
        <v>174</v>
      </c>
      <c r="K79">
        <v>6.9039178672776702E-2</v>
      </c>
      <c r="L79" t="s">
        <v>166</v>
      </c>
      <c r="N79" t="s">
        <v>206</v>
      </c>
      <c r="O79" t="s">
        <v>174</v>
      </c>
      <c r="P79">
        <v>2.7184663083665676E-2</v>
      </c>
      <c r="Q79" t="s">
        <v>166</v>
      </c>
      <c r="S79" t="s">
        <v>223</v>
      </c>
      <c r="T79" t="s">
        <v>174</v>
      </c>
      <c r="U79">
        <v>4.3199397013250242E-2</v>
      </c>
      <c r="V79" t="s">
        <v>166</v>
      </c>
      <c r="AK79">
        <v>2039</v>
      </c>
      <c r="AL79" t="s">
        <v>154</v>
      </c>
      <c r="AM79">
        <v>0.31659999999999999</v>
      </c>
      <c r="AN79" t="s">
        <v>249</v>
      </c>
    </row>
    <row r="80" spans="9:40" x14ac:dyDescent="0.45">
      <c r="I80" t="s">
        <v>182</v>
      </c>
      <c r="J80" t="s">
        <v>175</v>
      </c>
      <c r="K80">
        <v>2.8401210336990836E-3</v>
      </c>
      <c r="L80" t="s">
        <v>166</v>
      </c>
      <c r="N80" t="s">
        <v>206</v>
      </c>
      <c r="O80" t="s">
        <v>175</v>
      </c>
      <c r="P80">
        <v>4.8805200183722183E-2</v>
      </c>
      <c r="Q80" t="s">
        <v>166</v>
      </c>
      <c r="S80" t="s">
        <v>223</v>
      </c>
      <c r="T80" t="s">
        <v>175</v>
      </c>
      <c r="U80">
        <v>5.512031299221621E-2</v>
      </c>
      <c r="V80" t="s">
        <v>166</v>
      </c>
      <c r="AK80">
        <v>2039</v>
      </c>
      <c r="AL80" t="s">
        <v>158</v>
      </c>
      <c r="AM80">
        <v>0.4708</v>
      </c>
      <c r="AN80" t="s">
        <v>249</v>
      </c>
    </row>
    <row r="81" spans="9:40" x14ac:dyDescent="0.45">
      <c r="I81" t="s">
        <v>182</v>
      </c>
      <c r="J81" t="s">
        <v>176</v>
      </c>
      <c r="K81">
        <v>5.3769906370229065E-3</v>
      </c>
      <c r="L81" t="s">
        <v>166</v>
      </c>
      <c r="N81" t="s">
        <v>206</v>
      </c>
      <c r="O81" t="s">
        <v>176</v>
      </c>
      <c r="P81">
        <v>5.4266058729234134E-3</v>
      </c>
      <c r="Q81" t="s">
        <v>166</v>
      </c>
      <c r="S81" t="s">
        <v>223</v>
      </c>
      <c r="T81" t="s">
        <v>176</v>
      </c>
      <c r="U81">
        <v>6.8581851491648681E-3</v>
      </c>
      <c r="V81" t="s">
        <v>166</v>
      </c>
      <c r="AK81">
        <v>2039</v>
      </c>
      <c r="AL81" t="s">
        <v>160</v>
      </c>
      <c r="AM81">
        <v>0.4713</v>
      </c>
      <c r="AN81" t="s">
        <v>249</v>
      </c>
    </row>
    <row r="82" spans="9:40" x14ac:dyDescent="0.45">
      <c r="I82" t="s">
        <v>182</v>
      </c>
      <c r="J82" t="s">
        <v>177</v>
      </c>
      <c r="K82">
        <v>7.1259745647053993E-2</v>
      </c>
      <c r="L82" t="s">
        <v>166</v>
      </c>
      <c r="N82" t="s">
        <v>206</v>
      </c>
      <c r="O82" t="s">
        <v>177</v>
      </c>
      <c r="P82">
        <v>5.4572761868865574E-2</v>
      </c>
      <c r="Q82" t="s">
        <v>166</v>
      </c>
      <c r="S82" t="s">
        <v>223</v>
      </c>
      <c r="T82" t="s">
        <v>177</v>
      </c>
      <c r="U82">
        <v>0.10306291883472755</v>
      </c>
      <c r="V82" t="s">
        <v>166</v>
      </c>
      <c r="AK82">
        <v>2039</v>
      </c>
      <c r="AL82" t="s">
        <v>162</v>
      </c>
      <c r="AM82">
        <v>0.40539999999999998</v>
      </c>
      <c r="AN82" t="s">
        <v>249</v>
      </c>
    </row>
    <row r="83" spans="9:40" x14ac:dyDescent="0.45">
      <c r="I83" t="s">
        <v>183</v>
      </c>
      <c r="J83" t="s">
        <v>165</v>
      </c>
      <c r="K83">
        <v>2.2119211878133531E-2</v>
      </c>
      <c r="L83" t="s">
        <v>166</v>
      </c>
      <c r="N83" t="s">
        <v>207</v>
      </c>
      <c r="O83" t="s">
        <v>165</v>
      </c>
      <c r="P83">
        <v>0.22279318488861138</v>
      </c>
      <c r="Q83" t="s">
        <v>166</v>
      </c>
      <c r="S83" t="s">
        <v>224</v>
      </c>
      <c r="T83" t="s">
        <v>165</v>
      </c>
      <c r="U83">
        <v>0.21118423366699537</v>
      </c>
      <c r="V83" t="s">
        <v>166</v>
      </c>
      <c r="AK83">
        <v>2040</v>
      </c>
      <c r="AL83" t="s">
        <v>154</v>
      </c>
      <c r="AM83">
        <v>0.37809999999999999</v>
      </c>
      <c r="AN83" t="s">
        <v>249</v>
      </c>
    </row>
    <row r="84" spans="9:40" x14ac:dyDescent="0.45">
      <c r="I84" t="s">
        <v>183</v>
      </c>
      <c r="J84" t="s">
        <v>167</v>
      </c>
      <c r="K84">
        <v>4.2503744119195448E-2</v>
      </c>
      <c r="L84" t="s">
        <v>166</v>
      </c>
      <c r="N84" t="s">
        <v>207</v>
      </c>
      <c r="O84" t="s">
        <v>167</v>
      </c>
      <c r="P84">
        <v>2.8884793543872148E-2</v>
      </c>
      <c r="Q84" t="s">
        <v>166</v>
      </c>
      <c r="S84" t="s">
        <v>224</v>
      </c>
      <c r="T84" t="s">
        <v>167</v>
      </c>
      <c r="U84">
        <v>2.6846504692631657E-2</v>
      </c>
      <c r="V84" t="s">
        <v>166</v>
      </c>
      <c r="AK84">
        <v>2040</v>
      </c>
      <c r="AL84" t="s">
        <v>158</v>
      </c>
      <c r="AM84">
        <v>0.54469999999999996</v>
      </c>
      <c r="AN84" t="s">
        <v>249</v>
      </c>
    </row>
    <row r="85" spans="9:40" x14ac:dyDescent="0.45">
      <c r="I85" t="s">
        <v>183</v>
      </c>
      <c r="J85" t="s">
        <v>168</v>
      </c>
      <c r="K85">
        <v>0.60756409565646863</v>
      </c>
      <c r="L85" t="s">
        <v>166</v>
      </c>
      <c r="N85" t="s">
        <v>207</v>
      </c>
      <c r="O85" t="s">
        <v>168</v>
      </c>
      <c r="P85">
        <v>0.39988313484849519</v>
      </c>
      <c r="Q85" t="s">
        <v>166</v>
      </c>
      <c r="S85" t="s">
        <v>224</v>
      </c>
      <c r="T85" t="s">
        <v>168</v>
      </c>
      <c r="U85">
        <v>0.38339650600299241</v>
      </c>
      <c r="V85" t="s">
        <v>166</v>
      </c>
      <c r="AK85">
        <v>2040</v>
      </c>
      <c r="AL85" t="s">
        <v>160</v>
      </c>
      <c r="AM85">
        <v>0.57169999999999999</v>
      </c>
      <c r="AN85" t="s">
        <v>249</v>
      </c>
    </row>
    <row r="86" spans="9:40" x14ac:dyDescent="0.45">
      <c r="I86" t="s">
        <v>183</v>
      </c>
      <c r="J86" t="s">
        <v>169</v>
      </c>
      <c r="K86">
        <v>5.0791816084505862E-3</v>
      </c>
      <c r="L86" t="s">
        <v>166</v>
      </c>
      <c r="N86" t="s">
        <v>207</v>
      </c>
      <c r="O86" t="s">
        <v>169</v>
      </c>
      <c r="P86">
        <v>6.9380375639704631E-2</v>
      </c>
      <c r="Q86" t="s">
        <v>166</v>
      </c>
      <c r="S86" t="s">
        <v>224</v>
      </c>
      <c r="T86" t="s">
        <v>169</v>
      </c>
      <c r="U86">
        <v>5.1391446754974424E-2</v>
      </c>
      <c r="V86" t="s">
        <v>166</v>
      </c>
      <c r="AK86">
        <v>2040</v>
      </c>
      <c r="AL86" t="s">
        <v>162</v>
      </c>
      <c r="AM86">
        <v>0.49159999999999998</v>
      </c>
      <c r="AN86" t="s">
        <v>249</v>
      </c>
    </row>
    <row r="87" spans="9:40" x14ac:dyDescent="0.45">
      <c r="I87" t="s">
        <v>183</v>
      </c>
      <c r="J87" t="s">
        <v>170</v>
      </c>
      <c r="K87">
        <v>9.9621627709312217E-3</v>
      </c>
      <c r="L87" t="s">
        <v>166</v>
      </c>
      <c r="N87" t="s">
        <v>207</v>
      </c>
      <c r="O87" t="s">
        <v>170</v>
      </c>
      <c r="P87">
        <v>8.1253574243960493E-3</v>
      </c>
      <c r="Q87" t="s">
        <v>166</v>
      </c>
      <c r="S87" t="s">
        <v>224</v>
      </c>
      <c r="T87" t="s">
        <v>170</v>
      </c>
      <c r="U87">
        <v>6.4504365988412625E-3</v>
      </c>
      <c r="V87" t="s">
        <v>166</v>
      </c>
      <c r="AK87">
        <v>2041</v>
      </c>
      <c r="AL87" t="s">
        <v>154</v>
      </c>
      <c r="AM87">
        <v>0.3838125</v>
      </c>
      <c r="AN87" t="s">
        <v>249</v>
      </c>
    </row>
    <row r="88" spans="9:40" x14ac:dyDescent="0.45">
      <c r="I88" t="s">
        <v>183</v>
      </c>
      <c r="J88" t="s">
        <v>171</v>
      </c>
      <c r="K88">
        <v>0.13539473674708608</v>
      </c>
      <c r="L88" t="s">
        <v>166</v>
      </c>
      <c r="N88" t="s">
        <v>207</v>
      </c>
      <c r="O88" t="s">
        <v>171</v>
      </c>
      <c r="P88">
        <v>0.12232194632532559</v>
      </c>
      <c r="Q88" t="s">
        <v>166</v>
      </c>
      <c r="S88" t="s">
        <v>224</v>
      </c>
      <c r="T88" t="s">
        <v>171</v>
      </c>
      <c r="U88">
        <v>9.8025777883053541E-2</v>
      </c>
      <c r="V88" t="s">
        <v>166</v>
      </c>
      <c r="AK88">
        <v>2041</v>
      </c>
      <c r="AL88" t="s">
        <v>158</v>
      </c>
      <c r="AM88">
        <v>0.54339999999999999</v>
      </c>
      <c r="AN88" t="s">
        <v>249</v>
      </c>
    </row>
    <row r="89" spans="9:40" x14ac:dyDescent="0.45">
      <c r="I89" t="s">
        <v>183</v>
      </c>
      <c r="J89" t="s">
        <v>172</v>
      </c>
      <c r="K89">
        <v>3.4649779530708824E-3</v>
      </c>
      <c r="L89" t="s">
        <v>166</v>
      </c>
      <c r="N89" t="s">
        <v>207</v>
      </c>
      <c r="O89" t="s">
        <v>172</v>
      </c>
      <c r="P89">
        <v>1.9679106269688381E-2</v>
      </c>
      <c r="Q89" t="s">
        <v>166</v>
      </c>
      <c r="S89" t="s">
        <v>224</v>
      </c>
      <c r="T89" t="s">
        <v>172</v>
      </c>
      <c r="U89">
        <v>2.063288271114842E-2</v>
      </c>
      <c r="V89" t="s">
        <v>166</v>
      </c>
      <c r="AK89">
        <v>2041</v>
      </c>
      <c r="AL89" t="s">
        <v>160</v>
      </c>
      <c r="AM89">
        <v>0.54710000000000003</v>
      </c>
      <c r="AN89" t="s">
        <v>249</v>
      </c>
    </row>
    <row r="90" spans="9:40" x14ac:dyDescent="0.45">
      <c r="I90" t="s">
        <v>183</v>
      </c>
      <c r="J90" t="s">
        <v>173</v>
      </c>
      <c r="K90">
        <v>6.2191669919903379E-3</v>
      </c>
      <c r="L90" t="s">
        <v>166</v>
      </c>
      <c r="N90" t="s">
        <v>207</v>
      </c>
      <c r="O90" t="s">
        <v>173</v>
      </c>
      <c r="P90">
        <v>3.4709184930011541E-3</v>
      </c>
      <c r="Q90" t="s">
        <v>166</v>
      </c>
      <c r="S90" t="s">
        <v>224</v>
      </c>
      <c r="T90" t="s">
        <v>173</v>
      </c>
      <c r="U90">
        <v>2.7966640561671134E-3</v>
      </c>
      <c r="V90" t="s">
        <v>166</v>
      </c>
      <c r="AK90">
        <v>2041</v>
      </c>
      <c r="AL90" t="s">
        <v>162</v>
      </c>
      <c r="AM90">
        <v>0.55389999999999995</v>
      </c>
      <c r="AN90" t="s">
        <v>249</v>
      </c>
    </row>
    <row r="91" spans="9:40" x14ac:dyDescent="0.45">
      <c r="I91" t="s">
        <v>183</v>
      </c>
      <c r="J91" t="s">
        <v>174</v>
      </c>
      <c r="K91">
        <v>7.2992906829603355E-2</v>
      </c>
      <c r="L91" t="s">
        <v>166</v>
      </c>
      <c r="N91" t="s">
        <v>207</v>
      </c>
      <c r="O91" t="s">
        <v>174</v>
      </c>
      <c r="P91">
        <v>3.1822693763040484E-2</v>
      </c>
      <c r="Q91" t="s">
        <v>166</v>
      </c>
      <c r="S91" t="s">
        <v>224</v>
      </c>
      <c r="T91" t="s">
        <v>174</v>
      </c>
      <c r="U91">
        <v>3.9249514431430599E-2</v>
      </c>
      <c r="V91" t="s">
        <v>166</v>
      </c>
      <c r="AK91">
        <v>2042</v>
      </c>
      <c r="AL91" t="s">
        <v>154</v>
      </c>
      <c r="AM91">
        <v>0.38162499999999999</v>
      </c>
      <c r="AN91" t="s">
        <v>249</v>
      </c>
    </row>
    <row r="92" spans="9:40" x14ac:dyDescent="0.45">
      <c r="I92" t="s">
        <v>183</v>
      </c>
      <c r="J92" t="s">
        <v>175</v>
      </c>
      <c r="K92">
        <v>3.2335991406817425E-3</v>
      </c>
      <c r="L92" t="s">
        <v>166</v>
      </c>
      <c r="N92" t="s">
        <v>207</v>
      </c>
      <c r="O92" t="s">
        <v>175</v>
      </c>
      <c r="P92">
        <v>3.3976225304164942E-2</v>
      </c>
      <c r="Q92" t="s">
        <v>166</v>
      </c>
      <c r="S92" t="s">
        <v>224</v>
      </c>
      <c r="T92" t="s">
        <v>175</v>
      </c>
      <c r="U92">
        <v>5.2388364137944357E-2</v>
      </c>
      <c r="V92" t="s">
        <v>166</v>
      </c>
      <c r="AK92">
        <v>2042</v>
      </c>
      <c r="AL92" t="s">
        <v>158</v>
      </c>
      <c r="AM92">
        <v>0.5101</v>
      </c>
      <c r="AN92" t="s">
        <v>249</v>
      </c>
    </row>
    <row r="93" spans="9:40" x14ac:dyDescent="0.45">
      <c r="I93" t="s">
        <v>183</v>
      </c>
      <c r="J93" t="s">
        <v>176</v>
      </c>
      <c r="K93">
        <v>6.2409292864774694E-3</v>
      </c>
      <c r="L93" t="s">
        <v>166</v>
      </c>
      <c r="N93" t="s">
        <v>207</v>
      </c>
      <c r="O93" t="s">
        <v>176</v>
      </c>
      <c r="P93">
        <v>6.9434439708905291E-3</v>
      </c>
      <c r="Q93" t="s">
        <v>166</v>
      </c>
      <c r="S93" t="s">
        <v>224</v>
      </c>
      <c r="T93" t="s">
        <v>176</v>
      </c>
      <c r="U93">
        <v>6.7433177013252925E-3</v>
      </c>
      <c r="V93" t="s">
        <v>166</v>
      </c>
      <c r="AK93">
        <v>2042</v>
      </c>
      <c r="AL93" t="s">
        <v>160</v>
      </c>
      <c r="AM93">
        <v>0.4874</v>
      </c>
      <c r="AN93" t="s">
        <v>249</v>
      </c>
    </row>
    <row r="94" spans="9:40" x14ac:dyDescent="0.45">
      <c r="I94" t="s">
        <v>183</v>
      </c>
      <c r="J94" t="s">
        <v>177</v>
      </c>
      <c r="K94">
        <v>8.5225287017910226E-2</v>
      </c>
      <c r="L94" t="s">
        <v>166</v>
      </c>
      <c r="N94" t="s">
        <v>207</v>
      </c>
      <c r="O94" t="s">
        <v>177</v>
      </c>
      <c r="P94">
        <v>5.2718819528811807E-2</v>
      </c>
      <c r="Q94" t="s">
        <v>166</v>
      </c>
      <c r="S94" t="s">
        <v>224</v>
      </c>
      <c r="T94" t="s">
        <v>177</v>
      </c>
      <c r="U94">
        <v>0.10089435136249608</v>
      </c>
      <c r="V94" t="s">
        <v>166</v>
      </c>
      <c r="AK94">
        <v>2042</v>
      </c>
      <c r="AL94" t="s">
        <v>162</v>
      </c>
      <c r="AM94">
        <v>0.51690000000000003</v>
      </c>
      <c r="AN94" t="s">
        <v>249</v>
      </c>
    </row>
    <row r="95" spans="9:40" x14ac:dyDescent="0.45">
      <c r="I95" t="s">
        <v>184</v>
      </c>
      <c r="J95" t="s">
        <v>165</v>
      </c>
      <c r="K95">
        <v>2.8640048537733668E-2</v>
      </c>
      <c r="L95" t="s">
        <v>166</v>
      </c>
      <c r="N95" t="s">
        <v>208</v>
      </c>
      <c r="O95" t="s">
        <v>165</v>
      </c>
      <c r="P95">
        <v>0.22158597770932659</v>
      </c>
      <c r="Q95" t="s">
        <v>166</v>
      </c>
      <c r="S95" t="s">
        <v>225</v>
      </c>
      <c r="T95" t="s">
        <v>165</v>
      </c>
      <c r="U95">
        <v>0.19671639638286001</v>
      </c>
      <c r="V95" t="s">
        <v>166</v>
      </c>
      <c r="AK95">
        <v>2043</v>
      </c>
      <c r="AL95" t="s">
        <v>154</v>
      </c>
      <c r="AM95">
        <v>0.3692375</v>
      </c>
      <c r="AN95" t="s">
        <v>249</v>
      </c>
    </row>
    <row r="96" spans="9:40" x14ac:dyDescent="0.45">
      <c r="I96" t="s">
        <v>184</v>
      </c>
      <c r="J96" t="s">
        <v>167</v>
      </c>
      <c r="K96">
        <v>4.8129943232051005E-2</v>
      </c>
      <c r="L96" t="s">
        <v>166</v>
      </c>
      <c r="N96" t="s">
        <v>208</v>
      </c>
      <c r="O96" t="s">
        <v>167</v>
      </c>
      <c r="P96">
        <v>2.8671667405741483E-2</v>
      </c>
      <c r="Q96" t="s">
        <v>166</v>
      </c>
      <c r="S96" t="s">
        <v>225</v>
      </c>
      <c r="T96" t="s">
        <v>167</v>
      </c>
      <c r="U96">
        <v>2.6232965003730402E-2</v>
      </c>
      <c r="V96" t="s">
        <v>166</v>
      </c>
      <c r="AK96">
        <v>2043</v>
      </c>
      <c r="AL96" t="s">
        <v>158</v>
      </c>
      <c r="AM96">
        <v>0.57614999999999994</v>
      </c>
      <c r="AN96" t="s">
        <v>249</v>
      </c>
    </row>
    <row r="97" spans="9:40" x14ac:dyDescent="0.45">
      <c r="I97" t="s">
        <v>184</v>
      </c>
      <c r="J97" t="s">
        <v>168</v>
      </c>
      <c r="K97">
        <v>0.60324928379528808</v>
      </c>
      <c r="L97" t="s">
        <v>166</v>
      </c>
      <c r="N97" t="s">
        <v>208</v>
      </c>
      <c r="O97" t="s">
        <v>168</v>
      </c>
      <c r="P97">
        <v>0.45157719867917867</v>
      </c>
      <c r="Q97" t="s">
        <v>166</v>
      </c>
      <c r="S97" t="s">
        <v>225</v>
      </c>
      <c r="T97" t="s">
        <v>168</v>
      </c>
      <c r="U97">
        <v>0.3833108361379165</v>
      </c>
      <c r="V97" t="s">
        <v>166</v>
      </c>
      <c r="AK97">
        <v>2043</v>
      </c>
      <c r="AL97" t="s">
        <v>160</v>
      </c>
      <c r="AM97">
        <v>0.53300000000000003</v>
      </c>
      <c r="AN97" t="s">
        <v>249</v>
      </c>
    </row>
    <row r="98" spans="9:40" x14ac:dyDescent="0.45">
      <c r="I98" t="s">
        <v>184</v>
      </c>
      <c r="J98" t="s">
        <v>169</v>
      </c>
      <c r="K98">
        <v>5.7405760475262371E-3</v>
      </c>
      <c r="L98" t="s">
        <v>166</v>
      </c>
      <c r="N98" t="s">
        <v>208</v>
      </c>
      <c r="O98" t="s">
        <v>169</v>
      </c>
      <c r="P98">
        <v>5.5877944544340877E-2</v>
      </c>
      <c r="Q98" t="s">
        <v>166</v>
      </c>
      <c r="S98" t="s">
        <v>225</v>
      </c>
      <c r="T98" t="s">
        <v>169</v>
      </c>
      <c r="U98">
        <v>4.0798094509976492E-2</v>
      </c>
      <c r="V98" t="s">
        <v>166</v>
      </c>
      <c r="AK98">
        <v>2043</v>
      </c>
      <c r="AL98" t="s">
        <v>162</v>
      </c>
      <c r="AM98">
        <v>0.55049999999999999</v>
      </c>
      <c r="AN98" t="s">
        <v>249</v>
      </c>
    </row>
    <row r="99" spans="9:40" x14ac:dyDescent="0.45">
      <c r="I99" t="s">
        <v>184</v>
      </c>
      <c r="J99" t="s">
        <v>170</v>
      </c>
      <c r="K99">
        <v>1.0871393937442516E-2</v>
      </c>
      <c r="L99" t="s">
        <v>166</v>
      </c>
      <c r="N99" t="s">
        <v>208</v>
      </c>
      <c r="O99" t="s">
        <v>170</v>
      </c>
      <c r="P99">
        <v>6.8284232988837139E-3</v>
      </c>
      <c r="Q99" t="s">
        <v>166</v>
      </c>
      <c r="S99" t="s">
        <v>225</v>
      </c>
      <c r="T99" t="s">
        <v>170</v>
      </c>
      <c r="U99">
        <v>5.3405472517711137E-3</v>
      </c>
      <c r="V99" t="s">
        <v>166</v>
      </c>
      <c r="AK99">
        <v>2044</v>
      </c>
      <c r="AL99" t="s">
        <v>154</v>
      </c>
      <c r="AM99">
        <v>0.38706249999999998</v>
      </c>
      <c r="AN99" t="s">
        <v>249</v>
      </c>
    </row>
    <row r="100" spans="9:40" x14ac:dyDescent="0.45">
      <c r="I100" t="s">
        <v>184</v>
      </c>
      <c r="J100" t="s">
        <v>171</v>
      </c>
      <c r="K100">
        <v>0.13148347172800243</v>
      </c>
      <c r="L100" t="s">
        <v>166</v>
      </c>
      <c r="N100" t="s">
        <v>208</v>
      </c>
      <c r="O100" t="s">
        <v>171</v>
      </c>
      <c r="P100">
        <v>0.11240736744380324</v>
      </c>
      <c r="Q100" t="s">
        <v>166</v>
      </c>
      <c r="S100" t="s">
        <v>225</v>
      </c>
      <c r="T100" t="s">
        <v>171</v>
      </c>
      <c r="U100">
        <v>8.0565926771680105E-2</v>
      </c>
      <c r="V100" t="s">
        <v>166</v>
      </c>
      <c r="AK100">
        <v>2044</v>
      </c>
      <c r="AL100" t="s">
        <v>158</v>
      </c>
      <c r="AM100">
        <v>0.54925000000000002</v>
      </c>
      <c r="AN100" t="s">
        <v>249</v>
      </c>
    </row>
    <row r="101" spans="9:40" x14ac:dyDescent="0.45">
      <c r="I101" t="s">
        <v>184</v>
      </c>
      <c r="J101" t="s">
        <v>172</v>
      </c>
      <c r="K101">
        <v>3.9807982253513303E-3</v>
      </c>
      <c r="L101" t="s">
        <v>166</v>
      </c>
      <c r="N101" t="s">
        <v>208</v>
      </c>
      <c r="O101" t="s">
        <v>172</v>
      </c>
      <c r="P101">
        <v>1.9520631150415527E-2</v>
      </c>
      <c r="Q101" t="s">
        <v>166</v>
      </c>
      <c r="S101" t="s">
        <v>225</v>
      </c>
      <c r="T101" t="s">
        <v>172</v>
      </c>
      <c r="U101">
        <v>1.9420024740957303E-2</v>
      </c>
      <c r="V101" t="s">
        <v>166</v>
      </c>
      <c r="AK101">
        <v>2044</v>
      </c>
      <c r="AL101" t="s">
        <v>160</v>
      </c>
      <c r="AM101">
        <v>0.55820000000000003</v>
      </c>
      <c r="AN101" t="s">
        <v>249</v>
      </c>
    </row>
    <row r="102" spans="9:40" x14ac:dyDescent="0.45">
      <c r="I102" t="s">
        <v>184</v>
      </c>
      <c r="J102" t="s">
        <v>173</v>
      </c>
      <c r="K102">
        <v>6.9899535299162187E-3</v>
      </c>
      <c r="L102" t="s">
        <v>166</v>
      </c>
      <c r="N102" t="s">
        <v>208</v>
      </c>
      <c r="O102" t="s">
        <v>173</v>
      </c>
      <c r="P102">
        <v>2.5731034504858788E-3</v>
      </c>
      <c r="Q102" t="s">
        <v>166</v>
      </c>
      <c r="S102" t="s">
        <v>225</v>
      </c>
      <c r="T102" t="s">
        <v>173</v>
      </c>
      <c r="U102">
        <v>2.796802811393986E-3</v>
      </c>
      <c r="V102" t="s">
        <v>166</v>
      </c>
      <c r="AK102">
        <v>2044</v>
      </c>
      <c r="AL102" t="s">
        <v>162</v>
      </c>
      <c r="AM102">
        <v>0.51090000000000002</v>
      </c>
      <c r="AN102" t="s">
        <v>249</v>
      </c>
    </row>
    <row r="103" spans="9:40" x14ac:dyDescent="0.45">
      <c r="I103" t="s">
        <v>184</v>
      </c>
      <c r="J103" t="s">
        <v>174</v>
      </c>
      <c r="K103">
        <v>7.1129542577392693E-2</v>
      </c>
      <c r="L103" t="s">
        <v>166</v>
      </c>
      <c r="N103" t="s">
        <v>208</v>
      </c>
      <c r="O103" t="s">
        <v>174</v>
      </c>
      <c r="P103">
        <v>3.7966249296014241E-2</v>
      </c>
      <c r="Q103" t="s">
        <v>166</v>
      </c>
      <c r="S103" t="s">
        <v>225</v>
      </c>
      <c r="T103" t="s">
        <v>174</v>
      </c>
      <c r="U103">
        <v>4.1812983045333596E-2</v>
      </c>
      <c r="V103" t="s">
        <v>166</v>
      </c>
      <c r="AK103">
        <v>2045</v>
      </c>
      <c r="AL103" t="s">
        <v>154</v>
      </c>
      <c r="AM103">
        <v>0.37230000000000002</v>
      </c>
      <c r="AN103" t="s">
        <v>249</v>
      </c>
    </row>
    <row r="104" spans="9:40" x14ac:dyDescent="0.45">
      <c r="I104" t="s">
        <v>184</v>
      </c>
      <c r="J104" t="s">
        <v>175</v>
      </c>
      <c r="K104">
        <v>3.627204252674294E-3</v>
      </c>
      <c r="L104" t="s">
        <v>166</v>
      </c>
      <c r="N104" t="s">
        <v>208</v>
      </c>
      <c r="O104" t="s">
        <v>175</v>
      </c>
      <c r="P104">
        <v>2.4190141989930632E-2</v>
      </c>
      <c r="Q104" t="s">
        <v>166</v>
      </c>
      <c r="S104" t="s">
        <v>225</v>
      </c>
      <c r="T104" t="s">
        <v>175</v>
      </c>
      <c r="U104">
        <v>6.6252249160943036E-2</v>
      </c>
      <c r="V104" t="s">
        <v>166</v>
      </c>
      <c r="AK104">
        <v>2045</v>
      </c>
      <c r="AL104" t="s">
        <v>158</v>
      </c>
      <c r="AM104">
        <v>0.53949999999999998</v>
      </c>
      <c r="AN104" t="s">
        <v>249</v>
      </c>
    </row>
    <row r="105" spans="9:40" x14ac:dyDescent="0.45">
      <c r="I105" t="s">
        <v>184</v>
      </c>
      <c r="J105" t="s">
        <v>176</v>
      </c>
      <c r="K105">
        <v>6.6823327897983439E-3</v>
      </c>
      <c r="L105" t="s">
        <v>166</v>
      </c>
      <c r="N105" t="s">
        <v>208</v>
      </c>
      <c r="O105" t="s">
        <v>176</v>
      </c>
      <c r="P105">
        <v>3.8214756395555925E-3</v>
      </c>
      <c r="Q105" t="s">
        <v>166</v>
      </c>
      <c r="S105" t="s">
        <v>225</v>
      </c>
      <c r="T105" t="s">
        <v>176</v>
      </c>
      <c r="U105">
        <v>8.4812207555050936E-3</v>
      </c>
      <c r="V105" t="s">
        <v>166</v>
      </c>
      <c r="AK105">
        <v>2045</v>
      </c>
      <c r="AL105" t="s">
        <v>160</v>
      </c>
      <c r="AM105">
        <v>0.50429999999999997</v>
      </c>
      <c r="AN105" t="s">
        <v>249</v>
      </c>
    </row>
    <row r="106" spans="9:40" x14ac:dyDescent="0.45">
      <c r="I106" t="s">
        <v>184</v>
      </c>
      <c r="J106" t="s">
        <v>177</v>
      </c>
      <c r="K106">
        <v>7.9475451346820741E-2</v>
      </c>
      <c r="L106" t="s">
        <v>166</v>
      </c>
      <c r="N106" t="s">
        <v>208</v>
      </c>
      <c r="O106" t="s">
        <v>177</v>
      </c>
      <c r="P106">
        <v>3.4979819392324342E-2</v>
      </c>
      <c r="Q106" t="s">
        <v>166</v>
      </c>
      <c r="S106" t="s">
        <v>225</v>
      </c>
      <c r="T106" t="s">
        <v>177</v>
      </c>
      <c r="U106">
        <v>0.1282719534279366</v>
      </c>
      <c r="V106" t="s">
        <v>166</v>
      </c>
      <c r="AK106">
        <v>2045</v>
      </c>
      <c r="AL106" t="s">
        <v>162</v>
      </c>
      <c r="AM106">
        <v>0.52029999999999998</v>
      </c>
      <c r="AN106" t="s">
        <v>249</v>
      </c>
    </row>
    <row r="107" spans="9:40" x14ac:dyDescent="0.45">
      <c r="I107" t="s">
        <v>185</v>
      </c>
      <c r="J107" t="s">
        <v>165</v>
      </c>
      <c r="K107">
        <v>3.0022429987092949E-2</v>
      </c>
      <c r="L107" t="s">
        <v>166</v>
      </c>
      <c r="N107" t="s">
        <v>209</v>
      </c>
      <c r="O107" t="s">
        <v>165</v>
      </c>
      <c r="P107">
        <v>0.15963807641126387</v>
      </c>
      <c r="Q107" t="s">
        <v>166</v>
      </c>
      <c r="S107" t="s">
        <v>226</v>
      </c>
      <c r="T107" t="s">
        <v>165</v>
      </c>
      <c r="U107">
        <v>0.20282181493269183</v>
      </c>
      <c r="V107" t="s">
        <v>166</v>
      </c>
      <c r="AK107">
        <v>2046</v>
      </c>
      <c r="AL107" t="s">
        <v>154</v>
      </c>
      <c r="AM107">
        <v>0.38945000000000002</v>
      </c>
      <c r="AN107" t="s">
        <v>249</v>
      </c>
    </row>
    <row r="108" spans="9:40" x14ac:dyDescent="0.45">
      <c r="I108" t="s">
        <v>185</v>
      </c>
      <c r="J108" t="s">
        <v>167</v>
      </c>
      <c r="K108">
        <v>5.0489730197141244E-2</v>
      </c>
      <c r="L108" t="s">
        <v>166</v>
      </c>
      <c r="N108" t="s">
        <v>209</v>
      </c>
      <c r="O108" t="s">
        <v>167</v>
      </c>
      <c r="P108">
        <v>2.4864576370445753E-2</v>
      </c>
      <c r="Q108" t="s">
        <v>166</v>
      </c>
      <c r="S108" t="s">
        <v>226</v>
      </c>
      <c r="T108" t="s">
        <v>167</v>
      </c>
      <c r="U108">
        <v>2.5797984582096593E-2</v>
      </c>
      <c r="V108" t="s">
        <v>166</v>
      </c>
      <c r="AK108">
        <v>2046</v>
      </c>
      <c r="AL108" t="s">
        <v>158</v>
      </c>
      <c r="AM108">
        <v>0.53794999999999993</v>
      </c>
      <c r="AN108" t="s">
        <v>249</v>
      </c>
    </row>
    <row r="109" spans="9:40" x14ac:dyDescent="0.45">
      <c r="I109" t="s">
        <v>185</v>
      </c>
      <c r="J109" t="s">
        <v>168</v>
      </c>
      <c r="K109">
        <v>0.60412435033891254</v>
      </c>
      <c r="L109" t="s">
        <v>166</v>
      </c>
      <c r="N109" t="s">
        <v>209</v>
      </c>
      <c r="O109" t="s">
        <v>168</v>
      </c>
      <c r="P109">
        <v>0.40652862732794309</v>
      </c>
      <c r="Q109" t="s">
        <v>166</v>
      </c>
      <c r="S109" t="s">
        <v>226</v>
      </c>
      <c r="T109" t="s">
        <v>168</v>
      </c>
      <c r="U109">
        <v>0.38158856986008266</v>
      </c>
      <c r="V109" t="s">
        <v>166</v>
      </c>
      <c r="AK109">
        <v>2046</v>
      </c>
      <c r="AL109" t="s">
        <v>160</v>
      </c>
      <c r="AM109">
        <v>0.53600000000000003</v>
      </c>
      <c r="AN109" t="s">
        <v>249</v>
      </c>
    </row>
    <row r="110" spans="9:40" x14ac:dyDescent="0.45">
      <c r="I110" t="s">
        <v>185</v>
      </c>
      <c r="J110" t="s">
        <v>169</v>
      </c>
      <c r="K110">
        <v>6.6542010465522701E-3</v>
      </c>
      <c r="L110" t="s">
        <v>166</v>
      </c>
      <c r="N110" t="s">
        <v>209</v>
      </c>
      <c r="O110" t="s">
        <v>169</v>
      </c>
      <c r="P110">
        <v>4.0811089750846123E-2</v>
      </c>
      <c r="Q110" t="s">
        <v>166</v>
      </c>
      <c r="S110" t="s">
        <v>226</v>
      </c>
      <c r="T110" t="s">
        <v>169</v>
      </c>
      <c r="U110">
        <v>4.3404144087246688E-2</v>
      </c>
      <c r="V110" t="s">
        <v>166</v>
      </c>
      <c r="AK110">
        <v>2046</v>
      </c>
      <c r="AL110" t="s">
        <v>162</v>
      </c>
      <c r="AM110">
        <v>0.46229999999999999</v>
      </c>
      <c r="AN110" t="s">
        <v>249</v>
      </c>
    </row>
    <row r="111" spans="9:40" x14ac:dyDescent="0.45">
      <c r="I111" t="s">
        <v>185</v>
      </c>
      <c r="J111" t="s">
        <v>170</v>
      </c>
      <c r="K111">
        <v>1.1572792927178308E-2</v>
      </c>
      <c r="L111" t="s">
        <v>166</v>
      </c>
      <c r="N111" t="s">
        <v>209</v>
      </c>
      <c r="O111" t="s">
        <v>170</v>
      </c>
      <c r="P111">
        <v>6.2791596188303172E-3</v>
      </c>
      <c r="Q111" t="s">
        <v>166</v>
      </c>
      <c r="S111" t="s">
        <v>226</v>
      </c>
      <c r="T111" t="s">
        <v>170</v>
      </c>
      <c r="U111">
        <v>5.7213350099248389E-3</v>
      </c>
      <c r="V111" t="s">
        <v>166</v>
      </c>
      <c r="AK111">
        <v>2047</v>
      </c>
      <c r="AL111" t="s">
        <v>154</v>
      </c>
      <c r="AM111">
        <v>0.37366250000000001</v>
      </c>
      <c r="AN111" t="s">
        <v>249</v>
      </c>
    </row>
    <row r="112" spans="9:40" x14ac:dyDescent="0.45">
      <c r="I112" t="s">
        <v>185</v>
      </c>
      <c r="J112" t="s">
        <v>171</v>
      </c>
      <c r="K112">
        <v>0.12968093301444186</v>
      </c>
      <c r="L112" t="s">
        <v>166</v>
      </c>
      <c r="N112" t="s">
        <v>209</v>
      </c>
      <c r="O112" t="s">
        <v>171</v>
      </c>
      <c r="P112">
        <v>9.5951606981224152E-2</v>
      </c>
      <c r="Q112" t="s">
        <v>166</v>
      </c>
      <c r="S112" t="s">
        <v>226</v>
      </c>
      <c r="T112" t="s">
        <v>171</v>
      </c>
      <c r="U112">
        <v>8.8304546198152589E-2</v>
      </c>
      <c r="V112" t="s">
        <v>166</v>
      </c>
      <c r="AK112">
        <v>2047</v>
      </c>
      <c r="AL112" t="s">
        <v>158</v>
      </c>
      <c r="AM112">
        <v>0.52984999999999993</v>
      </c>
      <c r="AN112" t="s">
        <v>249</v>
      </c>
    </row>
    <row r="113" spans="9:40" x14ac:dyDescent="0.45">
      <c r="I113" t="s">
        <v>185</v>
      </c>
      <c r="J113" t="s">
        <v>172</v>
      </c>
      <c r="K113">
        <v>3.8559108460169953E-3</v>
      </c>
      <c r="L113" t="s">
        <v>166</v>
      </c>
      <c r="N113" t="s">
        <v>209</v>
      </c>
      <c r="O113" t="s">
        <v>172</v>
      </c>
      <c r="P113">
        <v>3.1243844705767385E-2</v>
      </c>
      <c r="Q113" t="s">
        <v>166</v>
      </c>
      <c r="S113" t="s">
        <v>226</v>
      </c>
      <c r="T113" t="s">
        <v>172</v>
      </c>
      <c r="U113">
        <v>2.8574621428664144E-2</v>
      </c>
      <c r="V113" t="s">
        <v>166</v>
      </c>
      <c r="AK113">
        <v>2047</v>
      </c>
      <c r="AL113" t="s">
        <v>160</v>
      </c>
      <c r="AM113">
        <v>0.51649999999999996</v>
      </c>
      <c r="AN113" t="s">
        <v>249</v>
      </c>
    </row>
    <row r="114" spans="9:40" x14ac:dyDescent="0.45">
      <c r="I114" t="s">
        <v>185</v>
      </c>
      <c r="J114" t="s">
        <v>173</v>
      </c>
      <c r="K114">
        <v>6.7864314508378765E-3</v>
      </c>
      <c r="L114" t="s">
        <v>166</v>
      </c>
      <c r="N114" t="s">
        <v>209</v>
      </c>
      <c r="O114" t="s">
        <v>173</v>
      </c>
      <c r="P114">
        <v>5.3437390659435815E-3</v>
      </c>
      <c r="Q114" t="s">
        <v>166</v>
      </c>
      <c r="S114" t="s">
        <v>226</v>
      </c>
      <c r="T114" t="s">
        <v>173</v>
      </c>
      <c r="U114">
        <v>3.7572924259830194E-3</v>
      </c>
      <c r="V114" t="s">
        <v>166</v>
      </c>
      <c r="AK114">
        <v>2047</v>
      </c>
      <c r="AL114" t="s">
        <v>162</v>
      </c>
      <c r="AM114">
        <v>0.48649999999999999</v>
      </c>
      <c r="AN114" t="s">
        <v>249</v>
      </c>
    </row>
    <row r="115" spans="9:40" x14ac:dyDescent="0.45">
      <c r="I115" t="s">
        <v>185</v>
      </c>
      <c r="J115" t="s">
        <v>174</v>
      </c>
      <c r="K115">
        <v>6.7335973830393414E-2</v>
      </c>
      <c r="L115" t="s">
        <v>166</v>
      </c>
      <c r="N115" t="s">
        <v>209</v>
      </c>
      <c r="O115" t="s">
        <v>174</v>
      </c>
      <c r="P115">
        <v>8.2841123941686898E-2</v>
      </c>
      <c r="Q115" t="s">
        <v>166</v>
      </c>
      <c r="S115" t="s">
        <v>226</v>
      </c>
      <c r="T115" t="s">
        <v>174</v>
      </c>
      <c r="U115">
        <v>5.0941727851017714E-2</v>
      </c>
      <c r="V115" t="s">
        <v>166</v>
      </c>
      <c r="AK115">
        <v>2048</v>
      </c>
      <c r="AL115" t="s">
        <v>154</v>
      </c>
      <c r="AM115">
        <v>0.3717625</v>
      </c>
      <c r="AN115" t="s">
        <v>249</v>
      </c>
    </row>
    <row r="116" spans="9:40" x14ac:dyDescent="0.45">
      <c r="I116" t="s">
        <v>185</v>
      </c>
      <c r="J116" t="s">
        <v>175</v>
      </c>
      <c r="K116">
        <v>3.7925210040707503E-3</v>
      </c>
      <c r="L116" t="s">
        <v>166</v>
      </c>
      <c r="N116" t="s">
        <v>209</v>
      </c>
      <c r="O116" t="s">
        <v>175</v>
      </c>
      <c r="P116">
        <v>3.4009676030230453E-2</v>
      </c>
      <c r="Q116" t="s">
        <v>166</v>
      </c>
      <c r="S116" t="s">
        <v>226</v>
      </c>
      <c r="T116" t="s">
        <v>175</v>
      </c>
      <c r="U116">
        <v>5.6466954673031117E-2</v>
      </c>
      <c r="V116" t="s">
        <v>166</v>
      </c>
      <c r="AK116">
        <v>2048</v>
      </c>
      <c r="AL116" t="s">
        <v>158</v>
      </c>
      <c r="AM116">
        <v>0.54919999999999991</v>
      </c>
      <c r="AN116" t="s">
        <v>249</v>
      </c>
    </row>
    <row r="117" spans="9:40" x14ac:dyDescent="0.45">
      <c r="I117" t="s">
        <v>185</v>
      </c>
      <c r="J117" t="s">
        <v>176</v>
      </c>
      <c r="K117">
        <v>6.9169981785704091E-3</v>
      </c>
      <c r="L117" t="s">
        <v>166</v>
      </c>
      <c r="N117" t="s">
        <v>209</v>
      </c>
      <c r="O117" t="s">
        <v>176</v>
      </c>
      <c r="P117">
        <v>5.8625161393570146E-3</v>
      </c>
      <c r="Q117" t="s">
        <v>166</v>
      </c>
      <c r="S117" t="s">
        <v>226</v>
      </c>
      <c r="T117" t="s">
        <v>176</v>
      </c>
      <c r="U117">
        <v>7.169661544244775E-3</v>
      </c>
      <c r="V117" t="s">
        <v>166</v>
      </c>
      <c r="AK117">
        <v>2048</v>
      </c>
      <c r="AL117" t="s">
        <v>160</v>
      </c>
      <c r="AM117">
        <v>0.53839999999999999</v>
      </c>
      <c r="AN117" t="s">
        <v>249</v>
      </c>
    </row>
    <row r="118" spans="9:40" x14ac:dyDescent="0.45">
      <c r="I118" t="s">
        <v>185</v>
      </c>
      <c r="J118" t="s">
        <v>177</v>
      </c>
      <c r="K118">
        <v>7.8767727178791241E-2</v>
      </c>
      <c r="L118" t="s">
        <v>166</v>
      </c>
      <c r="N118" t="s">
        <v>209</v>
      </c>
      <c r="O118" t="s">
        <v>177</v>
      </c>
      <c r="P118">
        <v>0.10662596365645992</v>
      </c>
      <c r="Q118" t="s">
        <v>166</v>
      </c>
      <c r="S118" t="s">
        <v>226</v>
      </c>
      <c r="T118" t="s">
        <v>177</v>
      </c>
      <c r="U118">
        <v>0.10545134740686209</v>
      </c>
      <c r="V118" t="s">
        <v>166</v>
      </c>
      <c r="AK118">
        <v>2048</v>
      </c>
      <c r="AL118" t="s">
        <v>162</v>
      </c>
      <c r="AM118">
        <v>0.46450000000000002</v>
      </c>
      <c r="AN118" t="s">
        <v>249</v>
      </c>
    </row>
    <row r="119" spans="9:40" x14ac:dyDescent="0.45">
      <c r="I119" t="s">
        <v>186</v>
      </c>
      <c r="J119" t="s">
        <v>165</v>
      </c>
      <c r="K119">
        <v>3.0647271861088995E-2</v>
      </c>
      <c r="L119" t="s">
        <v>166</v>
      </c>
      <c r="N119" t="s">
        <v>210</v>
      </c>
      <c r="O119" t="s">
        <v>165</v>
      </c>
      <c r="P119">
        <v>0.21161598383899338</v>
      </c>
      <c r="Q119" t="s">
        <v>166</v>
      </c>
      <c r="S119" t="s">
        <v>227</v>
      </c>
      <c r="T119" t="s">
        <v>165</v>
      </c>
      <c r="U119">
        <v>0.1656349776497397</v>
      </c>
      <c r="V119" t="s">
        <v>166</v>
      </c>
      <c r="AK119">
        <v>2049</v>
      </c>
      <c r="AL119" t="s">
        <v>154</v>
      </c>
      <c r="AM119">
        <v>0.36898749999999997</v>
      </c>
      <c r="AN119" t="s">
        <v>249</v>
      </c>
    </row>
    <row r="120" spans="9:40" x14ac:dyDescent="0.45">
      <c r="I120" t="s">
        <v>186</v>
      </c>
      <c r="J120" t="s">
        <v>167</v>
      </c>
      <c r="K120">
        <v>4.762380892074311E-2</v>
      </c>
      <c r="L120" t="s">
        <v>166</v>
      </c>
      <c r="N120" t="s">
        <v>210</v>
      </c>
      <c r="O120" t="s">
        <v>167</v>
      </c>
      <c r="P120">
        <v>2.0385728698790948E-2</v>
      </c>
      <c r="Q120" t="s">
        <v>166</v>
      </c>
      <c r="S120" t="s">
        <v>227</v>
      </c>
      <c r="T120" t="s">
        <v>167</v>
      </c>
      <c r="U120">
        <v>1.9718025739330382E-2</v>
      </c>
      <c r="V120" t="s">
        <v>166</v>
      </c>
      <c r="AK120">
        <v>2049</v>
      </c>
      <c r="AL120" t="s">
        <v>158</v>
      </c>
      <c r="AM120">
        <v>0.54354999999999998</v>
      </c>
      <c r="AN120" t="s">
        <v>249</v>
      </c>
    </row>
    <row r="121" spans="9:40" x14ac:dyDescent="0.45">
      <c r="I121" t="s">
        <v>186</v>
      </c>
      <c r="J121" t="s">
        <v>168</v>
      </c>
      <c r="K121">
        <v>0.60961141773140404</v>
      </c>
      <c r="L121" t="s">
        <v>166</v>
      </c>
      <c r="N121" t="s">
        <v>210</v>
      </c>
      <c r="O121" t="s">
        <v>168</v>
      </c>
      <c r="P121">
        <v>0.32738460311916839</v>
      </c>
      <c r="Q121" t="s">
        <v>166</v>
      </c>
      <c r="S121" t="s">
        <v>227</v>
      </c>
      <c r="T121" t="s">
        <v>168</v>
      </c>
      <c r="U121">
        <v>0.36485135029579141</v>
      </c>
      <c r="V121" t="s">
        <v>166</v>
      </c>
      <c r="AK121">
        <v>2049</v>
      </c>
      <c r="AL121" t="s">
        <v>160</v>
      </c>
      <c r="AM121">
        <v>0.5171</v>
      </c>
      <c r="AN121" t="s">
        <v>249</v>
      </c>
    </row>
    <row r="122" spans="9:40" x14ac:dyDescent="0.45">
      <c r="I122" t="s">
        <v>186</v>
      </c>
      <c r="J122" t="s">
        <v>169</v>
      </c>
      <c r="K122">
        <v>7.2610352723875941E-3</v>
      </c>
      <c r="L122" t="s">
        <v>166</v>
      </c>
      <c r="N122" t="s">
        <v>210</v>
      </c>
      <c r="O122" t="s">
        <v>169</v>
      </c>
      <c r="P122">
        <v>4.1148285526245408E-2</v>
      </c>
      <c r="Q122" t="s">
        <v>166</v>
      </c>
      <c r="S122" t="s">
        <v>227</v>
      </c>
      <c r="T122" t="s">
        <v>169</v>
      </c>
      <c r="U122">
        <v>3.8084643515665269E-2</v>
      </c>
      <c r="V122" t="s">
        <v>166</v>
      </c>
      <c r="AK122">
        <v>2049</v>
      </c>
      <c r="AL122" t="s">
        <v>162</v>
      </c>
      <c r="AM122">
        <v>0.46949999999999997</v>
      </c>
      <c r="AN122" t="s">
        <v>249</v>
      </c>
    </row>
    <row r="123" spans="9:40" x14ac:dyDescent="0.45">
      <c r="I123" t="s">
        <v>186</v>
      </c>
      <c r="J123" t="s">
        <v>170</v>
      </c>
      <c r="K123">
        <v>1.1874929318696202E-2</v>
      </c>
      <c r="L123" t="s">
        <v>166</v>
      </c>
      <c r="N123" t="s">
        <v>210</v>
      </c>
      <c r="O123" t="s">
        <v>170</v>
      </c>
      <c r="P123">
        <v>4.667324807135405E-3</v>
      </c>
      <c r="Q123" t="s">
        <v>166</v>
      </c>
      <c r="S123" t="s">
        <v>227</v>
      </c>
      <c r="T123" t="s">
        <v>170</v>
      </c>
      <c r="U123">
        <v>5.1545032951340764E-3</v>
      </c>
      <c r="V123" t="s">
        <v>166</v>
      </c>
      <c r="AK123">
        <v>2050</v>
      </c>
      <c r="AL123" t="s">
        <v>154</v>
      </c>
      <c r="AM123">
        <v>0.36499999999999999</v>
      </c>
      <c r="AN123" t="s">
        <v>249</v>
      </c>
    </row>
    <row r="124" spans="9:40" x14ac:dyDescent="0.45">
      <c r="I124" t="s">
        <v>186</v>
      </c>
      <c r="J124" t="s">
        <v>171</v>
      </c>
      <c r="K124">
        <v>0.1377557927495606</v>
      </c>
      <c r="L124" t="s">
        <v>166</v>
      </c>
      <c r="N124" t="s">
        <v>210</v>
      </c>
      <c r="O124" t="s">
        <v>171</v>
      </c>
      <c r="P124">
        <v>7.167533622786082E-2</v>
      </c>
      <c r="Q124" t="s">
        <v>166</v>
      </c>
      <c r="S124" t="s">
        <v>227</v>
      </c>
      <c r="T124" t="s">
        <v>171</v>
      </c>
      <c r="U124">
        <v>8.2819621734621734E-2</v>
      </c>
      <c r="V124" t="s">
        <v>166</v>
      </c>
      <c r="AK124">
        <v>2050</v>
      </c>
      <c r="AL124" t="s">
        <v>158</v>
      </c>
      <c r="AM124">
        <v>0.52180000000000004</v>
      </c>
      <c r="AN124" t="s">
        <v>249</v>
      </c>
    </row>
    <row r="125" spans="9:40" x14ac:dyDescent="0.45">
      <c r="I125" t="s">
        <v>186</v>
      </c>
      <c r="J125" t="s">
        <v>172</v>
      </c>
      <c r="K125">
        <v>3.5785936870012507E-3</v>
      </c>
      <c r="L125" t="s">
        <v>166</v>
      </c>
      <c r="N125" t="s">
        <v>210</v>
      </c>
      <c r="O125" t="s">
        <v>172</v>
      </c>
      <c r="P125">
        <v>4.7781828459361603E-2</v>
      </c>
      <c r="Q125" t="s">
        <v>166</v>
      </c>
      <c r="S125" t="s">
        <v>227</v>
      </c>
      <c r="T125" t="s">
        <v>172</v>
      </c>
      <c r="U125">
        <v>4.154381075607045E-2</v>
      </c>
      <c r="V125" t="s">
        <v>166</v>
      </c>
      <c r="AK125">
        <v>2050</v>
      </c>
      <c r="AL125" t="s">
        <v>160</v>
      </c>
      <c r="AM125">
        <v>0.56289999999999996</v>
      </c>
      <c r="AN125" t="s">
        <v>249</v>
      </c>
    </row>
    <row r="126" spans="9:40" x14ac:dyDescent="0.45">
      <c r="I126" t="s">
        <v>186</v>
      </c>
      <c r="J126" t="s">
        <v>173</v>
      </c>
      <c r="K126">
        <v>6.0510409221285885E-3</v>
      </c>
      <c r="L126" t="s">
        <v>166</v>
      </c>
      <c r="N126" t="s">
        <v>210</v>
      </c>
      <c r="O126" t="s">
        <v>173</v>
      </c>
      <c r="P126">
        <v>6.3873060782112523E-3</v>
      </c>
      <c r="Q126" t="s">
        <v>166</v>
      </c>
      <c r="S126" t="s">
        <v>227</v>
      </c>
      <c r="T126" t="s">
        <v>173</v>
      </c>
      <c r="U126">
        <v>5.6044287499226854E-3</v>
      </c>
      <c r="V126" t="s">
        <v>166</v>
      </c>
      <c r="AK126">
        <v>2050</v>
      </c>
      <c r="AL126" t="s">
        <v>162</v>
      </c>
      <c r="AM126">
        <v>0.50970000000000004</v>
      </c>
      <c r="AN126" t="s">
        <v>249</v>
      </c>
    </row>
    <row r="127" spans="9:40" x14ac:dyDescent="0.45">
      <c r="I127" t="s">
        <v>186</v>
      </c>
      <c r="J127" t="s">
        <v>174</v>
      </c>
      <c r="K127">
        <v>6.6249604818054336E-2</v>
      </c>
      <c r="L127" t="s">
        <v>166</v>
      </c>
      <c r="N127" t="s">
        <v>210</v>
      </c>
      <c r="O127" t="s">
        <v>174</v>
      </c>
      <c r="P127">
        <v>8.2198411993604281E-2</v>
      </c>
      <c r="Q127" t="s">
        <v>166</v>
      </c>
      <c r="S127" t="s">
        <v>227</v>
      </c>
      <c r="T127" t="s">
        <v>174</v>
      </c>
      <c r="U127">
        <v>8.1899602091271964E-2</v>
      </c>
      <c r="V127" t="s">
        <v>166</v>
      </c>
    </row>
    <row r="128" spans="9:40" x14ac:dyDescent="0.45">
      <c r="I128" t="s">
        <v>186</v>
      </c>
      <c r="J128" t="s">
        <v>175</v>
      </c>
      <c r="K128">
        <v>3.2404622858450459E-3</v>
      </c>
      <c r="L128" t="s">
        <v>166</v>
      </c>
      <c r="N128" t="s">
        <v>210</v>
      </c>
      <c r="O128" t="s">
        <v>175</v>
      </c>
      <c r="P128">
        <v>7.2981976290707407E-2</v>
      </c>
      <c r="Q128" t="s">
        <v>166</v>
      </c>
      <c r="S128" t="s">
        <v>227</v>
      </c>
      <c r="T128" t="s">
        <v>175</v>
      </c>
      <c r="U128">
        <v>6.3652661239986932E-2</v>
      </c>
      <c r="V128" t="s">
        <v>166</v>
      </c>
    </row>
    <row r="129" spans="9:22" x14ac:dyDescent="0.45">
      <c r="I129" t="s">
        <v>186</v>
      </c>
      <c r="J129" t="s">
        <v>176</v>
      </c>
      <c r="K129">
        <v>5.7922312891567542E-3</v>
      </c>
      <c r="L129" t="s">
        <v>166</v>
      </c>
      <c r="N129" t="s">
        <v>210</v>
      </c>
      <c r="O129" t="s">
        <v>176</v>
      </c>
      <c r="P129">
        <v>8.5918433997094965E-3</v>
      </c>
      <c r="Q129" t="s">
        <v>166</v>
      </c>
      <c r="S129" t="s">
        <v>227</v>
      </c>
      <c r="T129" t="s">
        <v>176</v>
      </c>
      <c r="U129">
        <v>8.1430964601012564E-3</v>
      </c>
      <c r="V129" t="s">
        <v>166</v>
      </c>
    </row>
    <row r="130" spans="9:22" x14ac:dyDescent="0.45">
      <c r="I130" t="s">
        <v>186</v>
      </c>
      <c r="J130" t="s">
        <v>177</v>
      </c>
      <c r="K130">
        <v>7.0313811143933341E-2</v>
      </c>
      <c r="L130" t="s">
        <v>166</v>
      </c>
      <c r="N130" t="s">
        <v>210</v>
      </c>
      <c r="O130" t="s">
        <v>177</v>
      </c>
      <c r="P130">
        <v>0.10518137156021079</v>
      </c>
      <c r="Q130" t="s">
        <v>166</v>
      </c>
      <c r="S130" t="s">
        <v>227</v>
      </c>
      <c r="T130" t="s">
        <v>177</v>
      </c>
      <c r="U130">
        <v>0.12289327847236302</v>
      </c>
      <c r="V130" t="s">
        <v>166</v>
      </c>
    </row>
    <row r="131" spans="9:22" x14ac:dyDescent="0.45">
      <c r="I131" t="s">
        <v>187</v>
      </c>
      <c r="J131" t="s">
        <v>165</v>
      </c>
      <c r="K131">
        <v>2.4126114081654656E-2</v>
      </c>
      <c r="L131" t="s">
        <v>166</v>
      </c>
      <c r="N131" t="s">
        <v>211</v>
      </c>
      <c r="O131" t="s">
        <v>165</v>
      </c>
      <c r="P131">
        <v>0.1659150384118043</v>
      </c>
      <c r="Q131" t="s">
        <v>166</v>
      </c>
      <c r="S131" t="s">
        <v>228</v>
      </c>
      <c r="T131" t="s">
        <v>165</v>
      </c>
      <c r="U131">
        <v>0.20349583120410691</v>
      </c>
      <c r="V131" t="s">
        <v>166</v>
      </c>
    </row>
    <row r="132" spans="9:22" x14ac:dyDescent="0.45">
      <c r="I132" t="s">
        <v>187</v>
      </c>
      <c r="J132" t="s">
        <v>167</v>
      </c>
      <c r="K132">
        <v>3.6393828337052382E-2</v>
      </c>
      <c r="L132" t="s">
        <v>166</v>
      </c>
      <c r="N132" t="s">
        <v>211</v>
      </c>
      <c r="O132" t="s">
        <v>167</v>
      </c>
      <c r="P132">
        <v>2.1401315724022436E-2</v>
      </c>
      <c r="Q132" t="s">
        <v>166</v>
      </c>
      <c r="S132" t="s">
        <v>228</v>
      </c>
      <c r="T132" t="s">
        <v>167</v>
      </c>
      <c r="U132">
        <v>2.5475971160215983E-2</v>
      </c>
      <c r="V132" t="s">
        <v>166</v>
      </c>
    </row>
    <row r="133" spans="9:22" x14ac:dyDescent="0.45">
      <c r="I133" t="s">
        <v>187</v>
      </c>
      <c r="J133" t="s">
        <v>168</v>
      </c>
      <c r="K133">
        <v>0.60879463947236523</v>
      </c>
      <c r="L133" t="s">
        <v>166</v>
      </c>
      <c r="N133" t="s">
        <v>211</v>
      </c>
      <c r="O133" t="s">
        <v>168</v>
      </c>
      <c r="P133">
        <v>0.41025933654104918</v>
      </c>
      <c r="Q133" t="s">
        <v>166</v>
      </c>
      <c r="S133" t="s">
        <v>228</v>
      </c>
      <c r="T133" t="s">
        <v>168</v>
      </c>
      <c r="U133">
        <v>0.35644107837590355</v>
      </c>
      <c r="V133" t="s">
        <v>166</v>
      </c>
    </row>
    <row r="134" spans="9:22" x14ac:dyDescent="0.45">
      <c r="I134" t="s">
        <v>187</v>
      </c>
      <c r="J134" t="s">
        <v>169</v>
      </c>
      <c r="K134">
        <v>6.5808700781481953E-3</v>
      </c>
      <c r="L134" t="s">
        <v>166</v>
      </c>
      <c r="N134" t="s">
        <v>211</v>
      </c>
      <c r="O134" t="s">
        <v>169</v>
      </c>
      <c r="P134">
        <v>3.4847214333369347E-2</v>
      </c>
      <c r="Q134" t="s">
        <v>166</v>
      </c>
      <c r="S134" t="s">
        <v>228</v>
      </c>
      <c r="T134" t="s">
        <v>169</v>
      </c>
      <c r="U134">
        <v>4.5796745081395716E-2</v>
      </c>
      <c r="V134" t="s">
        <v>166</v>
      </c>
    </row>
    <row r="135" spans="9:22" x14ac:dyDescent="0.45">
      <c r="I135" t="s">
        <v>187</v>
      </c>
      <c r="J135" t="s">
        <v>170</v>
      </c>
      <c r="K135">
        <v>1.169859824320362E-2</v>
      </c>
      <c r="L135" t="s">
        <v>166</v>
      </c>
      <c r="N135" t="s">
        <v>211</v>
      </c>
      <c r="O135" t="s">
        <v>170</v>
      </c>
      <c r="P135">
        <v>4.633610802072155E-3</v>
      </c>
      <c r="Q135" t="s">
        <v>166</v>
      </c>
      <c r="S135" t="s">
        <v>228</v>
      </c>
      <c r="T135" t="s">
        <v>170</v>
      </c>
      <c r="U135">
        <v>5.7855194015595307E-3</v>
      </c>
      <c r="V135" t="s">
        <v>166</v>
      </c>
    </row>
    <row r="136" spans="9:22" x14ac:dyDescent="0.45">
      <c r="I136" t="s">
        <v>187</v>
      </c>
      <c r="J136" t="s">
        <v>171</v>
      </c>
      <c r="K136">
        <v>0.1577018882972312</v>
      </c>
      <c r="L136" t="s">
        <v>166</v>
      </c>
      <c r="N136" t="s">
        <v>211</v>
      </c>
      <c r="O136" t="s">
        <v>171</v>
      </c>
      <c r="P136">
        <v>8.2952095301858056E-2</v>
      </c>
      <c r="Q136" t="s">
        <v>166</v>
      </c>
      <c r="S136" t="s">
        <v>228</v>
      </c>
      <c r="T136" t="s">
        <v>171</v>
      </c>
      <c r="U136">
        <v>8.1071736937656777E-2</v>
      </c>
      <c r="V136" t="s">
        <v>166</v>
      </c>
    </row>
    <row r="137" spans="9:22" x14ac:dyDescent="0.45">
      <c r="I137" t="s">
        <v>187</v>
      </c>
      <c r="J137" t="s">
        <v>172</v>
      </c>
      <c r="K137">
        <v>1.9694822871220226E-3</v>
      </c>
      <c r="L137" t="s">
        <v>166</v>
      </c>
      <c r="N137" t="s">
        <v>211</v>
      </c>
      <c r="O137" t="s">
        <v>172</v>
      </c>
      <c r="P137">
        <v>3.1580070405903625E-2</v>
      </c>
      <c r="Q137" t="s">
        <v>166</v>
      </c>
      <c r="S137" t="s">
        <v>228</v>
      </c>
      <c r="T137" t="s">
        <v>172</v>
      </c>
      <c r="U137">
        <v>4.1629708060508926E-2</v>
      </c>
      <c r="V137" t="s">
        <v>166</v>
      </c>
    </row>
    <row r="138" spans="9:22" x14ac:dyDescent="0.45">
      <c r="I138" t="s">
        <v>187</v>
      </c>
      <c r="J138" t="s">
        <v>173</v>
      </c>
      <c r="K138">
        <v>4.0883438409090242E-3</v>
      </c>
      <c r="L138" t="s">
        <v>166</v>
      </c>
      <c r="N138" t="s">
        <v>211</v>
      </c>
      <c r="O138" t="s">
        <v>173</v>
      </c>
      <c r="P138">
        <v>5.1979249400961828E-3</v>
      </c>
      <c r="Q138" t="s">
        <v>166</v>
      </c>
      <c r="S138" t="s">
        <v>228</v>
      </c>
      <c r="T138" t="s">
        <v>173</v>
      </c>
      <c r="U138">
        <v>5.8542775241366999E-3</v>
      </c>
      <c r="V138" t="s">
        <v>166</v>
      </c>
    </row>
    <row r="139" spans="9:22" x14ac:dyDescent="0.45">
      <c r="I139" t="s">
        <v>187</v>
      </c>
      <c r="J139" t="s">
        <v>174</v>
      </c>
      <c r="K139">
        <v>6.1902870555095614E-2</v>
      </c>
      <c r="L139" t="s">
        <v>166</v>
      </c>
      <c r="N139" t="s">
        <v>211</v>
      </c>
      <c r="O139" t="s">
        <v>174</v>
      </c>
      <c r="P139">
        <v>8.6101163229440919E-2</v>
      </c>
      <c r="Q139" t="s">
        <v>166</v>
      </c>
      <c r="S139" t="s">
        <v>228</v>
      </c>
      <c r="T139" t="s">
        <v>174</v>
      </c>
      <c r="U139">
        <v>8.3417593154962041E-2</v>
      </c>
      <c r="V139" t="s">
        <v>166</v>
      </c>
    </row>
    <row r="140" spans="9:22" x14ac:dyDescent="0.45">
      <c r="I140" t="s">
        <v>187</v>
      </c>
      <c r="J140" t="s">
        <v>175</v>
      </c>
      <c r="K140">
        <v>1.9555743820002325E-3</v>
      </c>
      <c r="L140" t="s">
        <v>166</v>
      </c>
      <c r="N140" t="s">
        <v>211</v>
      </c>
      <c r="O140" t="s">
        <v>175</v>
      </c>
      <c r="P140">
        <v>4.4432872648918355E-2</v>
      </c>
      <c r="Q140" t="s">
        <v>166</v>
      </c>
      <c r="S140" t="s">
        <v>228</v>
      </c>
      <c r="T140" t="s">
        <v>175</v>
      </c>
      <c r="U140">
        <v>5.0442819675333234E-2</v>
      </c>
      <c r="V140" t="s">
        <v>166</v>
      </c>
    </row>
    <row r="141" spans="9:22" x14ac:dyDescent="0.45">
      <c r="I141" t="s">
        <v>187</v>
      </c>
      <c r="J141" t="s">
        <v>176</v>
      </c>
      <c r="K141">
        <v>5.562779058300305E-3</v>
      </c>
      <c r="L141" t="s">
        <v>166</v>
      </c>
      <c r="N141" t="s">
        <v>211</v>
      </c>
      <c r="O141" t="s">
        <v>176</v>
      </c>
      <c r="P141">
        <v>6.314457687031357E-3</v>
      </c>
      <c r="Q141" t="s">
        <v>166</v>
      </c>
      <c r="S141" t="s">
        <v>228</v>
      </c>
      <c r="T141" t="s">
        <v>176</v>
      </c>
      <c r="U141">
        <v>6.4436177731442947E-3</v>
      </c>
      <c r="V141" t="s">
        <v>166</v>
      </c>
    </row>
    <row r="142" spans="9:22" x14ac:dyDescent="0.45">
      <c r="I142" t="s">
        <v>187</v>
      </c>
      <c r="J142" t="s">
        <v>177</v>
      </c>
      <c r="K142">
        <v>7.9225011366917647E-2</v>
      </c>
      <c r="L142" t="s">
        <v>166</v>
      </c>
      <c r="N142" t="s">
        <v>211</v>
      </c>
      <c r="O142" t="s">
        <v>177</v>
      </c>
      <c r="P142">
        <v>0.10636489997443246</v>
      </c>
      <c r="Q142" t="s">
        <v>166</v>
      </c>
      <c r="S142" t="s">
        <v>228</v>
      </c>
      <c r="T142" t="s">
        <v>177</v>
      </c>
      <c r="U142">
        <v>9.4145101651073246E-2</v>
      </c>
      <c r="V142" t="s">
        <v>166</v>
      </c>
    </row>
    <row r="143" spans="9:22" x14ac:dyDescent="0.45">
      <c r="I143" t="s">
        <v>188</v>
      </c>
      <c r="J143" t="s">
        <v>165</v>
      </c>
      <c r="K143">
        <v>2.1297497704889555E-2</v>
      </c>
      <c r="L143" t="s">
        <v>166</v>
      </c>
      <c r="N143" t="s">
        <v>212</v>
      </c>
      <c r="O143" t="s">
        <v>165</v>
      </c>
      <c r="P143">
        <v>0.19108115989305932</v>
      </c>
      <c r="Q143" t="s">
        <v>166</v>
      </c>
      <c r="S143" t="s">
        <v>229</v>
      </c>
      <c r="T143" t="s">
        <v>165</v>
      </c>
      <c r="U143">
        <v>0.20538572559792684</v>
      </c>
      <c r="V143" t="s">
        <v>166</v>
      </c>
    </row>
    <row r="144" spans="9:22" x14ac:dyDescent="0.45">
      <c r="I144" t="s">
        <v>188</v>
      </c>
      <c r="J144" t="s">
        <v>167</v>
      </c>
      <c r="K144">
        <v>3.3989008777429601E-2</v>
      </c>
      <c r="L144" t="s">
        <v>166</v>
      </c>
      <c r="N144" t="s">
        <v>212</v>
      </c>
      <c r="O144" t="s">
        <v>167</v>
      </c>
      <c r="P144">
        <v>2.7770417849477931E-2</v>
      </c>
      <c r="Q144" t="s">
        <v>166</v>
      </c>
      <c r="S144" t="s">
        <v>229</v>
      </c>
      <c r="T144" t="s">
        <v>167</v>
      </c>
      <c r="U144">
        <v>2.5310617095067697E-2</v>
      </c>
      <c r="V144" t="s">
        <v>166</v>
      </c>
    </row>
    <row r="145" spans="9:22" x14ac:dyDescent="0.45">
      <c r="I145" t="s">
        <v>188</v>
      </c>
      <c r="J145" t="s">
        <v>168</v>
      </c>
      <c r="K145">
        <v>0.57889485856666489</v>
      </c>
      <c r="L145" t="s">
        <v>166</v>
      </c>
      <c r="N145" t="s">
        <v>212</v>
      </c>
      <c r="O145" t="s">
        <v>168</v>
      </c>
      <c r="P145">
        <v>0.39004933451911161</v>
      </c>
      <c r="Q145" t="s">
        <v>166</v>
      </c>
      <c r="S145" t="s">
        <v>229</v>
      </c>
      <c r="T145" t="s">
        <v>168</v>
      </c>
      <c r="U145">
        <v>0.35455634289735194</v>
      </c>
      <c r="V145" t="s">
        <v>166</v>
      </c>
    </row>
    <row r="146" spans="9:22" x14ac:dyDescent="0.45">
      <c r="I146" t="s">
        <v>188</v>
      </c>
      <c r="J146" t="s">
        <v>169</v>
      </c>
      <c r="K146">
        <v>7.2241628144875973E-3</v>
      </c>
      <c r="L146" t="s">
        <v>166</v>
      </c>
      <c r="N146" t="s">
        <v>212</v>
      </c>
      <c r="O146" t="s">
        <v>169</v>
      </c>
      <c r="P146">
        <v>3.2708276438484347E-2</v>
      </c>
      <c r="Q146" t="s">
        <v>166</v>
      </c>
      <c r="S146" t="s">
        <v>229</v>
      </c>
      <c r="T146" t="s">
        <v>169</v>
      </c>
      <c r="U146">
        <v>4.7892715390413454E-2</v>
      </c>
      <c r="V146" t="s">
        <v>166</v>
      </c>
    </row>
    <row r="147" spans="9:22" x14ac:dyDescent="0.45">
      <c r="I147" t="s">
        <v>188</v>
      </c>
      <c r="J147" t="s">
        <v>170</v>
      </c>
      <c r="K147">
        <v>1.3088296753005877E-2</v>
      </c>
      <c r="L147" t="s">
        <v>166</v>
      </c>
      <c r="N147" t="s">
        <v>212</v>
      </c>
      <c r="O147" t="s">
        <v>170</v>
      </c>
      <c r="P147">
        <v>4.965390041666155E-3</v>
      </c>
      <c r="Q147" t="s">
        <v>166</v>
      </c>
      <c r="S147" t="s">
        <v>229</v>
      </c>
      <c r="T147" t="s">
        <v>170</v>
      </c>
      <c r="U147">
        <v>6.2900655084781659E-3</v>
      </c>
      <c r="V147" t="s">
        <v>166</v>
      </c>
    </row>
    <row r="148" spans="9:22" x14ac:dyDescent="0.45">
      <c r="I148" t="s">
        <v>188</v>
      </c>
      <c r="J148" t="s">
        <v>171</v>
      </c>
      <c r="K148">
        <v>0.16756508890218391</v>
      </c>
      <c r="L148" t="s">
        <v>166</v>
      </c>
      <c r="N148" t="s">
        <v>212</v>
      </c>
      <c r="O148" t="s">
        <v>171</v>
      </c>
      <c r="P148">
        <v>9.1251281109053783E-2</v>
      </c>
      <c r="Q148" t="s">
        <v>166</v>
      </c>
      <c r="S148" t="s">
        <v>229</v>
      </c>
      <c r="T148" t="s">
        <v>171</v>
      </c>
      <c r="U148">
        <v>8.727910660020366E-2</v>
      </c>
      <c r="V148" t="s">
        <v>166</v>
      </c>
    </row>
    <row r="149" spans="9:22" x14ac:dyDescent="0.45">
      <c r="I149" t="s">
        <v>188</v>
      </c>
      <c r="J149" t="s">
        <v>172</v>
      </c>
      <c r="K149">
        <v>2.1374758202714911E-3</v>
      </c>
      <c r="L149" t="s">
        <v>166</v>
      </c>
      <c r="N149" t="s">
        <v>212</v>
      </c>
      <c r="O149" t="s">
        <v>172</v>
      </c>
      <c r="P149">
        <v>3.6692162911100668E-2</v>
      </c>
      <c r="Q149" t="s">
        <v>166</v>
      </c>
      <c r="S149" t="s">
        <v>229</v>
      </c>
      <c r="T149" t="s">
        <v>172</v>
      </c>
      <c r="U149">
        <v>4.0153863329945048E-2</v>
      </c>
      <c r="V149" t="s">
        <v>166</v>
      </c>
    </row>
    <row r="150" spans="9:22" x14ac:dyDescent="0.45">
      <c r="I150" t="s">
        <v>188</v>
      </c>
      <c r="J150" t="s">
        <v>173</v>
      </c>
      <c r="K150">
        <v>4.4493468834314546E-3</v>
      </c>
      <c r="L150" t="s">
        <v>166</v>
      </c>
      <c r="N150" t="s">
        <v>212</v>
      </c>
      <c r="O150" t="s">
        <v>173</v>
      </c>
      <c r="P150">
        <v>5.7513644397589516E-3</v>
      </c>
      <c r="Q150" t="s">
        <v>166</v>
      </c>
      <c r="S150" t="s">
        <v>229</v>
      </c>
      <c r="T150" t="s">
        <v>173</v>
      </c>
      <c r="U150">
        <v>5.5436893414724997E-3</v>
      </c>
      <c r="V150" t="s">
        <v>166</v>
      </c>
    </row>
    <row r="151" spans="9:22" x14ac:dyDescent="0.45">
      <c r="I151" t="s">
        <v>188</v>
      </c>
      <c r="J151" t="s">
        <v>174</v>
      </c>
      <c r="K151">
        <v>6.4760434923660085E-2</v>
      </c>
      <c r="L151" t="s">
        <v>166</v>
      </c>
      <c r="N151" t="s">
        <v>212</v>
      </c>
      <c r="O151" t="s">
        <v>174</v>
      </c>
      <c r="P151">
        <v>8.2987515610950358E-2</v>
      </c>
      <c r="Q151" t="s">
        <v>166</v>
      </c>
      <c r="S151" t="s">
        <v>229</v>
      </c>
      <c r="T151" t="s">
        <v>174</v>
      </c>
      <c r="U151">
        <v>7.8705918812326095E-2</v>
      </c>
      <c r="V151" t="s">
        <v>166</v>
      </c>
    </row>
    <row r="152" spans="9:22" x14ac:dyDescent="0.45">
      <c r="I152" t="s">
        <v>188</v>
      </c>
      <c r="J152" t="s">
        <v>175</v>
      </c>
      <c r="K152">
        <v>1.8018151782626234E-3</v>
      </c>
      <c r="L152" t="s">
        <v>166</v>
      </c>
      <c r="N152" t="s">
        <v>212</v>
      </c>
      <c r="O152" t="s">
        <v>175</v>
      </c>
      <c r="P152">
        <v>4.2542119285312728E-2</v>
      </c>
      <c r="Q152" t="s">
        <v>166</v>
      </c>
      <c r="S152" t="s">
        <v>229</v>
      </c>
      <c r="T152" t="s">
        <v>175</v>
      </c>
      <c r="U152">
        <v>4.976038637026977E-2</v>
      </c>
      <c r="V152" t="s">
        <v>166</v>
      </c>
    </row>
    <row r="153" spans="9:22" x14ac:dyDescent="0.45">
      <c r="I153" t="s">
        <v>188</v>
      </c>
      <c r="J153" t="s">
        <v>176</v>
      </c>
      <c r="K153">
        <v>7.4581118472055227E-3</v>
      </c>
      <c r="L153" t="s">
        <v>166</v>
      </c>
      <c r="N153" t="s">
        <v>212</v>
      </c>
      <c r="O153" t="s">
        <v>176</v>
      </c>
      <c r="P153">
        <v>5.6639297858608493E-3</v>
      </c>
      <c r="Q153" t="s">
        <v>166</v>
      </c>
      <c r="S153" t="s">
        <v>229</v>
      </c>
      <c r="T153" t="s">
        <v>176</v>
      </c>
      <c r="U153">
        <v>6.5391156268164519E-3</v>
      </c>
      <c r="V153" t="s">
        <v>166</v>
      </c>
    </row>
    <row r="154" spans="9:22" x14ac:dyDescent="0.45">
      <c r="I154" t="s">
        <v>188</v>
      </c>
      <c r="J154" t="s">
        <v>177</v>
      </c>
      <c r="K154">
        <v>9.7333901828505973E-2</v>
      </c>
      <c r="L154" t="s">
        <v>166</v>
      </c>
      <c r="N154" t="s">
        <v>212</v>
      </c>
      <c r="O154" t="s">
        <v>177</v>
      </c>
      <c r="P154">
        <v>8.8537048116161712E-2</v>
      </c>
      <c r="Q154" t="s">
        <v>166</v>
      </c>
      <c r="S154" t="s">
        <v>229</v>
      </c>
      <c r="T154" t="s">
        <v>177</v>
      </c>
      <c r="U154">
        <v>9.2582453429726611E-2</v>
      </c>
      <c r="V154" t="s">
        <v>166</v>
      </c>
    </row>
    <row r="155" spans="9:22" x14ac:dyDescent="0.45">
      <c r="I155" t="s">
        <v>189</v>
      </c>
      <c r="J155" t="s">
        <v>165</v>
      </c>
      <c r="K155">
        <v>1.3397015868887153E-2</v>
      </c>
      <c r="L155" t="s">
        <v>166</v>
      </c>
      <c r="N155" t="s">
        <v>213</v>
      </c>
      <c r="O155" t="s">
        <v>165</v>
      </c>
      <c r="P155">
        <v>0.18162053715731133</v>
      </c>
      <c r="Q155" t="s">
        <v>166</v>
      </c>
      <c r="S155" t="s">
        <v>230</v>
      </c>
      <c r="T155" t="s">
        <v>165</v>
      </c>
      <c r="U155">
        <v>0.20166026472079898</v>
      </c>
      <c r="V155" t="s">
        <v>166</v>
      </c>
    </row>
    <row r="156" spans="9:22" x14ac:dyDescent="0.45">
      <c r="I156" t="s">
        <v>189</v>
      </c>
      <c r="J156" t="s">
        <v>167</v>
      </c>
      <c r="K156">
        <v>2.5677851537416967E-2</v>
      </c>
      <c r="L156" t="s">
        <v>166</v>
      </c>
      <c r="N156" t="s">
        <v>213</v>
      </c>
      <c r="O156" t="s">
        <v>167</v>
      </c>
      <c r="P156">
        <v>1.8255506231737124E-2</v>
      </c>
      <c r="Q156" t="s">
        <v>166</v>
      </c>
      <c r="S156" t="s">
        <v>230</v>
      </c>
      <c r="T156" t="s">
        <v>167</v>
      </c>
      <c r="U156">
        <v>2.4119355040795012E-2</v>
      </c>
      <c r="V156" t="s">
        <v>166</v>
      </c>
    </row>
    <row r="157" spans="9:22" x14ac:dyDescent="0.45">
      <c r="I157" t="s">
        <v>189</v>
      </c>
      <c r="J157" t="s">
        <v>168</v>
      </c>
      <c r="K157">
        <v>0.62237060059456029</v>
      </c>
      <c r="L157" t="s">
        <v>166</v>
      </c>
      <c r="N157" t="s">
        <v>213</v>
      </c>
      <c r="O157" t="s">
        <v>168</v>
      </c>
      <c r="P157">
        <v>0.36671754222082026</v>
      </c>
      <c r="Q157" t="s">
        <v>166</v>
      </c>
      <c r="S157" t="s">
        <v>230</v>
      </c>
      <c r="T157" t="s">
        <v>168</v>
      </c>
      <c r="U157">
        <v>0.33661658857385063</v>
      </c>
      <c r="V157" t="s">
        <v>166</v>
      </c>
    </row>
    <row r="158" spans="9:22" x14ac:dyDescent="0.45">
      <c r="I158" t="s">
        <v>189</v>
      </c>
      <c r="J158" t="s">
        <v>169</v>
      </c>
      <c r="K158">
        <v>6.7239465900988185E-3</v>
      </c>
      <c r="L158" t="s">
        <v>166</v>
      </c>
      <c r="N158" t="s">
        <v>213</v>
      </c>
      <c r="O158" t="s">
        <v>169</v>
      </c>
      <c r="P158">
        <v>7.6755840380942159E-2</v>
      </c>
      <c r="Q158" t="s">
        <v>166</v>
      </c>
      <c r="S158" t="s">
        <v>230</v>
      </c>
      <c r="T158" t="s">
        <v>169</v>
      </c>
      <c r="U158">
        <v>4.9439523451050425E-2</v>
      </c>
      <c r="V158" t="s">
        <v>166</v>
      </c>
    </row>
    <row r="159" spans="9:22" x14ac:dyDescent="0.45">
      <c r="I159" t="s">
        <v>189</v>
      </c>
      <c r="J159" t="s">
        <v>170</v>
      </c>
      <c r="K159">
        <v>1.2638737438853945E-2</v>
      </c>
      <c r="L159" t="s">
        <v>166</v>
      </c>
      <c r="N159" t="s">
        <v>213</v>
      </c>
      <c r="O159" t="s">
        <v>170</v>
      </c>
      <c r="P159">
        <v>9.2649906272036439E-3</v>
      </c>
      <c r="Q159" t="s">
        <v>166</v>
      </c>
      <c r="S159" t="s">
        <v>230</v>
      </c>
      <c r="T159" t="s">
        <v>170</v>
      </c>
      <c r="U159">
        <v>6.5893950611308622E-3</v>
      </c>
      <c r="V159" t="s">
        <v>166</v>
      </c>
    </row>
    <row r="160" spans="9:22" x14ac:dyDescent="0.45">
      <c r="I160" t="s">
        <v>189</v>
      </c>
      <c r="J160" t="s">
        <v>171</v>
      </c>
      <c r="K160">
        <v>0.16929240466920906</v>
      </c>
      <c r="L160" t="s">
        <v>166</v>
      </c>
      <c r="N160" t="s">
        <v>213</v>
      </c>
      <c r="O160" t="s">
        <v>171</v>
      </c>
      <c r="P160">
        <v>0.14501251291864209</v>
      </c>
      <c r="Q160" t="s">
        <v>166</v>
      </c>
      <c r="S160" t="s">
        <v>230</v>
      </c>
      <c r="T160" t="s">
        <v>171</v>
      </c>
      <c r="U160">
        <v>9.4007112785610747E-2</v>
      </c>
      <c r="V160" t="s">
        <v>166</v>
      </c>
    </row>
    <row r="161" spans="9:22" x14ac:dyDescent="0.45">
      <c r="I161" t="s">
        <v>189</v>
      </c>
      <c r="J161" t="s">
        <v>172</v>
      </c>
      <c r="K161">
        <v>1.6178564538261765E-3</v>
      </c>
      <c r="L161" t="s">
        <v>166</v>
      </c>
      <c r="N161" t="s">
        <v>213</v>
      </c>
      <c r="O161" t="s">
        <v>172</v>
      </c>
      <c r="P161">
        <v>4.1984868398265429E-2</v>
      </c>
      <c r="Q161" t="s">
        <v>166</v>
      </c>
      <c r="S161" t="s">
        <v>230</v>
      </c>
      <c r="T161" t="s">
        <v>172</v>
      </c>
      <c r="U161">
        <v>4.5881988843384479E-2</v>
      </c>
      <c r="V161" t="s">
        <v>166</v>
      </c>
    </row>
    <row r="162" spans="9:22" x14ac:dyDescent="0.45">
      <c r="I162" t="s">
        <v>189</v>
      </c>
      <c r="J162" t="s">
        <v>173</v>
      </c>
      <c r="K162">
        <v>3.6487957588976295E-3</v>
      </c>
      <c r="L162" t="s">
        <v>166</v>
      </c>
      <c r="N162" t="s">
        <v>213</v>
      </c>
      <c r="O162" t="s">
        <v>173</v>
      </c>
      <c r="P162">
        <v>5.6345267028318092E-3</v>
      </c>
      <c r="Q162" t="s">
        <v>166</v>
      </c>
      <c r="S162" t="s">
        <v>230</v>
      </c>
      <c r="T162" t="s">
        <v>173</v>
      </c>
      <c r="U162">
        <v>6.2085057919481525E-3</v>
      </c>
      <c r="V162" t="s">
        <v>166</v>
      </c>
    </row>
    <row r="163" spans="9:22" x14ac:dyDescent="0.45">
      <c r="I163" t="s">
        <v>189</v>
      </c>
      <c r="J163" t="s">
        <v>174</v>
      </c>
      <c r="K163">
        <v>5.7746316280458995E-2</v>
      </c>
      <c r="L163" t="s">
        <v>166</v>
      </c>
      <c r="N163" t="s">
        <v>213</v>
      </c>
      <c r="O163" t="s">
        <v>174</v>
      </c>
      <c r="P163">
        <v>6.9271923880804942E-2</v>
      </c>
      <c r="Q163" t="s">
        <v>166</v>
      </c>
      <c r="S163" t="s">
        <v>230</v>
      </c>
      <c r="T163" t="s">
        <v>174</v>
      </c>
      <c r="U163">
        <v>9.1513648243559148E-2</v>
      </c>
      <c r="V163" t="s">
        <v>166</v>
      </c>
    </row>
    <row r="164" spans="9:22" x14ac:dyDescent="0.45">
      <c r="I164" t="s">
        <v>189</v>
      </c>
      <c r="J164" t="s">
        <v>175</v>
      </c>
      <c r="K164">
        <v>2.4027846840261012E-4</v>
      </c>
      <c r="L164" t="s">
        <v>166</v>
      </c>
      <c r="N164" t="s">
        <v>213</v>
      </c>
      <c r="O164" t="s">
        <v>175</v>
      </c>
      <c r="P164">
        <v>3.0570385232906162E-2</v>
      </c>
      <c r="Q164" t="s">
        <v>166</v>
      </c>
      <c r="S164" t="s">
        <v>230</v>
      </c>
      <c r="T164" t="s">
        <v>175</v>
      </c>
      <c r="U164">
        <v>4.8682440094715354E-2</v>
      </c>
      <c r="V164" t="s">
        <v>166</v>
      </c>
    </row>
    <row r="165" spans="9:22" x14ac:dyDescent="0.45">
      <c r="I165" t="s">
        <v>189</v>
      </c>
      <c r="J165" t="s">
        <v>176</v>
      </c>
      <c r="K165">
        <v>5.7381492720830979E-3</v>
      </c>
      <c r="L165" t="s">
        <v>166</v>
      </c>
      <c r="N165" t="s">
        <v>213</v>
      </c>
      <c r="O165" t="s">
        <v>176</v>
      </c>
      <c r="P165">
        <v>4.3401427036538825E-3</v>
      </c>
      <c r="Q165" t="s">
        <v>166</v>
      </c>
      <c r="S165" t="s">
        <v>230</v>
      </c>
      <c r="T165" t="s">
        <v>176</v>
      </c>
      <c r="U165">
        <v>6.6100742752309202E-3</v>
      </c>
      <c r="V165" t="s">
        <v>166</v>
      </c>
    </row>
    <row r="166" spans="9:22" x14ac:dyDescent="0.45">
      <c r="I166" t="s">
        <v>189</v>
      </c>
      <c r="J166" t="s">
        <v>177</v>
      </c>
      <c r="K166">
        <v>8.0908047067304575E-2</v>
      </c>
      <c r="L166" t="s">
        <v>166</v>
      </c>
      <c r="N166" t="s">
        <v>213</v>
      </c>
      <c r="O166" t="s">
        <v>177</v>
      </c>
      <c r="P166">
        <v>5.0571223544882631E-2</v>
      </c>
      <c r="Q166" t="s">
        <v>166</v>
      </c>
      <c r="S166" t="s">
        <v>230</v>
      </c>
      <c r="T166" t="s">
        <v>177</v>
      </c>
      <c r="U166">
        <v>8.8671103117927433E-2</v>
      </c>
      <c r="V166" t="s">
        <v>166</v>
      </c>
    </row>
    <row r="167" spans="9:22" x14ac:dyDescent="0.45">
      <c r="I167" t="s">
        <v>190</v>
      </c>
      <c r="J167" t="s">
        <v>165</v>
      </c>
      <c r="K167">
        <v>2.010279414242342E-2</v>
      </c>
      <c r="L167" t="s">
        <v>166</v>
      </c>
      <c r="N167" t="s">
        <v>214</v>
      </c>
      <c r="O167" t="s">
        <v>165</v>
      </c>
      <c r="P167">
        <v>0.19842621318476519</v>
      </c>
      <c r="Q167" t="s">
        <v>166</v>
      </c>
      <c r="S167" t="s">
        <v>231</v>
      </c>
      <c r="T167" t="s">
        <v>165</v>
      </c>
      <c r="U167">
        <v>0.19338476135827729</v>
      </c>
      <c r="V167" t="s">
        <v>166</v>
      </c>
    </row>
    <row r="168" spans="9:22" x14ac:dyDescent="0.45">
      <c r="I168" t="s">
        <v>190</v>
      </c>
      <c r="J168" t="s">
        <v>167</v>
      </c>
      <c r="K168">
        <v>3.1898496507040894E-2</v>
      </c>
      <c r="L168" t="s">
        <v>166</v>
      </c>
      <c r="N168" t="s">
        <v>214</v>
      </c>
      <c r="O168" t="s">
        <v>167</v>
      </c>
      <c r="P168">
        <v>2.2134779033412849E-2</v>
      </c>
      <c r="Q168" t="s">
        <v>166</v>
      </c>
      <c r="S168" t="s">
        <v>231</v>
      </c>
      <c r="T168" t="s">
        <v>167</v>
      </c>
      <c r="U168">
        <v>2.3371606243925445E-2</v>
      </c>
      <c r="V168" t="s">
        <v>166</v>
      </c>
    </row>
    <row r="169" spans="9:22" x14ac:dyDescent="0.45">
      <c r="I169" t="s">
        <v>190</v>
      </c>
      <c r="J169" t="s">
        <v>168</v>
      </c>
      <c r="K169">
        <v>0.58203968571861364</v>
      </c>
      <c r="L169" t="s">
        <v>166</v>
      </c>
      <c r="N169" t="s">
        <v>214</v>
      </c>
      <c r="O169" t="s">
        <v>168</v>
      </c>
      <c r="P169">
        <v>0.37975643610923204</v>
      </c>
      <c r="Q169" t="s">
        <v>166</v>
      </c>
      <c r="S169" t="s">
        <v>231</v>
      </c>
      <c r="T169" t="s">
        <v>168</v>
      </c>
      <c r="U169">
        <v>0.35362820994324012</v>
      </c>
      <c r="V169" t="s">
        <v>166</v>
      </c>
    </row>
    <row r="170" spans="9:22" x14ac:dyDescent="0.45">
      <c r="I170" t="s">
        <v>190</v>
      </c>
      <c r="J170" t="s">
        <v>169</v>
      </c>
      <c r="K170">
        <v>7.5745188866570817E-3</v>
      </c>
      <c r="L170" t="s">
        <v>166</v>
      </c>
      <c r="N170" t="s">
        <v>214</v>
      </c>
      <c r="O170" t="s">
        <v>169</v>
      </c>
      <c r="P170">
        <v>4.8090972956417739E-2</v>
      </c>
      <c r="Q170" t="s">
        <v>166</v>
      </c>
      <c r="S170" t="s">
        <v>231</v>
      </c>
      <c r="T170" t="s">
        <v>169</v>
      </c>
      <c r="U170">
        <v>4.7723829588572096E-2</v>
      </c>
      <c r="V170" t="s">
        <v>166</v>
      </c>
    </row>
    <row r="171" spans="9:22" x14ac:dyDescent="0.45">
      <c r="I171" t="s">
        <v>190</v>
      </c>
      <c r="J171" t="s">
        <v>170</v>
      </c>
      <c r="K171">
        <v>1.3546161427470125E-2</v>
      </c>
      <c r="L171" t="s">
        <v>166</v>
      </c>
      <c r="N171" t="s">
        <v>214</v>
      </c>
      <c r="O171" t="s">
        <v>170</v>
      </c>
      <c r="P171">
        <v>6.1593030267182991E-3</v>
      </c>
      <c r="Q171" t="s">
        <v>166</v>
      </c>
      <c r="S171" t="s">
        <v>231</v>
      </c>
      <c r="T171" t="s">
        <v>170</v>
      </c>
      <c r="U171">
        <v>6.2798278819269446E-3</v>
      </c>
      <c r="V171" t="s">
        <v>166</v>
      </c>
    </row>
    <row r="172" spans="9:22" x14ac:dyDescent="0.45">
      <c r="I172" t="s">
        <v>190</v>
      </c>
      <c r="J172" t="s">
        <v>171</v>
      </c>
      <c r="K172">
        <v>0.17254165973591187</v>
      </c>
      <c r="L172" t="s">
        <v>166</v>
      </c>
      <c r="N172" t="s">
        <v>214</v>
      </c>
      <c r="O172" t="s">
        <v>171</v>
      </c>
      <c r="P172">
        <v>9.780016961585912E-2</v>
      </c>
      <c r="Q172" t="s">
        <v>166</v>
      </c>
      <c r="S172" t="s">
        <v>231</v>
      </c>
      <c r="T172" t="s">
        <v>171</v>
      </c>
      <c r="U172">
        <v>9.3923248614500965E-2</v>
      </c>
      <c r="V172" t="s">
        <v>166</v>
      </c>
    </row>
    <row r="173" spans="9:22" x14ac:dyDescent="0.45">
      <c r="I173" t="s">
        <v>190</v>
      </c>
      <c r="J173" t="s">
        <v>172</v>
      </c>
      <c r="K173">
        <v>2.1427249882863372E-3</v>
      </c>
      <c r="L173" t="s">
        <v>166</v>
      </c>
      <c r="N173" t="s">
        <v>214</v>
      </c>
      <c r="O173" t="s">
        <v>172</v>
      </c>
      <c r="P173">
        <v>3.9789256808683865E-2</v>
      </c>
      <c r="Q173" t="s">
        <v>166</v>
      </c>
      <c r="S173" t="s">
        <v>231</v>
      </c>
      <c r="T173" t="s">
        <v>172</v>
      </c>
      <c r="U173">
        <v>4.087907555050109E-2</v>
      </c>
      <c r="V173" t="s">
        <v>166</v>
      </c>
    </row>
    <row r="174" spans="9:22" x14ac:dyDescent="0.45">
      <c r="I174" t="s">
        <v>190</v>
      </c>
      <c r="J174" t="s">
        <v>173</v>
      </c>
      <c r="K174">
        <v>4.5150301048485801E-3</v>
      </c>
      <c r="L174" t="s">
        <v>166</v>
      </c>
      <c r="N174" t="s">
        <v>214</v>
      </c>
      <c r="O174" t="s">
        <v>173</v>
      </c>
      <c r="P174">
        <v>5.6684068840596917E-3</v>
      </c>
      <c r="Q174" t="s">
        <v>166</v>
      </c>
      <c r="S174" t="s">
        <v>231</v>
      </c>
      <c r="T174" t="s">
        <v>173</v>
      </c>
      <c r="U174">
        <v>5.5315852925312556E-3</v>
      </c>
      <c r="V174" t="s">
        <v>166</v>
      </c>
    </row>
    <row r="175" spans="9:22" x14ac:dyDescent="0.45">
      <c r="I175" t="s">
        <v>190</v>
      </c>
      <c r="J175" t="s">
        <v>174</v>
      </c>
      <c r="K175">
        <v>6.3461609339538663E-2</v>
      </c>
      <c r="L175" t="s">
        <v>166</v>
      </c>
      <c r="N175" t="s">
        <v>214</v>
      </c>
      <c r="O175" t="s">
        <v>174</v>
      </c>
      <c r="P175">
        <v>8.0611909666408244E-2</v>
      </c>
      <c r="Q175" t="s">
        <v>166</v>
      </c>
      <c r="S175" t="s">
        <v>231</v>
      </c>
      <c r="T175" t="s">
        <v>174</v>
      </c>
      <c r="U175">
        <v>8.0144083336905467E-2</v>
      </c>
      <c r="V175" t="s">
        <v>166</v>
      </c>
    </row>
    <row r="176" spans="9:22" x14ac:dyDescent="0.45">
      <c r="I176" t="s">
        <v>190</v>
      </c>
      <c r="J176" t="s">
        <v>175</v>
      </c>
      <c r="K176">
        <v>1.3710338796762232E-3</v>
      </c>
      <c r="L176" t="s">
        <v>166</v>
      </c>
      <c r="N176" t="s">
        <v>214</v>
      </c>
      <c r="O176" t="s">
        <v>175</v>
      </c>
      <c r="P176">
        <v>4.0176877647979781E-2</v>
      </c>
      <c r="Q176" t="s">
        <v>166</v>
      </c>
      <c r="S176" t="s">
        <v>231</v>
      </c>
      <c r="T176" t="s">
        <v>175</v>
      </c>
      <c r="U176">
        <v>5.1437308353945048E-2</v>
      </c>
      <c r="V176" t="s">
        <v>166</v>
      </c>
    </row>
    <row r="177" spans="9:22" x14ac:dyDescent="0.45">
      <c r="I177" t="s">
        <v>190</v>
      </c>
      <c r="J177" t="s">
        <v>176</v>
      </c>
      <c r="K177">
        <v>6.9779376364386535E-3</v>
      </c>
      <c r="L177" t="s">
        <v>166</v>
      </c>
      <c r="N177" t="s">
        <v>214</v>
      </c>
      <c r="O177" t="s">
        <v>176</v>
      </c>
      <c r="P177">
        <v>5.6519633835196322E-3</v>
      </c>
      <c r="Q177" t="s">
        <v>166</v>
      </c>
      <c r="S177" t="s">
        <v>231</v>
      </c>
      <c r="T177" t="s">
        <v>176</v>
      </c>
      <c r="U177">
        <v>6.9780732089688964E-3</v>
      </c>
      <c r="V177" t="s">
        <v>166</v>
      </c>
    </row>
    <row r="178" spans="9:22" x14ac:dyDescent="0.45">
      <c r="I178" t="s">
        <v>190</v>
      </c>
      <c r="J178" t="s">
        <v>177</v>
      </c>
      <c r="K178">
        <v>9.3828347633093695E-2</v>
      </c>
      <c r="L178" t="s">
        <v>166</v>
      </c>
      <c r="N178" t="s">
        <v>214</v>
      </c>
      <c r="O178" t="s">
        <v>177</v>
      </c>
      <c r="P178">
        <v>7.5733711682944252E-2</v>
      </c>
      <c r="Q178" t="s">
        <v>166</v>
      </c>
      <c r="S178" t="s">
        <v>231</v>
      </c>
      <c r="T178" t="s">
        <v>177</v>
      </c>
      <c r="U178">
        <v>9.6718390626709727E-2</v>
      </c>
      <c r="V178" t="s">
        <v>166</v>
      </c>
    </row>
    <row r="179" spans="9:22" x14ac:dyDescent="0.45">
      <c r="I179" t="s">
        <v>191</v>
      </c>
      <c r="J179" t="s">
        <v>165</v>
      </c>
      <c r="K179">
        <v>1.6309090821363229E-2</v>
      </c>
      <c r="L179" t="s">
        <v>166</v>
      </c>
      <c r="N179" t="s">
        <v>215</v>
      </c>
      <c r="O179" t="s">
        <v>165</v>
      </c>
      <c r="P179">
        <v>0.14220403765081094</v>
      </c>
      <c r="Q179" t="s">
        <v>166</v>
      </c>
      <c r="S179" t="s">
        <v>232</v>
      </c>
      <c r="T179" t="s">
        <v>165</v>
      </c>
      <c r="U179">
        <v>0.21839781402538083</v>
      </c>
      <c r="V179" t="s">
        <v>166</v>
      </c>
    </row>
    <row r="180" spans="9:22" x14ac:dyDescent="0.45">
      <c r="I180" t="s">
        <v>191</v>
      </c>
      <c r="J180" t="s">
        <v>167</v>
      </c>
      <c r="K180">
        <v>2.7616732443265055E-2</v>
      </c>
      <c r="L180" t="s">
        <v>166</v>
      </c>
      <c r="N180" t="s">
        <v>215</v>
      </c>
      <c r="O180" t="s">
        <v>167</v>
      </c>
      <c r="P180">
        <v>1.6797140753243203E-2</v>
      </c>
      <c r="Q180" t="s">
        <v>166</v>
      </c>
      <c r="S180" t="s">
        <v>232</v>
      </c>
      <c r="T180" t="s">
        <v>167</v>
      </c>
      <c r="U180">
        <v>2.3970741414509469E-2</v>
      </c>
      <c r="V180" t="s">
        <v>166</v>
      </c>
    </row>
    <row r="181" spans="9:22" x14ac:dyDescent="0.45">
      <c r="I181" t="s">
        <v>191</v>
      </c>
      <c r="J181" t="s">
        <v>168</v>
      </c>
      <c r="K181">
        <v>0.59477745364664947</v>
      </c>
      <c r="L181" t="s">
        <v>166</v>
      </c>
      <c r="N181" t="s">
        <v>215</v>
      </c>
      <c r="O181" t="s">
        <v>168</v>
      </c>
      <c r="P181">
        <v>0.34035621241436831</v>
      </c>
      <c r="Q181" t="s">
        <v>166</v>
      </c>
      <c r="S181" t="s">
        <v>232</v>
      </c>
      <c r="T181" t="s">
        <v>168</v>
      </c>
      <c r="U181">
        <v>0.38462403201918594</v>
      </c>
      <c r="V181" t="s">
        <v>166</v>
      </c>
    </row>
    <row r="182" spans="9:22" x14ac:dyDescent="0.45">
      <c r="I182" t="s">
        <v>191</v>
      </c>
      <c r="J182" t="s">
        <v>169</v>
      </c>
      <c r="K182">
        <v>6.7127753764285219E-3</v>
      </c>
      <c r="L182" t="s">
        <v>166</v>
      </c>
      <c r="N182" t="s">
        <v>215</v>
      </c>
      <c r="O182" t="s">
        <v>169</v>
      </c>
      <c r="P182">
        <v>3.8356305045070226E-2</v>
      </c>
      <c r="Q182" t="s">
        <v>166</v>
      </c>
      <c r="S182" t="s">
        <v>232</v>
      </c>
      <c r="T182" t="s">
        <v>169</v>
      </c>
      <c r="U182">
        <v>4.8815243638933518E-2</v>
      </c>
      <c r="V182" t="s">
        <v>166</v>
      </c>
    </row>
    <row r="183" spans="9:22" x14ac:dyDescent="0.45">
      <c r="I183" t="s">
        <v>191</v>
      </c>
      <c r="J183" t="s">
        <v>170</v>
      </c>
      <c r="K183">
        <v>1.2642887357299508E-2</v>
      </c>
      <c r="L183" t="s">
        <v>166</v>
      </c>
      <c r="N183" t="s">
        <v>215</v>
      </c>
      <c r="O183" t="s">
        <v>170</v>
      </c>
      <c r="P183">
        <v>5.201873921378327E-3</v>
      </c>
      <c r="Q183" t="s">
        <v>166</v>
      </c>
      <c r="S183" t="s">
        <v>232</v>
      </c>
      <c r="T183" t="s">
        <v>170</v>
      </c>
      <c r="U183">
        <v>6.5395229432487212E-3</v>
      </c>
      <c r="V183" t="s">
        <v>166</v>
      </c>
    </row>
    <row r="184" spans="9:22" x14ac:dyDescent="0.45">
      <c r="I184" t="s">
        <v>191</v>
      </c>
      <c r="J184" t="s">
        <v>171</v>
      </c>
      <c r="K184">
        <v>0.17193099431033956</v>
      </c>
      <c r="L184" t="s">
        <v>166</v>
      </c>
      <c r="N184" t="s">
        <v>215</v>
      </c>
      <c r="O184" t="s">
        <v>171</v>
      </c>
      <c r="P184">
        <v>9.8258292583655288E-2</v>
      </c>
      <c r="Q184" t="s">
        <v>166</v>
      </c>
      <c r="S184" t="s">
        <v>232</v>
      </c>
      <c r="T184" t="s">
        <v>171</v>
      </c>
      <c r="U184">
        <v>0.10063161277119924</v>
      </c>
      <c r="V184" t="s">
        <v>166</v>
      </c>
    </row>
    <row r="185" spans="9:22" x14ac:dyDescent="0.45">
      <c r="I185" t="s">
        <v>191</v>
      </c>
      <c r="J185" t="s">
        <v>172</v>
      </c>
      <c r="K185">
        <v>1.6860971192091418E-3</v>
      </c>
      <c r="L185" t="s">
        <v>166</v>
      </c>
      <c r="N185" t="s">
        <v>215</v>
      </c>
      <c r="O185" t="s">
        <v>172</v>
      </c>
      <c r="P185">
        <v>4.26062517684365E-2</v>
      </c>
      <c r="Q185" t="s">
        <v>166</v>
      </c>
      <c r="S185" t="s">
        <v>232</v>
      </c>
      <c r="T185" t="s">
        <v>172</v>
      </c>
      <c r="U185">
        <v>4.1952581443772612E-2</v>
      </c>
      <c r="V185" t="s">
        <v>166</v>
      </c>
    </row>
    <row r="186" spans="9:22" x14ac:dyDescent="0.45">
      <c r="I186" t="s">
        <v>191</v>
      </c>
      <c r="J186" t="s">
        <v>173</v>
      </c>
      <c r="K186">
        <v>3.7292459833729204E-3</v>
      </c>
      <c r="L186" t="s">
        <v>166</v>
      </c>
      <c r="N186" t="s">
        <v>215</v>
      </c>
      <c r="O186" t="s">
        <v>173</v>
      </c>
      <c r="P186">
        <v>6.1627406844059649E-3</v>
      </c>
      <c r="Q186" t="s">
        <v>166</v>
      </c>
      <c r="S186" t="s">
        <v>232</v>
      </c>
      <c r="T186" t="s">
        <v>173</v>
      </c>
      <c r="U186">
        <v>5.554920789403975E-3</v>
      </c>
      <c r="V186" t="s">
        <v>166</v>
      </c>
    </row>
    <row r="187" spans="9:22" x14ac:dyDescent="0.45">
      <c r="I187" t="s">
        <v>191</v>
      </c>
      <c r="J187" t="s">
        <v>174</v>
      </c>
      <c r="K187">
        <v>6.0316656138129005E-2</v>
      </c>
      <c r="L187" t="s">
        <v>166</v>
      </c>
      <c r="N187" t="s">
        <v>215</v>
      </c>
      <c r="O187" t="s">
        <v>174</v>
      </c>
      <c r="P187">
        <v>9.6211406794024956E-2</v>
      </c>
      <c r="Q187" t="s">
        <v>166</v>
      </c>
      <c r="S187" t="s">
        <v>232</v>
      </c>
      <c r="T187" t="s">
        <v>174</v>
      </c>
      <c r="U187">
        <v>8.5428270003580331E-2</v>
      </c>
      <c r="V187" t="s">
        <v>166</v>
      </c>
    </row>
    <row r="188" spans="9:22" x14ac:dyDescent="0.45">
      <c r="I188" t="s">
        <v>191</v>
      </c>
      <c r="J188" t="s">
        <v>175</v>
      </c>
      <c r="K188">
        <v>7.4051692597569378E-4</v>
      </c>
      <c r="L188" t="s">
        <v>166</v>
      </c>
      <c r="N188" t="s">
        <v>215</v>
      </c>
      <c r="O188" t="s">
        <v>175</v>
      </c>
      <c r="P188">
        <v>6.5114428501523491E-2</v>
      </c>
      <c r="Q188" t="s">
        <v>166</v>
      </c>
      <c r="S188" t="s">
        <v>232</v>
      </c>
      <c r="T188" t="s">
        <v>175</v>
      </c>
      <c r="U188">
        <v>2.8894754946999546E-2</v>
      </c>
      <c r="V188" t="s">
        <v>166</v>
      </c>
    </row>
    <row r="189" spans="9:22" x14ac:dyDescent="0.45">
      <c r="I189" t="s">
        <v>191</v>
      </c>
      <c r="J189" t="s">
        <v>176</v>
      </c>
      <c r="K189">
        <v>6.8946581404846843E-3</v>
      </c>
      <c r="L189" t="s">
        <v>166</v>
      </c>
      <c r="N189" t="s">
        <v>215</v>
      </c>
      <c r="O189" t="s">
        <v>176</v>
      </c>
      <c r="P189">
        <v>9.2087109303293658E-3</v>
      </c>
      <c r="Q189" t="s">
        <v>166</v>
      </c>
      <c r="S189" t="s">
        <v>232</v>
      </c>
      <c r="T189" t="s">
        <v>176</v>
      </c>
      <c r="U189">
        <v>4.359154668544956E-3</v>
      </c>
      <c r="V189" t="s">
        <v>166</v>
      </c>
    </row>
    <row r="190" spans="9:22" x14ac:dyDescent="0.45">
      <c r="I190" t="s">
        <v>191</v>
      </c>
      <c r="J190" t="s">
        <v>177</v>
      </c>
      <c r="K190">
        <v>9.6642891737481307E-2</v>
      </c>
      <c r="L190" t="s">
        <v>166</v>
      </c>
      <c r="N190" t="s">
        <v>215</v>
      </c>
      <c r="O190" t="s">
        <v>177</v>
      </c>
      <c r="P190">
        <v>0.1395225989527587</v>
      </c>
      <c r="Q190" t="s">
        <v>166</v>
      </c>
      <c r="S190" t="s">
        <v>232</v>
      </c>
      <c r="T190" t="s">
        <v>177</v>
      </c>
      <c r="U190">
        <v>5.0831351335236835E-2</v>
      </c>
      <c r="V190" t="s">
        <v>166</v>
      </c>
    </row>
    <row r="191" spans="9:22" x14ac:dyDescent="0.45">
      <c r="I191" t="s">
        <v>192</v>
      </c>
      <c r="J191" t="s">
        <v>165</v>
      </c>
      <c r="K191">
        <v>1.562175301940273E-2</v>
      </c>
      <c r="L191" t="s">
        <v>166</v>
      </c>
      <c r="N191" t="s">
        <v>216</v>
      </c>
      <c r="O191" t="s">
        <v>165</v>
      </c>
      <c r="P191">
        <v>0.16442439374568943</v>
      </c>
      <c r="Q191" t="s">
        <v>166</v>
      </c>
      <c r="S191" t="s">
        <v>233</v>
      </c>
      <c r="T191" t="s">
        <v>165</v>
      </c>
      <c r="U191">
        <v>0.20931988744979985</v>
      </c>
      <c r="V191" t="s">
        <v>166</v>
      </c>
    </row>
    <row r="192" spans="9:22" x14ac:dyDescent="0.45">
      <c r="I192" t="s">
        <v>192</v>
      </c>
      <c r="J192" t="s">
        <v>167</v>
      </c>
      <c r="K192">
        <v>3.1297249919651667E-2</v>
      </c>
      <c r="L192" t="s">
        <v>166</v>
      </c>
      <c r="N192" t="s">
        <v>216</v>
      </c>
      <c r="O192" t="s">
        <v>167</v>
      </c>
      <c r="P192">
        <v>1.8474699032353065E-2</v>
      </c>
      <c r="Q192" t="s">
        <v>166</v>
      </c>
      <c r="S192" t="s">
        <v>233</v>
      </c>
      <c r="T192" t="s">
        <v>167</v>
      </c>
      <c r="U192">
        <v>2.4269638230485498E-2</v>
      </c>
      <c r="V192" t="s">
        <v>166</v>
      </c>
    </row>
    <row r="193" spans="9:22" x14ac:dyDescent="0.45">
      <c r="I193" t="s">
        <v>192</v>
      </c>
      <c r="J193" t="s">
        <v>168</v>
      </c>
      <c r="K193">
        <v>0.63794779223647424</v>
      </c>
      <c r="L193" t="s">
        <v>166</v>
      </c>
      <c r="N193" t="s">
        <v>216</v>
      </c>
      <c r="O193" t="s">
        <v>168</v>
      </c>
      <c r="P193">
        <v>0.3829576723607076</v>
      </c>
      <c r="Q193" t="s">
        <v>166</v>
      </c>
      <c r="S193" t="s">
        <v>233</v>
      </c>
      <c r="T193" t="s">
        <v>168</v>
      </c>
      <c r="U193">
        <v>0.35041905974091808</v>
      </c>
      <c r="V193" t="s">
        <v>166</v>
      </c>
    </row>
    <row r="194" spans="9:22" x14ac:dyDescent="0.45">
      <c r="I194" t="s">
        <v>192</v>
      </c>
      <c r="J194" t="s">
        <v>169</v>
      </c>
      <c r="K194">
        <v>5.7095310449800226E-3</v>
      </c>
      <c r="L194" t="s">
        <v>166</v>
      </c>
      <c r="N194" t="s">
        <v>216</v>
      </c>
      <c r="O194" t="s">
        <v>169</v>
      </c>
      <c r="P194">
        <v>4.7128480976093345E-2</v>
      </c>
      <c r="Q194" t="s">
        <v>166</v>
      </c>
      <c r="S194" t="s">
        <v>233</v>
      </c>
      <c r="T194" t="s">
        <v>169</v>
      </c>
      <c r="U194">
        <v>5.1984767576239037E-2</v>
      </c>
      <c r="V194" t="s">
        <v>166</v>
      </c>
    </row>
    <row r="195" spans="9:22" x14ac:dyDescent="0.45">
      <c r="I195" t="s">
        <v>192</v>
      </c>
      <c r="J195" t="s">
        <v>170</v>
      </c>
      <c r="K195">
        <v>1.099304963562257E-2</v>
      </c>
      <c r="L195" t="s">
        <v>166</v>
      </c>
      <c r="N195" t="s">
        <v>216</v>
      </c>
      <c r="O195" t="s">
        <v>170</v>
      </c>
      <c r="P195">
        <v>6.0160657786870915E-3</v>
      </c>
      <c r="Q195" t="s">
        <v>166</v>
      </c>
      <c r="S195" t="s">
        <v>233</v>
      </c>
      <c r="T195" t="s">
        <v>170</v>
      </c>
      <c r="U195">
        <v>7.0772167628262803E-3</v>
      </c>
      <c r="V195" t="s">
        <v>166</v>
      </c>
    </row>
    <row r="196" spans="9:22" x14ac:dyDescent="0.45">
      <c r="I196" t="s">
        <v>192</v>
      </c>
      <c r="J196" t="s">
        <v>171</v>
      </c>
      <c r="K196">
        <v>0.15611950634069943</v>
      </c>
      <c r="L196" t="s">
        <v>166</v>
      </c>
      <c r="N196" t="s">
        <v>216</v>
      </c>
      <c r="O196" t="s">
        <v>171</v>
      </c>
      <c r="P196">
        <v>0.10591370769502895</v>
      </c>
      <c r="Q196" t="s">
        <v>166</v>
      </c>
      <c r="S196" t="s">
        <v>233</v>
      </c>
      <c r="T196" t="s">
        <v>171</v>
      </c>
      <c r="U196">
        <v>0.10284747187038577</v>
      </c>
      <c r="V196" t="s">
        <v>166</v>
      </c>
    </row>
    <row r="197" spans="9:22" x14ac:dyDescent="0.45">
      <c r="I197" t="s">
        <v>192</v>
      </c>
      <c r="J197" t="s">
        <v>172</v>
      </c>
      <c r="K197">
        <v>1.0830079644904677E-3</v>
      </c>
      <c r="L197" t="s">
        <v>166</v>
      </c>
      <c r="N197" t="s">
        <v>216</v>
      </c>
      <c r="O197" t="s">
        <v>172</v>
      </c>
      <c r="P197">
        <v>4.2060615538481498E-2</v>
      </c>
      <c r="Q197" t="s">
        <v>166</v>
      </c>
      <c r="S197" t="s">
        <v>233</v>
      </c>
      <c r="T197" t="s">
        <v>172</v>
      </c>
      <c r="U197">
        <v>4.8387335955902729E-2</v>
      </c>
      <c r="V197" t="s">
        <v>166</v>
      </c>
    </row>
    <row r="198" spans="9:22" x14ac:dyDescent="0.45">
      <c r="I198" t="s">
        <v>192</v>
      </c>
      <c r="J198" t="s">
        <v>173</v>
      </c>
      <c r="K198">
        <v>2.8734961133465471E-3</v>
      </c>
      <c r="L198" t="s">
        <v>166</v>
      </c>
      <c r="N198" t="s">
        <v>216</v>
      </c>
      <c r="O198" t="s">
        <v>173</v>
      </c>
      <c r="P198">
        <v>5.3905983059097714E-3</v>
      </c>
      <c r="Q198" t="s">
        <v>166</v>
      </c>
      <c r="S198" t="s">
        <v>233</v>
      </c>
      <c r="T198" t="s">
        <v>173</v>
      </c>
      <c r="U198">
        <v>6.2293432358904843E-3</v>
      </c>
      <c r="V198" t="s">
        <v>166</v>
      </c>
    </row>
    <row r="199" spans="9:22" x14ac:dyDescent="0.45">
      <c r="I199" t="s">
        <v>192</v>
      </c>
      <c r="J199" t="s">
        <v>174</v>
      </c>
      <c r="K199">
        <v>5.3321906498118084E-2</v>
      </c>
      <c r="L199" t="s">
        <v>166</v>
      </c>
      <c r="N199" t="s">
        <v>216</v>
      </c>
      <c r="O199" t="s">
        <v>174</v>
      </c>
      <c r="P199">
        <v>9.2291363631826343E-2</v>
      </c>
      <c r="Q199" t="s">
        <v>166</v>
      </c>
      <c r="S199" t="s">
        <v>233</v>
      </c>
      <c r="T199" t="s">
        <v>174</v>
      </c>
      <c r="U199">
        <v>9.4788307354000609E-2</v>
      </c>
      <c r="V199" t="s">
        <v>166</v>
      </c>
    </row>
    <row r="200" spans="9:22" x14ac:dyDescent="0.45">
      <c r="I200" t="s">
        <v>192</v>
      </c>
      <c r="J200" t="s">
        <v>175</v>
      </c>
      <c r="K200">
        <v>1.0917325028035777E-5</v>
      </c>
      <c r="L200" t="s">
        <v>166</v>
      </c>
      <c r="N200" t="s">
        <v>216</v>
      </c>
      <c r="O200" t="s">
        <v>175</v>
      </c>
      <c r="P200">
        <v>4.3916345615606492E-2</v>
      </c>
      <c r="Q200" t="s">
        <v>166</v>
      </c>
      <c r="S200" t="s">
        <v>233</v>
      </c>
      <c r="T200" t="s">
        <v>175</v>
      </c>
      <c r="U200">
        <v>3.8989552557167739E-2</v>
      </c>
      <c r="V200" t="s">
        <v>166</v>
      </c>
    </row>
    <row r="201" spans="9:22" x14ac:dyDescent="0.45">
      <c r="I201" t="s">
        <v>192</v>
      </c>
      <c r="J201" t="s">
        <v>176</v>
      </c>
      <c r="K201">
        <v>5.0084611745187914E-3</v>
      </c>
      <c r="L201" t="s">
        <v>166</v>
      </c>
      <c r="N201" t="s">
        <v>216</v>
      </c>
      <c r="O201" t="s">
        <v>176</v>
      </c>
      <c r="P201">
        <v>6.4047812265292893E-3</v>
      </c>
      <c r="Q201" t="s">
        <v>166</v>
      </c>
      <c r="S201" t="s">
        <v>233</v>
      </c>
      <c r="T201" t="s">
        <v>176</v>
      </c>
      <c r="U201">
        <v>5.4017517761823343E-3</v>
      </c>
      <c r="V201" t="s">
        <v>166</v>
      </c>
    </row>
    <row r="202" spans="9:22" x14ac:dyDescent="0.45">
      <c r="I202" t="s">
        <v>192</v>
      </c>
      <c r="J202" t="s">
        <v>177</v>
      </c>
      <c r="K202">
        <v>8.0013328727667102E-2</v>
      </c>
      <c r="L202" t="s">
        <v>166</v>
      </c>
      <c r="N202" t="s">
        <v>216</v>
      </c>
      <c r="O202" t="s">
        <v>177</v>
      </c>
      <c r="P202">
        <v>8.5021276093086101E-2</v>
      </c>
      <c r="Q202" t="s">
        <v>166</v>
      </c>
      <c r="S202" t="s">
        <v>233</v>
      </c>
      <c r="T202" t="s">
        <v>177</v>
      </c>
      <c r="U202">
        <v>6.0285667490201644E-2</v>
      </c>
      <c r="V202" t="s">
        <v>166</v>
      </c>
    </row>
    <row r="203" spans="9:22" x14ac:dyDescent="0.45">
      <c r="I203" t="s">
        <v>193</v>
      </c>
      <c r="J203" t="s">
        <v>165</v>
      </c>
      <c r="K203">
        <v>1.4226914026640371E-2</v>
      </c>
      <c r="L203" t="s">
        <v>166</v>
      </c>
      <c r="N203" t="s">
        <v>217</v>
      </c>
      <c r="O203" t="s">
        <v>165</v>
      </c>
      <c r="P203">
        <v>0.18933902947908271</v>
      </c>
      <c r="Q203" t="s">
        <v>166</v>
      </c>
      <c r="S203" t="s">
        <v>234</v>
      </c>
      <c r="T203" t="s">
        <v>165</v>
      </c>
      <c r="U203">
        <v>0.19838637732929215</v>
      </c>
      <c r="V203" t="s">
        <v>166</v>
      </c>
    </row>
    <row r="204" spans="9:22" x14ac:dyDescent="0.45">
      <c r="I204" t="s">
        <v>193</v>
      </c>
      <c r="J204" t="s">
        <v>167</v>
      </c>
      <c r="K204">
        <v>3.423872311668167E-2</v>
      </c>
      <c r="L204" t="s">
        <v>166</v>
      </c>
      <c r="N204" t="s">
        <v>217</v>
      </c>
      <c r="O204" t="s">
        <v>167</v>
      </c>
      <c r="P204">
        <v>2.0838947218783026E-2</v>
      </c>
      <c r="Q204" t="s">
        <v>166</v>
      </c>
      <c r="S204" t="s">
        <v>234</v>
      </c>
      <c r="T204" t="s">
        <v>167</v>
      </c>
      <c r="U204">
        <v>2.2787510343373868E-2</v>
      </c>
      <c r="V204" t="s">
        <v>166</v>
      </c>
    </row>
    <row r="205" spans="9:22" x14ac:dyDescent="0.45">
      <c r="I205" t="s">
        <v>193</v>
      </c>
      <c r="J205" t="s">
        <v>168</v>
      </c>
      <c r="K205">
        <v>0.64041795650797906</v>
      </c>
      <c r="L205" t="s">
        <v>166</v>
      </c>
      <c r="N205" t="s">
        <v>217</v>
      </c>
      <c r="O205" t="s">
        <v>168</v>
      </c>
      <c r="P205">
        <v>0.40276879540383193</v>
      </c>
      <c r="Q205" t="s">
        <v>166</v>
      </c>
      <c r="S205" t="s">
        <v>234</v>
      </c>
      <c r="T205" t="s">
        <v>168</v>
      </c>
      <c r="U205">
        <v>0.35937298976665588</v>
      </c>
      <c r="V205" t="s">
        <v>166</v>
      </c>
    </row>
    <row r="206" spans="9:22" x14ac:dyDescent="0.45">
      <c r="I206" t="s">
        <v>193</v>
      </c>
      <c r="J206" t="s">
        <v>169</v>
      </c>
      <c r="K206">
        <v>5.0306028407408263E-3</v>
      </c>
      <c r="L206" t="s">
        <v>166</v>
      </c>
      <c r="N206" t="s">
        <v>217</v>
      </c>
      <c r="O206" t="s">
        <v>169</v>
      </c>
      <c r="P206">
        <v>4.8831498551911205E-2</v>
      </c>
      <c r="Q206" t="s">
        <v>166</v>
      </c>
      <c r="S206" t="s">
        <v>234</v>
      </c>
      <c r="T206" t="s">
        <v>169</v>
      </c>
      <c r="U206">
        <v>4.8303806347007934E-2</v>
      </c>
      <c r="V206" t="s">
        <v>166</v>
      </c>
    </row>
    <row r="207" spans="9:22" x14ac:dyDescent="0.45">
      <c r="I207" t="s">
        <v>193</v>
      </c>
      <c r="J207" t="s">
        <v>170</v>
      </c>
      <c r="K207">
        <v>9.9063736993085256E-3</v>
      </c>
      <c r="L207" t="s">
        <v>166</v>
      </c>
      <c r="N207" t="s">
        <v>217</v>
      </c>
      <c r="O207" t="s">
        <v>170</v>
      </c>
      <c r="P207">
        <v>5.9667977348784578E-3</v>
      </c>
      <c r="Q207" t="s">
        <v>166</v>
      </c>
      <c r="S207" t="s">
        <v>234</v>
      </c>
      <c r="T207" t="s">
        <v>170</v>
      </c>
      <c r="U207">
        <v>6.6530942832775395E-3</v>
      </c>
      <c r="V207" t="s">
        <v>166</v>
      </c>
    </row>
    <row r="208" spans="9:22" x14ac:dyDescent="0.45">
      <c r="I208" t="s">
        <v>193</v>
      </c>
      <c r="J208" t="s">
        <v>171</v>
      </c>
      <c r="K208">
        <v>0.14896642215368805</v>
      </c>
      <c r="L208" t="s">
        <v>166</v>
      </c>
      <c r="N208" t="s">
        <v>217</v>
      </c>
      <c r="O208" t="s">
        <v>171</v>
      </c>
      <c r="P208">
        <v>9.8451044068642468E-2</v>
      </c>
      <c r="Q208" t="s">
        <v>166</v>
      </c>
      <c r="S208" t="s">
        <v>234</v>
      </c>
      <c r="T208" t="s">
        <v>171</v>
      </c>
      <c r="U208">
        <v>0.10229010794969824</v>
      </c>
      <c r="V208" t="s">
        <v>166</v>
      </c>
    </row>
    <row r="209" spans="9:22" x14ac:dyDescent="0.45">
      <c r="I209" t="s">
        <v>193</v>
      </c>
      <c r="J209" t="s">
        <v>172</v>
      </c>
      <c r="K209">
        <v>1.3782219853229389E-3</v>
      </c>
      <c r="L209" t="s">
        <v>166</v>
      </c>
      <c r="N209" t="s">
        <v>217</v>
      </c>
      <c r="O209" t="s">
        <v>172</v>
      </c>
      <c r="P209">
        <v>4.045462760619202E-2</v>
      </c>
      <c r="Q209" t="s">
        <v>166</v>
      </c>
      <c r="S209" t="s">
        <v>234</v>
      </c>
      <c r="T209" t="s">
        <v>172</v>
      </c>
      <c r="U209">
        <v>4.4744532171385541E-2</v>
      </c>
      <c r="V209" t="s">
        <v>166</v>
      </c>
    </row>
    <row r="210" spans="9:22" x14ac:dyDescent="0.45">
      <c r="I210" t="s">
        <v>193</v>
      </c>
      <c r="J210" t="s">
        <v>173</v>
      </c>
      <c r="K210">
        <v>3.3715224289154401E-3</v>
      </c>
      <c r="L210" t="s">
        <v>166</v>
      </c>
      <c r="N210" t="s">
        <v>217</v>
      </c>
      <c r="O210" t="s">
        <v>173</v>
      </c>
      <c r="P210">
        <v>5.4500183432467982E-3</v>
      </c>
      <c r="Q210" t="s">
        <v>166</v>
      </c>
      <c r="S210" t="s">
        <v>234</v>
      </c>
      <c r="T210" t="s">
        <v>173</v>
      </c>
      <c r="U210">
        <v>5.7362277493506761E-3</v>
      </c>
      <c r="V210" t="s">
        <v>166</v>
      </c>
    </row>
    <row r="211" spans="9:22" x14ac:dyDescent="0.45">
      <c r="I211" t="s">
        <v>193</v>
      </c>
      <c r="J211" t="s">
        <v>174</v>
      </c>
      <c r="K211">
        <v>5.4609836094492173E-2</v>
      </c>
      <c r="L211" t="s">
        <v>166</v>
      </c>
      <c r="N211" t="s">
        <v>217</v>
      </c>
      <c r="O211" t="s">
        <v>174</v>
      </c>
      <c r="P211">
        <v>8.3734230548162245E-2</v>
      </c>
      <c r="Q211" t="s">
        <v>166</v>
      </c>
      <c r="S211" t="s">
        <v>234</v>
      </c>
      <c r="T211" t="s">
        <v>174</v>
      </c>
      <c r="U211">
        <v>9.2199819988705162E-2</v>
      </c>
      <c r="V211" t="s">
        <v>166</v>
      </c>
    </row>
    <row r="212" spans="9:22" x14ac:dyDescent="0.45">
      <c r="I212" t="s">
        <v>193</v>
      </c>
      <c r="J212" t="s">
        <v>175</v>
      </c>
      <c r="K212">
        <v>0</v>
      </c>
      <c r="L212" t="s">
        <v>166</v>
      </c>
      <c r="N212" t="s">
        <v>217</v>
      </c>
      <c r="O212" t="s">
        <v>175</v>
      </c>
      <c r="P212">
        <v>3.4127682453642512E-2</v>
      </c>
      <c r="Q212" t="s">
        <v>166</v>
      </c>
      <c r="S212" t="s">
        <v>234</v>
      </c>
      <c r="T212" t="s">
        <v>175</v>
      </c>
      <c r="U212">
        <v>4.1152087656207766E-2</v>
      </c>
      <c r="V212" t="s">
        <v>166</v>
      </c>
    </row>
    <row r="213" spans="9:22" x14ac:dyDescent="0.45">
      <c r="I213" t="s">
        <v>193</v>
      </c>
      <c r="J213" t="s">
        <v>176</v>
      </c>
      <c r="K213">
        <v>5.1908481692384614E-3</v>
      </c>
      <c r="L213" t="s">
        <v>166</v>
      </c>
      <c r="N213" t="s">
        <v>217</v>
      </c>
      <c r="O213" t="s">
        <v>176</v>
      </c>
      <c r="P213">
        <v>5.0556392920162677E-3</v>
      </c>
      <c r="Q213" t="s">
        <v>166</v>
      </c>
      <c r="S213" t="s">
        <v>234</v>
      </c>
      <c r="T213" t="s">
        <v>176</v>
      </c>
      <c r="U213">
        <v>5.984194511150254E-3</v>
      </c>
      <c r="V213" t="s">
        <v>166</v>
      </c>
    </row>
    <row r="214" spans="9:22" x14ac:dyDescent="0.45">
      <c r="I214" t="s">
        <v>193</v>
      </c>
      <c r="J214" t="s">
        <v>177</v>
      </c>
      <c r="K214">
        <v>8.2662578976991211E-2</v>
      </c>
      <c r="L214" t="s">
        <v>166</v>
      </c>
      <c r="N214" t="s">
        <v>217</v>
      </c>
      <c r="O214" t="s">
        <v>177</v>
      </c>
      <c r="P214">
        <v>6.4981689299609388E-2</v>
      </c>
      <c r="Q214" t="s">
        <v>166</v>
      </c>
      <c r="S214" t="s">
        <v>234</v>
      </c>
      <c r="T214" t="s">
        <v>177</v>
      </c>
      <c r="U214">
        <v>7.2389251903898208E-2</v>
      </c>
      <c r="V214" t="s">
        <v>166</v>
      </c>
    </row>
    <row r="215" spans="9:22" x14ac:dyDescent="0.45">
      <c r="I215" t="s">
        <v>194</v>
      </c>
      <c r="J215" t="s">
        <v>165</v>
      </c>
      <c r="K215">
        <v>1.3157670616835331E-2</v>
      </c>
      <c r="L215" t="s">
        <v>166</v>
      </c>
      <c r="S215" t="s">
        <v>235</v>
      </c>
      <c r="T215" t="s">
        <v>165</v>
      </c>
      <c r="U215">
        <v>0.24343132526832903</v>
      </c>
      <c r="V215" t="s">
        <v>166</v>
      </c>
    </row>
    <row r="216" spans="9:22" x14ac:dyDescent="0.45">
      <c r="I216" t="s">
        <v>194</v>
      </c>
      <c r="J216" t="s">
        <v>167</v>
      </c>
      <c r="K216">
        <v>3.0798649373729472E-2</v>
      </c>
      <c r="L216" t="s">
        <v>166</v>
      </c>
      <c r="S216" t="s">
        <v>235</v>
      </c>
      <c r="T216" t="s">
        <v>167</v>
      </c>
      <c r="U216">
        <v>2.6075552572598918E-2</v>
      </c>
      <c r="V216" t="s">
        <v>166</v>
      </c>
    </row>
    <row r="217" spans="9:22" x14ac:dyDescent="0.45">
      <c r="I217" t="s">
        <v>194</v>
      </c>
      <c r="J217" t="s">
        <v>168</v>
      </c>
      <c r="K217">
        <v>0.64318953170697113</v>
      </c>
      <c r="L217" t="s">
        <v>166</v>
      </c>
      <c r="S217" t="s">
        <v>235</v>
      </c>
      <c r="T217" t="s">
        <v>168</v>
      </c>
      <c r="U217">
        <v>0.39538268275602662</v>
      </c>
      <c r="V217" t="s">
        <v>166</v>
      </c>
    </row>
    <row r="218" spans="9:22" x14ac:dyDescent="0.45">
      <c r="I218" t="s">
        <v>194</v>
      </c>
      <c r="J218" t="s">
        <v>169</v>
      </c>
      <c r="K218">
        <v>5.1119637374685807E-3</v>
      </c>
      <c r="L218" t="s">
        <v>166</v>
      </c>
      <c r="S218" t="s">
        <v>235</v>
      </c>
      <c r="T218" t="s">
        <v>169</v>
      </c>
      <c r="U218">
        <v>4.4222170237873414E-2</v>
      </c>
      <c r="V218" t="s">
        <v>166</v>
      </c>
    </row>
    <row r="219" spans="9:22" x14ac:dyDescent="0.45">
      <c r="I219" t="s">
        <v>194</v>
      </c>
      <c r="J219" t="s">
        <v>170</v>
      </c>
      <c r="K219">
        <v>9.9629401008076383E-3</v>
      </c>
      <c r="L219" t="s">
        <v>166</v>
      </c>
      <c r="S219" t="s">
        <v>235</v>
      </c>
      <c r="T219" t="s">
        <v>170</v>
      </c>
      <c r="U219">
        <v>5.9920474595824705E-3</v>
      </c>
      <c r="V219" t="s">
        <v>166</v>
      </c>
    </row>
    <row r="220" spans="9:22" x14ac:dyDescent="0.45">
      <c r="I220" t="s">
        <v>194</v>
      </c>
      <c r="J220" t="s">
        <v>171</v>
      </c>
      <c r="K220">
        <v>0.15635727679196793</v>
      </c>
      <c r="L220" t="s">
        <v>166</v>
      </c>
      <c r="S220" t="s">
        <v>235</v>
      </c>
      <c r="T220" t="s">
        <v>171</v>
      </c>
      <c r="U220">
        <v>7.969776230524582E-2</v>
      </c>
      <c r="V220" t="s">
        <v>166</v>
      </c>
    </row>
    <row r="221" spans="9:22" x14ac:dyDescent="0.45">
      <c r="I221" t="s">
        <v>194</v>
      </c>
      <c r="J221" t="s">
        <v>172</v>
      </c>
      <c r="K221">
        <v>1.3376261151404299E-3</v>
      </c>
      <c r="L221" t="s">
        <v>166</v>
      </c>
      <c r="S221" t="s">
        <v>235</v>
      </c>
      <c r="T221" t="s">
        <v>172</v>
      </c>
      <c r="U221">
        <v>3.6989944069967778E-2</v>
      </c>
      <c r="V221" t="s">
        <v>166</v>
      </c>
    </row>
    <row r="222" spans="9:22" x14ac:dyDescent="0.45">
      <c r="I222" t="s">
        <v>194</v>
      </c>
      <c r="J222" t="s">
        <v>173</v>
      </c>
      <c r="K222">
        <v>3.4525746895436426E-3</v>
      </c>
      <c r="L222" t="s">
        <v>166</v>
      </c>
      <c r="S222" t="s">
        <v>235</v>
      </c>
      <c r="T222" t="s">
        <v>173</v>
      </c>
      <c r="U222">
        <v>5.1210555456289815E-3</v>
      </c>
      <c r="V222" t="s">
        <v>166</v>
      </c>
    </row>
    <row r="223" spans="9:22" x14ac:dyDescent="0.45">
      <c r="I223" t="s">
        <v>194</v>
      </c>
      <c r="J223" t="s">
        <v>174</v>
      </c>
      <c r="K223">
        <v>5.9353828683797849E-2</v>
      </c>
      <c r="L223" t="s">
        <v>166</v>
      </c>
      <c r="S223" t="s">
        <v>235</v>
      </c>
      <c r="T223" t="s">
        <v>174</v>
      </c>
      <c r="U223">
        <v>6.5327147054150936E-2</v>
      </c>
      <c r="V223" t="s">
        <v>166</v>
      </c>
    </row>
    <row r="224" spans="9:22" x14ac:dyDescent="0.45">
      <c r="I224" t="s">
        <v>194</v>
      </c>
      <c r="J224" t="s">
        <v>175</v>
      </c>
      <c r="K224">
        <v>0</v>
      </c>
      <c r="L224" t="s">
        <v>166</v>
      </c>
      <c r="S224" t="s">
        <v>235</v>
      </c>
      <c r="T224" t="s">
        <v>175</v>
      </c>
      <c r="U224">
        <v>3.4957240939458421E-2</v>
      </c>
      <c r="V224" t="s">
        <v>166</v>
      </c>
    </row>
    <row r="225" spans="9:22" x14ac:dyDescent="0.45">
      <c r="I225" t="s">
        <v>194</v>
      </c>
      <c r="J225" t="s">
        <v>176</v>
      </c>
      <c r="K225">
        <v>4.3932624179296772E-3</v>
      </c>
      <c r="L225" t="s">
        <v>166</v>
      </c>
      <c r="S225" t="s">
        <v>235</v>
      </c>
      <c r="T225" t="s">
        <v>176</v>
      </c>
      <c r="U225">
        <v>4.8258652069220814E-3</v>
      </c>
      <c r="V225" t="s">
        <v>166</v>
      </c>
    </row>
    <row r="226" spans="9:22" x14ac:dyDescent="0.45">
      <c r="I226" t="s">
        <v>194</v>
      </c>
      <c r="J226" t="s">
        <v>177</v>
      </c>
      <c r="K226">
        <v>7.2884675765806164E-2</v>
      </c>
      <c r="L226" t="s">
        <v>166</v>
      </c>
      <c r="S226" t="s">
        <v>235</v>
      </c>
      <c r="T226" t="s">
        <v>177</v>
      </c>
      <c r="U226">
        <v>5.7977206584214513E-2</v>
      </c>
      <c r="V226" t="s">
        <v>166</v>
      </c>
    </row>
    <row r="227" spans="9:22" x14ac:dyDescent="0.45">
      <c r="I227" t="s">
        <v>195</v>
      </c>
      <c r="J227" t="s">
        <v>165</v>
      </c>
      <c r="K227">
        <v>2.0258621773787549E-2</v>
      </c>
      <c r="L227" t="s">
        <v>166</v>
      </c>
      <c r="S227" t="s">
        <v>236</v>
      </c>
      <c r="T227" t="s">
        <v>165</v>
      </c>
      <c r="U227">
        <v>0.23572608468788853</v>
      </c>
      <c r="V227" t="s">
        <v>166</v>
      </c>
    </row>
    <row r="228" spans="9:22" x14ac:dyDescent="0.45">
      <c r="I228" t="s">
        <v>195</v>
      </c>
      <c r="J228" t="s">
        <v>167</v>
      </c>
      <c r="K228">
        <v>3.3812439983332283E-2</v>
      </c>
      <c r="L228" t="s">
        <v>166</v>
      </c>
      <c r="S228" t="s">
        <v>236</v>
      </c>
      <c r="T228" t="s">
        <v>167</v>
      </c>
      <c r="U228">
        <v>2.7260420791229156E-2</v>
      </c>
      <c r="V228" t="s">
        <v>166</v>
      </c>
    </row>
    <row r="229" spans="9:22" x14ac:dyDescent="0.45">
      <c r="I229" t="s">
        <v>195</v>
      </c>
      <c r="J229" t="s">
        <v>168</v>
      </c>
      <c r="K229">
        <v>0.61867796938455843</v>
      </c>
      <c r="L229" t="s">
        <v>166</v>
      </c>
      <c r="S229" t="s">
        <v>236</v>
      </c>
      <c r="T229" t="s">
        <v>168</v>
      </c>
      <c r="U229">
        <v>0.39095094272253894</v>
      </c>
      <c r="V229" t="s">
        <v>166</v>
      </c>
    </row>
    <row r="230" spans="9:22" x14ac:dyDescent="0.45">
      <c r="I230" t="s">
        <v>195</v>
      </c>
      <c r="J230" t="s">
        <v>169</v>
      </c>
      <c r="K230">
        <v>5.7972601273096145E-3</v>
      </c>
      <c r="L230" t="s">
        <v>166</v>
      </c>
      <c r="S230" t="s">
        <v>236</v>
      </c>
      <c r="T230" t="s">
        <v>169</v>
      </c>
      <c r="U230">
        <v>5.0439184079513352E-2</v>
      </c>
      <c r="V230" t="s">
        <v>166</v>
      </c>
    </row>
    <row r="231" spans="9:22" x14ac:dyDescent="0.45">
      <c r="I231" t="s">
        <v>195</v>
      </c>
      <c r="J231" t="s">
        <v>170</v>
      </c>
      <c r="K231">
        <v>1.0980701203547338E-2</v>
      </c>
      <c r="L231" t="s">
        <v>166</v>
      </c>
      <c r="S231" t="s">
        <v>236</v>
      </c>
      <c r="T231" t="s">
        <v>170</v>
      </c>
      <c r="U231">
        <v>6.6543112004198617E-3</v>
      </c>
      <c r="V231" t="s">
        <v>166</v>
      </c>
    </row>
    <row r="232" spans="9:22" x14ac:dyDescent="0.45">
      <c r="I232" t="s">
        <v>195</v>
      </c>
      <c r="J232" t="s">
        <v>171</v>
      </c>
      <c r="K232">
        <v>0.15153555567188207</v>
      </c>
      <c r="L232" t="s">
        <v>166</v>
      </c>
      <c r="S232" t="s">
        <v>236</v>
      </c>
      <c r="T232" t="s">
        <v>171</v>
      </c>
      <c r="U232">
        <v>8.5808165915915807E-2</v>
      </c>
      <c r="V232" t="s">
        <v>166</v>
      </c>
    </row>
    <row r="233" spans="9:22" x14ac:dyDescent="0.45">
      <c r="I233" t="s">
        <v>195</v>
      </c>
      <c r="J233" t="s">
        <v>172</v>
      </c>
      <c r="K233">
        <v>1.2266779664710668E-3</v>
      </c>
      <c r="L233" t="s">
        <v>166</v>
      </c>
      <c r="S233" t="s">
        <v>236</v>
      </c>
      <c r="T233" t="s">
        <v>172</v>
      </c>
      <c r="U233">
        <v>3.9076376336069626E-2</v>
      </c>
      <c r="V233" t="s">
        <v>166</v>
      </c>
    </row>
    <row r="234" spans="9:22" x14ac:dyDescent="0.45">
      <c r="I234" t="s">
        <v>195</v>
      </c>
      <c r="J234" t="s">
        <v>173</v>
      </c>
      <c r="K234">
        <v>2.8117832887487545E-3</v>
      </c>
      <c r="L234" t="s">
        <v>166</v>
      </c>
      <c r="S234" t="s">
        <v>236</v>
      </c>
      <c r="T234" t="s">
        <v>173</v>
      </c>
      <c r="U234">
        <v>5.3266323376459411E-3</v>
      </c>
      <c r="V234" t="s">
        <v>166</v>
      </c>
    </row>
    <row r="235" spans="9:22" x14ac:dyDescent="0.45">
      <c r="I235" t="s">
        <v>195</v>
      </c>
      <c r="J235" t="s">
        <v>174</v>
      </c>
      <c r="K235">
        <v>5.2313790107221536E-2</v>
      </c>
      <c r="L235" t="s">
        <v>166</v>
      </c>
      <c r="S235" t="s">
        <v>236</v>
      </c>
      <c r="T235" t="s">
        <v>174</v>
      </c>
      <c r="U235">
        <v>6.7136888103957446E-2</v>
      </c>
      <c r="V235" t="s">
        <v>166</v>
      </c>
    </row>
    <row r="236" spans="9:22" x14ac:dyDescent="0.45">
      <c r="I236" t="s">
        <v>195</v>
      </c>
      <c r="J236" t="s">
        <v>175</v>
      </c>
      <c r="K236">
        <v>1.1666032982265997E-3</v>
      </c>
      <c r="L236" t="s">
        <v>166</v>
      </c>
      <c r="S236" t="s">
        <v>236</v>
      </c>
      <c r="T236" t="s">
        <v>175</v>
      </c>
      <c r="U236">
        <v>3.4305133785063453E-2</v>
      </c>
      <c r="V236" t="s">
        <v>166</v>
      </c>
    </row>
    <row r="237" spans="9:22" x14ac:dyDescent="0.45">
      <c r="I237" t="s">
        <v>195</v>
      </c>
      <c r="J237" t="s">
        <v>176</v>
      </c>
      <c r="K237">
        <v>6.6200624172338997E-3</v>
      </c>
      <c r="L237" t="s">
        <v>166</v>
      </c>
      <c r="S237" t="s">
        <v>236</v>
      </c>
      <c r="T237" t="s">
        <v>176</v>
      </c>
      <c r="U237">
        <v>4.3471661657938287E-3</v>
      </c>
      <c r="V237" t="s">
        <v>166</v>
      </c>
    </row>
    <row r="238" spans="9:22" x14ac:dyDescent="0.45">
      <c r="I238" t="s">
        <v>195</v>
      </c>
      <c r="J238" t="s">
        <v>177</v>
      </c>
      <c r="K238">
        <v>9.4798534777682422E-2</v>
      </c>
      <c r="L238" t="s">
        <v>166</v>
      </c>
      <c r="S238" t="s">
        <v>236</v>
      </c>
      <c r="T238" t="s">
        <v>177</v>
      </c>
      <c r="U238">
        <v>5.2968693873961872E-2</v>
      </c>
      <c r="V238" t="s">
        <v>166</v>
      </c>
    </row>
    <row r="239" spans="9:22" x14ac:dyDescent="0.45">
      <c r="I239" t="s">
        <v>196</v>
      </c>
      <c r="J239" t="s">
        <v>165</v>
      </c>
      <c r="K239">
        <v>2.0418574178695015E-2</v>
      </c>
      <c r="L239" t="s">
        <v>166</v>
      </c>
      <c r="S239" t="s">
        <v>237</v>
      </c>
      <c r="T239" t="s">
        <v>165</v>
      </c>
      <c r="U239">
        <v>0.2117666039266424</v>
      </c>
      <c r="V239" t="s">
        <v>166</v>
      </c>
    </row>
    <row r="240" spans="9:22" x14ac:dyDescent="0.45">
      <c r="I240" t="s">
        <v>196</v>
      </c>
      <c r="J240" t="s">
        <v>167</v>
      </c>
      <c r="K240">
        <v>3.8059650768423499E-2</v>
      </c>
      <c r="L240" t="s">
        <v>166</v>
      </c>
      <c r="S240" t="s">
        <v>237</v>
      </c>
      <c r="T240" t="s">
        <v>167</v>
      </c>
      <c r="U240">
        <v>2.585777369472881E-2</v>
      </c>
      <c r="V240" t="s">
        <v>166</v>
      </c>
    </row>
    <row r="241" spans="9:22" x14ac:dyDescent="0.45">
      <c r="I241" t="s">
        <v>196</v>
      </c>
      <c r="J241" t="s">
        <v>168</v>
      </c>
      <c r="K241">
        <v>0.64762566565708901</v>
      </c>
      <c r="L241" t="s">
        <v>166</v>
      </c>
      <c r="S241" t="s">
        <v>237</v>
      </c>
      <c r="T241" t="s">
        <v>168</v>
      </c>
      <c r="U241">
        <v>0.37147042333140906</v>
      </c>
      <c r="V241" t="s">
        <v>166</v>
      </c>
    </row>
    <row r="242" spans="9:22" x14ac:dyDescent="0.45">
      <c r="I242" t="s">
        <v>196</v>
      </c>
      <c r="J242" t="s">
        <v>169</v>
      </c>
      <c r="K242">
        <v>5.3367163940605854E-3</v>
      </c>
      <c r="L242" t="s">
        <v>166</v>
      </c>
      <c r="S242" t="s">
        <v>237</v>
      </c>
      <c r="T242" t="s">
        <v>169</v>
      </c>
      <c r="U242">
        <v>6.0243372293111053E-2</v>
      </c>
      <c r="V242" t="s">
        <v>166</v>
      </c>
    </row>
    <row r="243" spans="9:22" x14ac:dyDescent="0.45">
      <c r="I243" t="s">
        <v>196</v>
      </c>
      <c r="J243" t="s">
        <v>170</v>
      </c>
      <c r="K243">
        <v>1.0046139232114339E-2</v>
      </c>
      <c r="L243" t="s">
        <v>166</v>
      </c>
      <c r="S243" t="s">
        <v>237</v>
      </c>
      <c r="T243" t="s">
        <v>170</v>
      </c>
      <c r="U243">
        <v>8.1826115488723723E-3</v>
      </c>
      <c r="V243" t="s">
        <v>166</v>
      </c>
    </row>
    <row r="244" spans="9:22" x14ac:dyDescent="0.45">
      <c r="I244" t="s">
        <v>196</v>
      </c>
      <c r="J244" t="s">
        <v>171</v>
      </c>
      <c r="K244">
        <v>0.13806659002211583</v>
      </c>
      <c r="L244" t="s">
        <v>166</v>
      </c>
      <c r="S244" t="s">
        <v>237</v>
      </c>
      <c r="T244" t="s">
        <v>171</v>
      </c>
      <c r="U244">
        <v>0.10256222434367121</v>
      </c>
      <c r="V244" t="s">
        <v>166</v>
      </c>
    </row>
    <row r="245" spans="9:22" x14ac:dyDescent="0.45">
      <c r="I245" t="s">
        <v>196</v>
      </c>
      <c r="J245" t="s">
        <v>172</v>
      </c>
      <c r="K245">
        <v>1.1087435624105172E-3</v>
      </c>
      <c r="L245" t="s">
        <v>166</v>
      </c>
      <c r="S245" t="s">
        <v>237</v>
      </c>
      <c r="T245" t="s">
        <v>172</v>
      </c>
      <c r="U245">
        <v>4.0618029216532625E-2</v>
      </c>
      <c r="V245" t="s">
        <v>166</v>
      </c>
    </row>
    <row r="246" spans="9:22" x14ac:dyDescent="0.45">
      <c r="I246" t="s">
        <v>196</v>
      </c>
      <c r="J246" t="s">
        <v>173</v>
      </c>
      <c r="K246">
        <v>2.4971287297368468E-3</v>
      </c>
      <c r="L246" t="s">
        <v>166</v>
      </c>
      <c r="S246" t="s">
        <v>237</v>
      </c>
      <c r="T246" t="s">
        <v>173</v>
      </c>
      <c r="U246">
        <v>5.7169444533597047E-3</v>
      </c>
      <c r="V246" t="s">
        <v>166</v>
      </c>
    </row>
    <row r="247" spans="9:22" x14ac:dyDescent="0.45">
      <c r="I247" t="s">
        <v>196</v>
      </c>
      <c r="J247" t="s">
        <v>174</v>
      </c>
      <c r="K247">
        <v>4.7164971866207203E-2</v>
      </c>
      <c r="L247" t="s">
        <v>166</v>
      </c>
      <c r="S247" t="s">
        <v>237</v>
      </c>
      <c r="T247" t="s">
        <v>174</v>
      </c>
      <c r="U247">
        <v>6.8518706638787882E-2</v>
      </c>
      <c r="V247" t="s">
        <v>166</v>
      </c>
    </row>
    <row r="248" spans="9:22" x14ac:dyDescent="0.45">
      <c r="I248" t="s">
        <v>196</v>
      </c>
      <c r="J248" t="s">
        <v>175</v>
      </c>
      <c r="K248">
        <v>1.2010668730833794E-3</v>
      </c>
      <c r="L248" t="s">
        <v>166</v>
      </c>
      <c r="S248" t="s">
        <v>237</v>
      </c>
      <c r="T248" t="s">
        <v>175</v>
      </c>
      <c r="U248">
        <v>4.0144910826712836E-2</v>
      </c>
      <c r="V248" t="s">
        <v>166</v>
      </c>
    </row>
    <row r="249" spans="9:22" x14ac:dyDescent="0.45">
      <c r="I249" t="s">
        <v>196</v>
      </c>
      <c r="J249" t="s">
        <v>176</v>
      </c>
      <c r="K249">
        <v>5.5834972100944451E-3</v>
      </c>
      <c r="L249" t="s">
        <v>166</v>
      </c>
      <c r="S249" t="s">
        <v>237</v>
      </c>
      <c r="T249" t="s">
        <v>176</v>
      </c>
      <c r="U249">
        <v>5.1550213209269275E-3</v>
      </c>
      <c r="V249" t="s">
        <v>166</v>
      </c>
    </row>
    <row r="250" spans="9:22" x14ac:dyDescent="0.45">
      <c r="I250" t="s">
        <v>196</v>
      </c>
      <c r="J250" t="s">
        <v>177</v>
      </c>
      <c r="K250">
        <v>8.2891255505970637E-2</v>
      </c>
      <c r="L250" t="s">
        <v>166</v>
      </c>
      <c r="S250" t="s">
        <v>237</v>
      </c>
      <c r="T250" t="s">
        <v>177</v>
      </c>
      <c r="U250">
        <v>5.9763378405243837E-2</v>
      </c>
      <c r="V250" t="s">
        <v>166</v>
      </c>
    </row>
    <row r="251" spans="9:22" x14ac:dyDescent="0.45">
      <c r="I251" t="s">
        <v>197</v>
      </c>
      <c r="J251" t="s">
        <v>165</v>
      </c>
      <c r="K251">
        <v>1.5317493241691238E-2</v>
      </c>
      <c r="L251" t="s">
        <v>166</v>
      </c>
      <c r="S251" t="s">
        <v>238</v>
      </c>
      <c r="T251" t="s">
        <v>165</v>
      </c>
      <c r="U251">
        <v>0.2118671620568626</v>
      </c>
      <c r="V251" t="s">
        <v>166</v>
      </c>
    </row>
    <row r="252" spans="9:22" x14ac:dyDescent="0.45">
      <c r="I252" t="s">
        <v>197</v>
      </c>
      <c r="J252" t="s">
        <v>167</v>
      </c>
      <c r="K252">
        <v>3.4286195457657702E-2</v>
      </c>
      <c r="L252" t="s">
        <v>166</v>
      </c>
      <c r="S252" t="s">
        <v>238</v>
      </c>
      <c r="T252" t="s">
        <v>167</v>
      </c>
      <c r="U252">
        <v>2.3539620292599983E-2</v>
      </c>
      <c r="V252" t="s">
        <v>166</v>
      </c>
    </row>
    <row r="253" spans="9:22" x14ac:dyDescent="0.45">
      <c r="I253" t="s">
        <v>197</v>
      </c>
      <c r="J253" t="s">
        <v>168</v>
      </c>
      <c r="K253">
        <v>0.65168063169334423</v>
      </c>
      <c r="L253" t="s">
        <v>166</v>
      </c>
      <c r="S253" t="s">
        <v>238</v>
      </c>
      <c r="T253" t="s">
        <v>168</v>
      </c>
      <c r="U253">
        <v>0.3887150184972506</v>
      </c>
      <c r="V253" t="s">
        <v>166</v>
      </c>
    </row>
    <row r="254" spans="9:22" x14ac:dyDescent="0.45">
      <c r="I254" t="s">
        <v>197</v>
      </c>
      <c r="J254" t="s">
        <v>169</v>
      </c>
      <c r="K254">
        <v>4.400728531267729E-3</v>
      </c>
      <c r="L254" t="s">
        <v>166</v>
      </c>
      <c r="S254" t="s">
        <v>238</v>
      </c>
      <c r="T254" t="s">
        <v>169</v>
      </c>
      <c r="U254">
        <v>4.6259013835088458E-2</v>
      </c>
      <c r="V254" t="s">
        <v>166</v>
      </c>
    </row>
    <row r="255" spans="9:22" x14ac:dyDescent="0.45">
      <c r="I255" t="s">
        <v>197</v>
      </c>
      <c r="J255" t="s">
        <v>170</v>
      </c>
      <c r="K255">
        <v>9.1545445025392694E-3</v>
      </c>
      <c r="L255" t="s">
        <v>166</v>
      </c>
      <c r="S255" t="s">
        <v>238</v>
      </c>
      <c r="T255" t="s">
        <v>170</v>
      </c>
      <c r="U255">
        <v>5.917819091215264E-3</v>
      </c>
      <c r="V255" t="s">
        <v>166</v>
      </c>
    </row>
    <row r="256" spans="9:22" x14ac:dyDescent="0.45">
      <c r="I256" t="s">
        <v>197</v>
      </c>
      <c r="J256" t="s">
        <v>171</v>
      </c>
      <c r="K256">
        <v>0.1398151946107086</v>
      </c>
      <c r="L256" t="s">
        <v>166</v>
      </c>
      <c r="S256" t="s">
        <v>238</v>
      </c>
      <c r="T256" t="s">
        <v>171</v>
      </c>
      <c r="U256">
        <v>8.64744939064057E-2</v>
      </c>
      <c r="V256" t="s">
        <v>166</v>
      </c>
    </row>
    <row r="257" spans="9:22" x14ac:dyDescent="0.45">
      <c r="I257" t="s">
        <v>197</v>
      </c>
      <c r="J257" t="s">
        <v>172</v>
      </c>
      <c r="K257">
        <v>8.9192587526137554E-4</v>
      </c>
      <c r="L257" t="s">
        <v>166</v>
      </c>
      <c r="S257" t="s">
        <v>238</v>
      </c>
      <c r="T257" t="s">
        <v>172</v>
      </c>
      <c r="U257">
        <v>3.8550475509995186E-2</v>
      </c>
      <c r="V257" t="s">
        <v>166</v>
      </c>
    </row>
    <row r="258" spans="9:22" x14ac:dyDescent="0.45">
      <c r="I258" t="s">
        <v>197</v>
      </c>
      <c r="J258" t="s">
        <v>173</v>
      </c>
      <c r="K258">
        <v>2.2090321617691164E-3</v>
      </c>
      <c r="L258" t="s">
        <v>166</v>
      </c>
      <c r="S258" t="s">
        <v>238</v>
      </c>
      <c r="T258" t="s">
        <v>173</v>
      </c>
      <c r="U258">
        <v>5.3189787992630883E-3</v>
      </c>
      <c r="V258" t="s">
        <v>166</v>
      </c>
    </row>
    <row r="259" spans="9:22" x14ac:dyDescent="0.45">
      <c r="I259" t="s">
        <v>197</v>
      </c>
      <c r="J259" t="s">
        <v>174</v>
      </c>
      <c r="K259">
        <v>4.5722494255319462E-2</v>
      </c>
      <c r="L259" t="s">
        <v>166</v>
      </c>
      <c r="S259" t="s">
        <v>238</v>
      </c>
      <c r="T259" t="s">
        <v>174</v>
      </c>
      <c r="U259">
        <v>7.3361531920562689E-2</v>
      </c>
      <c r="V259" t="s">
        <v>166</v>
      </c>
    </row>
    <row r="260" spans="9:22" x14ac:dyDescent="0.45">
      <c r="I260" t="s">
        <v>197</v>
      </c>
      <c r="J260" t="s">
        <v>175</v>
      </c>
      <c r="K260">
        <v>3.0974516845948876E-4</v>
      </c>
      <c r="L260" t="s">
        <v>166</v>
      </c>
      <c r="S260" t="s">
        <v>238</v>
      </c>
      <c r="T260" t="s">
        <v>175</v>
      </c>
      <c r="U260">
        <v>4.1500460108803983E-2</v>
      </c>
      <c r="V260" t="s">
        <v>166</v>
      </c>
    </row>
    <row r="261" spans="9:22" x14ac:dyDescent="0.45">
      <c r="I261" t="s">
        <v>197</v>
      </c>
      <c r="J261" t="s">
        <v>176</v>
      </c>
      <c r="K261">
        <v>5.6395436771236153E-3</v>
      </c>
      <c r="L261" t="s">
        <v>166</v>
      </c>
      <c r="S261" t="s">
        <v>238</v>
      </c>
      <c r="T261" t="s">
        <v>176</v>
      </c>
      <c r="U261">
        <v>5.7802092777342554E-3</v>
      </c>
      <c r="V261" t="s">
        <v>166</v>
      </c>
    </row>
    <row r="262" spans="9:22" x14ac:dyDescent="0.45">
      <c r="I262" t="s">
        <v>197</v>
      </c>
      <c r="J262" t="s">
        <v>177</v>
      </c>
      <c r="K262">
        <v>9.0572470824860807E-2</v>
      </c>
      <c r="L262" t="s">
        <v>166</v>
      </c>
      <c r="S262" t="s">
        <v>238</v>
      </c>
      <c r="T262" t="s">
        <v>177</v>
      </c>
      <c r="U262">
        <v>7.2715216704219474E-2</v>
      </c>
      <c r="V262" t="s">
        <v>166</v>
      </c>
    </row>
    <row r="263" spans="9:22" x14ac:dyDescent="0.45">
      <c r="I263" t="s">
        <v>198</v>
      </c>
      <c r="J263" t="s">
        <v>165</v>
      </c>
      <c r="K263">
        <v>2.6601340881863719E-2</v>
      </c>
      <c r="L263" t="s">
        <v>166</v>
      </c>
      <c r="S263" t="s">
        <v>239</v>
      </c>
      <c r="T263" t="s">
        <v>165</v>
      </c>
      <c r="U263">
        <v>0.23245155446738669</v>
      </c>
      <c r="V263" t="s">
        <v>166</v>
      </c>
    </row>
    <row r="264" spans="9:22" x14ac:dyDescent="0.45">
      <c r="I264" t="s">
        <v>198</v>
      </c>
      <c r="J264" t="s">
        <v>167</v>
      </c>
      <c r="K264">
        <v>4.077868926318922E-2</v>
      </c>
      <c r="L264" t="s">
        <v>166</v>
      </c>
      <c r="S264" t="s">
        <v>239</v>
      </c>
      <c r="T264" t="s">
        <v>167</v>
      </c>
      <c r="U264">
        <v>2.6631573607581911E-2</v>
      </c>
      <c r="V264" t="s">
        <v>166</v>
      </c>
    </row>
    <row r="265" spans="9:22" x14ac:dyDescent="0.45">
      <c r="I265" t="s">
        <v>198</v>
      </c>
      <c r="J265" t="s">
        <v>168</v>
      </c>
      <c r="K265">
        <v>0.66919654047616661</v>
      </c>
      <c r="L265" t="s">
        <v>166</v>
      </c>
      <c r="S265" t="s">
        <v>239</v>
      </c>
      <c r="T265" t="s">
        <v>168</v>
      </c>
      <c r="U265">
        <v>0.40824231396167932</v>
      </c>
      <c r="V265" t="s">
        <v>166</v>
      </c>
    </row>
    <row r="266" spans="9:22" x14ac:dyDescent="0.45">
      <c r="I266" t="s">
        <v>198</v>
      </c>
      <c r="J266" t="s">
        <v>169</v>
      </c>
      <c r="K266">
        <v>5.0403015569518046E-3</v>
      </c>
      <c r="L266" t="s">
        <v>166</v>
      </c>
      <c r="S266" t="s">
        <v>239</v>
      </c>
      <c r="T266" t="s">
        <v>169</v>
      </c>
      <c r="U266">
        <v>4.8041999826770224E-2</v>
      </c>
      <c r="V266" t="s">
        <v>166</v>
      </c>
    </row>
    <row r="267" spans="9:22" x14ac:dyDescent="0.45">
      <c r="I267" t="s">
        <v>198</v>
      </c>
      <c r="J267" t="s">
        <v>170</v>
      </c>
      <c r="K267">
        <v>9.6310843754998082E-3</v>
      </c>
      <c r="L267" t="s">
        <v>166</v>
      </c>
      <c r="S267" t="s">
        <v>239</v>
      </c>
      <c r="T267" t="s">
        <v>170</v>
      </c>
      <c r="U267">
        <v>5.6700512843321765E-3</v>
      </c>
      <c r="V267" t="s">
        <v>166</v>
      </c>
    </row>
    <row r="268" spans="9:22" x14ac:dyDescent="0.45">
      <c r="I268" t="s">
        <v>198</v>
      </c>
      <c r="J268" t="s">
        <v>171</v>
      </c>
      <c r="K268">
        <v>0.13913076930006685</v>
      </c>
      <c r="L268" t="s">
        <v>166</v>
      </c>
      <c r="S268" t="s">
        <v>239</v>
      </c>
      <c r="T268" t="s">
        <v>171</v>
      </c>
      <c r="U268">
        <v>8.4968054309877472E-2</v>
      </c>
      <c r="V268" t="s">
        <v>166</v>
      </c>
    </row>
    <row r="269" spans="9:22" x14ac:dyDescent="0.45">
      <c r="I269" t="s">
        <v>198</v>
      </c>
      <c r="J269" t="s">
        <v>172</v>
      </c>
      <c r="K269">
        <v>1.1140840686219512E-3</v>
      </c>
      <c r="L269" t="s">
        <v>166</v>
      </c>
      <c r="S269" t="s">
        <v>239</v>
      </c>
      <c r="T269" t="s">
        <v>172</v>
      </c>
      <c r="U269">
        <v>3.5505599619277767E-2</v>
      </c>
      <c r="V269" t="s">
        <v>166</v>
      </c>
    </row>
    <row r="270" spans="9:22" x14ac:dyDescent="0.45">
      <c r="I270" t="s">
        <v>198</v>
      </c>
      <c r="J270" t="s">
        <v>173</v>
      </c>
      <c r="K270">
        <v>2.4282784170506872E-3</v>
      </c>
      <c r="L270" t="s">
        <v>166</v>
      </c>
      <c r="S270" t="s">
        <v>239</v>
      </c>
      <c r="T270" t="s">
        <v>173</v>
      </c>
      <c r="U270">
        <v>4.7672753823561394E-3</v>
      </c>
      <c r="V270" t="s">
        <v>166</v>
      </c>
    </row>
    <row r="271" spans="9:22" x14ac:dyDescent="0.45">
      <c r="I271" t="s">
        <v>198</v>
      </c>
      <c r="J271" t="s">
        <v>174</v>
      </c>
      <c r="K271">
        <v>4.623911249446111E-2</v>
      </c>
      <c r="L271" t="s">
        <v>166</v>
      </c>
      <c r="S271" t="s">
        <v>239</v>
      </c>
      <c r="T271" t="s">
        <v>174</v>
      </c>
      <c r="U271">
        <v>6.2603428049563065E-2</v>
      </c>
      <c r="V271" t="s">
        <v>166</v>
      </c>
    </row>
    <row r="272" spans="9:22" x14ac:dyDescent="0.45">
      <c r="I272" t="s">
        <v>198</v>
      </c>
      <c r="J272" t="s">
        <v>175</v>
      </c>
      <c r="K272">
        <v>1.167836849000476E-3</v>
      </c>
      <c r="L272" t="s">
        <v>166</v>
      </c>
      <c r="S272" t="s">
        <v>239</v>
      </c>
      <c r="T272" t="s">
        <v>175</v>
      </c>
      <c r="U272">
        <v>3.1678964676430728E-2</v>
      </c>
      <c r="V272" t="s">
        <v>166</v>
      </c>
    </row>
    <row r="273" spans="9:22" x14ac:dyDescent="0.45">
      <c r="I273" t="s">
        <v>198</v>
      </c>
      <c r="J273" t="s">
        <v>176</v>
      </c>
      <c r="K273">
        <v>3.1366202933521773E-3</v>
      </c>
      <c r="L273" t="s">
        <v>166</v>
      </c>
      <c r="S273" t="s">
        <v>239</v>
      </c>
      <c r="T273" t="s">
        <v>176</v>
      </c>
      <c r="U273">
        <v>4.3930837582876938E-3</v>
      </c>
      <c r="V273" t="s">
        <v>166</v>
      </c>
    </row>
    <row r="274" spans="9:22" x14ac:dyDescent="0.45">
      <c r="I274" t="s">
        <v>198</v>
      </c>
      <c r="J274" t="s">
        <v>177</v>
      </c>
      <c r="K274">
        <v>5.5535342023775594E-2</v>
      </c>
      <c r="L274" t="s">
        <v>166</v>
      </c>
      <c r="S274" t="s">
        <v>239</v>
      </c>
      <c r="T274" t="s">
        <v>177</v>
      </c>
      <c r="U274">
        <v>5.5046101056457485E-2</v>
      </c>
      <c r="V274" t="s">
        <v>166</v>
      </c>
    </row>
    <row r="275" spans="9:22" x14ac:dyDescent="0.45">
      <c r="I275" t="s">
        <v>199</v>
      </c>
      <c r="J275" t="s">
        <v>165</v>
      </c>
      <c r="K275">
        <v>1.3205294485092188E-2</v>
      </c>
      <c r="L275" t="s">
        <v>166</v>
      </c>
    </row>
    <row r="276" spans="9:22" x14ac:dyDescent="0.45">
      <c r="I276" t="s">
        <v>199</v>
      </c>
      <c r="J276" t="s">
        <v>167</v>
      </c>
      <c r="K276">
        <v>3.4647467444625796E-2</v>
      </c>
      <c r="L276" t="s">
        <v>166</v>
      </c>
    </row>
    <row r="277" spans="9:22" x14ac:dyDescent="0.45">
      <c r="I277" t="s">
        <v>199</v>
      </c>
      <c r="J277" t="s">
        <v>168</v>
      </c>
      <c r="K277">
        <v>0.63503925825772434</v>
      </c>
      <c r="L277" t="s">
        <v>166</v>
      </c>
    </row>
    <row r="278" spans="9:22" x14ac:dyDescent="0.45">
      <c r="I278" t="s">
        <v>199</v>
      </c>
      <c r="J278" t="s">
        <v>169</v>
      </c>
      <c r="K278">
        <v>4.4978564520319342E-3</v>
      </c>
      <c r="L278" t="s">
        <v>166</v>
      </c>
    </row>
    <row r="279" spans="9:22" x14ac:dyDescent="0.45">
      <c r="I279" t="s">
        <v>199</v>
      </c>
      <c r="J279" t="s">
        <v>170</v>
      </c>
      <c r="K279">
        <v>9.0634359444570836E-3</v>
      </c>
      <c r="L279" t="s">
        <v>166</v>
      </c>
    </row>
    <row r="280" spans="9:22" x14ac:dyDescent="0.45">
      <c r="I280" t="s">
        <v>199</v>
      </c>
      <c r="J280" t="s">
        <v>171</v>
      </c>
      <c r="K280">
        <v>0.13757883706968571</v>
      </c>
      <c r="L280" t="s">
        <v>166</v>
      </c>
    </row>
    <row r="281" spans="9:22" x14ac:dyDescent="0.45">
      <c r="I281" t="s">
        <v>199</v>
      </c>
      <c r="J281" t="s">
        <v>172</v>
      </c>
      <c r="K281">
        <v>1.4804900051733287E-3</v>
      </c>
      <c r="L281" t="s">
        <v>166</v>
      </c>
    </row>
    <row r="282" spans="9:22" x14ac:dyDescent="0.45">
      <c r="I282" t="s">
        <v>199</v>
      </c>
      <c r="J282" t="s">
        <v>173</v>
      </c>
      <c r="K282">
        <v>3.3848126181282245E-3</v>
      </c>
      <c r="L282" t="s">
        <v>166</v>
      </c>
    </row>
    <row r="283" spans="9:22" x14ac:dyDescent="0.45">
      <c r="I283" t="s">
        <v>199</v>
      </c>
      <c r="J283" t="s">
        <v>174</v>
      </c>
      <c r="K283">
        <v>6.1115815977820467E-2</v>
      </c>
      <c r="L283" t="s">
        <v>166</v>
      </c>
    </row>
    <row r="284" spans="9:22" x14ac:dyDescent="0.45">
      <c r="I284" t="s">
        <v>199</v>
      </c>
      <c r="J284" t="s">
        <v>175</v>
      </c>
      <c r="K284">
        <v>4.8152947063763571E-4</v>
      </c>
      <c r="L284" t="s">
        <v>166</v>
      </c>
    </row>
    <row r="285" spans="9:22" x14ac:dyDescent="0.45">
      <c r="I285" t="s">
        <v>199</v>
      </c>
      <c r="J285" t="s">
        <v>176</v>
      </c>
      <c r="K285">
        <v>6.152018745650043E-3</v>
      </c>
      <c r="L285" t="s">
        <v>166</v>
      </c>
    </row>
    <row r="286" spans="9:22" x14ac:dyDescent="0.45">
      <c r="I286" t="s">
        <v>199</v>
      </c>
      <c r="J286" t="s">
        <v>177</v>
      </c>
      <c r="K286">
        <v>9.3353183528974232E-2</v>
      </c>
      <c r="L286" t="s">
        <v>166</v>
      </c>
    </row>
    <row r="287" spans="9:22" x14ac:dyDescent="0.45">
      <c r="I287" t="s">
        <v>200</v>
      </c>
      <c r="J287" t="s">
        <v>165</v>
      </c>
      <c r="K287">
        <v>1.8899945496478884E-2</v>
      </c>
      <c r="L287" t="s">
        <v>166</v>
      </c>
    </row>
    <row r="288" spans="9:22" x14ac:dyDescent="0.45">
      <c r="I288" t="s">
        <v>200</v>
      </c>
      <c r="J288" t="s">
        <v>167</v>
      </c>
      <c r="K288">
        <v>3.7869205602734074E-2</v>
      </c>
      <c r="L288" t="s">
        <v>166</v>
      </c>
    </row>
    <row r="289" spans="9:12" x14ac:dyDescent="0.45">
      <c r="I289" t="s">
        <v>200</v>
      </c>
      <c r="J289" t="s">
        <v>168</v>
      </c>
      <c r="K289">
        <v>0.6482088016690829</v>
      </c>
      <c r="L289" t="s">
        <v>166</v>
      </c>
    </row>
    <row r="290" spans="9:12" x14ac:dyDescent="0.45">
      <c r="I290" t="s">
        <v>200</v>
      </c>
      <c r="J290" t="s">
        <v>169</v>
      </c>
      <c r="K290">
        <v>4.8703029926022929E-3</v>
      </c>
      <c r="L290" t="s">
        <v>166</v>
      </c>
    </row>
    <row r="291" spans="9:12" x14ac:dyDescent="0.45">
      <c r="I291" t="s">
        <v>200</v>
      </c>
      <c r="J291" t="s">
        <v>170</v>
      </c>
      <c r="K291">
        <v>1.0010487388460058E-2</v>
      </c>
      <c r="L291" t="s">
        <v>166</v>
      </c>
    </row>
    <row r="292" spans="9:12" x14ac:dyDescent="0.45">
      <c r="I292" t="s">
        <v>200</v>
      </c>
      <c r="J292" t="s">
        <v>171</v>
      </c>
      <c r="K292">
        <v>0.13342106275945445</v>
      </c>
      <c r="L292" t="s">
        <v>166</v>
      </c>
    </row>
    <row r="293" spans="9:12" x14ac:dyDescent="0.45">
      <c r="I293" t="s">
        <v>200</v>
      </c>
      <c r="J293" t="s">
        <v>172</v>
      </c>
      <c r="K293">
        <v>1.7260697778933107E-3</v>
      </c>
      <c r="L293" t="s">
        <v>166</v>
      </c>
    </row>
    <row r="294" spans="9:12" x14ac:dyDescent="0.45">
      <c r="I294" t="s">
        <v>200</v>
      </c>
      <c r="J294" t="s">
        <v>173</v>
      </c>
      <c r="K294">
        <v>3.7466450895406902E-3</v>
      </c>
      <c r="L294" t="s">
        <v>166</v>
      </c>
    </row>
    <row r="295" spans="9:12" x14ac:dyDescent="0.45">
      <c r="I295" t="s">
        <v>200</v>
      </c>
      <c r="J295" t="s">
        <v>174</v>
      </c>
      <c r="K295">
        <v>5.7699826489346413E-2</v>
      </c>
      <c r="L295" t="s">
        <v>166</v>
      </c>
    </row>
    <row r="296" spans="9:12" x14ac:dyDescent="0.45">
      <c r="I296" t="s">
        <v>200</v>
      </c>
      <c r="J296" t="s">
        <v>175</v>
      </c>
      <c r="K296">
        <v>1.6680372801562674E-3</v>
      </c>
      <c r="L296" t="s">
        <v>166</v>
      </c>
    </row>
    <row r="297" spans="9:12" x14ac:dyDescent="0.45">
      <c r="I297" t="s">
        <v>200</v>
      </c>
      <c r="J297" t="s">
        <v>176</v>
      </c>
      <c r="K297">
        <v>5.2888323870025605E-3</v>
      </c>
      <c r="L297" t="s">
        <v>166</v>
      </c>
    </row>
    <row r="298" spans="9:12" x14ac:dyDescent="0.45">
      <c r="I298" t="s">
        <v>200</v>
      </c>
      <c r="J298" t="s">
        <v>177</v>
      </c>
      <c r="K298">
        <v>7.659078306724694E-2</v>
      </c>
      <c r="L298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C639-34B8-41C5-9033-252DE142D304}">
  <dimension ref="A9:AN116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240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246</v>
      </c>
      <c r="AK10" t="s">
        <v>47</v>
      </c>
      <c r="AL10" t="s">
        <v>121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250</v>
      </c>
      <c r="G11" t="s">
        <v>155</v>
      </c>
      <c r="I11" t="s">
        <v>164</v>
      </c>
      <c r="J11" t="s">
        <v>165</v>
      </c>
      <c r="K11">
        <v>9.8902613911249129E-3</v>
      </c>
      <c r="L11" t="s">
        <v>166</v>
      </c>
      <c r="N11" t="s">
        <v>201</v>
      </c>
      <c r="O11" t="s">
        <v>165</v>
      </c>
      <c r="P11">
        <v>0.10128318728230271</v>
      </c>
      <c r="Q11" t="s">
        <v>166</v>
      </c>
      <c r="S11" t="s">
        <v>218</v>
      </c>
      <c r="T11" t="s">
        <v>165</v>
      </c>
      <c r="U11">
        <v>0.13563663990925745</v>
      </c>
      <c r="V11" t="s">
        <v>166</v>
      </c>
      <c r="X11">
        <v>0.1095890410958904</v>
      </c>
      <c r="Y11">
        <v>6.0741366879645972E-2</v>
      </c>
      <c r="Z11" t="s">
        <v>165</v>
      </c>
      <c r="AA11" t="s">
        <v>25</v>
      </c>
      <c r="AC11" t="s">
        <v>22</v>
      </c>
      <c r="AD11" t="s">
        <v>165</v>
      </c>
      <c r="AE11">
        <v>0.12510385368235508</v>
      </c>
      <c r="AG11" t="s">
        <v>96</v>
      </c>
      <c r="AH11" t="s">
        <v>165</v>
      </c>
      <c r="AI11">
        <v>0.20300166794455676</v>
      </c>
      <c r="AK11">
        <v>2020</v>
      </c>
      <c r="AL11" t="s">
        <v>154</v>
      </c>
      <c r="AM11">
        <v>0.19299392768212592</v>
      </c>
      <c r="AN11" t="s">
        <v>249</v>
      </c>
    </row>
    <row r="12" spans="1:40" x14ac:dyDescent="0.45">
      <c r="C12" t="s">
        <v>158</v>
      </c>
      <c r="E12" t="s">
        <v>159</v>
      </c>
      <c r="G12" t="s">
        <v>155</v>
      </c>
      <c r="I12" t="s">
        <v>164</v>
      </c>
      <c r="J12" t="s">
        <v>167</v>
      </c>
      <c r="K12">
        <v>2.0868387073023329E-2</v>
      </c>
      <c r="L12" t="s">
        <v>166</v>
      </c>
      <c r="N12" t="s">
        <v>201</v>
      </c>
      <c r="O12" t="s">
        <v>167</v>
      </c>
      <c r="P12">
        <v>1.3154191295972631E-2</v>
      </c>
      <c r="Q12" t="s">
        <v>166</v>
      </c>
      <c r="S12" t="s">
        <v>218</v>
      </c>
      <c r="T12" t="s">
        <v>167</v>
      </c>
      <c r="U12">
        <v>1.9029841693494975E-2</v>
      </c>
      <c r="V12" t="s">
        <v>166</v>
      </c>
      <c r="X12">
        <v>1.3698630136986301E-2</v>
      </c>
      <c r="Y12">
        <v>1.7502423986276511E-2</v>
      </c>
      <c r="Z12" t="s">
        <v>167</v>
      </c>
      <c r="AA12" t="s">
        <v>25</v>
      </c>
      <c r="AC12" t="s">
        <v>22</v>
      </c>
      <c r="AD12" t="s">
        <v>167</v>
      </c>
      <c r="AE12">
        <v>1.715330230442319E-2</v>
      </c>
      <c r="AG12" t="s">
        <v>96</v>
      </c>
      <c r="AH12" t="s">
        <v>167</v>
      </c>
      <c r="AI12">
        <v>0.147555890414518</v>
      </c>
      <c r="AK12">
        <v>2020</v>
      </c>
      <c r="AL12" t="s">
        <v>158</v>
      </c>
      <c r="AM12">
        <v>0.26597667668598229</v>
      </c>
      <c r="AN12" t="s">
        <v>249</v>
      </c>
    </row>
    <row r="13" spans="1:40" x14ac:dyDescent="0.45">
      <c r="C13" t="s">
        <v>160</v>
      </c>
      <c r="E13" t="s">
        <v>161</v>
      </c>
      <c r="G13" t="s">
        <v>155</v>
      </c>
      <c r="I13" t="s">
        <v>164</v>
      </c>
      <c r="J13" t="s">
        <v>168</v>
      </c>
      <c r="K13">
        <v>0.26830272689360563</v>
      </c>
      <c r="L13" t="s">
        <v>166</v>
      </c>
      <c r="N13" t="s">
        <v>201</v>
      </c>
      <c r="O13" t="s">
        <v>168</v>
      </c>
      <c r="P13">
        <v>8.8658107143820844E-2</v>
      </c>
      <c r="Q13" t="s">
        <v>166</v>
      </c>
      <c r="S13" t="s">
        <v>218</v>
      </c>
      <c r="T13" t="s">
        <v>168</v>
      </c>
      <c r="U13">
        <v>0.13292635644492939</v>
      </c>
      <c r="V13" t="s">
        <v>166</v>
      </c>
      <c r="X13">
        <v>9.5890410958904104E-2</v>
      </c>
      <c r="Y13">
        <v>0.12482410561121748</v>
      </c>
      <c r="Z13" t="s">
        <v>168</v>
      </c>
      <c r="AA13" t="s">
        <v>25</v>
      </c>
      <c r="AC13" t="s">
        <v>22</v>
      </c>
      <c r="AD13" t="s">
        <v>168</v>
      </c>
      <c r="AE13">
        <v>0.1206173703093615</v>
      </c>
      <c r="AG13" t="s">
        <v>96</v>
      </c>
      <c r="AH13" t="s">
        <v>168</v>
      </c>
      <c r="AI13">
        <v>0.22179133362626091</v>
      </c>
      <c r="AK13">
        <v>2020</v>
      </c>
      <c r="AL13" t="s">
        <v>160</v>
      </c>
      <c r="AM13">
        <v>0.38891557263315191</v>
      </c>
      <c r="AN13" t="s">
        <v>249</v>
      </c>
    </row>
    <row r="14" spans="1:40" x14ac:dyDescent="0.45">
      <c r="C14" t="s">
        <v>162</v>
      </c>
      <c r="E14" t="s">
        <v>251</v>
      </c>
      <c r="G14" t="s">
        <v>155</v>
      </c>
      <c r="I14" t="s">
        <v>164</v>
      </c>
      <c r="J14" t="s">
        <v>258</v>
      </c>
      <c r="K14">
        <v>2.8905747251129963E-2</v>
      </c>
      <c r="L14" t="s">
        <v>166</v>
      </c>
      <c r="N14" t="s">
        <v>201</v>
      </c>
      <c r="O14" t="s">
        <v>258</v>
      </c>
      <c r="P14">
        <v>1.2924575068304162E-2</v>
      </c>
      <c r="Q14" t="s">
        <v>166</v>
      </c>
      <c r="S14" t="s">
        <v>218</v>
      </c>
      <c r="T14" t="s">
        <v>258</v>
      </c>
      <c r="U14">
        <v>1.8653570078246019E-2</v>
      </c>
      <c r="V14" t="s">
        <v>166</v>
      </c>
      <c r="X14">
        <v>1.3698630136986301E-2</v>
      </c>
      <c r="Y14">
        <v>2.6651418342739236E-2</v>
      </c>
      <c r="Z14" t="s">
        <v>258</v>
      </c>
      <c r="AA14" t="s">
        <v>25</v>
      </c>
      <c r="AC14" t="s">
        <v>22</v>
      </c>
      <c r="AD14" t="s">
        <v>258</v>
      </c>
      <c r="AE14">
        <v>1.0043424086527914E-2</v>
      </c>
      <c r="AG14" t="s">
        <v>96</v>
      </c>
      <c r="AH14" t="s">
        <v>258</v>
      </c>
      <c r="AI14">
        <v>0.25426200939536292</v>
      </c>
      <c r="AK14">
        <v>2020</v>
      </c>
      <c r="AL14" t="s">
        <v>162</v>
      </c>
      <c r="AM14">
        <v>0.49515560926735042</v>
      </c>
      <c r="AN14" t="s">
        <v>249</v>
      </c>
    </row>
    <row r="15" spans="1:40" x14ac:dyDescent="0.45">
      <c r="C15" t="s">
        <v>252</v>
      </c>
      <c r="E15" t="s">
        <v>253</v>
      </c>
      <c r="G15" t="s">
        <v>155</v>
      </c>
      <c r="I15" t="s">
        <v>164</v>
      </c>
      <c r="J15" t="s">
        <v>259</v>
      </c>
      <c r="K15">
        <v>3.0598647927608653E-2</v>
      </c>
      <c r="L15" t="s">
        <v>166</v>
      </c>
      <c r="N15" t="s">
        <v>201</v>
      </c>
      <c r="O15" t="s">
        <v>259</v>
      </c>
      <c r="P15">
        <v>2.3344119977540632E-2</v>
      </c>
      <c r="Q15" t="s">
        <v>166</v>
      </c>
      <c r="S15" t="s">
        <v>218</v>
      </c>
      <c r="T15" t="s">
        <v>259</v>
      </c>
      <c r="U15">
        <v>3.3107985811548633E-2</v>
      </c>
      <c r="V15" t="s">
        <v>166</v>
      </c>
      <c r="X15">
        <v>2.7397260273972601E-2</v>
      </c>
      <c r="Y15">
        <v>4.7336101235611466E-2</v>
      </c>
      <c r="Z15" t="s">
        <v>259</v>
      </c>
      <c r="AA15" t="s">
        <v>25</v>
      </c>
      <c r="AC15" t="s">
        <v>22</v>
      </c>
      <c r="AD15" t="s">
        <v>259</v>
      </c>
      <c r="AE15">
        <v>1.599947102403159E-2</v>
      </c>
      <c r="AG15" t="s">
        <v>96</v>
      </c>
      <c r="AH15" t="s">
        <v>259</v>
      </c>
      <c r="AI15">
        <v>0.32650990263988233</v>
      </c>
      <c r="AK15">
        <v>2020</v>
      </c>
      <c r="AL15" t="s">
        <v>252</v>
      </c>
      <c r="AM15">
        <v>0.6333085432741471</v>
      </c>
      <c r="AN15" t="s">
        <v>249</v>
      </c>
    </row>
    <row r="16" spans="1:40" x14ac:dyDescent="0.45">
      <c r="C16" t="s">
        <v>254</v>
      </c>
      <c r="E16" t="s">
        <v>255</v>
      </c>
      <c r="G16" t="s">
        <v>155</v>
      </c>
      <c r="I16" t="s">
        <v>164</v>
      </c>
      <c r="J16" t="s">
        <v>260</v>
      </c>
      <c r="K16">
        <v>0</v>
      </c>
      <c r="L16" t="s">
        <v>166</v>
      </c>
      <c r="N16" t="s">
        <v>201</v>
      </c>
      <c r="O16" t="s">
        <v>260</v>
      </c>
      <c r="P16">
        <v>6.6579859272259109E-2</v>
      </c>
      <c r="Q16" t="s">
        <v>166</v>
      </c>
      <c r="S16" t="s">
        <v>218</v>
      </c>
      <c r="T16" t="s">
        <v>260</v>
      </c>
      <c r="U16">
        <v>9.0760947756552357E-2</v>
      </c>
      <c r="V16" t="s">
        <v>166</v>
      </c>
      <c r="X16">
        <v>6.8493150684931503E-2</v>
      </c>
      <c r="Y16">
        <v>5.1711707232180597E-2</v>
      </c>
      <c r="Z16" t="s">
        <v>260</v>
      </c>
      <c r="AA16" t="s">
        <v>25</v>
      </c>
      <c r="AC16" t="s">
        <v>22</v>
      </c>
      <c r="AD16" t="s">
        <v>260</v>
      </c>
      <c r="AE16">
        <v>4.1368286966549886E-2</v>
      </c>
      <c r="AG16" t="s">
        <v>96</v>
      </c>
      <c r="AH16" t="s">
        <v>260</v>
      </c>
      <c r="AI16">
        <v>0.29341938501943043</v>
      </c>
      <c r="AK16">
        <v>2020</v>
      </c>
      <c r="AL16" t="s">
        <v>254</v>
      </c>
      <c r="AM16">
        <v>0.65208400042693992</v>
      </c>
      <c r="AN16" t="s">
        <v>249</v>
      </c>
    </row>
    <row r="17" spans="3:40" x14ac:dyDescent="0.45">
      <c r="C17" t="s">
        <v>256</v>
      </c>
      <c r="I17" t="s">
        <v>164</v>
      </c>
      <c r="J17" t="s">
        <v>169</v>
      </c>
      <c r="K17">
        <v>8.0296742519506102E-3</v>
      </c>
      <c r="L17" t="s">
        <v>166</v>
      </c>
      <c r="N17" t="s">
        <v>201</v>
      </c>
      <c r="O17" t="s">
        <v>169</v>
      </c>
      <c r="P17">
        <v>3.3485135182854259E-2</v>
      </c>
      <c r="Q17" t="s">
        <v>166</v>
      </c>
      <c r="S17" t="s">
        <v>218</v>
      </c>
      <c r="T17" t="s">
        <v>169</v>
      </c>
      <c r="U17">
        <v>5.1605724359319958E-3</v>
      </c>
      <c r="V17" t="s">
        <v>166</v>
      </c>
      <c r="X17">
        <v>2.8310502283105023E-2</v>
      </c>
      <c r="Y17">
        <v>1.5691519777241876E-2</v>
      </c>
      <c r="Z17" t="s">
        <v>169</v>
      </c>
      <c r="AA17" t="s">
        <v>25</v>
      </c>
      <c r="AC17" t="s">
        <v>22</v>
      </c>
      <c r="AD17" t="s">
        <v>169</v>
      </c>
      <c r="AE17">
        <v>3.7958726365841557E-2</v>
      </c>
      <c r="AG17" t="s">
        <v>96</v>
      </c>
      <c r="AH17" t="s">
        <v>169</v>
      </c>
      <c r="AI17">
        <v>0.10619153699380157</v>
      </c>
      <c r="AK17">
        <v>2020</v>
      </c>
      <c r="AL17" t="s">
        <v>256</v>
      </c>
      <c r="AM17">
        <v>0.52967232362045058</v>
      </c>
      <c r="AN17" t="s">
        <v>249</v>
      </c>
    </row>
    <row r="18" spans="3:40" x14ac:dyDescent="0.45">
      <c r="C18" t="s">
        <v>257</v>
      </c>
      <c r="I18" t="s">
        <v>164</v>
      </c>
      <c r="J18" t="s">
        <v>170</v>
      </c>
      <c r="K18">
        <v>8.0241047798937457E-3</v>
      </c>
      <c r="L18" t="s">
        <v>166</v>
      </c>
      <c r="N18" t="s">
        <v>201</v>
      </c>
      <c r="O18" t="s">
        <v>170</v>
      </c>
      <c r="P18">
        <v>3.2903992635660963E-3</v>
      </c>
      <c r="Q18" t="s">
        <v>166</v>
      </c>
      <c r="S18" t="s">
        <v>218</v>
      </c>
      <c r="T18" t="s">
        <v>170</v>
      </c>
      <c r="U18">
        <v>8.0810956878447796E-4</v>
      </c>
      <c r="V18" t="s">
        <v>166</v>
      </c>
      <c r="X18">
        <v>3.5388127853881279E-3</v>
      </c>
      <c r="Y18">
        <v>4.521459529788099E-3</v>
      </c>
      <c r="Z18" t="s">
        <v>170</v>
      </c>
      <c r="AA18" t="s">
        <v>25</v>
      </c>
      <c r="AC18" t="s">
        <v>22</v>
      </c>
      <c r="AD18" t="s">
        <v>170</v>
      </c>
      <c r="AE18">
        <v>5.0939189604363539E-3</v>
      </c>
      <c r="AG18" t="s">
        <v>96</v>
      </c>
      <c r="AH18" t="s">
        <v>170</v>
      </c>
      <c r="AI18">
        <v>6.3200058018554772E-2</v>
      </c>
      <c r="AK18">
        <v>2020</v>
      </c>
      <c r="AL18" t="s">
        <v>257</v>
      </c>
      <c r="AM18">
        <v>0.59715637362750873</v>
      </c>
      <c r="AN18" t="s">
        <v>249</v>
      </c>
    </row>
    <row r="19" spans="3:40" x14ac:dyDescent="0.45">
      <c r="I19" t="s">
        <v>164</v>
      </c>
      <c r="J19" t="s">
        <v>171</v>
      </c>
      <c r="K19">
        <v>7.9919358437761781E-2</v>
      </c>
      <c r="L19" t="s">
        <v>166</v>
      </c>
      <c r="N19" t="s">
        <v>201</v>
      </c>
      <c r="O19" t="s">
        <v>171</v>
      </c>
      <c r="P19">
        <v>2.3076912135869657E-2</v>
      </c>
      <c r="Q19" t="s">
        <v>166</v>
      </c>
      <c r="S19" t="s">
        <v>218</v>
      </c>
      <c r="T19" t="s">
        <v>171</v>
      </c>
      <c r="U19">
        <v>6.2204645490692686E-3</v>
      </c>
      <c r="V19" t="s">
        <v>166</v>
      </c>
      <c r="X19">
        <v>2.4771689497716895E-2</v>
      </c>
      <c r="Y19">
        <v>3.2246227282897846E-2</v>
      </c>
      <c r="Z19" t="s">
        <v>171</v>
      </c>
      <c r="AA19" t="s">
        <v>25</v>
      </c>
      <c r="AC19" t="s">
        <v>22</v>
      </c>
      <c r="AD19" t="s">
        <v>171</v>
      </c>
      <c r="AE19">
        <v>3.5541823707056948E-2</v>
      </c>
      <c r="AG19" t="s">
        <v>96</v>
      </c>
      <c r="AH19" t="s">
        <v>171</v>
      </c>
      <c r="AI19">
        <v>0.14177772213782203</v>
      </c>
      <c r="AK19">
        <v>2021</v>
      </c>
      <c r="AL19" t="s">
        <v>154</v>
      </c>
      <c r="AM19">
        <v>0.29483882391814031</v>
      </c>
      <c r="AN19" t="s">
        <v>249</v>
      </c>
    </row>
    <row r="20" spans="3:40" x14ac:dyDescent="0.45">
      <c r="I20" t="s">
        <v>164</v>
      </c>
      <c r="J20" t="s">
        <v>261</v>
      </c>
      <c r="K20">
        <v>7.5687154847560835E-3</v>
      </c>
      <c r="L20" t="s">
        <v>166</v>
      </c>
      <c r="N20" t="s">
        <v>201</v>
      </c>
      <c r="O20" t="s">
        <v>261</v>
      </c>
      <c r="P20">
        <v>3.7700223883192874E-3</v>
      </c>
      <c r="Q20" t="s">
        <v>166</v>
      </c>
      <c r="S20" t="s">
        <v>218</v>
      </c>
      <c r="T20" t="s">
        <v>261</v>
      </c>
      <c r="U20">
        <v>7.5190176508694489E-4</v>
      </c>
      <c r="V20" t="s">
        <v>166</v>
      </c>
      <c r="X20">
        <v>3.5388127853881279E-3</v>
      </c>
      <c r="Y20">
        <v>6.8849497385409693E-3</v>
      </c>
      <c r="Z20" t="s">
        <v>261</v>
      </c>
      <c r="AA20" t="s">
        <v>25</v>
      </c>
      <c r="AC20" t="s">
        <v>22</v>
      </c>
      <c r="AD20" t="s">
        <v>261</v>
      </c>
      <c r="AE20">
        <v>3.7014755276286973E-3</v>
      </c>
      <c r="AG20" t="s">
        <v>96</v>
      </c>
      <c r="AH20" t="s">
        <v>261</v>
      </c>
      <c r="AI20">
        <v>9.7099819314871327E-2</v>
      </c>
      <c r="AK20">
        <v>2021</v>
      </c>
      <c r="AL20" t="s">
        <v>158</v>
      </c>
      <c r="AM20">
        <v>0.34570999729337371</v>
      </c>
      <c r="AN20" t="s">
        <v>249</v>
      </c>
    </row>
    <row r="21" spans="3:40" x14ac:dyDescent="0.45">
      <c r="I21" t="s">
        <v>164</v>
      </c>
      <c r="J21" t="s">
        <v>262</v>
      </c>
      <c r="K21">
        <v>9.095379644490564E-3</v>
      </c>
      <c r="L21" t="s">
        <v>166</v>
      </c>
      <c r="N21" t="s">
        <v>201</v>
      </c>
      <c r="O21" t="s">
        <v>262</v>
      </c>
      <c r="P21">
        <v>6.528513345909483E-3</v>
      </c>
      <c r="Q21" t="s">
        <v>166</v>
      </c>
      <c r="S21" t="s">
        <v>218</v>
      </c>
      <c r="T21" t="s">
        <v>262</v>
      </c>
      <c r="U21">
        <v>9.2505061234037476E-4</v>
      </c>
      <c r="V21" t="s">
        <v>166</v>
      </c>
      <c r="X21">
        <v>7.0776255707762558E-3</v>
      </c>
      <c r="Y21">
        <v>1.2228492819199624E-2</v>
      </c>
      <c r="Z21" t="s">
        <v>262</v>
      </c>
      <c r="AA21" t="s">
        <v>25</v>
      </c>
      <c r="AC21" t="s">
        <v>22</v>
      </c>
      <c r="AD21" t="s">
        <v>262</v>
      </c>
      <c r="AE21">
        <v>6.9321867491965441E-3</v>
      </c>
      <c r="AG21" t="s">
        <v>96</v>
      </c>
      <c r="AH21" t="s">
        <v>262</v>
      </c>
      <c r="AI21">
        <v>5.7567770035908072E-2</v>
      </c>
      <c r="AK21">
        <v>2021</v>
      </c>
      <c r="AL21" t="s">
        <v>160</v>
      </c>
      <c r="AM21">
        <v>0.40999237223493512</v>
      </c>
      <c r="AN21" t="s">
        <v>249</v>
      </c>
    </row>
    <row r="22" spans="3:40" x14ac:dyDescent="0.45">
      <c r="I22" t="s">
        <v>164</v>
      </c>
      <c r="J22" t="s">
        <v>263</v>
      </c>
      <c r="K22">
        <v>0</v>
      </c>
      <c r="L22" t="s">
        <v>166</v>
      </c>
      <c r="N22" t="s">
        <v>201</v>
      </c>
      <c r="O22" t="s">
        <v>263</v>
      </c>
      <c r="P22">
        <v>2.2535541154312003E-2</v>
      </c>
      <c r="Q22" t="s">
        <v>166</v>
      </c>
      <c r="S22" t="s">
        <v>218</v>
      </c>
      <c r="T22" t="s">
        <v>263</v>
      </c>
      <c r="U22">
        <v>1.8134884308789914E-3</v>
      </c>
      <c r="V22" t="s">
        <v>166</v>
      </c>
      <c r="X22">
        <v>1.7694063926940638E-2</v>
      </c>
      <c r="Y22">
        <v>1.3358857701646654E-2</v>
      </c>
      <c r="Z22" t="s">
        <v>263</v>
      </c>
      <c r="AA22" t="s">
        <v>25</v>
      </c>
      <c r="AC22" t="s">
        <v>22</v>
      </c>
      <c r="AD22" t="s">
        <v>263</v>
      </c>
      <c r="AE22">
        <v>1.602838842572879E-2</v>
      </c>
      <c r="AG22" t="s">
        <v>96</v>
      </c>
      <c r="AH22" t="s">
        <v>263</v>
      </c>
      <c r="AI22">
        <v>8.5212374425676529E-2</v>
      </c>
      <c r="AK22">
        <v>2021</v>
      </c>
      <c r="AL22" t="s">
        <v>162</v>
      </c>
      <c r="AM22">
        <v>0.48165645530375728</v>
      </c>
      <c r="AN22" t="s">
        <v>249</v>
      </c>
    </row>
    <row r="23" spans="3:40" x14ac:dyDescent="0.45">
      <c r="I23" t="s">
        <v>164</v>
      </c>
      <c r="J23" t="s">
        <v>172</v>
      </c>
      <c r="K23">
        <v>7.1400500157747645E-3</v>
      </c>
      <c r="L23" t="s">
        <v>166</v>
      </c>
      <c r="N23" t="s">
        <v>201</v>
      </c>
      <c r="O23" t="s">
        <v>172</v>
      </c>
      <c r="P23">
        <v>3.9461098910641132E-2</v>
      </c>
      <c r="Q23" t="s">
        <v>166</v>
      </c>
      <c r="S23" t="s">
        <v>218</v>
      </c>
      <c r="T23" t="s">
        <v>172</v>
      </c>
      <c r="U23">
        <v>8.1101716491487567E-3</v>
      </c>
      <c r="V23" t="s">
        <v>166</v>
      </c>
      <c r="X23">
        <v>2.7397260273972601E-2</v>
      </c>
      <c r="Y23">
        <v>1.5185341719911493E-2</v>
      </c>
      <c r="Z23" t="s">
        <v>172</v>
      </c>
      <c r="AA23" t="s">
        <v>25</v>
      </c>
      <c r="AC23" t="s">
        <v>22</v>
      </c>
      <c r="AD23" t="s">
        <v>172</v>
      </c>
      <c r="AE23">
        <v>3.540581317845648E-2</v>
      </c>
      <c r="AG23" t="s">
        <v>96</v>
      </c>
      <c r="AH23" t="s">
        <v>172</v>
      </c>
      <c r="AI23">
        <v>0.1017724372109361</v>
      </c>
      <c r="AK23">
        <v>2021</v>
      </c>
      <c r="AL23" t="s">
        <v>252</v>
      </c>
      <c r="AM23">
        <v>0.50503186437341607</v>
      </c>
      <c r="AN23" t="s">
        <v>249</v>
      </c>
    </row>
    <row r="24" spans="3:40" x14ac:dyDescent="0.45">
      <c r="I24" t="s">
        <v>164</v>
      </c>
      <c r="J24" t="s">
        <v>173</v>
      </c>
      <c r="K24">
        <v>6.7540368828526978E-3</v>
      </c>
      <c r="L24" t="s">
        <v>166</v>
      </c>
      <c r="N24" t="s">
        <v>201</v>
      </c>
      <c r="O24" t="s">
        <v>173</v>
      </c>
      <c r="P24">
        <v>4.4135901939814735E-3</v>
      </c>
      <c r="Q24" t="s">
        <v>166</v>
      </c>
      <c r="S24" t="s">
        <v>218</v>
      </c>
      <c r="T24" t="s">
        <v>173</v>
      </c>
      <c r="U24">
        <v>9.9155791665898278E-4</v>
      </c>
      <c r="V24" t="s">
        <v>166</v>
      </c>
      <c r="X24">
        <v>3.4246575342465752E-3</v>
      </c>
      <c r="Y24">
        <v>4.3756059965691279E-3</v>
      </c>
      <c r="Z24" t="s">
        <v>173</v>
      </c>
      <c r="AA24" t="s">
        <v>25</v>
      </c>
      <c r="AC24" t="s">
        <v>22</v>
      </c>
      <c r="AD24" t="s">
        <v>173</v>
      </c>
      <c r="AE24">
        <v>4.8131068447233713E-3</v>
      </c>
      <c r="AG24" t="s">
        <v>96</v>
      </c>
      <c r="AH24" t="s">
        <v>173</v>
      </c>
      <c r="AI24">
        <v>5.1943919634771296E-2</v>
      </c>
      <c r="AK24">
        <v>2021</v>
      </c>
      <c r="AL24" t="s">
        <v>254</v>
      </c>
      <c r="AM24">
        <v>0.53094986179802006</v>
      </c>
      <c r="AN24" t="s">
        <v>249</v>
      </c>
    </row>
    <row r="25" spans="3:40" x14ac:dyDescent="0.45">
      <c r="I25" t="s">
        <v>164</v>
      </c>
      <c r="J25" t="s">
        <v>174</v>
      </c>
      <c r="K25">
        <v>6.8558988065827067E-2</v>
      </c>
      <c r="L25" t="s">
        <v>166</v>
      </c>
      <c r="N25" t="s">
        <v>201</v>
      </c>
      <c r="O25" t="s">
        <v>174</v>
      </c>
      <c r="P25">
        <v>3.146399851128024E-2</v>
      </c>
      <c r="Q25" t="s">
        <v>166</v>
      </c>
      <c r="S25" t="s">
        <v>218</v>
      </c>
      <c r="T25" t="s">
        <v>174</v>
      </c>
      <c r="U25">
        <v>8.1276261676439636E-3</v>
      </c>
      <c r="V25" t="s">
        <v>166</v>
      </c>
      <c r="X25">
        <v>2.3972602739726026E-2</v>
      </c>
      <c r="Y25">
        <v>3.1206026402804371E-2</v>
      </c>
      <c r="Z25" t="s">
        <v>174</v>
      </c>
      <c r="AA25" t="s">
        <v>25</v>
      </c>
      <c r="AC25" t="s">
        <v>22</v>
      </c>
      <c r="AD25" t="s">
        <v>174</v>
      </c>
      <c r="AE25">
        <v>3.4127602750224847E-2</v>
      </c>
      <c r="AG25" t="s">
        <v>96</v>
      </c>
      <c r="AH25" t="s">
        <v>174</v>
      </c>
      <c r="AI25">
        <v>0.15506643281091637</v>
      </c>
      <c r="AK25">
        <v>2021</v>
      </c>
      <c r="AL25" t="s">
        <v>256</v>
      </c>
      <c r="AM25">
        <v>0.54347826086956519</v>
      </c>
      <c r="AN25" t="s">
        <v>249</v>
      </c>
    </row>
    <row r="26" spans="3:40" x14ac:dyDescent="0.45">
      <c r="I26" t="s">
        <v>164</v>
      </c>
      <c r="J26" t="s">
        <v>264</v>
      </c>
      <c r="K26">
        <v>7.1517542696927028E-3</v>
      </c>
      <c r="L26" t="s">
        <v>166</v>
      </c>
      <c r="N26" t="s">
        <v>201</v>
      </c>
      <c r="O26" t="s">
        <v>264</v>
      </c>
      <c r="P26">
        <v>4.4902640969798138E-3</v>
      </c>
      <c r="Q26" t="s">
        <v>166</v>
      </c>
      <c r="S26" t="s">
        <v>218</v>
      </c>
      <c r="T26" t="s">
        <v>264</v>
      </c>
      <c r="U26">
        <v>1.1279198925583656E-3</v>
      </c>
      <c r="V26" t="s">
        <v>166</v>
      </c>
      <c r="X26">
        <v>3.4246575342465752E-3</v>
      </c>
      <c r="Y26">
        <v>6.662854585684809E-3</v>
      </c>
      <c r="Z26" t="s">
        <v>264</v>
      </c>
      <c r="AA26" t="s">
        <v>25</v>
      </c>
      <c r="AC26" t="s">
        <v>22</v>
      </c>
      <c r="AD26" t="s">
        <v>264</v>
      </c>
      <c r="AE26">
        <v>3.4696261537600385E-3</v>
      </c>
      <c r="AG26" t="s">
        <v>96</v>
      </c>
      <c r="AH26" t="s">
        <v>264</v>
      </c>
      <c r="AI26">
        <v>9.4501043582484456E-2</v>
      </c>
      <c r="AK26">
        <v>2021</v>
      </c>
      <c r="AL26" t="s">
        <v>257</v>
      </c>
      <c r="AM26">
        <v>0.41276051278265791</v>
      </c>
      <c r="AN26" t="s">
        <v>249</v>
      </c>
    </row>
    <row r="27" spans="3:40" x14ac:dyDescent="0.45">
      <c r="I27" t="s">
        <v>164</v>
      </c>
      <c r="J27" t="s">
        <v>265</v>
      </c>
      <c r="K27">
        <v>8.9129047762866679E-3</v>
      </c>
      <c r="L27" t="s">
        <v>166</v>
      </c>
      <c r="N27" t="s">
        <v>201</v>
      </c>
      <c r="O27" t="s">
        <v>265</v>
      </c>
      <c r="P27">
        <v>7.9054051767868203E-3</v>
      </c>
      <c r="Q27" t="s">
        <v>166</v>
      </c>
      <c r="S27" t="s">
        <v>218</v>
      </c>
      <c r="T27" t="s">
        <v>265</v>
      </c>
      <c r="U27">
        <v>1.5500776632908437E-3</v>
      </c>
      <c r="V27" t="s">
        <v>166</v>
      </c>
      <c r="X27">
        <v>6.8493150684931503E-3</v>
      </c>
      <c r="Y27">
        <v>1.1834025308902863E-2</v>
      </c>
      <c r="Z27" t="s">
        <v>265</v>
      </c>
      <c r="AA27" t="s">
        <v>25</v>
      </c>
      <c r="AC27" t="s">
        <v>22</v>
      </c>
      <c r="AD27" t="s">
        <v>265</v>
      </c>
      <c r="AE27">
        <v>3.6627957838577274E-3</v>
      </c>
      <c r="AG27" t="s">
        <v>96</v>
      </c>
      <c r="AH27" t="s">
        <v>265</v>
      </c>
      <c r="AI27">
        <v>5.3418124287863078E-2</v>
      </c>
      <c r="AK27">
        <v>2022</v>
      </c>
      <c r="AL27" t="s">
        <v>154</v>
      </c>
      <c r="AM27">
        <v>0.34417506759491634</v>
      </c>
      <c r="AN27" t="s">
        <v>249</v>
      </c>
    </row>
    <row r="28" spans="3:40" x14ac:dyDescent="0.45">
      <c r="I28" t="s">
        <v>164</v>
      </c>
      <c r="J28" t="s">
        <v>266</v>
      </c>
      <c r="K28">
        <v>0</v>
      </c>
      <c r="L28" t="s">
        <v>166</v>
      </c>
      <c r="N28" t="s">
        <v>201</v>
      </c>
      <c r="O28" t="s">
        <v>266</v>
      </c>
      <c r="P28">
        <v>2.3116299353970977E-2</v>
      </c>
      <c r="Q28" t="s">
        <v>166</v>
      </c>
      <c r="S28" t="s">
        <v>218</v>
      </c>
      <c r="T28" t="s">
        <v>266</v>
      </c>
      <c r="U28">
        <v>2.860498806711255E-3</v>
      </c>
      <c r="V28" t="s">
        <v>166</v>
      </c>
      <c r="X28">
        <v>1.7123287671232876E-2</v>
      </c>
      <c r="Y28">
        <v>1.2927926808045149E-2</v>
      </c>
      <c r="Z28" t="s">
        <v>266</v>
      </c>
      <c r="AA28" t="s">
        <v>25</v>
      </c>
      <c r="AC28" t="s">
        <v>22</v>
      </c>
      <c r="AD28" t="s">
        <v>266</v>
      </c>
      <c r="AE28">
        <v>1.0349905906138702E-2</v>
      </c>
      <c r="AG28" t="s">
        <v>96</v>
      </c>
      <c r="AH28" t="s">
        <v>266</v>
      </c>
      <c r="AI28">
        <v>0.13482317444482872</v>
      </c>
      <c r="AK28">
        <v>2022</v>
      </c>
      <c r="AL28" t="s">
        <v>158</v>
      </c>
      <c r="AM28">
        <v>0.4957547642569764</v>
      </c>
      <c r="AN28" t="s">
        <v>249</v>
      </c>
    </row>
    <row r="29" spans="3:40" x14ac:dyDescent="0.45">
      <c r="I29" t="s">
        <v>164</v>
      </c>
      <c r="J29" t="s">
        <v>175</v>
      </c>
      <c r="K29">
        <v>3.133199911783209E-3</v>
      </c>
      <c r="L29" t="s">
        <v>166</v>
      </c>
      <c r="N29" t="s">
        <v>201</v>
      </c>
      <c r="O29" t="s">
        <v>175</v>
      </c>
      <c r="P29">
        <v>3.0367605653274683E-2</v>
      </c>
      <c r="Q29" t="s">
        <v>166</v>
      </c>
      <c r="S29" t="s">
        <v>218</v>
      </c>
      <c r="T29" t="s">
        <v>175</v>
      </c>
      <c r="U29">
        <v>1.6679430157972897E-2</v>
      </c>
      <c r="V29" t="s">
        <v>166</v>
      </c>
      <c r="X29">
        <v>2.8310502283105023E-2</v>
      </c>
      <c r="Y29">
        <v>1.5691519777241876E-2</v>
      </c>
      <c r="Z29" t="s">
        <v>175</v>
      </c>
      <c r="AA29" t="s">
        <v>25</v>
      </c>
      <c r="AC29" t="s">
        <v>22</v>
      </c>
      <c r="AD29" t="s">
        <v>175</v>
      </c>
      <c r="AE29">
        <v>3.3705431327878246E-2</v>
      </c>
      <c r="AG29" t="s">
        <v>96</v>
      </c>
      <c r="AH29" t="s">
        <v>175</v>
      </c>
      <c r="AI29">
        <v>9.9974320835269026E-2</v>
      </c>
      <c r="AK29">
        <v>2022</v>
      </c>
      <c r="AL29" t="s">
        <v>160</v>
      </c>
      <c r="AM29">
        <v>0.68119051141687637</v>
      </c>
      <c r="AN29" t="s">
        <v>249</v>
      </c>
    </row>
    <row r="30" spans="3:40" x14ac:dyDescent="0.45">
      <c r="I30" t="s">
        <v>164</v>
      </c>
      <c r="J30" t="s">
        <v>176</v>
      </c>
      <c r="K30">
        <v>5.1607721107188118E-3</v>
      </c>
      <c r="L30" t="s">
        <v>166</v>
      </c>
      <c r="N30" t="s">
        <v>201</v>
      </c>
      <c r="O30" t="s">
        <v>176</v>
      </c>
      <c r="P30">
        <v>2.6711794606970691E-3</v>
      </c>
      <c r="Q30" t="s">
        <v>166</v>
      </c>
      <c r="S30" t="s">
        <v>218</v>
      </c>
      <c r="T30" t="s">
        <v>176</v>
      </c>
      <c r="U30">
        <v>2.2052086258842985E-3</v>
      </c>
      <c r="V30" t="s">
        <v>166</v>
      </c>
      <c r="X30">
        <v>3.5388127853881279E-3</v>
      </c>
      <c r="Y30">
        <v>4.521459529788099E-3</v>
      </c>
      <c r="Z30" t="s">
        <v>176</v>
      </c>
      <c r="AA30" t="s">
        <v>25</v>
      </c>
      <c r="AC30" t="s">
        <v>22</v>
      </c>
      <c r="AD30" t="s">
        <v>176</v>
      </c>
      <c r="AE30">
        <v>4.5563083363547143E-3</v>
      </c>
      <c r="AG30" t="s">
        <v>96</v>
      </c>
      <c r="AH30" t="s">
        <v>176</v>
      </c>
      <c r="AI30">
        <v>5.1293401609640021E-2</v>
      </c>
      <c r="AK30">
        <v>2022</v>
      </c>
      <c r="AL30" t="s">
        <v>162</v>
      </c>
      <c r="AM30">
        <v>0.65623374330045015</v>
      </c>
      <c r="AN30" t="s">
        <v>249</v>
      </c>
    </row>
    <row r="31" spans="3:40" x14ac:dyDescent="0.45">
      <c r="I31" t="s">
        <v>164</v>
      </c>
      <c r="J31" t="s">
        <v>177</v>
      </c>
      <c r="K31">
        <v>6.2928074985996743E-2</v>
      </c>
      <c r="L31" t="s">
        <v>166</v>
      </c>
      <c r="N31" t="s">
        <v>201</v>
      </c>
      <c r="O31" t="s">
        <v>177</v>
      </c>
      <c r="P31">
        <v>2.0283574526202407E-2</v>
      </c>
      <c r="Q31" t="s">
        <v>166</v>
      </c>
      <c r="S31" t="s">
        <v>218</v>
      </c>
      <c r="T31" t="s">
        <v>177</v>
      </c>
      <c r="U31">
        <v>1.6109346053328515E-2</v>
      </c>
      <c r="V31" t="s">
        <v>166</v>
      </c>
      <c r="X31">
        <v>2.4771689497716895E-2</v>
      </c>
      <c r="Y31">
        <v>3.2246227282897846E-2</v>
      </c>
      <c r="Z31" t="s">
        <v>177</v>
      </c>
      <c r="AA31" t="s">
        <v>25</v>
      </c>
      <c r="AC31" t="s">
        <v>22</v>
      </c>
      <c r="AD31" t="s">
        <v>177</v>
      </c>
      <c r="AE31">
        <v>3.3643587460226658E-2</v>
      </c>
      <c r="AG31" t="s">
        <v>96</v>
      </c>
      <c r="AH31" t="s">
        <v>177</v>
      </c>
      <c r="AI31">
        <v>0.15472575577333614</v>
      </c>
      <c r="AK31">
        <v>2022</v>
      </c>
      <c r="AL31" t="s">
        <v>252</v>
      </c>
      <c r="AM31">
        <v>0.63654673100143655</v>
      </c>
      <c r="AN31" t="s">
        <v>249</v>
      </c>
    </row>
    <row r="32" spans="3:40" x14ac:dyDescent="0.45">
      <c r="I32" t="s">
        <v>164</v>
      </c>
      <c r="J32" t="s">
        <v>267</v>
      </c>
      <c r="K32">
        <v>6.3997480273061949E-3</v>
      </c>
      <c r="L32" t="s">
        <v>166</v>
      </c>
      <c r="N32" t="s">
        <v>201</v>
      </c>
      <c r="O32" t="s">
        <v>267</v>
      </c>
      <c r="P32">
        <v>3.2173508625479835E-3</v>
      </c>
      <c r="Q32" t="s">
        <v>166</v>
      </c>
      <c r="S32" t="s">
        <v>218</v>
      </c>
      <c r="T32" t="s">
        <v>267</v>
      </c>
      <c r="U32">
        <v>2.3172457954240056E-3</v>
      </c>
      <c r="V32" t="s">
        <v>166</v>
      </c>
      <c r="X32">
        <v>3.5388127853881279E-3</v>
      </c>
      <c r="Y32">
        <v>6.8849497385409693E-3</v>
      </c>
      <c r="Z32" t="s">
        <v>267</v>
      </c>
      <c r="AA32" t="s">
        <v>25</v>
      </c>
      <c r="AC32" t="s">
        <v>22</v>
      </c>
      <c r="AD32" t="s">
        <v>267</v>
      </c>
      <c r="AE32">
        <v>2.9632854470819903E-3</v>
      </c>
      <c r="AG32" t="s">
        <v>96</v>
      </c>
      <c r="AH32" t="s">
        <v>267</v>
      </c>
      <c r="AI32">
        <v>0.10008139171136943</v>
      </c>
      <c r="AK32">
        <v>2022</v>
      </c>
      <c r="AL32" t="s">
        <v>254</v>
      </c>
      <c r="AM32">
        <v>0.58065749053034832</v>
      </c>
      <c r="AN32" t="s">
        <v>249</v>
      </c>
    </row>
    <row r="33" spans="9:40" x14ac:dyDescent="0.45">
      <c r="I33" t="s">
        <v>164</v>
      </c>
      <c r="J33" t="s">
        <v>268</v>
      </c>
      <c r="K33">
        <v>7.5076396310035601E-3</v>
      </c>
      <c r="L33" t="s">
        <v>166</v>
      </c>
      <c r="N33" t="s">
        <v>201</v>
      </c>
      <c r="O33" t="s">
        <v>268</v>
      </c>
      <c r="P33">
        <v>5.7525392507535977E-3</v>
      </c>
      <c r="Q33" t="s">
        <v>166</v>
      </c>
      <c r="S33" t="s">
        <v>218</v>
      </c>
      <c r="T33" t="s">
        <v>268</v>
      </c>
      <c r="U33">
        <v>3.3972429991672285E-3</v>
      </c>
      <c r="V33" t="s">
        <v>166</v>
      </c>
      <c r="X33">
        <v>7.0776255707762558E-3</v>
      </c>
      <c r="Y33">
        <v>1.2228492819199624E-2</v>
      </c>
      <c r="Z33" t="s">
        <v>268</v>
      </c>
      <c r="AA33" t="s">
        <v>25</v>
      </c>
      <c r="AC33" t="s">
        <v>22</v>
      </c>
      <c r="AD33" t="s">
        <v>268</v>
      </c>
      <c r="AE33">
        <v>3.1201973673820938E-3</v>
      </c>
      <c r="AG33" t="s">
        <v>96</v>
      </c>
      <c r="AH33" t="s">
        <v>268</v>
      </c>
      <c r="AI33">
        <v>4.2612785374078088E-2</v>
      </c>
      <c r="AK33">
        <v>2022</v>
      </c>
      <c r="AL33" t="s">
        <v>256</v>
      </c>
      <c r="AM33">
        <v>0.60844799526557181</v>
      </c>
      <c r="AN33" t="s">
        <v>249</v>
      </c>
    </row>
    <row r="34" spans="9:40" x14ac:dyDescent="0.45">
      <c r="I34" t="s">
        <v>164</v>
      </c>
      <c r="J34" t="s">
        <v>269</v>
      </c>
      <c r="K34">
        <v>0</v>
      </c>
      <c r="L34" t="s">
        <v>166</v>
      </c>
      <c r="N34" t="s">
        <v>201</v>
      </c>
      <c r="O34" t="s">
        <v>269</v>
      </c>
      <c r="P34">
        <v>1.9254698423547257E-2</v>
      </c>
      <c r="Q34" t="s">
        <v>166</v>
      </c>
      <c r="S34" t="s">
        <v>218</v>
      </c>
      <c r="T34" t="s">
        <v>269</v>
      </c>
      <c r="U34">
        <v>6.6265280144245046E-3</v>
      </c>
      <c r="V34" t="s">
        <v>166</v>
      </c>
      <c r="X34">
        <v>1.7694063926940638E-2</v>
      </c>
      <c r="Y34">
        <v>1.3358857701646654E-2</v>
      </c>
      <c r="Z34" t="s">
        <v>269</v>
      </c>
      <c r="AA34" t="s">
        <v>25</v>
      </c>
      <c r="AC34" t="s">
        <v>22</v>
      </c>
      <c r="AD34" t="s">
        <v>269</v>
      </c>
      <c r="AE34">
        <v>9.2309630554429228E-3</v>
      </c>
      <c r="AG34" t="s">
        <v>96</v>
      </c>
      <c r="AH34" t="s">
        <v>269</v>
      </c>
      <c r="AI34">
        <v>0.1185740390229284</v>
      </c>
      <c r="AK34">
        <v>2022</v>
      </c>
      <c r="AL34" t="s">
        <v>257</v>
      </c>
      <c r="AM34">
        <v>0.60075216318504843</v>
      </c>
      <c r="AN34" t="s">
        <v>249</v>
      </c>
    </row>
    <row r="35" spans="9:40" x14ac:dyDescent="0.45">
      <c r="I35" t="s">
        <v>164</v>
      </c>
      <c r="J35" t="s">
        <v>270</v>
      </c>
      <c r="K35">
        <v>2.7501919989436864E-3</v>
      </c>
      <c r="L35" t="s">
        <v>166</v>
      </c>
      <c r="N35" t="s">
        <v>201</v>
      </c>
      <c r="O35" t="s">
        <v>270</v>
      </c>
      <c r="P35">
        <v>2.2249386853205218E-2</v>
      </c>
      <c r="Q35" t="s">
        <v>166</v>
      </c>
      <c r="S35" t="s">
        <v>218</v>
      </c>
      <c r="T35" t="s">
        <v>270</v>
      </c>
      <c r="U35">
        <v>1.9808480227360686E-2</v>
      </c>
      <c r="V35" t="s">
        <v>166</v>
      </c>
      <c r="X35">
        <v>2.8310502283105023E-2</v>
      </c>
      <c r="Y35">
        <v>1.5691519777241876E-2</v>
      </c>
      <c r="Z35" t="s">
        <v>270</v>
      </c>
      <c r="AA35" t="s">
        <v>25</v>
      </c>
      <c r="AC35" t="s">
        <v>22</v>
      </c>
      <c r="AD35" t="s">
        <v>270</v>
      </c>
      <c r="AE35">
        <v>3.352959303938189E-2</v>
      </c>
      <c r="AG35" t="s">
        <v>96</v>
      </c>
      <c r="AH35" t="s">
        <v>270</v>
      </c>
      <c r="AI35">
        <v>0.1014646172274527</v>
      </c>
      <c r="AK35">
        <v>2025</v>
      </c>
      <c r="AL35" t="s">
        <v>154</v>
      </c>
      <c r="AM35">
        <v>0.30177500000000002</v>
      </c>
      <c r="AN35" t="s">
        <v>249</v>
      </c>
    </row>
    <row r="36" spans="9:40" x14ac:dyDescent="0.45">
      <c r="I36" t="s">
        <v>164</v>
      </c>
      <c r="J36" t="s">
        <v>271</v>
      </c>
      <c r="K36">
        <v>5.2140522044480447E-3</v>
      </c>
      <c r="L36" t="s">
        <v>166</v>
      </c>
      <c r="N36" t="s">
        <v>201</v>
      </c>
      <c r="O36" t="s">
        <v>271</v>
      </c>
      <c r="P36">
        <v>2.1881335970732546E-3</v>
      </c>
      <c r="Q36" t="s">
        <v>166</v>
      </c>
      <c r="S36" t="s">
        <v>218</v>
      </c>
      <c r="T36" t="s">
        <v>271</v>
      </c>
      <c r="U36">
        <v>3.1846225265658411E-3</v>
      </c>
      <c r="V36" t="s">
        <v>166</v>
      </c>
      <c r="X36">
        <v>3.5388127853881279E-3</v>
      </c>
      <c r="Y36">
        <v>4.521459529788099E-3</v>
      </c>
      <c r="Z36" t="s">
        <v>271</v>
      </c>
      <c r="AA36" t="s">
        <v>25</v>
      </c>
      <c r="AC36" t="s">
        <v>22</v>
      </c>
      <c r="AD36" t="s">
        <v>271</v>
      </c>
      <c r="AE36">
        <v>4.6089865628115272E-3</v>
      </c>
      <c r="AG36" t="s">
        <v>96</v>
      </c>
      <c r="AH36" t="s">
        <v>271</v>
      </c>
      <c r="AI36">
        <v>5.1983301722024589E-2</v>
      </c>
      <c r="AK36">
        <v>2025</v>
      </c>
      <c r="AL36" t="s">
        <v>158</v>
      </c>
      <c r="AM36">
        <v>0.34110000000000001</v>
      </c>
      <c r="AN36" t="s">
        <v>249</v>
      </c>
    </row>
    <row r="37" spans="9:40" x14ac:dyDescent="0.45">
      <c r="I37" t="s">
        <v>164</v>
      </c>
      <c r="J37" t="s">
        <v>272</v>
      </c>
      <c r="K37">
        <v>6.5602732057527369E-2</v>
      </c>
      <c r="L37" t="s">
        <v>166</v>
      </c>
      <c r="N37" t="s">
        <v>201</v>
      </c>
      <c r="O37" t="s">
        <v>272</v>
      </c>
      <c r="P37">
        <v>1.4709262946113308E-2</v>
      </c>
      <c r="Q37" t="s">
        <v>166</v>
      </c>
      <c r="S37" t="s">
        <v>218</v>
      </c>
      <c r="T37" t="s">
        <v>272</v>
      </c>
      <c r="U37">
        <v>2.4146191797491251E-2</v>
      </c>
      <c r="V37" t="s">
        <v>166</v>
      </c>
      <c r="X37">
        <v>2.4771689497716895E-2</v>
      </c>
      <c r="Y37">
        <v>3.2246227282897846E-2</v>
      </c>
      <c r="Z37" t="s">
        <v>272</v>
      </c>
      <c r="AA37" t="s">
        <v>25</v>
      </c>
      <c r="AC37" t="s">
        <v>22</v>
      </c>
      <c r="AD37" t="s">
        <v>272</v>
      </c>
      <c r="AE37">
        <v>3.3411735580927707E-2</v>
      </c>
      <c r="AG37" t="s">
        <v>96</v>
      </c>
      <c r="AH37" t="s">
        <v>272</v>
      </c>
      <c r="AI37">
        <v>0.18142829444329234</v>
      </c>
      <c r="AK37">
        <v>2025</v>
      </c>
      <c r="AL37" t="s">
        <v>160</v>
      </c>
      <c r="AM37">
        <v>0.45550000000000002</v>
      </c>
      <c r="AN37" t="s">
        <v>249</v>
      </c>
    </row>
    <row r="38" spans="9:40" x14ac:dyDescent="0.45">
      <c r="I38" t="s">
        <v>164</v>
      </c>
      <c r="J38" t="s">
        <v>273</v>
      </c>
      <c r="K38">
        <v>6.7769036037574563E-3</v>
      </c>
      <c r="L38" t="s">
        <v>166</v>
      </c>
      <c r="N38" t="s">
        <v>201</v>
      </c>
      <c r="O38" t="s">
        <v>273</v>
      </c>
      <c r="P38">
        <v>1.9635311088477482E-3</v>
      </c>
      <c r="Q38" t="s">
        <v>166</v>
      </c>
      <c r="S38" t="s">
        <v>218</v>
      </c>
      <c r="T38" t="s">
        <v>273</v>
      </c>
      <c r="U38">
        <v>2.6216987180682394E-3</v>
      </c>
      <c r="V38" t="s">
        <v>166</v>
      </c>
      <c r="X38">
        <v>3.5388127853881279E-3</v>
      </c>
      <c r="Y38">
        <v>6.8849497385409693E-3</v>
      </c>
      <c r="Z38" t="s">
        <v>273</v>
      </c>
      <c r="AA38" t="s">
        <v>25</v>
      </c>
      <c r="AC38" t="s">
        <v>22</v>
      </c>
      <c r="AD38" t="s">
        <v>273</v>
      </c>
      <c r="AE38">
        <v>2.7103812529440385E-3</v>
      </c>
      <c r="AG38" t="s">
        <v>96</v>
      </c>
      <c r="AH38" t="s">
        <v>273</v>
      </c>
      <c r="AI38">
        <v>0.10547674044882061</v>
      </c>
      <c r="AK38">
        <v>2025</v>
      </c>
      <c r="AL38" t="s">
        <v>162</v>
      </c>
      <c r="AM38">
        <v>0.47799999999999998</v>
      </c>
      <c r="AN38" t="s">
        <v>249</v>
      </c>
    </row>
    <row r="39" spans="9:40" x14ac:dyDescent="0.45">
      <c r="I39" t="s">
        <v>164</v>
      </c>
      <c r="J39" t="s">
        <v>274</v>
      </c>
      <c r="K39">
        <v>6.9170905581946163E-3</v>
      </c>
      <c r="L39" t="s">
        <v>166</v>
      </c>
      <c r="N39" t="s">
        <v>201</v>
      </c>
      <c r="O39" t="s">
        <v>274</v>
      </c>
      <c r="P39">
        <v>3.99475265856179E-3</v>
      </c>
      <c r="Q39" t="s">
        <v>166</v>
      </c>
      <c r="S39" t="s">
        <v>218</v>
      </c>
      <c r="T39" t="s">
        <v>274</v>
      </c>
      <c r="U39">
        <v>3.7942978590903942E-3</v>
      </c>
      <c r="V39" t="s">
        <v>166</v>
      </c>
      <c r="X39">
        <v>7.0776255707762558E-3</v>
      </c>
      <c r="Y39">
        <v>1.2228492819199624E-2</v>
      </c>
      <c r="Z39" t="s">
        <v>274</v>
      </c>
      <c r="AA39" t="s">
        <v>25</v>
      </c>
      <c r="AC39" t="s">
        <v>22</v>
      </c>
      <c r="AD39" t="s">
        <v>274</v>
      </c>
      <c r="AE39">
        <v>2.866666582930871E-3</v>
      </c>
      <c r="AG39" t="s">
        <v>96</v>
      </c>
      <c r="AH39" t="s">
        <v>274</v>
      </c>
      <c r="AI39">
        <v>5.1678022541457702E-2</v>
      </c>
      <c r="AK39">
        <v>2025</v>
      </c>
      <c r="AL39" t="s">
        <v>252</v>
      </c>
      <c r="AM39">
        <v>0.54090000000000005</v>
      </c>
      <c r="AN39" t="s">
        <v>249</v>
      </c>
    </row>
    <row r="40" spans="9:40" x14ac:dyDescent="0.45">
      <c r="I40" t="s">
        <v>164</v>
      </c>
      <c r="J40" t="s">
        <v>275</v>
      </c>
      <c r="K40">
        <v>0</v>
      </c>
      <c r="L40" t="s">
        <v>166</v>
      </c>
      <c r="N40" t="s">
        <v>201</v>
      </c>
      <c r="O40" t="s">
        <v>275</v>
      </c>
      <c r="P40">
        <v>1.2594070901774761E-2</v>
      </c>
      <c r="Q40" t="s">
        <v>166</v>
      </c>
      <c r="S40" t="s">
        <v>218</v>
      </c>
      <c r="T40" t="s">
        <v>275</v>
      </c>
      <c r="U40">
        <v>7.3635149123637651E-3</v>
      </c>
      <c r="V40" t="s">
        <v>166</v>
      </c>
      <c r="X40">
        <v>1.7694063926940638E-2</v>
      </c>
      <c r="Y40">
        <v>1.3358857701646654E-2</v>
      </c>
      <c r="Z40" t="s">
        <v>275</v>
      </c>
      <c r="AA40" t="s">
        <v>25</v>
      </c>
      <c r="AC40" t="s">
        <v>22</v>
      </c>
      <c r="AD40" t="s">
        <v>275</v>
      </c>
      <c r="AE40">
        <v>9.0504253283384441E-3</v>
      </c>
      <c r="AG40" t="s">
        <v>96</v>
      </c>
      <c r="AH40" t="s">
        <v>275</v>
      </c>
      <c r="AI40">
        <v>0.1247121941012177</v>
      </c>
      <c r="AK40">
        <v>2025</v>
      </c>
      <c r="AL40" t="s">
        <v>254</v>
      </c>
      <c r="AM40">
        <v>0.54285000000000005</v>
      </c>
      <c r="AN40" t="s">
        <v>249</v>
      </c>
    </row>
    <row r="41" spans="9:40" x14ac:dyDescent="0.45">
      <c r="I41" t="s">
        <v>164</v>
      </c>
      <c r="J41" t="s">
        <v>276</v>
      </c>
      <c r="K41">
        <v>5.1195147031987834E-3</v>
      </c>
      <c r="L41" t="s">
        <v>166</v>
      </c>
      <c r="N41" t="s">
        <v>201</v>
      </c>
      <c r="O41" t="s">
        <v>276</v>
      </c>
      <c r="P41">
        <v>5.8151003503039964E-2</v>
      </c>
      <c r="Q41" t="s">
        <v>166</v>
      </c>
      <c r="S41" t="s">
        <v>218</v>
      </c>
      <c r="T41" t="s">
        <v>276</v>
      </c>
      <c r="U41">
        <v>4.3632317871027775E-2</v>
      </c>
      <c r="V41" t="s">
        <v>166</v>
      </c>
      <c r="X41">
        <v>5.5707762557077628E-2</v>
      </c>
      <c r="Y41">
        <v>3.0876861497153366E-2</v>
      </c>
      <c r="Z41" t="s">
        <v>276</v>
      </c>
      <c r="AA41" t="s">
        <v>25</v>
      </c>
      <c r="AC41" t="s">
        <v>22</v>
      </c>
      <c r="AD41" t="s">
        <v>276</v>
      </c>
      <c r="AE41">
        <v>6.2821242715871334E-2</v>
      </c>
      <c r="AG41" t="s">
        <v>96</v>
      </c>
      <c r="AH41" t="s">
        <v>276</v>
      </c>
      <c r="AI41">
        <v>0.10086698775543557</v>
      </c>
      <c r="AK41">
        <v>2025</v>
      </c>
      <c r="AL41" t="s">
        <v>256</v>
      </c>
      <c r="AM41">
        <v>0.53080000000000005</v>
      </c>
      <c r="AN41" t="s">
        <v>249</v>
      </c>
    </row>
    <row r="42" spans="9:40" x14ac:dyDescent="0.45">
      <c r="I42" t="s">
        <v>164</v>
      </c>
      <c r="J42" t="s">
        <v>277</v>
      </c>
      <c r="K42">
        <v>9.7144655309426321E-3</v>
      </c>
      <c r="L42" t="s">
        <v>166</v>
      </c>
      <c r="N42" t="s">
        <v>201</v>
      </c>
      <c r="O42" t="s">
        <v>277</v>
      </c>
      <c r="P42">
        <v>7.7121537717761701E-3</v>
      </c>
      <c r="Q42" t="s">
        <v>166</v>
      </c>
      <c r="S42" t="s">
        <v>218</v>
      </c>
      <c r="T42" t="s">
        <v>277</v>
      </c>
      <c r="U42">
        <v>5.279943473696415E-3</v>
      </c>
      <c r="V42" t="s">
        <v>166</v>
      </c>
      <c r="X42">
        <v>6.9634703196347035E-3</v>
      </c>
      <c r="Y42">
        <v>8.8970655263572278E-3</v>
      </c>
      <c r="Z42" t="s">
        <v>277</v>
      </c>
      <c r="AA42" t="s">
        <v>25</v>
      </c>
      <c r="AC42" t="s">
        <v>22</v>
      </c>
      <c r="AD42" t="s">
        <v>277</v>
      </c>
      <c r="AE42">
        <v>8.4159671084456864E-3</v>
      </c>
      <c r="AG42" t="s">
        <v>96</v>
      </c>
      <c r="AH42" t="s">
        <v>277</v>
      </c>
      <c r="AI42">
        <v>5.8846435047355872E-2</v>
      </c>
      <c r="AK42">
        <v>2025</v>
      </c>
      <c r="AL42" t="s">
        <v>257</v>
      </c>
      <c r="AM42">
        <v>0.5</v>
      </c>
      <c r="AN42" t="s">
        <v>249</v>
      </c>
    </row>
    <row r="43" spans="9:40" x14ac:dyDescent="0.45">
      <c r="I43" t="s">
        <v>164</v>
      </c>
      <c r="J43" t="s">
        <v>278</v>
      </c>
      <c r="K43">
        <v>0.11294290442997856</v>
      </c>
      <c r="L43" t="s">
        <v>166</v>
      </c>
      <c r="N43" t="s">
        <v>201</v>
      </c>
      <c r="O43" t="s">
        <v>278</v>
      </c>
      <c r="P43">
        <v>4.8363874536065679E-2</v>
      </c>
      <c r="Q43" t="s">
        <v>166</v>
      </c>
      <c r="S43" t="s">
        <v>218</v>
      </c>
      <c r="T43" t="s">
        <v>278</v>
      </c>
      <c r="U43">
        <v>3.7978297608324281E-2</v>
      </c>
      <c r="V43" t="s">
        <v>166</v>
      </c>
      <c r="X43">
        <v>4.8744292237442921E-2</v>
      </c>
      <c r="Y43">
        <v>6.3452253685702203E-2</v>
      </c>
      <c r="Z43" t="s">
        <v>278</v>
      </c>
      <c r="AA43" t="s">
        <v>25</v>
      </c>
      <c r="AC43" t="s">
        <v>22</v>
      </c>
      <c r="AD43" t="s">
        <v>278</v>
      </c>
      <c r="AE43">
        <v>6.1943666793403962E-2</v>
      </c>
      <c r="AG43" t="s">
        <v>96</v>
      </c>
      <c r="AH43" t="s">
        <v>278</v>
      </c>
      <c r="AI43">
        <v>0.21215065239356301</v>
      </c>
      <c r="AK43">
        <v>2026</v>
      </c>
      <c r="AL43" t="s">
        <v>154</v>
      </c>
      <c r="AM43">
        <v>0.297375</v>
      </c>
      <c r="AN43" t="s">
        <v>249</v>
      </c>
    </row>
    <row r="44" spans="9:40" x14ac:dyDescent="0.45">
      <c r="I44" t="s">
        <v>164</v>
      </c>
      <c r="J44" t="s">
        <v>279</v>
      </c>
      <c r="K44">
        <v>1.0745650786737879E-2</v>
      </c>
      <c r="L44" t="s">
        <v>166</v>
      </c>
      <c r="N44" t="s">
        <v>201</v>
      </c>
      <c r="O44" t="s">
        <v>279</v>
      </c>
      <c r="P44">
        <v>6.2042388451163007E-3</v>
      </c>
      <c r="Q44" t="s">
        <v>166</v>
      </c>
      <c r="S44" t="s">
        <v>218</v>
      </c>
      <c r="T44" t="s">
        <v>279</v>
      </c>
      <c r="U44">
        <v>5.1583892347914226E-3</v>
      </c>
      <c r="V44" t="s">
        <v>166</v>
      </c>
      <c r="X44">
        <v>6.9634703196347035E-3</v>
      </c>
      <c r="Y44">
        <v>1.354780432422577E-2</v>
      </c>
      <c r="Z44" t="s">
        <v>279</v>
      </c>
      <c r="AA44" t="s">
        <v>25</v>
      </c>
      <c r="AC44" t="s">
        <v>22</v>
      </c>
      <c r="AD44" t="s">
        <v>279</v>
      </c>
      <c r="AE44">
        <v>4.5154415443413778E-3</v>
      </c>
      <c r="AG44" t="s">
        <v>96</v>
      </c>
      <c r="AH44" t="s">
        <v>279</v>
      </c>
      <c r="AI44">
        <v>0.17657307316043491</v>
      </c>
      <c r="AK44">
        <v>2026</v>
      </c>
      <c r="AL44" t="s">
        <v>158</v>
      </c>
      <c r="AM44">
        <v>0.3362</v>
      </c>
      <c r="AN44" t="s">
        <v>249</v>
      </c>
    </row>
    <row r="45" spans="9:40" x14ac:dyDescent="0.45">
      <c r="I45" t="s">
        <v>164</v>
      </c>
      <c r="J45" t="s">
        <v>280</v>
      </c>
      <c r="K45">
        <v>8.3445603493297691E-3</v>
      </c>
      <c r="L45" t="s">
        <v>166</v>
      </c>
      <c r="N45" t="s">
        <v>201</v>
      </c>
      <c r="O45" t="s">
        <v>280</v>
      </c>
      <c r="P45">
        <v>1.1320448741642364E-2</v>
      </c>
      <c r="Q45" t="s">
        <v>166</v>
      </c>
      <c r="S45" t="s">
        <v>218</v>
      </c>
      <c r="T45" t="s">
        <v>280</v>
      </c>
      <c r="U45">
        <v>9.6474265446572956E-3</v>
      </c>
      <c r="V45" t="s">
        <v>166</v>
      </c>
      <c r="X45">
        <v>1.3926940639269407E-2</v>
      </c>
      <c r="Y45">
        <v>2.4062518128102495E-2</v>
      </c>
      <c r="Z45" t="s">
        <v>280</v>
      </c>
      <c r="AA45" t="s">
        <v>25</v>
      </c>
      <c r="AC45" t="s">
        <v>22</v>
      </c>
      <c r="AD45" t="s">
        <v>280</v>
      </c>
      <c r="AE45">
        <v>5.0413805793784799E-3</v>
      </c>
      <c r="AG45" t="s">
        <v>96</v>
      </c>
      <c r="AH45" t="s">
        <v>280</v>
      </c>
      <c r="AI45">
        <v>8.4130550869511822E-2</v>
      </c>
      <c r="AK45">
        <v>2026</v>
      </c>
      <c r="AL45" t="s">
        <v>160</v>
      </c>
      <c r="AM45">
        <v>0.43869999999999998</v>
      </c>
      <c r="AN45" t="s">
        <v>249</v>
      </c>
    </row>
    <row r="46" spans="9:40" x14ac:dyDescent="0.45">
      <c r="I46" t="s">
        <v>164</v>
      </c>
      <c r="J46" t="s">
        <v>281</v>
      </c>
      <c r="K46">
        <v>0</v>
      </c>
      <c r="L46" t="s">
        <v>166</v>
      </c>
      <c r="N46" t="s">
        <v>201</v>
      </c>
      <c r="O46" t="s">
        <v>281</v>
      </c>
      <c r="P46">
        <v>3.1340826475701807E-2</v>
      </c>
      <c r="Q46" t="s">
        <v>166</v>
      </c>
      <c r="S46" t="s">
        <v>218</v>
      </c>
      <c r="T46" t="s">
        <v>281</v>
      </c>
      <c r="U46">
        <v>2.3185366725259109E-2</v>
      </c>
      <c r="V46" t="s">
        <v>166</v>
      </c>
      <c r="X46">
        <v>3.4817351598173514E-2</v>
      </c>
      <c r="Y46">
        <v>2.6286784509691803E-2</v>
      </c>
      <c r="Z46" t="s">
        <v>281</v>
      </c>
      <c r="AA46" t="s">
        <v>25</v>
      </c>
      <c r="AC46" t="s">
        <v>22</v>
      </c>
      <c r="AD46" t="s">
        <v>281</v>
      </c>
      <c r="AE46">
        <v>1.7280923698036615E-2</v>
      </c>
      <c r="AG46" t="s">
        <v>96</v>
      </c>
      <c r="AH46" t="s">
        <v>281</v>
      </c>
      <c r="AI46">
        <v>0.14520632548926127</v>
      </c>
      <c r="AK46">
        <v>2026</v>
      </c>
      <c r="AL46" t="s">
        <v>162</v>
      </c>
      <c r="AM46">
        <v>0.53779999999999994</v>
      </c>
      <c r="AN46" t="s">
        <v>249</v>
      </c>
    </row>
    <row r="47" spans="9:40" x14ac:dyDescent="0.45">
      <c r="I47" t="s">
        <v>164</v>
      </c>
      <c r="J47" t="s">
        <v>282</v>
      </c>
      <c r="K47">
        <v>1.6486531918941958E-3</v>
      </c>
      <c r="L47" t="s">
        <v>166</v>
      </c>
      <c r="N47" t="s">
        <v>201</v>
      </c>
      <c r="O47" t="s">
        <v>282</v>
      </c>
      <c r="P47">
        <v>3.5818915057541215E-2</v>
      </c>
      <c r="Q47" t="s">
        <v>166</v>
      </c>
      <c r="S47" t="s">
        <v>218</v>
      </c>
      <c r="T47" t="s">
        <v>282</v>
      </c>
      <c r="U47">
        <v>3.0338831108290581E-2</v>
      </c>
      <c r="V47" t="s">
        <v>166</v>
      </c>
      <c r="X47">
        <v>2.7397260273972601E-2</v>
      </c>
      <c r="Y47">
        <v>1.5185341719911493E-2</v>
      </c>
      <c r="Z47" t="s">
        <v>282</v>
      </c>
      <c r="AA47" t="s">
        <v>25</v>
      </c>
      <c r="AC47" t="s">
        <v>22</v>
      </c>
      <c r="AD47" t="s">
        <v>282</v>
      </c>
      <c r="AE47">
        <v>3.0001053381045913E-2</v>
      </c>
      <c r="AG47" t="s">
        <v>96</v>
      </c>
      <c r="AH47" t="s">
        <v>282</v>
      </c>
      <c r="AI47">
        <v>0.12400144514471512</v>
      </c>
      <c r="AK47">
        <v>2026</v>
      </c>
      <c r="AL47" t="s">
        <v>252</v>
      </c>
      <c r="AM47">
        <v>0.60319999999999996</v>
      </c>
      <c r="AN47" t="s">
        <v>249</v>
      </c>
    </row>
    <row r="48" spans="9:40" x14ac:dyDescent="0.45">
      <c r="I48" t="s">
        <v>164</v>
      </c>
      <c r="J48" t="s">
        <v>283</v>
      </c>
      <c r="K48">
        <v>3.4991878188363134E-3</v>
      </c>
      <c r="L48" t="s">
        <v>166</v>
      </c>
      <c r="N48" t="s">
        <v>201</v>
      </c>
      <c r="O48" t="s">
        <v>283</v>
      </c>
      <c r="P48">
        <v>4.9614437565531E-3</v>
      </c>
      <c r="Q48" t="s">
        <v>166</v>
      </c>
      <c r="S48" t="s">
        <v>218</v>
      </c>
      <c r="T48" t="s">
        <v>283</v>
      </c>
      <c r="U48">
        <v>4.3810612812869411E-3</v>
      </c>
      <c r="V48" t="s">
        <v>166</v>
      </c>
      <c r="X48">
        <v>3.4246575342465752E-3</v>
      </c>
      <c r="Y48">
        <v>4.3756059965691279E-3</v>
      </c>
      <c r="Z48" t="s">
        <v>283</v>
      </c>
      <c r="AA48" t="s">
        <v>25</v>
      </c>
      <c r="AC48" t="s">
        <v>22</v>
      </c>
      <c r="AD48" t="s">
        <v>283</v>
      </c>
      <c r="AE48">
        <v>4.0661104137225106E-3</v>
      </c>
      <c r="AG48" t="s">
        <v>96</v>
      </c>
      <c r="AH48" t="s">
        <v>283</v>
      </c>
      <c r="AI48">
        <v>7.8597769582796406E-2</v>
      </c>
      <c r="AK48">
        <v>2026</v>
      </c>
      <c r="AL48" t="s">
        <v>254</v>
      </c>
      <c r="AM48">
        <v>0.56935000000000002</v>
      </c>
      <c r="AN48" t="s">
        <v>249</v>
      </c>
    </row>
    <row r="49" spans="9:40" x14ac:dyDescent="0.45">
      <c r="I49" t="s">
        <v>164</v>
      </c>
      <c r="J49" t="s">
        <v>284</v>
      </c>
      <c r="K49">
        <v>4.6959450037332415E-2</v>
      </c>
      <c r="L49" t="s">
        <v>166</v>
      </c>
      <c r="N49" t="s">
        <v>201</v>
      </c>
      <c r="O49" t="s">
        <v>284</v>
      </c>
      <c r="P49">
        <v>3.0439260252258574E-2</v>
      </c>
      <c r="Q49" t="s">
        <v>166</v>
      </c>
      <c r="S49" t="s">
        <v>218</v>
      </c>
      <c r="T49" t="s">
        <v>284</v>
      </c>
      <c r="U49">
        <v>2.7593336547495833E-2</v>
      </c>
      <c r="V49" t="s">
        <v>166</v>
      </c>
      <c r="X49">
        <v>2.3972602739726026E-2</v>
      </c>
      <c r="Y49">
        <v>3.1206026402804371E-2</v>
      </c>
      <c r="Z49" t="s">
        <v>284</v>
      </c>
      <c r="AA49" t="s">
        <v>25</v>
      </c>
      <c r="AC49" t="s">
        <v>22</v>
      </c>
      <c r="AD49" t="s">
        <v>284</v>
      </c>
      <c r="AE49">
        <v>2.918139138066745E-2</v>
      </c>
      <c r="AG49" t="s">
        <v>96</v>
      </c>
      <c r="AH49" t="s">
        <v>284</v>
      </c>
      <c r="AI49">
        <v>0.20332311288828908</v>
      </c>
      <c r="AK49">
        <v>2026</v>
      </c>
      <c r="AL49" t="s">
        <v>256</v>
      </c>
      <c r="AM49">
        <v>0.55020000000000002</v>
      </c>
      <c r="AN49" t="s">
        <v>249</v>
      </c>
    </row>
    <row r="50" spans="9:40" x14ac:dyDescent="0.45">
      <c r="I50" t="s">
        <v>164</v>
      </c>
      <c r="J50" t="s">
        <v>285</v>
      </c>
      <c r="K50">
        <v>4.3179001914411073E-3</v>
      </c>
      <c r="L50" t="s">
        <v>166</v>
      </c>
      <c r="N50" t="s">
        <v>201</v>
      </c>
      <c r="O50" t="s">
        <v>285</v>
      </c>
      <c r="P50">
        <v>3.7482541094422208E-3</v>
      </c>
      <c r="Q50" t="s">
        <v>166</v>
      </c>
      <c r="S50" t="s">
        <v>218</v>
      </c>
      <c r="T50" t="s">
        <v>285</v>
      </c>
      <c r="U50">
        <v>3.9793195683790056E-3</v>
      </c>
      <c r="V50" t="s">
        <v>166</v>
      </c>
      <c r="X50">
        <v>3.4246575342465752E-3</v>
      </c>
      <c r="Y50">
        <v>6.662854585684809E-3</v>
      </c>
      <c r="Z50" t="s">
        <v>285</v>
      </c>
      <c r="AA50" t="s">
        <v>25</v>
      </c>
      <c r="AC50" t="s">
        <v>22</v>
      </c>
      <c r="AD50" t="s">
        <v>285</v>
      </c>
      <c r="AE50">
        <v>2.2030043627913748E-3</v>
      </c>
      <c r="AG50" t="s">
        <v>96</v>
      </c>
      <c r="AH50" t="s">
        <v>285</v>
      </c>
      <c r="AI50">
        <v>3.4296234907621903E-2</v>
      </c>
      <c r="AK50">
        <v>2026</v>
      </c>
      <c r="AL50" t="s">
        <v>257</v>
      </c>
      <c r="AM50">
        <v>0.49680000000000002</v>
      </c>
      <c r="AN50" t="s">
        <v>249</v>
      </c>
    </row>
    <row r="51" spans="9:40" x14ac:dyDescent="0.45">
      <c r="I51" t="s">
        <v>164</v>
      </c>
      <c r="J51" t="s">
        <v>286</v>
      </c>
      <c r="K51">
        <v>2.4941423596588031E-3</v>
      </c>
      <c r="L51" t="s">
        <v>166</v>
      </c>
      <c r="N51" t="s">
        <v>201</v>
      </c>
      <c r="O51" t="s">
        <v>286</v>
      </c>
      <c r="P51">
        <v>6.2719052754413923E-3</v>
      </c>
      <c r="Q51" t="s">
        <v>166</v>
      </c>
      <c r="S51" t="s">
        <v>218</v>
      </c>
      <c r="T51" t="s">
        <v>286</v>
      </c>
      <c r="U51">
        <v>8.2469263180252779E-3</v>
      </c>
      <c r="V51" t="s">
        <v>166</v>
      </c>
      <c r="X51">
        <v>6.8493150684931503E-3</v>
      </c>
      <c r="Y51">
        <v>1.1834025308902863E-2</v>
      </c>
      <c r="Z51" t="s">
        <v>286</v>
      </c>
      <c r="AA51" t="s">
        <v>25</v>
      </c>
      <c r="AC51" t="s">
        <v>22</v>
      </c>
      <c r="AD51" t="s">
        <v>286</v>
      </c>
      <c r="AE51">
        <v>2.5019122670972066E-3</v>
      </c>
      <c r="AG51" t="s">
        <v>96</v>
      </c>
      <c r="AH51" t="s">
        <v>286</v>
      </c>
      <c r="AI51">
        <v>3.0588028048404547E-2</v>
      </c>
      <c r="AK51">
        <v>2027</v>
      </c>
      <c r="AL51" t="s">
        <v>154</v>
      </c>
      <c r="AM51">
        <v>0.27327499999999999</v>
      </c>
      <c r="AN51" t="s">
        <v>249</v>
      </c>
    </row>
    <row r="52" spans="9:40" x14ac:dyDescent="0.45">
      <c r="I52" t="s">
        <v>164</v>
      </c>
      <c r="J52" t="s">
        <v>287</v>
      </c>
      <c r="K52">
        <v>0</v>
      </c>
      <c r="L52" t="s">
        <v>166</v>
      </c>
      <c r="N52" t="s">
        <v>201</v>
      </c>
      <c r="O52" t="s">
        <v>287</v>
      </c>
      <c r="P52">
        <v>1.8221389490419345E-2</v>
      </c>
      <c r="Q52" t="s">
        <v>166</v>
      </c>
      <c r="S52" t="s">
        <v>218</v>
      </c>
      <c r="T52" t="s">
        <v>287</v>
      </c>
      <c r="U52">
        <v>2.3589513412686329E-2</v>
      </c>
      <c r="V52" t="s">
        <v>166</v>
      </c>
      <c r="X52">
        <v>1.7123287671232876E-2</v>
      </c>
      <c r="Y52">
        <v>1.2927926808045149E-2</v>
      </c>
      <c r="Z52" t="s">
        <v>287</v>
      </c>
      <c r="AA52" t="s">
        <v>25</v>
      </c>
      <c r="AC52" t="s">
        <v>22</v>
      </c>
      <c r="AD52" t="s">
        <v>287</v>
      </c>
      <c r="AE52">
        <v>8.3783451170603637E-3</v>
      </c>
      <c r="AG52" t="s">
        <v>96</v>
      </c>
      <c r="AH52" t="s">
        <v>287</v>
      </c>
      <c r="AI52">
        <v>0.1368834281942457</v>
      </c>
      <c r="AK52">
        <v>2027</v>
      </c>
      <c r="AL52" t="s">
        <v>158</v>
      </c>
      <c r="AM52">
        <v>0.38400000000000001</v>
      </c>
      <c r="AN52" t="s">
        <v>249</v>
      </c>
    </row>
    <row r="53" spans="9:40" x14ac:dyDescent="0.45">
      <c r="I53" t="s">
        <v>164</v>
      </c>
      <c r="J53" t="s">
        <v>288</v>
      </c>
      <c r="K53">
        <v>1.318361825505196E-3</v>
      </c>
      <c r="L53" t="s">
        <v>166</v>
      </c>
      <c r="N53" t="s">
        <v>201</v>
      </c>
      <c r="O53" t="s">
        <v>288</v>
      </c>
      <c r="P53">
        <v>3.4942946645856322E-2</v>
      </c>
      <c r="Q53" t="s">
        <v>166</v>
      </c>
      <c r="S53" t="s">
        <v>218</v>
      </c>
      <c r="T53" t="s">
        <v>288</v>
      </c>
      <c r="U53">
        <v>6.3240074869887586E-2</v>
      </c>
      <c r="V53" t="s">
        <v>166</v>
      </c>
      <c r="X53">
        <v>2.8310502283105023E-2</v>
      </c>
      <c r="Y53">
        <v>1.5691519777241876E-2</v>
      </c>
      <c r="Z53" t="s">
        <v>288</v>
      </c>
      <c r="AA53" t="s">
        <v>25</v>
      </c>
      <c r="AC53" t="s">
        <v>22</v>
      </c>
      <c r="AD53" t="s">
        <v>288</v>
      </c>
      <c r="AE53">
        <v>2.52797257100245E-2</v>
      </c>
      <c r="AG53" t="s">
        <v>96</v>
      </c>
      <c r="AH53" t="s">
        <v>288</v>
      </c>
      <c r="AI53">
        <v>0.10836729109311483</v>
      </c>
      <c r="AK53">
        <v>2027</v>
      </c>
      <c r="AL53" t="s">
        <v>160</v>
      </c>
      <c r="AM53">
        <v>0.42130000000000001</v>
      </c>
      <c r="AN53" t="s">
        <v>249</v>
      </c>
    </row>
    <row r="54" spans="9:40" x14ac:dyDescent="0.45">
      <c r="I54" t="s">
        <v>164</v>
      </c>
      <c r="J54" t="s">
        <v>289</v>
      </c>
      <c r="K54">
        <v>2.711026978010362E-3</v>
      </c>
      <c r="L54" t="s">
        <v>166</v>
      </c>
      <c r="N54" t="s">
        <v>201</v>
      </c>
      <c r="O54" t="s">
        <v>289</v>
      </c>
      <c r="P54">
        <v>4.5894171504327706E-3</v>
      </c>
      <c r="Q54" t="s">
        <v>166</v>
      </c>
      <c r="S54" t="s">
        <v>218</v>
      </c>
      <c r="T54" t="s">
        <v>289</v>
      </c>
      <c r="U54">
        <v>7.9746396475785797E-3</v>
      </c>
      <c r="V54" t="s">
        <v>166</v>
      </c>
      <c r="X54">
        <v>3.5388127853881279E-3</v>
      </c>
      <c r="Y54">
        <v>4.521459529788099E-3</v>
      </c>
      <c r="Z54" t="s">
        <v>289</v>
      </c>
      <c r="AA54" t="s">
        <v>25</v>
      </c>
      <c r="AC54" t="s">
        <v>22</v>
      </c>
      <c r="AD54" t="s">
        <v>289</v>
      </c>
      <c r="AE54">
        <v>3.5073990760722392E-3</v>
      </c>
      <c r="AG54" t="s">
        <v>96</v>
      </c>
      <c r="AH54" t="s">
        <v>289</v>
      </c>
      <c r="AI54">
        <v>5.7770046565276845E-2</v>
      </c>
      <c r="AK54">
        <v>2027</v>
      </c>
      <c r="AL54" t="s">
        <v>162</v>
      </c>
      <c r="AM54">
        <v>0.52080000000000004</v>
      </c>
      <c r="AN54" t="s">
        <v>249</v>
      </c>
    </row>
    <row r="55" spans="9:40" x14ac:dyDescent="0.45">
      <c r="I55" t="s">
        <v>164</v>
      </c>
      <c r="J55" t="s">
        <v>290</v>
      </c>
      <c r="K55">
        <v>4.2176880950708061E-2</v>
      </c>
      <c r="L55" t="s">
        <v>166</v>
      </c>
      <c r="N55" t="s">
        <v>201</v>
      </c>
      <c r="O55" t="s">
        <v>290</v>
      </c>
      <c r="P55">
        <v>2.5572471611997223E-2</v>
      </c>
      <c r="Q55" t="s">
        <v>166</v>
      </c>
      <c r="S55" t="s">
        <v>218</v>
      </c>
      <c r="T55" t="s">
        <v>290</v>
      </c>
      <c r="U55">
        <v>5.8434367308718718E-2</v>
      </c>
      <c r="V55" t="s">
        <v>166</v>
      </c>
      <c r="X55">
        <v>2.4771689497716895E-2</v>
      </c>
      <c r="Y55">
        <v>3.2246227282897846E-2</v>
      </c>
      <c r="Z55" t="s">
        <v>290</v>
      </c>
      <c r="AA55" t="s">
        <v>25</v>
      </c>
      <c r="AC55" t="s">
        <v>22</v>
      </c>
      <c r="AD55" t="s">
        <v>290</v>
      </c>
      <c r="AE55">
        <v>2.4969639435958455E-2</v>
      </c>
      <c r="AG55" t="s">
        <v>96</v>
      </c>
      <c r="AH55" t="s">
        <v>290</v>
      </c>
      <c r="AI55">
        <v>0.11931214463174533</v>
      </c>
      <c r="AK55">
        <v>2027</v>
      </c>
      <c r="AL55" t="s">
        <v>252</v>
      </c>
      <c r="AM55">
        <v>0.59830000000000005</v>
      </c>
      <c r="AN55" t="s">
        <v>249</v>
      </c>
    </row>
    <row r="56" spans="9:40" x14ac:dyDescent="0.45">
      <c r="I56" t="s">
        <v>164</v>
      </c>
      <c r="J56" t="s">
        <v>291</v>
      </c>
      <c r="K56">
        <v>3.7108883951681312E-3</v>
      </c>
      <c r="L56" t="s">
        <v>166</v>
      </c>
      <c r="N56" t="s">
        <v>201</v>
      </c>
      <c r="O56" t="s">
        <v>291</v>
      </c>
      <c r="P56">
        <v>2.8377858686163683E-3</v>
      </c>
      <c r="Q56" t="s">
        <v>166</v>
      </c>
      <c r="S56" t="s">
        <v>218</v>
      </c>
      <c r="T56" t="s">
        <v>291</v>
      </c>
      <c r="U56">
        <v>8.5157678887554863E-3</v>
      </c>
      <c r="V56" t="s">
        <v>166</v>
      </c>
      <c r="X56">
        <v>3.5388127853881279E-3</v>
      </c>
      <c r="Y56">
        <v>6.8849497385409693E-3</v>
      </c>
      <c r="Z56" t="s">
        <v>291</v>
      </c>
      <c r="AA56" t="s">
        <v>25</v>
      </c>
      <c r="AC56" t="s">
        <v>22</v>
      </c>
      <c r="AD56" t="s">
        <v>291</v>
      </c>
      <c r="AE56">
        <v>1.7884051699838376E-3</v>
      </c>
      <c r="AG56" t="s">
        <v>96</v>
      </c>
      <c r="AH56" t="s">
        <v>291</v>
      </c>
      <c r="AI56">
        <v>5.9486905398182799E-2</v>
      </c>
      <c r="AK56">
        <v>2027</v>
      </c>
      <c r="AL56" t="s">
        <v>254</v>
      </c>
      <c r="AM56">
        <v>0.56725000000000003</v>
      </c>
      <c r="AN56" t="s">
        <v>249</v>
      </c>
    </row>
    <row r="57" spans="9:40" x14ac:dyDescent="0.45">
      <c r="I57" t="s">
        <v>164</v>
      </c>
      <c r="J57" t="s">
        <v>292</v>
      </c>
      <c r="K57">
        <v>2.1852702157995974E-3</v>
      </c>
      <c r="L57" t="s">
        <v>166</v>
      </c>
      <c r="N57" t="s">
        <v>201</v>
      </c>
      <c r="O57" t="s">
        <v>292</v>
      </c>
      <c r="P57">
        <v>4.7651584427138944E-3</v>
      </c>
      <c r="Q57" t="s">
        <v>166</v>
      </c>
      <c r="S57" t="s">
        <v>218</v>
      </c>
      <c r="T57" t="s">
        <v>292</v>
      </c>
      <c r="U57">
        <v>1.6757111705286976E-2</v>
      </c>
      <c r="V57" t="s">
        <v>166</v>
      </c>
      <c r="X57">
        <v>7.0776255707762558E-3</v>
      </c>
      <c r="Y57">
        <v>1.2228492819199624E-2</v>
      </c>
      <c r="Z57" t="s">
        <v>292</v>
      </c>
      <c r="AA57" t="s">
        <v>25</v>
      </c>
      <c r="AC57" t="s">
        <v>22</v>
      </c>
      <c r="AD57" t="s">
        <v>292</v>
      </c>
      <c r="AE57">
        <v>1.747942617549487E-3</v>
      </c>
      <c r="AG57" t="s">
        <v>96</v>
      </c>
      <c r="AH57" t="s">
        <v>292</v>
      </c>
      <c r="AI57">
        <v>1.1943858661108475E-2</v>
      </c>
      <c r="AK57">
        <v>2027</v>
      </c>
      <c r="AL57" t="s">
        <v>256</v>
      </c>
      <c r="AM57">
        <v>0.57240000000000002</v>
      </c>
      <c r="AN57" t="s">
        <v>249</v>
      </c>
    </row>
    <row r="58" spans="9:40" x14ac:dyDescent="0.45">
      <c r="I58" t="s">
        <v>164</v>
      </c>
      <c r="J58" t="s">
        <v>293</v>
      </c>
      <c r="K58">
        <v>0</v>
      </c>
      <c r="L58" t="s">
        <v>166</v>
      </c>
      <c r="N58" t="s">
        <v>201</v>
      </c>
      <c r="O58" t="s">
        <v>293</v>
      </c>
      <c r="P58">
        <v>1.6011200468114231E-2</v>
      </c>
      <c r="Q58" t="s">
        <v>166</v>
      </c>
      <c r="S58" t="s">
        <v>218</v>
      </c>
      <c r="T58" t="s">
        <v>293</v>
      </c>
      <c r="U58">
        <v>4.5250720046575925E-2</v>
      </c>
      <c r="V58" t="s">
        <v>166</v>
      </c>
      <c r="X58">
        <v>1.7694063926940638E-2</v>
      </c>
      <c r="Y58">
        <v>1.3358857701646654E-2</v>
      </c>
      <c r="Z58" t="s">
        <v>293</v>
      </c>
      <c r="AA58" t="s">
        <v>25</v>
      </c>
      <c r="AC58" t="s">
        <v>22</v>
      </c>
      <c r="AD58" t="s">
        <v>293</v>
      </c>
      <c r="AE58">
        <v>5.5878085605489368E-3</v>
      </c>
      <c r="AG58" t="s">
        <v>96</v>
      </c>
      <c r="AH58" t="s">
        <v>293</v>
      </c>
      <c r="AI58">
        <v>0.14878203841263482</v>
      </c>
      <c r="AK58">
        <v>2027</v>
      </c>
      <c r="AL58" t="s">
        <v>257</v>
      </c>
      <c r="AM58">
        <v>0.46779999999999999</v>
      </c>
      <c r="AN58" t="s">
        <v>249</v>
      </c>
    </row>
    <row r="59" spans="9:40" x14ac:dyDescent="0.45">
      <c r="I59" t="s">
        <v>178</v>
      </c>
      <c r="J59" t="s">
        <v>165</v>
      </c>
      <c r="K59">
        <v>1.1996435002618469E-2</v>
      </c>
      <c r="L59" t="s">
        <v>166</v>
      </c>
      <c r="N59" t="s">
        <v>202</v>
      </c>
      <c r="O59" t="s">
        <v>165</v>
      </c>
      <c r="P59">
        <v>0.11696288516462837</v>
      </c>
      <c r="Q59" t="s">
        <v>166</v>
      </c>
      <c r="S59" t="s">
        <v>219</v>
      </c>
      <c r="T59" t="s">
        <v>165</v>
      </c>
      <c r="U59">
        <v>0.12599924129966267</v>
      </c>
      <c r="V59" t="s">
        <v>166</v>
      </c>
      <c r="AC59" t="s">
        <v>19</v>
      </c>
      <c r="AD59" t="s">
        <v>165</v>
      </c>
      <c r="AE59">
        <v>0.1102899641505703</v>
      </c>
      <c r="AK59">
        <v>2028</v>
      </c>
      <c r="AL59" t="s">
        <v>154</v>
      </c>
      <c r="AM59">
        <v>0.30019999999999997</v>
      </c>
      <c r="AN59" t="s">
        <v>249</v>
      </c>
    </row>
    <row r="60" spans="9:40" x14ac:dyDescent="0.45">
      <c r="I60" t="s">
        <v>178</v>
      </c>
      <c r="J60" t="s">
        <v>167</v>
      </c>
      <c r="K60">
        <v>2.1599875530801838E-2</v>
      </c>
      <c r="L60" t="s">
        <v>166</v>
      </c>
      <c r="N60" t="s">
        <v>202</v>
      </c>
      <c r="O60" t="s">
        <v>167</v>
      </c>
      <c r="P60">
        <v>1.5634328866404527E-2</v>
      </c>
      <c r="Q60" t="s">
        <v>166</v>
      </c>
      <c r="S60" t="s">
        <v>219</v>
      </c>
      <c r="T60" t="s">
        <v>167</v>
      </c>
      <c r="U60">
        <v>1.8732556792416491E-2</v>
      </c>
      <c r="V60" t="s">
        <v>166</v>
      </c>
      <c r="AC60" t="s">
        <v>19</v>
      </c>
      <c r="AD60" t="s">
        <v>167</v>
      </c>
      <c r="AE60">
        <v>1.385678722704963E-2</v>
      </c>
      <c r="AK60">
        <v>2028</v>
      </c>
      <c r="AL60" t="s">
        <v>158</v>
      </c>
      <c r="AM60">
        <v>0.3826</v>
      </c>
      <c r="AN60" t="s">
        <v>249</v>
      </c>
    </row>
    <row r="61" spans="9:40" x14ac:dyDescent="0.45">
      <c r="I61" t="s">
        <v>178</v>
      </c>
      <c r="J61" t="s">
        <v>168</v>
      </c>
      <c r="K61">
        <v>0.26192481114699973</v>
      </c>
      <c r="L61" t="s">
        <v>166</v>
      </c>
      <c r="N61" t="s">
        <v>202</v>
      </c>
      <c r="O61" t="s">
        <v>168</v>
      </c>
      <c r="P61">
        <v>0.13857551222439596</v>
      </c>
      <c r="Q61" t="s">
        <v>166</v>
      </c>
      <c r="S61" t="s">
        <v>219</v>
      </c>
      <c r="T61" t="s">
        <v>168</v>
      </c>
      <c r="U61">
        <v>0.12973814889073026</v>
      </c>
      <c r="V61" t="s">
        <v>166</v>
      </c>
      <c r="AC61" t="s">
        <v>19</v>
      </c>
      <c r="AD61" t="s">
        <v>168</v>
      </c>
      <c r="AE61">
        <v>9.7022846890855774E-2</v>
      </c>
      <c r="AK61">
        <v>2028</v>
      </c>
      <c r="AL61" t="s">
        <v>160</v>
      </c>
      <c r="AM61">
        <v>0.41830000000000001</v>
      </c>
      <c r="AN61" t="s">
        <v>249</v>
      </c>
    </row>
    <row r="62" spans="9:40" x14ac:dyDescent="0.45">
      <c r="I62" t="s">
        <v>178</v>
      </c>
      <c r="J62" t="s">
        <v>258</v>
      </c>
      <c r="K62">
        <v>2.7693666872478172E-2</v>
      </c>
      <c r="L62" t="s">
        <v>166</v>
      </c>
      <c r="N62" t="s">
        <v>202</v>
      </c>
      <c r="O62" t="s">
        <v>258</v>
      </c>
      <c r="P62">
        <v>1.9673109328597935E-2</v>
      </c>
      <c r="Q62" t="s">
        <v>166</v>
      </c>
      <c r="S62" t="s">
        <v>219</v>
      </c>
      <c r="T62" t="s">
        <v>258</v>
      </c>
      <c r="U62">
        <v>1.7870811435278987E-2</v>
      </c>
      <c r="V62" t="s">
        <v>166</v>
      </c>
      <c r="AC62" t="s">
        <v>19</v>
      </c>
      <c r="AD62" t="s">
        <v>258</v>
      </c>
      <c r="AE62">
        <v>1.3525805811810464E-2</v>
      </c>
      <c r="AK62">
        <v>2028</v>
      </c>
      <c r="AL62" t="s">
        <v>162</v>
      </c>
      <c r="AM62">
        <v>0.53290000000000004</v>
      </c>
      <c r="AN62" t="s">
        <v>249</v>
      </c>
    </row>
    <row r="63" spans="9:40" x14ac:dyDescent="0.45">
      <c r="I63" t="s">
        <v>178</v>
      </c>
      <c r="J63" t="s">
        <v>259</v>
      </c>
      <c r="K63">
        <v>2.8549429962738043E-2</v>
      </c>
      <c r="L63" t="s">
        <v>166</v>
      </c>
      <c r="N63" t="s">
        <v>202</v>
      </c>
      <c r="O63" t="s">
        <v>259</v>
      </c>
      <c r="P63">
        <v>3.3859081929541388E-2</v>
      </c>
      <c r="Q63" t="s">
        <v>166</v>
      </c>
      <c r="S63" t="s">
        <v>219</v>
      </c>
      <c r="T63" t="s">
        <v>259</v>
      </c>
      <c r="U63">
        <v>3.18599241439919E-2</v>
      </c>
      <c r="V63" t="s">
        <v>166</v>
      </c>
      <c r="AC63" t="s">
        <v>19</v>
      </c>
      <c r="AD63" t="s">
        <v>259</v>
      </c>
      <c r="AE63">
        <v>2.686133468329371E-2</v>
      </c>
      <c r="AK63">
        <v>2028</v>
      </c>
      <c r="AL63" t="s">
        <v>252</v>
      </c>
      <c r="AM63">
        <v>0.5867</v>
      </c>
      <c r="AN63" t="s">
        <v>249</v>
      </c>
    </row>
    <row r="64" spans="9:40" x14ac:dyDescent="0.45">
      <c r="I64" t="s">
        <v>178</v>
      </c>
      <c r="J64" t="s">
        <v>260</v>
      </c>
      <c r="K64">
        <v>0</v>
      </c>
      <c r="L64" t="s">
        <v>166</v>
      </c>
      <c r="N64" t="s">
        <v>202</v>
      </c>
      <c r="O64" t="s">
        <v>260</v>
      </c>
      <c r="P64">
        <v>9.1298610638459232E-2</v>
      </c>
      <c r="Q64" t="s">
        <v>166</v>
      </c>
      <c r="S64" t="s">
        <v>219</v>
      </c>
      <c r="T64" t="s">
        <v>260</v>
      </c>
      <c r="U64">
        <v>8.1784507152648706E-2</v>
      </c>
      <c r="V64" t="s">
        <v>166</v>
      </c>
      <c r="AC64" t="s">
        <v>19</v>
      </c>
      <c r="AD64" t="s">
        <v>260</v>
      </c>
      <c r="AE64">
        <v>6.7217095220797482E-2</v>
      </c>
      <c r="AK64">
        <v>2028</v>
      </c>
      <c r="AL64" t="s">
        <v>254</v>
      </c>
      <c r="AM64">
        <v>0.57139999999999991</v>
      </c>
      <c r="AN64" t="s">
        <v>249</v>
      </c>
    </row>
    <row r="65" spans="9:40" x14ac:dyDescent="0.45">
      <c r="I65" t="s">
        <v>178</v>
      </c>
      <c r="J65" t="s">
        <v>169</v>
      </c>
      <c r="K65">
        <v>9.9828154611338454E-3</v>
      </c>
      <c r="L65" t="s">
        <v>166</v>
      </c>
      <c r="N65" t="s">
        <v>202</v>
      </c>
      <c r="O65" t="s">
        <v>169</v>
      </c>
      <c r="P65">
        <v>2.1484398443337552E-2</v>
      </c>
      <c r="Q65" t="s">
        <v>166</v>
      </c>
      <c r="S65" t="s">
        <v>219</v>
      </c>
      <c r="T65" t="s">
        <v>169</v>
      </c>
      <c r="U65">
        <v>7.2370410864018757E-3</v>
      </c>
      <c r="V65" t="s">
        <v>166</v>
      </c>
      <c r="AC65" t="s">
        <v>19</v>
      </c>
      <c r="AD65" t="s">
        <v>169</v>
      </c>
      <c r="AE65">
        <v>2.8474196418916759E-2</v>
      </c>
      <c r="AK65">
        <v>2028</v>
      </c>
      <c r="AL65" t="s">
        <v>256</v>
      </c>
      <c r="AM65">
        <v>0.5141</v>
      </c>
      <c r="AN65" t="s">
        <v>249</v>
      </c>
    </row>
    <row r="66" spans="9:40" x14ac:dyDescent="0.45">
      <c r="I66" t="s">
        <v>178</v>
      </c>
      <c r="J66" t="s">
        <v>170</v>
      </c>
      <c r="K66">
        <v>8.8480265256569227E-3</v>
      </c>
      <c r="L66" t="s">
        <v>166</v>
      </c>
      <c r="N66" t="s">
        <v>202</v>
      </c>
      <c r="O66" t="s">
        <v>170</v>
      </c>
      <c r="P66">
        <v>2.7447091467133625E-3</v>
      </c>
      <c r="Q66" t="s">
        <v>166</v>
      </c>
      <c r="S66" t="s">
        <v>219</v>
      </c>
      <c r="T66" t="s">
        <v>170</v>
      </c>
      <c r="U66">
        <v>1.049960470285992E-3</v>
      </c>
      <c r="V66" t="s">
        <v>166</v>
      </c>
      <c r="AC66" t="s">
        <v>19</v>
      </c>
      <c r="AD66" t="s">
        <v>170</v>
      </c>
      <c r="AE66">
        <v>3.5755249551763799E-3</v>
      </c>
      <c r="AK66">
        <v>2028</v>
      </c>
      <c r="AL66" t="s">
        <v>257</v>
      </c>
      <c r="AM66">
        <v>0.48449999999999999</v>
      </c>
      <c r="AN66" t="s">
        <v>249</v>
      </c>
    </row>
    <row r="67" spans="9:40" x14ac:dyDescent="0.45">
      <c r="I67" t="s">
        <v>178</v>
      </c>
      <c r="J67" t="s">
        <v>171</v>
      </c>
      <c r="K67">
        <v>8.1639757565544327E-2</v>
      </c>
      <c r="L67" t="s">
        <v>166</v>
      </c>
      <c r="N67" t="s">
        <v>202</v>
      </c>
      <c r="O67" t="s">
        <v>171</v>
      </c>
      <c r="P67">
        <v>2.3970818712957361E-2</v>
      </c>
      <c r="Q67" t="s">
        <v>166</v>
      </c>
      <c r="S67" t="s">
        <v>219</v>
      </c>
      <c r="T67" t="s">
        <v>171</v>
      </c>
      <c r="U67">
        <v>7.8586509392017997E-3</v>
      </c>
      <c r="V67" t="s">
        <v>166</v>
      </c>
      <c r="AC67" t="s">
        <v>19</v>
      </c>
      <c r="AD67" t="s">
        <v>171</v>
      </c>
      <c r="AE67">
        <v>2.5023292816875355E-2</v>
      </c>
      <c r="AK67">
        <v>2029</v>
      </c>
      <c r="AL67" t="s">
        <v>154</v>
      </c>
      <c r="AM67">
        <v>0.29725000000000001</v>
      </c>
      <c r="AN67" t="s">
        <v>249</v>
      </c>
    </row>
    <row r="68" spans="9:40" x14ac:dyDescent="0.45">
      <c r="I68" t="s">
        <v>178</v>
      </c>
      <c r="J68" t="s">
        <v>261</v>
      </c>
      <c r="K68">
        <v>6.9624924225743469E-3</v>
      </c>
      <c r="L68" t="s">
        <v>166</v>
      </c>
      <c r="N68" t="s">
        <v>202</v>
      </c>
      <c r="O68" t="s">
        <v>261</v>
      </c>
      <c r="P68">
        <v>3.6184494641260563E-3</v>
      </c>
      <c r="Q68" t="s">
        <v>166</v>
      </c>
      <c r="S68" t="s">
        <v>219</v>
      </c>
      <c r="T68" t="s">
        <v>261</v>
      </c>
      <c r="U68">
        <v>1.0209315145689847E-3</v>
      </c>
      <c r="V68" t="s">
        <v>166</v>
      </c>
      <c r="AC68" t="s">
        <v>19</v>
      </c>
      <c r="AD68" t="s">
        <v>261</v>
      </c>
      <c r="AE68">
        <v>3.5107034654255197E-3</v>
      </c>
      <c r="AK68">
        <v>2029</v>
      </c>
      <c r="AL68" t="s">
        <v>158</v>
      </c>
      <c r="AM68">
        <v>0.3488</v>
      </c>
      <c r="AN68" t="s">
        <v>249</v>
      </c>
    </row>
    <row r="69" spans="9:40" x14ac:dyDescent="0.45">
      <c r="I69" t="s">
        <v>178</v>
      </c>
      <c r="J69" t="s">
        <v>262</v>
      </c>
      <c r="K69">
        <v>7.9590784020497265E-3</v>
      </c>
      <c r="L69" t="s">
        <v>166</v>
      </c>
      <c r="N69" t="s">
        <v>202</v>
      </c>
      <c r="O69" t="s">
        <v>262</v>
      </c>
      <c r="P69">
        <v>6.7199414729307927E-3</v>
      </c>
      <c r="Q69" t="s">
        <v>166</v>
      </c>
      <c r="S69" t="s">
        <v>219</v>
      </c>
      <c r="T69" t="s">
        <v>262</v>
      </c>
      <c r="U69">
        <v>1.1581594262494084E-3</v>
      </c>
      <c r="V69" t="s">
        <v>166</v>
      </c>
      <c r="AC69" t="s">
        <v>19</v>
      </c>
      <c r="AD69" t="s">
        <v>262</v>
      </c>
      <c r="AE69">
        <v>6.9994917543193345E-3</v>
      </c>
      <c r="AK69">
        <v>2029</v>
      </c>
      <c r="AL69" t="s">
        <v>160</v>
      </c>
      <c r="AM69">
        <v>0.43059999999999998</v>
      </c>
      <c r="AN69" t="s">
        <v>249</v>
      </c>
    </row>
    <row r="70" spans="9:40" x14ac:dyDescent="0.45">
      <c r="I70" t="s">
        <v>178</v>
      </c>
      <c r="J70" t="s">
        <v>263</v>
      </c>
      <c r="K70">
        <v>0</v>
      </c>
      <c r="L70" t="s">
        <v>166</v>
      </c>
      <c r="N70" t="s">
        <v>202</v>
      </c>
      <c r="O70" t="s">
        <v>263</v>
      </c>
      <c r="P70">
        <v>1.8196932484759759E-2</v>
      </c>
      <c r="Q70" t="s">
        <v>166</v>
      </c>
      <c r="S70" t="s">
        <v>219</v>
      </c>
      <c r="T70" t="s">
        <v>263</v>
      </c>
      <c r="U70">
        <v>2.6890814576017823E-3</v>
      </c>
      <c r="V70" t="s">
        <v>166</v>
      </c>
      <c r="AC70" t="s">
        <v>19</v>
      </c>
      <c r="AD70" t="s">
        <v>263</v>
      </c>
      <c r="AE70">
        <v>1.7438114596906081E-2</v>
      </c>
      <c r="AK70">
        <v>2029</v>
      </c>
      <c r="AL70" t="s">
        <v>162</v>
      </c>
      <c r="AM70">
        <v>0.50980000000000003</v>
      </c>
      <c r="AN70" t="s">
        <v>249</v>
      </c>
    </row>
    <row r="71" spans="9:40" x14ac:dyDescent="0.45">
      <c r="I71" t="s">
        <v>178</v>
      </c>
      <c r="J71" t="s">
        <v>172</v>
      </c>
      <c r="K71">
        <v>7.4403523747897894E-3</v>
      </c>
      <c r="L71" t="s">
        <v>166</v>
      </c>
      <c r="N71" t="s">
        <v>202</v>
      </c>
      <c r="O71" t="s">
        <v>172</v>
      </c>
      <c r="P71">
        <v>2.2599754213691675E-2</v>
      </c>
      <c r="Q71" t="s">
        <v>166</v>
      </c>
      <c r="S71" t="s">
        <v>219</v>
      </c>
      <c r="T71" t="s">
        <v>172</v>
      </c>
      <c r="U71">
        <v>1.8943154009171858E-2</v>
      </c>
      <c r="V71" t="s">
        <v>166</v>
      </c>
      <c r="AC71" t="s">
        <v>19</v>
      </c>
      <c r="AD71" t="s">
        <v>172</v>
      </c>
      <c r="AE71">
        <v>2.7634729949640193E-2</v>
      </c>
      <c r="AK71">
        <v>2029</v>
      </c>
      <c r="AL71" t="s">
        <v>252</v>
      </c>
      <c r="AM71">
        <v>0.55149999999999999</v>
      </c>
      <c r="AN71" t="s">
        <v>249</v>
      </c>
    </row>
    <row r="72" spans="9:40" x14ac:dyDescent="0.45">
      <c r="I72" t="s">
        <v>178</v>
      </c>
      <c r="J72" t="s">
        <v>173</v>
      </c>
      <c r="K72">
        <v>6.7902170137985165E-3</v>
      </c>
      <c r="L72" t="s">
        <v>166</v>
      </c>
      <c r="N72" t="s">
        <v>202</v>
      </c>
      <c r="O72" t="s">
        <v>173</v>
      </c>
      <c r="P72">
        <v>3.372756402339696E-3</v>
      </c>
      <c r="Q72" t="s">
        <v>166</v>
      </c>
      <c r="S72" t="s">
        <v>219</v>
      </c>
      <c r="T72" t="s">
        <v>173</v>
      </c>
      <c r="U72">
        <v>2.151475454942875E-3</v>
      </c>
      <c r="V72" t="s">
        <v>166</v>
      </c>
      <c r="AC72" t="s">
        <v>19</v>
      </c>
      <c r="AD72" t="s">
        <v>173</v>
      </c>
      <c r="AE72">
        <v>3.4723746954811409E-3</v>
      </c>
      <c r="AK72">
        <v>2029</v>
      </c>
      <c r="AL72" t="s">
        <v>254</v>
      </c>
      <c r="AM72">
        <v>0.57464999999999999</v>
      </c>
      <c r="AN72" t="s">
        <v>249</v>
      </c>
    </row>
    <row r="73" spans="9:40" x14ac:dyDescent="0.45">
      <c r="I73" t="s">
        <v>178</v>
      </c>
      <c r="J73" t="s">
        <v>174</v>
      </c>
      <c r="K73">
        <v>6.6673412966334694E-2</v>
      </c>
      <c r="L73" t="s">
        <v>166</v>
      </c>
      <c r="N73" t="s">
        <v>202</v>
      </c>
      <c r="O73" t="s">
        <v>174</v>
      </c>
      <c r="P73">
        <v>2.6636057559598057E-2</v>
      </c>
      <c r="Q73" t="s">
        <v>166</v>
      </c>
      <c r="S73" t="s">
        <v>219</v>
      </c>
      <c r="T73" t="s">
        <v>174</v>
      </c>
      <c r="U73">
        <v>1.6852948975944491E-2</v>
      </c>
      <c r="V73" t="s">
        <v>166</v>
      </c>
      <c r="AC73" t="s">
        <v>19</v>
      </c>
      <c r="AD73" t="s">
        <v>174</v>
      </c>
      <c r="AE73">
        <v>2.4326912927694091E-2</v>
      </c>
      <c r="AK73">
        <v>2029</v>
      </c>
      <c r="AL73" t="s">
        <v>256</v>
      </c>
      <c r="AM73">
        <v>0.55679999999999996</v>
      </c>
      <c r="AN73" t="s">
        <v>249</v>
      </c>
    </row>
    <row r="74" spans="9:40" x14ac:dyDescent="0.45">
      <c r="I74" t="s">
        <v>178</v>
      </c>
      <c r="J74" t="s">
        <v>264</v>
      </c>
      <c r="K74">
        <v>6.5653949634213718E-3</v>
      </c>
      <c r="L74" t="s">
        <v>166</v>
      </c>
      <c r="N74" t="s">
        <v>202</v>
      </c>
      <c r="O74" t="s">
        <v>264</v>
      </c>
      <c r="P74">
        <v>3.5164083097708326E-3</v>
      </c>
      <c r="Q74" t="s">
        <v>166</v>
      </c>
      <c r="S74" t="s">
        <v>219</v>
      </c>
      <c r="T74" t="s">
        <v>264</v>
      </c>
      <c r="U74">
        <v>2.3530841832759106E-3</v>
      </c>
      <c r="V74" t="s">
        <v>166</v>
      </c>
      <c r="AC74" t="s">
        <v>19</v>
      </c>
      <c r="AD74" t="s">
        <v>264</v>
      </c>
      <c r="AE74">
        <v>3.4098325355715205E-3</v>
      </c>
      <c r="AK74">
        <v>2029</v>
      </c>
      <c r="AL74" t="s">
        <v>257</v>
      </c>
      <c r="AM74">
        <v>0.50509999999999999</v>
      </c>
      <c r="AN74" t="s">
        <v>249</v>
      </c>
    </row>
    <row r="75" spans="9:40" x14ac:dyDescent="0.45">
      <c r="I75" t="s">
        <v>178</v>
      </c>
      <c r="J75" t="s">
        <v>265</v>
      </c>
      <c r="K75">
        <v>7.6398741940047771E-3</v>
      </c>
      <c r="L75" t="s">
        <v>166</v>
      </c>
      <c r="N75" t="s">
        <v>202</v>
      </c>
      <c r="O75" t="s">
        <v>265</v>
      </c>
      <c r="P75">
        <v>4.8992490929379772E-3</v>
      </c>
      <c r="Q75" t="s">
        <v>166</v>
      </c>
      <c r="S75" t="s">
        <v>219</v>
      </c>
      <c r="T75" t="s">
        <v>265</v>
      </c>
      <c r="U75">
        <v>3.3198601390608132E-3</v>
      </c>
      <c r="V75" t="s">
        <v>166</v>
      </c>
      <c r="AC75" t="s">
        <v>19</v>
      </c>
      <c r="AD75" t="s">
        <v>265</v>
      </c>
      <c r="AE75">
        <v>6.6671383774449897E-3</v>
      </c>
      <c r="AK75">
        <v>2030</v>
      </c>
      <c r="AL75" t="s">
        <v>154</v>
      </c>
      <c r="AM75">
        <v>0.28499999999999998</v>
      </c>
      <c r="AN75" t="s">
        <v>249</v>
      </c>
    </row>
    <row r="76" spans="9:40" x14ac:dyDescent="0.45">
      <c r="I76" t="s">
        <v>178</v>
      </c>
      <c r="J76" t="s">
        <v>266</v>
      </c>
      <c r="K76">
        <v>0</v>
      </c>
      <c r="L76" t="s">
        <v>166</v>
      </c>
      <c r="N76" t="s">
        <v>202</v>
      </c>
      <c r="O76" t="s">
        <v>266</v>
      </c>
      <c r="P76">
        <v>1.5161318220035174E-2</v>
      </c>
      <c r="Q76" t="s">
        <v>166</v>
      </c>
      <c r="S76" t="s">
        <v>219</v>
      </c>
      <c r="T76" t="s">
        <v>266</v>
      </c>
      <c r="U76">
        <v>8.5215050523757031E-3</v>
      </c>
      <c r="V76" t="s">
        <v>166</v>
      </c>
      <c r="AC76" t="s">
        <v>19</v>
      </c>
      <c r="AD76" t="s">
        <v>266</v>
      </c>
      <c r="AE76">
        <v>1.6723378986742383E-2</v>
      </c>
      <c r="AK76">
        <v>2030</v>
      </c>
      <c r="AL76" t="s">
        <v>158</v>
      </c>
      <c r="AM76">
        <v>0.37530000000000002</v>
      </c>
      <c r="AN76" t="s">
        <v>249</v>
      </c>
    </row>
    <row r="77" spans="9:40" x14ac:dyDescent="0.45">
      <c r="I77" t="s">
        <v>178</v>
      </c>
      <c r="J77" t="s">
        <v>175</v>
      </c>
      <c r="K77">
        <v>4.4728226371635108E-3</v>
      </c>
      <c r="L77" t="s">
        <v>166</v>
      </c>
      <c r="N77" t="s">
        <v>202</v>
      </c>
      <c r="O77" t="s">
        <v>175</v>
      </c>
      <c r="P77">
        <v>2.3149550435663205E-2</v>
      </c>
      <c r="Q77" t="s">
        <v>166</v>
      </c>
      <c r="S77" t="s">
        <v>219</v>
      </c>
      <c r="T77" t="s">
        <v>175</v>
      </c>
      <c r="U77">
        <v>2.1384628062770118E-2</v>
      </c>
      <c r="V77" t="s">
        <v>166</v>
      </c>
      <c r="AC77" t="s">
        <v>19</v>
      </c>
      <c r="AD77" t="s">
        <v>175</v>
      </c>
      <c r="AE77">
        <v>2.8529511422726864E-2</v>
      </c>
      <c r="AK77">
        <v>2030</v>
      </c>
      <c r="AL77" t="s">
        <v>160</v>
      </c>
      <c r="AM77">
        <v>0.45569999999999999</v>
      </c>
      <c r="AN77" t="s">
        <v>249</v>
      </c>
    </row>
    <row r="78" spans="9:40" x14ac:dyDescent="0.45">
      <c r="I78" t="s">
        <v>178</v>
      </c>
      <c r="J78" t="s">
        <v>176</v>
      </c>
      <c r="K78">
        <v>5.995132043310856E-3</v>
      </c>
      <c r="L78" t="s">
        <v>166</v>
      </c>
      <c r="N78" t="s">
        <v>202</v>
      </c>
      <c r="O78" t="s">
        <v>176</v>
      </c>
      <c r="P78">
        <v>3.50829264456638E-3</v>
      </c>
      <c r="Q78" t="s">
        <v>166</v>
      </c>
      <c r="S78" t="s">
        <v>219</v>
      </c>
      <c r="T78" t="s">
        <v>176</v>
      </c>
      <c r="U78">
        <v>3.0324697026482984E-3</v>
      </c>
      <c r="V78" t="s">
        <v>166</v>
      </c>
      <c r="AC78" t="s">
        <v>19</v>
      </c>
      <c r="AD78" t="s">
        <v>176</v>
      </c>
      <c r="AE78">
        <v>3.5821624027280062E-3</v>
      </c>
      <c r="AK78">
        <v>2030</v>
      </c>
      <c r="AL78" t="s">
        <v>162</v>
      </c>
      <c r="AM78">
        <v>0.54259999999999997</v>
      </c>
      <c r="AN78" t="s">
        <v>249</v>
      </c>
    </row>
    <row r="79" spans="9:40" x14ac:dyDescent="0.45">
      <c r="I79" t="s">
        <v>178</v>
      </c>
      <c r="J79" t="s">
        <v>177</v>
      </c>
      <c r="K79">
        <v>6.6017312762079353E-2</v>
      </c>
      <c r="L79" t="s">
        <v>166</v>
      </c>
      <c r="N79" t="s">
        <v>202</v>
      </c>
      <c r="O79" t="s">
        <v>177</v>
      </c>
      <c r="P79">
        <v>2.4421698589127384E-2</v>
      </c>
      <c r="Q79" t="s">
        <v>166</v>
      </c>
      <c r="S79" t="s">
        <v>219</v>
      </c>
      <c r="T79" t="s">
        <v>177</v>
      </c>
      <c r="U79">
        <v>2.1807979066605868E-2</v>
      </c>
      <c r="V79" t="s">
        <v>166</v>
      </c>
      <c r="AC79" t="s">
        <v>19</v>
      </c>
      <c r="AD79" t="s">
        <v>177</v>
      </c>
      <c r="AE79">
        <v>2.5156576824611501E-2</v>
      </c>
      <c r="AK79">
        <v>2030</v>
      </c>
      <c r="AL79" t="s">
        <v>252</v>
      </c>
      <c r="AM79">
        <v>0.5847</v>
      </c>
      <c r="AN79" t="s">
        <v>249</v>
      </c>
    </row>
    <row r="80" spans="9:40" x14ac:dyDescent="0.45">
      <c r="I80" t="s">
        <v>178</v>
      </c>
      <c r="J80" t="s">
        <v>267</v>
      </c>
      <c r="K80">
        <v>6.3343856137359732E-3</v>
      </c>
      <c r="L80" t="s">
        <v>166</v>
      </c>
      <c r="N80" t="s">
        <v>202</v>
      </c>
      <c r="O80" t="s">
        <v>267</v>
      </c>
      <c r="P80">
        <v>3.6065694039443402E-3</v>
      </c>
      <c r="Q80" t="s">
        <v>166</v>
      </c>
      <c r="S80" t="s">
        <v>219</v>
      </c>
      <c r="T80" t="s">
        <v>267</v>
      </c>
      <c r="U80">
        <v>2.9299670547870264E-3</v>
      </c>
      <c r="V80" t="s">
        <v>166</v>
      </c>
      <c r="AC80" t="s">
        <v>19</v>
      </c>
      <c r="AD80" t="s">
        <v>267</v>
      </c>
      <c r="AE80">
        <v>3.5080034714156843E-3</v>
      </c>
      <c r="AK80">
        <v>2030</v>
      </c>
      <c r="AL80" t="s">
        <v>254</v>
      </c>
      <c r="AM80">
        <v>0.57784999999999997</v>
      </c>
      <c r="AN80" t="s">
        <v>249</v>
      </c>
    </row>
    <row r="81" spans="9:40" x14ac:dyDescent="0.45">
      <c r="I81" t="s">
        <v>178</v>
      </c>
      <c r="J81" t="s">
        <v>268</v>
      </c>
      <c r="K81">
        <v>6.9536956473097251E-3</v>
      </c>
      <c r="L81" t="s">
        <v>166</v>
      </c>
      <c r="N81" t="s">
        <v>202</v>
      </c>
      <c r="O81" t="s">
        <v>268</v>
      </c>
      <c r="P81">
        <v>4.6207086353286962E-3</v>
      </c>
      <c r="Q81" t="s">
        <v>166</v>
      </c>
      <c r="S81" t="s">
        <v>219</v>
      </c>
      <c r="T81" t="s">
        <v>268</v>
      </c>
      <c r="U81">
        <v>4.5185235998018445E-3</v>
      </c>
      <c r="V81" t="s">
        <v>166</v>
      </c>
      <c r="AC81" t="s">
        <v>19</v>
      </c>
      <c r="AD81" t="s">
        <v>268</v>
      </c>
      <c r="AE81">
        <v>6.885363709133484E-3</v>
      </c>
      <c r="AK81">
        <v>2030</v>
      </c>
      <c r="AL81" t="s">
        <v>256</v>
      </c>
      <c r="AM81">
        <v>0.48959999999999998</v>
      </c>
      <c r="AN81" t="s">
        <v>249</v>
      </c>
    </row>
    <row r="82" spans="9:40" x14ac:dyDescent="0.45">
      <c r="I82" t="s">
        <v>178</v>
      </c>
      <c r="J82" t="s">
        <v>269</v>
      </c>
      <c r="K82">
        <v>0</v>
      </c>
      <c r="L82" t="s">
        <v>166</v>
      </c>
      <c r="N82" t="s">
        <v>202</v>
      </c>
      <c r="O82" t="s">
        <v>269</v>
      </c>
      <c r="P82">
        <v>1.5165856948186092E-2</v>
      </c>
      <c r="Q82" t="s">
        <v>166</v>
      </c>
      <c r="S82" t="s">
        <v>219</v>
      </c>
      <c r="T82" t="s">
        <v>269</v>
      </c>
      <c r="U82">
        <v>9.498912946933365E-3</v>
      </c>
      <c r="V82" t="s">
        <v>166</v>
      </c>
      <c r="AC82" t="s">
        <v>19</v>
      </c>
      <c r="AD82" t="s">
        <v>269</v>
      </c>
      <c r="AE82">
        <v>1.7280000971087436E-2</v>
      </c>
      <c r="AK82">
        <v>2030</v>
      </c>
      <c r="AL82" t="s">
        <v>257</v>
      </c>
      <c r="AM82">
        <v>0.54949999999999999</v>
      </c>
      <c r="AN82" t="s">
        <v>249</v>
      </c>
    </row>
    <row r="83" spans="9:40" x14ac:dyDescent="0.45">
      <c r="I83" t="s">
        <v>178</v>
      </c>
      <c r="J83" t="s">
        <v>270</v>
      </c>
      <c r="K83">
        <v>3.1505946724701452E-3</v>
      </c>
      <c r="L83" t="s">
        <v>166</v>
      </c>
      <c r="N83" t="s">
        <v>202</v>
      </c>
      <c r="O83" t="s">
        <v>270</v>
      </c>
      <c r="P83">
        <v>1.87730486876415E-2</v>
      </c>
      <c r="Q83" t="s">
        <v>166</v>
      </c>
      <c r="S83" t="s">
        <v>219</v>
      </c>
      <c r="T83" t="s">
        <v>270</v>
      </c>
      <c r="U83">
        <v>2.0823669322351922E-2</v>
      </c>
      <c r="V83" t="s">
        <v>166</v>
      </c>
      <c r="AC83" t="s">
        <v>19</v>
      </c>
      <c r="AD83" t="s">
        <v>270</v>
      </c>
      <c r="AE83">
        <v>2.8535959819631813E-2</v>
      </c>
      <c r="AK83">
        <v>2031</v>
      </c>
      <c r="AL83" t="s">
        <v>154</v>
      </c>
      <c r="AM83">
        <v>0.30507499999999999</v>
      </c>
      <c r="AN83" t="s">
        <v>249</v>
      </c>
    </row>
    <row r="84" spans="9:40" x14ac:dyDescent="0.45">
      <c r="I84" t="s">
        <v>178</v>
      </c>
      <c r="J84" t="s">
        <v>271</v>
      </c>
      <c r="K84">
        <v>5.5905859758240079E-3</v>
      </c>
      <c r="L84" t="s">
        <v>166</v>
      </c>
      <c r="N84" t="s">
        <v>202</v>
      </c>
      <c r="O84" t="s">
        <v>271</v>
      </c>
      <c r="P84">
        <v>2.0855943371286606E-3</v>
      </c>
      <c r="Q84" t="s">
        <v>166</v>
      </c>
      <c r="S84" t="s">
        <v>219</v>
      </c>
      <c r="T84" t="s">
        <v>271</v>
      </c>
      <c r="U84">
        <v>3.1163718972229029E-3</v>
      </c>
      <c r="V84" t="s">
        <v>166</v>
      </c>
      <c r="AC84" t="s">
        <v>19</v>
      </c>
      <c r="AD84" t="s">
        <v>271</v>
      </c>
      <c r="AE84">
        <v>3.5864439569679471E-3</v>
      </c>
      <c r="AK84">
        <v>2031</v>
      </c>
      <c r="AL84" t="s">
        <v>158</v>
      </c>
      <c r="AM84">
        <v>0.37730000000000002</v>
      </c>
      <c r="AN84" t="s">
        <v>249</v>
      </c>
    </row>
    <row r="85" spans="9:40" x14ac:dyDescent="0.45">
      <c r="I85" t="s">
        <v>178</v>
      </c>
      <c r="J85" t="s">
        <v>272</v>
      </c>
      <c r="K85">
        <v>6.4589565336857516E-2</v>
      </c>
      <c r="L85" t="s">
        <v>166</v>
      </c>
      <c r="N85" t="s">
        <v>202</v>
      </c>
      <c r="O85" t="s">
        <v>272</v>
      </c>
      <c r="P85">
        <v>1.7022936767024079E-2</v>
      </c>
      <c r="Q85" t="s">
        <v>166</v>
      </c>
      <c r="S85" t="s">
        <v>219</v>
      </c>
      <c r="T85" t="s">
        <v>272</v>
      </c>
      <c r="U85">
        <v>2.2891234784276984E-2</v>
      </c>
      <c r="V85" t="s">
        <v>166</v>
      </c>
      <c r="AC85" t="s">
        <v>19</v>
      </c>
      <c r="AD85" t="s">
        <v>272</v>
      </c>
      <c r="AE85">
        <v>2.5158588398286292E-2</v>
      </c>
      <c r="AK85">
        <v>2031</v>
      </c>
      <c r="AL85" t="s">
        <v>160</v>
      </c>
      <c r="AM85">
        <v>0.4259</v>
      </c>
      <c r="AN85" t="s">
        <v>249</v>
      </c>
    </row>
    <row r="86" spans="9:40" x14ac:dyDescent="0.45">
      <c r="I86" t="s">
        <v>178</v>
      </c>
      <c r="J86" t="s">
        <v>273</v>
      </c>
      <c r="K86">
        <v>6.2114811529654411E-3</v>
      </c>
      <c r="L86" t="s">
        <v>166</v>
      </c>
      <c r="N86" t="s">
        <v>202</v>
      </c>
      <c r="O86" t="s">
        <v>273</v>
      </c>
      <c r="P86">
        <v>2.525545724693858E-3</v>
      </c>
      <c r="Q86" t="s">
        <v>166</v>
      </c>
      <c r="S86" t="s">
        <v>219</v>
      </c>
      <c r="T86" t="s">
        <v>273</v>
      </c>
      <c r="U86">
        <v>2.5513638866669127E-3</v>
      </c>
      <c r="V86" t="s">
        <v>166</v>
      </c>
      <c r="AC86" t="s">
        <v>19</v>
      </c>
      <c r="AD86" t="s">
        <v>273</v>
      </c>
      <c r="AE86">
        <v>3.4980594511885279E-3</v>
      </c>
      <c r="AK86">
        <v>2031</v>
      </c>
      <c r="AL86" t="s">
        <v>162</v>
      </c>
      <c r="AM86">
        <v>0.51400000000000001</v>
      </c>
      <c r="AN86" t="s">
        <v>249</v>
      </c>
    </row>
    <row r="87" spans="9:40" x14ac:dyDescent="0.45">
      <c r="I87" t="s">
        <v>178</v>
      </c>
      <c r="J87" t="s">
        <v>274</v>
      </c>
      <c r="K87">
        <v>6.5367593845977907E-3</v>
      </c>
      <c r="L87" t="s">
        <v>166</v>
      </c>
      <c r="N87" t="s">
        <v>202</v>
      </c>
      <c r="O87" t="s">
        <v>274</v>
      </c>
      <c r="P87">
        <v>4.2764215030802258E-3</v>
      </c>
      <c r="Q87" t="s">
        <v>166</v>
      </c>
      <c r="S87" t="s">
        <v>219</v>
      </c>
      <c r="T87" t="s">
        <v>274</v>
      </c>
      <c r="U87">
        <v>3.8096506906692201E-3</v>
      </c>
      <c r="V87" t="s">
        <v>166</v>
      </c>
      <c r="AC87" t="s">
        <v>19</v>
      </c>
      <c r="AD87" t="s">
        <v>274</v>
      </c>
      <c r="AE87">
        <v>6.8772197795890977E-3</v>
      </c>
      <c r="AK87">
        <v>2031</v>
      </c>
      <c r="AL87" t="s">
        <v>252</v>
      </c>
      <c r="AM87">
        <v>0.55259999999999998</v>
      </c>
      <c r="AN87" t="s">
        <v>249</v>
      </c>
    </row>
    <row r="88" spans="9:40" x14ac:dyDescent="0.45">
      <c r="I88" t="s">
        <v>178</v>
      </c>
      <c r="J88" t="s">
        <v>275</v>
      </c>
      <c r="K88">
        <v>0</v>
      </c>
      <c r="L88" t="s">
        <v>166</v>
      </c>
      <c r="N88" t="s">
        <v>202</v>
      </c>
      <c r="O88" t="s">
        <v>275</v>
      </c>
      <c r="P88">
        <v>9.9086755896558229E-3</v>
      </c>
      <c r="Q88" t="s">
        <v>166</v>
      </c>
      <c r="S88" t="s">
        <v>219</v>
      </c>
      <c r="T88" t="s">
        <v>275</v>
      </c>
      <c r="U88">
        <v>7.3826791849609949E-3</v>
      </c>
      <c r="V88" t="s">
        <v>166</v>
      </c>
      <c r="AC88" t="s">
        <v>19</v>
      </c>
      <c r="AD88" t="s">
        <v>275</v>
      </c>
      <c r="AE88">
        <v>1.728074281839324E-2</v>
      </c>
      <c r="AK88">
        <v>2031</v>
      </c>
      <c r="AL88" t="s">
        <v>254</v>
      </c>
      <c r="AM88">
        <v>0.55420000000000003</v>
      </c>
      <c r="AN88" t="s">
        <v>249</v>
      </c>
    </row>
    <row r="89" spans="9:40" x14ac:dyDescent="0.45">
      <c r="I89" t="s">
        <v>178</v>
      </c>
      <c r="J89" t="s">
        <v>276</v>
      </c>
      <c r="K89">
        <v>5.6692270184287149E-3</v>
      </c>
      <c r="L89" t="s">
        <v>166</v>
      </c>
      <c r="N89" t="s">
        <v>202</v>
      </c>
      <c r="O89" t="s">
        <v>276</v>
      </c>
      <c r="P89">
        <v>4.9934102762123442E-2</v>
      </c>
      <c r="Q89" t="s">
        <v>166</v>
      </c>
      <c r="S89" t="s">
        <v>219</v>
      </c>
      <c r="T89" t="s">
        <v>276</v>
      </c>
      <c r="U89">
        <v>5.2586644781204103E-2</v>
      </c>
      <c r="V89" t="s">
        <v>166</v>
      </c>
      <c r="AC89" t="s">
        <v>19</v>
      </c>
      <c r="AD89" t="s">
        <v>276</v>
      </c>
      <c r="AE89">
        <v>5.6138692617435475E-2</v>
      </c>
      <c r="AK89">
        <v>2031</v>
      </c>
      <c r="AL89" t="s">
        <v>256</v>
      </c>
      <c r="AM89">
        <v>0.51639999999999997</v>
      </c>
      <c r="AN89" t="s">
        <v>249</v>
      </c>
    </row>
    <row r="90" spans="9:40" x14ac:dyDescent="0.45">
      <c r="I90" t="s">
        <v>178</v>
      </c>
      <c r="J90" t="s">
        <v>277</v>
      </c>
      <c r="K90">
        <v>1.0231283291311233E-2</v>
      </c>
      <c r="L90" t="s">
        <v>166</v>
      </c>
      <c r="N90" t="s">
        <v>202</v>
      </c>
      <c r="O90" t="s">
        <v>277</v>
      </c>
      <c r="P90">
        <v>6.2057713840251039E-3</v>
      </c>
      <c r="Q90" t="s">
        <v>166</v>
      </c>
      <c r="S90" t="s">
        <v>219</v>
      </c>
      <c r="T90" t="s">
        <v>277</v>
      </c>
      <c r="U90">
        <v>6.4074897318605979E-3</v>
      </c>
      <c r="V90" t="s">
        <v>166</v>
      </c>
      <c r="AC90" t="s">
        <v>19</v>
      </c>
      <c r="AD90" t="s">
        <v>277</v>
      </c>
      <c r="AE90">
        <v>7.0435600539814087E-3</v>
      </c>
      <c r="AK90">
        <v>2031</v>
      </c>
      <c r="AL90" t="s">
        <v>257</v>
      </c>
      <c r="AM90">
        <v>0.53090000000000004</v>
      </c>
      <c r="AN90" t="s">
        <v>249</v>
      </c>
    </row>
    <row r="91" spans="9:40" x14ac:dyDescent="0.45">
      <c r="I91" t="s">
        <v>178</v>
      </c>
      <c r="J91" t="s">
        <v>278</v>
      </c>
      <c r="K91">
        <v>0.11251595721954448</v>
      </c>
      <c r="L91" t="s">
        <v>166</v>
      </c>
      <c r="N91" t="s">
        <v>202</v>
      </c>
      <c r="O91" t="s">
        <v>278</v>
      </c>
      <c r="P91">
        <v>4.697359843957407E-2</v>
      </c>
      <c r="Q91" t="s">
        <v>166</v>
      </c>
      <c r="S91" t="s">
        <v>219</v>
      </c>
      <c r="T91" t="s">
        <v>278</v>
      </c>
      <c r="U91">
        <v>4.346509156806793E-2</v>
      </c>
      <c r="V91" t="s">
        <v>166</v>
      </c>
      <c r="AC91" t="s">
        <v>19</v>
      </c>
      <c r="AD91" t="s">
        <v>278</v>
      </c>
      <c r="AE91">
        <v>4.9446062256888412E-2</v>
      </c>
      <c r="AK91">
        <v>2032</v>
      </c>
      <c r="AL91" t="s">
        <v>154</v>
      </c>
      <c r="AM91">
        <v>0.24100000000000002</v>
      </c>
      <c r="AN91" t="s">
        <v>249</v>
      </c>
    </row>
    <row r="92" spans="9:40" x14ac:dyDescent="0.45">
      <c r="I92" t="s">
        <v>178</v>
      </c>
      <c r="J92" t="s">
        <v>279</v>
      </c>
      <c r="K92">
        <v>1.0759512724491486E-2</v>
      </c>
      <c r="L92" t="s">
        <v>166</v>
      </c>
      <c r="N92" t="s">
        <v>202</v>
      </c>
      <c r="O92" t="s">
        <v>279</v>
      </c>
      <c r="P92">
        <v>5.4077025363037439E-3</v>
      </c>
      <c r="Q92" t="s">
        <v>166</v>
      </c>
      <c r="S92" t="s">
        <v>219</v>
      </c>
      <c r="T92" t="s">
        <v>279</v>
      </c>
      <c r="U92">
        <v>5.9612268851671705E-3</v>
      </c>
      <c r="V92" t="s">
        <v>166</v>
      </c>
      <c r="AC92" t="s">
        <v>19</v>
      </c>
      <c r="AD92" t="s">
        <v>279</v>
      </c>
      <c r="AE92">
        <v>6.8619814907741822E-3</v>
      </c>
      <c r="AK92">
        <v>2032</v>
      </c>
      <c r="AL92" t="s">
        <v>158</v>
      </c>
      <c r="AM92">
        <v>0.28100000000000003</v>
      </c>
      <c r="AN92" t="s">
        <v>249</v>
      </c>
    </row>
    <row r="93" spans="9:40" x14ac:dyDescent="0.45">
      <c r="I93" t="s">
        <v>178</v>
      </c>
      <c r="J93" t="s">
        <v>280</v>
      </c>
      <c r="K93">
        <v>7.9262264647960799E-3</v>
      </c>
      <c r="L93" t="s">
        <v>166</v>
      </c>
      <c r="N93" t="s">
        <v>202</v>
      </c>
      <c r="O93" t="s">
        <v>280</v>
      </c>
      <c r="P93">
        <v>1.0008680571349758E-2</v>
      </c>
      <c r="Q93" t="s">
        <v>166</v>
      </c>
      <c r="S93" t="s">
        <v>219</v>
      </c>
      <c r="T93" t="s">
        <v>280</v>
      </c>
      <c r="U93">
        <v>1.1105187034176837E-2</v>
      </c>
      <c r="V93" t="s">
        <v>166</v>
      </c>
      <c r="AC93" t="s">
        <v>19</v>
      </c>
      <c r="AD93" t="s">
        <v>280</v>
      </c>
      <c r="AE93">
        <v>1.3538242333998283E-2</v>
      </c>
      <c r="AK93">
        <v>2032</v>
      </c>
      <c r="AL93" t="s">
        <v>160</v>
      </c>
      <c r="AM93">
        <v>0.40139999999999998</v>
      </c>
      <c r="AN93" t="s">
        <v>249</v>
      </c>
    </row>
    <row r="94" spans="9:40" x14ac:dyDescent="0.45">
      <c r="I94" t="s">
        <v>178</v>
      </c>
      <c r="J94" t="s">
        <v>281</v>
      </c>
      <c r="K94">
        <v>0</v>
      </c>
      <c r="L94" t="s">
        <v>166</v>
      </c>
      <c r="N94" t="s">
        <v>202</v>
      </c>
      <c r="O94" t="s">
        <v>281</v>
      </c>
      <c r="P94">
        <v>2.9369449981924135E-2</v>
      </c>
      <c r="Q94" t="s">
        <v>166</v>
      </c>
      <c r="S94" t="s">
        <v>219</v>
      </c>
      <c r="T94" t="s">
        <v>281</v>
      </c>
      <c r="U94">
        <v>2.6553241577517823E-2</v>
      </c>
      <c r="V94" t="s">
        <v>166</v>
      </c>
      <c r="AC94" t="s">
        <v>19</v>
      </c>
      <c r="AD94" t="s">
        <v>281</v>
      </c>
      <c r="AE94">
        <v>3.4063353078684737E-2</v>
      </c>
      <c r="AK94">
        <v>2032</v>
      </c>
      <c r="AL94" t="s">
        <v>162</v>
      </c>
      <c r="AM94">
        <v>0.44280000000000003</v>
      </c>
      <c r="AN94" t="s">
        <v>249</v>
      </c>
    </row>
    <row r="95" spans="9:40" x14ac:dyDescent="0.45">
      <c r="I95" t="s">
        <v>178</v>
      </c>
      <c r="J95" t="s">
        <v>282</v>
      </c>
      <c r="K95">
        <v>2.0831382273489322E-3</v>
      </c>
      <c r="L95" t="s">
        <v>166</v>
      </c>
      <c r="N95" t="s">
        <v>202</v>
      </c>
      <c r="O95" t="s">
        <v>282</v>
      </c>
      <c r="P95">
        <v>2.3823724846561003E-2</v>
      </c>
      <c r="Q95" t="s">
        <v>166</v>
      </c>
      <c r="S95" t="s">
        <v>219</v>
      </c>
      <c r="T95" t="s">
        <v>282</v>
      </c>
      <c r="U95">
        <v>3.4541469857869253E-2</v>
      </c>
      <c r="V95" t="s">
        <v>166</v>
      </c>
      <c r="AC95" t="s">
        <v>19</v>
      </c>
      <c r="AD95" t="s">
        <v>282</v>
      </c>
      <c r="AE95">
        <v>2.7600772763492622E-2</v>
      </c>
      <c r="AK95">
        <v>2032</v>
      </c>
      <c r="AL95" t="s">
        <v>252</v>
      </c>
      <c r="AM95">
        <v>0.53129999999999999</v>
      </c>
      <c r="AN95" t="s">
        <v>249</v>
      </c>
    </row>
    <row r="96" spans="9:40" x14ac:dyDescent="0.45">
      <c r="I96" t="s">
        <v>178</v>
      </c>
      <c r="J96" t="s">
        <v>283</v>
      </c>
      <c r="K96">
        <v>3.9137217618568539E-3</v>
      </c>
      <c r="L96" t="s">
        <v>166</v>
      </c>
      <c r="N96" t="s">
        <v>202</v>
      </c>
      <c r="O96" t="s">
        <v>283</v>
      </c>
      <c r="P96">
        <v>3.1361889376891909E-3</v>
      </c>
      <c r="Q96" t="s">
        <v>166</v>
      </c>
      <c r="S96" t="s">
        <v>219</v>
      </c>
      <c r="T96" t="s">
        <v>283</v>
      </c>
      <c r="U96">
        <v>4.8283287753678574E-3</v>
      </c>
      <c r="V96" t="s">
        <v>166</v>
      </c>
      <c r="AC96" t="s">
        <v>19</v>
      </c>
      <c r="AD96" t="s">
        <v>283</v>
      </c>
      <c r="AE96">
        <v>3.4648061428728207E-3</v>
      </c>
      <c r="AK96">
        <v>2032</v>
      </c>
      <c r="AL96" t="s">
        <v>254</v>
      </c>
      <c r="AM96">
        <v>0.46250000000000002</v>
      </c>
      <c r="AN96" t="s">
        <v>249</v>
      </c>
    </row>
    <row r="97" spans="9:40" x14ac:dyDescent="0.45">
      <c r="I97" t="s">
        <v>178</v>
      </c>
      <c r="J97" t="s">
        <v>284</v>
      </c>
      <c r="K97">
        <v>5.0271441131022332E-2</v>
      </c>
      <c r="L97" t="s">
        <v>166</v>
      </c>
      <c r="N97" t="s">
        <v>202</v>
      </c>
      <c r="O97" t="s">
        <v>284</v>
      </c>
      <c r="P97">
        <v>2.3890438201433186E-2</v>
      </c>
      <c r="Q97" t="s">
        <v>166</v>
      </c>
      <c r="S97" t="s">
        <v>219</v>
      </c>
      <c r="T97" t="s">
        <v>284</v>
      </c>
      <c r="U97">
        <v>3.1982670651118275E-2</v>
      </c>
      <c r="V97" t="s">
        <v>166</v>
      </c>
      <c r="AC97" t="s">
        <v>19</v>
      </c>
      <c r="AD97" t="s">
        <v>284</v>
      </c>
      <c r="AE97">
        <v>2.4287096366786907E-2</v>
      </c>
      <c r="AK97">
        <v>2032</v>
      </c>
      <c r="AL97" t="s">
        <v>256</v>
      </c>
      <c r="AM97">
        <v>0.41039999999999999</v>
      </c>
      <c r="AN97" t="s">
        <v>249</v>
      </c>
    </row>
    <row r="98" spans="9:40" x14ac:dyDescent="0.45">
      <c r="I98" t="s">
        <v>178</v>
      </c>
      <c r="J98" t="s">
        <v>285</v>
      </c>
      <c r="K98">
        <v>4.7232707326665497E-3</v>
      </c>
      <c r="L98" t="s">
        <v>166</v>
      </c>
      <c r="N98" t="s">
        <v>202</v>
      </c>
      <c r="O98" t="s">
        <v>285</v>
      </c>
      <c r="P98">
        <v>3.3606065823526213E-3</v>
      </c>
      <c r="Q98" t="s">
        <v>166</v>
      </c>
      <c r="S98" t="s">
        <v>219</v>
      </c>
      <c r="T98" t="s">
        <v>285</v>
      </c>
      <c r="U98">
        <v>4.4493954450641427E-3</v>
      </c>
      <c r="V98" t="s">
        <v>166</v>
      </c>
      <c r="AC98" t="s">
        <v>19</v>
      </c>
      <c r="AD98" t="s">
        <v>285</v>
      </c>
      <c r="AE98">
        <v>3.3780742104009332E-3</v>
      </c>
      <c r="AK98">
        <v>2032</v>
      </c>
      <c r="AL98" t="s">
        <v>257</v>
      </c>
      <c r="AM98">
        <v>0.45050000000000001</v>
      </c>
      <c r="AN98" t="s">
        <v>249</v>
      </c>
    </row>
    <row r="99" spans="9:40" x14ac:dyDescent="0.45">
      <c r="I99" t="s">
        <v>178</v>
      </c>
      <c r="J99" t="s">
        <v>286</v>
      </c>
      <c r="K99">
        <v>2.6324823755611688E-3</v>
      </c>
      <c r="L99" t="s">
        <v>166</v>
      </c>
      <c r="N99" t="s">
        <v>202</v>
      </c>
      <c r="O99" t="s">
        <v>286</v>
      </c>
      <c r="P99">
        <v>6.159115790150247E-3</v>
      </c>
      <c r="Q99" t="s">
        <v>166</v>
      </c>
      <c r="S99" t="s">
        <v>219</v>
      </c>
      <c r="T99" t="s">
        <v>286</v>
      </c>
      <c r="U99">
        <v>9.0875777272086955E-3</v>
      </c>
      <c r="V99" t="s">
        <v>166</v>
      </c>
      <c r="AC99" t="s">
        <v>19</v>
      </c>
      <c r="AD99" t="s">
        <v>286</v>
      </c>
      <c r="AE99">
        <v>6.6675082892458598E-3</v>
      </c>
      <c r="AK99">
        <v>2033</v>
      </c>
      <c r="AL99" t="s">
        <v>154</v>
      </c>
      <c r="AM99">
        <v>0.24370000000000003</v>
      </c>
      <c r="AN99" t="s">
        <v>249</v>
      </c>
    </row>
    <row r="100" spans="9:40" x14ac:dyDescent="0.45">
      <c r="I100" t="s">
        <v>178</v>
      </c>
      <c r="J100" t="s">
        <v>287</v>
      </c>
      <c r="K100">
        <v>0</v>
      </c>
      <c r="L100" t="s">
        <v>166</v>
      </c>
      <c r="N100" t="s">
        <v>202</v>
      </c>
      <c r="O100" t="s">
        <v>287</v>
      </c>
      <c r="P100">
        <v>1.7087990799833978E-2</v>
      </c>
      <c r="Q100" t="s">
        <v>166</v>
      </c>
      <c r="S100" t="s">
        <v>219</v>
      </c>
      <c r="T100" t="s">
        <v>287</v>
      </c>
      <c r="U100">
        <v>2.4758285312233456E-2</v>
      </c>
      <c r="V100" t="s">
        <v>166</v>
      </c>
      <c r="AC100" t="s">
        <v>19</v>
      </c>
      <c r="AD100" t="s">
        <v>287</v>
      </c>
      <c r="AE100">
        <v>1.6767627601565471E-2</v>
      </c>
      <c r="AK100">
        <v>2033</v>
      </c>
      <c r="AL100" t="s">
        <v>158</v>
      </c>
      <c r="AM100">
        <v>0.28270000000000001</v>
      </c>
      <c r="AN100" t="s">
        <v>249</v>
      </c>
    </row>
    <row r="101" spans="9:40" x14ac:dyDescent="0.45">
      <c r="I101" t="s">
        <v>178</v>
      </c>
      <c r="J101" t="s">
        <v>288</v>
      </c>
      <c r="K101">
        <v>1.2613029915392773E-3</v>
      </c>
      <c r="L101" t="s">
        <v>166</v>
      </c>
      <c r="N101" t="s">
        <v>202</v>
      </c>
      <c r="O101" t="s">
        <v>288</v>
      </c>
      <c r="P101">
        <v>2.6078535271939086E-2</v>
      </c>
      <c r="Q101" t="s">
        <v>166</v>
      </c>
      <c r="S101" t="s">
        <v>219</v>
      </c>
      <c r="T101" t="s">
        <v>288</v>
      </c>
      <c r="U101">
        <v>4.2896481391140204E-2</v>
      </c>
      <c r="V101" t="s">
        <v>166</v>
      </c>
      <c r="AC101" t="s">
        <v>19</v>
      </c>
      <c r="AD101" t="s">
        <v>288</v>
      </c>
      <c r="AE101">
        <v>2.8479100457426271E-2</v>
      </c>
      <c r="AK101">
        <v>2033</v>
      </c>
      <c r="AL101" t="s">
        <v>160</v>
      </c>
      <c r="AM101">
        <v>0.35709999999999997</v>
      </c>
      <c r="AN101" t="s">
        <v>249</v>
      </c>
    </row>
    <row r="102" spans="9:40" x14ac:dyDescent="0.45">
      <c r="I102" t="s">
        <v>178</v>
      </c>
      <c r="J102" t="s">
        <v>289</v>
      </c>
      <c r="K102">
        <v>2.6859352430666106E-3</v>
      </c>
      <c r="L102" t="s">
        <v>166</v>
      </c>
      <c r="N102" t="s">
        <v>202</v>
      </c>
      <c r="O102" t="s">
        <v>289</v>
      </c>
      <c r="P102">
        <v>3.5299861712303005E-3</v>
      </c>
      <c r="Q102" t="s">
        <v>166</v>
      </c>
      <c r="S102" t="s">
        <v>219</v>
      </c>
      <c r="T102" t="s">
        <v>289</v>
      </c>
      <c r="U102">
        <v>5.9214276428238566E-3</v>
      </c>
      <c r="V102" t="s">
        <v>166</v>
      </c>
      <c r="AC102" t="s">
        <v>19</v>
      </c>
      <c r="AD102" t="s">
        <v>289</v>
      </c>
      <c r="AE102">
        <v>3.5760613906023597E-3</v>
      </c>
      <c r="AK102">
        <v>2033</v>
      </c>
      <c r="AL102" t="s">
        <v>162</v>
      </c>
      <c r="AM102">
        <v>0.4209</v>
      </c>
      <c r="AN102" t="s">
        <v>249</v>
      </c>
    </row>
    <row r="103" spans="9:40" x14ac:dyDescent="0.45">
      <c r="I103" t="s">
        <v>178</v>
      </c>
      <c r="J103" t="s">
        <v>290</v>
      </c>
      <c r="K103">
        <v>4.144726088659887E-2</v>
      </c>
      <c r="L103" t="s">
        <v>166</v>
      </c>
      <c r="N103" t="s">
        <v>202</v>
      </c>
      <c r="O103" t="s">
        <v>290</v>
      </c>
      <c r="P103">
        <v>2.3770817127238143E-2</v>
      </c>
      <c r="Q103" t="s">
        <v>166</v>
      </c>
      <c r="S103" t="s">
        <v>219</v>
      </c>
      <c r="T103" t="s">
        <v>290</v>
      </c>
      <c r="U103">
        <v>4.2434787061654725E-2</v>
      </c>
      <c r="V103" t="s">
        <v>166</v>
      </c>
      <c r="AC103" t="s">
        <v>19</v>
      </c>
      <c r="AD103" t="s">
        <v>290</v>
      </c>
      <c r="AE103">
        <v>2.5051881435671629E-2</v>
      </c>
      <c r="AK103">
        <v>2033</v>
      </c>
      <c r="AL103" t="s">
        <v>252</v>
      </c>
      <c r="AM103">
        <v>0.53669999999999995</v>
      </c>
      <c r="AN103" t="s">
        <v>249</v>
      </c>
    </row>
    <row r="104" spans="9:40" x14ac:dyDescent="0.45">
      <c r="I104" t="s">
        <v>178</v>
      </c>
      <c r="J104" t="s">
        <v>291</v>
      </c>
      <c r="K104">
        <v>3.7014213416307544E-3</v>
      </c>
      <c r="L104" t="s">
        <v>166</v>
      </c>
      <c r="N104" t="s">
        <v>202</v>
      </c>
      <c r="O104" t="s">
        <v>291</v>
      </c>
      <c r="P104">
        <v>2.7726936685381876E-3</v>
      </c>
      <c r="Q104" t="s">
        <v>166</v>
      </c>
      <c r="S104" t="s">
        <v>219</v>
      </c>
      <c r="T104" t="s">
        <v>291</v>
      </c>
      <c r="U104">
        <v>5.904049177744901E-3</v>
      </c>
      <c r="V104" t="s">
        <v>166</v>
      </c>
      <c r="AC104" t="s">
        <v>19</v>
      </c>
      <c r="AD104" t="s">
        <v>291</v>
      </c>
      <c r="AE104">
        <v>3.4960382146226924E-3</v>
      </c>
      <c r="AK104">
        <v>2033</v>
      </c>
      <c r="AL104" t="s">
        <v>254</v>
      </c>
      <c r="AM104">
        <v>0.47909999999999997</v>
      </c>
      <c r="AN104" t="s">
        <v>249</v>
      </c>
    </row>
    <row r="105" spans="9:40" x14ac:dyDescent="0.45">
      <c r="I105" t="s">
        <v>178</v>
      </c>
      <c r="J105" t="s">
        <v>292</v>
      </c>
      <c r="K105">
        <v>2.0598429588766761E-3</v>
      </c>
      <c r="L105" t="s">
        <v>166</v>
      </c>
      <c r="N105" t="s">
        <v>202</v>
      </c>
      <c r="O105" t="s">
        <v>292</v>
      </c>
      <c r="P105">
        <v>5.3050689470716646E-3</v>
      </c>
      <c r="Q105" t="s">
        <v>166</v>
      </c>
      <c r="S105" t="s">
        <v>219</v>
      </c>
      <c r="T105" t="s">
        <v>292</v>
      </c>
      <c r="U105">
        <v>1.1806763319264568E-2</v>
      </c>
      <c r="V105" t="s">
        <v>166</v>
      </c>
      <c r="AC105" t="s">
        <v>19</v>
      </c>
      <c r="AD105" t="s">
        <v>292</v>
      </c>
      <c r="AE105">
        <v>6.906938370828627E-3</v>
      </c>
      <c r="AK105">
        <v>2033</v>
      </c>
      <c r="AL105" t="s">
        <v>256</v>
      </c>
      <c r="AM105">
        <v>0.48010000000000003</v>
      </c>
      <c r="AN105" t="s">
        <v>249</v>
      </c>
    </row>
    <row r="106" spans="9:40" x14ac:dyDescent="0.45">
      <c r="I106" t="s">
        <v>178</v>
      </c>
      <c r="J106" t="s">
        <v>293</v>
      </c>
      <c r="K106">
        <v>0</v>
      </c>
      <c r="L106" t="s">
        <v>166</v>
      </c>
      <c r="N106" t="s">
        <v>202</v>
      </c>
      <c r="O106" t="s">
        <v>293</v>
      </c>
      <c r="P106">
        <v>1.5196307039394803E-2</v>
      </c>
      <c r="Q106" t="s">
        <v>166</v>
      </c>
      <c r="S106" t="s">
        <v>219</v>
      </c>
      <c r="T106" t="s">
        <v>293</v>
      </c>
      <c r="U106">
        <v>3.2421389437008757E-2</v>
      </c>
      <c r="V106" t="s">
        <v>166</v>
      </c>
      <c r="AC106" t="s">
        <v>19</v>
      </c>
      <c r="AD106" t="s">
        <v>293</v>
      </c>
      <c r="AE106">
        <v>1.7324044434390288E-2</v>
      </c>
      <c r="AK106">
        <v>2033</v>
      </c>
      <c r="AL106" t="s">
        <v>257</v>
      </c>
      <c r="AM106">
        <v>0.41699999999999998</v>
      </c>
      <c r="AN106" t="s">
        <v>249</v>
      </c>
    </row>
    <row r="107" spans="9:40" x14ac:dyDescent="0.45">
      <c r="I107" t="s">
        <v>179</v>
      </c>
      <c r="J107" t="s">
        <v>165</v>
      </c>
      <c r="K107">
        <v>1.2433976195513695E-2</v>
      </c>
      <c r="L107" t="s">
        <v>166</v>
      </c>
      <c r="N107" t="s">
        <v>203</v>
      </c>
      <c r="O107" t="s">
        <v>165</v>
      </c>
      <c r="P107">
        <v>9.8579520940807755E-2</v>
      </c>
      <c r="Q107" t="s">
        <v>166</v>
      </c>
      <c r="S107" t="s">
        <v>220</v>
      </c>
      <c r="T107" t="s">
        <v>165</v>
      </c>
      <c r="U107">
        <v>0.13281331428449145</v>
      </c>
      <c r="V107" t="s">
        <v>166</v>
      </c>
      <c r="AK107">
        <v>2034</v>
      </c>
      <c r="AL107" t="s">
        <v>154</v>
      </c>
      <c r="AM107">
        <v>0.25340000000000001</v>
      </c>
      <c r="AN107" t="s">
        <v>249</v>
      </c>
    </row>
    <row r="108" spans="9:40" x14ac:dyDescent="0.45">
      <c r="I108" t="s">
        <v>179</v>
      </c>
      <c r="J108" t="s">
        <v>167</v>
      </c>
      <c r="K108">
        <v>2.3632016173274106E-2</v>
      </c>
      <c r="L108" t="s">
        <v>166</v>
      </c>
      <c r="N108" t="s">
        <v>203</v>
      </c>
      <c r="O108" t="s">
        <v>167</v>
      </c>
      <c r="P108">
        <v>1.3752309699277997E-2</v>
      </c>
      <c r="Q108" t="s">
        <v>166</v>
      </c>
      <c r="S108" t="s">
        <v>220</v>
      </c>
      <c r="T108" t="s">
        <v>167</v>
      </c>
      <c r="U108">
        <v>1.8252344405445681E-2</v>
      </c>
      <c r="V108" t="s">
        <v>166</v>
      </c>
      <c r="AK108">
        <v>2034</v>
      </c>
      <c r="AL108" t="s">
        <v>158</v>
      </c>
      <c r="AM108">
        <v>0.27900000000000003</v>
      </c>
      <c r="AN108" t="s">
        <v>249</v>
      </c>
    </row>
    <row r="109" spans="9:40" x14ac:dyDescent="0.45">
      <c r="I109" t="s">
        <v>179</v>
      </c>
      <c r="J109" t="s">
        <v>168</v>
      </c>
      <c r="K109">
        <v>0.27012122067130118</v>
      </c>
      <c r="L109" t="s">
        <v>166</v>
      </c>
      <c r="N109" t="s">
        <v>203</v>
      </c>
      <c r="O109" t="s">
        <v>168</v>
      </c>
      <c r="P109">
        <v>0.11805124425537936</v>
      </c>
      <c r="Q109" t="s">
        <v>166</v>
      </c>
      <c r="S109" t="s">
        <v>220</v>
      </c>
      <c r="T109" t="s">
        <v>168</v>
      </c>
      <c r="U109">
        <v>0.12339918902379407</v>
      </c>
      <c r="V109" t="s">
        <v>166</v>
      </c>
      <c r="AK109">
        <v>2034</v>
      </c>
      <c r="AL109" t="s">
        <v>160</v>
      </c>
      <c r="AM109">
        <v>0.36980000000000002</v>
      </c>
      <c r="AN109" t="s">
        <v>249</v>
      </c>
    </row>
    <row r="110" spans="9:40" x14ac:dyDescent="0.45">
      <c r="I110" t="s">
        <v>179</v>
      </c>
      <c r="J110" t="s">
        <v>258</v>
      </c>
      <c r="K110">
        <v>3.0617740586147718E-2</v>
      </c>
      <c r="L110" t="s">
        <v>166</v>
      </c>
      <c r="N110" t="s">
        <v>203</v>
      </c>
      <c r="O110" t="s">
        <v>258</v>
      </c>
      <c r="P110">
        <v>1.6925406414959158E-2</v>
      </c>
      <c r="Q110" t="s">
        <v>166</v>
      </c>
      <c r="S110" t="s">
        <v>220</v>
      </c>
      <c r="T110" t="s">
        <v>258</v>
      </c>
      <c r="U110">
        <v>1.678199154062604E-2</v>
      </c>
      <c r="V110" t="s">
        <v>166</v>
      </c>
      <c r="AK110">
        <v>2034</v>
      </c>
      <c r="AL110" t="s">
        <v>162</v>
      </c>
      <c r="AM110">
        <v>0.39450000000000002</v>
      </c>
      <c r="AN110" t="s">
        <v>249</v>
      </c>
    </row>
    <row r="111" spans="9:40" x14ac:dyDescent="0.45">
      <c r="I111" t="s">
        <v>179</v>
      </c>
      <c r="J111" t="s">
        <v>259</v>
      </c>
      <c r="K111">
        <v>3.6539537349919986E-2</v>
      </c>
      <c r="L111" t="s">
        <v>166</v>
      </c>
      <c r="N111" t="s">
        <v>203</v>
      </c>
      <c r="O111" t="s">
        <v>259</v>
      </c>
      <c r="P111">
        <v>2.8757212732139419E-2</v>
      </c>
      <c r="Q111" t="s">
        <v>166</v>
      </c>
      <c r="S111" t="s">
        <v>220</v>
      </c>
      <c r="T111" t="s">
        <v>259</v>
      </c>
      <c r="U111">
        <v>3.1391827875859223E-2</v>
      </c>
      <c r="V111" t="s">
        <v>166</v>
      </c>
      <c r="AK111">
        <v>2034</v>
      </c>
      <c r="AL111" t="s">
        <v>252</v>
      </c>
      <c r="AM111">
        <v>0.48180000000000001</v>
      </c>
      <c r="AN111" t="s">
        <v>249</v>
      </c>
    </row>
    <row r="112" spans="9:40" x14ac:dyDescent="0.45">
      <c r="I112" t="s">
        <v>179</v>
      </c>
      <c r="J112" t="s">
        <v>260</v>
      </c>
      <c r="K112">
        <v>0</v>
      </c>
      <c r="L112" t="s">
        <v>166</v>
      </c>
      <c r="N112" t="s">
        <v>203</v>
      </c>
      <c r="O112" t="s">
        <v>260</v>
      </c>
      <c r="P112">
        <v>7.6743741319094477E-2</v>
      </c>
      <c r="Q112" t="s">
        <v>166</v>
      </c>
      <c r="S112" t="s">
        <v>220</v>
      </c>
      <c r="T112" t="s">
        <v>260</v>
      </c>
      <c r="U112">
        <v>8.286784984834239E-2</v>
      </c>
      <c r="V112" t="s">
        <v>166</v>
      </c>
      <c r="AK112">
        <v>2034</v>
      </c>
      <c r="AL112" t="s">
        <v>254</v>
      </c>
      <c r="AM112">
        <v>0.45695000000000002</v>
      </c>
      <c r="AN112" t="s">
        <v>249</v>
      </c>
    </row>
    <row r="113" spans="9:40" x14ac:dyDescent="0.45">
      <c r="I113" t="s">
        <v>179</v>
      </c>
      <c r="J113" t="s">
        <v>169</v>
      </c>
      <c r="K113">
        <v>9.1514768268097027E-3</v>
      </c>
      <c r="L113" t="s">
        <v>166</v>
      </c>
      <c r="N113" t="s">
        <v>203</v>
      </c>
      <c r="O113" t="s">
        <v>169</v>
      </c>
      <c r="P113">
        <v>2.5827682787661958E-2</v>
      </c>
      <c r="Q113" t="s">
        <v>166</v>
      </c>
      <c r="S113" t="s">
        <v>220</v>
      </c>
      <c r="T113" t="s">
        <v>169</v>
      </c>
      <c r="U113">
        <v>4.7625112138111126E-3</v>
      </c>
      <c r="V113" t="s">
        <v>166</v>
      </c>
      <c r="AK113">
        <v>2034</v>
      </c>
      <c r="AL113" t="s">
        <v>256</v>
      </c>
      <c r="AM113">
        <v>0.4239</v>
      </c>
      <c r="AN113" t="s">
        <v>249</v>
      </c>
    </row>
    <row r="114" spans="9:40" x14ac:dyDescent="0.45">
      <c r="I114" t="s">
        <v>179</v>
      </c>
      <c r="J114" t="s">
        <v>170</v>
      </c>
      <c r="K114">
        <v>8.4010577415249282E-3</v>
      </c>
      <c r="L114" t="s">
        <v>166</v>
      </c>
      <c r="N114" t="s">
        <v>203</v>
      </c>
      <c r="O114" t="s">
        <v>170</v>
      </c>
      <c r="P114">
        <v>2.4096415674245159E-3</v>
      </c>
      <c r="Q114" t="s">
        <v>166</v>
      </c>
      <c r="S114" t="s">
        <v>220</v>
      </c>
      <c r="T114" t="s">
        <v>170</v>
      </c>
      <c r="U114">
        <v>6.6755050902184967E-4</v>
      </c>
      <c r="V114" t="s">
        <v>166</v>
      </c>
      <c r="AK114">
        <v>2034</v>
      </c>
      <c r="AL114" t="s">
        <v>257</v>
      </c>
      <c r="AM114">
        <v>0.4788</v>
      </c>
      <c r="AN114" t="s">
        <v>249</v>
      </c>
    </row>
    <row r="115" spans="9:40" x14ac:dyDescent="0.45">
      <c r="I115" t="s">
        <v>179</v>
      </c>
      <c r="J115" t="s">
        <v>171</v>
      </c>
      <c r="K115">
        <v>7.3796825907226499E-2</v>
      </c>
      <c r="L115" t="s">
        <v>166</v>
      </c>
      <c r="N115" t="s">
        <v>203</v>
      </c>
      <c r="O115" t="s">
        <v>171</v>
      </c>
      <c r="P115">
        <v>1.8599703096647213E-2</v>
      </c>
      <c r="Q115" t="s">
        <v>166</v>
      </c>
      <c r="S115" t="s">
        <v>220</v>
      </c>
      <c r="T115" t="s">
        <v>171</v>
      </c>
      <c r="U115">
        <v>5.4608698989989058E-3</v>
      </c>
      <c r="V115" t="s">
        <v>166</v>
      </c>
      <c r="AK115">
        <v>2035</v>
      </c>
      <c r="AL115" t="s">
        <v>154</v>
      </c>
      <c r="AM115">
        <v>0.30227500000000002</v>
      </c>
      <c r="AN115" t="s">
        <v>249</v>
      </c>
    </row>
    <row r="116" spans="9:40" x14ac:dyDescent="0.45">
      <c r="I116" t="s">
        <v>179</v>
      </c>
      <c r="J116" t="s">
        <v>261</v>
      </c>
      <c r="K116">
        <v>5.8483472586268823E-3</v>
      </c>
      <c r="L116" t="s">
        <v>166</v>
      </c>
      <c r="N116" t="s">
        <v>203</v>
      </c>
      <c r="O116" t="s">
        <v>261</v>
      </c>
      <c r="P116">
        <v>3.2786520988282702E-3</v>
      </c>
      <c r="Q116" t="s">
        <v>166</v>
      </c>
      <c r="S116" t="s">
        <v>220</v>
      </c>
      <c r="T116" t="s">
        <v>261</v>
      </c>
      <c r="U116">
        <v>8.6881739034987918E-4</v>
      </c>
      <c r="V116" t="s">
        <v>166</v>
      </c>
      <c r="AK116">
        <v>2035</v>
      </c>
      <c r="AL116" t="s">
        <v>158</v>
      </c>
      <c r="AM116">
        <v>0.34970000000000001</v>
      </c>
      <c r="AN116" t="s">
        <v>249</v>
      </c>
    </row>
    <row r="117" spans="9:40" x14ac:dyDescent="0.45">
      <c r="I117" t="s">
        <v>179</v>
      </c>
      <c r="J117" t="s">
        <v>262</v>
      </c>
      <c r="K117">
        <v>6.1507548213119954E-3</v>
      </c>
      <c r="L117" t="s">
        <v>166</v>
      </c>
      <c r="N117" t="s">
        <v>203</v>
      </c>
      <c r="O117" t="s">
        <v>262</v>
      </c>
      <c r="P117">
        <v>5.5089834123264762E-3</v>
      </c>
      <c r="Q117" t="s">
        <v>166</v>
      </c>
      <c r="S117" t="s">
        <v>220</v>
      </c>
      <c r="T117" t="s">
        <v>262</v>
      </c>
      <c r="U117">
        <v>9.9093139568297382E-4</v>
      </c>
      <c r="V117" t="s">
        <v>166</v>
      </c>
      <c r="AK117">
        <v>2035</v>
      </c>
      <c r="AL117" t="s">
        <v>160</v>
      </c>
      <c r="AM117">
        <v>0.45190000000000002</v>
      </c>
      <c r="AN117" t="s">
        <v>249</v>
      </c>
    </row>
    <row r="118" spans="9:40" x14ac:dyDescent="0.45">
      <c r="I118" t="s">
        <v>179</v>
      </c>
      <c r="J118" t="s">
        <v>263</v>
      </c>
      <c r="K118">
        <v>0</v>
      </c>
      <c r="L118" t="s">
        <v>166</v>
      </c>
      <c r="N118" t="s">
        <v>203</v>
      </c>
      <c r="O118" t="s">
        <v>263</v>
      </c>
      <c r="P118">
        <v>2.0893324508706249E-2</v>
      </c>
      <c r="Q118" t="s">
        <v>166</v>
      </c>
      <c r="S118" t="s">
        <v>220</v>
      </c>
      <c r="T118" t="s">
        <v>263</v>
      </c>
      <c r="U118">
        <v>2.1111473649501802E-3</v>
      </c>
      <c r="V118" t="s">
        <v>166</v>
      </c>
      <c r="AK118">
        <v>2035</v>
      </c>
      <c r="AL118" t="s">
        <v>162</v>
      </c>
      <c r="AM118">
        <v>0.45279999999999998</v>
      </c>
      <c r="AN118" t="s">
        <v>249</v>
      </c>
    </row>
    <row r="119" spans="9:40" x14ac:dyDescent="0.45">
      <c r="I119" t="s">
        <v>179</v>
      </c>
      <c r="J119" t="s">
        <v>172</v>
      </c>
      <c r="K119">
        <v>5.6000463413937397E-3</v>
      </c>
      <c r="L119" t="s">
        <v>166</v>
      </c>
      <c r="N119" t="s">
        <v>203</v>
      </c>
      <c r="O119" t="s">
        <v>172</v>
      </c>
      <c r="P119">
        <v>3.1736444270349488E-2</v>
      </c>
      <c r="Q119" t="s">
        <v>166</v>
      </c>
      <c r="S119" t="s">
        <v>220</v>
      </c>
      <c r="T119" t="s">
        <v>172</v>
      </c>
      <c r="U119">
        <v>1.4921351604437317E-2</v>
      </c>
      <c r="V119" t="s">
        <v>166</v>
      </c>
      <c r="AK119">
        <v>2035</v>
      </c>
      <c r="AL119" t="s">
        <v>252</v>
      </c>
      <c r="AM119">
        <v>0.60199999999999998</v>
      </c>
      <c r="AN119" t="s">
        <v>249</v>
      </c>
    </row>
    <row r="120" spans="9:40" x14ac:dyDescent="0.45">
      <c r="I120" t="s">
        <v>179</v>
      </c>
      <c r="J120" t="s">
        <v>173</v>
      </c>
      <c r="K120">
        <v>5.621163047564175E-3</v>
      </c>
      <c r="L120" t="s">
        <v>166</v>
      </c>
      <c r="N120" t="s">
        <v>203</v>
      </c>
      <c r="O120" t="s">
        <v>173</v>
      </c>
      <c r="P120">
        <v>3.7436366337769956E-3</v>
      </c>
      <c r="Q120" t="s">
        <v>166</v>
      </c>
      <c r="S120" t="s">
        <v>220</v>
      </c>
      <c r="T120" t="s">
        <v>173</v>
      </c>
      <c r="U120">
        <v>1.6190796511104755E-3</v>
      </c>
      <c r="V120" t="s">
        <v>166</v>
      </c>
      <c r="AK120">
        <v>2035</v>
      </c>
      <c r="AL120" t="s">
        <v>254</v>
      </c>
      <c r="AM120">
        <v>0.52174999999999994</v>
      </c>
      <c r="AN120" t="s">
        <v>249</v>
      </c>
    </row>
    <row r="121" spans="9:40" x14ac:dyDescent="0.45">
      <c r="I121" t="s">
        <v>179</v>
      </c>
      <c r="J121" t="s">
        <v>174</v>
      </c>
      <c r="K121">
        <v>5.6345431788445727E-2</v>
      </c>
      <c r="L121" t="s">
        <v>166</v>
      </c>
      <c r="N121" t="s">
        <v>203</v>
      </c>
      <c r="O121" t="s">
        <v>174</v>
      </c>
      <c r="P121">
        <v>3.1044785282662208E-2</v>
      </c>
      <c r="Q121" t="s">
        <v>166</v>
      </c>
      <c r="S121" t="s">
        <v>220</v>
      </c>
      <c r="T121" t="s">
        <v>174</v>
      </c>
      <c r="U121">
        <v>1.3067147801016544E-2</v>
      </c>
      <c r="V121" t="s">
        <v>166</v>
      </c>
      <c r="AK121">
        <v>2035</v>
      </c>
      <c r="AL121" t="s">
        <v>256</v>
      </c>
      <c r="AM121">
        <v>0.55869999999999997</v>
      </c>
      <c r="AN121" t="s">
        <v>249</v>
      </c>
    </row>
    <row r="122" spans="9:40" x14ac:dyDescent="0.45">
      <c r="I122" t="s">
        <v>179</v>
      </c>
      <c r="J122" t="s">
        <v>264</v>
      </c>
      <c r="K122">
        <v>5.0523787390768116E-3</v>
      </c>
      <c r="L122" t="s">
        <v>166</v>
      </c>
      <c r="N122" t="s">
        <v>203</v>
      </c>
      <c r="O122" t="s">
        <v>264</v>
      </c>
      <c r="P122">
        <v>4.2814249576683568E-3</v>
      </c>
      <c r="Q122" t="s">
        <v>166</v>
      </c>
      <c r="S122" t="s">
        <v>220</v>
      </c>
      <c r="T122" t="s">
        <v>264</v>
      </c>
      <c r="U122">
        <v>2.1457063842187283E-3</v>
      </c>
      <c r="V122" t="s">
        <v>166</v>
      </c>
      <c r="AK122">
        <v>2035</v>
      </c>
      <c r="AL122" t="s">
        <v>257</v>
      </c>
      <c r="AM122">
        <v>0.48509999999999998</v>
      </c>
      <c r="AN122" t="s">
        <v>249</v>
      </c>
    </row>
    <row r="123" spans="9:40" x14ac:dyDescent="0.45">
      <c r="I123" t="s">
        <v>179</v>
      </c>
      <c r="J123" t="s">
        <v>265</v>
      </c>
      <c r="K123">
        <v>5.5367971144247054E-3</v>
      </c>
      <c r="L123" t="s">
        <v>166</v>
      </c>
      <c r="N123" t="s">
        <v>203</v>
      </c>
      <c r="O123" t="s">
        <v>265</v>
      </c>
      <c r="P123">
        <v>6.8456644229021018E-3</v>
      </c>
      <c r="Q123" t="s">
        <v>166</v>
      </c>
      <c r="S123" t="s">
        <v>220</v>
      </c>
      <c r="T123" t="s">
        <v>265</v>
      </c>
      <c r="U123">
        <v>3.3593398785894814E-3</v>
      </c>
      <c r="V123" t="s">
        <v>166</v>
      </c>
      <c r="AK123">
        <v>2036</v>
      </c>
      <c r="AL123" t="s">
        <v>154</v>
      </c>
      <c r="AM123">
        <v>0.28815000000000002</v>
      </c>
      <c r="AN123" t="s">
        <v>249</v>
      </c>
    </row>
    <row r="124" spans="9:40" x14ac:dyDescent="0.45">
      <c r="I124" t="s">
        <v>179</v>
      </c>
      <c r="J124" t="s">
        <v>266</v>
      </c>
      <c r="K124">
        <v>0</v>
      </c>
      <c r="L124" t="s">
        <v>166</v>
      </c>
      <c r="N124" t="s">
        <v>203</v>
      </c>
      <c r="O124" t="s">
        <v>266</v>
      </c>
      <c r="P124">
        <v>2.106102738272924E-2</v>
      </c>
      <c r="Q124" t="s">
        <v>166</v>
      </c>
      <c r="S124" t="s">
        <v>220</v>
      </c>
      <c r="T124" t="s">
        <v>266</v>
      </c>
      <c r="U124">
        <v>7.0689830514988217E-3</v>
      </c>
      <c r="V124" t="s">
        <v>166</v>
      </c>
      <c r="AK124">
        <v>2036</v>
      </c>
      <c r="AL124" t="s">
        <v>158</v>
      </c>
      <c r="AM124">
        <v>0.33729999999999999</v>
      </c>
      <c r="AN124" t="s">
        <v>249</v>
      </c>
    </row>
    <row r="125" spans="9:40" x14ac:dyDescent="0.45">
      <c r="I125" t="s">
        <v>179</v>
      </c>
      <c r="J125" t="s">
        <v>175</v>
      </c>
      <c r="K125">
        <v>3.3382282600645189E-3</v>
      </c>
      <c r="L125" t="s">
        <v>166</v>
      </c>
      <c r="N125" t="s">
        <v>203</v>
      </c>
      <c r="O125" t="s">
        <v>175</v>
      </c>
      <c r="P125">
        <v>2.1019493030549428E-2</v>
      </c>
      <c r="Q125" t="s">
        <v>166</v>
      </c>
      <c r="S125" t="s">
        <v>220</v>
      </c>
      <c r="T125" t="s">
        <v>175</v>
      </c>
      <c r="U125">
        <v>1.9765182497437452E-2</v>
      </c>
      <c r="V125" t="s">
        <v>166</v>
      </c>
      <c r="AK125">
        <v>2036</v>
      </c>
      <c r="AL125" t="s">
        <v>160</v>
      </c>
      <c r="AM125">
        <v>0.44130000000000003</v>
      </c>
      <c r="AN125" t="s">
        <v>249</v>
      </c>
    </row>
    <row r="126" spans="9:40" x14ac:dyDescent="0.45">
      <c r="I126" t="s">
        <v>179</v>
      </c>
      <c r="J126" t="s">
        <v>176</v>
      </c>
      <c r="K126">
        <v>5.5114606914809863E-3</v>
      </c>
      <c r="L126" t="s">
        <v>166</v>
      </c>
      <c r="N126" t="s">
        <v>203</v>
      </c>
      <c r="O126" t="s">
        <v>176</v>
      </c>
      <c r="P126">
        <v>2.4169870597682856E-3</v>
      </c>
      <c r="Q126" t="s">
        <v>166</v>
      </c>
      <c r="S126" t="s">
        <v>220</v>
      </c>
      <c r="T126" t="s">
        <v>176</v>
      </c>
      <c r="U126">
        <v>2.73435131286049E-3</v>
      </c>
      <c r="V126" t="s">
        <v>166</v>
      </c>
      <c r="AK126">
        <v>2036</v>
      </c>
      <c r="AL126" t="s">
        <v>162</v>
      </c>
      <c r="AM126">
        <v>0.53080000000000005</v>
      </c>
      <c r="AN126" t="s">
        <v>249</v>
      </c>
    </row>
    <row r="127" spans="9:40" x14ac:dyDescent="0.45">
      <c r="I127" t="s">
        <v>179</v>
      </c>
      <c r="J127" t="s">
        <v>177</v>
      </c>
      <c r="K127">
        <v>5.9997467193451344E-2</v>
      </c>
      <c r="L127" t="s">
        <v>166</v>
      </c>
      <c r="N127" t="s">
        <v>203</v>
      </c>
      <c r="O127" t="s">
        <v>177</v>
      </c>
      <c r="P127">
        <v>1.8586148205426953E-2</v>
      </c>
      <c r="Q127" t="s">
        <v>166</v>
      </c>
      <c r="S127" t="s">
        <v>220</v>
      </c>
      <c r="T127" t="s">
        <v>177</v>
      </c>
      <c r="U127">
        <v>2.3327452425321329E-2</v>
      </c>
      <c r="V127" t="s">
        <v>166</v>
      </c>
      <c r="AK127">
        <v>2036</v>
      </c>
      <c r="AL127" t="s">
        <v>252</v>
      </c>
      <c r="AM127">
        <v>0.59640000000000004</v>
      </c>
      <c r="AN127" t="s">
        <v>249</v>
      </c>
    </row>
    <row r="128" spans="9:40" x14ac:dyDescent="0.45">
      <c r="I128" t="s">
        <v>179</v>
      </c>
      <c r="J128" t="s">
        <v>267</v>
      </c>
      <c r="K128">
        <v>5.2869720586240362E-3</v>
      </c>
      <c r="L128" t="s">
        <v>166</v>
      </c>
      <c r="N128" t="s">
        <v>203</v>
      </c>
      <c r="O128" t="s">
        <v>267</v>
      </c>
      <c r="P128">
        <v>2.9557305060259231E-3</v>
      </c>
      <c r="Q128" t="s">
        <v>166</v>
      </c>
      <c r="S128" t="s">
        <v>220</v>
      </c>
      <c r="T128" t="s">
        <v>267</v>
      </c>
      <c r="U128">
        <v>3.7184485402051168E-3</v>
      </c>
      <c r="V128" t="s">
        <v>166</v>
      </c>
      <c r="AK128">
        <v>2036</v>
      </c>
      <c r="AL128" t="s">
        <v>254</v>
      </c>
      <c r="AM128">
        <v>0.57145000000000001</v>
      </c>
      <c r="AN128" t="s">
        <v>249</v>
      </c>
    </row>
    <row r="129" spans="9:40" x14ac:dyDescent="0.45">
      <c r="I129" t="s">
        <v>179</v>
      </c>
      <c r="J129" t="s">
        <v>268</v>
      </c>
      <c r="K129">
        <v>5.9844226013848799E-3</v>
      </c>
      <c r="L129" t="s">
        <v>166</v>
      </c>
      <c r="N129" t="s">
        <v>203</v>
      </c>
      <c r="O129" t="s">
        <v>268</v>
      </c>
      <c r="P129">
        <v>4.7657341494935042E-3</v>
      </c>
      <c r="Q129" t="s">
        <v>166</v>
      </c>
      <c r="S129" t="s">
        <v>220</v>
      </c>
      <c r="T129" t="s">
        <v>268</v>
      </c>
      <c r="U129">
        <v>6.0235969303608569E-3</v>
      </c>
      <c r="V129" t="s">
        <v>166</v>
      </c>
      <c r="AK129">
        <v>2036</v>
      </c>
      <c r="AL129" t="s">
        <v>256</v>
      </c>
      <c r="AM129">
        <v>0.52980000000000005</v>
      </c>
      <c r="AN129" t="s">
        <v>249</v>
      </c>
    </row>
    <row r="130" spans="9:40" x14ac:dyDescent="0.45">
      <c r="I130" t="s">
        <v>179</v>
      </c>
      <c r="J130" t="s">
        <v>269</v>
      </c>
      <c r="K130">
        <v>0</v>
      </c>
      <c r="L130" t="s">
        <v>166</v>
      </c>
      <c r="N130" t="s">
        <v>203</v>
      </c>
      <c r="O130" t="s">
        <v>269</v>
      </c>
      <c r="P130">
        <v>1.4939626846988616E-2</v>
      </c>
      <c r="Q130" t="s">
        <v>166</v>
      </c>
      <c r="S130" t="s">
        <v>220</v>
      </c>
      <c r="T130" t="s">
        <v>269</v>
      </c>
      <c r="U130">
        <v>1.0772549122164004E-2</v>
      </c>
      <c r="V130" t="s">
        <v>166</v>
      </c>
      <c r="AK130">
        <v>2036</v>
      </c>
      <c r="AL130" t="s">
        <v>257</v>
      </c>
      <c r="AM130">
        <v>0.47039999999999998</v>
      </c>
      <c r="AN130" t="s">
        <v>249</v>
      </c>
    </row>
    <row r="131" spans="9:40" x14ac:dyDescent="0.45">
      <c r="I131" t="s">
        <v>179</v>
      </c>
      <c r="J131" t="s">
        <v>270</v>
      </c>
      <c r="K131">
        <v>3.1641464849931811E-3</v>
      </c>
      <c r="L131" t="s">
        <v>166</v>
      </c>
      <c r="N131" t="s">
        <v>203</v>
      </c>
      <c r="O131" t="s">
        <v>270</v>
      </c>
      <c r="P131">
        <v>1.6926757051333164E-2</v>
      </c>
      <c r="Q131" t="s">
        <v>166</v>
      </c>
      <c r="S131" t="s">
        <v>220</v>
      </c>
      <c r="T131" t="s">
        <v>270</v>
      </c>
      <c r="U131">
        <v>2.3251154968530363E-2</v>
      </c>
      <c r="V131" t="s">
        <v>166</v>
      </c>
      <c r="AK131">
        <v>2037</v>
      </c>
      <c r="AL131" t="s">
        <v>154</v>
      </c>
      <c r="AM131">
        <v>0.30814999999999998</v>
      </c>
      <c r="AN131" t="s">
        <v>249</v>
      </c>
    </row>
    <row r="132" spans="9:40" x14ac:dyDescent="0.45">
      <c r="I132" t="s">
        <v>179</v>
      </c>
      <c r="J132" t="s">
        <v>271</v>
      </c>
      <c r="K132">
        <v>5.2564614513857964E-3</v>
      </c>
      <c r="L132" t="s">
        <v>166</v>
      </c>
      <c r="N132" t="s">
        <v>203</v>
      </c>
      <c r="O132" t="s">
        <v>271</v>
      </c>
      <c r="P132">
        <v>1.7354410694700672E-3</v>
      </c>
      <c r="Q132" t="s">
        <v>166</v>
      </c>
      <c r="S132" t="s">
        <v>220</v>
      </c>
      <c r="T132" t="s">
        <v>271</v>
      </c>
      <c r="U132">
        <v>3.2154982760723935E-3</v>
      </c>
      <c r="V132" t="s">
        <v>166</v>
      </c>
      <c r="AK132">
        <v>2037</v>
      </c>
      <c r="AL132" t="s">
        <v>158</v>
      </c>
      <c r="AM132">
        <v>0.33500000000000002</v>
      </c>
      <c r="AN132" t="s">
        <v>249</v>
      </c>
    </row>
    <row r="133" spans="9:40" x14ac:dyDescent="0.45">
      <c r="I133" t="s">
        <v>179</v>
      </c>
      <c r="J133" t="s">
        <v>272</v>
      </c>
      <c r="K133">
        <v>5.7161178049815742E-2</v>
      </c>
      <c r="L133" t="s">
        <v>166</v>
      </c>
      <c r="N133" t="s">
        <v>203</v>
      </c>
      <c r="O133" t="s">
        <v>272</v>
      </c>
      <c r="P133">
        <v>1.4358883469789691E-2</v>
      </c>
      <c r="Q133" t="s">
        <v>166</v>
      </c>
      <c r="S133" t="s">
        <v>220</v>
      </c>
      <c r="T133" t="s">
        <v>272</v>
      </c>
      <c r="U133">
        <v>2.6261721269669452E-2</v>
      </c>
      <c r="V133" t="s">
        <v>166</v>
      </c>
      <c r="AK133">
        <v>2037</v>
      </c>
      <c r="AL133" t="s">
        <v>160</v>
      </c>
      <c r="AM133">
        <v>0.4244</v>
      </c>
      <c r="AN133" t="s">
        <v>249</v>
      </c>
    </row>
    <row r="134" spans="9:40" x14ac:dyDescent="0.45">
      <c r="I134" t="s">
        <v>179</v>
      </c>
      <c r="J134" t="s">
        <v>273</v>
      </c>
      <c r="K134">
        <v>5.6302835248222445E-3</v>
      </c>
      <c r="L134" t="s">
        <v>166</v>
      </c>
      <c r="N134" t="s">
        <v>203</v>
      </c>
      <c r="O134" t="s">
        <v>273</v>
      </c>
      <c r="P134">
        <v>2.1776798600923858E-3</v>
      </c>
      <c r="Q134" t="s">
        <v>166</v>
      </c>
      <c r="S134" t="s">
        <v>220</v>
      </c>
      <c r="T134" t="s">
        <v>273</v>
      </c>
      <c r="U134">
        <v>3.6500231975197107E-3</v>
      </c>
      <c r="V134" t="s">
        <v>166</v>
      </c>
      <c r="AK134">
        <v>2037</v>
      </c>
      <c r="AL134" t="s">
        <v>162</v>
      </c>
      <c r="AM134">
        <v>0.53210000000000002</v>
      </c>
      <c r="AN134" t="s">
        <v>249</v>
      </c>
    </row>
    <row r="135" spans="9:40" x14ac:dyDescent="0.45">
      <c r="I135" t="s">
        <v>179</v>
      </c>
      <c r="J135" t="s">
        <v>274</v>
      </c>
      <c r="K135">
        <v>6.2351380310275949E-3</v>
      </c>
      <c r="L135" t="s">
        <v>166</v>
      </c>
      <c r="N135" t="s">
        <v>203</v>
      </c>
      <c r="O135" t="s">
        <v>274</v>
      </c>
      <c r="P135">
        <v>3.7433100926723851E-3</v>
      </c>
      <c r="Q135" t="s">
        <v>166</v>
      </c>
      <c r="S135" t="s">
        <v>220</v>
      </c>
      <c r="T135" t="s">
        <v>274</v>
      </c>
      <c r="U135">
        <v>5.7121538579554829E-3</v>
      </c>
      <c r="V135" t="s">
        <v>166</v>
      </c>
      <c r="AK135">
        <v>2037</v>
      </c>
      <c r="AL135" t="s">
        <v>252</v>
      </c>
      <c r="AM135">
        <v>0.53559999999999997</v>
      </c>
      <c r="AN135" t="s">
        <v>249</v>
      </c>
    </row>
    <row r="136" spans="9:40" x14ac:dyDescent="0.45">
      <c r="I136" t="s">
        <v>179</v>
      </c>
      <c r="J136" t="s">
        <v>275</v>
      </c>
      <c r="K136">
        <v>0</v>
      </c>
      <c r="L136" t="s">
        <v>166</v>
      </c>
      <c r="N136" t="s">
        <v>203</v>
      </c>
      <c r="O136" t="s">
        <v>275</v>
      </c>
      <c r="P136">
        <v>1.1830791864707433E-2</v>
      </c>
      <c r="Q136" t="s">
        <v>166</v>
      </c>
      <c r="S136" t="s">
        <v>220</v>
      </c>
      <c r="T136" t="s">
        <v>275</v>
      </c>
      <c r="U136">
        <v>1.0793587365676736E-2</v>
      </c>
      <c r="V136" t="s">
        <v>166</v>
      </c>
      <c r="AK136">
        <v>2037</v>
      </c>
      <c r="AL136" t="s">
        <v>254</v>
      </c>
      <c r="AM136">
        <v>0.52329999999999999</v>
      </c>
      <c r="AN136" t="s">
        <v>249</v>
      </c>
    </row>
    <row r="137" spans="9:40" x14ac:dyDescent="0.45">
      <c r="I137" t="s">
        <v>179</v>
      </c>
      <c r="J137" t="s">
        <v>276</v>
      </c>
      <c r="K137">
        <v>6.235514678131885E-3</v>
      </c>
      <c r="L137" t="s">
        <v>166</v>
      </c>
      <c r="N137" t="s">
        <v>203</v>
      </c>
      <c r="O137" t="s">
        <v>276</v>
      </c>
      <c r="P137">
        <v>5.6092216027827463E-2</v>
      </c>
      <c r="Q137" t="s">
        <v>166</v>
      </c>
      <c r="S137" t="s">
        <v>220</v>
      </c>
      <c r="T137" t="s">
        <v>276</v>
      </c>
      <c r="U137">
        <v>4.6168174855055664E-2</v>
      </c>
      <c r="V137" t="s">
        <v>166</v>
      </c>
      <c r="AK137">
        <v>2037</v>
      </c>
      <c r="AL137" t="s">
        <v>256</v>
      </c>
      <c r="AM137">
        <v>0.55130000000000001</v>
      </c>
      <c r="AN137" t="s">
        <v>249</v>
      </c>
    </row>
    <row r="138" spans="9:40" x14ac:dyDescent="0.45">
      <c r="I138" t="s">
        <v>179</v>
      </c>
      <c r="J138" t="s">
        <v>277</v>
      </c>
      <c r="K138">
        <v>1.0986468942076435E-2</v>
      </c>
      <c r="L138" t="s">
        <v>166</v>
      </c>
      <c r="N138" t="s">
        <v>203</v>
      </c>
      <c r="O138" t="s">
        <v>277</v>
      </c>
      <c r="P138">
        <v>7.054187095690282E-3</v>
      </c>
      <c r="Q138" t="s">
        <v>166</v>
      </c>
      <c r="S138" t="s">
        <v>220</v>
      </c>
      <c r="T138" t="s">
        <v>277</v>
      </c>
      <c r="U138">
        <v>5.8897394202116248E-3</v>
      </c>
      <c r="V138" t="s">
        <v>166</v>
      </c>
      <c r="AK138">
        <v>2037</v>
      </c>
      <c r="AL138" t="s">
        <v>257</v>
      </c>
      <c r="AM138">
        <v>0.46899999999999997</v>
      </c>
      <c r="AN138" t="s">
        <v>249</v>
      </c>
    </row>
    <row r="139" spans="9:40" x14ac:dyDescent="0.45">
      <c r="I139" t="s">
        <v>179</v>
      </c>
      <c r="J139" t="s">
        <v>278</v>
      </c>
      <c r="K139">
        <v>0.11347186271252201</v>
      </c>
      <c r="L139" t="s">
        <v>166</v>
      </c>
      <c r="N139" t="s">
        <v>203</v>
      </c>
      <c r="O139" t="s">
        <v>278</v>
      </c>
      <c r="P139">
        <v>5.1912567499441453E-2</v>
      </c>
      <c r="Q139" t="s">
        <v>166</v>
      </c>
      <c r="S139" t="s">
        <v>220</v>
      </c>
      <c r="T139" t="s">
        <v>278</v>
      </c>
      <c r="U139">
        <v>4.2980508723191375E-2</v>
      </c>
      <c r="V139" t="s">
        <v>166</v>
      </c>
      <c r="AK139">
        <v>2038</v>
      </c>
      <c r="AL139" t="s">
        <v>154</v>
      </c>
      <c r="AM139">
        <v>0.24782499999999999</v>
      </c>
      <c r="AN139" t="s">
        <v>249</v>
      </c>
    </row>
    <row r="140" spans="9:40" x14ac:dyDescent="0.45">
      <c r="I140" t="s">
        <v>179</v>
      </c>
      <c r="J140" t="s">
        <v>279</v>
      </c>
      <c r="K140">
        <v>1.0821432775372104E-2</v>
      </c>
      <c r="L140" t="s">
        <v>166</v>
      </c>
      <c r="N140" t="s">
        <v>203</v>
      </c>
      <c r="O140" t="s">
        <v>279</v>
      </c>
      <c r="P140">
        <v>5.9830535608692229E-3</v>
      </c>
      <c r="Q140" t="s">
        <v>166</v>
      </c>
      <c r="S140" t="s">
        <v>220</v>
      </c>
      <c r="T140" t="s">
        <v>279</v>
      </c>
      <c r="U140">
        <v>6.2060321909561582E-3</v>
      </c>
      <c r="V140" t="s">
        <v>166</v>
      </c>
      <c r="AK140">
        <v>2038</v>
      </c>
      <c r="AL140" t="s">
        <v>158</v>
      </c>
      <c r="AM140">
        <v>0.27160000000000001</v>
      </c>
      <c r="AN140" t="s">
        <v>249</v>
      </c>
    </row>
    <row r="141" spans="9:40" x14ac:dyDescent="0.45">
      <c r="I141" t="s">
        <v>179</v>
      </c>
      <c r="J141" t="s">
        <v>280</v>
      </c>
      <c r="K141">
        <v>8.6369236172254994E-3</v>
      </c>
      <c r="L141" t="s">
        <v>166</v>
      </c>
      <c r="N141" t="s">
        <v>203</v>
      </c>
      <c r="O141" t="s">
        <v>280</v>
      </c>
      <c r="P141">
        <v>1.09354676532155E-2</v>
      </c>
      <c r="Q141" t="s">
        <v>166</v>
      </c>
      <c r="S141" t="s">
        <v>220</v>
      </c>
      <c r="T141" t="s">
        <v>280</v>
      </c>
      <c r="U141">
        <v>1.1158342922860789E-2</v>
      </c>
      <c r="V141" t="s">
        <v>166</v>
      </c>
      <c r="AK141">
        <v>2038</v>
      </c>
      <c r="AL141" t="s">
        <v>160</v>
      </c>
      <c r="AM141">
        <v>0.36880000000000002</v>
      </c>
      <c r="AN141" t="s">
        <v>249</v>
      </c>
    </row>
    <row r="142" spans="9:40" x14ac:dyDescent="0.45">
      <c r="I142" t="s">
        <v>179</v>
      </c>
      <c r="J142" t="s">
        <v>281</v>
      </c>
      <c r="K142">
        <v>0</v>
      </c>
      <c r="L142" t="s">
        <v>166</v>
      </c>
      <c r="N142" t="s">
        <v>203</v>
      </c>
      <c r="O142" t="s">
        <v>281</v>
      </c>
      <c r="P142">
        <v>3.2778315546060866E-2</v>
      </c>
      <c r="Q142" t="s">
        <v>166</v>
      </c>
      <c r="S142" t="s">
        <v>220</v>
      </c>
      <c r="T142" t="s">
        <v>281</v>
      </c>
      <c r="U142">
        <v>2.5713617015437101E-2</v>
      </c>
      <c r="V142" t="s">
        <v>166</v>
      </c>
      <c r="AK142">
        <v>2038</v>
      </c>
      <c r="AL142" t="s">
        <v>162</v>
      </c>
      <c r="AM142">
        <v>0.42630000000000001</v>
      </c>
      <c r="AN142" t="s">
        <v>249</v>
      </c>
    </row>
    <row r="143" spans="9:40" x14ac:dyDescent="0.45">
      <c r="I143" t="s">
        <v>179</v>
      </c>
      <c r="J143" t="s">
        <v>282</v>
      </c>
      <c r="K143">
        <v>2.4949532237288777E-3</v>
      </c>
      <c r="L143" t="s">
        <v>166</v>
      </c>
      <c r="N143" t="s">
        <v>203</v>
      </c>
      <c r="O143" t="s">
        <v>282</v>
      </c>
      <c r="P143">
        <v>3.736194628372505E-2</v>
      </c>
      <c r="Q143" t="s">
        <v>166</v>
      </c>
      <c r="S143" t="s">
        <v>220</v>
      </c>
      <c r="T143" t="s">
        <v>282</v>
      </c>
      <c r="U143">
        <v>3.0760931689427794E-2</v>
      </c>
      <c r="V143" t="s">
        <v>166</v>
      </c>
      <c r="AK143">
        <v>2038</v>
      </c>
      <c r="AL143" t="s">
        <v>252</v>
      </c>
      <c r="AM143">
        <v>0.47320000000000001</v>
      </c>
      <c r="AN143" t="s">
        <v>249</v>
      </c>
    </row>
    <row r="144" spans="9:40" x14ac:dyDescent="0.45">
      <c r="I144" t="s">
        <v>179</v>
      </c>
      <c r="J144" t="s">
        <v>283</v>
      </c>
      <c r="K144">
        <v>4.8338444834794244E-3</v>
      </c>
      <c r="L144" t="s">
        <v>166</v>
      </c>
      <c r="N144" t="s">
        <v>203</v>
      </c>
      <c r="O144" t="s">
        <v>283</v>
      </c>
      <c r="P144">
        <v>4.3011527088452671E-3</v>
      </c>
      <c r="Q144" t="s">
        <v>166</v>
      </c>
      <c r="S144" t="s">
        <v>220</v>
      </c>
      <c r="T144" t="s">
        <v>283</v>
      </c>
      <c r="U144">
        <v>4.2093584031184959E-3</v>
      </c>
      <c r="V144" t="s">
        <v>166</v>
      </c>
      <c r="AK144">
        <v>2038</v>
      </c>
      <c r="AL144" t="s">
        <v>254</v>
      </c>
      <c r="AM144">
        <v>0.47115000000000001</v>
      </c>
      <c r="AN144" t="s">
        <v>249</v>
      </c>
    </row>
    <row r="145" spans="9:40" x14ac:dyDescent="0.45">
      <c r="I145" t="s">
        <v>179</v>
      </c>
      <c r="J145" t="s">
        <v>284</v>
      </c>
      <c r="K145">
        <v>5.2236128261090642E-2</v>
      </c>
      <c r="L145" t="s">
        <v>166</v>
      </c>
      <c r="N145" t="s">
        <v>203</v>
      </c>
      <c r="O145" t="s">
        <v>284</v>
      </c>
      <c r="P145">
        <v>2.7959245451072898E-2</v>
      </c>
      <c r="Q145" t="s">
        <v>166</v>
      </c>
      <c r="S145" t="s">
        <v>220</v>
      </c>
      <c r="T145" t="s">
        <v>284</v>
      </c>
      <c r="U145">
        <v>2.8435121323902673E-2</v>
      </c>
      <c r="V145" t="s">
        <v>166</v>
      </c>
      <c r="AK145">
        <v>2038</v>
      </c>
      <c r="AL145" t="s">
        <v>256</v>
      </c>
      <c r="AM145">
        <v>0.40770000000000001</v>
      </c>
      <c r="AN145" t="s">
        <v>249</v>
      </c>
    </row>
    <row r="146" spans="9:40" x14ac:dyDescent="0.45">
      <c r="I146" t="s">
        <v>179</v>
      </c>
      <c r="J146" t="s">
        <v>285</v>
      </c>
      <c r="K146">
        <v>5.582986019034869E-3</v>
      </c>
      <c r="L146" t="s">
        <v>166</v>
      </c>
      <c r="N146" t="s">
        <v>203</v>
      </c>
      <c r="O146" t="s">
        <v>285</v>
      </c>
      <c r="P146">
        <v>3.5119639605081009E-3</v>
      </c>
      <c r="Q146" t="s">
        <v>166</v>
      </c>
      <c r="S146" t="s">
        <v>220</v>
      </c>
      <c r="T146" t="s">
        <v>285</v>
      </c>
      <c r="U146">
        <v>3.9149865374162162E-3</v>
      </c>
      <c r="V146" t="s">
        <v>166</v>
      </c>
      <c r="AK146">
        <v>2038</v>
      </c>
      <c r="AL146" t="s">
        <v>257</v>
      </c>
      <c r="AM146">
        <v>0.4073</v>
      </c>
      <c r="AN146" t="s">
        <v>249</v>
      </c>
    </row>
    <row r="147" spans="9:40" x14ac:dyDescent="0.45">
      <c r="I147" t="s">
        <v>179</v>
      </c>
      <c r="J147" t="s">
        <v>286</v>
      </c>
      <c r="K147">
        <v>3.5445616773004201E-3</v>
      </c>
      <c r="L147" t="s">
        <v>166</v>
      </c>
      <c r="N147" t="s">
        <v>203</v>
      </c>
      <c r="O147" t="s">
        <v>286</v>
      </c>
      <c r="P147">
        <v>6.2158164428262495E-3</v>
      </c>
      <c r="Q147" t="s">
        <v>166</v>
      </c>
      <c r="S147" t="s">
        <v>220</v>
      </c>
      <c r="T147" t="s">
        <v>286</v>
      </c>
      <c r="U147">
        <v>8.0056991029290418E-3</v>
      </c>
      <c r="V147" t="s">
        <v>166</v>
      </c>
      <c r="AK147">
        <v>2039</v>
      </c>
      <c r="AL147" t="s">
        <v>154</v>
      </c>
      <c r="AM147">
        <v>0.24042499999999997</v>
      </c>
      <c r="AN147" t="s">
        <v>249</v>
      </c>
    </row>
    <row r="148" spans="9:40" x14ac:dyDescent="0.45">
      <c r="I148" t="s">
        <v>179</v>
      </c>
      <c r="J148" t="s">
        <v>287</v>
      </c>
      <c r="K148">
        <v>0</v>
      </c>
      <c r="L148" t="s">
        <v>166</v>
      </c>
      <c r="N148" t="s">
        <v>203</v>
      </c>
      <c r="O148" t="s">
        <v>287</v>
      </c>
      <c r="P148">
        <v>2.2250478120166492E-2</v>
      </c>
      <c r="Q148" t="s">
        <v>166</v>
      </c>
      <c r="S148" t="s">
        <v>220</v>
      </c>
      <c r="T148" t="s">
        <v>287</v>
      </c>
      <c r="U148">
        <v>2.1560911177973052E-2</v>
      </c>
      <c r="V148" t="s">
        <v>166</v>
      </c>
      <c r="AK148">
        <v>2039</v>
      </c>
      <c r="AL148" t="s">
        <v>158</v>
      </c>
      <c r="AM148">
        <v>0.3251</v>
      </c>
      <c r="AN148" t="s">
        <v>249</v>
      </c>
    </row>
    <row r="149" spans="9:40" x14ac:dyDescent="0.45">
      <c r="I149" t="s">
        <v>179</v>
      </c>
      <c r="J149" t="s">
        <v>288</v>
      </c>
      <c r="K149">
        <v>2.4656610775688555E-3</v>
      </c>
      <c r="L149" t="s">
        <v>166</v>
      </c>
      <c r="N149" t="s">
        <v>203</v>
      </c>
      <c r="O149" t="s">
        <v>288</v>
      </c>
      <c r="P149">
        <v>3.5203946393604947E-2</v>
      </c>
      <c r="Q149" t="s">
        <v>166</v>
      </c>
      <c r="S149" t="s">
        <v>220</v>
      </c>
      <c r="T149" t="s">
        <v>288</v>
      </c>
      <c r="U149">
        <v>5.1720566691903107E-2</v>
      </c>
      <c r="V149" t="s">
        <v>166</v>
      </c>
      <c r="AK149">
        <v>2039</v>
      </c>
      <c r="AL149" t="s">
        <v>160</v>
      </c>
      <c r="AM149">
        <v>0.34420000000000001</v>
      </c>
      <c r="AN149" t="s">
        <v>249</v>
      </c>
    </row>
    <row r="150" spans="9:40" x14ac:dyDescent="0.45">
      <c r="I150" t="s">
        <v>179</v>
      </c>
      <c r="J150" t="s">
        <v>289</v>
      </c>
      <c r="K150">
        <v>4.9019862033780849E-3</v>
      </c>
      <c r="L150" t="s">
        <v>166</v>
      </c>
      <c r="N150" t="s">
        <v>203</v>
      </c>
      <c r="O150" t="s">
        <v>289</v>
      </c>
      <c r="P150">
        <v>4.0412465076214189E-3</v>
      </c>
      <c r="Q150" t="s">
        <v>166</v>
      </c>
      <c r="S150" t="s">
        <v>220</v>
      </c>
      <c r="T150" t="s">
        <v>289</v>
      </c>
      <c r="U150">
        <v>6.7793688120040552E-3</v>
      </c>
      <c r="V150" t="s">
        <v>166</v>
      </c>
      <c r="AK150">
        <v>2039</v>
      </c>
      <c r="AL150" t="s">
        <v>162</v>
      </c>
      <c r="AM150">
        <v>0.39</v>
      </c>
      <c r="AN150" t="s">
        <v>249</v>
      </c>
    </row>
    <row r="151" spans="9:40" x14ac:dyDescent="0.45">
      <c r="I151" t="s">
        <v>179</v>
      </c>
      <c r="J151" t="s">
        <v>290</v>
      </c>
      <c r="K151">
        <v>5.2118191798776269E-2</v>
      </c>
      <c r="L151" t="s">
        <v>166</v>
      </c>
      <c r="N151" t="s">
        <v>203</v>
      </c>
      <c r="O151" t="s">
        <v>290</v>
      </c>
      <c r="P151">
        <v>2.432186137923361E-2</v>
      </c>
      <c r="Q151" t="s">
        <v>166</v>
      </c>
      <c r="S151" t="s">
        <v>220</v>
      </c>
      <c r="T151" t="s">
        <v>290</v>
      </c>
      <c r="U151">
        <v>4.8269026186416118E-2</v>
      </c>
      <c r="V151" t="s">
        <v>166</v>
      </c>
      <c r="AK151">
        <v>2039</v>
      </c>
      <c r="AL151" t="s">
        <v>252</v>
      </c>
      <c r="AM151">
        <v>0.51180000000000003</v>
      </c>
      <c r="AN151" t="s">
        <v>249</v>
      </c>
    </row>
    <row r="152" spans="9:40" x14ac:dyDescent="0.45">
      <c r="I152" t="s">
        <v>179</v>
      </c>
      <c r="J152" t="s">
        <v>291</v>
      </c>
      <c r="K152">
        <v>5.5287533883140614E-3</v>
      </c>
      <c r="L152" t="s">
        <v>166</v>
      </c>
      <c r="N152" t="s">
        <v>203</v>
      </c>
      <c r="O152" t="s">
        <v>291</v>
      </c>
      <c r="P152">
        <v>2.7988951302253102E-3</v>
      </c>
      <c r="Q152" t="s">
        <v>166</v>
      </c>
      <c r="S152" t="s">
        <v>220</v>
      </c>
      <c r="T152" t="s">
        <v>291</v>
      </c>
      <c r="U152">
        <v>7.0810799976455856E-3</v>
      </c>
      <c r="V152" t="s">
        <v>166</v>
      </c>
      <c r="AK152">
        <v>2039</v>
      </c>
      <c r="AL152" t="s">
        <v>254</v>
      </c>
      <c r="AM152">
        <v>0.4708</v>
      </c>
      <c r="AN152" t="s">
        <v>249</v>
      </c>
    </row>
    <row r="153" spans="9:40" x14ac:dyDescent="0.45">
      <c r="I153" t="s">
        <v>179</v>
      </c>
      <c r="J153" t="s">
        <v>292</v>
      </c>
      <c r="K153">
        <v>3.7262022323870181E-3</v>
      </c>
      <c r="L153" t="s">
        <v>166</v>
      </c>
      <c r="N153" t="s">
        <v>203</v>
      </c>
      <c r="O153" t="s">
        <v>292</v>
      </c>
      <c r="P153">
        <v>4.8652492168761363E-3</v>
      </c>
      <c r="Q153" t="s">
        <v>166</v>
      </c>
      <c r="S153" t="s">
        <v>220</v>
      </c>
      <c r="T153" t="s">
        <v>292</v>
      </c>
      <c r="U153">
        <v>1.3610165355903481E-2</v>
      </c>
      <c r="V153" t="s">
        <v>166</v>
      </c>
      <c r="AK153">
        <v>2039</v>
      </c>
      <c r="AL153" t="s">
        <v>256</v>
      </c>
      <c r="AM153">
        <v>0.4713</v>
      </c>
      <c r="AN153" t="s">
        <v>249</v>
      </c>
    </row>
    <row r="154" spans="9:40" x14ac:dyDescent="0.45">
      <c r="I154" t="s">
        <v>179</v>
      </c>
      <c r="J154" t="s">
        <v>293</v>
      </c>
      <c r="K154">
        <v>0</v>
      </c>
      <c r="L154" t="s">
        <v>166</v>
      </c>
      <c r="N154" t="s">
        <v>203</v>
      </c>
      <c r="O154" t="s">
        <v>293</v>
      </c>
      <c r="P154">
        <v>1.8915402032532242E-2</v>
      </c>
      <c r="Q154" t="s">
        <v>166</v>
      </c>
      <c r="S154" t="s">
        <v>220</v>
      </c>
      <c r="T154" t="s">
        <v>293</v>
      </c>
      <c r="U154">
        <v>3.576069670762843E-2</v>
      </c>
      <c r="V154" t="s">
        <v>166</v>
      </c>
      <c r="AK154">
        <v>2039</v>
      </c>
      <c r="AL154" t="s">
        <v>257</v>
      </c>
      <c r="AM154">
        <v>0.40539999999999998</v>
      </c>
      <c r="AN154" t="s">
        <v>249</v>
      </c>
    </row>
    <row r="155" spans="9:40" x14ac:dyDescent="0.45">
      <c r="I155" t="s">
        <v>180</v>
      </c>
      <c r="J155" t="s">
        <v>165</v>
      </c>
      <c r="K155">
        <v>1.5977347210157034E-2</v>
      </c>
      <c r="L155" t="s">
        <v>166</v>
      </c>
      <c r="N155" t="s">
        <v>204</v>
      </c>
      <c r="O155" t="s">
        <v>165</v>
      </c>
      <c r="P155">
        <v>0.15299106814806299</v>
      </c>
      <c r="Q155" t="s">
        <v>166</v>
      </c>
      <c r="S155" t="s">
        <v>221</v>
      </c>
      <c r="T155" t="s">
        <v>165</v>
      </c>
      <c r="U155">
        <v>0.10339405683492243</v>
      </c>
      <c r="V155" t="s">
        <v>166</v>
      </c>
      <c r="AK155">
        <v>2040</v>
      </c>
      <c r="AL155" t="s">
        <v>154</v>
      </c>
      <c r="AM155">
        <v>0.29127499999999995</v>
      </c>
      <c r="AN155" t="s">
        <v>249</v>
      </c>
    </row>
    <row r="156" spans="9:40" x14ac:dyDescent="0.45">
      <c r="I156" t="s">
        <v>180</v>
      </c>
      <c r="J156" t="s">
        <v>167</v>
      </c>
      <c r="K156">
        <v>2.7968217108268422E-2</v>
      </c>
      <c r="L156" t="s">
        <v>166</v>
      </c>
      <c r="N156" t="s">
        <v>204</v>
      </c>
      <c r="O156" t="s">
        <v>167</v>
      </c>
      <c r="P156">
        <v>1.2046377105950575E-2</v>
      </c>
      <c r="Q156" t="s">
        <v>166</v>
      </c>
      <c r="S156" t="s">
        <v>221</v>
      </c>
      <c r="T156" t="s">
        <v>167</v>
      </c>
      <c r="U156">
        <v>1.2949725293332597E-2</v>
      </c>
      <c r="V156" t="s">
        <v>166</v>
      </c>
      <c r="AK156">
        <v>2040</v>
      </c>
      <c r="AL156" t="s">
        <v>158</v>
      </c>
      <c r="AM156">
        <v>0.34129999999999999</v>
      </c>
      <c r="AN156" t="s">
        <v>249</v>
      </c>
    </row>
    <row r="157" spans="9:40" x14ac:dyDescent="0.45">
      <c r="I157" t="s">
        <v>180</v>
      </c>
      <c r="J157" t="s">
        <v>168</v>
      </c>
      <c r="K157">
        <v>0.29103126213351532</v>
      </c>
      <c r="L157" t="s">
        <v>166</v>
      </c>
      <c r="N157" t="s">
        <v>204</v>
      </c>
      <c r="O157" t="s">
        <v>168</v>
      </c>
      <c r="P157">
        <v>0.10168193021196827</v>
      </c>
      <c r="Q157" t="s">
        <v>166</v>
      </c>
      <c r="S157" t="s">
        <v>221</v>
      </c>
      <c r="T157" t="s">
        <v>168</v>
      </c>
      <c r="U157">
        <v>9.9485827335022328E-2</v>
      </c>
      <c r="V157" t="s">
        <v>166</v>
      </c>
      <c r="AK157">
        <v>2040</v>
      </c>
      <c r="AL157" t="s">
        <v>160</v>
      </c>
      <c r="AM157">
        <v>0.4244</v>
      </c>
      <c r="AN157" t="s">
        <v>249</v>
      </c>
    </row>
    <row r="158" spans="9:40" x14ac:dyDescent="0.45">
      <c r="I158" t="s">
        <v>180</v>
      </c>
      <c r="J158" t="s">
        <v>258</v>
      </c>
      <c r="K158">
        <v>3.0554000434121237E-2</v>
      </c>
      <c r="L158" t="s">
        <v>166</v>
      </c>
      <c r="N158" t="s">
        <v>204</v>
      </c>
      <c r="O158" t="s">
        <v>258</v>
      </c>
      <c r="P158">
        <v>2.4855304216666929E-2</v>
      </c>
      <c r="Q158" t="s">
        <v>166</v>
      </c>
      <c r="S158" t="s">
        <v>221</v>
      </c>
      <c r="T158" t="s">
        <v>258</v>
      </c>
      <c r="U158">
        <v>1.4621087223317467E-2</v>
      </c>
      <c r="V158" t="s">
        <v>166</v>
      </c>
      <c r="AK158">
        <v>2040</v>
      </c>
      <c r="AL158" t="s">
        <v>162</v>
      </c>
      <c r="AM158">
        <v>0.4758</v>
      </c>
      <c r="AN158" t="s">
        <v>249</v>
      </c>
    </row>
    <row r="159" spans="9:40" x14ac:dyDescent="0.45">
      <c r="I159" t="s">
        <v>180</v>
      </c>
      <c r="J159" t="s">
        <v>259</v>
      </c>
      <c r="K159">
        <v>3.618172992449456E-2</v>
      </c>
      <c r="L159" t="s">
        <v>166</v>
      </c>
      <c r="N159" t="s">
        <v>204</v>
      </c>
      <c r="O159" t="s">
        <v>259</v>
      </c>
      <c r="P159">
        <v>4.8099805055442653E-2</v>
      </c>
      <c r="Q159" t="s">
        <v>166</v>
      </c>
      <c r="S159" t="s">
        <v>221</v>
      </c>
      <c r="T159" t="s">
        <v>259</v>
      </c>
      <c r="U159">
        <v>2.7910165019412563E-2</v>
      </c>
      <c r="V159" t="s">
        <v>166</v>
      </c>
      <c r="AK159">
        <v>2040</v>
      </c>
      <c r="AL159" t="s">
        <v>252</v>
      </c>
      <c r="AM159">
        <v>0.61819999999999997</v>
      </c>
      <c r="AN159" t="s">
        <v>249</v>
      </c>
    </row>
    <row r="160" spans="9:40" x14ac:dyDescent="0.45">
      <c r="I160" t="s">
        <v>180</v>
      </c>
      <c r="J160" t="s">
        <v>260</v>
      </c>
      <c r="K160">
        <v>0</v>
      </c>
      <c r="L160" t="s">
        <v>166</v>
      </c>
      <c r="N160" t="s">
        <v>204</v>
      </c>
      <c r="O160" t="s">
        <v>260</v>
      </c>
      <c r="P160">
        <v>0.13844390405946802</v>
      </c>
      <c r="Q160" t="s">
        <v>166</v>
      </c>
      <c r="S160" t="s">
        <v>221</v>
      </c>
      <c r="T160" t="s">
        <v>260</v>
      </c>
      <c r="U160">
        <v>7.0163030159492795E-2</v>
      </c>
      <c r="V160" t="s">
        <v>166</v>
      </c>
      <c r="AK160">
        <v>2040</v>
      </c>
      <c r="AL160" t="s">
        <v>254</v>
      </c>
      <c r="AM160">
        <v>0.54469999999999996</v>
      </c>
      <c r="AN160" t="s">
        <v>249</v>
      </c>
    </row>
    <row r="161" spans="9:40" x14ac:dyDescent="0.45">
      <c r="I161" t="s">
        <v>180</v>
      </c>
      <c r="J161" t="s">
        <v>169</v>
      </c>
      <c r="K161">
        <v>4.0085945968096389E-3</v>
      </c>
      <c r="L161" t="s">
        <v>166</v>
      </c>
      <c r="N161" t="s">
        <v>204</v>
      </c>
      <c r="O161" t="s">
        <v>169</v>
      </c>
      <c r="P161">
        <v>5.7777783851181317E-3</v>
      </c>
      <c r="Q161" t="s">
        <v>166</v>
      </c>
      <c r="S161" t="s">
        <v>221</v>
      </c>
      <c r="T161" t="s">
        <v>169</v>
      </c>
      <c r="U161">
        <v>1.3262544649350588E-2</v>
      </c>
      <c r="V161" t="s">
        <v>166</v>
      </c>
      <c r="AK161">
        <v>2040</v>
      </c>
      <c r="AL161" t="s">
        <v>256</v>
      </c>
      <c r="AM161">
        <v>0.57169999999999999</v>
      </c>
      <c r="AN161" t="s">
        <v>249</v>
      </c>
    </row>
    <row r="162" spans="9:40" x14ac:dyDescent="0.45">
      <c r="I162" t="s">
        <v>180</v>
      </c>
      <c r="J162" t="s">
        <v>170</v>
      </c>
      <c r="K162">
        <v>5.6276579461285196E-3</v>
      </c>
      <c r="L162" t="s">
        <v>166</v>
      </c>
      <c r="N162" t="s">
        <v>204</v>
      </c>
      <c r="O162" t="s">
        <v>170</v>
      </c>
      <c r="P162">
        <v>6.0741073365637324E-4</v>
      </c>
      <c r="Q162" t="s">
        <v>166</v>
      </c>
      <c r="S162" t="s">
        <v>221</v>
      </c>
      <c r="T162" t="s">
        <v>170</v>
      </c>
      <c r="U162">
        <v>1.458775411702839E-3</v>
      </c>
      <c r="V162" t="s">
        <v>166</v>
      </c>
      <c r="AK162">
        <v>2040</v>
      </c>
      <c r="AL162" t="s">
        <v>257</v>
      </c>
      <c r="AM162">
        <v>0.49159999999999998</v>
      </c>
      <c r="AN162" t="s">
        <v>249</v>
      </c>
    </row>
    <row r="163" spans="9:40" x14ac:dyDescent="0.45">
      <c r="I163" t="s">
        <v>180</v>
      </c>
      <c r="J163" t="s">
        <v>171</v>
      </c>
      <c r="K163">
        <v>6.7740039031167903E-2</v>
      </c>
      <c r="L163" t="s">
        <v>166</v>
      </c>
      <c r="N163" t="s">
        <v>204</v>
      </c>
      <c r="O163" t="s">
        <v>171</v>
      </c>
      <c r="P163">
        <v>9.5162322031695952E-3</v>
      </c>
      <c r="Q163" t="s">
        <v>166</v>
      </c>
      <c r="S163" t="s">
        <v>221</v>
      </c>
      <c r="T163" t="s">
        <v>171</v>
      </c>
      <c r="U163">
        <v>1.2733280664090737E-2</v>
      </c>
      <c r="V163" t="s">
        <v>166</v>
      </c>
      <c r="AK163">
        <v>2041</v>
      </c>
      <c r="AL163" t="s">
        <v>154</v>
      </c>
      <c r="AM163">
        <v>0.30467500000000003</v>
      </c>
      <c r="AN163" t="s">
        <v>249</v>
      </c>
    </row>
    <row r="164" spans="9:40" x14ac:dyDescent="0.45">
      <c r="I164" t="s">
        <v>180</v>
      </c>
      <c r="J164" t="s">
        <v>261</v>
      </c>
      <c r="K164">
        <v>6.7432320824422276E-3</v>
      </c>
      <c r="L164" t="s">
        <v>166</v>
      </c>
      <c r="N164" t="s">
        <v>204</v>
      </c>
      <c r="O164" t="s">
        <v>261</v>
      </c>
      <c r="P164">
        <v>2.1194201840341979E-3</v>
      </c>
      <c r="Q164" t="s">
        <v>166</v>
      </c>
      <c r="S164" t="s">
        <v>221</v>
      </c>
      <c r="T164" t="s">
        <v>261</v>
      </c>
      <c r="U164">
        <v>2.087788977048081E-3</v>
      </c>
      <c r="V164" t="s">
        <v>166</v>
      </c>
      <c r="AK164">
        <v>2041</v>
      </c>
      <c r="AL164" t="s">
        <v>158</v>
      </c>
      <c r="AM164">
        <v>0.37590000000000001</v>
      </c>
      <c r="AN164" t="s">
        <v>249</v>
      </c>
    </row>
    <row r="165" spans="9:40" x14ac:dyDescent="0.45">
      <c r="I165" t="s">
        <v>180</v>
      </c>
      <c r="J165" t="s">
        <v>262</v>
      </c>
      <c r="K165">
        <v>6.6294387012860376E-3</v>
      </c>
      <c r="L165" t="s">
        <v>166</v>
      </c>
      <c r="N165" t="s">
        <v>204</v>
      </c>
      <c r="O165" t="s">
        <v>262</v>
      </c>
      <c r="P165">
        <v>2.7535260541396264E-3</v>
      </c>
      <c r="Q165" t="s">
        <v>166</v>
      </c>
      <c r="S165" t="s">
        <v>221</v>
      </c>
      <c r="T165" t="s">
        <v>262</v>
      </c>
      <c r="U165">
        <v>3.5456920814588163E-3</v>
      </c>
      <c r="V165" t="s">
        <v>166</v>
      </c>
      <c r="AK165">
        <v>2041</v>
      </c>
      <c r="AL165" t="s">
        <v>160</v>
      </c>
      <c r="AM165">
        <v>0.46329999999999999</v>
      </c>
      <c r="AN165" t="s">
        <v>249</v>
      </c>
    </row>
    <row r="166" spans="9:40" x14ac:dyDescent="0.45">
      <c r="I166" t="s">
        <v>180</v>
      </c>
      <c r="J166" t="s">
        <v>263</v>
      </c>
      <c r="K166">
        <v>0</v>
      </c>
      <c r="L166" t="s">
        <v>166</v>
      </c>
      <c r="N166" t="s">
        <v>204</v>
      </c>
      <c r="O166" t="s">
        <v>263</v>
      </c>
      <c r="P166">
        <v>5.3319624747220178E-3</v>
      </c>
      <c r="Q166" t="s">
        <v>166</v>
      </c>
      <c r="S166" t="s">
        <v>221</v>
      </c>
      <c r="T166" t="s">
        <v>263</v>
      </c>
      <c r="U166">
        <v>8.8190476154246886E-3</v>
      </c>
      <c r="V166" t="s">
        <v>166</v>
      </c>
      <c r="AK166">
        <v>2041</v>
      </c>
      <c r="AL166" t="s">
        <v>162</v>
      </c>
      <c r="AM166">
        <v>0.47110000000000002</v>
      </c>
      <c r="AN166" t="s">
        <v>249</v>
      </c>
    </row>
    <row r="167" spans="9:40" x14ac:dyDescent="0.45">
      <c r="I167" t="s">
        <v>180</v>
      </c>
      <c r="J167" t="s">
        <v>172</v>
      </c>
      <c r="K167">
        <v>2.3220254938868239E-3</v>
      </c>
      <c r="L167" t="s">
        <v>166</v>
      </c>
      <c r="N167" t="s">
        <v>204</v>
      </c>
      <c r="O167" t="s">
        <v>172</v>
      </c>
      <c r="P167">
        <v>2.1678276730868876E-2</v>
      </c>
      <c r="Q167" t="s">
        <v>166</v>
      </c>
      <c r="S167" t="s">
        <v>221</v>
      </c>
      <c r="T167" t="s">
        <v>172</v>
      </c>
      <c r="U167">
        <v>2.5064169862765193E-2</v>
      </c>
      <c r="V167" t="s">
        <v>166</v>
      </c>
      <c r="AK167">
        <v>2041</v>
      </c>
      <c r="AL167" t="s">
        <v>252</v>
      </c>
      <c r="AM167">
        <v>0.54149999999999998</v>
      </c>
      <c r="AN167" t="s">
        <v>249</v>
      </c>
    </row>
    <row r="168" spans="9:40" x14ac:dyDescent="0.45">
      <c r="I168" t="s">
        <v>180</v>
      </c>
      <c r="J168" t="s">
        <v>173</v>
      </c>
      <c r="K168">
        <v>3.6820868599656935E-3</v>
      </c>
      <c r="L168" t="s">
        <v>166</v>
      </c>
      <c r="N168" t="s">
        <v>204</v>
      </c>
      <c r="O168" t="s">
        <v>173</v>
      </c>
      <c r="P168">
        <v>2.9926447287388185E-3</v>
      </c>
      <c r="Q168" t="s">
        <v>166</v>
      </c>
      <c r="S168" t="s">
        <v>221</v>
      </c>
      <c r="T168" t="s">
        <v>173</v>
      </c>
      <c r="U168">
        <v>2.8041449227787702E-3</v>
      </c>
      <c r="V168" t="s">
        <v>166</v>
      </c>
      <c r="AK168">
        <v>2041</v>
      </c>
      <c r="AL168" t="s">
        <v>254</v>
      </c>
      <c r="AM168">
        <v>0.54339999999999999</v>
      </c>
      <c r="AN168" t="s">
        <v>249</v>
      </c>
    </row>
    <row r="169" spans="9:40" x14ac:dyDescent="0.45">
      <c r="I169" t="s">
        <v>180</v>
      </c>
      <c r="J169" t="s">
        <v>174</v>
      </c>
      <c r="K169">
        <v>4.8951287782224046E-2</v>
      </c>
      <c r="L169" t="s">
        <v>166</v>
      </c>
      <c r="N169" t="s">
        <v>204</v>
      </c>
      <c r="O169" t="s">
        <v>174</v>
      </c>
      <c r="P169">
        <v>2.0778744882124563E-2</v>
      </c>
      <c r="Q169" t="s">
        <v>166</v>
      </c>
      <c r="S169" t="s">
        <v>221</v>
      </c>
      <c r="T169" t="s">
        <v>174</v>
      </c>
      <c r="U169">
        <v>1.9889616097278143E-2</v>
      </c>
      <c r="V169" t="s">
        <v>166</v>
      </c>
      <c r="AK169">
        <v>2041</v>
      </c>
      <c r="AL169" t="s">
        <v>256</v>
      </c>
      <c r="AM169">
        <v>0.54710000000000003</v>
      </c>
      <c r="AN169" t="s">
        <v>249</v>
      </c>
    </row>
    <row r="170" spans="9:40" x14ac:dyDescent="0.45">
      <c r="I170" t="s">
        <v>180</v>
      </c>
      <c r="J170" t="s">
        <v>264</v>
      </c>
      <c r="K170">
        <v>4.8380325434641174E-3</v>
      </c>
      <c r="L170" t="s">
        <v>166</v>
      </c>
      <c r="N170" t="s">
        <v>204</v>
      </c>
      <c r="O170" t="s">
        <v>264</v>
      </c>
      <c r="P170">
        <v>2.8571233261090109E-3</v>
      </c>
      <c r="Q170" t="s">
        <v>166</v>
      </c>
      <c r="S170" t="s">
        <v>221</v>
      </c>
      <c r="T170" t="s">
        <v>264</v>
      </c>
      <c r="U170">
        <v>3.0319445451704556E-3</v>
      </c>
      <c r="V170" t="s">
        <v>166</v>
      </c>
      <c r="AK170">
        <v>2041</v>
      </c>
      <c r="AL170" t="s">
        <v>257</v>
      </c>
      <c r="AM170">
        <v>0.55389999999999995</v>
      </c>
      <c r="AN170" t="s">
        <v>249</v>
      </c>
    </row>
    <row r="171" spans="9:40" x14ac:dyDescent="0.45">
      <c r="I171" t="s">
        <v>180</v>
      </c>
      <c r="J171" t="s">
        <v>265</v>
      </c>
      <c r="K171">
        <v>4.8693903078080511E-3</v>
      </c>
      <c r="L171" t="s">
        <v>166</v>
      </c>
      <c r="N171" t="s">
        <v>204</v>
      </c>
      <c r="O171" t="s">
        <v>265</v>
      </c>
      <c r="P171">
        <v>4.7048362478173244E-3</v>
      </c>
      <c r="Q171" t="s">
        <v>166</v>
      </c>
      <c r="S171" t="s">
        <v>221</v>
      </c>
      <c r="T171" t="s">
        <v>265</v>
      </c>
      <c r="U171">
        <v>5.8305039481271852E-3</v>
      </c>
      <c r="V171" t="s">
        <v>166</v>
      </c>
      <c r="AK171">
        <v>2042</v>
      </c>
      <c r="AL171" t="s">
        <v>154</v>
      </c>
      <c r="AM171">
        <v>0.29609999999999997</v>
      </c>
      <c r="AN171" t="s">
        <v>249</v>
      </c>
    </row>
    <row r="172" spans="9:40" x14ac:dyDescent="0.45">
      <c r="I172" t="s">
        <v>180</v>
      </c>
      <c r="J172" t="s">
        <v>266</v>
      </c>
      <c r="K172">
        <v>0</v>
      </c>
      <c r="L172" t="s">
        <v>166</v>
      </c>
      <c r="N172" t="s">
        <v>204</v>
      </c>
      <c r="O172" t="s">
        <v>266</v>
      </c>
      <c r="P172">
        <v>1.1277782953430777E-2</v>
      </c>
      <c r="Q172" t="s">
        <v>166</v>
      </c>
      <c r="S172" t="s">
        <v>221</v>
      </c>
      <c r="T172" t="s">
        <v>266</v>
      </c>
      <c r="U172">
        <v>1.5074906664871109E-2</v>
      </c>
      <c r="V172" t="s">
        <v>166</v>
      </c>
      <c r="AK172">
        <v>2042</v>
      </c>
      <c r="AL172" t="s">
        <v>158</v>
      </c>
      <c r="AM172">
        <v>0.34439999999999998</v>
      </c>
      <c r="AN172" t="s">
        <v>249</v>
      </c>
    </row>
    <row r="173" spans="9:40" x14ac:dyDescent="0.45">
      <c r="I173" t="s">
        <v>180</v>
      </c>
      <c r="J173" t="s">
        <v>175</v>
      </c>
      <c r="K173">
        <v>1.5203666817713189E-3</v>
      </c>
      <c r="L173" t="s">
        <v>166</v>
      </c>
      <c r="N173" t="s">
        <v>204</v>
      </c>
      <c r="O173" t="s">
        <v>175</v>
      </c>
      <c r="P173">
        <v>2.8582472642002307E-2</v>
      </c>
      <c r="Q173" t="s">
        <v>166</v>
      </c>
      <c r="S173" t="s">
        <v>221</v>
      </c>
      <c r="T173" t="s">
        <v>175</v>
      </c>
      <c r="U173">
        <v>2.1418649230458321E-2</v>
      </c>
      <c r="V173" t="s">
        <v>166</v>
      </c>
      <c r="AK173">
        <v>2042</v>
      </c>
      <c r="AL173" t="s">
        <v>160</v>
      </c>
      <c r="AM173">
        <v>0.42709999999999998</v>
      </c>
      <c r="AN173" t="s">
        <v>249</v>
      </c>
    </row>
    <row r="174" spans="9:40" x14ac:dyDescent="0.45">
      <c r="I174" t="s">
        <v>180</v>
      </c>
      <c r="J174" t="s">
        <v>176</v>
      </c>
      <c r="K174">
        <v>3.0823166715633569E-3</v>
      </c>
      <c r="L174" t="s">
        <v>166</v>
      </c>
      <c r="N174" t="s">
        <v>204</v>
      </c>
      <c r="O174" t="s">
        <v>176</v>
      </c>
      <c r="P174">
        <v>3.143287861473101E-3</v>
      </c>
      <c r="Q174" t="s">
        <v>166</v>
      </c>
      <c r="S174" t="s">
        <v>221</v>
      </c>
      <c r="T174" t="s">
        <v>176</v>
      </c>
      <c r="U174">
        <v>2.2149564056813831E-3</v>
      </c>
      <c r="V174" t="s">
        <v>166</v>
      </c>
      <c r="AK174">
        <v>2042</v>
      </c>
      <c r="AL174" t="s">
        <v>162</v>
      </c>
      <c r="AM174">
        <v>0.48799999999999999</v>
      </c>
      <c r="AN174" t="s">
        <v>249</v>
      </c>
    </row>
    <row r="175" spans="9:40" x14ac:dyDescent="0.45">
      <c r="I175" t="s">
        <v>180</v>
      </c>
      <c r="J175" t="s">
        <v>177</v>
      </c>
      <c r="K175">
        <v>4.8982955973247568E-2</v>
      </c>
      <c r="L175" t="s">
        <v>166</v>
      </c>
      <c r="N175" t="s">
        <v>204</v>
      </c>
      <c r="O175" t="s">
        <v>177</v>
      </c>
      <c r="P175">
        <v>2.8132824535298577E-2</v>
      </c>
      <c r="Q175" t="s">
        <v>166</v>
      </c>
      <c r="S175" t="s">
        <v>221</v>
      </c>
      <c r="T175" t="s">
        <v>177</v>
      </c>
      <c r="U175">
        <v>1.6248296110207713E-2</v>
      </c>
      <c r="V175" t="s">
        <v>166</v>
      </c>
      <c r="AK175">
        <v>2042</v>
      </c>
      <c r="AL175" t="s">
        <v>252</v>
      </c>
      <c r="AM175">
        <v>0.60909999999999997</v>
      </c>
      <c r="AN175" t="s">
        <v>249</v>
      </c>
    </row>
    <row r="176" spans="9:40" x14ac:dyDescent="0.45">
      <c r="I176" t="s">
        <v>180</v>
      </c>
      <c r="J176" t="s">
        <v>267</v>
      </c>
      <c r="K176">
        <v>5.2592410569257111E-3</v>
      </c>
      <c r="L176" t="s">
        <v>166</v>
      </c>
      <c r="N176" t="s">
        <v>204</v>
      </c>
      <c r="O176" t="s">
        <v>267</v>
      </c>
      <c r="P176">
        <v>4.8232897046349595E-3</v>
      </c>
      <c r="Q176" t="s">
        <v>166</v>
      </c>
      <c r="S176" t="s">
        <v>221</v>
      </c>
      <c r="T176" t="s">
        <v>267</v>
      </c>
      <c r="U176">
        <v>2.4850022475897912E-3</v>
      </c>
      <c r="V176" t="s">
        <v>166</v>
      </c>
      <c r="AK176">
        <v>2042</v>
      </c>
      <c r="AL176" t="s">
        <v>254</v>
      </c>
      <c r="AM176">
        <v>0.5101</v>
      </c>
      <c r="AN176" t="s">
        <v>249</v>
      </c>
    </row>
    <row r="177" spans="9:40" x14ac:dyDescent="0.45">
      <c r="I177" t="s">
        <v>180</v>
      </c>
      <c r="J177" t="s">
        <v>268</v>
      </c>
      <c r="K177">
        <v>5.2674158842912523E-3</v>
      </c>
      <c r="L177" t="s">
        <v>166</v>
      </c>
      <c r="N177" t="s">
        <v>204</v>
      </c>
      <c r="O177" t="s">
        <v>268</v>
      </c>
      <c r="P177">
        <v>8.7133065824097425E-3</v>
      </c>
      <c r="Q177" t="s">
        <v>166</v>
      </c>
      <c r="S177" t="s">
        <v>221</v>
      </c>
      <c r="T177" t="s">
        <v>268</v>
      </c>
      <c r="U177">
        <v>4.7444784194146262E-3</v>
      </c>
      <c r="V177" t="s">
        <v>166</v>
      </c>
      <c r="AK177">
        <v>2042</v>
      </c>
      <c r="AL177" t="s">
        <v>256</v>
      </c>
      <c r="AM177">
        <v>0.4874</v>
      </c>
      <c r="AN177" t="s">
        <v>249</v>
      </c>
    </row>
    <row r="178" spans="9:40" x14ac:dyDescent="0.45">
      <c r="I178" t="s">
        <v>180</v>
      </c>
      <c r="J178" t="s">
        <v>269</v>
      </c>
      <c r="K178">
        <v>0</v>
      </c>
      <c r="L178" t="s">
        <v>166</v>
      </c>
      <c r="N178" t="s">
        <v>204</v>
      </c>
      <c r="O178" t="s">
        <v>269</v>
      </c>
      <c r="P178">
        <v>1.9253428447609137E-2</v>
      </c>
      <c r="Q178" t="s">
        <v>166</v>
      </c>
      <c r="S178" t="s">
        <v>221</v>
      </c>
      <c r="T178" t="s">
        <v>269</v>
      </c>
      <c r="U178">
        <v>1.3722409604875424E-2</v>
      </c>
      <c r="V178" t="s">
        <v>166</v>
      </c>
      <c r="AK178">
        <v>2042</v>
      </c>
      <c r="AL178" t="s">
        <v>257</v>
      </c>
      <c r="AM178">
        <v>0.51690000000000003</v>
      </c>
      <c r="AN178" t="s">
        <v>249</v>
      </c>
    </row>
    <row r="179" spans="9:40" x14ac:dyDescent="0.45">
      <c r="I179" t="s">
        <v>180</v>
      </c>
      <c r="J179" t="s">
        <v>270</v>
      </c>
      <c r="K179">
        <v>1.4863108160235949E-3</v>
      </c>
      <c r="L179" t="s">
        <v>166</v>
      </c>
      <c r="N179" t="s">
        <v>204</v>
      </c>
      <c r="O179" t="s">
        <v>270</v>
      </c>
      <c r="P179">
        <v>3.999094295406453E-2</v>
      </c>
      <c r="Q179" t="s">
        <v>166</v>
      </c>
      <c r="S179" t="s">
        <v>221</v>
      </c>
      <c r="T179" t="s">
        <v>270</v>
      </c>
      <c r="U179">
        <v>3.5547393629233676E-2</v>
      </c>
      <c r="V179" t="s">
        <v>166</v>
      </c>
      <c r="AK179">
        <v>2043</v>
      </c>
      <c r="AL179" t="s">
        <v>154</v>
      </c>
      <c r="AM179">
        <v>0.28447499999999998</v>
      </c>
      <c r="AN179" t="s">
        <v>249</v>
      </c>
    </row>
    <row r="180" spans="9:40" x14ac:dyDescent="0.45">
      <c r="I180" t="s">
        <v>180</v>
      </c>
      <c r="J180" t="s">
        <v>271</v>
      </c>
      <c r="K180">
        <v>3.1838752603303862E-3</v>
      </c>
      <c r="L180" t="s">
        <v>166</v>
      </c>
      <c r="N180" t="s">
        <v>204</v>
      </c>
      <c r="O180" t="s">
        <v>271</v>
      </c>
      <c r="P180">
        <v>4.4988117102978892E-3</v>
      </c>
      <c r="Q180" t="s">
        <v>166</v>
      </c>
      <c r="S180" t="s">
        <v>221</v>
      </c>
      <c r="T180" t="s">
        <v>271</v>
      </c>
      <c r="U180">
        <v>3.9906572608779146E-3</v>
      </c>
      <c r="V180" t="s">
        <v>166</v>
      </c>
      <c r="AK180">
        <v>2043</v>
      </c>
      <c r="AL180" t="s">
        <v>158</v>
      </c>
      <c r="AM180">
        <v>0.37809999999999999</v>
      </c>
      <c r="AN180" t="s">
        <v>249</v>
      </c>
    </row>
    <row r="181" spans="9:40" x14ac:dyDescent="0.45">
      <c r="I181" t="s">
        <v>180</v>
      </c>
      <c r="J181" t="s">
        <v>272</v>
      </c>
      <c r="K181">
        <v>4.8780401946300248E-2</v>
      </c>
      <c r="L181" t="s">
        <v>166</v>
      </c>
      <c r="N181" t="s">
        <v>204</v>
      </c>
      <c r="O181" t="s">
        <v>272</v>
      </c>
      <c r="P181">
        <v>3.6903291285438809E-2</v>
      </c>
      <c r="Q181" t="s">
        <v>166</v>
      </c>
      <c r="S181" t="s">
        <v>221</v>
      </c>
      <c r="T181" t="s">
        <v>272</v>
      </c>
      <c r="U181">
        <v>2.9793515961360064E-2</v>
      </c>
      <c r="V181" t="s">
        <v>166</v>
      </c>
      <c r="AK181">
        <v>2043</v>
      </c>
      <c r="AL181" t="s">
        <v>160</v>
      </c>
      <c r="AM181">
        <v>0.40039999999999998</v>
      </c>
      <c r="AN181" t="s">
        <v>249</v>
      </c>
    </row>
    <row r="182" spans="9:40" x14ac:dyDescent="0.45">
      <c r="I182" t="s">
        <v>180</v>
      </c>
      <c r="J182" t="s">
        <v>273</v>
      </c>
      <c r="K182">
        <v>5.4445217526715491E-3</v>
      </c>
      <c r="L182" t="s">
        <v>166</v>
      </c>
      <c r="N182" t="s">
        <v>204</v>
      </c>
      <c r="O182" t="s">
        <v>273</v>
      </c>
      <c r="P182">
        <v>4.9153446863349007E-3</v>
      </c>
      <c r="Q182" t="s">
        <v>166</v>
      </c>
      <c r="S182" t="s">
        <v>221</v>
      </c>
      <c r="T182" t="s">
        <v>273</v>
      </c>
      <c r="U182">
        <v>4.5444943793612825E-3</v>
      </c>
      <c r="V182" t="s">
        <v>166</v>
      </c>
      <c r="AK182">
        <v>2043</v>
      </c>
      <c r="AL182" t="s">
        <v>162</v>
      </c>
      <c r="AM182">
        <v>0.44679999999999997</v>
      </c>
      <c r="AN182" t="s">
        <v>249</v>
      </c>
    </row>
    <row r="183" spans="9:40" x14ac:dyDescent="0.45">
      <c r="I183" t="s">
        <v>180</v>
      </c>
      <c r="J183" t="s">
        <v>274</v>
      </c>
      <c r="K183">
        <v>5.322649391884076E-3</v>
      </c>
      <c r="L183" t="s">
        <v>166</v>
      </c>
      <c r="N183" t="s">
        <v>204</v>
      </c>
      <c r="O183" t="s">
        <v>274</v>
      </c>
      <c r="P183">
        <v>9.0043647879652945E-3</v>
      </c>
      <c r="Q183" t="s">
        <v>166</v>
      </c>
      <c r="S183" t="s">
        <v>221</v>
      </c>
      <c r="T183" t="s">
        <v>274</v>
      </c>
      <c r="U183">
        <v>8.843940539398621E-3</v>
      </c>
      <c r="V183" t="s">
        <v>166</v>
      </c>
      <c r="AK183">
        <v>2043</v>
      </c>
      <c r="AL183" t="s">
        <v>252</v>
      </c>
      <c r="AM183">
        <v>0.5907</v>
      </c>
      <c r="AN183" t="s">
        <v>249</v>
      </c>
    </row>
    <row r="184" spans="9:40" x14ac:dyDescent="0.45">
      <c r="I184" t="s">
        <v>180</v>
      </c>
      <c r="J184" t="s">
        <v>275</v>
      </c>
      <c r="K184">
        <v>0</v>
      </c>
      <c r="L184" t="s">
        <v>166</v>
      </c>
      <c r="N184" t="s">
        <v>204</v>
      </c>
      <c r="O184" t="s">
        <v>275</v>
      </c>
      <c r="P184">
        <v>2.2592755598497861E-2</v>
      </c>
      <c r="Q184" t="s">
        <v>166</v>
      </c>
      <c r="S184" t="s">
        <v>221</v>
      </c>
      <c r="T184" t="s">
        <v>275</v>
      </c>
      <c r="U184">
        <v>2.2252831873417655E-2</v>
      </c>
      <c r="V184" t="s">
        <v>166</v>
      </c>
      <c r="AK184">
        <v>2043</v>
      </c>
      <c r="AL184" t="s">
        <v>254</v>
      </c>
      <c r="AM184">
        <v>0.57614999999999994</v>
      </c>
      <c r="AN184" t="s">
        <v>249</v>
      </c>
    </row>
    <row r="185" spans="9:40" x14ac:dyDescent="0.45">
      <c r="I185" t="s">
        <v>180</v>
      </c>
      <c r="J185" t="s">
        <v>276</v>
      </c>
      <c r="K185">
        <v>5.0483707629748941E-3</v>
      </c>
      <c r="L185" t="s">
        <v>166</v>
      </c>
      <c r="N185" t="s">
        <v>204</v>
      </c>
      <c r="O185" t="s">
        <v>276</v>
      </c>
      <c r="P185">
        <v>3.1941533141033041E-2</v>
      </c>
      <c r="Q185" t="s">
        <v>166</v>
      </c>
      <c r="S185" t="s">
        <v>221</v>
      </c>
      <c r="T185" t="s">
        <v>276</v>
      </c>
      <c r="U185">
        <v>4.3730648042575246E-2</v>
      </c>
      <c r="V185" t="s">
        <v>166</v>
      </c>
      <c r="AK185">
        <v>2043</v>
      </c>
      <c r="AL185" t="s">
        <v>256</v>
      </c>
      <c r="AM185">
        <v>0.53300000000000003</v>
      </c>
      <c r="AN185" t="s">
        <v>249</v>
      </c>
    </row>
    <row r="186" spans="9:40" x14ac:dyDescent="0.45">
      <c r="I186" t="s">
        <v>180</v>
      </c>
      <c r="J186" t="s">
        <v>277</v>
      </c>
      <c r="K186">
        <v>9.2852582943102769E-3</v>
      </c>
      <c r="L186" t="s">
        <v>166</v>
      </c>
      <c r="N186" t="s">
        <v>204</v>
      </c>
      <c r="O186" t="s">
        <v>277</v>
      </c>
      <c r="P186">
        <v>3.3620282026688483E-3</v>
      </c>
      <c r="Q186" t="s">
        <v>166</v>
      </c>
      <c r="S186" t="s">
        <v>221</v>
      </c>
      <c r="T186" t="s">
        <v>277</v>
      </c>
      <c r="U186">
        <v>5.2384825428804663E-3</v>
      </c>
      <c r="V186" t="s">
        <v>166</v>
      </c>
      <c r="AK186">
        <v>2043</v>
      </c>
      <c r="AL186" t="s">
        <v>257</v>
      </c>
      <c r="AM186">
        <v>0.55049999999999999</v>
      </c>
      <c r="AN186" t="s">
        <v>249</v>
      </c>
    </row>
    <row r="187" spans="9:40" x14ac:dyDescent="0.45">
      <c r="I187" t="s">
        <v>180</v>
      </c>
      <c r="J187" t="s">
        <v>278</v>
      </c>
      <c r="K187">
        <v>0.10483331883786995</v>
      </c>
      <c r="L187" t="s">
        <v>166</v>
      </c>
      <c r="N187" t="s">
        <v>204</v>
      </c>
      <c r="O187" t="s">
        <v>278</v>
      </c>
      <c r="P187">
        <v>3.7112027125340355E-2</v>
      </c>
      <c r="Q187" t="s">
        <v>166</v>
      </c>
      <c r="S187" t="s">
        <v>221</v>
      </c>
      <c r="T187" t="s">
        <v>278</v>
      </c>
      <c r="U187">
        <v>4.057055931560901E-2</v>
      </c>
      <c r="V187" t="s">
        <v>166</v>
      </c>
      <c r="AK187">
        <v>2044</v>
      </c>
      <c r="AL187" t="s">
        <v>154</v>
      </c>
      <c r="AM187">
        <v>0.29162500000000002</v>
      </c>
      <c r="AN187" t="s">
        <v>249</v>
      </c>
    </row>
    <row r="188" spans="9:40" x14ac:dyDescent="0.45">
      <c r="I188" t="s">
        <v>180</v>
      </c>
      <c r="J188" t="s">
        <v>279</v>
      </c>
      <c r="K188">
        <v>1.0217906176313735E-2</v>
      </c>
      <c r="L188" t="s">
        <v>166</v>
      </c>
      <c r="N188" t="s">
        <v>204</v>
      </c>
      <c r="O188" t="s">
        <v>279</v>
      </c>
      <c r="P188">
        <v>5.7861297807169599E-3</v>
      </c>
      <c r="Q188" t="s">
        <v>166</v>
      </c>
      <c r="S188" t="s">
        <v>221</v>
      </c>
      <c r="T188" t="s">
        <v>279</v>
      </c>
      <c r="U188">
        <v>6.0423958993313324E-3</v>
      </c>
      <c r="V188" t="s">
        <v>166</v>
      </c>
      <c r="AK188">
        <v>2044</v>
      </c>
      <c r="AL188" t="s">
        <v>158</v>
      </c>
      <c r="AM188">
        <v>0.33529999999999999</v>
      </c>
      <c r="AN188" t="s">
        <v>249</v>
      </c>
    </row>
    <row r="189" spans="9:40" x14ac:dyDescent="0.45">
      <c r="I189" t="s">
        <v>180</v>
      </c>
      <c r="J189" t="s">
        <v>280</v>
      </c>
      <c r="K189">
        <v>7.3414317781319658E-3</v>
      </c>
      <c r="L189" t="s">
        <v>166</v>
      </c>
      <c r="N189" t="s">
        <v>204</v>
      </c>
      <c r="O189" t="s">
        <v>280</v>
      </c>
      <c r="P189">
        <v>9.5089057979626471E-3</v>
      </c>
      <c r="Q189" t="s">
        <v>166</v>
      </c>
      <c r="S189" t="s">
        <v>221</v>
      </c>
      <c r="T189" t="s">
        <v>280</v>
      </c>
      <c r="U189">
        <v>1.1889280999854965E-2</v>
      </c>
      <c r="V189" t="s">
        <v>166</v>
      </c>
      <c r="AK189">
        <v>2044</v>
      </c>
      <c r="AL189" t="s">
        <v>160</v>
      </c>
      <c r="AM189">
        <v>0.43659999999999999</v>
      </c>
      <c r="AN189" t="s">
        <v>249</v>
      </c>
    </row>
    <row r="190" spans="9:40" x14ac:dyDescent="0.45">
      <c r="I190" t="s">
        <v>180</v>
      </c>
      <c r="J190" t="s">
        <v>281</v>
      </c>
      <c r="K190">
        <v>0</v>
      </c>
      <c r="L190" t="s">
        <v>166</v>
      </c>
      <c r="N190" t="s">
        <v>204</v>
      </c>
      <c r="O190" t="s">
        <v>281</v>
      </c>
      <c r="P190">
        <v>2.02273105121933E-2</v>
      </c>
      <c r="Q190" t="s">
        <v>166</v>
      </c>
      <c r="S190" t="s">
        <v>221</v>
      </c>
      <c r="T190" t="s">
        <v>281</v>
      </c>
      <c r="U190">
        <v>3.0013878759610965E-2</v>
      </c>
      <c r="V190" t="s">
        <v>166</v>
      </c>
      <c r="AK190">
        <v>2044</v>
      </c>
      <c r="AL190" t="s">
        <v>162</v>
      </c>
      <c r="AM190">
        <v>0.5222</v>
      </c>
      <c r="AN190" t="s">
        <v>249</v>
      </c>
    </row>
    <row r="191" spans="9:40" x14ac:dyDescent="0.45">
      <c r="I191" t="s">
        <v>180</v>
      </c>
      <c r="J191" t="s">
        <v>282</v>
      </c>
      <c r="K191">
        <v>4.1071195096201172E-3</v>
      </c>
      <c r="L191" t="s">
        <v>166</v>
      </c>
      <c r="N191" t="s">
        <v>204</v>
      </c>
      <c r="O191" t="s">
        <v>282</v>
      </c>
      <c r="P191">
        <v>2.0341412992913695E-2</v>
      </c>
      <c r="Q191" t="s">
        <v>166</v>
      </c>
      <c r="S191" t="s">
        <v>221</v>
      </c>
      <c r="T191" t="s">
        <v>282</v>
      </c>
      <c r="U191">
        <v>3.3099675427711493E-2</v>
      </c>
      <c r="V191" t="s">
        <v>166</v>
      </c>
      <c r="AK191">
        <v>2044</v>
      </c>
      <c r="AL191" t="s">
        <v>252</v>
      </c>
      <c r="AM191">
        <v>0.63590000000000002</v>
      </c>
      <c r="AN191" t="s">
        <v>249</v>
      </c>
    </row>
    <row r="192" spans="9:40" x14ac:dyDescent="0.45">
      <c r="I192" t="s">
        <v>180</v>
      </c>
      <c r="J192" t="s">
        <v>283</v>
      </c>
      <c r="K192">
        <v>7.1281556908616298E-3</v>
      </c>
      <c r="L192" t="s">
        <v>166</v>
      </c>
      <c r="N192" t="s">
        <v>204</v>
      </c>
      <c r="O192" t="s">
        <v>283</v>
      </c>
      <c r="P192">
        <v>2.2579123300268235E-3</v>
      </c>
      <c r="Q192" t="s">
        <v>166</v>
      </c>
      <c r="S192" t="s">
        <v>221</v>
      </c>
      <c r="T192" t="s">
        <v>283</v>
      </c>
      <c r="U192">
        <v>4.452198209183229E-3</v>
      </c>
      <c r="V192" t="s">
        <v>166</v>
      </c>
      <c r="AK192">
        <v>2044</v>
      </c>
      <c r="AL192" t="s">
        <v>254</v>
      </c>
      <c r="AM192">
        <v>0.54925000000000002</v>
      </c>
      <c r="AN192" t="s">
        <v>249</v>
      </c>
    </row>
    <row r="193" spans="9:40" x14ac:dyDescent="0.45">
      <c r="I193" t="s">
        <v>180</v>
      </c>
      <c r="J193" t="s">
        <v>284</v>
      </c>
      <c r="K193">
        <v>6.1299434907044599E-2</v>
      </c>
      <c r="L193" t="s">
        <v>166</v>
      </c>
      <c r="N193" t="s">
        <v>204</v>
      </c>
      <c r="O193" t="s">
        <v>284</v>
      </c>
      <c r="P193">
        <v>2.0867719113220419E-2</v>
      </c>
      <c r="Q193" t="s">
        <v>166</v>
      </c>
      <c r="S193" t="s">
        <v>221</v>
      </c>
      <c r="T193" t="s">
        <v>284</v>
      </c>
      <c r="U193">
        <v>3.1864031940747446E-2</v>
      </c>
      <c r="V193" t="s">
        <v>166</v>
      </c>
      <c r="AK193">
        <v>2044</v>
      </c>
      <c r="AL193" t="s">
        <v>256</v>
      </c>
      <c r="AM193">
        <v>0.55820000000000003</v>
      </c>
      <c r="AN193" t="s">
        <v>249</v>
      </c>
    </row>
    <row r="194" spans="9:40" x14ac:dyDescent="0.45">
      <c r="I194" t="s">
        <v>180</v>
      </c>
      <c r="J194" t="s">
        <v>285</v>
      </c>
      <c r="K194">
        <v>5.9675104636635577E-3</v>
      </c>
      <c r="L194" t="s">
        <v>166</v>
      </c>
      <c r="N194" t="s">
        <v>204</v>
      </c>
      <c r="O194" t="s">
        <v>285</v>
      </c>
      <c r="P194">
        <v>3.2549831580450462E-3</v>
      </c>
      <c r="Q194" t="s">
        <v>166</v>
      </c>
      <c r="S194" t="s">
        <v>221</v>
      </c>
      <c r="T194" t="s">
        <v>285</v>
      </c>
      <c r="U194">
        <v>4.4025270939703808E-3</v>
      </c>
      <c r="V194" t="s">
        <v>166</v>
      </c>
      <c r="AK194">
        <v>2044</v>
      </c>
      <c r="AL194" t="s">
        <v>257</v>
      </c>
      <c r="AM194">
        <v>0.51090000000000002</v>
      </c>
      <c r="AN194" t="s">
        <v>249</v>
      </c>
    </row>
    <row r="195" spans="9:40" x14ac:dyDescent="0.45">
      <c r="I195" t="s">
        <v>180</v>
      </c>
      <c r="J195" t="s">
        <v>286</v>
      </c>
      <c r="K195">
        <v>3.9524004621037294E-3</v>
      </c>
      <c r="L195" t="s">
        <v>166</v>
      </c>
      <c r="N195" t="s">
        <v>204</v>
      </c>
      <c r="O195" t="s">
        <v>286</v>
      </c>
      <c r="P195">
        <v>6.1122205962206855E-3</v>
      </c>
      <c r="Q195" t="s">
        <v>166</v>
      </c>
      <c r="S195" t="s">
        <v>221</v>
      </c>
      <c r="T195" t="s">
        <v>286</v>
      </c>
      <c r="U195">
        <v>8.4868594597546747E-3</v>
      </c>
      <c r="V195" t="s">
        <v>166</v>
      </c>
      <c r="AK195">
        <v>2045</v>
      </c>
      <c r="AL195" t="s">
        <v>154</v>
      </c>
      <c r="AM195">
        <v>0.28687499999999999</v>
      </c>
      <c r="AN195" t="s">
        <v>249</v>
      </c>
    </row>
    <row r="196" spans="9:40" x14ac:dyDescent="0.45">
      <c r="I196" t="s">
        <v>180</v>
      </c>
      <c r="J196" t="s">
        <v>287</v>
      </c>
      <c r="K196">
        <v>0</v>
      </c>
      <c r="L196" t="s">
        <v>166</v>
      </c>
      <c r="N196" t="s">
        <v>204</v>
      </c>
      <c r="O196" t="s">
        <v>287</v>
      </c>
      <c r="P196">
        <v>1.7466223240317075E-2</v>
      </c>
      <c r="Q196" t="s">
        <v>166</v>
      </c>
      <c r="S196" t="s">
        <v>221</v>
      </c>
      <c r="T196" t="s">
        <v>287</v>
      </c>
      <c r="U196">
        <v>2.1271465126578321E-2</v>
      </c>
      <c r="V196" t="s">
        <v>166</v>
      </c>
      <c r="AK196">
        <v>2045</v>
      </c>
      <c r="AL196" t="s">
        <v>158</v>
      </c>
      <c r="AM196">
        <v>0.3266</v>
      </c>
      <c r="AN196" t="s">
        <v>249</v>
      </c>
    </row>
    <row r="197" spans="9:40" x14ac:dyDescent="0.45">
      <c r="I197" t="s">
        <v>180</v>
      </c>
      <c r="J197" t="s">
        <v>288</v>
      </c>
      <c r="K197">
        <v>4.0335667514228846E-3</v>
      </c>
      <c r="L197" t="s">
        <v>166</v>
      </c>
      <c r="N197" t="s">
        <v>204</v>
      </c>
      <c r="O197" t="s">
        <v>288</v>
      </c>
      <c r="P197">
        <v>1.2336567425081043E-2</v>
      </c>
      <c r="Q197" t="s">
        <v>166</v>
      </c>
      <c r="S197" t="s">
        <v>221</v>
      </c>
      <c r="T197" t="s">
        <v>288</v>
      </c>
      <c r="U197">
        <v>4.8996467406082121E-2</v>
      </c>
      <c r="V197" t="s">
        <v>166</v>
      </c>
      <c r="AK197">
        <v>2045</v>
      </c>
      <c r="AL197" t="s">
        <v>160</v>
      </c>
      <c r="AM197">
        <v>0.4299</v>
      </c>
      <c r="AN197" t="s">
        <v>249</v>
      </c>
    </row>
    <row r="198" spans="9:40" x14ac:dyDescent="0.45">
      <c r="I198" t="s">
        <v>180</v>
      </c>
      <c r="J198" t="s">
        <v>289</v>
      </c>
      <c r="K198">
        <v>7.434343869002988E-3</v>
      </c>
      <c r="L198" t="s">
        <v>166</v>
      </c>
      <c r="N198" t="s">
        <v>204</v>
      </c>
      <c r="O198" t="s">
        <v>289</v>
      </c>
      <c r="P198">
        <v>1.214570001410813E-3</v>
      </c>
      <c r="Q198" t="s">
        <v>166</v>
      </c>
      <c r="S198" t="s">
        <v>221</v>
      </c>
      <c r="T198" t="s">
        <v>289</v>
      </c>
      <c r="U198">
        <v>6.1479638604127499E-3</v>
      </c>
      <c r="V198" t="s">
        <v>166</v>
      </c>
      <c r="AK198">
        <v>2045</v>
      </c>
      <c r="AL198" t="s">
        <v>162</v>
      </c>
      <c r="AM198">
        <v>0.49220000000000003</v>
      </c>
      <c r="AN198" t="s">
        <v>249</v>
      </c>
    </row>
    <row r="199" spans="9:40" x14ac:dyDescent="0.45">
      <c r="I199" t="s">
        <v>180</v>
      </c>
      <c r="J199" t="s">
        <v>290</v>
      </c>
      <c r="K199">
        <v>7.1621859339201649E-2</v>
      </c>
      <c r="L199" t="s">
        <v>166</v>
      </c>
      <c r="N199" t="s">
        <v>204</v>
      </c>
      <c r="O199" t="s">
        <v>290</v>
      </c>
      <c r="P199">
        <v>6.2539593464152488E-3</v>
      </c>
      <c r="Q199" t="s">
        <v>166</v>
      </c>
      <c r="S199" t="s">
        <v>221</v>
      </c>
      <c r="T199" t="s">
        <v>290</v>
      </c>
      <c r="U199">
        <v>4.5436184180652137E-2</v>
      </c>
      <c r="V199" t="s">
        <v>166</v>
      </c>
      <c r="AK199">
        <v>2045</v>
      </c>
      <c r="AL199" t="s">
        <v>252</v>
      </c>
      <c r="AM199">
        <v>0.58220000000000005</v>
      </c>
      <c r="AN199" t="s">
        <v>249</v>
      </c>
    </row>
    <row r="200" spans="9:40" x14ac:dyDescent="0.45">
      <c r="I200" t="s">
        <v>180</v>
      </c>
      <c r="J200" t="s">
        <v>291</v>
      </c>
      <c r="K200">
        <v>7.2601275299623031E-3</v>
      </c>
      <c r="L200" t="s">
        <v>166</v>
      </c>
      <c r="N200" t="s">
        <v>204</v>
      </c>
      <c r="O200" t="s">
        <v>291</v>
      </c>
      <c r="P200">
        <v>1.8814115225275567E-3</v>
      </c>
      <c r="Q200" t="s">
        <v>166</v>
      </c>
      <c r="S200" t="s">
        <v>221</v>
      </c>
      <c r="T200" t="s">
        <v>291</v>
      </c>
      <c r="U200">
        <v>6.4740956957865083E-3</v>
      </c>
      <c r="V200" t="s">
        <v>166</v>
      </c>
      <c r="AK200">
        <v>2045</v>
      </c>
      <c r="AL200" t="s">
        <v>254</v>
      </c>
      <c r="AM200">
        <v>0.53949999999999998</v>
      </c>
      <c r="AN200" t="s">
        <v>249</v>
      </c>
    </row>
    <row r="201" spans="9:40" x14ac:dyDescent="0.45">
      <c r="I201" t="s">
        <v>180</v>
      </c>
      <c r="J201" t="s">
        <v>292</v>
      </c>
      <c r="K201">
        <v>5.0147980367659488E-3</v>
      </c>
      <c r="L201" t="s">
        <v>166</v>
      </c>
      <c r="N201" t="s">
        <v>204</v>
      </c>
      <c r="O201" t="s">
        <v>292</v>
      </c>
      <c r="P201">
        <v>4.5383804494952672E-3</v>
      </c>
      <c r="Q201" t="s">
        <v>166</v>
      </c>
      <c r="S201" t="s">
        <v>221</v>
      </c>
      <c r="T201" t="s">
        <v>292</v>
      </c>
      <c r="U201">
        <v>1.2563152353663896E-2</v>
      </c>
      <c r="V201" t="s">
        <v>166</v>
      </c>
      <c r="AK201">
        <v>2045</v>
      </c>
      <c r="AL201" t="s">
        <v>256</v>
      </c>
      <c r="AM201">
        <v>0.50429999999999997</v>
      </c>
      <c r="AN201" t="s">
        <v>249</v>
      </c>
    </row>
    <row r="202" spans="9:40" x14ac:dyDescent="0.45">
      <c r="I202" t="s">
        <v>180</v>
      </c>
      <c r="J202" t="s">
        <v>293</v>
      </c>
      <c r="K202">
        <v>0</v>
      </c>
      <c r="L202" t="s">
        <v>166</v>
      </c>
      <c r="N202" t="s">
        <v>204</v>
      </c>
      <c r="O202" t="s">
        <v>293</v>
      </c>
      <c r="P202">
        <v>1.6468456766895755E-2</v>
      </c>
      <c r="Q202" t="s">
        <v>166</v>
      </c>
      <c r="S202" t="s">
        <v>221</v>
      </c>
      <c r="T202" t="s">
        <v>293</v>
      </c>
      <c r="U202">
        <v>3.1387200718150203E-2</v>
      </c>
      <c r="V202" t="s">
        <v>166</v>
      </c>
      <c r="AK202">
        <v>2045</v>
      </c>
      <c r="AL202" t="s">
        <v>257</v>
      </c>
      <c r="AM202">
        <v>0.52029999999999998</v>
      </c>
      <c r="AN202" t="s">
        <v>249</v>
      </c>
    </row>
    <row r="203" spans="9:40" x14ac:dyDescent="0.45">
      <c r="I203" t="s">
        <v>181</v>
      </c>
      <c r="J203" t="s">
        <v>165</v>
      </c>
      <c r="K203">
        <v>1.2914967708468188E-2</v>
      </c>
      <c r="L203" t="s">
        <v>166</v>
      </c>
      <c r="N203" t="s">
        <v>205</v>
      </c>
      <c r="O203" t="s">
        <v>165</v>
      </c>
      <c r="P203">
        <v>0.12672854363233088</v>
      </c>
      <c r="Q203" t="s">
        <v>166</v>
      </c>
      <c r="S203" t="s">
        <v>222</v>
      </c>
      <c r="T203" t="s">
        <v>165</v>
      </c>
      <c r="U203">
        <v>0.11351165821454857</v>
      </c>
      <c r="V203" t="s">
        <v>166</v>
      </c>
      <c r="AK203">
        <v>2046</v>
      </c>
      <c r="AL203" t="s">
        <v>154</v>
      </c>
      <c r="AM203">
        <v>0.29772500000000002</v>
      </c>
      <c r="AN203" t="s">
        <v>249</v>
      </c>
    </row>
    <row r="204" spans="9:40" x14ac:dyDescent="0.45">
      <c r="I204" t="s">
        <v>181</v>
      </c>
      <c r="J204" t="s">
        <v>167</v>
      </c>
      <c r="K204">
        <v>2.449577604572703E-2</v>
      </c>
      <c r="L204" t="s">
        <v>166</v>
      </c>
      <c r="N204" t="s">
        <v>205</v>
      </c>
      <c r="O204" t="s">
        <v>167</v>
      </c>
      <c r="P204">
        <v>1.5504909630829206E-2</v>
      </c>
      <c r="Q204" t="s">
        <v>166</v>
      </c>
      <c r="S204" t="s">
        <v>222</v>
      </c>
      <c r="T204" t="s">
        <v>167</v>
      </c>
      <c r="U204">
        <v>1.4253497367042005E-2</v>
      </c>
      <c r="V204" t="s">
        <v>166</v>
      </c>
      <c r="AK204">
        <v>2046</v>
      </c>
      <c r="AL204" t="s">
        <v>158</v>
      </c>
      <c r="AM204">
        <v>0.37109999999999999</v>
      </c>
      <c r="AN204" t="s">
        <v>249</v>
      </c>
    </row>
    <row r="205" spans="9:40" x14ac:dyDescent="0.45">
      <c r="I205" t="s">
        <v>181</v>
      </c>
      <c r="J205" t="s">
        <v>168</v>
      </c>
      <c r="K205">
        <v>0.28256820848825343</v>
      </c>
      <c r="L205" t="s">
        <v>166</v>
      </c>
      <c r="N205" t="s">
        <v>205</v>
      </c>
      <c r="O205" t="s">
        <v>168</v>
      </c>
      <c r="P205">
        <v>0.11771253098373952</v>
      </c>
      <c r="Q205" t="s">
        <v>166</v>
      </c>
      <c r="S205" t="s">
        <v>222</v>
      </c>
      <c r="T205" t="s">
        <v>168</v>
      </c>
      <c r="U205">
        <v>9.8998497412585665E-2</v>
      </c>
      <c r="V205" t="s">
        <v>166</v>
      </c>
      <c r="AK205">
        <v>2046</v>
      </c>
      <c r="AL205" t="s">
        <v>160</v>
      </c>
      <c r="AM205">
        <v>0.3952</v>
      </c>
      <c r="AN205" t="s">
        <v>249</v>
      </c>
    </row>
    <row r="206" spans="9:40" x14ac:dyDescent="0.45">
      <c r="I206" t="s">
        <v>181</v>
      </c>
      <c r="J206" t="s">
        <v>258</v>
      </c>
      <c r="K206">
        <v>2.9722675646124505E-2</v>
      </c>
      <c r="L206" t="s">
        <v>166</v>
      </c>
      <c r="N206" t="s">
        <v>205</v>
      </c>
      <c r="O206" t="s">
        <v>258</v>
      </c>
      <c r="P206">
        <v>1.7902459617669099E-2</v>
      </c>
      <c r="Q206" t="s">
        <v>166</v>
      </c>
      <c r="S206" t="s">
        <v>222</v>
      </c>
      <c r="T206" t="s">
        <v>258</v>
      </c>
      <c r="U206">
        <v>1.4292915277241972E-2</v>
      </c>
      <c r="V206" t="s">
        <v>166</v>
      </c>
      <c r="AK206">
        <v>2046</v>
      </c>
      <c r="AL206" t="s">
        <v>162</v>
      </c>
      <c r="AM206">
        <v>0.51939999999999997</v>
      </c>
      <c r="AN206" t="s">
        <v>249</v>
      </c>
    </row>
    <row r="207" spans="9:40" x14ac:dyDescent="0.45">
      <c r="I207" t="s">
        <v>181</v>
      </c>
      <c r="J207" t="s">
        <v>259</v>
      </c>
      <c r="K207">
        <v>3.3839276113355153E-2</v>
      </c>
      <c r="L207" t="s">
        <v>166</v>
      </c>
      <c r="N207" t="s">
        <v>205</v>
      </c>
      <c r="O207" t="s">
        <v>259</v>
      </c>
      <c r="P207">
        <v>3.289780262173915E-2</v>
      </c>
      <c r="Q207" t="s">
        <v>166</v>
      </c>
      <c r="S207" t="s">
        <v>222</v>
      </c>
      <c r="T207" t="s">
        <v>259</v>
      </c>
      <c r="U207">
        <v>2.812708322318087E-2</v>
      </c>
      <c r="V207" t="s">
        <v>166</v>
      </c>
      <c r="AK207">
        <v>2046</v>
      </c>
      <c r="AL207" t="s">
        <v>252</v>
      </c>
      <c r="AM207">
        <v>0.63900000000000001</v>
      </c>
      <c r="AN207" t="s">
        <v>249</v>
      </c>
    </row>
    <row r="208" spans="9:40" x14ac:dyDescent="0.45">
      <c r="I208" t="s">
        <v>181</v>
      </c>
      <c r="J208" t="s">
        <v>260</v>
      </c>
      <c r="K208">
        <v>0</v>
      </c>
      <c r="L208" t="s">
        <v>166</v>
      </c>
      <c r="N208" t="s">
        <v>205</v>
      </c>
      <c r="O208" t="s">
        <v>260</v>
      </c>
      <c r="P208">
        <v>8.450863707907097E-2</v>
      </c>
      <c r="Q208" t="s">
        <v>166</v>
      </c>
      <c r="S208" t="s">
        <v>222</v>
      </c>
      <c r="T208" t="s">
        <v>260</v>
      </c>
      <c r="U208">
        <v>7.3625120003661462E-2</v>
      </c>
      <c r="V208" t="s">
        <v>166</v>
      </c>
      <c r="AK208">
        <v>2046</v>
      </c>
      <c r="AL208" t="s">
        <v>254</v>
      </c>
      <c r="AM208">
        <v>0.53794999999999993</v>
      </c>
      <c r="AN208" t="s">
        <v>249</v>
      </c>
    </row>
    <row r="209" spans="9:40" x14ac:dyDescent="0.45">
      <c r="I209" t="s">
        <v>181</v>
      </c>
      <c r="J209" t="s">
        <v>169</v>
      </c>
      <c r="K209">
        <v>7.1319614252425972E-3</v>
      </c>
      <c r="L209" t="s">
        <v>166</v>
      </c>
      <c r="N209" t="s">
        <v>205</v>
      </c>
      <c r="O209" t="s">
        <v>169</v>
      </c>
      <c r="P209">
        <v>7.4596775880332814E-3</v>
      </c>
      <c r="Q209" t="s">
        <v>166</v>
      </c>
      <c r="S209" t="s">
        <v>222</v>
      </c>
      <c r="T209" t="s">
        <v>169</v>
      </c>
      <c r="U209">
        <v>6.6306905483527667E-3</v>
      </c>
      <c r="V209" t="s">
        <v>166</v>
      </c>
      <c r="AK209">
        <v>2046</v>
      </c>
      <c r="AL209" t="s">
        <v>256</v>
      </c>
      <c r="AM209">
        <v>0.53600000000000003</v>
      </c>
      <c r="AN209" t="s">
        <v>249</v>
      </c>
    </row>
    <row r="210" spans="9:40" x14ac:dyDescent="0.45">
      <c r="I210" t="s">
        <v>181</v>
      </c>
      <c r="J210" t="s">
        <v>170</v>
      </c>
      <c r="K210">
        <v>7.2676225741733699E-3</v>
      </c>
      <c r="L210" t="s">
        <v>166</v>
      </c>
      <c r="N210" t="s">
        <v>205</v>
      </c>
      <c r="O210" t="s">
        <v>170</v>
      </c>
      <c r="P210">
        <v>8.8106554489666923E-4</v>
      </c>
      <c r="Q210" t="s">
        <v>166</v>
      </c>
      <c r="S210" t="s">
        <v>222</v>
      </c>
      <c r="T210" t="s">
        <v>170</v>
      </c>
      <c r="U210">
        <v>7.4744215660537685E-4</v>
      </c>
      <c r="V210" t="s">
        <v>166</v>
      </c>
      <c r="AK210">
        <v>2046</v>
      </c>
      <c r="AL210" t="s">
        <v>257</v>
      </c>
      <c r="AM210">
        <v>0.46229999999999999</v>
      </c>
      <c r="AN210" t="s">
        <v>249</v>
      </c>
    </row>
    <row r="211" spans="9:40" x14ac:dyDescent="0.45">
      <c r="I211" t="s">
        <v>181</v>
      </c>
      <c r="J211" t="s">
        <v>171</v>
      </c>
      <c r="K211">
        <v>7.4457186977449713E-2</v>
      </c>
      <c r="L211" t="s">
        <v>166</v>
      </c>
      <c r="N211" t="s">
        <v>205</v>
      </c>
      <c r="O211" t="s">
        <v>171</v>
      </c>
      <c r="P211">
        <v>1.0064444609754367E-2</v>
      </c>
      <c r="Q211" t="s">
        <v>166</v>
      </c>
      <c r="S211" t="s">
        <v>222</v>
      </c>
      <c r="T211" t="s">
        <v>171</v>
      </c>
      <c r="U211">
        <v>5.9236408978614614E-3</v>
      </c>
      <c r="V211" t="s">
        <v>166</v>
      </c>
      <c r="AK211">
        <v>2047</v>
      </c>
      <c r="AL211" t="s">
        <v>154</v>
      </c>
      <c r="AM211">
        <v>0.28297499999999998</v>
      </c>
      <c r="AN211" t="s">
        <v>249</v>
      </c>
    </row>
    <row r="212" spans="9:40" x14ac:dyDescent="0.45">
      <c r="I212" t="s">
        <v>181</v>
      </c>
      <c r="J212" t="s">
        <v>261</v>
      </c>
      <c r="K212">
        <v>6.1463669195069692E-3</v>
      </c>
      <c r="L212" t="s">
        <v>166</v>
      </c>
      <c r="N212" t="s">
        <v>205</v>
      </c>
      <c r="O212" t="s">
        <v>261</v>
      </c>
      <c r="P212">
        <v>1.70546855074676E-3</v>
      </c>
      <c r="Q212" t="s">
        <v>166</v>
      </c>
      <c r="S212" t="s">
        <v>222</v>
      </c>
      <c r="T212" t="s">
        <v>261</v>
      </c>
      <c r="U212">
        <v>1.0340393565658186E-3</v>
      </c>
      <c r="V212" t="s">
        <v>166</v>
      </c>
      <c r="AK212">
        <v>2047</v>
      </c>
      <c r="AL212" t="s">
        <v>158</v>
      </c>
      <c r="AM212">
        <v>0.37909999999999999</v>
      </c>
      <c r="AN212" t="s">
        <v>249</v>
      </c>
    </row>
    <row r="213" spans="9:40" x14ac:dyDescent="0.45">
      <c r="I213" t="s">
        <v>181</v>
      </c>
      <c r="J213" t="s">
        <v>262</v>
      </c>
      <c r="K213">
        <v>6.5419133816254022E-3</v>
      </c>
      <c r="L213" t="s">
        <v>166</v>
      </c>
      <c r="N213" t="s">
        <v>205</v>
      </c>
      <c r="O213" t="s">
        <v>262</v>
      </c>
      <c r="P213">
        <v>2.5399857176907768E-3</v>
      </c>
      <c r="Q213" t="s">
        <v>166</v>
      </c>
      <c r="S213" t="s">
        <v>222</v>
      </c>
      <c r="T213" t="s">
        <v>262</v>
      </c>
      <c r="U213">
        <v>1.7630014738257847E-3</v>
      </c>
      <c r="V213" t="s">
        <v>166</v>
      </c>
      <c r="AK213">
        <v>2047</v>
      </c>
      <c r="AL213" t="s">
        <v>160</v>
      </c>
      <c r="AM213">
        <v>0.39729999999999999</v>
      </c>
      <c r="AN213" t="s">
        <v>249</v>
      </c>
    </row>
    <row r="214" spans="9:40" x14ac:dyDescent="0.45">
      <c r="I214" t="s">
        <v>181</v>
      </c>
      <c r="J214" t="s">
        <v>263</v>
      </c>
      <c r="K214">
        <v>0</v>
      </c>
      <c r="L214" t="s">
        <v>166</v>
      </c>
      <c r="N214" t="s">
        <v>205</v>
      </c>
      <c r="O214" t="s">
        <v>263</v>
      </c>
      <c r="P214">
        <v>5.1759271850416047E-3</v>
      </c>
      <c r="Q214" t="s">
        <v>166</v>
      </c>
      <c r="S214" t="s">
        <v>222</v>
      </c>
      <c r="T214" t="s">
        <v>263</v>
      </c>
      <c r="U214">
        <v>4.1953557500569554E-3</v>
      </c>
      <c r="V214" t="s">
        <v>166</v>
      </c>
      <c r="AK214">
        <v>2047</v>
      </c>
      <c r="AL214" t="s">
        <v>162</v>
      </c>
      <c r="AM214">
        <v>0.46899999999999997</v>
      </c>
      <c r="AN214" t="s">
        <v>249</v>
      </c>
    </row>
    <row r="215" spans="9:40" x14ac:dyDescent="0.45">
      <c r="I215" t="s">
        <v>181</v>
      </c>
      <c r="J215" t="s">
        <v>172</v>
      </c>
      <c r="K215">
        <v>4.7047702782923567E-3</v>
      </c>
      <c r="L215" t="s">
        <v>166</v>
      </c>
      <c r="N215" t="s">
        <v>205</v>
      </c>
      <c r="O215" t="s">
        <v>172</v>
      </c>
      <c r="P215">
        <v>2.2114030553565357E-2</v>
      </c>
      <c r="Q215" t="s">
        <v>166</v>
      </c>
      <c r="S215" t="s">
        <v>222</v>
      </c>
      <c r="T215" t="s">
        <v>172</v>
      </c>
      <c r="U215">
        <v>2.293808693660699E-2</v>
      </c>
      <c r="V215" t="s">
        <v>166</v>
      </c>
      <c r="AK215">
        <v>2047</v>
      </c>
      <c r="AL215" t="s">
        <v>252</v>
      </c>
      <c r="AM215">
        <v>0.61199999999999999</v>
      </c>
      <c r="AN215" t="s">
        <v>249</v>
      </c>
    </row>
    <row r="216" spans="9:40" x14ac:dyDescent="0.45">
      <c r="I216" t="s">
        <v>181</v>
      </c>
      <c r="J216" t="s">
        <v>173</v>
      </c>
      <c r="K216">
        <v>5.1255525641799192E-3</v>
      </c>
      <c r="L216" t="s">
        <v>166</v>
      </c>
      <c r="N216" t="s">
        <v>205</v>
      </c>
      <c r="O216" t="s">
        <v>173</v>
      </c>
      <c r="P216">
        <v>2.5972817652378907E-3</v>
      </c>
      <c r="Q216" t="s">
        <v>166</v>
      </c>
      <c r="S216" t="s">
        <v>222</v>
      </c>
      <c r="T216" t="s">
        <v>173</v>
      </c>
      <c r="U216">
        <v>2.8143493364903454E-3</v>
      </c>
      <c r="V216" t="s">
        <v>166</v>
      </c>
      <c r="AK216">
        <v>2047</v>
      </c>
      <c r="AL216" t="s">
        <v>254</v>
      </c>
      <c r="AM216">
        <v>0.52984999999999993</v>
      </c>
      <c r="AN216" t="s">
        <v>249</v>
      </c>
    </row>
    <row r="217" spans="9:40" x14ac:dyDescent="0.45">
      <c r="I217" t="s">
        <v>181</v>
      </c>
      <c r="J217" t="s">
        <v>174</v>
      </c>
      <c r="K217">
        <v>5.784205065663766E-2</v>
      </c>
      <c r="L217" t="s">
        <v>166</v>
      </c>
      <c r="N217" t="s">
        <v>205</v>
      </c>
      <c r="O217" t="s">
        <v>174</v>
      </c>
      <c r="P217">
        <v>2.2759546166155123E-2</v>
      </c>
      <c r="Q217" t="s">
        <v>166</v>
      </c>
      <c r="S217" t="s">
        <v>222</v>
      </c>
      <c r="T217" t="s">
        <v>174</v>
      </c>
      <c r="U217">
        <v>1.9756083998562754E-2</v>
      </c>
      <c r="V217" t="s">
        <v>166</v>
      </c>
      <c r="AK217">
        <v>2047</v>
      </c>
      <c r="AL217" t="s">
        <v>256</v>
      </c>
      <c r="AM217">
        <v>0.51649999999999996</v>
      </c>
      <c r="AN217" t="s">
        <v>249</v>
      </c>
    </row>
    <row r="218" spans="9:40" x14ac:dyDescent="0.45">
      <c r="I218" t="s">
        <v>181</v>
      </c>
      <c r="J218" t="s">
        <v>264</v>
      </c>
      <c r="K218">
        <v>5.1450550903558521E-3</v>
      </c>
      <c r="L218" t="s">
        <v>166</v>
      </c>
      <c r="N218" t="s">
        <v>205</v>
      </c>
      <c r="O218" t="s">
        <v>264</v>
      </c>
      <c r="P218">
        <v>3.466495324913949E-3</v>
      </c>
      <c r="Q218" t="s">
        <v>166</v>
      </c>
      <c r="S218" t="s">
        <v>222</v>
      </c>
      <c r="T218" t="s">
        <v>264</v>
      </c>
      <c r="U218">
        <v>2.9407237903694653E-3</v>
      </c>
      <c r="V218" t="s">
        <v>166</v>
      </c>
      <c r="AK218">
        <v>2047</v>
      </c>
      <c r="AL218" t="s">
        <v>257</v>
      </c>
      <c r="AM218">
        <v>0.48649999999999999</v>
      </c>
      <c r="AN218" t="s">
        <v>249</v>
      </c>
    </row>
    <row r="219" spans="9:40" x14ac:dyDescent="0.45">
      <c r="I219" t="s">
        <v>181</v>
      </c>
      <c r="J219" t="s">
        <v>265</v>
      </c>
      <c r="K219">
        <v>5.2789622052905648E-3</v>
      </c>
      <c r="L219" t="s">
        <v>166</v>
      </c>
      <c r="N219" t="s">
        <v>205</v>
      </c>
      <c r="O219" t="s">
        <v>265</v>
      </c>
      <c r="P219">
        <v>5.6877988666070526E-3</v>
      </c>
      <c r="Q219" t="s">
        <v>166</v>
      </c>
      <c r="S219" t="s">
        <v>222</v>
      </c>
      <c r="T219" t="s">
        <v>265</v>
      </c>
      <c r="U219">
        <v>5.5887337706699569E-3</v>
      </c>
      <c r="V219" t="s">
        <v>166</v>
      </c>
      <c r="AK219">
        <v>2048</v>
      </c>
      <c r="AL219" t="s">
        <v>154</v>
      </c>
      <c r="AM219">
        <v>0.28400000000000003</v>
      </c>
      <c r="AN219" t="s">
        <v>249</v>
      </c>
    </row>
    <row r="220" spans="9:40" x14ac:dyDescent="0.45">
      <c r="I220" t="s">
        <v>181</v>
      </c>
      <c r="J220" t="s">
        <v>266</v>
      </c>
      <c r="K220">
        <v>0</v>
      </c>
      <c r="L220" t="s">
        <v>166</v>
      </c>
      <c r="N220" t="s">
        <v>205</v>
      </c>
      <c r="O220" t="s">
        <v>266</v>
      </c>
      <c r="P220">
        <v>1.2248011351004241E-2</v>
      </c>
      <c r="Q220" t="s">
        <v>166</v>
      </c>
      <c r="S220" t="s">
        <v>222</v>
      </c>
      <c r="T220" t="s">
        <v>266</v>
      </c>
      <c r="U220">
        <v>1.335789932089451E-2</v>
      </c>
      <c r="V220" t="s">
        <v>166</v>
      </c>
      <c r="AK220">
        <v>2048</v>
      </c>
      <c r="AL220" t="s">
        <v>158</v>
      </c>
      <c r="AM220">
        <v>0.33510000000000001</v>
      </c>
      <c r="AN220" t="s">
        <v>249</v>
      </c>
    </row>
    <row r="221" spans="9:40" x14ac:dyDescent="0.45">
      <c r="I221" t="s">
        <v>181</v>
      </c>
      <c r="J221" t="s">
        <v>175</v>
      </c>
      <c r="K221">
        <v>2.8889165249450354E-3</v>
      </c>
      <c r="L221" t="s">
        <v>166</v>
      </c>
      <c r="N221" t="s">
        <v>205</v>
      </c>
      <c r="O221" t="s">
        <v>175</v>
      </c>
      <c r="P221">
        <v>2.6399203935224311E-2</v>
      </c>
      <c r="Q221" t="s">
        <v>166</v>
      </c>
      <c r="S221" t="s">
        <v>222</v>
      </c>
      <c r="T221" t="s">
        <v>175</v>
      </c>
      <c r="U221">
        <v>2.6883646269666262E-2</v>
      </c>
      <c r="V221" t="s">
        <v>166</v>
      </c>
      <c r="AK221">
        <v>2048</v>
      </c>
      <c r="AL221" t="s">
        <v>160</v>
      </c>
      <c r="AM221">
        <v>0.41839999999999999</v>
      </c>
      <c r="AN221" t="s">
        <v>249</v>
      </c>
    </row>
    <row r="222" spans="9:40" x14ac:dyDescent="0.45">
      <c r="I222" t="s">
        <v>181</v>
      </c>
      <c r="J222" t="s">
        <v>176</v>
      </c>
      <c r="K222">
        <v>4.678784646061065E-3</v>
      </c>
      <c r="L222" t="s">
        <v>166</v>
      </c>
      <c r="N222" t="s">
        <v>205</v>
      </c>
      <c r="O222" t="s">
        <v>176</v>
      </c>
      <c r="P222">
        <v>3.1623669544584487E-3</v>
      </c>
      <c r="Q222" t="s">
        <v>166</v>
      </c>
      <c r="S222" t="s">
        <v>222</v>
      </c>
      <c r="T222" t="s">
        <v>176</v>
      </c>
      <c r="U222">
        <v>3.1356773293841514E-3</v>
      </c>
      <c r="V222" t="s">
        <v>166</v>
      </c>
      <c r="AK222">
        <v>2048</v>
      </c>
      <c r="AL222" t="s">
        <v>162</v>
      </c>
      <c r="AM222">
        <v>0.50619999999999998</v>
      </c>
      <c r="AN222" t="s">
        <v>249</v>
      </c>
    </row>
    <row r="223" spans="9:40" x14ac:dyDescent="0.45">
      <c r="I223" t="s">
        <v>181</v>
      </c>
      <c r="J223" t="s">
        <v>177</v>
      </c>
      <c r="K223">
        <v>5.784781698085411E-2</v>
      </c>
      <c r="L223" t="s">
        <v>166</v>
      </c>
      <c r="N223" t="s">
        <v>205</v>
      </c>
      <c r="O223" t="s">
        <v>177</v>
      </c>
      <c r="P223">
        <v>2.7206353625034624E-2</v>
      </c>
      <c r="Q223" t="s">
        <v>166</v>
      </c>
      <c r="S223" t="s">
        <v>222</v>
      </c>
      <c r="T223" t="s">
        <v>177</v>
      </c>
      <c r="U223">
        <v>2.2941405902773753E-2</v>
      </c>
      <c r="V223" t="s">
        <v>166</v>
      </c>
      <c r="AK223">
        <v>2048</v>
      </c>
      <c r="AL223" t="s">
        <v>252</v>
      </c>
      <c r="AM223">
        <v>0.57840000000000003</v>
      </c>
      <c r="AN223" t="s">
        <v>249</v>
      </c>
    </row>
    <row r="224" spans="9:40" x14ac:dyDescent="0.45">
      <c r="I224" t="s">
        <v>181</v>
      </c>
      <c r="J224" t="s">
        <v>267</v>
      </c>
      <c r="K224">
        <v>5.3356703590871548E-3</v>
      </c>
      <c r="L224" t="s">
        <v>166</v>
      </c>
      <c r="N224" t="s">
        <v>205</v>
      </c>
      <c r="O224" t="s">
        <v>267</v>
      </c>
      <c r="P224">
        <v>4.2459579916550912E-3</v>
      </c>
      <c r="Q224" t="s">
        <v>166</v>
      </c>
      <c r="S224" t="s">
        <v>222</v>
      </c>
      <c r="T224" t="s">
        <v>267</v>
      </c>
      <c r="U224">
        <v>3.4825836847407988E-3</v>
      </c>
      <c r="V224" t="s">
        <v>166</v>
      </c>
      <c r="AK224">
        <v>2048</v>
      </c>
      <c r="AL224" t="s">
        <v>254</v>
      </c>
      <c r="AM224">
        <v>0.54919999999999991</v>
      </c>
      <c r="AN224" t="s">
        <v>249</v>
      </c>
    </row>
    <row r="225" spans="9:40" x14ac:dyDescent="0.45">
      <c r="I225" t="s">
        <v>181</v>
      </c>
      <c r="J225" t="s">
        <v>268</v>
      </c>
      <c r="K225">
        <v>5.6454969140057373E-3</v>
      </c>
      <c r="L225" t="s">
        <v>166</v>
      </c>
      <c r="N225" t="s">
        <v>205</v>
      </c>
      <c r="O225" t="s">
        <v>268</v>
      </c>
      <c r="P225">
        <v>7.6085862882390842E-3</v>
      </c>
      <c r="Q225" t="s">
        <v>166</v>
      </c>
      <c r="S225" t="s">
        <v>222</v>
      </c>
      <c r="T225" t="s">
        <v>268</v>
      </c>
      <c r="U225">
        <v>6.8106708834513889E-3</v>
      </c>
      <c r="V225" t="s">
        <v>166</v>
      </c>
      <c r="AK225">
        <v>2048</v>
      </c>
      <c r="AL225" t="s">
        <v>256</v>
      </c>
      <c r="AM225">
        <v>0.53839999999999999</v>
      </c>
      <c r="AN225" t="s">
        <v>249</v>
      </c>
    </row>
    <row r="226" spans="9:40" x14ac:dyDescent="0.45">
      <c r="I226" t="s">
        <v>181</v>
      </c>
      <c r="J226" t="s">
        <v>269</v>
      </c>
      <c r="K226">
        <v>0</v>
      </c>
      <c r="L226" t="s">
        <v>166</v>
      </c>
      <c r="N226" t="s">
        <v>205</v>
      </c>
      <c r="O226" t="s">
        <v>269</v>
      </c>
      <c r="P226">
        <v>1.5929756379134286E-2</v>
      </c>
      <c r="Q226" t="s">
        <v>166</v>
      </c>
      <c r="S226" t="s">
        <v>222</v>
      </c>
      <c r="T226" t="s">
        <v>269</v>
      </c>
      <c r="U226">
        <v>1.6744398676287305E-2</v>
      </c>
      <c r="V226" t="s">
        <v>166</v>
      </c>
      <c r="AK226">
        <v>2048</v>
      </c>
      <c r="AL226" t="s">
        <v>257</v>
      </c>
      <c r="AM226">
        <v>0.46450000000000002</v>
      </c>
      <c r="AN226" t="s">
        <v>249</v>
      </c>
    </row>
    <row r="227" spans="9:40" x14ac:dyDescent="0.45">
      <c r="I227" t="s">
        <v>181</v>
      </c>
      <c r="J227" t="s">
        <v>270</v>
      </c>
      <c r="K227">
        <v>2.0829739523536071E-3</v>
      </c>
      <c r="L227" t="s">
        <v>166</v>
      </c>
      <c r="N227" t="s">
        <v>205</v>
      </c>
      <c r="O227" t="s">
        <v>270</v>
      </c>
      <c r="P227">
        <v>3.3076607969398944E-2</v>
      </c>
      <c r="Q227" t="s">
        <v>166</v>
      </c>
      <c r="S227" t="s">
        <v>222</v>
      </c>
      <c r="T227" t="s">
        <v>270</v>
      </c>
      <c r="U227">
        <v>3.5384681626512864E-2</v>
      </c>
      <c r="V227" t="s">
        <v>166</v>
      </c>
      <c r="AK227">
        <v>2049</v>
      </c>
      <c r="AL227" t="s">
        <v>154</v>
      </c>
      <c r="AM227">
        <v>0.27817499999999995</v>
      </c>
      <c r="AN227" t="s">
        <v>249</v>
      </c>
    </row>
    <row r="228" spans="9:40" x14ac:dyDescent="0.45">
      <c r="I228" t="s">
        <v>181</v>
      </c>
      <c r="J228" t="s">
        <v>271</v>
      </c>
      <c r="K228">
        <v>4.0002715326748145E-3</v>
      </c>
      <c r="L228" t="s">
        <v>166</v>
      </c>
      <c r="N228" t="s">
        <v>205</v>
      </c>
      <c r="O228" t="s">
        <v>271</v>
      </c>
      <c r="P228">
        <v>4.0213224912644127E-3</v>
      </c>
      <c r="Q228" t="s">
        <v>166</v>
      </c>
      <c r="S228" t="s">
        <v>222</v>
      </c>
      <c r="T228" t="s">
        <v>271</v>
      </c>
      <c r="U228">
        <v>4.0911555159243041E-3</v>
      </c>
      <c r="V228" t="s">
        <v>166</v>
      </c>
      <c r="AK228">
        <v>2049</v>
      </c>
      <c r="AL228" t="s">
        <v>158</v>
      </c>
      <c r="AM228">
        <v>0.35460000000000003</v>
      </c>
      <c r="AN228" t="s">
        <v>249</v>
      </c>
    </row>
    <row r="229" spans="9:40" x14ac:dyDescent="0.45">
      <c r="I229" t="s">
        <v>181</v>
      </c>
      <c r="J229" t="s">
        <v>272</v>
      </c>
      <c r="K229">
        <v>5.4161007958934769E-2</v>
      </c>
      <c r="L229" t="s">
        <v>166</v>
      </c>
      <c r="N229" t="s">
        <v>205</v>
      </c>
      <c r="O229" t="s">
        <v>272</v>
      </c>
      <c r="P229">
        <v>3.4218541596121504E-2</v>
      </c>
      <c r="Q229" t="s">
        <v>166</v>
      </c>
      <c r="S229" t="s">
        <v>222</v>
      </c>
      <c r="T229" t="s">
        <v>272</v>
      </c>
      <c r="U229">
        <v>2.9988474777350935E-2</v>
      </c>
      <c r="V229" t="s">
        <v>166</v>
      </c>
      <c r="AK229">
        <v>2049</v>
      </c>
      <c r="AL229" t="s">
        <v>160</v>
      </c>
      <c r="AM229">
        <v>0.42009999999999997</v>
      </c>
      <c r="AN229" t="s">
        <v>249</v>
      </c>
    </row>
    <row r="230" spans="9:40" x14ac:dyDescent="0.45">
      <c r="I230" t="s">
        <v>181</v>
      </c>
      <c r="J230" t="s">
        <v>273</v>
      </c>
      <c r="K230">
        <v>5.3095833343929973E-3</v>
      </c>
      <c r="L230" t="s">
        <v>166</v>
      </c>
      <c r="N230" t="s">
        <v>205</v>
      </c>
      <c r="O230" t="s">
        <v>273</v>
      </c>
      <c r="P230">
        <v>5.1155539835355378E-3</v>
      </c>
      <c r="Q230" t="s">
        <v>166</v>
      </c>
      <c r="S230" t="s">
        <v>222</v>
      </c>
      <c r="T230" t="s">
        <v>273</v>
      </c>
      <c r="U230">
        <v>4.4306252935944089E-3</v>
      </c>
      <c r="V230" t="s">
        <v>166</v>
      </c>
      <c r="AK230">
        <v>2049</v>
      </c>
      <c r="AL230" t="s">
        <v>162</v>
      </c>
      <c r="AM230">
        <v>0.48110000000000003</v>
      </c>
      <c r="AN230" t="s">
        <v>249</v>
      </c>
    </row>
    <row r="231" spans="9:40" x14ac:dyDescent="0.45">
      <c r="I231" t="s">
        <v>181</v>
      </c>
      <c r="J231" t="s">
        <v>274</v>
      </c>
      <c r="K231">
        <v>5.5390283245100817E-3</v>
      </c>
      <c r="L231" t="s">
        <v>166</v>
      </c>
      <c r="N231" t="s">
        <v>205</v>
      </c>
      <c r="O231" t="s">
        <v>274</v>
      </c>
      <c r="P231">
        <v>8.546217844726341E-3</v>
      </c>
      <c r="Q231" t="s">
        <v>166</v>
      </c>
      <c r="S231" t="s">
        <v>222</v>
      </c>
      <c r="T231" t="s">
        <v>274</v>
      </c>
      <c r="U231">
        <v>8.4094214721658796E-3</v>
      </c>
      <c r="V231" t="s">
        <v>166</v>
      </c>
      <c r="AK231">
        <v>2049</v>
      </c>
      <c r="AL231" t="s">
        <v>252</v>
      </c>
      <c r="AM231">
        <v>0.58340000000000003</v>
      </c>
      <c r="AN231" t="s">
        <v>249</v>
      </c>
    </row>
    <row r="232" spans="9:40" x14ac:dyDescent="0.45">
      <c r="I232" t="s">
        <v>181</v>
      </c>
      <c r="J232" t="s">
        <v>275</v>
      </c>
      <c r="K232">
        <v>0</v>
      </c>
      <c r="L232" t="s">
        <v>166</v>
      </c>
      <c r="N232" t="s">
        <v>205</v>
      </c>
      <c r="O232" t="s">
        <v>275</v>
      </c>
      <c r="P232">
        <v>1.8363033352535581E-2</v>
      </c>
      <c r="Q232" t="s">
        <v>166</v>
      </c>
      <c r="S232" t="s">
        <v>222</v>
      </c>
      <c r="T232" t="s">
        <v>275</v>
      </c>
      <c r="U232">
        <v>2.0721210481648367E-2</v>
      </c>
      <c r="V232" t="s">
        <v>166</v>
      </c>
      <c r="AK232">
        <v>2049</v>
      </c>
      <c r="AL232" t="s">
        <v>254</v>
      </c>
      <c r="AM232">
        <v>0.54354999999999998</v>
      </c>
      <c r="AN232" t="s">
        <v>249</v>
      </c>
    </row>
    <row r="233" spans="9:40" x14ac:dyDescent="0.45">
      <c r="I233" t="s">
        <v>181</v>
      </c>
      <c r="J233" t="s">
        <v>276</v>
      </c>
      <c r="K233">
        <v>5.0738056899622052E-3</v>
      </c>
      <c r="L233" t="s">
        <v>166</v>
      </c>
      <c r="N233" t="s">
        <v>205</v>
      </c>
      <c r="O233" t="s">
        <v>276</v>
      </c>
      <c r="P233">
        <v>4.1355927860402375E-2</v>
      </c>
      <c r="Q233" t="s">
        <v>166</v>
      </c>
      <c r="S233" t="s">
        <v>222</v>
      </c>
      <c r="T233" t="s">
        <v>276</v>
      </c>
      <c r="U233">
        <v>4.8176400293345238E-2</v>
      </c>
      <c r="V233" t="s">
        <v>166</v>
      </c>
      <c r="AK233">
        <v>2049</v>
      </c>
      <c r="AL233" t="s">
        <v>256</v>
      </c>
      <c r="AM233">
        <v>0.5171</v>
      </c>
      <c r="AN233" t="s">
        <v>249</v>
      </c>
    </row>
    <row r="234" spans="9:40" x14ac:dyDescent="0.45">
      <c r="I234" t="s">
        <v>181</v>
      </c>
      <c r="J234" t="s">
        <v>277</v>
      </c>
      <c r="K234">
        <v>9.8927956174423674E-3</v>
      </c>
      <c r="L234" t="s">
        <v>166</v>
      </c>
      <c r="N234" t="s">
        <v>205</v>
      </c>
      <c r="O234" t="s">
        <v>277</v>
      </c>
      <c r="P234">
        <v>4.9334435261548801E-3</v>
      </c>
      <c r="Q234" t="s">
        <v>166</v>
      </c>
      <c r="S234" t="s">
        <v>222</v>
      </c>
      <c r="T234" t="s">
        <v>277</v>
      </c>
      <c r="U234">
        <v>5.8043384645879784E-3</v>
      </c>
      <c r="V234" t="s">
        <v>166</v>
      </c>
      <c r="AK234">
        <v>2049</v>
      </c>
      <c r="AL234" t="s">
        <v>257</v>
      </c>
      <c r="AM234">
        <v>0.46949999999999997</v>
      </c>
      <c r="AN234" t="s">
        <v>249</v>
      </c>
    </row>
    <row r="235" spans="9:40" x14ac:dyDescent="0.45">
      <c r="I235" t="s">
        <v>181</v>
      </c>
      <c r="J235" t="s">
        <v>278</v>
      </c>
      <c r="K235">
        <v>0.10744841703359916</v>
      </c>
      <c r="L235" t="s">
        <v>166</v>
      </c>
      <c r="N235" t="s">
        <v>205</v>
      </c>
      <c r="O235" t="s">
        <v>278</v>
      </c>
      <c r="P235">
        <v>4.3378809940874632E-2</v>
      </c>
      <c r="Q235" t="s">
        <v>166</v>
      </c>
      <c r="S235" t="s">
        <v>222</v>
      </c>
      <c r="T235" t="s">
        <v>278</v>
      </c>
      <c r="U235">
        <v>4.3301693251404517E-2</v>
      </c>
      <c r="V235" t="s">
        <v>166</v>
      </c>
      <c r="AK235">
        <v>2050</v>
      </c>
      <c r="AL235" t="s">
        <v>154</v>
      </c>
      <c r="AM235">
        <v>0.29269999999999996</v>
      </c>
      <c r="AN235" t="s">
        <v>249</v>
      </c>
    </row>
    <row r="236" spans="9:40" x14ac:dyDescent="0.45">
      <c r="I236" t="s">
        <v>181</v>
      </c>
      <c r="J236" t="s">
        <v>279</v>
      </c>
      <c r="K236">
        <v>1.017018640253076E-2</v>
      </c>
      <c r="L236" t="s">
        <v>166</v>
      </c>
      <c r="N236" t="s">
        <v>205</v>
      </c>
      <c r="O236" t="s">
        <v>279</v>
      </c>
      <c r="P236">
        <v>6.6486617080353553E-3</v>
      </c>
      <c r="Q236" t="s">
        <v>166</v>
      </c>
      <c r="S236" t="s">
        <v>222</v>
      </c>
      <c r="T236" t="s">
        <v>279</v>
      </c>
      <c r="U236">
        <v>6.5431256316318904E-3</v>
      </c>
      <c r="V236" t="s">
        <v>166</v>
      </c>
      <c r="AK236">
        <v>2050</v>
      </c>
      <c r="AL236" t="s">
        <v>158</v>
      </c>
      <c r="AM236">
        <v>0.32590000000000002</v>
      </c>
      <c r="AN236" t="s">
        <v>249</v>
      </c>
    </row>
    <row r="237" spans="9:40" x14ac:dyDescent="0.45">
      <c r="I237" t="s">
        <v>181</v>
      </c>
      <c r="J237" t="s">
        <v>280</v>
      </c>
      <c r="K237">
        <v>7.525358643936904E-3</v>
      </c>
      <c r="L237" t="s">
        <v>166</v>
      </c>
      <c r="N237" t="s">
        <v>205</v>
      </c>
      <c r="O237" t="s">
        <v>280</v>
      </c>
      <c r="P237">
        <v>1.1815071397173601E-2</v>
      </c>
      <c r="Q237" t="s">
        <v>166</v>
      </c>
      <c r="S237" t="s">
        <v>222</v>
      </c>
      <c r="T237" t="s">
        <v>280</v>
      </c>
      <c r="U237">
        <v>1.3023671947123401E-2</v>
      </c>
      <c r="V237" t="s">
        <v>166</v>
      </c>
      <c r="AK237">
        <v>2050</v>
      </c>
      <c r="AL237" t="s">
        <v>160</v>
      </c>
      <c r="AM237">
        <v>0.39460000000000001</v>
      </c>
      <c r="AN237" t="s">
        <v>249</v>
      </c>
    </row>
    <row r="238" spans="9:40" x14ac:dyDescent="0.45">
      <c r="I238" t="s">
        <v>181</v>
      </c>
      <c r="J238" t="s">
        <v>281</v>
      </c>
      <c r="K238">
        <v>0</v>
      </c>
      <c r="L238" t="s">
        <v>166</v>
      </c>
      <c r="N238" t="s">
        <v>205</v>
      </c>
      <c r="O238" t="s">
        <v>281</v>
      </c>
      <c r="P238">
        <v>2.6349557121798289E-2</v>
      </c>
      <c r="Q238" t="s">
        <v>166</v>
      </c>
      <c r="S238" t="s">
        <v>222</v>
      </c>
      <c r="T238" t="s">
        <v>281</v>
      </c>
      <c r="U238">
        <v>3.1802526665142231E-2</v>
      </c>
      <c r="V238" t="s">
        <v>166</v>
      </c>
      <c r="AK238">
        <v>2050</v>
      </c>
      <c r="AL238" t="s">
        <v>162</v>
      </c>
      <c r="AM238">
        <v>0.4889</v>
      </c>
      <c r="AN238" t="s">
        <v>249</v>
      </c>
    </row>
    <row r="239" spans="9:40" x14ac:dyDescent="0.45">
      <c r="I239" t="s">
        <v>181</v>
      </c>
      <c r="J239" t="s">
        <v>282</v>
      </c>
      <c r="K239">
        <v>2.6072905217553325E-3</v>
      </c>
      <c r="L239" t="s">
        <v>166</v>
      </c>
      <c r="N239" t="s">
        <v>205</v>
      </c>
      <c r="O239" t="s">
        <v>282</v>
      </c>
      <c r="P239">
        <v>2.8744610973857224E-2</v>
      </c>
      <c r="Q239" t="s">
        <v>166</v>
      </c>
      <c r="S239" t="s">
        <v>222</v>
      </c>
      <c r="T239" t="s">
        <v>282</v>
      </c>
      <c r="U239">
        <v>3.1044982108371522E-2</v>
      </c>
      <c r="V239" t="s">
        <v>166</v>
      </c>
      <c r="AK239">
        <v>2050</v>
      </c>
      <c r="AL239" t="s">
        <v>252</v>
      </c>
      <c r="AM239">
        <v>0.53979999999999995</v>
      </c>
      <c r="AN239" t="s">
        <v>249</v>
      </c>
    </row>
    <row r="240" spans="9:40" x14ac:dyDescent="0.45">
      <c r="I240" t="s">
        <v>181</v>
      </c>
      <c r="J240" t="s">
        <v>283</v>
      </c>
      <c r="K240">
        <v>4.9023399905613035E-3</v>
      </c>
      <c r="L240" t="s">
        <v>166</v>
      </c>
      <c r="N240" t="s">
        <v>205</v>
      </c>
      <c r="O240" t="s">
        <v>283</v>
      </c>
      <c r="P240">
        <v>3.4313396811103958E-3</v>
      </c>
      <c r="Q240" t="s">
        <v>166</v>
      </c>
      <c r="S240" t="s">
        <v>222</v>
      </c>
      <c r="T240" t="s">
        <v>283</v>
      </c>
      <c r="U240">
        <v>3.976033882905637E-3</v>
      </c>
      <c r="V240" t="s">
        <v>166</v>
      </c>
      <c r="AK240">
        <v>2050</v>
      </c>
      <c r="AL240" t="s">
        <v>254</v>
      </c>
      <c r="AM240">
        <v>0.52180000000000004</v>
      </c>
      <c r="AN240" t="s">
        <v>249</v>
      </c>
    </row>
    <row r="241" spans="9:40" x14ac:dyDescent="0.45">
      <c r="I241" t="s">
        <v>181</v>
      </c>
      <c r="J241" t="s">
        <v>284</v>
      </c>
      <c r="K241">
        <v>5.6822114934663284E-2</v>
      </c>
      <c r="L241" t="s">
        <v>166</v>
      </c>
      <c r="N241" t="s">
        <v>205</v>
      </c>
      <c r="O241" t="s">
        <v>284</v>
      </c>
      <c r="P241">
        <v>2.6614898725226727E-2</v>
      </c>
      <c r="Q241" t="s">
        <v>166</v>
      </c>
      <c r="S241" t="s">
        <v>222</v>
      </c>
      <c r="T241" t="s">
        <v>284</v>
      </c>
      <c r="U241">
        <v>2.6925227793548234E-2</v>
      </c>
      <c r="V241" t="s">
        <v>166</v>
      </c>
      <c r="AK241">
        <v>2050</v>
      </c>
      <c r="AL241" t="s">
        <v>256</v>
      </c>
      <c r="AM241">
        <v>0.56289999999999996</v>
      </c>
      <c r="AN241" t="s">
        <v>249</v>
      </c>
    </row>
    <row r="242" spans="9:40" x14ac:dyDescent="0.45">
      <c r="I242" t="s">
        <v>181</v>
      </c>
      <c r="J242" t="s">
        <v>285</v>
      </c>
      <c r="K242">
        <v>5.7003428194793183E-3</v>
      </c>
      <c r="L242" t="s">
        <v>166</v>
      </c>
      <c r="N242" t="s">
        <v>205</v>
      </c>
      <c r="O242" t="s">
        <v>285</v>
      </c>
      <c r="P242">
        <v>4.0220496130176243E-3</v>
      </c>
      <c r="Q242" t="s">
        <v>166</v>
      </c>
      <c r="S242" t="s">
        <v>222</v>
      </c>
      <c r="T242" t="s">
        <v>285</v>
      </c>
      <c r="U242">
        <v>3.9135000697138808E-3</v>
      </c>
      <c r="V242" t="s">
        <v>166</v>
      </c>
      <c r="AK242">
        <v>2050</v>
      </c>
      <c r="AL242" t="s">
        <v>257</v>
      </c>
      <c r="AM242">
        <v>0.50970000000000004</v>
      </c>
      <c r="AN242" t="s">
        <v>249</v>
      </c>
    </row>
    <row r="243" spans="9:40" x14ac:dyDescent="0.45">
      <c r="I243" t="s">
        <v>181</v>
      </c>
      <c r="J243" t="s">
        <v>286</v>
      </c>
      <c r="K243">
        <v>3.5409013088103024E-3</v>
      </c>
      <c r="L243" t="s">
        <v>166</v>
      </c>
      <c r="N243" t="s">
        <v>205</v>
      </c>
      <c r="O243" t="s">
        <v>286</v>
      </c>
      <c r="P243">
        <v>7.7691528458936855E-3</v>
      </c>
      <c r="Q243" t="s">
        <v>166</v>
      </c>
      <c r="S243" t="s">
        <v>222</v>
      </c>
      <c r="T243" t="s">
        <v>286</v>
      </c>
      <c r="U243">
        <v>7.7425034785191917E-3</v>
      </c>
      <c r="V243" t="s">
        <v>166</v>
      </c>
    </row>
    <row r="244" spans="9:40" x14ac:dyDescent="0.45">
      <c r="I244" t="s">
        <v>181</v>
      </c>
      <c r="J244" t="s">
        <v>287</v>
      </c>
      <c r="K244">
        <v>0</v>
      </c>
      <c r="L244" t="s">
        <v>166</v>
      </c>
      <c r="N244" t="s">
        <v>205</v>
      </c>
      <c r="O244" t="s">
        <v>287</v>
      </c>
      <c r="P244">
        <v>2.0219393943781971E-2</v>
      </c>
      <c r="Q244" t="s">
        <v>166</v>
      </c>
      <c r="S244" t="s">
        <v>222</v>
      </c>
      <c r="T244" t="s">
        <v>287</v>
      </c>
      <c r="U244">
        <v>2.0321450681258391E-2</v>
      </c>
      <c r="V244" t="s">
        <v>166</v>
      </c>
    </row>
    <row r="245" spans="9:40" x14ac:dyDescent="0.45">
      <c r="I245" t="s">
        <v>181</v>
      </c>
      <c r="J245" t="s">
        <v>288</v>
      </c>
      <c r="K245">
        <v>2.2262711466790922E-3</v>
      </c>
      <c r="L245" t="s">
        <v>166</v>
      </c>
      <c r="N245" t="s">
        <v>205</v>
      </c>
      <c r="O245" t="s">
        <v>288</v>
      </c>
      <c r="P245">
        <v>2.9153441679409361E-2</v>
      </c>
      <c r="Q245" t="s">
        <v>166</v>
      </c>
      <c r="S245" t="s">
        <v>222</v>
      </c>
      <c r="T245" t="s">
        <v>288</v>
      </c>
      <c r="U245">
        <v>4.7939646942566375E-2</v>
      </c>
      <c r="V245" t="s">
        <v>166</v>
      </c>
    </row>
    <row r="246" spans="9:40" x14ac:dyDescent="0.45">
      <c r="I246" t="s">
        <v>181</v>
      </c>
      <c r="J246" t="s">
        <v>289</v>
      </c>
      <c r="K246">
        <v>4.7025186732771269E-3</v>
      </c>
      <c r="L246" t="s">
        <v>166</v>
      </c>
      <c r="N246" t="s">
        <v>205</v>
      </c>
      <c r="O246" t="s">
        <v>289</v>
      </c>
      <c r="P246">
        <v>3.601070516592174E-3</v>
      </c>
      <c r="Q246" t="s">
        <v>166</v>
      </c>
      <c r="S246" t="s">
        <v>222</v>
      </c>
      <c r="T246" t="s">
        <v>289</v>
      </c>
      <c r="U246">
        <v>5.9530916412529082E-3</v>
      </c>
      <c r="V246" t="s">
        <v>166</v>
      </c>
    </row>
    <row r="247" spans="9:40" x14ac:dyDescent="0.45">
      <c r="I247" t="s">
        <v>181</v>
      </c>
      <c r="J247" t="s">
        <v>290</v>
      </c>
      <c r="K247">
        <v>5.8729778757737834E-2</v>
      </c>
      <c r="L247" t="s">
        <v>166</v>
      </c>
      <c r="N247" t="s">
        <v>205</v>
      </c>
      <c r="O247" t="s">
        <v>290</v>
      </c>
      <c r="P247">
        <v>2.6894336433000675E-2</v>
      </c>
      <c r="Q247" t="s">
        <v>166</v>
      </c>
      <c r="S247" t="s">
        <v>222</v>
      </c>
      <c r="T247" t="s">
        <v>290</v>
      </c>
      <c r="U247">
        <v>4.1677299081561592E-2</v>
      </c>
      <c r="V247" t="s">
        <v>166</v>
      </c>
    </row>
    <row r="248" spans="9:40" x14ac:dyDescent="0.45">
      <c r="I248" t="s">
        <v>181</v>
      </c>
      <c r="J248" t="s">
        <v>291</v>
      </c>
      <c r="K248">
        <v>5.9958799323197986E-3</v>
      </c>
      <c r="L248" t="s">
        <v>166</v>
      </c>
      <c r="N248" t="s">
        <v>205</v>
      </c>
      <c r="O248" t="s">
        <v>291</v>
      </c>
      <c r="P248">
        <v>4.3691353706072104E-3</v>
      </c>
      <c r="Q248" t="s">
        <v>166</v>
      </c>
      <c r="S248" t="s">
        <v>222</v>
      </c>
      <c r="T248" t="s">
        <v>291</v>
      </c>
      <c r="U248">
        <v>6.0079080605866487E-3</v>
      </c>
      <c r="V248" t="s">
        <v>166</v>
      </c>
    </row>
    <row r="249" spans="9:40" x14ac:dyDescent="0.45">
      <c r="I249" t="s">
        <v>181</v>
      </c>
      <c r="J249" t="s">
        <v>292</v>
      </c>
      <c r="K249">
        <v>3.9901019247449293E-3</v>
      </c>
      <c r="L249" t="s">
        <v>166</v>
      </c>
      <c r="N249" t="s">
        <v>205</v>
      </c>
      <c r="O249" t="s">
        <v>292</v>
      </c>
      <c r="P249">
        <v>8.5993199339670784E-3</v>
      </c>
      <c r="Q249" t="s">
        <v>166</v>
      </c>
      <c r="S249" t="s">
        <v>222</v>
      </c>
      <c r="T249" t="s">
        <v>292</v>
      </c>
      <c r="U249">
        <v>1.1900608271071422E-2</v>
      </c>
      <c r="V249" t="s">
        <v>166</v>
      </c>
    </row>
    <row r="250" spans="9:40" x14ac:dyDescent="0.45">
      <c r="I250" t="s">
        <v>181</v>
      </c>
      <c r="J250" t="s">
        <v>293</v>
      </c>
      <c r="K250">
        <v>0</v>
      </c>
      <c r="L250" t="s">
        <v>166</v>
      </c>
      <c r="N250" t="s">
        <v>205</v>
      </c>
      <c r="O250" t="s">
        <v>293</v>
      </c>
      <c r="P250">
        <v>2.225165952874205E-2</v>
      </c>
      <c r="Q250" t="s">
        <v>166</v>
      </c>
      <c r="S250" t="s">
        <v>222</v>
      </c>
      <c r="T250" t="s">
        <v>293</v>
      </c>
      <c r="U250">
        <v>3.0423220986784644E-2</v>
      </c>
      <c r="V250" t="s">
        <v>166</v>
      </c>
    </row>
    <row r="251" spans="9:40" x14ac:dyDescent="0.45">
      <c r="I251" t="s">
        <v>182</v>
      </c>
      <c r="J251" t="s">
        <v>165</v>
      </c>
      <c r="K251">
        <v>1.4637602964834195E-2</v>
      </c>
      <c r="L251" t="s">
        <v>166</v>
      </c>
      <c r="N251" t="s">
        <v>206</v>
      </c>
      <c r="O251" t="s">
        <v>165</v>
      </c>
      <c r="P251">
        <v>6.9180797027709365E-2</v>
      </c>
      <c r="Q251" t="s">
        <v>166</v>
      </c>
      <c r="S251" t="s">
        <v>223</v>
      </c>
      <c r="T251" t="s">
        <v>165</v>
      </c>
      <c r="U251">
        <v>0.12980647881873056</v>
      </c>
      <c r="V251" t="s">
        <v>166</v>
      </c>
    </row>
    <row r="252" spans="9:40" x14ac:dyDescent="0.45">
      <c r="I252" t="s">
        <v>182</v>
      </c>
      <c r="J252" t="s">
        <v>167</v>
      </c>
      <c r="K252">
        <v>2.4726260331227594E-2</v>
      </c>
      <c r="L252" t="s">
        <v>166</v>
      </c>
      <c r="N252" t="s">
        <v>206</v>
      </c>
      <c r="O252" t="s">
        <v>167</v>
      </c>
      <c r="P252">
        <v>4.7369190965940626E-3</v>
      </c>
      <c r="Q252" t="s">
        <v>166</v>
      </c>
      <c r="S252" t="s">
        <v>223</v>
      </c>
      <c r="T252" t="s">
        <v>167</v>
      </c>
      <c r="U252">
        <v>1.6394276093355795E-2</v>
      </c>
      <c r="V252" t="s">
        <v>166</v>
      </c>
    </row>
    <row r="253" spans="9:40" x14ac:dyDescent="0.45">
      <c r="I253" t="s">
        <v>182</v>
      </c>
      <c r="J253" t="s">
        <v>168</v>
      </c>
      <c r="K253">
        <v>0.27427710572820596</v>
      </c>
      <c r="L253" t="s">
        <v>166</v>
      </c>
      <c r="N253" t="s">
        <v>206</v>
      </c>
      <c r="O253" t="s">
        <v>168</v>
      </c>
      <c r="P253">
        <v>3.4278099420836615E-2</v>
      </c>
      <c r="Q253" t="s">
        <v>166</v>
      </c>
      <c r="S253" t="s">
        <v>223</v>
      </c>
      <c r="T253" t="s">
        <v>168</v>
      </c>
      <c r="U253">
        <v>0.11088161555639359</v>
      </c>
      <c r="V253" t="s">
        <v>166</v>
      </c>
    </row>
    <row r="254" spans="9:40" x14ac:dyDescent="0.45">
      <c r="I254" t="s">
        <v>182</v>
      </c>
      <c r="J254" t="s">
        <v>258</v>
      </c>
      <c r="K254">
        <v>3.2539263135755475E-2</v>
      </c>
      <c r="L254" t="s">
        <v>166</v>
      </c>
      <c r="N254" t="s">
        <v>206</v>
      </c>
      <c r="O254" t="s">
        <v>258</v>
      </c>
      <c r="P254">
        <v>6.5404929009653789E-3</v>
      </c>
      <c r="Q254" t="s">
        <v>166</v>
      </c>
      <c r="S254" t="s">
        <v>223</v>
      </c>
      <c r="T254" t="s">
        <v>258</v>
      </c>
      <c r="U254">
        <v>1.5402963264546134E-2</v>
      </c>
      <c r="V254" t="s">
        <v>166</v>
      </c>
    </row>
    <row r="255" spans="9:40" x14ac:dyDescent="0.45">
      <c r="I255" t="s">
        <v>182</v>
      </c>
      <c r="J255" t="s">
        <v>259</v>
      </c>
      <c r="K255">
        <v>4.1483087019265806E-2</v>
      </c>
      <c r="L255" t="s">
        <v>166</v>
      </c>
      <c r="N255" t="s">
        <v>206</v>
      </c>
      <c r="O255" t="s">
        <v>259</v>
      </c>
      <c r="P255">
        <v>1.8438358163672473E-2</v>
      </c>
      <c r="Q255" t="s">
        <v>166</v>
      </c>
      <c r="S255" t="s">
        <v>223</v>
      </c>
      <c r="T255" t="s">
        <v>259</v>
      </c>
      <c r="U255">
        <v>2.9578434491002722E-2</v>
      </c>
      <c r="V255" t="s">
        <v>166</v>
      </c>
    </row>
    <row r="256" spans="9:40" x14ac:dyDescent="0.45">
      <c r="I256" t="s">
        <v>182</v>
      </c>
      <c r="J256" t="s">
        <v>260</v>
      </c>
      <c r="K256">
        <v>0</v>
      </c>
      <c r="L256" t="s">
        <v>166</v>
      </c>
      <c r="N256" t="s">
        <v>206</v>
      </c>
      <c r="O256" t="s">
        <v>260</v>
      </c>
      <c r="P256">
        <v>8.7813195394731841E-2</v>
      </c>
      <c r="Q256" t="s">
        <v>166</v>
      </c>
      <c r="S256" t="s">
        <v>223</v>
      </c>
      <c r="T256" t="s">
        <v>260</v>
      </c>
      <c r="U256">
        <v>8.3775013371939155E-2</v>
      </c>
      <c r="V256" t="s">
        <v>166</v>
      </c>
    </row>
    <row r="257" spans="9:22" x14ac:dyDescent="0.45">
      <c r="I257" t="s">
        <v>182</v>
      </c>
      <c r="J257" t="s">
        <v>169</v>
      </c>
      <c r="K257">
        <v>3.3345635947120106E-3</v>
      </c>
      <c r="L257" t="s">
        <v>166</v>
      </c>
      <c r="N257" t="s">
        <v>206</v>
      </c>
      <c r="O257" t="s">
        <v>169</v>
      </c>
      <c r="P257">
        <v>1.225874433207157E-2</v>
      </c>
      <c r="Q257" t="s">
        <v>166</v>
      </c>
      <c r="S257" t="s">
        <v>223</v>
      </c>
      <c r="T257" t="s">
        <v>169</v>
      </c>
      <c r="U257">
        <v>3.4093456215644607E-3</v>
      </c>
      <c r="V257" t="s">
        <v>166</v>
      </c>
    </row>
    <row r="258" spans="9:22" x14ac:dyDescent="0.45">
      <c r="I258" t="s">
        <v>182</v>
      </c>
      <c r="J258" t="s">
        <v>170</v>
      </c>
      <c r="K258">
        <v>5.658868336708354E-3</v>
      </c>
      <c r="L258" t="s">
        <v>166</v>
      </c>
      <c r="N258" t="s">
        <v>206</v>
      </c>
      <c r="O258" t="s">
        <v>170</v>
      </c>
      <c r="P258">
        <v>1.0560478238747205E-3</v>
      </c>
      <c r="Q258" t="s">
        <v>166</v>
      </c>
      <c r="S258" t="s">
        <v>223</v>
      </c>
      <c r="T258" t="s">
        <v>170</v>
      </c>
      <c r="U258">
        <v>4.4805346119402591E-4</v>
      </c>
      <c r="V258" t="s">
        <v>166</v>
      </c>
    </row>
    <row r="259" spans="9:22" x14ac:dyDescent="0.45">
      <c r="I259" t="s">
        <v>182</v>
      </c>
      <c r="J259" t="s">
        <v>171</v>
      </c>
      <c r="K259">
        <v>6.1112366691894335E-2</v>
      </c>
      <c r="L259" t="s">
        <v>166</v>
      </c>
      <c r="N259" t="s">
        <v>206</v>
      </c>
      <c r="O259" t="s">
        <v>171</v>
      </c>
      <c r="P259">
        <v>1.4971103479779322E-2</v>
      </c>
      <c r="Q259" t="s">
        <v>166</v>
      </c>
      <c r="S259" t="s">
        <v>223</v>
      </c>
      <c r="T259" t="s">
        <v>171</v>
      </c>
      <c r="U259">
        <v>3.0526152302251981E-3</v>
      </c>
      <c r="V259" t="s">
        <v>166</v>
      </c>
    </row>
    <row r="260" spans="9:22" x14ac:dyDescent="0.45">
      <c r="I260" t="s">
        <v>182</v>
      </c>
      <c r="J260" t="s">
        <v>261</v>
      </c>
      <c r="K260">
        <v>5.3152474091043896E-3</v>
      </c>
      <c r="L260" t="s">
        <v>166</v>
      </c>
      <c r="N260" t="s">
        <v>206</v>
      </c>
      <c r="O260" t="s">
        <v>261</v>
      </c>
      <c r="P260">
        <v>3.0702610017832696E-3</v>
      </c>
      <c r="Q260" t="s">
        <v>166</v>
      </c>
      <c r="S260" t="s">
        <v>223</v>
      </c>
      <c r="T260" t="s">
        <v>261</v>
      </c>
      <c r="U260">
        <v>4.6475578313198094E-4</v>
      </c>
      <c r="V260" t="s">
        <v>166</v>
      </c>
    </row>
    <row r="261" spans="9:22" x14ac:dyDescent="0.45">
      <c r="I261" t="s">
        <v>182</v>
      </c>
      <c r="J261" t="s">
        <v>262</v>
      </c>
      <c r="K261">
        <v>5.5404917236099244E-3</v>
      </c>
      <c r="L261" t="s">
        <v>166</v>
      </c>
      <c r="N261" t="s">
        <v>206</v>
      </c>
      <c r="O261" t="s">
        <v>262</v>
      </c>
      <c r="P261">
        <v>4.3203386154468263E-3</v>
      </c>
      <c r="Q261" t="s">
        <v>166</v>
      </c>
      <c r="S261" t="s">
        <v>223</v>
      </c>
      <c r="T261" t="s">
        <v>262</v>
      </c>
      <c r="U261">
        <v>6.4448365027778762E-4</v>
      </c>
      <c r="V261" t="s">
        <v>166</v>
      </c>
    </row>
    <row r="262" spans="9:22" x14ac:dyDescent="0.45">
      <c r="I262" t="s">
        <v>182</v>
      </c>
      <c r="J262" t="s">
        <v>263</v>
      </c>
      <c r="K262">
        <v>0</v>
      </c>
      <c r="L262" t="s">
        <v>166</v>
      </c>
      <c r="N262" t="s">
        <v>206</v>
      </c>
      <c r="O262" t="s">
        <v>263</v>
      </c>
      <c r="P262">
        <v>1.2119232587478426E-2</v>
      </c>
      <c r="Q262" t="s">
        <v>166</v>
      </c>
      <c r="S262" t="s">
        <v>223</v>
      </c>
      <c r="T262" t="s">
        <v>263</v>
      </c>
      <c r="U262">
        <v>1.8773578057876853E-3</v>
      </c>
      <c r="V262" t="s">
        <v>166</v>
      </c>
    </row>
    <row r="263" spans="9:22" x14ac:dyDescent="0.45">
      <c r="I263" t="s">
        <v>182</v>
      </c>
      <c r="J263" t="s">
        <v>172</v>
      </c>
      <c r="K263">
        <v>2.5597635074110022E-3</v>
      </c>
      <c r="L263" t="s">
        <v>166</v>
      </c>
      <c r="N263" t="s">
        <v>206</v>
      </c>
      <c r="O263" t="s">
        <v>172</v>
      </c>
      <c r="P263">
        <v>3.3681759721488229E-2</v>
      </c>
      <c r="Q263" t="s">
        <v>166</v>
      </c>
      <c r="S263" t="s">
        <v>223</v>
      </c>
      <c r="T263" t="s">
        <v>172</v>
      </c>
      <c r="U263">
        <v>1.8999528493212358E-2</v>
      </c>
      <c r="V263" t="s">
        <v>166</v>
      </c>
    </row>
    <row r="264" spans="9:22" x14ac:dyDescent="0.45">
      <c r="I264" t="s">
        <v>182</v>
      </c>
      <c r="J264" t="s">
        <v>173</v>
      </c>
      <c r="K264">
        <v>4.2982584089002324E-3</v>
      </c>
      <c r="L264" t="s">
        <v>166</v>
      </c>
      <c r="N264" t="s">
        <v>206</v>
      </c>
      <c r="O264" t="s">
        <v>173</v>
      </c>
      <c r="P264">
        <v>3.4436998548562996E-3</v>
      </c>
      <c r="Q264" t="s">
        <v>166</v>
      </c>
      <c r="S264" t="s">
        <v>223</v>
      </c>
      <c r="T264" t="s">
        <v>173</v>
      </c>
      <c r="U264">
        <v>2.4408711133112751E-3</v>
      </c>
      <c r="V264" t="s">
        <v>166</v>
      </c>
    </row>
    <row r="265" spans="9:22" x14ac:dyDescent="0.45">
      <c r="I265" t="s">
        <v>182</v>
      </c>
      <c r="J265" t="s">
        <v>174</v>
      </c>
      <c r="K265">
        <v>5.0064801480177522E-2</v>
      </c>
      <c r="L265" t="s">
        <v>166</v>
      </c>
      <c r="N265" t="s">
        <v>206</v>
      </c>
      <c r="O265" t="s">
        <v>174</v>
      </c>
      <c r="P265">
        <v>3.7681752020576345E-2</v>
      </c>
      <c r="Q265" t="s">
        <v>166</v>
      </c>
      <c r="S265" t="s">
        <v>223</v>
      </c>
      <c r="T265" t="s">
        <v>174</v>
      </c>
      <c r="U265">
        <v>1.5697010104673451E-2</v>
      </c>
      <c r="V265" t="s">
        <v>166</v>
      </c>
    </row>
    <row r="266" spans="9:22" x14ac:dyDescent="0.45">
      <c r="I266" t="s">
        <v>182</v>
      </c>
      <c r="J266" t="s">
        <v>264</v>
      </c>
      <c r="K266">
        <v>4.3719694103198778E-3</v>
      </c>
      <c r="L266" t="s">
        <v>166</v>
      </c>
      <c r="N266" t="s">
        <v>206</v>
      </c>
      <c r="O266" t="s">
        <v>264</v>
      </c>
      <c r="P266">
        <v>4.8581132228073072E-3</v>
      </c>
      <c r="Q266" t="s">
        <v>166</v>
      </c>
      <c r="S266" t="s">
        <v>223</v>
      </c>
      <c r="T266" t="s">
        <v>264</v>
      </c>
      <c r="U266">
        <v>1.9752886075702488E-3</v>
      </c>
      <c r="V266" t="s">
        <v>166</v>
      </c>
    </row>
    <row r="267" spans="9:22" x14ac:dyDescent="0.45">
      <c r="I267" t="s">
        <v>182</v>
      </c>
      <c r="J267" t="s">
        <v>265</v>
      </c>
      <c r="K267">
        <v>4.648664879540786E-3</v>
      </c>
      <c r="L267" t="s">
        <v>166</v>
      </c>
      <c r="N267" t="s">
        <v>206</v>
      </c>
      <c r="O267" t="s">
        <v>265</v>
      </c>
      <c r="P267">
        <v>7.3321490525187112E-3</v>
      </c>
      <c r="Q267" t="s">
        <v>166</v>
      </c>
      <c r="S267" t="s">
        <v>223</v>
      </c>
      <c r="T267" t="s">
        <v>265</v>
      </c>
      <c r="U267">
        <v>3.7533465517586594E-3</v>
      </c>
      <c r="V267" t="s">
        <v>166</v>
      </c>
    </row>
    <row r="268" spans="9:22" x14ac:dyDescent="0.45">
      <c r="I268" t="s">
        <v>182</v>
      </c>
      <c r="J268" t="s">
        <v>266</v>
      </c>
      <c r="K268">
        <v>0</v>
      </c>
      <c r="L268" t="s">
        <v>166</v>
      </c>
      <c r="N268" t="s">
        <v>206</v>
      </c>
      <c r="O268" t="s">
        <v>266</v>
      </c>
      <c r="P268">
        <v>2.2156697525980689E-2</v>
      </c>
      <c r="Q268" t="s">
        <v>166</v>
      </c>
      <c r="S268" t="s">
        <v>223</v>
      </c>
      <c r="T268" t="s">
        <v>266</v>
      </c>
      <c r="U268">
        <v>9.3961082826920783E-3</v>
      </c>
      <c r="V268" t="s">
        <v>166</v>
      </c>
    </row>
    <row r="269" spans="9:22" x14ac:dyDescent="0.45">
      <c r="I269" t="s">
        <v>182</v>
      </c>
      <c r="J269" t="s">
        <v>175</v>
      </c>
      <c r="K269">
        <v>2.6027641980749545E-3</v>
      </c>
      <c r="L269" t="s">
        <v>166</v>
      </c>
      <c r="N269" t="s">
        <v>206</v>
      </c>
      <c r="O269" t="s">
        <v>175</v>
      </c>
      <c r="P269">
        <v>4.0311752674595816E-2</v>
      </c>
      <c r="Q269" t="s">
        <v>166</v>
      </c>
      <c r="S269" t="s">
        <v>223</v>
      </c>
      <c r="T269" t="s">
        <v>175</v>
      </c>
      <c r="U269">
        <v>2.5217922791758798E-2</v>
      </c>
      <c r="V269" t="s">
        <v>166</v>
      </c>
    </row>
    <row r="270" spans="9:22" x14ac:dyDescent="0.45">
      <c r="I270" t="s">
        <v>182</v>
      </c>
      <c r="J270" t="s">
        <v>176</v>
      </c>
      <c r="K270">
        <v>4.5108469124351003E-3</v>
      </c>
      <c r="L270" t="s">
        <v>166</v>
      </c>
      <c r="N270" t="s">
        <v>206</v>
      </c>
      <c r="O270" t="s">
        <v>176</v>
      </c>
      <c r="P270">
        <v>4.1653165526478143E-3</v>
      </c>
      <c r="Q270" t="s">
        <v>166</v>
      </c>
      <c r="S270" t="s">
        <v>223</v>
      </c>
      <c r="T270" t="s">
        <v>176</v>
      </c>
      <c r="U270">
        <v>2.8551700205984324E-3</v>
      </c>
      <c r="V270" t="s">
        <v>166</v>
      </c>
    </row>
    <row r="271" spans="9:22" x14ac:dyDescent="0.45">
      <c r="I271" t="s">
        <v>182</v>
      </c>
      <c r="J271" t="s">
        <v>177</v>
      </c>
      <c r="K271">
        <v>5.2390763501670164E-2</v>
      </c>
      <c r="L271" t="s">
        <v>166</v>
      </c>
      <c r="N271" t="s">
        <v>206</v>
      </c>
      <c r="O271" t="s">
        <v>177</v>
      </c>
      <c r="P271">
        <v>4.0308260294454973E-2</v>
      </c>
      <c r="Q271" t="s">
        <v>166</v>
      </c>
      <c r="S271" t="s">
        <v>223</v>
      </c>
      <c r="T271" t="s">
        <v>177</v>
      </c>
      <c r="U271">
        <v>2.1546484732057145E-2</v>
      </c>
      <c r="V271" t="s">
        <v>166</v>
      </c>
    </row>
    <row r="272" spans="9:22" x14ac:dyDescent="0.45">
      <c r="I272" t="s">
        <v>182</v>
      </c>
      <c r="J272" t="s">
        <v>267</v>
      </c>
      <c r="K272">
        <v>4.3713162331836496E-3</v>
      </c>
      <c r="L272" t="s">
        <v>166</v>
      </c>
      <c r="N272" t="s">
        <v>206</v>
      </c>
      <c r="O272" t="s">
        <v>267</v>
      </c>
      <c r="P272">
        <v>7.6198336581944576E-3</v>
      </c>
      <c r="Q272" t="s">
        <v>166</v>
      </c>
      <c r="S272" t="s">
        <v>223</v>
      </c>
      <c r="T272" t="s">
        <v>267</v>
      </c>
      <c r="U272">
        <v>3.4744364390308824E-3</v>
      </c>
      <c r="V272" t="s">
        <v>166</v>
      </c>
    </row>
    <row r="273" spans="9:22" x14ac:dyDescent="0.45">
      <c r="I273" t="s">
        <v>182</v>
      </c>
      <c r="J273" t="s">
        <v>268</v>
      </c>
      <c r="K273">
        <v>4.7237038122817897E-3</v>
      </c>
      <c r="L273" t="s">
        <v>166</v>
      </c>
      <c r="N273" t="s">
        <v>206</v>
      </c>
      <c r="O273" t="s">
        <v>268</v>
      </c>
      <c r="P273">
        <v>1.4019983117613441E-2</v>
      </c>
      <c r="Q273" t="s">
        <v>166</v>
      </c>
      <c r="S273" t="s">
        <v>223</v>
      </c>
      <c r="T273" t="s">
        <v>268</v>
      </c>
      <c r="U273">
        <v>6.7979180389356585E-3</v>
      </c>
      <c r="V273" t="s">
        <v>166</v>
      </c>
    </row>
    <row r="274" spans="9:22" x14ac:dyDescent="0.45">
      <c r="I274" t="s">
        <v>182</v>
      </c>
      <c r="J274" t="s">
        <v>269</v>
      </c>
      <c r="K274">
        <v>0</v>
      </c>
      <c r="L274" t="s">
        <v>166</v>
      </c>
      <c r="N274" t="s">
        <v>206</v>
      </c>
      <c r="O274" t="s">
        <v>269</v>
      </c>
      <c r="P274">
        <v>2.941502813987603E-2</v>
      </c>
      <c r="Q274" t="s">
        <v>166</v>
      </c>
      <c r="S274" t="s">
        <v>223</v>
      </c>
      <c r="T274" t="s">
        <v>269</v>
      </c>
      <c r="U274">
        <v>1.5481154781660766E-2</v>
      </c>
      <c r="V274" t="s">
        <v>166</v>
      </c>
    </row>
    <row r="275" spans="9:22" x14ac:dyDescent="0.45">
      <c r="I275" t="s">
        <v>182</v>
      </c>
      <c r="J275" t="s">
        <v>270</v>
      </c>
      <c r="K275">
        <v>3.1194012874452975E-3</v>
      </c>
      <c r="L275" t="s">
        <v>166</v>
      </c>
      <c r="N275" t="s">
        <v>206</v>
      </c>
      <c r="O275" t="s">
        <v>270</v>
      </c>
      <c r="P275">
        <v>5.4286029969198214E-2</v>
      </c>
      <c r="Q275" t="s">
        <v>166</v>
      </c>
      <c r="S275" t="s">
        <v>223</v>
      </c>
      <c r="T275" t="s">
        <v>270</v>
      </c>
      <c r="U275">
        <v>3.2724412513283146E-2</v>
      </c>
      <c r="V275" t="s">
        <v>166</v>
      </c>
    </row>
    <row r="276" spans="9:22" x14ac:dyDescent="0.45">
      <c r="I276" t="s">
        <v>182</v>
      </c>
      <c r="J276" t="s">
        <v>271</v>
      </c>
      <c r="K276">
        <v>5.3284575606480878E-3</v>
      </c>
      <c r="L276" t="s">
        <v>166</v>
      </c>
      <c r="N276" t="s">
        <v>206</v>
      </c>
      <c r="O276" t="s">
        <v>271</v>
      </c>
      <c r="P276">
        <v>5.9626796152396997E-3</v>
      </c>
      <c r="Q276" t="s">
        <v>166</v>
      </c>
      <c r="S276" t="s">
        <v>223</v>
      </c>
      <c r="T276" t="s">
        <v>271</v>
      </c>
      <c r="U276">
        <v>3.946606943955668E-3</v>
      </c>
      <c r="V276" t="s">
        <v>166</v>
      </c>
    </row>
    <row r="277" spans="9:22" x14ac:dyDescent="0.45">
      <c r="I277" t="s">
        <v>182</v>
      </c>
      <c r="J277" t="s">
        <v>272</v>
      </c>
      <c r="K277">
        <v>5.9135778604540855E-2</v>
      </c>
      <c r="L277" t="s">
        <v>166</v>
      </c>
      <c r="N277" t="s">
        <v>206</v>
      </c>
      <c r="O277" t="s">
        <v>272</v>
      </c>
      <c r="P277">
        <v>5.7500509902996794E-2</v>
      </c>
      <c r="Q277" t="s">
        <v>166</v>
      </c>
      <c r="S277" t="s">
        <v>223</v>
      </c>
      <c r="T277" t="s">
        <v>272</v>
      </c>
      <c r="U277">
        <v>2.9048002757356743E-2</v>
      </c>
      <c r="V277" t="s">
        <v>166</v>
      </c>
    </row>
    <row r="278" spans="9:22" x14ac:dyDescent="0.45">
      <c r="I278" t="s">
        <v>182</v>
      </c>
      <c r="J278" t="s">
        <v>273</v>
      </c>
      <c r="K278">
        <v>5.9171707662312523E-3</v>
      </c>
      <c r="L278" t="s">
        <v>166</v>
      </c>
      <c r="N278" t="s">
        <v>206</v>
      </c>
      <c r="O278" t="s">
        <v>273</v>
      </c>
      <c r="P278">
        <v>8.8377151091856877E-3</v>
      </c>
      <c r="Q278" t="s">
        <v>166</v>
      </c>
      <c r="S278" t="s">
        <v>223</v>
      </c>
      <c r="T278" t="s">
        <v>273</v>
      </c>
      <c r="U278">
        <v>4.1814898773747588E-3</v>
      </c>
      <c r="V278" t="s">
        <v>166</v>
      </c>
    </row>
    <row r="279" spans="9:22" x14ac:dyDescent="0.45">
      <c r="I279" t="s">
        <v>182</v>
      </c>
      <c r="J279" t="s">
        <v>274</v>
      </c>
      <c r="K279">
        <v>7.0377294216734266E-3</v>
      </c>
      <c r="L279" t="s">
        <v>166</v>
      </c>
      <c r="N279" t="s">
        <v>206</v>
      </c>
      <c r="O279" t="s">
        <v>274</v>
      </c>
      <c r="P279">
        <v>1.311408447474699E-2</v>
      </c>
      <c r="Q279" t="s">
        <v>166</v>
      </c>
      <c r="S279" t="s">
        <v>223</v>
      </c>
      <c r="T279" t="s">
        <v>274</v>
      </c>
      <c r="U279">
        <v>7.8445916858556047E-3</v>
      </c>
      <c r="V279" t="s">
        <v>166</v>
      </c>
    </row>
    <row r="280" spans="9:22" x14ac:dyDescent="0.45">
      <c r="I280" t="s">
        <v>182</v>
      </c>
      <c r="J280" t="s">
        <v>275</v>
      </c>
      <c r="K280">
        <v>0</v>
      </c>
      <c r="L280" t="s">
        <v>166</v>
      </c>
      <c r="N280" t="s">
        <v>206</v>
      </c>
      <c r="O280" t="s">
        <v>275</v>
      </c>
      <c r="P280">
        <v>3.4325737751098859E-2</v>
      </c>
      <c r="Q280" t="s">
        <v>166</v>
      </c>
      <c r="S280" t="s">
        <v>223</v>
      </c>
      <c r="T280" t="s">
        <v>275</v>
      </c>
      <c r="U280">
        <v>1.8215511323286832E-2</v>
      </c>
      <c r="V280" t="s">
        <v>166</v>
      </c>
    </row>
    <row r="281" spans="9:22" x14ac:dyDescent="0.45">
      <c r="I281" t="s">
        <v>182</v>
      </c>
      <c r="J281" t="s">
        <v>276</v>
      </c>
      <c r="K281">
        <v>5.977064825235222E-3</v>
      </c>
      <c r="L281" t="s">
        <v>166</v>
      </c>
      <c r="N281" t="s">
        <v>206</v>
      </c>
      <c r="O281" t="s">
        <v>276</v>
      </c>
      <c r="P281">
        <v>4.7861591057637778E-2</v>
      </c>
      <c r="Q281" t="s">
        <v>166</v>
      </c>
      <c r="S281" t="s">
        <v>223</v>
      </c>
      <c r="T281" t="s">
        <v>276</v>
      </c>
      <c r="U281">
        <v>4.6327694677800645E-2</v>
      </c>
      <c r="V281" t="s">
        <v>166</v>
      </c>
    </row>
    <row r="282" spans="9:22" x14ac:dyDescent="0.45">
      <c r="I282" t="s">
        <v>182</v>
      </c>
      <c r="J282" t="s">
        <v>277</v>
      </c>
      <c r="K282">
        <v>1.1196608305267848E-2</v>
      </c>
      <c r="L282" t="s">
        <v>166</v>
      </c>
      <c r="N282" t="s">
        <v>206</v>
      </c>
      <c r="O282" t="s">
        <v>277</v>
      </c>
      <c r="P282">
        <v>4.4144803619863057E-3</v>
      </c>
      <c r="Q282" t="s">
        <v>166</v>
      </c>
      <c r="S282" t="s">
        <v>223</v>
      </c>
      <c r="T282" t="s">
        <v>277</v>
      </c>
      <c r="U282">
        <v>5.9035275199561489E-3</v>
      </c>
      <c r="V282" t="s">
        <v>166</v>
      </c>
    </row>
    <row r="283" spans="9:22" x14ac:dyDescent="0.45">
      <c r="I283" t="s">
        <v>182</v>
      </c>
      <c r="J283" t="s">
        <v>278</v>
      </c>
      <c r="K283">
        <v>0.1197908082107814</v>
      </c>
      <c r="L283" t="s">
        <v>166</v>
      </c>
      <c r="N283" t="s">
        <v>206</v>
      </c>
      <c r="O283" t="s">
        <v>278</v>
      </c>
      <c r="P283">
        <v>5.2991392861627615E-2</v>
      </c>
      <c r="Q283" t="s">
        <v>166</v>
      </c>
      <c r="S283" t="s">
        <v>223</v>
      </c>
      <c r="T283" t="s">
        <v>278</v>
      </c>
      <c r="U283">
        <v>4.4878278066268033E-2</v>
      </c>
      <c r="V283" t="s">
        <v>166</v>
      </c>
    </row>
    <row r="284" spans="9:22" x14ac:dyDescent="0.45">
      <c r="I284" t="s">
        <v>182</v>
      </c>
      <c r="J284" t="s">
        <v>279</v>
      </c>
      <c r="K284">
        <v>1.0991338377137784E-2</v>
      </c>
      <c r="L284" t="s">
        <v>166</v>
      </c>
      <c r="N284" t="s">
        <v>206</v>
      </c>
      <c r="O284" t="s">
        <v>279</v>
      </c>
      <c r="P284">
        <v>8.4638914586721153E-3</v>
      </c>
      <c r="Q284" t="s">
        <v>166</v>
      </c>
      <c r="S284" t="s">
        <v>223</v>
      </c>
      <c r="T284" t="s">
        <v>279</v>
      </c>
      <c r="U284">
        <v>6.5445405402044165E-3</v>
      </c>
      <c r="V284" t="s">
        <v>166</v>
      </c>
    </row>
    <row r="285" spans="9:22" x14ac:dyDescent="0.45">
      <c r="I285" t="s">
        <v>182</v>
      </c>
      <c r="J285" t="s">
        <v>280</v>
      </c>
      <c r="K285">
        <v>1.0445002396207942E-2</v>
      </c>
      <c r="L285" t="s">
        <v>166</v>
      </c>
      <c r="N285" t="s">
        <v>206</v>
      </c>
      <c r="O285" t="s">
        <v>280</v>
      </c>
      <c r="P285">
        <v>1.2549027659844893E-2</v>
      </c>
      <c r="Q285" t="s">
        <v>166</v>
      </c>
      <c r="S285" t="s">
        <v>223</v>
      </c>
      <c r="T285" t="s">
        <v>280</v>
      </c>
      <c r="U285">
        <v>1.2783912888474604E-2</v>
      </c>
      <c r="V285" t="s">
        <v>166</v>
      </c>
    </row>
    <row r="286" spans="9:22" x14ac:dyDescent="0.45">
      <c r="I286" t="s">
        <v>182</v>
      </c>
      <c r="J286" t="s">
        <v>281</v>
      </c>
      <c r="K286">
        <v>0</v>
      </c>
      <c r="L286" t="s">
        <v>166</v>
      </c>
      <c r="N286" t="s">
        <v>206</v>
      </c>
      <c r="O286" t="s">
        <v>281</v>
      </c>
      <c r="P286">
        <v>3.0642305359372148E-2</v>
      </c>
      <c r="Q286" t="s">
        <v>166</v>
      </c>
      <c r="S286" t="s">
        <v>223</v>
      </c>
      <c r="T286" t="s">
        <v>281</v>
      </c>
      <c r="U286">
        <v>2.9218701449945015E-2</v>
      </c>
      <c r="V286" t="s">
        <v>166</v>
      </c>
    </row>
    <row r="287" spans="9:22" x14ac:dyDescent="0.45">
      <c r="I287" t="s">
        <v>182</v>
      </c>
      <c r="J287" t="s">
        <v>282</v>
      </c>
      <c r="K287">
        <v>3.3670970683397539E-3</v>
      </c>
      <c r="L287" t="s">
        <v>166</v>
      </c>
      <c r="N287" t="s">
        <v>206</v>
      </c>
      <c r="O287" t="s">
        <v>282</v>
      </c>
      <c r="P287">
        <v>1.7412620263869933E-2</v>
      </c>
      <c r="Q287" t="s">
        <v>166</v>
      </c>
      <c r="S287" t="s">
        <v>223</v>
      </c>
      <c r="T287" t="s">
        <v>282</v>
      </c>
      <c r="U287">
        <v>2.3551916885513165E-2</v>
      </c>
      <c r="V287" t="s">
        <v>166</v>
      </c>
    </row>
    <row r="288" spans="9:22" x14ac:dyDescent="0.45">
      <c r="I288" t="s">
        <v>182</v>
      </c>
      <c r="J288" t="s">
        <v>283</v>
      </c>
      <c r="K288">
        <v>6.0097979066266963E-3</v>
      </c>
      <c r="L288" t="s">
        <v>166</v>
      </c>
      <c r="N288" t="s">
        <v>206</v>
      </c>
      <c r="O288" t="s">
        <v>283</v>
      </c>
      <c r="P288">
        <v>1.8707674647891481E-3</v>
      </c>
      <c r="Q288" t="s">
        <v>166</v>
      </c>
      <c r="S288" t="s">
        <v>223</v>
      </c>
      <c r="T288" t="s">
        <v>283</v>
      </c>
      <c r="U288">
        <v>3.2193657759623621E-3</v>
      </c>
      <c r="V288" t="s">
        <v>166</v>
      </c>
    </row>
    <row r="289" spans="9:22" x14ac:dyDescent="0.45">
      <c r="I289" t="s">
        <v>182</v>
      </c>
      <c r="J289" t="s">
        <v>284</v>
      </c>
      <c r="K289">
        <v>5.8900227192093702E-2</v>
      </c>
      <c r="L289" t="s">
        <v>166</v>
      </c>
      <c r="N289" t="s">
        <v>206</v>
      </c>
      <c r="O289" t="s">
        <v>284</v>
      </c>
      <c r="P289">
        <v>1.4724013481268772E-2</v>
      </c>
      <c r="Q289" t="s">
        <v>166</v>
      </c>
      <c r="S289" t="s">
        <v>223</v>
      </c>
      <c r="T289" t="s">
        <v>284</v>
      </c>
      <c r="U289">
        <v>2.021986217839809E-2</v>
      </c>
      <c r="V289" t="s">
        <v>166</v>
      </c>
    </row>
    <row r="290" spans="9:22" x14ac:dyDescent="0.45">
      <c r="I290" t="s">
        <v>182</v>
      </c>
      <c r="J290" t="s">
        <v>285</v>
      </c>
      <c r="K290">
        <v>6.020298766390127E-3</v>
      </c>
      <c r="L290" t="s">
        <v>166</v>
      </c>
      <c r="N290" t="s">
        <v>206</v>
      </c>
      <c r="O290" t="s">
        <v>285</v>
      </c>
      <c r="P290">
        <v>1.3727749161348472E-3</v>
      </c>
      <c r="Q290" t="s">
        <v>166</v>
      </c>
      <c r="S290" t="s">
        <v>223</v>
      </c>
      <c r="T290" t="s">
        <v>285</v>
      </c>
      <c r="U290">
        <v>2.8362295595792983E-3</v>
      </c>
      <c r="V290" t="s">
        <v>166</v>
      </c>
    </row>
    <row r="291" spans="9:22" x14ac:dyDescent="0.45">
      <c r="I291" t="s">
        <v>182</v>
      </c>
      <c r="J291" t="s">
        <v>286</v>
      </c>
      <c r="K291">
        <v>4.1186527142928727E-3</v>
      </c>
      <c r="L291" t="s">
        <v>166</v>
      </c>
      <c r="N291" t="s">
        <v>206</v>
      </c>
      <c r="O291" t="s">
        <v>286</v>
      </c>
      <c r="P291">
        <v>2.7767210291800137E-3</v>
      </c>
      <c r="Q291" t="s">
        <v>166</v>
      </c>
      <c r="S291" t="s">
        <v>223</v>
      </c>
      <c r="T291" t="s">
        <v>286</v>
      </c>
      <c r="U291">
        <v>5.1840637571354117E-3</v>
      </c>
      <c r="V291" t="s">
        <v>166</v>
      </c>
    </row>
    <row r="292" spans="9:22" x14ac:dyDescent="0.45">
      <c r="I292" t="s">
        <v>182</v>
      </c>
      <c r="J292" t="s">
        <v>287</v>
      </c>
      <c r="K292">
        <v>0</v>
      </c>
      <c r="L292" t="s">
        <v>166</v>
      </c>
      <c r="N292" t="s">
        <v>206</v>
      </c>
      <c r="O292" t="s">
        <v>287</v>
      </c>
      <c r="P292">
        <v>8.311153657082045E-3</v>
      </c>
      <c r="Q292" t="s">
        <v>166</v>
      </c>
      <c r="S292" t="s">
        <v>223</v>
      </c>
      <c r="T292" t="s">
        <v>287</v>
      </c>
      <c r="U292">
        <v>1.4959241518137443E-2</v>
      </c>
      <c r="V292" t="s">
        <v>166</v>
      </c>
    </row>
    <row r="293" spans="9:22" x14ac:dyDescent="0.45">
      <c r="I293" t="s">
        <v>182</v>
      </c>
      <c r="J293" t="s">
        <v>288</v>
      </c>
      <c r="K293">
        <v>2.8401210336990836E-3</v>
      </c>
      <c r="L293" t="s">
        <v>166</v>
      </c>
      <c r="N293" t="s">
        <v>206</v>
      </c>
      <c r="O293" t="s">
        <v>288</v>
      </c>
      <c r="P293">
        <v>4.8805200183722183E-2</v>
      </c>
      <c r="Q293" t="s">
        <v>166</v>
      </c>
      <c r="S293" t="s">
        <v>223</v>
      </c>
      <c r="T293" t="s">
        <v>288</v>
      </c>
      <c r="U293">
        <v>5.512031299221621E-2</v>
      </c>
      <c r="V293" t="s">
        <v>166</v>
      </c>
    </row>
    <row r="294" spans="9:22" x14ac:dyDescent="0.45">
      <c r="I294" t="s">
        <v>182</v>
      </c>
      <c r="J294" t="s">
        <v>289</v>
      </c>
      <c r="K294">
        <v>5.3769906370229065E-3</v>
      </c>
      <c r="L294" t="s">
        <v>166</v>
      </c>
      <c r="N294" t="s">
        <v>206</v>
      </c>
      <c r="O294" t="s">
        <v>289</v>
      </c>
      <c r="P294">
        <v>5.4266058729234134E-3</v>
      </c>
      <c r="Q294" t="s">
        <v>166</v>
      </c>
      <c r="S294" t="s">
        <v>223</v>
      </c>
      <c r="T294" t="s">
        <v>289</v>
      </c>
      <c r="U294">
        <v>6.8581851491648681E-3</v>
      </c>
      <c r="V294" t="s">
        <v>166</v>
      </c>
    </row>
    <row r="295" spans="9:22" x14ac:dyDescent="0.45">
      <c r="I295" t="s">
        <v>182</v>
      </c>
      <c r="J295" t="s">
        <v>290</v>
      </c>
      <c r="K295">
        <v>5.983833564436964E-2</v>
      </c>
      <c r="L295" t="s">
        <v>166</v>
      </c>
      <c r="N295" t="s">
        <v>206</v>
      </c>
      <c r="O295" t="s">
        <v>290</v>
      </c>
      <c r="P295">
        <v>2.3311357733644535E-2</v>
      </c>
      <c r="Q295" t="s">
        <v>166</v>
      </c>
      <c r="S295" t="s">
        <v>223</v>
      </c>
      <c r="T295" t="s">
        <v>290</v>
      </c>
      <c r="U295">
        <v>4.7431816763843303E-2</v>
      </c>
      <c r="V295" t="s">
        <v>166</v>
      </c>
    </row>
    <row r="296" spans="9:22" x14ac:dyDescent="0.45">
      <c r="I296" t="s">
        <v>182</v>
      </c>
      <c r="J296" t="s">
        <v>291</v>
      </c>
      <c r="K296">
        <v>5.9362260672073362E-3</v>
      </c>
      <c r="L296" t="s">
        <v>166</v>
      </c>
      <c r="N296" t="s">
        <v>206</v>
      </c>
      <c r="O296" t="s">
        <v>291</v>
      </c>
      <c r="P296">
        <v>2.2793403412799591E-3</v>
      </c>
      <c r="Q296" t="s">
        <v>166</v>
      </c>
      <c r="S296" t="s">
        <v>223</v>
      </c>
      <c r="T296" t="s">
        <v>291</v>
      </c>
      <c r="U296">
        <v>6.8402537861518217E-3</v>
      </c>
      <c r="V296" t="s">
        <v>166</v>
      </c>
    </row>
    <row r="297" spans="9:22" x14ac:dyDescent="0.45">
      <c r="I297" t="s">
        <v>182</v>
      </c>
      <c r="J297" t="s">
        <v>292</v>
      </c>
      <c r="K297">
        <v>5.4851839354770164E-3</v>
      </c>
      <c r="L297" t="s">
        <v>166</v>
      </c>
      <c r="N297" t="s">
        <v>206</v>
      </c>
      <c r="O297" t="s">
        <v>292</v>
      </c>
      <c r="P297">
        <v>4.788596098759256E-3</v>
      </c>
      <c r="Q297" t="s">
        <v>166</v>
      </c>
      <c r="S297" t="s">
        <v>223</v>
      </c>
      <c r="T297" t="s">
        <v>292</v>
      </c>
      <c r="U297">
        <v>1.3392937258991723E-2</v>
      </c>
      <c r="V297" t="s">
        <v>166</v>
      </c>
    </row>
    <row r="298" spans="9:22" x14ac:dyDescent="0.45">
      <c r="I298" t="s">
        <v>182</v>
      </c>
      <c r="J298" t="s">
        <v>293</v>
      </c>
      <c r="K298">
        <v>0</v>
      </c>
      <c r="L298" t="s">
        <v>166</v>
      </c>
      <c r="N298" t="s">
        <v>206</v>
      </c>
      <c r="O298" t="s">
        <v>293</v>
      </c>
      <c r="P298">
        <v>2.4193467695181829E-2</v>
      </c>
      <c r="Q298" t="s">
        <v>166</v>
      </c>
      <c r="S298" t="s">
        <v>223</v>
      </c>
      <c r="T298" t="s">
        <v>293</v>
      </c>
      <c r="U298">
        <v>3.5397911025740705E-2</v>
      </c>
      <c r="V298" t="s">
        <v>166</v>
      </c>
    </row>
    <row r="299" spans="9:22" x14ac:dyDescent="0.45">
      <c r="I299" t="s">
        <v>183</v>
      </c>
      <c r="J299" t="s">
        <v>165</v>
      </c>
      <c r="K299">
        <v>1.1575235583303221E-2</v>
      </c>
      <c r="L299" t="s">
        <v>166</v>
      </c>
      <c r="N299" t="s">
        <v>207</v>
      </c>
      <c r="O299" t="s">
        <v>165</v>
      </c>
      <c r="P299">
        <v>5.6930342917909771E-2</v>
      </c>
      <c r="Q299" t="s">
        <v>166</v>
      </c>
      <c r="S299" t="s">
        <v>224</v>
      </c>
      <c r="T299" t="s">
        <v>165</v>
      </c>
      <c r="U299">
        <v>0.12323016714015457</v>
      </c>
      <c r="V299" t="s">
        <v>166</v>
      </c>
    </row>
    <row r="300" spans="9:22" x14ac:dyDescent="0.45">
      <c r="I300" t="s">
        <v>183</v>
      </c>
      <c r="J300" t="s">
        <v>167</v>
      </c>
      <c r="K300">
        <v>2.3910986062018004E-2</v>
      </c>
      <c r="L300" t="s">
        <v>166</v>
      </c>
      <c r="N300" t="s">
        <v>207</v>
      </c>
      <c r="O300" t="s">
        <v>167</v>
      </c>
      <c r="P300">
        <v>8.6663642933514154E-3</v>
      </c>
      <c r="Q300" t="s">
        <v>166</v>
      </c>
      <c r="S300" t="s">
        <v>224</v>
      </c>
      <c r="T300" t="s">
        <v>167</v>
      </c>
      <c r="U300">
        <v>1.569688453761681E-2</v>
      </c>
      <c r="V300" t="s">
        <v>166</v>
      </c>
    </row>
    <row r="301" spans="9:22" x14ac:dyDescent="0.45">
      <c r="I301" t="s">
        <v>183</v>
      </c>
      <c r="J301" t="s">
        <v>168</v>
      </c>
      <c r="K301">
        <v>0.27676961170825631</v>
      </c>
      <c r="L301" t="s">
        <v>166</v>
      </c>
      <c r="N301" t="s">
        <v>207</v>
      </c>
      <c r="O301" t="s">
        <v>168</v>
      </c>
      <c r="P301">
        <v>4.5582088734291204E-2</v>
      </c>
      <c r="Q301" t="s">
        <v>166</v>
      </c>
      <c r="S301" t="s">
        <v>224</v>
      </c>
      <c r="T301" t="s">
        <v>168</v>
      </c>
      <c r="U301">
        <v>0.10455643107159487</v>
      </c>
      <c r="V301" t="s">
        <v>166</v>
      </c>
    </row>
    <row r="302" spans="9:22" x14ac:dyDescent="0.45">
      <c r="I302" t="s">
        <v>183</v>
      </c>
      <c r="J302" t="s">
        <v>258</v>
      </c>
      <c r="K302">
        <v>3.1561071796538546E-2</v>
      </c>
      <c r="L302" t="s">
        <v>166</v>
      </c>
      <c r="N302" t="s">
        <v>207</v>
      </c>
      <c r="O302" t="s">
        <v>258</v>
      </c>
      <c r="P302">
        <v>5.5212036299647467E-3</v>
      </c>
      <c r="Q302" t="s">
        <v>166</v>
      </c>
      <c r="S302" t="s">
        <v>224</v>
      </c>
      <c r="T302" t="s">
        <v>258</v>
      </c>
      <c r="U302">
        <v>1.4630292420667159E-2</v>
      </c>
      <c r="V302" t="s">
        <v>166</v>
      </c>
    </row>
    <row r="303" spans="9:22" x14ac:dyDescent="0.45">
      <c r="I303" t="s">
        <v>183</v>
      </c>
      <c r="J303" t="s">
        <v>259</v>
      </c>
      <c r="K303">
        <v>3.9405756978005468E-2</v>
      </c>
      <c r="L303" t="s">
        <v>166</v>
      </c>
      <c r="N303" t="s">
        <v>207</v>
      </c>
      <c r="O303" t="s">
        <v>259</v>
      </c>
      <c r="P303">
        <v>9.5726572173093286E-3</v>
      </c>
      <c r="Q303" t="s">
        <v>166</v>
      </c>
      <c r="S303" t="s">
        <v>224</v>
      </c>
      <c r="T303" t="s">
        <v>259</v>
      </c>
      <c r="U303">
        <v>2.6966775026400158E-2</v>
      </c>
      <c r="V303" t="s">
        <v>166</v>
      </c>
    </row>
    <row r="304" spans="9:22" x14ac:dyDescent="0.45">
      <c r="I304" t="s">
        <v>183</v>
      </c>
      <c r="J304" t="s">
        <v>260</v>
      </c>
      <c r="K304">
        <v>0</v>
      </c>
      <c r="L304" t="s">
        <v>166</v>
      </c>
      <c r="N304" t="s">
        <v>207</v>
      </c>
      <c r="O304" t="s">
        <v>260</v>
      </c>
      <c r="P304">
        <v>2.8650233152015394E-2</v>
      </c>
      <c r="Q304" t="s">
        <v>166</v>
      </c>
      <c r="S304" t="s">
        <v>224</v>
      </c>
      <c r="T304" t="s">
        <v>260</v>
      </c>
      <c r="U304">
        <v>8.0051992487695178E-2</v>
      </c>
      <c r="V304" t="s">
        <v>166</v>
      </c>
    </row>
    <row r="305" spans="9:22" x14ac:dyDescent="0.45">
      <c r="I305" t="s">
        <v>183</v>
      </c>
      <c r="J305" t="s">
        <v>169</v>
      </c>
      <c r="K305">
        <v>3.3136344746285463E-3</v>
      </c>
      <c r="L305" t="s">
        <v>166</v>
      </c>
      <c r="N305" t="s">
        <v>207</v>
      </c>
      <c r="O305" t="s">
        <v>169</v>
      </c>
      <c r="P305">
        <v>1.3933978887540917E-2</v>
      </c>
      <c r="Q305" t="s">
        <v>166</v>
      </c>
      <c r="S305" t="s">
        <v>224</v>
      </c>
      <c r="T305" t="s">
        <v>169</v>
      </c>
      <c r="U305">
        <v>3.1583874637677724E-3</v>
      </c>
      <c r="V305" t="s">
        <v>166</v>
      </c>
    </row>
    <row r="306" spans="9:22" x14ac:dyDescent="0.45">
      <c r="I306" t="s">
        <v>183</v>
      </c>
      <c r="J306" t="s">
        <v>170</v>
      </c>
      <c r="K306">
        <v>5.6787535979562842E-3</v>
      </c>
      <c r="L306" t="s">
        <v>166</v>
      </c>
      <c r="N306" t="s">
        <v>207</v>
      </c>
      <c r="O306" t="s">
        <v>170</v>
      </c>
      <c r="P306">
        <v>1.8274738753427063E-3</v>
      </c>
      <c r="Q306" t="s">
        <v>166</v>
      </c>
      <c r="S306" t="s">
        <v>224</v>
      </c>
      <c r="T306" t="s">
        <v>170</v>
      </c>
      <c r="U306">
        <v>4.3631806859858384E-4</v>
      </c>
      <c r="V306" t="s">
        <v>166</v>
      </c>
    </row>
    <row r="307" spans="9:22" x14ac:dyDescent="0.45">
      <c r="I307" t="s">
        <v>183</v>
      </c>
      <c r="J307" t="s">
        <v>171</v>
      </c>
      <c r="K307">
        <v>6.1202834213782552E-2</v>
      </c>
      <c r="L307" t="s">
        <v>166</v>
      </c>
      <c r="N307" t="s">
        <v>207</v>
      </c>
      <c r="O307" t="s">
        <v>171</v>
      </c>
      <c r="P307">
        <v>1.3582230257284198E-2</v>
      </c>
      <c r="Q307" t="s">
        <v>166</v>
      </c>
      <c r="S307" t="s">
        <v>224</v>
      </c>
      <c r="T307" t="s">
        <v>171</v>
      </c>
      <c r="U307">
        <v>3.1050185825042282E-3</v>
      </c>
      <c r="V307" t="s">
        <v>166</v>
      </c>
    </row>
    <row r="308" spans="9:22" x14ac:dyDescent="0.45">
      <c r="I308" t="s">
        <v>183</v>
      </c>
      <c r="J308" t="s">
        <v>261</v>
      </c>
      <c r="K308">
        <v>5.7893895310958555E-3</v>
      </c>
      <c r="L308" t="s">
        <v>166</v>
      </c>
      <c r="N308" t="s">
        <v>207</v>
      </c>
      <c r="O308" t="s">
        <v>261</v>
      </c>
      <c r="P308">
        <v>2.1277903312026782E-3</v>
      </c>
      <c r="Q308" t="s">
        <v>166</v>
      </c>
      <c r="S308" t="s">
        <v>224</v>
      </c>
      <c r="T308" t="s">
        <v>261</v>
      </c>
      <c r="U308">
        <v>3.7584208894269298E-4</v>
      </c>
      <c r="V308" t="s">
        <v>166</v>
      </c>
    </row>
    <row r="309" spans="9:22" x14ac:dyDescent="0.45">
      <c r="I309" t="s">
        <v>183</v>
      </c>
      <c r="J309" t="s">
        <v>262</v>
      </c>
      <c r="K309">
        <v>6.1168762539940838E-3</v>
      </c>
      <c r="L309" t="s">
        <v>166</v>
      </c>
      <c r="N309" t="s">
        <v>207</v>
      </c>
      <c r="O309" t="s">
        <v>262</v>
      </c>
      <c r="P309">
        <v>2.7705909042226627E-3</v>
      </c>
      <c r="Q309" t="s">
        <v>166</v>
      </c>
      <c r="S309" t="s">
        <v>224</v>
      </c>
      <c r="T309" t="s">
        <v>262</v>
      </c>
      <c r="U309">
        <v>6.3460718260555007E-4</v>
      </c>
      <c r="V309" t="s">
        <v>166</v>
      </c>
    </row>
    <row r="310" spans="9:22" x14ac:dyDescent="0.45">
      <c r="I310" t="s">
        <v>183</v>
      </c>
      <c r="J310" t="s">
        <v>263</v>
      </c>
      <c r="K310">
        <v>0</v>
      </c>
      <c r="L310" t="s">
        <v>166</v>
      </c>
      <c r="N310" t="s">
        <v>207</v>
      </c>
      <c r="O310" t="s">
        <v>263</v>
      </c>
      <c r="P310">
        <v>7.0131354982978017E-3</v>
      </c>
      <c r="Q310" t="s">
        <v>166</v>
      </c>
      <c r="S310" t="s">
        <v>224</v>
      </c>
      <c r="T310" t="s">
        <v>263</v>
      </c>
      <c r="U310">
        <v>1.7856208458300088E-3</v>
      </c>
      <c r="V310" t="s">
        <v>166</v>
      </c>
    </row>
    <row r="311" spans="9:22" x14ac:dyDescent="0.45">
      <c r="I311" t="s">
        <v>183</v>
      </c>
      <c r="J311" t="s">
        <v>172</v>
      </c>
      <c r="K311">
        <v>2.375200546958528E-3</v>
      </c>
      <c r="L311" t="s">
        <v>166</v>
      </c>
      <c r="N311" t="s">
        <v>207</v>
      </c>
      <c r="O311" t="s">
        <v>172</v>
      </c>
      <c r="P311">
        <v>4.300694481237529E-2</v>
      </c>
      <c r="Q311" t="s">
        <v>166</v>
      </c>
      <c r="S311" t="s">
        <v>224</v>
      </c>
      <c r="T311" t="s">
        <v>172</v>
      </c>
      <c r="U311">
        <v>2.2001864765562755E-2</v>
      </c>
      <c r="V311" t="s">
        <v>166</v>
      </c>
    </row>
    <row r="312" spans="9:22" x14ac:dyDescent="0.45">
      <c r="I312" t="s">
        <v>183</v>
      </c>
      <c r="J312" t="s">
        <v>173</v>
      </c>
      <c r="K312">
        <v>4.1025999177442844E-3</v>
      </c>
      <c r="L312" t="s">
        <v>166</v>
      </c>
      <c r="N312" t="s">
        <v>207</v>
      </c>
      <c r="O312" t="s">
        <v>173</v>
      </c>
      <c r="P312">
        <v>5.040239454736967E-3</v>
      </c>
      <c r="Q312" t="s">
        <v>166</v>
      </c>
      <c r="S312" t="s">
        <v>224</v>
      </c>
      <c r="T312" t="s">
        <v>173</v>
      </c>
      <c r="U312">
        <v>2.9964687617244092E-3</v>
      </c>
      <c r="V312" t="s">
        <v>166</v>
      </c>
    </row>
    <row r="313" spans="9:22" x14ac:dyDescent="0.45">
      <c r="I313" t="s">
        <v>183</v>
      </c>
      <c r="J313" t="s">
        <v>174</v>
      </c>
      <c r="K313">
        <v>4.9699997303096238E-2</v>
      </c>
      <c r="L313" t="s">
        <v>166</v>
      </c>
      <c r="N313" t="s">
        <v>207</v>
      </c>
      <c r="O313" t="s">
        <v>174</v>
      </c>
      <c r="P313">
        <v>4.2200363829346769E-2</v>
      </c>
      <c r="Q313" t="s">
        <v>166</v>
      </c>
      <c r="S313" t="s">
        <v>224</v>
      </c>
      <c r="T313" t="s">
        <v>174</v>
      </c>
      <c r="U313">
        <v>1.8994022845664458E-2</v>
      </c>
      <c r="V313" t="s">
        <v>166</v>
      </c>
    </row>
    <row r="314" spans="9:22" x14ac:dyDescent="0.45">
      <c r="I314" t="s">
        <v>183</v>
      </c>
      <c r="J314" t="s">
        <v>264</v>
      </c>
      <c r="K314">
        <v>4.6860215652134206E-3</v>
      </c>
      <c r="L314" t="s">
        <v>166</v>
      </c>
      <c r="N314" t="s">
        <v>207</v>
      </c>
      <c r="O314" t="s">
        <v>264</v>
      </c>
      <c r="P314">
        <v>6.6005383054070213E-3</v>
      </c>
      <c r="Q314" t="s">
        <v>166</v>
      </c>
      <c r="S314" t="s">
        <v>224</v>
      </c>
      <c r="T314" t="s">
        <v>264</v>
      </c>
      <c r="U314">
        <v>2.3099800306889753E-3</v>
      </c>
      <c r="V314" t="s">
        <v>166</v>
      </c>
    </row>
    <row r="315" spans="9:22" x14ac:dyDescent="0.45">
      <c r="I315" t="s">
        <v>183</v>
      </c>
      <c r="J315" t="s">
        <v>265</v>
      </c>
      <c r="K315">
        <v>4.8119885468310601E-3</v>
      </c>
      <c r="L315" t="s">
        <v>166</v>
      </c>
      <c r="N315" t="s">
        <v>207</v>
      </c>
      <c r="O315" t="s">
        <v>265</v>
      </c>
      <c r="P315">
        <v>1.1464139365999826E-2</v>
      </c>
      <c r="Q315" t="s">
        <v>166</v>
      </c>
      <c r="S315" t="s">
        <v>224</v>
      </c>
      <c r="T315" t="s">
        <v>265</v>
      </c>
      <c r="U315">
        <v>4.4241876928989721E-3</v>
      </c>
      <c r="V315" t="s">
        <v>166</v>
      </c>
    </row>
    <row r="316" spans="9:22" x14ac:dyDescent="0.45">
      <c r="I316" t="s">
        <v>183</v>
      </c>
      <c r="J316" t="s">
        <v>266</v>
      </c>
      <c r="K316">
        <v>0</v>
      </c>
      <c r="L316" t="s">
        <v>166</v>
      </c>
      <c r="N316" t="s">
        <v>207</v>
      </c>
      <c r="O316" t="s">
        <v>266</v>
      </c>
      <c r="P316">
        <v>2.4341104482987225E-2</v>
      </c>
      <c r="Q316" t="s">
        <v>166</v>
      </c>
      <c r="S316" t="s">
        <v>224</v>
      </c>
      <c r="T316" t="s">
        <v>266</v>
      </c>
      <c r="U316">
        <v>1.0252143903038581E-2</v>
      </c>
      <c r="V316" t="s">
        <v>166</v>
      </c>
    </row>
    <row r="317" spans="9:22" x14ac:dyDescent="0.45">
      <c r="I317" t="s">
        <v>183</v>
      </c>
      <c r="J317" t="s">
        <v>175</v>
      </c>
      <c r="K317">
        <v>2.1082209171993703E-3</v>
      </c>
      <c r="L317" t="s">
        <v>166</v>
      </c>
      <c r="N317" t="s">
        <v>207</v>
      </c>
      <c r="O317" t="s">
        <v>175</v>
      </c>
      <c r="P317">
        <v>5.7494750353561712E-2</v>
      </c>
      <c r="Q317" t="s">
        <v>166</v>
      </c>
      <c r="S317" t="s">
        <v>224</v>
      </c>
      <c r="T317" t="s">
        <v>175</v>
      </c>
      <c r="U317">
        <v>2.6874127780957012E-2</v>
      </c>
      <c r="V317" t="s">
        <v>166</v>
      </c>
    </row>
    <row r="318" spans="9:22" x14ac:dyDescent="0.45">
      <c r="I318" t="s">
        <v>183</v>
      </c>
      <c r="J318" t="s">
        <v>176</v>
      </c>
      <c r="K318">
        <v>3.9631973100358606E-3</v>
      </c>
      <c r="L318" t="s">
        <v>166</v>
      </c>
      <c r="N318" t="s">
        <v>207</v>
      </c>
      <c r="O318" t="s">
        <v>176</v>
      </c>
      <c r="P318">
        <v>6.9514194018371958E-3</v>
      </c>
      <c r="Q318" t="s">
        <v>166</v>
      </c>
      <c r="S318" t="s">
        <v>224</v>
      </c>
      <c r="T318" t="s">
        <v>176</v>
      </c>
      <c r="U318">
        <v>3.2893065579988599E-3</v>
      </c>
      <c r="V318" t="s">
        <v>166</v>
      </c>
    </row>
    <row r="319" spans="9:22" x14ac:dyDescent="0.45">
      <c r="I319" t="s">
        <v>183</v>
      </c>
      <c r="J319" t="s">
        <v>177</v>
      </c>
      <c r="K319">
        <v>5.0268598427870292E-2</v>
      </c>
      <c r="L319" t="s">
        <v>166</v>
      </c>
      <c r="N319" t="s">
        <v>207</v>
      </c>
      <c r="O319" t="s">
        <v>177</v>
      </c>
      <c r="P319">
        <v>4.9894576347987871E-2</v>
      </c>
      <c r="Q319" t="s">
        <v>166</v>
      </c>
      <c r="S319" t="s">
        <v>224</v>
      </c>
      <c r="T319" t="s">
        <v>177</v>
      </c>
      <c r="U319">
        <v>2.375619265530746E-2</v>
      </c>
      <c r="V319" t="s">
        <v>166</v>
      </c>
    </row>
    <row r="320" spans="9:22" x14ac:dyDescent="0.45">
      <c r="I320" t="s">
        <v>183</v>
      </c>
      <c r="J320" t="s">
        <v>267</v>
      </c>
      <c r="K320">
        <v>4.2998460415518717E-3</v>
      </c>
      <c r="L320" t="s">
        <v>166</v>
      </c>
      <c r="N320" t="s">
        <v>207</v>
      </c>
      <c r="O320" t="s">
        <v>267</v>
      </c>
      <c r="P320">
        <v>7.5858268144890547E-3</v>
      </c>
      <c r="Q320" t="s">
        <v>166</v>
      </c>
      <c r="S320" t="s">
        <v>224</v>
      </c>
      <c r="T320" t="s">
        <v>267</v>
      </c>
      <c r="U320">
        <v>3.3865380983182855E-3</v>
      </c>
      <c r="V320" t="s">
        <v>166</v>
      </c>
    </row>
    <row r="321" spans="9:22" x14ac:dyDescent="0.45">
      <c r="I321" t="s">
        <v>183</v>
      </c>
      <c r="J321" t="s">
        <v>268</v>
      </c>
      <c r="K321">
        <v>4.3897100177898527E-3</v>
      </c>
      <c r="L321" t="s">
        <v>166</v>
      </c>
      <c r="N321" t="s">
        <v>207</v>
      </c>
      <c r="O321" t="s">
        <v>268</v>
      </c>
      <c r="P321">
        <v>1.4049537789472478E-2</v>
      </c>
      <c r="Q321" t="s">
        <v>166</v>
      </c>
      <c r="S321" t="s">
        <v>224</v>
      </c>
      <c r="T321" t="s">
        <v>268</v>
      </c>
      <c r="U321">
        <v>6.6308401981227784E-3</v>
      </c>
      <c r="V321" t="s">
        <v>166</v>
      </c>
    </row>
    <row r="322" spans="9:22" x14ac:dyDescent="0.45">
      <c r="I322" t="s">
        <v>183</v>
      </c>
      <c r="J322" t="s">
        <v>269</v>
      </c>
      <c r="K322">
        <v>0</v>
      </c>
      <c r="L322" t="s">
        <v>166</v>
      </c>
      <c r="N322" t="s">
        <v>207</v>
      </c>
      <c r="O322" t="s">
        <v>269</v>
      </c>
      <c r="P322">
        <v>3.2301258316700686E-2</v>
      </c>
      <c r="Q322" t="s">
        <v>166</v>
      </c>
      <c r="S322" t="s">
        <v>224</v>
      </c>
      <c r="T322" t="s">
        <v>269</v>
      </c>
      <c r="U322">
        <v>1.6017623679618093E-2</v>
      </c>
      <c r="V322" t="s">
        <v>166</v>
      </c>
    </row>
    <row r="323" spans="9:22" x14ac:dyDescent="0.45">
      <c r="I323" t="s">
        <v>183</v>
      </c>
      <c r="J323" t="s">
        <v>270</v>
      </c>
      <c r="K323">
        <v>2.7469203560438657E-3</v>
      </c>
      <c r="L323" t="s">
        <v>166</v>
      </c>
      <c r="N323" t="s">
        <v>207</v>
      </c>
      <c r="O323" t="s">
        <v>270</v>
      </c>
      <c r="P323">
        <v>5.1427167917223696E-2</v>
      </c>
      <c r="Q323" t="s">
        <v>166</v>
      </c>
      <c r="S323" t="s">
        <v>224</v>
      </c>
      <c r="T323" t="s">
        <v>270</v>
      </c>
      <c r="U323">
        <v>3.5919686516553272E-2</v>
      </c>
      <c r="V323" t="s">
        <v>166</v>
      </c>
    </row>
    <row r="324" spans="9:22" x14ac:dyDescent="0.45">
      <c r="I324" t="s">
        <v>183</v>
      </c>
      <c r="J324" t="s">
        <v>271</v>
      </c>
      <c r="K324">
        <v>4.8482072314410124E-3</v>
      </c>
      <c r="L324" t="s">
        <v>166</v>
      </c>
      <c r="N324" t="s">
        <v>207</v>
      </c>
      <c r="O324" t="s">
        <v>271</v>
      </c>
      <c r="P324">
        <v>6.3992965186038617E-3</v>
      </c>
      <c r="Q324" t="s">
        <v>166</v>
      </c>
      <c r="S324" t="s">
        <v>224</v>
      </c>
      <c r="T324" t="s">
        <v>271</v>
      </c>
      <c r="U324">
        <v>4.427526766692994E-3</v>
      </c>
      <c r="V324" t="s">
        <v>166</v>
      </c>
    </row>
    <row r="325" spans="9:22" x14ac:dyDescent="0.45">
      <c r="I325" t="s">
        <v>183</v>
      </c>
      <c r="J325" t="s">
        <v>272</v>
      </c>
      <c r="K325">
        <v>5.7371259108043388E-2</v>
      </c>
      <c r="L325" t="s">
        <v>166</v>
      </c>
      <c r="N325" t="s">
        <v>207</v>
      </c>
      <c r="O325" t="s">
        <v>272</v>
      </c>
      <c r="P325">
        <v>5.0723285627236193E-2</v>
      </c>
      <c r="Q325" t="s">
        <v>166</v>
      </c>
      <c r="S325" t="s">
        <v>224</v>
      </c>
      <c r="T325" t="s">
        <v>272</v>
      </c>
      <c r="U325">
        <v>3.2331047938560883E-2</v>
      </c>
      <c r="V325" t="s">
        <v>166</v>
      </c>
    </row>
    <row r="326" spans="9:22" x14ac:dyDescent="0.45">
      <c r="I326" t="s">
        <v>183</v>
      </c>
      <c r="J326" t="s">
        <v>273</v>
      </c>
      <c r="K326">
        <v>5.3009317016106047E-3</v>
      </c>
      <c r="L326" t="s">
        <v>166</v>
      </c>
      <c r="N326" t="s">
        <v>207</v>
      </c>
      <c r="O326" t="s">
        <v>273</v>
      </c>
      <c r="P326">
        <v>8.0981252103541779E-3</v>
      </c>
      <c r="Q326" t="s">
        <v>166</v>
      </c>
      <c r="S326" t="s">
        <v>224</v>
      </c>
      <c r="T326" t="s">
        <v>273</v>
      </c>
      <c r="U326">
        <v>4.4899623136758545E-3</v>
      </c>
      <c r="V326" t="s">
        <v>166</v>
      </c>
    </row>
    <row r="327" spans="9:22" x14ac:dyDescent="0.45">
      <c r="I327" t="s">
        <v>183</v>
      </c>
      <c r="J327" t="s">
        <v>274</v>
      </c>
      <c r="K327">
        <v>5.8902024627890516E-3</v>
      </c>
      <c r="L327" t="s">
        <v>166</v>
      </c>
      <c r="N327" t="s">
        <v>207</v>
      </c>
      <c r="O327" t="s">
        <v>274</v>
      </c>
      <c r="P327">
        <v>1.2291410075095485E-2</v>
      </c>
      <c r="Q327" t="s">
        <v>166</v>
      </c>
      <c r="S327" t="s">
        <v>224</v>
      </c>
      <c r="T327" t="s">
        <v>274</v>
      </c>
      <c r="U327">
        <v>8.2504436037314118E-3</v>
      </c>
      <c r="V327" t="s">
        <v>166</v>
      </c>
    </row>
    <row r="328" spans="9:22" x14ac:dyDescent="0.45">
      <c r="I328" t="s">
        <v>183</v>
      </c>
      <c r="J328" t="s">
        <v>275</v>
      </c>
      <c r="K328">
        <v>0</v>
      </c>
      <c r="L328" t="s">
        <v>166</v>
      </c>
      <c r="N328" t="s">
        <v>207</v>
      </c>
      <c r="O328" t="s">
        <v>275</v>
      </c>
      <c r="P328">
        <v>2.5513038958830413E-2</v>
      </c>
      <c r="Q328" t="s">
        <v>166</v>
      </c>
      <c r="S328" t="s">
        <v>224</v>
      </c>
      <c r="T328" t="s">
        <v>275</v>
      </c>
      <c r="U328">
        <v>2.0446943337126797E-2</v>
      </c>
      <c r="V328" t="s">
        <v>166</v>
      </c>
    </row>
    <row r="329" spans="9:22" x14ac:dyDescent="0.45">
      <c r="I329" t="s">
        <v>183</v>
      </c>
      <c r="J329" t="s">
        <v>276</v>
      </c>
      <c r="K329">
        <v>5.0791816084505862E-3</v>
      </c>
      <c r="L329" t="s">
        <v>166</v>
      </c>
      <c r="N329" t="s">
        <v>207</v>
      </c>
      <c r="O329" t="s">
        <v>276</v>
      </c>
      <c r="P329">
        <v>6.9380375639704631E-2</v>
      </c>
      <c r="Q329" t="s">
        <v>166</v>
      </c>
      <c r="S329" t="s">
        <v>224</v>
      </c>
      <c r="T329" t="s">
        <v>276</v>
      </c>
      <c r="U329">
        <v>5.1391446754974424E-2</v>
      </c>
      <c r="V329" t="s">
        <v>166</v>
      </c>
    </row>
    <row r="330" spans="9:22" x14ac:dyDescent="0.45">
      <c r="I330" t="s">
        <v>183</v>
      </c>
      <c r="J330" t="s">
        <v>277</v>
      </c>
      <c r="K330">
        <v>9.9621627709312217E-3</v>
      </c>
      <c r="L330" t="s">
        <v>166</v>
      </c>
      <c r="N330" t="s">
        <v>207</v>
      </c>
      <c r="O330" t="s">
        <v>277</v>
      </c>
      <c r="P330">
        <v>8.1253574243960493E-3</v>
      </c>
      <c r="Q330" t="s">
        <v>166</v>
      </c>
      <c r="S330" t="s">
        <v>224</v>
      </c>
      <c r="T330" t="s">
        <v>277</v>
      </c>
      <c r="U330">
        <v>6.4504365988412625E-3</v>
      </c>
      <c r="V330" t="s">
        <v>166</v>
      </c>
    </row>
    <row r="331" spans="9:22" x14ac:dyDescent="0.45">
      <c r="I331" t="s">
        <v>183</v>
      </c>
      <c r="J331" t="s">
        <v>278</v>
      </c>
      <c r="K331">
        <v>0.11555299687700171</v>
      </c>
      <c r="L331" t="s">
        <v>166</v>
      </c>
      <c r="N331" t="s">
        <v>207</v>
      </c>
      <c r="O331" t="s">
        <v>278</v>
      </c>
      <c r="P331">
        <v>6.1920766911969835E-2</v>
      </c>
      <c r="Q331" t="s">
        <v>166</v>
      </c>
      <c r="S331" t="s">
        <v>224</v>
      </c>
      <c r="T331" t="s">
        <v>278</v>
      </c>
      <c r="U331">
        <v>4.7727897192761395E-2</v>
      </c>
      <c r="V331" t="s">
        <v>166</v>
      </c>
    </row>
    <row r="332" spans="9:22" x14ac:dyDescent="0.45">
      <c r="I332" t="s">
        <v>183</v>
      </c>
      <c r="J332" t="s">
        <v>279</v>
      </c>
      <c r="K332">
        <v>1.0380930764362185E-2</v>
      </c>
      <c r="L332" t="s">
        <v>166</v>
      </c>
      <c r="N332" t="s">
        <v>207</v>
      </c>
      <c r="O332" t="s">
        <v>279</v>
      </c>
      <c r="P332">
        <v>9.772418259709174E-3</v>
      </c>
      <c r="Q332" t="s">
        <v>166</v>
      </c>
      <c r="S332" t="s">
        <v>224</v>
      </c>
      <c r="T332" t="s">
        <v>279</v>
      </c>
      <c r="U332">
        <v>6.7983774837286279E-3</v>
      </c>
      <c r="V332" t="s">
        <v>166</v>
      </c>
    </row>
    <row r="333" spans="9:22" x14ac:dyDescent="0.45">
      <c r="I333" t="s">
        <v>183</v>
      </c>
      <c r="J333" t="s">
        <v>280</v>
      </c>
      <c r="K333">
        <v>9.460809105722192E-3</v>
      </c>
      <c r="L333" t="s">
        <v>166</v>
      </c>
      <c r="N333" t="s">
        <v>207</v>
      </c>
      <c r="O333" t="s">
        <v>280</v>
      </c>
      <c r="P333">
        <v>1.5947795286857008E-2</v>
      </c>
      <c r="Q333" t="s">
        <v>166</v>
      </c>
      <c r="S333" t="s">
        <v>224</v>
      </c>
      <c r="T333" t="s">
        <v>280</v>
      </c>
      <c r="U333">
        <v>1.2981802825831862E-2</v>
      </c>
      <c r="V333" t="s">
        <v>166</v>
      </c>
    </row>
    <row r="334" spans="9:22" x14ac:dyDescent="0.45">
      <c r="I334" t="s">
        <v>183</v>
      </c>
      <c r="J334" t="s">
        <v>281</v>
      </c>
      <c r="K334">
        <v>0</v>
      </c>
      <c r="L334" t="s">
        <v>166</v>
      </c>
      <c r="N334" t="s">
        <v>207</v>
      </c>
      <c r="O334" t="s">
        <v>281</v>
      </c>
      <c r="P334">
        <v>3.4680965866789572E-2</v>
      </c>
      <c r="Q334" t="s">
        <v>166</v>
      </c>
      <c r="S334" t="s">
        <v>224</v>
      </c>
      <c r="T334" t="s">
        <v>281</v>
      </c>
      <c r="U334">
        <v>3.051770038073166E-2</v>
      </c>
      <c r="V334" t="s">
        <v>166</v>
      </c>
    </row>
    <row r="335" spans="9:22" x14ac:dyDescent="0.45">
      <c r="I335" t="s">
        <v>183</v>
      </c>
      <c r="J335" t="s">
        <v>282</v>
      </c>
      <c r="K335">
        <v>3.4649779530708824E-3</v>
      </c>
      <c r="L335" t="s">
        <v>166</v>
      </c>
      <c r="N335" t="s">
        <v>207</v>
      </c>
      <c r="O335" t="s">
        <v>282</v>
      </c>
      <c r="P335">
        <v>1.9679106269688381E-2</v>
      </c>
      <c r="Q335" t="s">
        <v>166</v>
      </c>
      <c r="S335" t="s">
        <v>224</v>
      </c>
      <c r="T335" t="s">
        <v>282</v>
      </c>
      <c r="U335">
        <v>2.063288271114842E-2</v>
      </c>
      <c r="V335" t="s">
        <v>166</v>
      </c>
    </row>
    <row r="336" spans="9:22" x14ac:dyDescent="0.45">
      <c r="I336" t="s">
        <v>183</v>
      </c>
      <c r="J336" t="s">
        <v>283</v>
      </c>
      <c r="K336">
        <v>6.2191669919903379E-3</v>
      </c>
      <c r="L336" t="s">
        <v>166</v>
      </c>
      <c r="N336" t="s">
        <v>207</v>
      </c>
      <c r="O336" t="s">
        <v>283</v>
      </c>
      <c r="P336">
        <v>3.4709184930011541E-3</v>
      </c>
      <c r="Q336" t="s">
        <v>166</v>
      </c>
      <c r="S336" t="s">
        <v>224</v>
      </c>
      <c r="T336" t="s">
        <v>283</v>
      </c>
      <c r="U336">
        <v>2.7966640561671134E-3</v>
      </c>
      <c r="V336" t="s">
        <v>166</v>
      </c>
    </row>
    <row r="337" spans="9:22" x14ac:dyDescent="0.45">
      <c r="I337" t="s">
        <v>183</v>
      </c>
      <c r="J337" t="s">
        <v>284</v>
      </c>
      <c r="K337">
        <v>6.1597057900645631E-2</v>
      </c>
      <c r="L337" t="s">
        <v>166</v>
      </c>
      <c r="N337" t="s">
        <v>207</v>
      </c>
      <c r="O337" t="s">
        <v>284</v>
      </c>
      <c r="P337">
        <v>1.7714714803116743E-2</v>
      </c>
      <c r="Q337" t="s">
        <v>166</v>
      </c>
      <c r="S337" t="s">
        <v>224</v>
      </c>
      <c r="T337" t="s">
        <v>284</v>
      </c>
      <c r="U337">
        <v>1.8514310623605288E-2</v>
      </c>
      <c r="V337" t="s">
        <v>166</v>
      </c>
    </row>
    <row r="338" spans="9:22" x14ac:dyDescent="0.45">
      <c r="I338" t="s">
        <v>183</v>
      </c>
      <c r="J338" t="s">
        <v>285</v>
      </c>
      <c r="K338">
        <v>6.0899204401584622E-3</v>
      </c>
      <c r="L338" t="s">
        <v>166</v>
      </c>
      <c r="N338" t="s">
        <v>207</v>
      </c>
      <c r="O338" t="s">
        <v>285</v>
      </c>
      <c r="P338">
        <v>1.7380081357079424E-3</v>
      </c>
      <c r="Q338" t="s">
        <v>166</v>
      </c>
      <c r="S338" t="s">
        <v>224</v>
      </c>
      <c r="T338" t="s">
        <v>285</v>
      </c>
      <c r="U338">
        <v>2.4577700257483008E-3</v>
      </c>
      <c r="V338" t="s">
        <v>166</v>
      </c>
    </row>
    <row r="339" spans="9:22" x14ac:dyDescent="0.45">
      <c r="I339" t="s">
        <v>183</v>
      </c>
      <c r="J339" t="s">
        <v>286</v>
      </c>
      <c r="K339">
        <v>5.305928488799262E-3</v>
      </c>
      <c r="L339" t="s">
        <v>166</v>
      </c>
      <c r="N339" t="s">
        <v>207</v>
      </c>
      <c r="O339" t="s">
        <v>286</v>
      </c>
      <c r="P339">
        <v>3.1358075155061057E-3</v>
      </c>
      <c r="Q339" t="s">
        <v>166</v>
      </c>
      <c r="S339" t="s">
        <v>224</v>
      </c>
      <c r="T339" t="s">
        <v>286</v>
      </c>
      <c r="U339">
        <v>4.6274039753691218E-3</v>
      </c>
      <c r="V339" t="s">
        <v>166</v>
      </c>
    </row>
    <row r="340" spans="9:22" x14ac:dyDescent="0.45">
      <c r="I340" t="s">
        <v>183</v>
      </c>
      <c r="J340" t="s">
        <v>287</v>
      </c>
      <c r="K340">
        <v>0</v>
      </c>
      <c r="L340" t="s">
        <v>166</v>
      </c>
      <c r="N340" t="s">
        <v>207</v>
      </c>
      <c r="O340" t="s">
        <v>287</v>
      </c>
      <c r="P340">
        <v>9.2341633087096916E-3</v>
      </c>
      <c r="Q340" t="s">
        <v>166</v>
      </c>
      <c r="S340" t="s">
        <v>224</v>
      </c>
      <c r="T340" t="s">
        <v>287</v>
      </c>
      <c r="U340">
        <v>1.3650029806707889E-2</v>
      </c>
      <c r="V340" t="s">
        <v>166</v>
      </c>
    </row>
    <row r="341" spans="9:22" x14ac:dyDescent="0.45">
      <c r="I341" t="s">
        <v>183</v>
      </c>
      <c r="J341" t="s">
        <v>288</v>
      </c>
      <c r="K341">
        <v>3.2335991406817425E-3</v>
      </c>
      <c r="L341" t="s">
        <v>166</v>
      </c>
      <c r="N341" t="s">
        <v>207</v>
      </c>
      <c r="O341" t="s">
        <v>288</v>
      </c>
      <c r="P341">
        <v>3.3976225304164942E-2</v>
      </c>
      <c r="Q341" t="s">
        <v>166</v>
      </c>
      <c r="S341" t="s">
        <v>224</v>
      </c>
      <c r="T341" t="s">
        <v>288</v>
      </c>
      <c r="U341">
        <v>5.2388364137944357E-2</v>
      </c>
      <c r="V341" t="s">
        <v>166</v>
      </c>
    </row>
    <row r="342" spans="9:22" x14ac:dyDescent="0.45">
      <c r="I342" t="s">
        <v>183</v>
      </c>
      <c r="J342" t="s">
        <v>289</v>
      </c>
      <c r="K342">
        <v>6.2409292864774694E-3</v>
      </c>
      <c r="L342" t="s">
        <v>166</v>
      </c>
      <c r="N342" t="s">
        <v>207</v>
      </c>
      <c r="O342" t="s">
        <v>289</v>
      </c>
      <c r="P342">
        <v>6.9434439708905291E-3</v>
      </c>
      <c r="Q342" t="s">
        <v>166</v>
      </c>
      <c r="S342" t="s">
        <v>224</v>
      </c>
      <c r="T342" t="s">
        <v>289</v>
      </c>
      <c r="U342">
        <v>6.7433177013252925E-3</v>
      </c>
      <c r="V342" t="s">
        <v>166</v>
      </c>
    </row>
    <row r="343" spans="9:22" x14ac:dyDescent="0.45">
      <c r="I343" t="s">
        <v>183</v>
      </c>
      <c r="J343" t="s">
        <v>290</v>
      </c>
      <c r="K343">
        <v>6.9826246080102475E-2</v>
      </c>
      <c r="L343" t="s">
        <v>166</v>
      </c>
      <c r="N343" t="s">
        <v>207</v>
      </c>
      <c r="O343" t="s">
        <v>290</v>
      </c>
      <c r="P343">
        <v>3.3072075080172833E-2</v>
      </c>
      <c r="Q343" t="s">
        <v>166</v>
      </c>
      <c r="S343" t="s">
        <v>224</v>
      </c>
      <c r="T343" t="s">
        <v>290</v>
      </c>
      <c r="U343">
        <v>4.6071665185266383E-2</v>
      </c>
      <c r="V343" t="s">
        <v>166</v>
      </c>
    </row>
    <row r="344" spans="9:22" x14ac:dyDescent="0.45">
      <c r="I344" t="s">
        <v>183</v>
      </c>
      <c r="J344" t="s">
        <v>291</v>
      </c>
      <c r="K344">
        <v>7.4425686639749879E-3</v>
      </c>
      <c r="L344" t="s">
        <v>166</v>
      </c>
      <c r="N344" t="s">
        <v>207</v>
      </c>
      <c r="O344" t="s">
        <v>291</v>
      </c>
      <c r="P344">
        <v>1.9972006613259963E-3</v>
      </c>
      <c r="Q344" t="s">
        <v>166</v>
      </c>
      <c r="S344" t="s">
        <v>224</v>
      </c>
      <c r="T344" t="s">
        <v>291</v>
      </c>
      <c r="U344">
        <v>6.6308499192978395E-3</v>
      </c>
      <c r="V344" t="s">
        <v>166</v>
      </c>
    </row>
    <row r="345" spans="9:22" x14ac:dyDescent="0.45">
      <c r="I345" t="s">
        <v>183</v>
      </c>
      <c r="J345" t="s">
        <v>292</v>
      </c>
      <c r="K345">
        <v>7.9564722738327629E-3</v>
      </c>
      <c r="L345" t="s">
        <v>166</v>
      </c>
      <c r="N345" t="s">
        <v>207</v>
      </c>
      <c r="O345" t="s">
        <v>292</v>
      </c>
      <c r="P345">
        <v>3.395203372080974E-3</v>
      </c>
      <c r="Q345" t="s">
        <v>166</v>
      </c>
      <c r="S345" t="s">
        <v>224</v>
      </c>
      <c r="T345" t="s">
        <v>292</v>
      </c>
      <c r="U345">
        <v>1.3052981363117959E-2</v>
      </c>
      <c r="V345" t="s">
        <v>166</v>
      </c>
    </row>
    <row r="346" spans="9:22" x14ac:dyDescent="0.45">
      <c r="I346" t="s">
        <v>183</v>
      </c>
      <c r="J346" t="s">
        <v>293</v>
      </c>
      <c r="K346">
        <v>0</v>
      </c>
      <c r="L346" t="s">
        <v>166</v>
      </c>
      <c r="N346" t="s">
        <v>207</v>
      </c>
      <c r="O346" t="s">
        <v>293</v>
      </c>
      <c r="P346">
        <v>1.4254340415232004E-2</v>
      </c>
      <c r="Q346" t="s">
        <v>166</v>
      </c>
      <c r="S346" t="s">
        <v>224</v>
      </c>
      <c r="T346" t="s">
        <v>293</v>
      </c>
      <c r="U346">
        <v>3.5138854894813901E-2</v>
      </c>
      <c r="V346" t="s">
        <v>166</v>
      </c>
    </row>
    <row r="347" spans="9:22" x14ac:dyDescent="0.45">
      <c r="I347" t="s">
        <v>184</v>
      </c>
      <c r="J347" t="s">
        <v>165</v>
      </c>
      <c r="K347">
        <v>1.6491931329025367E-2</v>
      </c>
      <c r="L347" t="s">
        <v>166</v>
      </c>
      <c r="N347" t="s">
        <v>208</v>
      </c>
      <c r="O347" t="s">
        <v>165</v>
      </c>
      <c r="P347">
        <v>9.8761406673236657E-2</v>
      </c>
      <c r="Q347" t="s">
        <v>166</v>
      </c>
      <c r="S347" t="s">
        <v>225</v>
      </c>
      <c r="T347" t="s">
        <v>165</v>
      </c>
      <c r="U347">
        <v>0.14488337220539618</v>
      </c>
      <c r="V347" t="s">
        <v>166</v>
      </c>
    </row>
    <row r="348" spans="9:22" x14ac:dyDescent="0.45">
      <c r="I348" t="s">
        <v>184</v>
      </c>
      <c r="J348" t="s">
        <v>167</v>
      </c>
      <c r="K348">
        <v>2.7539324496903689E-2</v>
      </c>
      <c r="L348" t="s">
        <v>166</v>
      </c>
      <c r="N348" t="s">
        <v>208</v>
      </c>
      <c r="O348" t="s">
        <v>167</v>
      </c>
      <c r="P348">
        <v>1.2822675277524417E-2</v>
      </c>
      <c r="Q348" t="s">
        <v>166</v>
      </c>
      <c r="S348" t="s">
        <v>225</v>
      </c>
      <c r="T348" t="s">
        <v>167</v>
      </c>
      <c r="U348">
        <v>1.90379429472919E-2</v>
      </c>
      <c r="V348" t="s">
        <v>166</v>
      </c>
    </row>
    <row r="349" spans="9:22" x14ac:dyDescent="0.45">
      <c r="I349" t="s">
        <v>184</v>
      </c>
      <c r="J349" t="s">
        <v>168</v>
      </c>
      <c r="K349">
        <v>0.27794324968424611</v>
      </c>
      <c r="L349" t="s">
        <v>166</v>
      </c>
      <c r="N349" t="s">
        <v>208</v>
      </c>
      <c r="O349" t="s">
        <v>168</v>
      </c>
      <c r="P349">
        <v>9.3308865614897998E-2</v>
      </c>
      <c r="Q349" t="s">
        <v>166</v>
      </c>
      <c r="S349" t="s">
        <v>225</v>
      </c>
      <c r="T349" t="s">
        <v>168</v>
      </c>
      <c r="U349">
        <v>0.12863846721761973</v>
      </c>
      <c r="V349" t="s">
        <v>166</v>
      </c>
    </row>
    <row r="350" spans="9:22" x14ac:dyDescent="0.45">
      <c r="I350" t="s">
        <v>184</v>
      </c>
      <c r="J350" t="s">
        <v>258</v>
      </c>
      <c r="K350">
        <v>2.9773686889024108E-2</v>
      </c>
      <c r="L350" t="s">
        <v>166</v>
      </c>
      <c r="N350" t="s">
        <v>208</v>
      </c>
      <c r="O350" t="s">
        <v>258</v>
      </c>
      <c r="P350">
        <v>1.1970088080391893E-2</v>
      </c>
      <c r="Q350" t="s">
        <v>166</v>
      </c>
      <c r="S350" t="s">
        <v>225</v>
      </c>
      <c r="T350" t="s">
        <v>258</v>
      </c>
      <c r="U350">
        <v>1.8235622402880989E-2</v>
      </c>
      <c r="V350" t="s">
        <v>166</v>
      </c>
    </row>
    <row r="351" spans="9:22" x14ac:dyDescent="0.45">
      <c r="I351" t="s">
        <v>184</v>
      </c>
      <c r="J351" t="s">
        <v>259</v>
      </c>
      <c r="K351">
        <v>3.6106846421573725E-2</v>
      </c>
      <c r="L351" t="s">
        <v>166</v>
      </c>
      <c r="N351" t="s">
        <v>208</v>
      </c>
      <c r="O351" t="s">
        <v>259</v>
      </c>
      <c r="P351">
        <v>2.1803190932099391E-2</v>
      </c>
      <c r="Q351" t="s">
        <v>166</v>
      </c>
      <c r="S351" t="s">
        <v>225</v>
      </c>
      <c r="T351" t="s">
        <v>259</v>
      </c>
      <c r="U351">
        <v>3.4313797258845383E-2</v>
      </c>
      <c r="V351" t="s">
        <v>166</v>
      </c>
    </row>
    <row r="352" spans="9:22" x14ac:dyDescent="0.45">
      <c r="I352" t="s">
        <v>184</v>
      </c>
      <c r="J352" t="s">
        <v>260</v>
      </c>
      <c r="K352">
        <v>0</v>
      </c>
      <c r="L352" t="s">
        <v>166</v>
      </c>
      <c r="N352" t="s">
        <v>208</v>
      </c>
      <c r="O352" t="s">
        <v>260</v>
      </c>
      <c r="P352">
        <v>6.4952730399567976E-2</v>
      </c>
      <c r="Q352" t="s">
        <v>166</v>
      </c>
      <c r="S352" t="s">
        <v>225</v>
      </c>
      <c r="T352" t="s">
        <v>260</v>
      </c>
      <c r="U352">
        <v>9.6012245626329665E-2</v>
      </c>
      <c r="V352" t="s">
        <v>166</v>
      </c>
    </row>
    <row r="353" spans="9:22" x14ac:dyDescent="0.45">
      <c r="I353" t="s">
        <v>184</v>
      </c>
      <c r="J353" t="s">
        <v>169</v>
      </c>
      <c r="K353">
        <v>4.1674790841354043E-3</v>
      </c>
      <c r="L353" t="s">
        <v>166</v>
      </c>
      <c r="N353" t="s">
        <v>208</v>
      </c>
      <c r="O353" t="s">
        <v>169</v>
      </c>
      <c r="P353">
        <v>1.0453966204570274E-2</v>
      </c>
      <c r="Q353" t="s">
        <v>166</v>
      </c>
      <c r="S353" t="s">
        <v>225</v>
      </c>
      <c r="T353" t="s">
        <v>169</v>
      </c>
      <c r="U353">
        <v>2.8310997961627656E-3</v>
      </c>
      <c r="V353" t="s">
        <v>166</v>
      </c>
    </row>
    <row r="354" spans="9:22" x14ac:dyDescent="0.45">
      <c r="I354" t="s">
        <v>184</v>
      </c>
      <c r="J354" t="s">
        <v>170</v>
      </c>
      <c r="K354">
        <v>6.6658539595327313E-3</v>
      </c>
      <c r="L354" t="s">
        <v>166</v>
      </c>
      <c r="N354" t="s">
        <v>208</v>
      </c>
      <c r="O354" t="s">
        <v>170</v>
      </c>
      <c r="P354">
        <v>1.2231004165857518E-3</v>
      </c>
      <c r="Q354" t="s">
        <v>166</v>
      </c>
      <c r="S354" t="s">
        <v>225</v>
      </c>
      <c r="T354" t="s">
        <v>170</v>
      </c>
      <c r="U354">
        <v>4.5168363727410646E-4</v>
      </c>
      <c r="V354" t="s">
        <v>166</v>
      </c>
    </row>
    <row r="355" spans="9:22" x14ac:dyDescent="0.45">
      <c r="I355" t="s">
        <v>184</v>
      </c>
      <c r="J355" t="s">
        <v>171</v>
      </c>
      <c r="K355">
        <v>6.5223844770848319E-2</v>
      </c>
      <c r="L355" t="s">
        <v>166</v>
      </c>
      <c r="N355" t="s">
        <v>208</v>
      </c>
      <c r="O355" t="s">
        <v>171</v>
      </c>
      <c r="P355">
        <v>1.1942773078025378E-2</v>
      </c>
      <c r="Q355" t="s">
        <v>166</v>
      </c>
      <c r="S355" t="s">
        <v>225</v>
      </c>
      <c r="T355" t="s">
        <v>171</v>
      </c>
      <c r="U355">
        <v>3.2116501757350146E-3</v>
      </c>
      <c r="V355" t="s">
        <v>166</v>
      </c>
    </row>
    <row r="356" spans="9:22" x14ac:dyDescent="0.45">
      <c r="I356" t="s">
        <v>184</v>
      </c>
      <c r="J356" t="s">
        <v>261</v>
      </c>
      <c r="K356">
        <v>5.4775665260774365E-3</v>
      </c>
      <c r="L356" t="s">
        <v>166</v>
      </c>
      <c r="N356" t="s">
        <v>208</v>
      </c>
      <c r="O356" t="s">
        <v>261</v>
      </c>
      <c r="P356">
        <v>1.6137050129326985E-3</v>
      </c>
      <c r="Q356" t="s">
        <v>166</v>
      </c>
      <c r="S356" t="s">
        <v>225</v>
      </c>
      <c r="T356" t="s">
        <v>261</v>
      </c>
      <c r="U356">
        <v>4.6596912912970904E-4</v>
      </c>
      <c r="V356" t="s">
        <v>166</v>
      </c>
    </row>
    <row r="357" spans="9:22" x14ac:dyDescent="0.45">
      <c r="I357" t="s">
        <v>184</v>
      </c>
      <c r="J357" t="s">
        <v>262</v>
      </c>
      <c r="K357">
        <v>4.5745152782803852E-3</v>
      </c>
      <c r="L357" t="s">
        <v>166</v>
      </c>
      <c r="N357" t="s">
        <v>208</v>
      </c>
      <c r="O357" t="s">
        <v>262</v>
      </c>
      <c r="P357">
        <v>1.8525383217773625E-3</v>
      </c>
      <c r="Q357" t="s">
        <v>166</v>
      </c>
      <c r="S357" t="s">
        <v>225</v>
      </c>
      <c r="T357" t="s">
        <v>262</v>
      </c>
      <c r="U357">
        <v>7.2232061420522285E-4</v>
      </c>
      <c r="V357" t="s">
        <v>166</v>
      </c>
    </row>
    <row r="358" spans="9:22" x14ac:dyDescent="0.45">
      <c r="I358" t="s">
        <v>184</v>
      </c>
      <c r="J358" t="s">
        <v>263</v>
      </c>
      <c r="K358">
        <v>0</v>
      </c>
      <c r="L358" t="s">
        <v>166</v>
      </c>
      <c r="N358" t="s">
        <v>208</v>
      </c>
      <c r="O358" t="s">
        <v>263</v>
      </c>
      <c r="P358">
        <v>5.4798919356346355E-3</v>
      </c>
      <c r="Q358" t="s">
        <v>166</v>
      </c>
      <c r="S358" t="s">
        <v>225</v>
      </c>
      <c r="T358" t="s">
        <v>263</v>
      </c>
      <c r="U358">
        <v>1.2461959175634743E-3</v>
      </c>
      <c r="V358" t="s">
        <v>166</v>
      </c>
    </row>
    <row r="359" spans="9:22" x14ac:dyDescent="0.45">
      <c r="I359" t="s">
        <v>184</v>
      </c>
      <c r="J359" t="s">
        <v>172</v>
      </c>
      <c r="K359">
        <v>2.5930939668482702E-3</v>
      </c>
      <c r="L359" t="s">
        <v>166</v>
      </c>
      <c r="N359" t="s">
        <v>208</v>
      </c>
      <c r="O359" t="s">
        <v>172</v>
      </c>
      <c r="P359">
        <v>3.2761177933551003E-2</v>
      </c>
      <c r="Q359" t="s">
        <v>166</v>
      </c>
      <c r="S359" t="s">
        <v>225</v>
      </c>
      <c r="T359" t="s">
        <v>172</v>
      </c>
      <c r="U359">
        <v>9.6749645655119058E-3</v>
      </c>
      <c r="V359" t="s">
        <v>166</v>
      </c>
    </row>
    <row r="360" spans="9:22" x14ac:dyDescent="0.45">
      <c r="I360" t="s">
        <v>184</v>
      </c>
      <c r="J360" t="s">
        <v>173</v>
      </c>
      <c r="K360">
        <v>4.4278235255586921E-3</v>
      </c>
      <c r="L360" t="s">
        <v>166</v>
      </c>
      <c r="N360" t="s">
        <v>208</v>
      </c>
      <c r="O360" t="s">
        <v>173</v>
      </c>
      <c r="P360">
        <v>3.8362636086174255E-3</v>
      </c>
      <c r="Q360" t="s">
        <v>166</v>
      </c>
      <c r="S360" t="s">
        <v>225</v>
      </c>
      <c r="T360" t="s">
        <v>173</v>
      </c>
      <c r="U360">
        <v>1.2108334991910057E-3</v>
      </c>
      <c r="V360" t="s">
        <v>166</v>
      </c>
    </row>
    <row r="361" spans="9:22" x14ac:dyDescent="0.45">
      <c r="I361" t="s">
        <v>184</v>
      </c>
      <c r="J361" t="s">
        <v>174</v>
      </c>
      <c r="K361">
        <v>4.8968581444409714E-2</v>
      </c>
      <c r="L361" t="s">
        <v>166</v>
      </c>
      <c r="N361" t="s">
        <v>208</v>
      </c>
      <c r="O361" t="s">
        <v>174</v>
      </c>
      <c r="P361">
        <v>3.661610012790311E-2</v>
      </c>
      <c r="Q361" t="s">
        <v>166</v>
      </c>
      <c r="S361" t="s">
        <v>225</v>
      </c>
      <c r="T361" t="s">
        <v>174</v>
      </c>
      <c r="U361">
        <v>9.1821704101519488E-3</v>
      </c>
      <c r="V361" t="s">
        <v>166</v>
      </c>
    </row>
    <row r="362" spans="9:22" x14ac:dyDescent="0.45">
      <c r="I362" t="s">
        <v>184</v>
      </c>
      <c r="J362" t="s">
        <v>264</v>
      </c>
      <c r="K362">
        <v>4.040970757938237E-3</v>
      </c>
      <c r="L362" t="s">
        <v>166</v>
      </c>
      <c r="N362" t="s">
        <v>208</v>
      </c>
      <c r="O362" t="s">
        <v>264</v>
      </c>
      <c r="P362">
        <v>5.1193977011234548E-3</v>
      </c>
      <c r="Q362" t="s">
        <v>166</v>
      </c>
      <c r="S362" t="s">
        <v>225</v>
      </c>
      <c r="T362" t="s">
        <v>264</v>
      </c>
      <c r="U362">
        <v>1.4489315068854961E-3</v>
      </c>
      <c r="V362" t="s">
        <v>166</v>
      </c>
    </row>
    <row r="363" spans="9:22" x14ac:dyDescent="0.45">
      <c r="I363" t="s">
        <v>184</v>
      </c>
      <c r="J363" t="s">
        <v>265</v>
      </c>
      <c r="K363">
        <v>3.796173251250898E-3</v>
      </c>
      <c r="L363" t="s">
        <v>166</v>
      </c>
      <c r="N363" t="s">
        <v>208</v>
      </c>
      <c r="O363" t="s">
        <v>265</v>
      </c>
      <c r="P363">
        <v>7.935397711547441E-3</v>
      </c>
      <c r="Q363" t="s">
        <v>166</v>
      </c>
      <c r="S363" t="s">
        <v>225</v>
      </c>
      <c r="T363" t="s">
        <v>265</v>
      </c>
      <c r="U363">
        <v>2.3937550388371796E-3</v>
      </c>
      <c r="V363" t="s">
        <v>166</v>
      </c>
    </row>
    <row r="364" spans="9:22" x14ac:dyDescent="0.45">
      <c r="I364" t="s">
        <v>184</v>
      </c>
      <c r="J364" t="s">
        <v>266</v>
      </c>
      <c r="K364">
        <v>0</v>
      </c>
      <c r="L364" t="s">
        <v>166</v>
      </c>
      <c r="N364" t="s">
        <v>208</v>
      </c>
      <c r="O364" t="s">
        <v>266</v>
      </c>
      <c r="P364">
        <v>1.7463950679193548E-2</v>
      </c>
      <c r="Q364" t="s">
        <v>166</v>
      </c>
      <c r="S364" t="s">
        <v>225</v>
      </c>
      <c r="T364" t="s">
        <v>266</v>
      </c>
      <c r="U364">
        <v>4.6040288014919878E-3</v>
      </c>
      <c r="V364" t="s">
        <v>166</v>
      </c>
    </row>
    <row r="365" spans="9:22" x14ac:dyDescent="0.45">
      <c r="I365" t="s">
        <v>184</v>
      </c>
      <c r="J365" t="s">
        <v>175</v>
      </c>
      <c r="K365">
        <v>2.4606435818946329E-3</v>
      </c>
      <c r="L365" t="s">
        <v>166</v>
      </c>
      <c r="N365" t="s">
        <v>208</v>
      </c>
      <c r="O365" t="s">
        <v>175</v>
      </c>
      <c r="P365">
        <v>3.9737109602483035E-2</v>
      </c>
      <c r="Q365" t="s">
        <v>166</v>
      </c>
      <c r="S365" t="s">
        <v>225</v>
      </c>
      <c r="T365" t="s">
        <v>175</v>
      </c>
      <c r="U365">
        <v>1.6405249846311202E-2</v>
      </c>
      <c r="V365" t="s">
        <v>166</v>
      </c>
    </row>
    <row r="366" spans="9:22" x14ac:dyDescent="0.45">
      <c r="I366" t="s">
        <v>184</v>
      </c>
      <c r="J366" t="s">
        <v>176</v>
      </c>
      <c r="K366">
        <v>4.3629070613602772E-3</v>
      </c>
      <c r="L366" t="s">
        <v>166</v>
      </c>
      <c r="N366" t="s">
        <v>208</v>
      </c>
      <c r="O366" t="s">
        <v>176</v>
      </c>
      <c r="P366">
        <v>5.4432876104044264E-3</v>
      </c>
      <c r="Q366" t="s">
        <v>166</v>
      </c>
      <c r="S366" t="s">
        <v>225</v>
      </c>
      <c r="T366" t="s">
        <v>176</v>
      </c>
      <c r="U366">
        <v>2.2754811880117327E-3</v>
      </c>
      <c r="V366" t="s">
        <v>166</v>
      </c>
    </row>
    <row r="367" spans="9:22" x14ac:dyDescent="0.45">
      <c r="I367" t="s">
        <v>184</v>
      </c>
      <c r="J367" t="s">
        <v>177</v>
      </c>
      <c r="K367">
        <v>5.3110887974935642E-2</v>
      </c>
      <c r="L367" t="s">
        <v>166</v>
      </c>
      <c r="N367" t="s">
        <v>208</v>
      </c>
      <c r="O367" t="s">
        <v>177</v>
      </c>
      <c r="P367">
        <v>4.4441502604934228E-2</v>
      </c>
      <c r="Q367" t="s">
        <v>166</v>
      </c>
      <c r="S367" t="s">
        <v>225</v>
      </c>
      <c r="T367" t="s">
        <v>177</v>
      </c>
      <c r="U367">
        <v>1.8320258814916866E-2</v>
      </c>
      <c r="V367" t="s">
        <v>166</v>
      </c>
    </row>
    <row r="368" spans="9:22" x14ac:dyDescent="0.45">
      <c r="I368" t="s">
        <v>184</v>
      </c>
      <c r="J368" t="s">
        <v>267</v>
      </c>
      <c r="K368">
        <v>4.6935277494725217E-3</v>
      </c>
      <c r="L368" t="s">
        <v>166</v>
      </c>
      <c r="N368" t="s">
        <v>208</v>
      </c>
      <c r="O368" t="s">
        <v>267</v>
      </c>
      <c r="P368">
        <v>6.5574159947960325E-3</v>
      </c>
      <c r="Q368" t="s">
        <v>166</v>
      </c>
      <c r="S368" t="s">
        <v>225</v>
      </c>
      <c r="T368" t="s">
        <v>267</v>
      </c>
      <c r="U368">
        <v>2.7747884117774436E-3</v>
      </c>
      <c r="V368" t="s">
        <v>166</v>
      </c>
    </row>
    <row r="369" spans="9:22" x14ac:dyDescent="0.45">
      <c r="I369" t="s">
        <v>184</v>
      </c>
      <c r="J369" t="s">
        <v>268</v>
      </c>
      <c r="K369">
        <v>3.9636486258451571E-3</v>
      </c>
      <c r="L369" t="s">
        <v>166</v>
      </c>
      <c r="N369" t="s">
        <v>208</v>
      </c>
      <c r="O369" t="s">
        <v>268</v>
      </c>
      <c r="P369">
        <v>1.150004082600682E-2</v>
      </c>
      <c r="Q369" t="s">
        <v>166</v>
      </c>
      <c r="S369" t="s">
        <v>225</v>
      </c>
      <c r="T369" t="s">
        <v>268</v>
      </c>
      <c r="U369">
        <v>5.0981035722390683E-3</v>
      </c>
      <c r="V369" t="s">
        <v>166</v>
      </c>
    </row>
    <row r="370" spans="9:22" x14ac:dyDescent="0.45">
      <c r="I370" t="s">
        <v>184</v>
      </c>
      <c r="J370" t="s">
        <v>269</v>
      </c>
      <c r="K370">
        <v>0</v>
      </c>
      <c r="L370" t="s">
        <v>166</v>
      </c>
      <c r="N370" t="s">
        <v>208</v>
      </c>
      <c r="O370" t="s">
        <v>269</v>
      </c>
      <c r="P370">
        <v>2.3621357600034545E-2</v>
      </c>
      <c r="Q370" t="s">
        <v>166</v>
      </c>
      <c r="S370" t="s">
        <v>225</v>
      </c>
      <c r="T370" t="s">
        <v>269</v>
      </c>
      <c r="U370">
        <v>8.9701070426568778E-3</v>
      </c>
      <c r="V370" t="s">
        <v>166</v>
      </c>
    </row>
    <row r="371" spans="9:22" x14ac:dyDescent="0.45">
      <c r="I371" t="s">
        <v>184</v>
      </c>
      <c r="J371" t="s">
        <v>270</v>
      </c>
      <c r="K371">
        <v>2.926900575829994E-3</v>
      </c>
      <c r="L371" t="s">
        <v>166</v>
      </c>
      <c r="N371" t="s">
        <v>208</v>
      </c>
      <c r="O371" t="s">
        <v>270</v>
      </c>
      <c r="P371">
        <v>3.9872317295485626E-2</v>
      </c>
      <c r="Q371" t="s">
        <v>166</v>
      </c>
      <c r="S371" t="s">
        <v>225</v>
      </c>
      <c r="T371" t="s">
        <v>270</v>
      </c>
      <c r="U371">
        <v>2.2921709969477955E-2</v>
      </c>
      <c r="V371" t="s">
        <v>166</v>
      </c>
    </row>
    <row r="372" spans="9:22" x14ac:dyDescent="0.45">
      <c r="I372" t="s">
        <v>184</v>
      </c>
      <c r="J372" t="s">
        <v>271</v>
      </c>
      <c r="K372">
        <v>5.1340341886956138E-3</v>
      </c>
      <c r="L372" t="s">
        <v>166</v>
      </c>
      <c r="N372" t="s">
        <v>208</v>
      </c>
      <c r="O372" t="s">
        <v>271</v>
      </c>
      <c r="P372">
        <v>5.3463404926094634E-3</v>
      </c>
      <c r="Q372" t="s">
        <v>166</v>
      </c>
      <c r="S372" t="s">
        <v>225</v>
      </c>
      <c r="T372" t="s">
        <v>271</v>
      </c>
      <c r="U372">
        <v>3.2570237319616575E-3</v>
      </c>
      <c r="V372" t="s">
        <v>166</v>
      </c>
    </row>
    <row r="373" spans="9:22" x14ac:dyDescent="0.45">
      <c r="I373" t="s">
        <v>184</v>
      </c>
      <c r="J373" t="s">
        <v>272</v>
      </c>
      <c r="K373">
        <v>5.5895065287001833E-2</v>
      </c>
      <c r="L373" t="s">
        <v>166</v>
      </c>
      <c r="N373" t="s">
        <v>208</v>
      </c>
      <c r="O373" t="s">
        <v>272</v>
      </c>
      <c r="P373">
        <v>4.8097353075481158E-2</v>
      </c>
      <c r="Q373" t="s">
        <v>166</v>
      </c>
      <c r="S373" t="s">
        <v>225</v>
      </c>
      <c r="T373" t="s">
        <v>272</v>
      </c>
      <c r="U373">
        <v>2.7010980223831766E-2</v>
      </c>
      <c r="V373" t="s">
        <v>166</v>
      </c>
    </row>
    <row r="374" spans="9:22" x14ac:dyDescent="0.45">
      <c r="I374" t="s">
        <v>184</v>
      </c>
      <c r="J374" t="s">
        <v>273</v>
      </c>
      <c r="K374">
        <v>4.91642601434526E-3</v>
      </c>
      <c r="L374" t="s">
        <v>166</v>
      </c>
      <c r="N374" t="s">
        <v>208</v>
      </c>
      <c r="O374" t="s">
        <v>273</v>
      </c>
      <c r="P374">
        <v>7.1204096269883149E-3</v>
      </c>
      <c r="Q374" t="s">
        <v>166</v>
      </c>
      <c r="S374" t="s">
        <v>225</v>
      </c>
      <c r="T374" t="s">
        <v>273</v>
      </c>
      <c r="U374">
        <v>3.6893726288965141E-3</v>
      </c>
      <c r="V374" t="s">
        <v>166</v>
      </c>
    </row>
    <row r="375" spans="9:22" x14ac:dyDescent="0.45">
      <c r="I375" t="s">
        <v>184</v>
      </c>
      <c r="J375" t="s">
        <v>274</v>
      </c>
      <c r="K375">
        <v>4.764293120038795E-3</v>
      </c>
      <c r="L375" t="s">
        <v>166</v>
      </c>
      <c r="N375" t="s">
        <v>208</v>
      </c>
      <c r="O375" t="s">
        <v>274</v>
      </c>
      <c r="P375">
        <v>1.0096412721278744E-2</v>
      </c>
      <c r="Q375" t="s">
        <v>166</v>
      </c>
      <c r="S375" t="s">
        <v>225</v>
      </c>
      <c r="T375" t="s">
        <v>274</v>
      </c>
      <c r="U375">
        <v>6.0298123909183999E-3</v>
      </c>
      <c r="V375" t="s">
        <v>166</v>
      </c>
    </row>
    <row r="376" spans="9:22" x14ac:dyDescent="0.45">
      <c r="I376" t="s">
        <v>184</v>
      </c>
      <c r="J376" t="s">
        <v>275</v>
      </c>
      <c r="K376">
        <v>0</v>
      </c>
      <c r="L376" t="s">
        <v>166</v>
      </c>
      <c r="N376" t="s">
        <v>208</v>
      </c>
      <c r="O376" t="s">
        <v>275</v>
      </c>
      <c r="P376">
        <v>2.0084076634563956E-2</v>
      </c>
      <c r="Q376" t="s">
        <v>166</v>
      </c>
      <c r="S376" t="s">
        <v>225</v>
      </c>
      <c r="T376" t="s">
        <v>275</v>
      </c>
      <c r="U376">
        <v>1.0942258953003749E-2</v>
      </c>
      <c r="V376" t="s">
        <v>166</v>
      </c>
    </row>
    <row r="377" spans="9:22" x14ac:dyDescent="0.45">
      <c r="I377" t="s">
        <v>184</v>
      </c>
      <c r="J377" t="s">
        <v>276</v>
      </c>
      <c r="K377">
        <v>5.7405760475262371E-3</v>
      </c>
      <c r="L377" t="s">
        <v>166</v>
      </c>
      <c r="N377" t="s">
        <v>208</v>
      </c>
      <c r="O377" t="s">
        <v>276</v>
      </c>
      <c r="P377">
        <v>5.5877944544340877E-2</v>
      </c>
      <c r="Q377" t="s">
        <v>166</v>
      </c>
      <c r="S377" t="s">
        <v>225</v>
      </c>
      <c r="T377" t="s">
        <v>276</v>
      </c>
      <c r="U377">
        <v>4.0798094509976492E-2</v>
      </c>
      <c r="V377" t="s">
        <v>166</v>
      </c>
    </row>
    <row r="378" spans="9:22" x14ac:dyDescent="0.45">
      <c r="I378" t="s">
        <v>184</v>
      </c>
      <c r="J378" t="s">
        <v>277</v>
      </c>
      <c r="K378">
        <v>1.0871393937442516E-2</v>
      </c>
      <c r="L378" t="s">
        <v>166</v>
      </c>
      <c r="N378" t="s">
        <v>208</v>
      </c>
      <c r="O378" t="s">
        <v>277</v>
      </c>
      <c r="P378">
        <v>6.8284232988837139E-3</v>
      </c>
      <c r="Q378" t="s">
        <v>166</v>
      </c>
      <c r="S378" t="s">
        <v>225</v>
      </c>
      <c r="T378" t="s">
        <v>277</v>
      </c>
      <c r="U378">
        <v>5.3405472517711137E-3</v>
      </c>
      <c r="V378" t="s">
        <v>166</v>
      </c>
    </row>
    <row r="379" spans="9:22" x14ac:dyDescent="0.45">
      <c r="I379" t="s">
        <v>184</v>
      </c>
      <c r="J379" t="s">
        <v>278</v>
      </c>
      <c r="K379">
        <v>0.11470986861366191</v>
      </c>
      <c r="L379" t="s">
        <v>166</v>
      </c>
      <c r="N379" t="s">
        <v>208</v>
      </c>
      <c r="O379" t="s">
        <v>278</v>
      </c>
      <c r="P379">
        <v>6.0801460168166316E-2</v>
      </c>
      <c r="Q379" t="s">
        <v>166</v>
      </c>
      <c r="S379" t="s">
        <v>225</v>
      </c>
      <c r="T379" t="s">
        <v>278</v>
      </c>
      <c r="U379">
        <v>4.0455986419280519E-2</v>
      </c>
      <c r="V379" t="s">
        <v>166</v>
      </c>
    </row>
    <row r="380" spans="9:22" x14ac:dyDescent="0.45">
      <c r="I380" t="s">
        <v>184</v>
      </c>
      <c r="J380" t="s">
        <v>279</v>
      </c>
      <c r="K380">
        <v>9.7861013845606248E-3</v>
      </c>
      <c r="L380" t="s">
        <v>166</v>
      </c>
      <c r="N380" t="s">
        <v>208</v>
      </c>
      <c r="O380" t="s">
        <v>279</v>
      </c>
      <c r="P380">
        <v>8.8254909775577935E-3</v>
      </c>
      <c r="Q380" t="s">
        <v>166</v>
      </c>
      <c r="S380" t="s">
        <v>225</v>
      </c>
      <c r="T380" t="s">
        <v>279</v>
      </c>
      <c r="U380">
        <v>5.911583045146232E-3</v>
      </c>
      <c r="V380" t="s">
        <v>166</v>
      </c>
    </row>
    <row r="381" spans="9:22" x14ac:dyDescent="0.45">
      <c r="I381" t="s">
        <v>184</v>
      </c>
      <c r="J381" t="s">
        <v>280</v>
      </c>
      <c r="K381">
        <v>6.9875017297798886E-3</v>
      </c>
      <c r="L381" t="s">
        <v>166</v>
      </c>
      <c r="N381" t="s">
        <v>208</v>
      </c>
      <c r="O381" t="s">
        <v>280</v>
      </c>
      <c r="P381">
        <v>1.3569590060073198E-2</v>
      </c>
      <c r="Q381" t="s">
        <v>166</v>
      </c>
      <c r="S381" t="s">
        <v>225</v>
      </c>
      <c r="T381" t="s">
        <v>280</v>
      </c>
      <c r="U381">
        <v>1.0673878377861424E-2</v>
      </c>
      <c r="V381" t="s">
        <v>166</v>
      </c>
    </row>
    <row r="382" spans="9:22" x14ac:dyDescent="0.45">
      <c r="I382" t="s">
        <v>184</v>
      </c>
      <c r="J382" t="s">
        <v>281</v>
      </c>
      <c r="K382">
        <v>0</v>
      </c>
      <c r="L382" t="s">
        <v>166</v>
      </c>
      <c r="N382" t="s">
        <v>208</v>
      </c>
      <c r="O382" t="s">
        <v>281</v>
      </c>
      <c r="P382">
        <v>2.9210826238005926E-2</v>
      </c>
      <c r="Q382" t="s">
        <v>166</v>
      </c>
      <c r="S382" t="s">
        <v>225</v>
      </c>
      <c r="T382" t="s">
        <v>281</v>
      </c>
      <c r="U382">
        <v>2.3524478929391929E-2</v>
      </c>
      <c r="V382" t="s">
        <v>166</v>
      </c>
    </row>
    <row r="383" spans="9:22" x14ac:dyDescent="0.45">
      <c r="I383" t="s">
        <v>184</v>
      </c>
      <c r="J383" t="s">
        <v>282</v>
      </c>
      <c r="K383">
        <v>3.9807982253513303E-3</v>
      </c>
      <c r="L383" t="s">
        <v>166</v>
      </c>
      <c r="N383" t="s">
        <v>208</v>
      </c>
      <c r="O383" t="s">
        <v>282</v>
      </c>
      <c r="P383">
        <v>1.9520631150415527E-2</v>
      </c>
      <c r="Q383" t="s">
        <v>166</v>
      </c>
      <c r="S383" t="s">
        <v>225</v>
      </c>
      <c r="T383" t="s">
        <v>282</v>
      </c>
      <c r="U383">
        <v>1.9420024740957303E-2</v>
      </c>
      <c r="V383" t="s">
        <v>166</v>
      </c>
    </row>
    <row r="384" spans="9:22" x14ac:dyDescent="0.45">
      <c r="I384" t="s">
        <v>184</v>
      </c>
      <c r="J384" t="s">
        <v>283</v>
      </c>
      <c r="K384">
        <v>6.9899535299162187E-3</v>
      </c>
      <c r="L384" t="s">
        <v>166</v>
      </c>
      <c r="N384" t="s">
        <v>208</v>
      </c>
      <c r="O384" t="s">
        <v>283</v>
      </c>
      <c r="P384">
        <v>2.5731034504858788E-3</v>
      </c>
      <c r="Q384" t="s">
        <v>166</v>
      </c>
      <c r="S384" t="s">
        <v>225</v>
      </c>
      <c r="T384" t="s">
        <v>283</v>
      </c>
      <c r="U384">
        <v>2.796802811393986E-3</v>
      </c>
      <c r="V384" t="s">
        <v>166</v>
      </c>
    </row>
    <row r="385" spans="9:22" x14ac:dyDescent="0.45">
      <c r="I385" t="s">
        <v>184</v>
      </c>
      <c r="J385" t="s">
        <v>284</v>
      </c>
      <c r="K385">
        <v>6.1730382994086661E-2</v>
      </c>
      <c r="L385" t="s">
        <v>166</v>
      </c>
      <c r="N385" t="s">
        <v>208</v>
      </c>
      <c r="O385" t="s">
        <v>284</v>
      </c>
      <c r="P385">
        <v>1.8071381454030207E-2</v>
      </c>
      <c r="Q385" t="s">
        <v>166</v>
      </c>
      <c r="S385" t="s">
        <v>225</v>
      </c>
      <c r="T385" t="s">
        <v>284</v>
      </c>
      <c r="U385">
        <v>1.8361640540411096E-2</v>
      </c>
      <c r="V385" t="s">
        <v>166</v>
      </c>
    </row>
    <row r="386" spans="9:22" x14ac:dyDescent="0.45">
      <c r="I386" t="s">
        <v>184</v>
      </c>
      <c r="J386" t="s">
        <v>285</v>
      </c>
      <c r="K386">
        <v>5.967620664739528E-3</v>
      </c>
      <c r="L386" t="s">
        <v>166</v>
      </c>
      <c r="N386" t="s">
        <v>208</v>
      </c>
      <c r="O386" t="s">
        <v>285</v>
      </c>
      <c r="P386">
        <v>2.4288916606529476E-3</v>
      </c>
      <c r="Q386" t="s">
        <v>166</v>
      </c>
      <c r="S386" t="s">
        <v>225</v>
      </c>
      <c r="T386" t="s">
        <v>285</v>
      </c>
      <c r="U386">
        <v>2.6197522116511475E-3</v>
      </c>
      <c r="V386" t="s">
        <v>166</v>
      </c>
    </row>
    <row r="387" spans="9:22" x14ac:dyDescent="0.45">
      <c r="I387" t="s">
        <v>184</v>
      </c>
      <c r="J387" t="s">
        <v>286</v>
      </c>
      <c r="K387">
        <v>3.4315389185665046E-3</v>
      </c>
      <c r="L387" t="s">
        <v>166</v>
      </c>
      <c r="N387" t="s">
        <v>208</v>
      </c>
      <c r="O387" t="s">
        <v>286</v>
      </c>
      <c r="P387">
        <v>4.2977640961035478E-3</v>
      </c>
      <c r="Q387" t="s">
        <v>166</v>
      </c>
      <c r="S387" t="s">
        <v>225</v>
      </c>
      <c r="T387" t="s">
        <v>286</v>
      </c>
      <c r="U387">
        <v>5.2135788846969415E-3</v>
      </c>
      <c r="V387" t="s">
        <v>166</v>
      </c>
    </row>
    <row r="388" spans="9:22" x14ac:dyDescent="0.45">
      <c r="I388" t="s">
        <v>184</v>
      </c>
      <c r="J388" t="s">
        <v>287</v>
      </c>
      <c r="K388">
        <v>0</v>
      </c>
      <c r="L388" t="s">
        <v>166</v>
      </c>
      <c r="N388" t="s">
        <v>208</v>
      </c>
      <c r="O388" t="s">
        <v>287</v>
      </c>
      <c r="P388">
        <v>1.3168212085227535E-2</v>
      </c>
      <c r="Q388" t="s">
        <v>166</v>
      </c>
      <c r="S388" t="s">
        <v>225</v>
      </c>
      <c r="T388" t="s">
        <v>287</v>
      </c>
      <c r="U388">
        <v>1.5618011408574413E-2</v>
      </c>
      <c r="V388" t="s">
        <v>166</v>
      </c>
    </row>
    <row r="389" spans="9:22" x14ac:dyDescent="0.45">
      <c r="I389" t="s">
        <v>184</v>
      </c>
      <c r="J389" t="s">
        <v>288</v>
      </c>
      <c r="K389">
        <v>3.627204252674294E-3</v>
      </c>
      <c r="L389" t="s">
        <v>166</v>
      </c>
      <c r="N389" t="s">
        <v>208</v>
      </c>
      <c r="O389" t="s">
        <v>288</v>
      </c>
      <c r="P389">
        <v>2.4190141989930632E-2</v>
      </c>
      <c r="Q389" t="s">
        <v>166</v>
      </c>
      <c r="S389" t="s">
        <v>225</v>
      </c>
      <c r="T389" t="s">
        <v>288</v>
      </c>
      <c r="U389">
        <v>6.6252249160943036E-2</v>
      </c>
      <c r="V389" t="s">
        <v>166</v>
      </c>
    </row>
    <row r="390" spans="9:22" x14ac:dyDescent="0.45">
      <c r="I390" t="s">
        <v>184</v>
      </c>
      <c r="J390" t="s">
        <v>289</v>
      </c>
      <c r="K390">
        <v>6.6823327897983439E-3</v>
      </c>
      <c r="L390" t="s">
        <v>166</v>
      </c>
      <c r="N390" t="s">
        <v>208</v>
      </c>
      <c r="O390" t="s">
        <v>289</v>
      </c>
      <c r="P390">
        <v>3.8214756395555925E-3</v>
      </c>
      <c r="Q390" t="s">
        <v>166</v>
      </c>
      <c r="S390" t="s">
        <v>225</v>
      </c>
      <c r="T390" t="s">
        <v>289</v>
      </c>
      <c r="U390">
        <v>8.4812207555050936E-3</v>
      </c>
      <c r="V390" t="s">
        <v>166</v>
      </c>
    </row>
    <row r="391" spans="9:22" x14ac:dyDescent="0.45">
      <c r="I391" t="s">
        <v>184</v>
      </c>
      <c r="J391" t="s">
        <v>290</v>
      </c>
      <c r="K391">
        <v>6.7053518460726283E-2</v>
      </c>
      <c r="L391" t="s">
        <v>166</v>
      </c>
      <c r="N391" t="s">
        <v>208</v>
      </c>
      <c r="O391" t="s">
        <v>290</v>
      </c>
      <c r="P391">
        <v>1.9649694788709045E-2</v>
      </c>
      <c r="Q391" t="s">
        <v>166</v>
      </c>
      <c r="S391" t="s">
        <v>225</v>
      </c>
      <c r="T391" t="s">
        <v>290</v>
      </c>
      <c r="U391">
        <v>5.9919813621654446E-2</v>
      </c>
      <c r="V391" t="s">
        <v>166</v>
      </c>
    </row>
    <row r="392" spans="9:22" x14ac:dyDescent="0.45">
      <c r="I392" t="s">
        <v>184</v>
      </c>
      <c r="J392" t="s">
        <v>291</v>
      </c>
      <c r="K392">
        <v>7.0377052471725819E-3</v>
      </c>
      <c r="L392" t="s">
        <v>166</v>
      </c>
      <c r="N392" t="s">
        <v>208</v>
      </c>
      <c r="O392" t="s">
        <v>291</v>
      </c>
      <c r="P392">
        <v>1.680404192047593E-3</v>
      </c>
      <c r="Q392" t="s">
        <v>166</v>
      </c>
      <c r="S392" t="s">
        <v>225</v>
      </c>
      <c r="T392" t="s">
        <v>291</v>
      </c>
      <c r="U392">
        <v>8.7141572088228602E-3</v>
      </c>
      <c r="V392" t="s">
        <v>166</v>
      </c>
    </row>
    <row r="393" spans="9:22" x14ac:dyDescent="0.45">
      <c r="I393" t="s">
        <v>184</v>
      </c>
      <c r="J393" t="s">
        <v>292</v>
      </c>
      <c r="K393">
        <v>5.3842276389218808E-3</v>
      </c>
      <c r="L393" t="s">
        <v>166</v>
      </c>
      <c r="N393" t="s">
        <v>208</v>
      </c>
      <c r="O393" t="s">
        <v>292</v>
      </c>
      <c r="P393">
        <v>3.1578379317734741E-3</v>
      </c>
      <c r="Q393" t="s">
        <v>166</v>
      </c>
      <c r="S393" t="s">
        <v>225</v>
      </c>
      <c r="T393" t="s">
        <v>292</v>
      </c>
      <c r="U393">
        <v>1.6391988707106075E-2</v>
      </c>
      <c r="V393" t="s">
        <v>166</v>
      </c>
    </row>
    <row r="394" spans="9:22" x14ac:dyDescent="0.45">
      <c r="I394" t="s">
        <v>184</v>
      </c>
      <c r="J394" t="s">
        <v>293</v>
      </c>
      <c r="K394">
        <v>0</v>
      </c>
      <c r="L394" t="s">
        <v>166</v>
      </c>
      <c r="N394" t="s">
        <v>208</v>
      </c>
      <c r="O394" t="s">
        <v>293</v>
      </c>
      <c r="P394">
        <v>1.0491882479794228E-2</v>
      </c>
      <c r="Q394" t="s">
        <v>166</v>
      </c>
      <c r="S394" t="s">
        <v>225</v>
      </c>
      <c r="T394" t="s">
        <v>293</v>
      </c>
      <c r="U394">
        <v>4.3245993890353218E-2</v>
      </c>
      <c r="V394" t="s">
        <v>166</v>
      </c>
    </row>
    <row r="395" spans="9:22" x14ac:dyDescent="0.45">
      <c r="I395" t="s">
        <v>185</v>
      </c>
      <c r="J395" t="s">
        <v>165</v>
      </c>
      <c r="K395">
        <v>1.7507755019435051E-2</v>
      </c>
      <c r="L395" t="s">
        <v>166</v>
      </c>
      <c r="N395" t="s">
        <v>209</v>
      </c>
      <c r="O395" t="s">
        <v>165</v>
      </c>
      <c r="P395">
        <v>4.9670367811230201E-2</v>
      </c>
      <c r="Q395" t="s">
        <v>166</v>
      </c>
      <c r="S395" t="s">
        <v>226</v>
      </c>
      <c r="T395" t="s">
        <v>165</v>
      </c>
      <c r="U395">
        <v>0.13485826031672699</v>
      </c>
      <c r="V395" t="s">
        <v>166</v>
      </c>
    </row>
    <row r="396" spans="9:22" x14ac:dyDescent="0.45">
      <c r="I396" t="s">
        <v>185</v>
      </c>
      <c r="J396" t="s">
        <v>167</v>
      </c>
      <c r="K396">
        <v>3.0122916764454027E-2</v>
      </c>
      <c r="L396" t="s">
        <v>166</v>
      </c>
      <c r="N396" t="s">
        <v>209</v>
      </c>
      <c r="O396" t="s">
        <v>167</v>
      </c>
      <c r="P396">
        <v>9.3776023994434909E-3</v>
      </c>
      <c r="Q396" t="s">
        <v>166</v>
      </c>
      <c r="S396" t="s">
        <v>226</v>
      </c>
      <c r="T396" t="s">
        <v>167</v>
      </c>
      <c r="U396">
        <v>1.750070440598318E-2</v>
      </c>
      <c r="V396" t="s">
        <v>166</v>
      </c>
    </row>
    <row r="397" spans="9:22" x14ac:dyDescent="0.45">
      <c r="I397" t="s">
        <v>185</v>
      </c>
      <c r="J397" t="s">
        <v>168</v>
      </c>
      <c r="K397">
        <v>0.28377672196600517</v>
      </c>
      <c r="L397" t="s">
        <v>166</v>
      </c>
      <c r="N397" t="s">
        <v>209</v>
      </c>
      <c r="O397" t="s">
        <v>168</v>
      </c>
      <c r="P397">
        <v>0.1260767797916556</v>
      </c>
      <c r="Q397" t="s">
        <v>166</v>
      </c>
      <c r="S397" t="s">
        <v>226</v>
      </c>
      <c r="T397" t="s">
        <v>168</v>
      </c>
      <c r="U397">
        <v>0.11747151319728173</v>
      </c>
      <c r="V397" t="s">
        <v>166</v>
      </c>
    </row>
    <row r="398" spans="9:22" x14ac:dyDescent="0.45">
      <c r="I398" t="s">
        <v>185</v>
      </c>
      <c r="J398" t="s">
        <v>258</v>
      </c>
      <c r="K398">
        <v>2.885479545406662E-2</v>
      </c>
      <c r="L398" t="s">
        <v>166</v>
      </c>
      <c r="N398" t="s">
        <v>209</v>
      </c>
      <c r="O398" t="s">
        <v>258</v>
      </c>
      <c r="P398">
        <v>1.9053487276054226E-2</v>
      </c>
      <c r="Q398" t="s">
        <v>166</v>
      </c>
      <c r="S398" t="s">
        <v>226</v>
      </c>
      <c r="T398" t="s">
        <v>258</v>
      </c>
      <c r="U398">
        <v>1.6244182484526484E-2</v>
      </c>
      <c r="V398" t="s">
        <v>166</v>
      </c>
    </row>
    <row r="399" spans="9:22" x14ac:dyDescent="0.45">
      <c r="I399" t="s">
        <v>185</v>
      </c>
      <c r="J399" t="s">
        <v>259</v>
      </c>
      <c r="K399">
        <v>3.5298999491685835E-2</v>
      </c>
      <c r="L399" t="s">
        <v>166</v>
      </c>
      <c r="N399" t="s">
        <v>209</v>
      </c>
      <c r="O399" t="s">
        <v>259</v>
      </c>
      <c r="P399">
        <v>2.372906877587631E-2</v>
      </c>
      <c r="Q399" t="s">
        <v>166</v>
      </c>
      <c r="S399" t="s">
        <v>226</v>
      </c>
      <c r="T399" t="s">
        <v>259</v>
      </c>
      <c r="U399">
        <v>3.1392510916293387E-2</v>
      </c>
      <c r="V399" t="s">
        <v>166</v>
      </c>
    </row>
    <row r="400" spans="9:22" x14ac:dyDescent="0.45">
      <c r="I400" t="s">
        <v>185</v>
      </c>
      <c r="J400" t="s">
        <v>260</v>
      </c>
      <c r="K400">
        <v>0</v>
      </c>
      <c r="L400" t="s">
        <v>166</v>
      </c>
      <c r="N400" t="s">
        <v>209</v>
      </c>
      <c r="O400" t="s">
        <v>260</v>
      </c>
      <c r="P400">
        <v>3.9255856598923118E-2</v>
      </c>
      <c r="Q400" t="s">
        <v>166</v>
      </c>
      <c r="S400" t="s">
        <v>226</v>
      </c>
      <c r="T400" t="s">
        <v>260</v>
      </c>
      <c r="U400">
        <v>8.4864805465881918E-2</v>
      </c>
      <c r="V400" t="s">
        <v>166</v>
      </c>
    </row>
    <row r="401" spans="9:22" x14ac:dyDescent="0.45">
      <c r="I401" t="s">
        <v>185</v>
      </c>
      <c r="J401" t="s">
        <v>169</v>
      </c>
      <c r="K401">
        <v>5.3543111716319817E-3</v>
      </c>
      <c r="L401" t="s">
        <v>166</v>
      </c>
      <c r="N401" t="s">
        <v>209</v>
      </c>
      <c r="O401" t="s">
        <v>169</v>
      </c>
      <c r="P401">
        <v>6.9422043104408306E-3</v>
      </c>
      <c r="Q401" t="s">
        <v>166</v>
      </c>
      <c r="S401" t="s">
        <v>226</v>
      </c>
      <c r="T401" t="s">
        <v>169</v>
      </c>
      <c r="U401">
        <v>3.708639898753553E-3</v>
      </c>
      <c r="V401" t="s">
        <v>166</v>
      </c>
    </row>
    <row r="402" spans="9:22" x14ac:dyDescent="0.45">
      <c r="I402" t="s">
        <v>185</v>
      </c>
      <c r="J402" t="s">
        <v>170</v>
      </c>
      <c r="K402">
        <v>7.3782042890148496E-3</v>
      </c>
      <c r="L402" t="s">
        <v>166</v>
      </c>
      <c r="N402" t="s">
        <v>209</v>
      </c>
      <c r="O402" t="s">
        <v>170</v>
      </c>
      <c r="P402">
        <v>1.3125316825081414E-3</v>
      </c>
      <c r="Q402" t="s">
        <v>166</v>
      </c>
      <c r="S402" t="s">
        <v>226</v>
      </c>
      <c r="T402" t="s">
        <v>170</v>
      </c>
      <c r="U402">
        <v>4.4601422943520386E-4</v>
      </c>
      <c r="V402" t="s">
        <v>166</v>
      </c>
    </row>
    <row r="403" spans="9:22" x14ac:dyDescent="0.45">
      <c r="I403" t="s">
        <v>185</v>
      </c>
      <c r="J403" t="s">
        <v>171</v>
      </c>
      <c r="K403">
        <v>6.7175985957236728E-2</v>
      </c>
      <c r="L403" t="s">
        <v>166</v>
      </c>
      <c r="N403" t="s">
        <v>209</v>
      </c>
      <c r="O403" t="s">
        <v>171</v>
      </c>
      <c r="P403">
        <v>9.1605387580102667E-3</v>
      </c>
      <c r="Q403" t="s">
        <v>166</v>
      </c>
      <c r="S403" t="s">
        <v>226</v>
      </c>
      <c r="T403" t="s">
        <v>171</v>
      </c>
      <c r="U403">
        <v>3.4119354289151617E-3</v>
      </c>
      <c r="V403" t="s">
        <v>166</v>
      </c>
    </row>
    <row r="404" spans="9:22" x14ac:dyDescent="0.45">
      <c r="I404" t="s">
        <v>185</v>
      </c>
      <c r="J404" t="s">
        <v>261</v>
      </c>
      <c r="K404">
        <v>4.631264719321038E-3</v>
      </c>
      <c r="L404" t="s">
        <v>166</v>
      </c>
      <c r="N404" t="s">
        <v>209</v>
      </c>
      <c r="O404" t="s">
        <v>261</v>
      </c>
      <c r="P404">
        <v>8.6729012275208492E-4</v>
      </c>
      <c r="Q404" t="s">
        <v>166</v>
      </c>
      <c r="S404" t="s">
        <v>226</v>
      </c>
      <c r="T404" t="s">
        <v>261</v>
      </c>
      <c r="U404">
        <v>5.9352497149710748E-4</v>
      </c>
      <c r="V404" t="s">
        <v>166</v>
      </c>
    </row>
    <row r="405" spans="9:22" x14ac:dyDescent="0.45">
      <c r="I405" t="s">
        <v>185</v>
      </c>
      <c r="J405" t="s">
        <v>262</v>
      </c>
      <c r="K405">
        <v>4.3195212969903002E-3</v>
      </c>
      <c r="L405" t="s">
        <v>166</v>
      </c>
      <c r="N405" t="s">
        <v>209</v>
      </c>
      <c r="O405" t="s">
        <v>262</v>
      </c>
      <c r="P405">
        <v>9.9938702609816987E-4</v>
      </c>
      <c r="Q405" t="s">
        <v>166</v>
      </c>
      <c r="S405" t="s">
        <v>226</v>
      </c>
      <c r="T405" t="s">
        <v>262</v>
      </c>
      <c r="U405">
        <v>9.6216959523270289E-4</v>
      </c>
      <c r="V405" t="s">
        <v>166</v>
      </c>
    </row>
    <row r="406" spans="9:22" x14ac:dyDescent="0.45">
      <c r="I406" t="s">
        <v>185</v>
      </c>
      <c r="J406" t="s">
        <v>263</v>
      </c>
      <c r="K406">
        <v>0</v>
      </c>
      <c r="L406" t="s">
        <v>166</v>
      </c>
      <c r="N406" t="s">
        <v>209</v>
      </c>
      <c r="O406" t="s">
        <v>263</v>
      </c>
      <c r="P406">
        <v>2.4620260810912331E-3</v>
      </c>
      <c r="Q406" t="s">
        <v>166</v>
      </c>
      <c r="S406" t="s">
        <v>226</v>
      </c>
      <c r="T406" t="s">
        <v>263</v>
      </c>
      <c r="U406">
        <v>2.2005686887796743E-3</v>
      </c>
      <c r="V406" t="s">
        <v>166</v>
      </c>
    </row>
    <row r="407" spans="9:22" x14ac:dyDescent="0.45">
      <c r="I407" t="s">
        <v>185</v>
      </c>
      <c r="J407" t="s">
        <v>172</v>
      </c>
      <c r="K407">
        <v>2.8928430536748822E-3</v>
      </c>
      <c r="L407" t="s">
        <v>166</v>
      </c>
      <c r="N407" t="s">
        <v>209</v>
      </c>
      <c r="O407" t="s">
        <v>172</v>
      </c>
      <c r="P407">
        <v>2.2103324398789148E-2</v>
      </c>
      <c r="Q407" t="s">
        <v>166</v>
      </c>
      <c r="S407" t="s">
        <v>226</v>
      </c>
      <c r="T407" t="s">
        <v>172</v>
      </c>
      <c r="U407">
        <v>1.5504388740279727E-2</v>
      </c>
      <c r="V407" t="s">
        <v>166</v>
      </c>
    </row>
    <row r="408" spans="9:22" x14ac:dyDescent="0.45">
      <c r="I408" t="s">
        <v>185</v>
      </c>
      <c r="J408" t="s">
        <v>173</v>
      </c>
      <c r="K408">
        <v>4.5432251786947792E-3</v>
      </c>
      <c r="L408" t="s">
        <v>166</v>
      </c>
      <c r="N408" t="s">
        <v>209</v>
      </c>
      <c r="O408" t="s">
        <v>173</v>
      </c>
      <c r="P408">
        <v>3.4510537757490136E-3</v>
      </c>
      <c r="Q408" t="s">
        <v>166</v>
      </c>
      <c r="S408" t="s">
        <v>226</v>
      </c>
      <c r="T408" t="s">
        <v>173</v>
      </c>
      <c r="U408">
        <v>1.9356152913608867E-3</v>
      </c>
      <c r="V408" t="s">
        <v>166</v>
      </c>
    </row>
    <row r="409" spans="9:22" x14ac:dyDescent="0.45">
      <c r="I409" t="s">
        <v>185</v>
      </c>
      <c r="J409" t="s">
        <v>174</v>
      </c>
      <c r="K409">
        <v>5.0374638140802439E-2</v>
      </c>
      <c r="L409" t="s">
        <v>166</v>
      </c>
      <c r="N409" t="s">
        <v>209</v>
      </c>
      <c r="O409" t="s">
        <v>174</v>
      </c>
      <c r="P409">
        <v>2.796933472453238E-2</v>
      </c>
      <c r="Q409" t="s">
        <v>166</v>
      </c>
      <c r="S409" t="s">
        <v>226</v>
      </c>
      <c r="T409" t="s">
        <v>174</v>
      </c>
      <c r="U409">
        <v>1.2806218975564993E-2</v>
      </c>
      <c r="V409" t="s">
        <v>166</v>
      </c>
    </row>
    <row r="410" spans="9:22" x14ac:dyDescent="0.45">
      <c r="I410" t="s">
        <v>185</v>
      </c>
      <c r="J410" t="s">
        <v>264</v>
      </c>
      <c r="K410">
        <v>3.8709043726416056E-3</v>
      </c>
      <c r="L410" t="s">
        <v>166</v>
      </c>
      <c r="N410" t="s">
        <v>209</v>
      </c>
      <c r="O410" t="s">
        <v>264</v>
      </c>
      <c r="P410">
        <v>2.5075098485781242E-3</v>
      </c>
      <c r="Q410" t="s">
        <v>166</v>
      </c>
      <c r="S410" t="s">
        <v>226</v>
      </c>
      <c r="T410" t="s">
        <v>264</v>
      </c>
      <c r="U410">
        <v>1.9933348681680494E-3</v>
      </c>
      <c r="V410" t="s">
        <v>166</v>
      </c>
    </row>
    <row r="411" spans="9:22" x14ac:dyDescent="0.45">
      <c r="I411" t="s">
        <v>185</v>
      </c>
      <c r="J411" t="s">
        <v>265</v>
      </c>
      <c r="K411">
        <v>3.64465978583146E-3</v>
      </c>
      <c r="L411" t="s">
        <v>166</v>
      </c>
      <c r="N411" t="s">
        <v>209</v>
      </c>
      <c r="O411" t="s">
        <v>265</v>
      </c>
      <c r="P411">
        <v>3.4303539993285406E-3</v>
      </c>
      <c r="Q411" t="s">
        <v>166</v>
      </c>
      <c r="S411" t="s">
        <v>226</v>
      </c>
      <c r="T411" t="s">
        <v>265</v>
      </c>
      <c r="U411">
        <v>3.6909750269481251E-3</v>
      </c>
      <c r="V411" t="s">
        <v>166</v>
      </c>
    </row>
    <row r="412" spans="9:22" x14ac:dyDescent="0.45">
      <c r="I412" t="s">
        <v>185</v>
      </c>
      <c r="J412" t="s">
        <v>266</v>
      </c>
      <c r="K412">
        <v>0</v>
      </c>
      <c r="L412" t="s">
        <v>166</v>
      </c>
      <c r="N412" t="s">
        <v>209</v>
      </c>
      <c r="O412" t="s">
        <v>266</v>
      </c>
      <c r="P412">
        <v>8.7296036707367845E-3</v>
      </c>
      <c r="Q412" t="s">
        <v>166</v>
      </c>
      <c r="S412" t="s">
        <v>226</v>
      </c>
      <c r="T412" t="s">
        <v>266</v>
      </c>
      <c r="U412">
        <v>8.1903877994082101E-3</v>
      </c>
      <c r="V412" t="s">
        <v>166</v>
      </c>
    </row>
    <row r="413" spans="9:22" x14ac:dyDescent="0.45">
      <c r="I413" t="s">
        <v>185</v>
      </c>
      <c r="J413" t="s">
        <v>175</v>
      </c>
      <c r="K413">
        <v>2.2701922629393633E-3</v>
      </c>
      <c r="L413" t="s">
        <v>166</v>
      </c>
      <c r="N413" t="s">
        <v>209</v>
      </c>
      <c r="O413" t="s">
        <v>175</v>
      </c>
      <c r="P413">
        <v>1.7867394551628737E-2</v>
      </c>
      <c r="Q413" t="s">
        <v>166</v>
      </c>
      <c r="S413" t="s">
        <v>226</v>
      </c>
      <c r="T413" t="s">
        <v>175</v>
      </c>
      <c r="U413">
        <v>2.1096371206496503E-2</v>
      </c>
      <c r="V413" t="s">
        <v>166</v>
      </c>
    </row>
    <row r="414" spans="9:22" x14ac:dyDescent="0.45">
      <c r="I414" t="s">
        <v>185</v>
      </c>
      <c r="J414" t="s">
        <v>176</v>
      </c>
      <c r="K414">
        <v>4.239311953919047E-3</v>
      </c>
      <c r="L414" t="s">
        <v>166</v>
      </c>
      <c r="N414" t="s">
        <v>209</v>
      </c>
      <c r="O414" t="s">
        <v>176</v>
      </c>
      <c r="P414">
        <v>2.6836185458738171E-3</v>
      </c>
      <c r="Q414" t="s">
        <v>166</v>
      </c>
      <c r="S414" t="s">
        <v>226</v>
      </c>
      <c r="T414" t="s">
        <v>176</v>
      </c>
      <c r="U414">
        <v>2.6340715620372392E-3</v>
      </c>
      <c r="V414" t="s">
        <v>166</v>
      </c>
    </row>
    <row r="415" spans="9:22" x14ac:dyDescent="0.45">
      <c r="I415" t="s">
        <v>185</v>
      </c>
      <c r="J415" t="s">
        <v>177</v>
      </c>
      <c r="K415">
        <v>5.0779018503564803E-2</v>
      </c>
      <c r="L415" t="s">
        <v>166</v>
      </c>
      <c r="N415" t="s">
        <v>209</v>
      </c>
      <c r="O415" t="s">
        <v>177</v>
      </c>
      <c r="P415">
        <v>2.7388695038544408E-2</v>
      </c>
      <c r="Q415" t="s">
        <v>166</v>
      </c>
      <c r="S415" t="s">
        <v>226</v>
      </c>
      <c r="T415" t="s">
        <v>177</v>
      </c>
      <c r="U415">
        <v>2.0912700261262514E-2</v>
      </c>
      <c r="V415" t="s">
        <v>166</v>
      </c>
    </row>
    <row r="416" spans="9:22" x14ac:dyDescent="0.45">
      <c r="I416" t="s">
        <v>185</v>
      </c>
      <c r="J416" t="s">
        <v>267</v>
      </c>
      <c r="K416">
        <v>4.2365773506400917E-3</v>
      </c>
      <c r="L416" t="s">
        <v>166</v>
      </c>
      <c r="N416" t="s">
        <v>209</v>
      </c>
      <c r="O416" t="s">
        <v>267</v>
      </c>
      <c r="P416">
        <v>2.0347079113581484E-3</v>
      </c>
      <c r="Q416" t="s">
        <v>166</v>
      </c>
      <c r="S416" t="s">
        <v>226</v>
      </c>
      <c r="T416" t="s">
        <v>267</v>
      </c>
      <c r="U416">
        <v>3.4359208721757508E-3</v>
      </c>
      <c r="V416" t="s">
        <v>166</v>
      </c>
    </row>
    <row r="417" spans="9:22" x14ac:dyDescent="0.45">
      <c r="I417" t="s">
        <v>185</v>
      </c>
      <c r="J417" t="s">
        <v>268</v>
      </c>
      <c r="K417">
        <v>3.9772314410591331E-3</v>
      </c>
      <c r="L417" t="s">
        <v>166</v>
      </c>
      <c r="N417" t="s">
        <v>209</v>
      </c>
      <c r="O417" t="s">
        <v>268</v>
      </c>
      <c r="P417">
        <v>2.6906932314754769E-3</v>
      </c>
      <c r="Q417" t="s">
        <v>166</v>
      </c>
      <c r="S417" t="s">
        <v>226</v>
      </c>
      <c r="T417" t="s">
        <v>268</v>
      </c>
      <c r="U417">
        <v>6.6400002841240343E-3</v>
      </c>
      <c r="V417" t="s">
        <v>166</v>
      </c>
    </row>
    <row r="418" spans="9:22" x14ac:dyDescent="0.45">
      <c r="I418" t="s">
        <v>185</v>
      </c>
      <c r="J418" t="s">
        <v>269</v>
      </c>
      <c r="K418">
        <v>0</v>
      </c>
      <c r="L418" t="s">
        <v>166</v>
      </c>
      <c r="N418" t="s">
        <v>209</v>
      </c>
      <c r="O418" t="s">
        <v>269</v>
      </c>
      <c r="P418">
        <v>6.9392030804137873E-3</v>
      </c>
      <c r="Q418" t="s">
        <v>166</v>
      </c>
      <c r="S418" t="s">
        <v>226</v>
      </c>
      <c r="T418" t="s">
        <v>269</v>
      </c>
      <c r="U418">
        <v>1.3668596770280246E-2</v>
      </c>
      <c r="V418" t="s">
        <v>166</v>
      </c>
    </row>
    <row r="419" spans="9:22" x14ac:dyDescent="0.45">
      <c r="I419" t="s">
        <v>185</v>
      </c>
      <c r="J419" t="s">
        <v>270</v>
      </c>
      <c r="K419">
        <v>1.9973284794116719E-3</v>
      </c>
      <c r="L419" t="s">
        <v>166</v>
      </c>
      <c r="N419" t="s">
        <v>209</v>
      </c>
      <c r="O419" t="s">
        <v>270</v>
      </c>
      <c r="P419">
        <v>6.3054785339174968E-2</v>
      </c>
      <c r="Q419" t="s">
        <v>166</v>
      </c>
      <c r="S419" t="s">
        <v>226</v>
      </c>
      <c r="T419" t="s">
        <v>270</v>
      </c>
      <c r="U419">
        <v>2.7654154770435039E-2</v>
      </c>
      <c r="V419" t="s">
        <v>166</v>
      </c>
    </row>
    <row r="420" spans="9:22" x14ac:dyDescent="0.45">
      <c r="I420" t="s">
        <v>185</v>
      </c>
      <c r="J420" t="s">
        <v>271</v>
      </c>
      <c r="K420">
        <v>4.2060720110585403E-3</v>
      </c>
      <c r="L420" t="s">
        <v>166</v>
      </c>
      <c r="N420" t="s">
        <v>209</v>
      </c>
      <c r="O420" t="s">
        <v>271</v>
      </c>
      <c r="P420">
        <v>8.0397699668712918E-3</v>
      </c>
      <c r="Q420" t="s">
        <v>166</v>
      </c>
      <c r="S420" t="s">
        <v>226</v>
      </c>
      <c r="T420" t="s">
        <v>271</v>
      </c>
      <c r="U420">
        <v>3.2815790932800805E-3</v>
      </c>
      <c r="V420" t="s">
        <v>166</v>
      </c>
    </row>
    <row r="421" spans="9:22" x14ac:dyDescent="0.45">
      <c r="I421" t="s">
        <v>185</v>
      </c>
      <c r="J421" t="s">
        <v>272</v>
      </c>
      <c r="K421">
        <v>5.2573170344264078E-2</v>
      </c>
      <c r="L421" t="s">
        <v>166</v>
      </c>
      <c r="N421" t="s">
        <v>209</v>
      </c>
      <c r="O421" t="s">
        <v>272</v>
      </c>
      <c r="P421">
        <v>6.3509194125820637E-2</v>
      </c>
      <c r="Q421" t="s">
        <v>166</v>
      </c>
      <c r="S421" t="s">
        <v>226</v>
      </c>
      <c r="T421" t="s">
        <v>272</v>
      </c>
      <c r="U421">
        <v>2.6434425748043881E-2</v>
      </c>
      <c r="V421" t="s">
        <v>166</v>
      </c>
    </row>
    <row r="422" spans="9:22" x14ac:dyDescent="0.45">
      <c r="I422" t="s">
        <v>185</v>
      </c>
      <c r="J422" t="s">
        <v>273</v>
      </c>
      <c r="K422">
        <v>5.1680823913344909E-3</v>
      </c>
      <c r="L422" t="s">
        <v>166</v>
      </c>
      <c r="N422" t="s">
        <v>209</v>
      </c>
      <c r="O422" t="s">
        <v>273</v>
      </c>
      <c r="P422">
        <v>4.7601371580043867E-3</v>
      </c>
      <c r="Q422" t="s">
        <v>166</v>
      </c>
      <c r="S422" t="s">
        <v>226</v>
      </c>
      <c r="T422" t="s">
        <v>273</v>
      </c>
      <c r="U422">
        <v>4.0222847515858509E-3</v>
      </c>
      <c r="V422" t="s">
        <v>166</v>
      </c>
    </row>
    <row r="423" spans="9:22" x14ac:dyDescent="0.45">
      <c r="I423" t="s">
        <v>185</v>
      </c>
      <c r="J423" t="s">
        <v>274</v>
      </c>
      <c r="K423">
        <v>5.4427791234687196E-3</v>
      </c>
      <c r="L423" t="s">
        <v>166</v>
      </c>
      <c r="N423" t="s">
        <v>209</v>
      </c>
      <c r="O423" t="s">
        <v>274</v>
      </c>
      <c r="P423">
        <v>8.1758783434759535E-3</v>
      </c>
      <c r="Q423" t="s">
        <v>166</v>
      </c>
      <c r="S423" t="s">
        <v>226</v>
      </c>
      <c r="T423" t="s">
        <v>274</v>
      </c>
      <c r="U423">
        <v>7.2378673228552706E-3</v>
      </c>
      <c r="V423" t="s">
        <v>166</v>
      </c>
    </row>
    <row r="424" spans="9:22" x14ac:dyDescent="0.45">
      <c r="I424" t="s">
        <v>185</v>
      </c>
      <c r="J424" t="s">
        <v>275</v>
      </c>
      <c r="K424">
        <v>0</v>
      </c>
      <c r="L424" t="s">
        <v>166</v>
      </c>
      <c r="N424" t="s">
        <v>209</v>
      </c>
      <c r="O424" t="s">
        <v>275</v>
      </c>
      <c r="P424">
        <v>2.6788881765213456E-2</v>
      </c>
      <c r="Q424" t="s">
        <v>166</v>
      </c>
      <c r="S424" t="s">
        <v>226</v>
      </c>
      <c r="T424" t="s">
        <v>275</v>
      </c>
      <c r="U424">
        <v>1.5414646431257565E-2</v>
      </c>
      <c r="V424" t="s">
        <v>166</v>
      </c>
    </row>
    <row r="425" spans="9:22" x14ac:dyDescent="0.45">
      <c r="I425" t="s">
        <v>185</v>
      </c>
      <c r="J425" t="s">
        <v>276</v>
      </c>
      <c r="K425">
        <v>6.6542010465522701E-3</v>
      </c>
      <c r="L425" t="s">
        <v>166</v>
      </c>
      <c r="N425" t="s">
        <v>209</v>
      </c>
      <c r="O425" t="s">
        <v>276</v>
      </c>
      <c r="P425">
        <v>4.0811089750846123E-2</v>
      </c>
      <c r="Q425" t="s">
        <v>166</v>
      </c>
      <c r="S425" t="s">
        <v>226</v>
      </c>
      <c r="T425" t="s">
        <v>276</v>
      </c>
      <c r="U425">
        <v>4.3404144087246688E-2</v>
      </c>
      <c r="V425" t="s">
        <v>166</v>
      </c>
    </row>
    <row r="426" spans="9:22" x14ac:dyDescent="0.45">
      <c r="I426" t="s">
        <v>185</v>
      </c>
      <c r="J426" t="s">
        <v>277</v>
      </c>
      <c r="K426">
        <v>1.1572792927178308E-2</v>
      </c>
      <c r="L426" t="s">
        <v>166</v>
      </c>
      <c r="N426" t="s">
        <v>209</v>
      </c>
      <c r="O426" t="s">
        <v>277</v>
      </c>
      <c r="P426">
        <v>6.2791596188303172E-3</v>
      </c>
      <c r="Q426" t="s">
        <v>166</v>
      </c>
      <c r="S426" t="s">
        <v>226</v>
      </c>
      <c r="T426" t="s">
        <v>277</v>
      </c>
      <c r="U426">
        <v>5.7213350099248389E-3</v>
      </c>
      <c r="V426" t="s">
        <v>166</v>
      </c>
    </row>
    <row r="427" spans="9:22" x14ac:dyDescent="0.45">
      <c r="I427" t="s">
        <v>185</v>
      </c>
      <c r="J427" t="s">
        <v>278</v>
      </c>
      <c r="K427">
        <v>0.11304656168536671</v>
      </c>
      <c r="L427" t="s">
        <v>166</v>
      </c>
      <c r="N427" t="s">
        <v>209</v>
      </c>
      <c r="O427" t="s">
        <v>278</v>
      </c>
      <c r="P427">
        <v>5.9390688068769661E-2</v>
      </c>
      <c r="Q427" t="s">
        <v>166</v>
      </c>
      <c r="S427" t="s">
        <v>226</v>
      </c>
      <c r="T427" t="s">
        <v>278</v>
      </c>
      <c r="U427">
        <v>4.324291534344487E-2</v>
      </c>
      <c r="V427" t="s">
        <v>166</v>
      </c>
    </row>
    <row r="428" spans="9:22" x14ac:dyDescent="0.45">
      <c r="I428" t="s">
        <v>185</v>
      </c>
      <c r="J428" t="s">
        <v>279</v>
      </c>
      <c r="K428">
        <v>9.434595121608878E-3</v>
      </c>
      <c r="L428" t="s">
        <v>166</v>
      </c>
      <c r="N428" t="s">
        <v>209</v>
      </c>
      <c r="O428" t="s">
        <v>279</v>
      </c>
      <c r="P428">
        <v>6.3862696012795886E-3</v>
      </c>
      <c r="Q428" t="s">
        <v>166</v>
      </c>
      <c r="S428" t="s">
        <v>226</v>
      </c>
      <c r="T428" t="s">
        <v>279</v>
      </c>
      <c r="U428">
        <v>6.3972536290684712E-3</v>
      </c>
      <c r="V428" t="s">
        <v>166</v>
      </c>
    </row>
    <row r="429" spans="9:22" x14ac:dyDescent="0.45">
      <c r="I429" t="s">
        <v>185</v>
      </c>
      <c r="J429" t="s">
        <v>280</v>
      </c>
      <c r="K429">
        <v>7.1997762074662739E-3</v>
      </c>
      <c r="L429" t="s">
        <v>166</v>
      </c>
      <c r="N429" t="s">
        <v>209</v>
      </c>
      <c r="O429" t="s">
        <v>280</v>
      </c>
      <c r="P429">
        <v>9.9542069318427004E-3</v>
      </c>
      <c r="Q429" t="s">
        <v>166</v>
      </c>
      <c r="S429" t="s">
        <v>226</v>
      </c>
      <c r="T429" t="s">
        <v>280</v>
      </c>
      <c r="U429">
        <v>1.1710182285031878E-2</v>
      </c>
      <c r="V429" t="s">
        <v>166</v>
      </c>
    </row>
    <row r="430" spans="9:22" x14ac:dyDescent="0.45">
      <c r="I430" t="s">
        <v>185</v>
      </c>
      <c r="J430" t="s">
        <v>281</v>
      </c>
      <c r="K430">
        <v>0</v>
      </c>
      <c r="L430" t="s">
        <v>166</v>
      </c>
      <c r="N430" t="s">
        <v>209</v>
      </c>
      <c r="O430" t="s">
        <v>281</v>
      </c>
      <c r="P430">
        <v>2.022044237933221E-2</v>
      </c>
      <c r="Q430" t="s">
        <v>166</v>
      </c>
      <c r="S430" t="s">
        <v>226</v>
      </c>
      <c r="T430" t="s">
        <v>281</v>
      </c>
      <c r="U430">
        <v>2.6954194940607364E-2</v>
      </c>
      <c r="V430" t="s">
        <v>166</v>
      </c>
    </row>
    <row r="431" spans="9:22" x14ac:dyDescent="0.45">
      <c r="I431" t="s">
        <v>185</v>
      </c>
      <c r="J431" t="s">
        <v>282</v>
      </c>
      <c r="K431">
        <v>3.8559108460169953E-3</v>
      </c>
      <c r="L431" t="s">
        <v>166</v>
      </c>
      <c r="N431" t="s">
        <v>209</v>
      </c>
      <c r="O431" t="s">
        <v>282</v>
      </c>
      <c r="P431">
        <v>3.1243844705767385E-2</v>
      </c>
      <c r="Q431" t="s">
        <v>166</v>
      </c>
      <c r="S431" t="s">
        <v>226</v>
      </c>
      <c r="T431" t="s">
        <v>282</v>
      </c>
      <c r="U431">
        <v>2.8574621428664144E-2</v>
      </c>
      <c r="V431" t="s">
        <v>166</v>
      </c>
    </row>
    <row r="432" spans="9:22" x14ac:dyDescent="0.45">
      <c r="I432" t="s">
        <v>185</v>
      </c>
      <c r="J432" t="s">
        <v>283</v>
      </c>
      <c r="K432">
        <v>6.7864314508378765E-3</v>
      </c>
      <c r="L432" t="s">
        <v>166</v>
      </c>
      <c r="N432" t="s">
        <v>209</v>
      </c>
      <c r="O432" t="s">
        <v>283</v>
      </c>
      <c r="P432">
        <v>5.3437390659435815E-3</v>
      </c>
      <c r="Q432" t="s">
        <v>166</v>
      </c>
      <c r="S432" t="s">
        <v>226</v>
      </c>
      <c r="T432" t="s">
        <v>283</v>
      </c>
      <c r="U432">
        <v>3.7572924259830194E-3</v>
      </c>
      <c r="V432" t="s">
        <v>166</v>
      </c>
    </row>
    <row r="433" spans="9:22" x14ac:dyDescent="0.45">
      <c r="I433" t="s">
        <v>185</v>
      </c>
      <c r="J433" t="s">
        <v>284</v>
      </c>
      <c r="K433">
        <v>5.7736075535821794E-2</v>
      </c>
      <c r="L433" t="s">
        <v>166</v>
      </c>
      <c r="N433" t="s">
        <v>209</v>
      </c>
      <c r="O433" t="s">
        <v>284</v>
      </c>
      <c r="P433">
        <v>5.2074553055195823E-2</v>
      </c>
      <c r="Q433" t="s">
        <v>166</v>
      </c>
      <c r="S433" t="s">
        <v>226</v>
      </c>
      <c r="T433" t="s">
        <v>284</v>
      </c>
      <c r="U433">
        <v>2.3788637131606359E-2</v>
      </c>
      <c r="V433" t="s">
        <v>166</v>
      </c>
    </row>
    <row r="434" spans="9:22" x14ac:dyDescent="0.45">
      <c r="I434" t="s">
        <v>185</v>
      </c>
      <c r="J434" t="s">
        <v>285</v>
      </c>
      <c r="K434">
        <v>5.9093632010941812E-3</v>
      </c>
      <c r="L434" t="s">
        <v>166</v>
      </c>
      <c r="N434" t="s">
        <v>209</v>
      </c>
      <c r="O434" t="s">
        <v>285</v>
      </c>
      <c r="P434">
        <v>5.6893155010772955E-3</v>
      </c>
      <c r="Q434" t="s">
        <v>166</v>
      </c>
      <c r="S434" t="s">
        <v>226</v>
      </c>
      <c r="T434" t="s">
        <v>285</v>
      </c>
      <c r="U434">
        <v>3.240600375278345E-3</v>
      </c>
      <c r="V434" t="s">
        <v>166</v>
      </c>
    </row>
    <row r="435" spans="9:22" x14ac:dyDescent="0.45">
      <c r="I435" t="s">
        <v>185</v>
      </c>
      <c r="J435" t="s">
        <v>286</v>
      </c>
      <c r="K435">
        <v>3.6905350934774372E-3</v>
      </c>
      <c r="L435" t="s">
        <v>166</v>
      </c>
      <c r="N435" t="s">
        <v>209</v>
      </c>
      <c r="O435" t="s">
        <v>286</v>
      </c>
      <c r="P435">
        <v>7.6588029712200524E-3</v>
      </c>
      <c r="Q435" t="s">
        <v>166</v>
      </c>
      <c r="S435" t="s">
        <v>226</v>
      </c>
      <c r="T435" t="s">
        <v>286</v>
      </c>
      <c r="U435">
        <v>6.1105504541552527E-3</v>
      </c>
      <c r="V435" t="s">
        <v>166</v>
      </c>
    </row>
    <row r="436" spans="9:22" x14ac:dyDescent="0.45">
      <c r="I436" t="s">
        <v>185</v>
      </c>
      <c r="J436" t="s">
        <v>287</v>
      </c>
      <c r="K436">
        <v>0</v>
      </c>
      <c r="L436" t="s">
        <v>166</v>
      </c>
      <c r="N436" t="s">
        <v>209</v>
      </c>
      <c r="O436" t="s">
        <v>287</v>
      </c>
      <c r="P436">
        <v>1.7418452414193725E-2</v>
      </c>
      <c r="Q436" t="s">
        <v>166</v>
      </c>
      <c r="S436" t="s">
        <v>226</v>
      </c>
      <c r="T436" t="s">
        <v>287</v>
      </c>
      <c r="U436">
        <v>1.7801939889977761E-2</v>
      </c>
      <c r="V436" t="s">
        <v>166</v>
      </c>
    </row>
    <row r="437" spans="9:22" x14ac:dyDescent="0.45">
      <c r="I437" t="s">
        <v>185</v>
      </c>
      <c r="J437" t="s">
        <v>288</v>
      </c>
      <c r="K437">
        <v>3.7925210040707503E-3</v>
      </c>
      <c r="L437" t="s">
        <v>166</v>
      </c>
      <c r="N437" t="s">
        <v>209</v>
      </c>
      <c r="O437" t="s">
        <v>288</v>
      </c>
      <c r="P437">
        <v>3.4009676030230453E-2</v>
      </c>
      <c r="Q437" t="s">
        <v>166</v>
      </c>
      <c r="S437" t="s">
        <v>226</v>
      </c>
      <c r="T437" t="s">
        <v>288</v>
      </c>
      <c r="U437">
        <v>5.6466954673031117E-2</v>
      </c>
      <c r="V437" t="s">
        <v>166</v>
      </c>
    </row>
    <row r="438" spans="9:22" x14ac:dyDescent="0.45">
      <c r="I438" t="s">
        <v>185</v>
      </c>
      <c r="J438" t="s">
        <v>289</v>
      </c>
      <c r="K438">
        <v>6.9169981785704091E-3</v>
      </c>
      <c r="L438" t="s">
        <v>166</v>
      </c>
      <c r="N438" t="s">
        <v>209</v>
      </c>
      <c r="O438" t="s">
        <v>289</v>
      </c>
      <c r="P438">
        <v>5.8625161393570146E-3</v>
      </c>
      <c r="Q438" t="s">
        <v>166</v>
      </c>
      <c r="S438" t="s">
        <v>226</v>
      </c>
      <c r="T438" t="s">
        <v>289</v>
      </c>
      <c r="U438">
        <v>7.169661544244775E-3</v>
      </c>
      <c r="V438" t="s">
        <v>166</v>
      </c>
    </row>
    <row r="439" spans="9:22" x14ac:dyDescent="0.45">
      <c r="I439" t="s">
        <v>185</v>
      </c>
      <c r="J439" t="s">
        <v>290</v>
      </c>
      <c r="K439">
        <v>6.7007857047586258E-2</v>
      </c>
      <c r="L439" t="s">
        <v>166</v>
      </c>
      <c r="N439" t="s">
        <v>209</v>
      </c>
      <c r="O439" t="s">
        <v>290</v>
      </c>
      <c r="P439">
        <v>6.8256428556303608E-2</v>
      </c>
      <c r="Q439" t="s">
        <v>166</v>
      </c>
      <c r="S439" t="s">
        <v>226</v>
      </c>
      <c r="T439" t="s">
        <v>290</v>
      </c>
      <c r="U439">
        <v>4.9033330464806894E-2</v>
      </c>
      <c r="V439" t="s">
        <v>166</v>
      </c>
    </row>
    <row r="440" spans="9:22" x14ac:dyDescent="0.45">
      <c r="I440" t="s">
        <v>185</v>
      </c>
      <c r="J440" t="s">
        <v>291</v>
      </c>
      <c r="K440">
        <v>6.9561518786315762E-3</v>
      </c>
      <c r="L440" t="s">
        <v>166</v>
      </c>
      <c r="N440" t="s">
        <v>209</v>
      </c>
      <c r="O440" t="s">
        <v>291</v>
      </c>
      <c r="P440">
        <v>7.95547023031439E-3</v>
      </c>
      <c r="Q440" t="s">
        <v>166</v>
      </c>
      <c r="S440" t="s">
        <v>226</v>
      </c>
      <c r="T440" t="s">
        <v>291</v>
      </c>
      <c r="U440">
        <v>7.029949545370168E-3</v>
      </c>
      <c r="V440" t="s">
        <v>166</v>
      </c>
    </row>
    <row r="441" spans="9:22" x14ac:dyDescent="0.45">
      <c r="I441" t="s">
        <v>185</v>
      </c>
      <c r="J441" t="s">
        <v>292</v>
      </c>
      <c r="K441">
        <v>4.8037182525734025E-3</v>
      </c>
      <c r="L441" t="s">
        <v>166</v>
      </c>
      <c r="N441" t="s">
        <v>209</v>
      </c>
      <c r="O441" t="s">
        <v>292</v>
      </c>
      <c r="P441">
        <v>9.10033706317241E-3</v>
      </c>
      <c r="Q441" t="s">
        <v>166</v>
      </c>
      <c r="S441" t="s">
        <v>226</v>
      </c>
      <c r="T441" t="s">
        <v>292</v>
      </c>
      <c r="U441">
        <v>1.3656708434147305E-2</v>
      </c>
      <c r="V441" t="s">
        <v>166</v>
      </c>
    </row>
    <row r="442" spans="9:22" x14ac:dyDescent="0.45">
      <c r="I442" t="s">
        <v>185</v>
      </c>
      <c r="J442" t="s">
        <v>293</v>
      </c>
      <c r="K442">
        <v>0</v>
      </c>
      <c r="L442" t="s">
        <v>166</v>
      </c>
      <c r="N442" t="s">
        <v>209</v>
      </c>
      <c r="O442" t="s">
        <v>293</v>
      </c>
      <c r="P442">
        <v>2.1313727806669524E-2</v>
      </c>
      <c r="Q442" t="s">
        <v>166</v>
      </c>
      <c r="S442" t="s">
        <v>226</v>
      </c>
      <c r="T442" t="s">
        <v>293</v>
      </c>
      <c r="U442">
        <v>3.5731358962537721E-2</v>
      </c>
      <c r="V442" t="s">
        <v>166</v>
      </c>
    </row>
    <row r="443" spans="9:22" x14ac:dyDescent="0.45">
      <c r="I443" t="s">
        <v>186</v>
      </c>
      <c r="J443" t="s">
        <v>165</v>
      </c>
      <c r="K443">
        <v>1.5633829407090745E-2</v>
      </c>
      <c r="L443" t="s">
        <v>166</v>
      </c>
      <c r="N443" t="s">
        <v>210</v>
      </c>
      <c r="O443" t="s">
        <v>165</v>
      </c>
      <c r="P443">
        <v>0.13655556977948077</v>
      </c>
      <c r="Q443" t="s">
        <v>166</v>
      </c>
      <c r="S443" t="s">
        <v>227</v>
      </c>
      <c r="T443" t="s">
        <v>165</v>
      </c>
      <c r="U443">
        <v>0.107493842463738</v>
      </c>
      <c r="V443" t="s">
        <v>166</v>
      </c>
    </row>
    <row r="444" spans="9:22" x14ac:dyDescent="0.45">
      <c r="I444" t="s">
        <v>186</v>
      </c>
      <c r="J444" t="s">
        <v>167</v>
      </c>
      <c r="K444">
        <v>2.6534335679274358E-2</v>
      </c>
      <c r="L444" t="s">
        <v>166</v>
      </c>
      <c r="N444" t="s">
        <v>210</v>
      </c>
      <c r="O444" t="s">
        <v>167</v>
      </c>
      <c r="P444">
        <v>1.290386688183629E-2</v>
      </c>
      <c r="Q444" t="s">
        <v>166</v>
      </c>
      <c r="S444" t="s">
        <v>227</v>
      </c>
      <c r="T444" t="s">
        <v>167</v>
      </c>
      <c r="U444">
        <v>1.3783178739236998E-2</v>
      </c>
      <c r="V444" t="s">
        <v>166</v>
      </c>
    </row>
    <row r="445" spans="9:22" x14ac:dyDescent="0.45">
      <c r="I445" t="s">
        <v>186</v>
      </c>
      <c r="J445" t="s">
        <v>168</v>
      </c>
      <c r="K445">
        <v>0.26766856223755053</v>
      </c>
      <c r="L445" t="s">
        <v>166</v>
      </c>
      <c r="N445" t="s">
        <v>210</v>
      </c>
      <c r="O445" t="s">
        <v>168</v>
      </c>
      <c r="P445">
        <v>7.2177185968147706E-2</v>
      </c>
      <c r="Q445" t="s">
        <v>166</v>
      </c>
      <c r="S445" t="s">
        <v>227</v>
      </c>
      <c r="T445" t="s">
        <v>168</v>
      </c>
      <c r="U445">
        <v>0.10893097583385226</v>
      </c>
      <c r="V445" t="s">
        <v>166</v>
      </c>
    </row>
    <row r="446" spans="9:22" x14ac:dyDescent="0.45">
      <c r="I446" t="s">
        <v>186</v>
      </c>
      <c r="J446" t="s">
        <v>258</v>
      </c>
      <c r="K446">
        <v>3.1780900524859296E-2</v>
      </c>
      <c r="L446" t="s">
        <v>166</v>
      </c>
      <c r="N446" t="s">
        <v>210</v>
      </c>
      <c r="O446" t="s">
        <v>258</v>
      </c>
      <c r="P446">
        <v>1.1181252774695288E-2</v>
      </c>
      <c r="Q446" t="s">
        <v>166</v>
      </c>
      <c r="S446" t="s">
        <v>227</v>
      </c>
      <c r="T446" t="s">
        <v>258</v>
      </c>
      <c r="U446">
        <v>1.6895060370579688E-2</v>
      </c>
      <c r="V446" t="s">
        <v>166</v>
      </c>
    </row>
    <row r="447" spans="9:22" x14ac:dyDescent="0.45">
      <c r="I447" t="s">
        <v>186</v>
      </c>
      <c r="J447" t="s">
        <v>259</v>
      </c>
      <c r="K447">
        <v>3.8693514468469234E-2</v>
      </c>
      <c r="L447" t="s">
        <v>166</v>
      </c>
      <c r="N447" t="s">
        <v>210</v>
      </c>
      <c r="O447" t="s">
        <v>259</v>
      </c>
      <c r="P447">
        <v>2.6654344292011783E-2</v>
      </c>
      <c r="Q447" t="s">
        <v>166</v>
      </c>
      <c r="S447" t="s">
        <v>227</v>
      </c>
      <c r="T447" t="s">
        <v>259</v>
      </c>
      <c r="U447">
        <v>3.0901939971211899E-2</v>
      </c>
      <c r="V447" t="s">
        <v>166</v>
      </c>
    </row>
    <row r="448" spans="9:22" x14ac:dyDescent="0.45">
      <c r="I448" t="s">
        <v>186</v>
      </c>
      <c r="J448" t="s">
        <v>260</v>
      </c>
      <c r="K448">
        <v>0</v>
      </c>
      <c r="L448" t="s">
        <v>166</v>
      </c>
      <c r="N448" t="s">
        <v>210</v>
      </c>
      <c r="O448" t="s">
        <v>260</v>
      </c>
      <c r="P448">
        <v>0.11095396786054972</v>
      </c>
      <c r="Q448" t="s">
        <v>166</v>
      </c>
      <c r="S448" t="s">
        <v>227</v>
      </c>
      <c r="T448" t="s">
        <v>260</v>
      </c>
      <c r="U448">
        <v>7.5135836251494822E-2</v>
      </c>
      <c r="V448" t="s">
        <v>166</v>
      </c>
    </row>
    <row r="449" spans="9:22" x14ac:dyDescent="0.45">
      <c r="I449" t="s">
        <v>186</v>
      </c>
      <c r="J449" t="s">
        <v>169</v>
      </c>
      <c r="K449">
        <v>5.4114467950065409E-3</v>
      </c>
      <c r="L449" t="s">
        <v>166</v>
      </c>
      <c r="N449" t="s">
        <v>210</v>
      </c>
      <c r="O449" t="s">
        <v>169</v>
      </c>
      <c r="P449">
        <v>9.6472926656591563E-3</v>
      </c>
      <c r="Q449" t="s">
        <v>166</v>
      </c>
      <c r="S449" t="s">
        <v>227</v>
      </c>
      <c r="T449" t="s">
        <v>169</v>
      </c>
      <c r="U449">
        <v>1.175590338970655E-2</v>
      </c>
      <c r="V449" t="s">
        <v>166</v>
      </c>
    </row>
    <row r="450" spans="9:22" x14ac:dyDescent="0.45">
      <c r="I450" t="s">
        <v>186</v>
      </c>
      <c r="J450" t="s">
        <v>170</v>
      </c>
      <c r="K450">
        <v>6.4014640854563078E-3</v>
      </c>
      <c r="L450" t="s">
        <v>166</v>
      </c>
      <c r="N450" t="s">
        <v>210</v>
      </c>
      <c r="O450" t="s">
        <v>170</v>
      </c>
      <c r="P450">
        <v>7.982544010093674E-4</v>
      </c>
      <c r="Q450" t="s">
        <v>166</v>
      </c>
      <c r="S450" t="s">
        <v>227</v>
      </c>
      <c r="T450" t="s">
        <v>170</v>
      </c>
      <c r="U450">
        <v>9.6513264780933737E-4</v>
      </c>
      <c r="V450" t="s">
        <v>166</v>
      </c>
    </row>
    <row r="451" spans="9:22" x14ac:dyDescent="0.45">
      <c r="I451" t="s">
        <v>186</v>
      </c>
      <c r="J451" t="s">
        <v>171</v>
      </c>
      <c r="K451">
        <v>6.3965930922143074E-2</v>
      </c>
      <c r="L451" t="s">
        <v>166</v>
      </c>
      <c r="N451" t="s">
        <v>210</v>
      </c>
      <c r="O451" t="s">
        <v>171</v>
      </c>
      <c r="P451">
        <v>4.6479029055853825E-3</v>
      </c>
      <c r="Q451" t="s">
        <v>166</v>
      </c>
      <c r="S451" t="s">
        <v>227</v>
      </c>
      <c r="T451" t="s">
        <v>171</v>
      </c>
      <c r="U451">
        <v>1.4020324856542228E-2</v>
      </c>
      <c r="V451" t="s">
        <v>166</v>
      </c>
    </row>
    <row r="452" spans="9:22" x14ac:dyDescent="0.45">
      <c r="I452" t="s">
        <v>186</v>
      </c>
      <c r="J452" t="s">
        <v>261</v>
      </c>
      <c r="K452">
        <v>5.6724364191733673E-3</v>
      </c>
      <c r="L452" t="s">
        <v>166</v>
      </c>
      <c r="N452" t="s">
        <v>210</v>
      </c>
      <c r="O452" t="s">
        <v>261</v>
      </c>
      <c r="P452">
        <v>9.4961260344654508E-4</v>
      </c>
      <c r="Q452" t="s">
        <v>166</v>
      </c>
      <c r="S452" t="s">
        <v>227</v>
      </c>
      <c r="T452" t="s">
        <v>261</v>
      </c>
      <c r="U452">
        <v>3.6708584026507087E-3</v>
      </c>
      <c r="V452" t="s">
        <v>166</v>
      </c>
    </row>
    <row r="453" spans="9:22" x14ac:dyDescent="0.45">
      <c r="I453" t="s">
        <v>186</v>
      </c>
      <c r="J453" t="s">
        <v>262</v>
      </c>
      <c r="K453">
        <v>5.9224721043674936E-3</v>
      </c>
      <c r="L453" t="s">
        <v>166</v>
      </c>
      <c r="N453" t="s">
        <v>210</v>
      </c>
      <c r="O453" t="s">
        <v>262</v>
      </c>
      <c r="P453">
        <v>2.3694501992630574E-3</v>
      </c>
      <c r="Q453" t="s">
        <v>166</v>
      </c>
      <c r="S453" t="s">
        <v>227</v>
      </c>
      <c r="T453" t="s">
        <v>262</v>
      </c>
      <c r="U453">
        <v>6.2846187387712018E-3</v>
      </c>
      <c r="V453" t="s">
        <v>166</v>
      </c>
    </row>
    <row r="454" spans="9:22" x14ac:dyDescent="0.45">
      <c r="I454" t="s">
        <v>186</v>
      </c>
      <c r="J454" t="s">
        <v>263</v>
      </c>
      <c r="K454">
        <v>0</v>
      </c>
      <c r="L454" t="s">
        <v>166</v>
      </c>
      <c r="N454" t="s">
        <v>210</v>
      </c>
      <c r="O454" t="s">
        <v>263</v>
      </c>
      <c r="P454">
        <v>7.1844215111273382E-3</v>
      </c>
      <c r="Q454" t="s">
        <v>166</v>
      </c>
      <c r="S454" t="s">
        <v>227</v>
      </c>
      <c r="T454" t="s">
        <v>263</v>
      </c>
      <c r="U454">
        <v>1.2367574156044749E-2</v>
      </c>
      <c r="V454" t="s">
        <v>166</v>
      </c>
    </row>
    <row r="455" spans="9:22" x14ac:dyDescent="0.45">
      <c r="I455" t="s">
        <v>186</v>
      </c>
      <c r="J455" t="s">
        <v>172</v>
      </c>
      <c r="K455">
        <v>3.5172137959714736E-3</v>
      </c>
      <c r="L455" t="s">
        <v>166</v>
      </c>
      <c r="N455" t="s">
        <v>210</v>
      </c>
      <c r="O455" t="s">
        <v>172</v>
      </c>
      <c r="P455">
        <v>1.8733130711965987E-2</v>
      </c>
      <c r="Q455" t="s">
        <v>166</v>
      </c>
      <c r="S455" t="s">
        <v>227</v>
      </c>
      <c r="T455" t="s">
        <v>172</v>
      </c>
      <c r="U455">
        <v>1.1036692718524766E-2</v>
      </c>
      <c r="V455" t="s">
        <v>166</v>
      </c>
    </row>
    <row r="456" spans="9:22" x14ac:dyDescent="0.45">
      <c r="I456" t="s">
        <v>186</v>
      </c>
      <c r="J456" t="s">
        <v>173</v>
      </c>
      <c r="K456">
        <v>4.6924002835867229E-3</v>
      </c>
      <c r="L456" t="s">
        <v>166</v>
      </c>
      <c r="N456" t="s">
        <v>210</v>
      </c>
      <c r="O456" t="s">
        <v>173</v>
      </c>
      <c r="P456">
        <v>2.1461044954933098E-3</v>
      </c>
      <c r="Q456" t="s">
        <v>166</v>
      </c>
      <c r="S456" t="s">
        <v>227</v>
      </c>
      <c r="T456" t="s">
        <v>173</v>
      </c>
      <c r="U456">
        <v>1.3118562033410193E-3</v>
      </c>
      <c r="V456" t="s">
        <v>166</v>
      </c>
    </row>
    <row r="457" spans="9:22" x14ac:dyDescent="0.45">
      <c r="I457" t="s">
        <v>186</v>
      </c>
      <c r="J457" t="s">
        <v>174</v>
      </c>
      <c r="K457">
        <v>5.1070997634860157E-2</v>
      </c>
      <c r="L457" t="s">
        <v>166</v>
      </c>
      <c r="N457" t="s">
        <v>210</v>
      </c>
      <c r="O457" t="s">
        <v>174</v>
      </c>
      <c r="P457">
        <v>1.061576875495812E-2</v>
      </c>
      <c r="Q457" t="s">
        <v>166</v>
      </c>
      <c r="S457" t="s">
        <v>227</v>
      </c>
      <c r="T457" t="s">
        <v>174</v>
      </c>
      <c r="U457">
        <v>9.7957083221946253E-3</v>
      </c>
      <c r="V457" t="s">
        <v>166</v>
      </c>
    </row>
    <row r="458" spans="9:22" x14ac:dyDescent="0.45">
      <c r="I458" t="s">
        <v>186</v>
      </c>
      <c r="J458" t="s">
        <v>264</v>
      </c>
      <c r="K458">
        <v>4.720706612476931E-3</v>
      </c>
      <c r="L458" t="s">
        <v>166</v>
      </c>
      <c r="N458" t="s">
        <v>210</v>
      </c>
      <c r="O458" t="s">
        <v>264</v>
      </c>
      <c r="P458">
        <v>1.5832575127676964E-3</v>
      </c>
      <c r="Q458" t="s">
        <v>166</v>
      </c>
      <c r="S458" t="s">
        <v>227</v>
      </c>
      <c r="T458" t="s">
        <v>264</v>
      </c>
      <c r="U458">
        <v>2.0216855395252379E-3</v>
      </c>
      <c r="V458" t="s">
        <v>166</v>
      </c>
    </row>
    <row r="459" spans="9:22" x14ac:dyDescent="0.45">
      <c r="I459" t="s">
        <v>186</v>
      </c>
      <c r="J459" t="s">
        <v>265</v>
      </c>
      <c r="K459">
        <v>5.3260360364831309E-3</v>
      </c>
      <c r="L459" t="s">
        <v>166</v>
      </c>
      <c r="N459" t="s">
        <v>210</v>
      </c>
      <c r="O459" t="s">
        <v>265</v>
      </c>
      <c r="P459">
        <v>2.6461615164994653E-3</v>
      </c>
      <c r="Q459" t="s">
        <v>166</v>
      </c>
      <c r="S459" t="s">
        <v>227</v>
      </c>
      <c r="T459" t="s">
        <v>265</v>
      </c>
      <c r="U459">
        <v>3.6010545642305007E-3</v>
      </c>
      <c r="V459" t="s">
        <v>166</v>
      </c>
    </row>
    <row r="460" spans="9:22" x14ac:dyDescent="0.45">
      <c r="I460" t="s">
        <v>186</v>
      </c>
      <c r="J460" t="s">
        <v>266</v>
      </c>
      <c r="K460">
        <v>0</v>
      </c>
      <c r="L460" t="s">
        <v>166</v>
      </c>
      <c r="N460" t="s">
        <v>210</v>
      </c>
      <c r="O460" t="s">
        <v>266</v>
      </c>
      <c r="P460">
        <v>7.9479291894679806E-3</v>
      </c>
      <c r="Q460" t="s">
        <v>166</v>
      </c>
      <c r="S460" t="s">
        <v>227</v>
      </c>
      <c r="T460" t="s">
        <v>266</v>
      </c>
      <c r="U460">
        <v>9.1391076127000353E-3</v>
      </c>
      <c r="V460" t="s">
        <v>166</v>
      </c>
    </row>
    <row r="461" spans="9:22" x14ac:dyDescent="0.45">
      <c r="I461" t="s">
        <v>186</v>
      </c>
      <c r="J461" t="s">
        <v>175</v>
      </c>
      <c r="K461">
        <v>2.8109158349056435E-3</v>
      </c>
      <c r="L461" t="s">
        <v>166</v>
      </c>
      <c r="N461" t="s">
        <v>210</v>
      </c>
      <c r="O461" t="s">
        <v>175</v>
      </c>
      <c r="P461">
        <v>1.6879988278759347E-2</v>
      </c>
      <c r="Q461" t="s">
        <v>166</v>
      </c>
      <c r="S461" t="s">
        <v>227</v>
      </c>
      <c r="T461" t="s">
        <v>175</v>
      </c>
      <c r="U461">
        <v>1.1582078668929458E-2</v>
      </c>
      <c r="V461" t="s">
        <v>166</v>
      </c>
    </row>
    <row r="462" spans="9:22" x14ac:dyDescent="0.45">
      <c r="I462" t="s">
        <v>186</v>
      </c>
      <c r="J462" t="s">
        <v>176</v>
      </c>
      <c r="K462">
        <v>4.6824125974598294E-3</v>
      </c>
      <c r="L462" t="s">
        <v>166</v>
      </c>
      <c r="N462" t="s">
        <v>210</v>
      </c>
      <c r="O462" t="s">
        <v>176</v>
      </c>
      <c r="P462">
        <v>1.5790540027637054E-3</v>
      </c>
      <c r="Q462" t="s">
        <v>166</v>
      </c>
      <c r="S462" t="s">
        <v>227</v>
      </c>
      <c r="T462" t="s">
        <v>176</v>
      </c>
      <c r="U462">
        <v>1.2399440003126826E-3</v>
      </c>
      <c r="V462" t="s">
        <v>166</v>
      </c>
    </row>
    <row r="463" spans="9:22" x14ac:dyDescent="0.45">
      <c r="I463" t="s">
        <v>186</v>
      </c>
      <c r="J463" t="s">
        <v>177</v>
      </c>
      <c r="K463">
        <v>5.5398677902945621E-2</v>
      </c>
      <c r="L463" t="s">
        <v>166</v>
      </c>
      <c r="N463" t="s">
        <v>210</v>
      </c>
      <c r="O463" t="s">
        <v>177</v>
      </c>
      <c r="P463">
        <v>1.0512805656907355E-2</v>
      </c>
      <c r="Q463" t="s">
        <v>166</v>
      </c>
      <c r="S463" t="s">
        <v>227</v>
      </c>
      <c r="T463" t="s">
        <v>177</v>
      </c>
      <c r="U463">
        <v>1.0247115611750427E-2</v>
      </c>
      <c r="V463" t="s">
        <v>166</v>
      </c>
    </row>
    <row r="464" spans="9:22" x14ac:dyDescent="0.45">
      <c r="I464" t="s">
        <v>186</v>
      </c>
      <c r="J464" t="s">
        <v>267</v>
      </c>
      <c r="K464">
        <v>4.9993520463245174E-3</v>
      </c>
      <c r="L464" t="s">
        <v>166</v>
      </c>
      <c r="N464" t="s">
        <v>210</v>
      </c>
      <c r="O464" t="s">
        <v>267</v>
      </c>
      <c r="P464">
        <v>1.4416746766367351E-3</v>
      </c>
      <c r="Q464" t="s">
        <v>166</v>
      </c>
      <c r="S464" t="s">
        <v>227</v>
      </c>
      <c r="T464" t="s">
        <v>267</v>
      </c>
      <c r="U464">
        <v>2.0617246401473028E-3</v>
      </c>
      <c r="V464" t="s">
        <v>166</v>
      </c>
    </row>
    <row r="465" spans="9:22" x14ac:dyDescent="0.45">
      <c r="I465" t="s">
        <v>186</v>
      </c>
      <c r="J465" t="s">
        <v>268</v>
      </c>
      <c r="K465">
        <v>5.49378884658136E-3</v>
      </c>
      <c r="L465" t="s">
        <v>166</v>
      </c>
      <c r="N465" t="s">
        <v>210</v>
      </c>
      <c r="O465" t="s">
        <v>268</v>
      </c>
      <c r="P465">
        <v>3.685736536319931E-3</v>
      </c>
      <c r="Q465" t="s">
        <v>166</v>
      </c>
      <c r="S465" t="s">
        <v>227</v>
      </c>
      <c r="T465" t="s">
        <v>268</v>
      </c>
      <c r="U465">
        <v>3.7200833459938697E-3</v>
      </c>
      <c r="V465" t="s">
        <v>166</v>
      </c>
    </row>
    <row r="466" spans="9:22" x14ac:dyDescent="0.45">
      <c r="I466" t="s">
        <v>186</v>
      </c>
      <c r="J466" t="s">
        <v>269</v>
      </c>
      <c r="K466">
        <v>0</v>
      </c>
      <c r="L466" t="s">
        <v>166</v>
      </c>
      <c r="N466" t="s">
        <v>210</v>
      </c>
      <c r="O466" t="s">
        <v>269</v>
      </c>
      <c r="P466">
        <v>9.9127027024733354E-3</v>
      </c>
      <c r="Q466" t="s">
        <v>166</v>
      </c>
      <c r="S466" t="s">
        <v>227</v>
      </c>
      <c r="T466" t="s">
        <v>269</v>
      </c>
      <c r="U466">
        <v>1.0012013742785809E-2</v>
      </c>
      <c r="V466" t="s">
        <v>166</v>
      </c>
    </row>
    <row r="467" spans="9:22" x14ac:dyDescent="0.45">
      <c r="I467" t="s">
        <v>186</v>
      </c>
      <c r="J467" t="s">
        <v>270</v>
      </c>
      <c r="K467">
        <v>3.2738660281145943E-3</v>
      </c>
      <c r="L467" t="s">
        <v>166</v>
      </c>
      <c r="N467" t="s">
        <v>210</v>
      </c>
      <c r="O467" t="s">
        <v>270</v>
      </c>
      <c r="P467">
        <v>2.9800002403128113E-2</v>
      </c>
      <c r="Q467" t="s">
        <v>166</v>
      </c>
      <c r="S467" t="s">
        <v>227</v>
      </c>
      <c r="T467" t="s">
        <v>270</v>
      </c>
      <c r="U467">
        <v>2.3766460408840905E-2</v>
      </c>
      <c r="V467" t="s">
        <v>166</v>
      </c>
    </row>
    <row r="468" spans="9:22" x14ac:dyDescent="0.45">
      <c r="I468" t="s">
        <v>186</v>
      </c>
      <c r="J468" t="s">
        <v>271</v>
      </c>
      <c r="K468">
        <v>5.3131962749658887E-3</v>
      </c>
      <c r="L468" t="s">
        <v>166</v>
      </c>
      <c r="N468" t="s">
        <v>210</v>
      </c>
      <c r="O468" t="s">
        <v>271</v>
      </c>
      <c r="P468">
        <v>2.9584489176882754E-3</v>
      </c>
      <c r="Q468" t="s">
        <v>166</v>
      </c>
      <c r="S468" t="s">
        <v>227</v>
      </c>
      <c r="T468" t="s">
        <v>271</v>
      </c>
      <c r="U468">
        <v>2.4179141486303448E-3</v>
      </c>
      <c r="V468" t="s">
        <v>166</v>
      </c>
    </row>
    <row r="469" spans="9:22" x14ac:dyDescent="0.45">
      <c r="I469" t="s">
        <v>186</v>
      </c>
      <c r="J469" t="s">
        <v>272</v>
      </c>
      <c r="K469">
        <v>5.6789814718211332E-2</v>
      </c>
      <c r="L469" t="s">
        <v>166</v>
      </c>
      <c r="N469" t="s">
        <v>210</v>
      </c>
      <c r="O469" t="s">
        <v>272</v>
      </c>
      <c r="P469">
        <v>2.1218480505288281E-2</v>
      </c>
      <c r="Q469" t="s">
        <v>166</v>
      </c>
      <c r="S469" t="s">
        <v>227</v>
      </c>
      <c r="T469" t="s">
        <v>272</v>
      </c>
      <c r="U469">
        <v>1.9162055412798907E-2</v>
      </c>
      <c r="V469" t="s">
        <v>166</v>
      </c>
    </row>
    <row r="470" spans="9:22" x14ac:dyDescent="0.45">
      <c r="I470" t="s">
        <v>186</v>
      </c>
      <c r="J470" t="s">
        <v>273</v>
      </c>
      <c r="K470">
        <v>5.6424966676691815E-3</v>
      </c>
      <c r="L470" t="s">
        <v>166</v>
      </c>
      <c r="N470" t="s">
        <v>210</v>
      </c>
      <c r="O470" t="s">
        <v>273</v>
      </c>
      <c r="P470">
        <v>2.7516939875561973E-3</v>
      </c>
      <c r="Q470" t="s">
        <v>166</v>
      </c>
      <c r="S470" t="s">
        <v>227</v>
      </c>
      <c r="T470" t="s">
        <v>273</v>
      </c>
      <c r="U470">
        <v>3.3263240225268153E-3</v>
      </c>
      <c r="V470" t="s">
        <v>166</v>
      </c>
    </row>
    <row r="471" spans="9:22" x14ac:dyDescent="0.45">
      <c r="I471" t="s">
        <v>186</v>
      </c>
      <c r="J471" t="s">
        <v>274</v>
      </c>
      <c r="K471">
        <v>6.4657305892887968E-3</v>
      </c>
      <c r="L471" t="s">
        <v>166</v>
      </c>
      <c r="N471" t="s">
        <v>210</v>
      </c>
      <c r="O471" t="s">
        <v>274</v>
      </c>
      <c r="P471">
        <v>4.3696774048560087E-3</v>
      </c>
      <c r="Q471" t="s">
        <v>166</v>
      </c>
      <c r="S471" t="s">
        <v>227</v>
      </c>
      <c r="T471" t="s">
        <v>274</v>
      </c>
      <c r="U471">
        <v>6.6648125657638533E-3</v>
      </c>
      <c r="V471" t="s">
        <v>166</v>
      </c>
    </row>
    <row r="472" spans="9:22" x14ac:dyDescent="0.45">
      <c r="I472" t="s">
        <v>186</v>
      </c>
      <c r="J472" t="s">
        <v>275</v>
      </c>
      <c r="K472">
        <v>0</v>
      </c>
      <c r="L472" t="s">
        <v>166</v>
      </c>
      <c r="N472" t="s">
        <v>210</v>
      </c>
      <c r="O472" t="s">
        <v>275</v>
      </c>
      <c r="P472">
        <v>1.4580576560610483E-2</v>
      </c>
      <c r="Q472" t="s">
        <v>166</v>
      </c>
      <c r="S472" t="s">
        <v>227</v>
      </c>
      <c r="T472" t="s">
        <v>275</v>
      </c>
      <c r="U472">
        <v>1.6892476334226445E-2</v>
      </c>
      <c r="V472" t="s">
        <v>166</v>
      </c>
    </row>
    <row r="473" spans="9:22" x14ac:dyDescent="0.45">
      <c r="I473" t="s">
        <v>186</v>
      </c>
      <c r="J473" t="s">
        <v>276</v>
      </c>
      <c r="K473">
        <v>7.2610352723875941E-3</v>
      </c>
      <c r="L473" t="s">
        <v>166</v>
      </c>
      <c r="N473" t="s">
        <v>210</v>
      </c>
      <c r="O473" t="s">
        <v>276</v>
      </c>
      <c r="P473">
        <v>4.1148285526245408E-2</v>
      </c>
      <c r="Q473" t="s">
        <v>166</v>
      </c>
      <c r="S473" t="s">
        <v>227</v>
      </c>
      <c r="T473" t="s">
        <v>276</v>
      </c>
      <c r="U473">
        <v>3.8084643515665269E-2</v>
      </c>
      <c r="V473" t="s">
        <v>166</v>
      </c>
    </row>
    <row r="474" spans="9:22" x14ac:dyDescent="0.45">
      <c r="I474" t="s">
        <v>186</v>
      </c>
      <c r="J474" t="s">
        <v>277</v>
      </c>
      <c r="K474">
        <v>1.1874929318696202E-2</v>
      </c>
      <c r="L474" t="s">
        <v>166</v>
      </c>
      <c r="N474" t="s">
        <v>210</v>
      </c>
      <c r="O474" t="s">
        <v>277</v>
      </c>
      <c r="P474">
        <v>4.667324807135405E-3</v>
      </c>
      <c r="Q474" t="s">
        <v>166</v>
      </c>
      <c r="S474" t="s">
        <v>227</v>
      </c>
      <c r="T474" t="s">
        <v>277</v>
      </c>
      <c r="U474">
        <v>5.1545032951340764E-3</v>
      </c>
      <c r="V474" t="s">
        <v>166</v>
      </c>
    </row>
    <row r="475" spans="9:22" x14ac:dyDescent="0.45">
      <c r="I475" t="s">
        <v>186</v>
      </c>
      <c r="J475" t="s">
        <v>278</v>
      </c>
      <c r="K475">
        <v>0.11785828806056894</v>
      </c>
      <c r="L475" t="s">
        <v>166</v>
      </c>
      <c r="N475" t="s">
        <v>210</v>
      </c>
      <c r="O475" t="s">
        <v>278</v>
      </c>
      <c r="P475">
        <v>3.436890316363049E-2</v>
      </c>
      <c r="Q475" t="s">
        <v>166</v>
      </c>
      <c r="S475" t="s">
        <v>227</v>
      </c>
      <c r="T475" t="s">
        <v>278</v>
      </c>
      <c r="U475">
        <v>3.9109134917192638E-2</v>
      </c>
      <c r="V475" t="s">
        <v>166</v>
      </c>
    </row>
    <row r="476" spans="9:22" x14ac:dyDescent="0.45">
      <c r="I476" t="s">
        <v>186</v>
      </c>
      <c r="J476" t="s">
        <v>279</v>
      </c>
      <c r="K476">
        <v>1.1069152459416837E-2</v>
      </c>
      <c r="L476" t="s">
        <v>166</v>
      </c>
      <c r="N476" t="s">
        <v>210</v>
      </c>
      <c r="O476" t="s">
        <v>279</v>
      </c>
      <c r="P476">
        <v>4.4779148017727224E-3</v>
      </c>
      <c r="Q476" t="s">
        <v>166</v>
      </c>
      <c r="S476" t="s">
        <v>227</v>
      </c>
      <c r="T476" t="s">
        <v>279</v>
      </c>
      <c r="U476">
        <v>6.1692252342108768E-3</v>
      </c>
      <c r="V476" t="s">
        <v>166</v>
      </c>
    </row>
    <row r="477" spans="9:22" x14ac:dyDescent="0.45">
      <c r="I477" t="s">
        <v>186</v>
      </c>
      <c r="J477" t="s">
        <v>280</v>
      </c>
      <c r="K477">
        <v>8.8283522295748238E-3</v>
      </c>
      <c r="L477" t="s">
        <v>166</v>
      </c>
      <c r="N477" t="s">
        <v>210</v>
      </c>
      <c r="O477" t="s">
        <v>280</v>
      </c>
      <c r="P477">
        <v>8.3408847126601009E-3</v>
      </c>
      <c r="Q477" t="s">
        <v>166</v>
      </c>
      <c r="S477" t="s">
        <v>227</v>
      </c>
      <c r="T477" t="s">
        <v>280</v>
      </c>
      <c r="U477">
        <v>1.1522692569571292E-2</v>
      </c>
      <c r="V477" t="s">
        <v>166</v>
      </c>
    </row>
    <row r="478" spans="9:22" x14ac:dyDescent="0.45">
      <c r="I478" t="s">
        <v>186</v>
      </c>
      <c r="J478" t="s">
        <v>281</v>
      </c>
      <c r="K478">
        <v>0</v>
      </c>
      <c r="L478" t="s">
        <v>166</v>
      </c>
      <c r="N478" t="s">
        <v>210</v>
      </c>
      <c r="O478" t="s">
        <v>281</v>
      </c>
      <c r="P478">
        <v>2.4487633549797508E-2</v>
      </c>
      <c r="Q478" t="s">
        <v>166</v>
      </c>
      <c r="S478" t="s">
        <v>227</v>
      </c>
      <c r="T478" t="s">
        <v>281</v>
      </c>
      <c r="U478">
        <v>2.6018569013646922E-2</v>
      </c>
      <c r="V478" t="s">
        <v>166</v>
      </c>
    </row>
    <row r="479" spans="9:22" x14ac:dyDescent="0.45">
      <c r="I479" t="s">
        <v>186</v>
      </c>
      <c r="J479" t="s">
        <v>282</v>
      </c>
      <c r="K479">
        <v>3.5785936870012507E-3</v>
      </c>
      <c r="L479" t="s">
        <v>166</v>
      </c>
      <c r="N479" t="s">
        <v>210</v>
      </c>
      <c r="O479" t="s">
        <v>282</v>
      </c>
      <c r="P479">
        <v>4.7781828459361603E-2</v>
      </c>
      <c r="Q479" t="s">
        <v>166</v>
      </c>
      <c r="S479" t="s">
        <v>227</v>
      </c>
      <c r="T479" t="s">
        <v>282</v>
      </c>
      <c r="U479">
        <v>4.154381075607045E-2</v>
      </c>
      <c r="V479" t="s">
        <v>166</v>
      </c>
    </row>
    <row r="480" spans="9:22" x14ac:dyDescent="0.45">
      <c r="I480" t="s">
        <v>186</v>
      </c>
      <c r="J480" t="s">
        <v>283</v>
      </c>
      <c r="K480">
        <v>6.0510409221285885E-3</v>
      </c>
      <c r="L480" t="s">
        <v>166</v>
      </c>
      <c r="N480" t="s">
        <v>210</v>
      </c>
      <c r="O480" t="s">
        <v>283</v>
      </c>
      <c r="P480">
        <v>6.3873060782112523E-3</v>
      </c>
      <c r="Q480" t="s">
        <v>166</v>
      </c>
      <c r="S480" t="s">
        <v>227</v>
      </c>
      <c r="T480" t="s">
        <v>283</v>
      </c>
      <c r="U480">
        <v>5.6044287499226854E-3</v>
      </c>
      <c r="V480" t="s">
        <v>166</v>
      </c>
    </row>
    <row r="481" spans="9:22" x14ac:dyDescent="0.45">
      <c r="I481" t="s">
        <v>186</v>
      </c>
      <c r="J481" t="s">
        <v>284</v>
      </c>
      <c r="K481">
        <v>5.6756797606197902E-2</v>
      </c>
      <c r="L481" t="s">
        <v>166</v>
      </c>
      <c r="N481" t="s">
        <v>210</v>
      </c>
      <c r="O481" t="s">
        <v>284</v>
      </c>
      <c r="P481">
        <v>3.9361679015975218E-2</v>
      </c>
      <c r="Q481" t="s">
        <v>166</v>
      </c>
      <c r="S481" t="s">
        <v>227</v>
      </c>
      <c r="T481" t="s">
        <v>284</v>
      </c>
      <c r="U481">
        <v>3.9135824720890409E-2</v>
      </c>
      <c r="V481" t="s">
        <v>166</v>
      </c>
    </row>
    <row r="482" spans="9:22" x14ac:dyDescent="0.45">
      <c r="I482" t="s">
        <v>186</v>
      </c>
      <c r="J482" t="s">
        <v>285</v>
      </c>
      <c r="K482">
        <v>5.9064503135574193E-3</v>
      </c>
      <c r="L482" t="s">
        <v>166</v>
      </c>
      <c r="N482" t="s">
        <v>210</v>
      </c>
      <c r="O482" t="s">
        <v>285</v>
      </c>
      <c r="P482">
        <v>3.8154660782650945E-3</v>
      </c>
      <c r="Q482" t="s">
        <v>166</v>
      </c>
      <c r="S482" t="s">
        <v>227</v>
      </c>
      <c r="T482" t="s">
        <v>285</v>
      </c>
      <c r="U482">
        <v>5.5685957220897413E-3</v>
      </c>
      <c r="V482" t="s">
        <v>166</v>
      </c>
    </row>
    <row r="483" spans="9:22" x14ac:dyDescent="0.45">
      <c r="I483" t="s">
        <v>186</v>
      </c>
      <c r="J483" t="s">
        <v>286</v>
      </c>
      <c r="K483">
        <v>3.5863568982990135E-3</v>
      </c>
      <c r="L483" t="s">
        <v>166</v>
      </c>
      <c r="N483" t="s">
        <v>210</v>
      </c>
      <c r="O483" t="s">
        <v>286</v>
      </c>
      <c r="P483">
        <v>9.1396739956817845E-3</v>
      </c>
      <c r="Q483" t="s">
        <v>166</v>
      </c>
      <c r="S483" t="s">
        <v>227</v>
      </c>
      <c r="T483" t="s">
        <v>286</v>
      </c>
      <c r="U483">
        <v>1.0670375497637719E-2</v>
      </c>
      <c r="V483" t="s">
        <v>166</v>
      </c>
    </row>
    <row r="484" spans="9:22" x14ac:dyDescent="0.45">
      <c r="I484" t="s">
        <v>186</v>
      </c>
      <c r="J484" t="s">
        <v>287</v>
      </c>
      <c r="K484">
        <v>0</v>
      </c>
      <c r="L484" t="s">
        <v>166</v>
      </c>
      <c r="N484" t="s">
        <v>210</v>
      </c>
      <c r="O484" t="s">
        <v>287</v>
      </c>
      <c r="P484">
        <v>2.9881592903682187E-2</v>
      </c>
      <c r="Q484" t="s">
        <v>166</v>
      </c>
      <c r="S484" t="s">
        <v>227</v>
      </c>
      <c r="T484" t="s">
        <v>287</v>
      </c>
      <c r="U484">
        <v>2.6524806150654091E-2</v>
      </c>
      <c r="V484" t="s">
        <v>166</v>
      </c>
    </row>
    <row r="485" spans="9:22" x14ac:dyDescent="0.45">
      <c r="I485" t="s">
        <v>186</v>
      </c>
      <c r="J485" t="s">
        <v>288</v>
      </c>
      <c r="K485">
        <v>3.2404622858450459E-3</v>
      </c>
      <c r="L485" t="s">
        <v>166</v>
      </c>
      <c r="N485" t="s">
        <v>210</v>
      </c>
      <c r="O485" t="s">
        <v>288</v>
      </c>
      <c r="P485">
        <v>7.2981976290707407E-2</v>
      </c>
      <c r="Q485" t="s">
        <v>166</v>
      </c>
      <c r="S485" t="s">
        <v>227</v>
      </c>
      <c r="T485" t="s">
        <v>288</v>
      </c>
      <c r="U485">
        <v>6.3652661239986932E-2</v>
      </c>
      <c r="V485" t="s">
        <v>166</v>
      </c>
    </row>
    <row r="486" spans="9:22" x14ac:dyDescent="0.45">
      <c r="I486" t="s">
        <v>186</v>
      </c>
      <c r="J486" t="s">
        <v>289</v>
      </c>
      <c r="K486">
        <v>5.7922312891567542E-3</v>
      </c>
      <c r="L486" t="s">
        <v>166</v>
      </c>
      <c r="N486" t="s">
        <v>210</v>
      </c>
      <c r="O486" t="s">
        <v>289</v>
      </c>
      <c r="P486">
        <v>8.5918433997094965E-3</v>
      </c>
      <c r="Q486" t="s">
        <v>166</v>
      </c>
      <c r="S486" t="s">
        <v>227</v>
      </c>
      <c r="T486" t="s">
        <v>289</v>
      </c>
      <c r="U486">
        <v>8.1430964601012564E-3</v>
      </c>
      <c r="V486" t="s">
        <v>166</v>
      </c>
    </row>
    <row r="487" spans="9:22" x14ac:dyDescent="0.45">
      <c r="I487" t="s">
        <v>186</v>
      </c>
      <c r="J487" t="s">
        <v>290</v>
      </c>
      <c r="K487">
        <v>5.9863999816263898E-2</v>
      </c>
      <c r="L487" t="s">
        <v>166</v>
      </c>
      <c r="N487" t="s">
        <v>210</v>
      </c>
      <c r="O487" t="s">
        <v>290</v>
      </c>
      <c r="P487">
        <v>3.9547744411972077E-2</v>
      </c>
      <c r="Q487" t="s">
        <v>166</v>
      </c>
      <c r="S487" t="s">
        <v>227</v>
      </c>
      <c r="T487" t="s">
        <v>290</v>
      </c>
      <c r="U487">
        <v>5.8450759661908713E-2</v>
      </c>
      <c r="V487" t="s">
        <v>166</v>
      </c>
    </row>
    <row r="488" spans="9:22" x14ac:dyDescent="0.45">
      <c r="I488" t="s">
        <v>186</v>
      </c>
      <c r="J488" t="s">
        <v>291</v>
      </c>
      <c r="K488">
        <v>6.3747050863762374E-3</v>
      </c>
      <c r="L488" t="s">
        <v>166</v>
      </c>
      <c r="N488" t="s">
        <v>210</v>
      </c>
      <c r="O488" t="s">
        <v>291</v>
      </c>
      <c r="P488">
        <v>5.0386687268639801E-3</v>
      </c>
      <c r="Q488" t="s">
        <v>166</v>
      </c>
      <c r="S488" t="s">
        <v>227</v>
      </c>
      <c r="T488" t="s">
        <v>291</v>
      </c>
      <c r="U488">
        <v>8.2545542606118055E-3</v>
      </c>
      <c r="V488" t="s">
        <v>166</v>
      </c>
    </row>
    <row r="489" spans="9:22" x14ac:dyDescent="0.45">
      <c r="I489" t="s">
        <v>186</v>
      </c>
      <c r="J489" t="s">
        <v>292</v>
      </c>
      <c r="K489">
        <v>4.0751062412932087E-3</v>
      </c>
      <c r="L489" t="s">
        <v>166</v>
      </c>
      <c r="N489" t="s">
        <v>210</v>
      </c>
      <c r="O489" t="s">
        <v>292</v>
      </c>
      <c r="P489">
        <v>1.2481775954755315E-2</v>
      </c>
      <c r="Q489" t="s">
        <v>166</v>
      </c>
      <c r="S489" t="s">
        <v>227</v>
      </c>
      <c r="T489" t="s">
        <v>292</v>
      </c>
      <c r="U489">
        <v>1.5949212175904726E-2</v>
      </c>
      <c r="V489" t="s">
        <v>166</v>
      </c>
    </row>
    <row r="490" spans="9:22" x14ac:dyDescent="0.45">
      <c r="I490" t="s">
        <v>186</v>
      </c>
      <c r="J490" t="s">
        <v>293</v>
      </c>
      <c r="K490">
        <v>0</v>
      </c>
      <c r="L490" t="s">
        <v>166</v>
      </c>
      <c r="N490" t="s">
        <v>210</v>
      </c>
      <c r="O490" t="s">
        <v>293</v>
      </c>
      <c r="P490">
        <v>4.8113182466619414E-2</v>
      </c>
      <c r="Q490" t="s">
        <v>166</v>
      </c>
      <c r="S490" t="s">
        <v>227</v>
      </c>
      <c r="T490" t="s">
        <v>293</v>
      </c>
      <c r="U490">
        <v>4.0238752373937779E-2</v>
      </c>
      <c r="V490" t="s">
        <v>166</v>
      </c>
    </row>
    <row r="491" spans="9:22" x14ac:dyDescent="0.45">
      <c r="I491" t="s">
        <v>187</v>
      </c>
      <c r="J491" t="s">
        <v>165</v>
      </c>
      <c r="K491">
        <v>6.5367263819853015E-3</v>
      </c>
      <c r="L491" t="s">
        <v>166</v>
      </c>
      <c r="N491" t="s">
        <v>211</v>
      </c>
      <c r="O491" t="s">
        <v>165</v>
      </c>
      <c r="P491">
        <v>0.10504577720718171</v>
      </c>
      <c r="Q491" t="s">
        <v>166</v>
      </c>
      <c r="S491" t="s">
        <v>228</v>
      </c>
      <c r="T491" t="s">
        <v>165</v>
      </c>
      <c r="U491">
        <v>0.10360970972605493</v>
      </c>
      <c r="V491" t="s">
        <v>166</v>
      </c>
    </row>
    <row r="492" spans="9:22" x14ac:dyDescent="0.45">
      <c r="I492" t="s">
        <v>187</v>
      </c>
      <c r="J492" t="s">
        <v>167</v>
      </c>
      <c r="K492">
        <v>1.5161208664639794E-2</v>
      </c>
      <c r="L492" t="s">
        <v>166</v>
      </c>
      <c r="N492" t="s">
        <v>211</v>
      </c>
      <c r="O492" t="s">
        <v>167</v>
      </c>
      <c r="P492">
        <v>1.3232391440521662E-2</v>
      </c>
      <c r="Q492" t="s">
        <v>166</v>
      </c>
      <c r="S492" t="s">
        <v>228</v>
      </c>
      <c r="T492" t="s">
        <v>167</v>
      </c>
      <c r="U492">
        <v>1.3416455046842361E-2</v>
      </c>
      <c r="V492" t="s">
        <v>166</v>
      </c>
    </row>
    <row r="493" spans="9:22" x14ac:dyDescent="0.45">
      <c r="I493" t="s">
        <v>187</v>
      </c>
      <c r="J493" t="s">
        <v>168</v>
      </c>
      <c r="K493">
        <v>0.22750204159976251</v>
      </c>
      <c r="L493" t="s">
        <v>166</v>
      </c>
      <c r="N493" t="s">
        <v>211</v>
      </c>
      <c r="O493" t="s">
        <v>168</v>
      </c>
      <c r="P493">
        <v>0.12458830854106502</v>
      </c>
      <c r="Q493" t="s">
        <v>166</v>
      </c>
      <c r="S493" t="s">
        <v>228</v>
      </c>
      <c r="T493" t="s">
        <v>168</v>
      </c>
      <c r="U493">
        <v>9.1492871463724423E-2</v>
      </c>
      <c r="V493" t="s">
        <v>166</v>
      </c>
    </row>
    <row r="494" spans="9:22" x14ac:dyDescent="0.45">
      <c r="I494" t="s">
        <v>187</v>
      </c>
      <c r="J494" t="s">
        <v>258</v>
      </c>
      <c r="K494">
        <v>2.5972030698542245E-2</v>
      </c>
      <c r="L494" t="s">
        <v>166</v>
      </c>
      <c r="N494" t="s">
        <v>211</v>
      </c>
      <c r="O494" t="s">
        <v>258</v>
      </c>
      <c r="P494">
        <v>2.0200151271598205E-2</v>
      </c>
      <c r="Q494" t="s">
        <v>166</v>
      </c>
      <c r="S494" t="s">
        <v>228</v>
      </c>
      <c r="T494" t="s">
        <v>258</v>
      </c>
      <c r="U494">
        <v>1.2924280150022064E-2</v>
      </c>
      <c r="V494" t="s">
        <v>166</v>
      </c>
    </row>
    <row r="495" spans="9:22" x14ac:dyDescent="0.45">
      <c r="I495" t="s">
        <v>187</v>
      </c>
      <c r="J495" t="s">
        <v>259</v>
      </c>
      <c r="K495">
        <v>2.6420606234257592E-2</v>
      </c>
      <c r="L495" t="s">
        <v>166</v>
      </c>
      <c r="N495" t="s">
        <v>211</v>
      </c>
      <c r="O495" t="s">
        <v>259</v>
      </c>
      <c r="P495">
        <v>3.7720220637202408E-2</v>
      </c>
      <c r="Q495" t="s">
        <v>166</v>
      </c>
      <c r="S495" t="s">
        <v>228</v>
      </c>
      <c r="T495" t="s">
        <v>259</v>
      </c>
      <c r="U495">
        <v>2.3882607300841453E-2</v>
      </c>
      <c r="V495" t="s">
        <v>166</v>
      </c>
    </row>
    <row r="496" spans="9:22" x14ac:dyDescent="0.45">
      <c r="I496" t="s">
        <v>187</v>
      </c>
      <c r="J496" t="s">
        <v>260</v>
      </c>
      <c r="K496">
        <v>0</v>
      </c>
      <c r="L496" t="s">
        <v>166</v>
      </c>
      <c r="N496" t="s">
        <v>211</v>
      </c>
      <c r="O496" t="s">
        <v>260</v>
      </c>
      <c r="P496">
        <v>9.965516960179048E-2</v>
      </c>
      <c r="Q496" t="s">
        <v>166</v>
      </c>
      <c r="S496" t="s">
        <v>228</v>
      </c>
      <c r="T496" t="s">
        <v>260</v>
      </c>
      <c r="U496">
        <v>6.5277775583478637E-2</v>
      </c>
      <c r="V496" t="s">
        <v>166</v>
      </c>
    </row>
    <row r="497" spans="9:22" x14ac:dyDescent="0.45">
      <c r="I497" t="s">
        <v>187</v>
      </c>
      <c r="J497" t="s">
        <v>169</v>
      </c>
      <c r="K497">
        <v>5.9494575308081648E-3</v>
      </c>
      <c r="L497" t="s">
        <v>166</v>
      </c>
      <c r="N497" t="s">
        <v>211</v>
      </c>
      <c r="O497" t="s">
        <v>169</v>
      </c>
      <c r="P497">
        <v>4.9826636156527545E-3</v>
      </c>
      <c r="Q497" t="s">
        <v>166</v>
      </c>
      <c r="S497" t="s">
        <v>228</v>
      </c>
      <c r="T497" t="s">
        <v>169</v>
      </c>
      <c r="U497">
        <v>2.2335245172190141E-2</v>
      </c>
      <c r="V497" t="s">
        <v>166</v>
      </c>
    </row>
    <row r="498" spans="9:22" x14ac:dyDescent="0.45">
      <c r="I498" t="s">
        <v>187</v>
      </c>
      <c r="J498" t="s">
        <v>170</v>
      </c>
      <c r="K498">
        <v>6.6138401308891469E-3</v>
      </c>
      <c r="L498" t="s">
        <v>166</v>
      </c>
      <c r="N498" t="s">
        <v>211</v>
      </c>
      <c r="O498" t="s">
        <v>170</v>
      </c>
      <c r="P498">
        <v>6.580761817482465E-4</v>
      </c>
      <c r="Q498" t="s">
        <v>166</v>
      </c>
      <c r="S498" t="s">
        <v>228</v>
      </c>
      <c r="T498" t="s">
        <v>170</v>
      </c>
      <c r="U498">
        <v>2.7641077555592445E-3</v>
      </c>
      <c r="V498" t="s">
        <v>166</v>
      </c>
    </row>
    <row r="499" spans="9:22" x14ac:dyDescent="0.45">
      <c r="I499" t="s">
        <v>187</v>
      </c>
      <c r="J499" t="s">
        <v>171</v>
      </c>
      <c r="K499">
        <v>7.0889032384489181E-2</v>
      </c>
      <c r="L499" t="s">
        <v>166</v>
      </c>
      <c r="N499" t="s">
        <v>211</v>
      </c>
      <c r="O499" t="s">
        <v>171</v>
      </c>
      <c r="P499">
        <v>7.3766098005043426E-3</v>
      </c>
      <c r="Q499" t="s">
        <v>166</v>
      </c>
      <c r="S499" t="s">
        <v>228</v>
      </c>
      <c r="T499" t="s">
        <v>171</v>
      </c>
      <c r="U499">
        <v>1.9426688729467512E-2</v>
      </c>
      <c r="V499" t="s">
        <v>166</v>
      </c>
    </row>
    <row r="500" spans="9:22" x14ac:dyDescent="0.45">
      <c r="I500" t="s">
        <v>187</v>
      </c>
      <c r="J500" t="s">
        <v>261</v>
      </c>
      <c r="K500">
        <v>8.1856303518106164E-3</v>
      </c>
      <c r="L500" t="s">
        <v>166</v>
      </c>
      <c r="N500" t="s">
        <v>211</v>
      </c>
      <c r="O500" t="s">
        <v>261</v>
      </c>
      <c r="P500">
        <v>1.0727898406883863E-3</v>
      </c>
      <c r="Q500" t="s">
        <v>166</v>
      </c>
      <c r="S500" t="s">
        <v>228</v>
      </c>
      <c r="T500" t="s">
        <v>261</v>
      </c>
      <c r="U500">
        <v>2.5125285274991585E-3</v>
      </c>
      <c r="V500" t="s">
        <v>166</v>
      </c>
    </row>
    <row r="501" spans="9:22" x14ac:dyDescent="0.45">
      <c r="I501" t="s">
        <v>187</v>
      </c>
      <c r="J501" t="s">
        <v>262</v>
      </c>
      <c r="K501">
        <v>9.9258578125418044E-3</v>
      </c>
      <c r="L501" t="s">
        <v>166</v>
      </c>
      <c r="N501" t="s">
        <v>211</v>
      </c>
      <c r="O501" t="s">
        <v>262</v>
      </c>
      <c r="P501">
        <v>1.6580805663029077E-3</v>
      </c>
      <c r="Q501" t="s">
        <v>166</v>
      </c>
      <c r="S501" t="s">
        <v>228</v>
      </c>
      <c r="T501" t="s">
        <v>262</v>
      </c>
      <c r="U501">
        <v>3.869365022535722E-3</v>
      </c>
      <c r="V501" t="s">
        <v>166</v>
      </c>
    </row>
    <row r="502" spans="9:22" x14ac:dyDescent="0.45">
      <c r="I502" t="s">
        <v>187</v>
      </c>
      <c r="J502" t="s">
        <v>263</v>
      </c>
      <c r="K502">
        <v>0</v>
      </c>
      <c r="L502" t="s">
        <v>166</v>
      </c>
      <c r="N502" t="s">
        <v>211</v>
      </c>
      <c r="O502" t="s">
        <v>263</v>
      </c>
      <c r="P502">
        <v>3.8064629651307844E-3</v>
      </c>
      <c r="Q502" t="s">
        <v>166</v>
      </c>
      <c r="S502" t="s">
        <v>228</v>
      </c>
      <c r="T502" t="s">
        <v>263</v>
      </c>
      <c r="U502">
        <v>1.2239454429394057E-2</v>
      </c>
      <c r="V502" t="s">
        <v>166</v>
      </c>
    </row>
    <row r="503" spans="9:22" x14ac:dyDescent="0.45">
      <c r="I503" t="s">
        <v>187</v>
      </c>
      <c r="J503" t="s">
        <v>172</v>
      </c>
      <c r="K503">
        <v>5.250431499060188E-3</v>
      </c>
      <c r="L503" t="s">
        <v>166</v>
      </c>
      <c r="N503" t="s">
        <v>211</v>
      </c>
      <c r="O503" t="s">
        <v>172</v>
      </c>
      <c r="P503">
        <v>1.3113854225723486E-2</v>
      </c>
      <c r="Q503" t="s">
        <v>166</v>
      </c>
      <c r="S503" t="s">
        <v>228</v>
      </c>
      <c r="T503" t="s">
        <v>172</v>
      </c>
      <c r="U503">
        <v>1.8920514999876962E-2</v>
      </c>
      <c r="V503" t="s">
        <v>166</v>
      </c>
    </row>
    <row r="504" spans="9:22" x14ac:dyDescent="0.45">
      <c r="I504" t="s">
        <v>187</v>
      </c>
      <c r="J504" t="s">
        <v>173</v>
      </c>
      <c r="K504">
        <v>5.5954526471668738E-3</v>
      </c>
      <c r="L504" t="s">
        <v>166</v>
      </c>
      <c r="N504" t="s">
        <v>211</v>
      </c>
      <c r="O504" t="s">
        <v>173</v>
      </c>
      <c r="P504">
        <v>1.9016830777773327E-3</v>
      </c>
      <c r="Q504" t="s">
        <v>166</v>
      </c>
      <c r="S504" t="s">
        <v>228</v>
      </c>
      <c r="T504" t="s">
        <v>173</v>
      </c>
      <c r="U504">
        <v>2.2334625748397633E-3</v>
      </c>
      <c r="V504" t="s">
        <v>166</v>
      </c>
    </row>
    <row r="505" spans="9:22" x14ac:dyDescent="0.45">
      <c r="I505" t="s">
        <v>187</v>
      </c>
      <c r="J505" t="s">
        <v>174</v>
      </c>
      <c r="K505">
        <v>6.7366666234905032E-2</v>
      </c>
      <c r="L505" t="s">
        <v>166</v>
      </c>
      <c r="N505" t="s">
        <v>211</v>
      </c>
      <c r="O505" t="s">
        <v>174</v>
      </c>
      <c r="P505">
        <v>1.6047676378657706E-2</v>
      </c>
      <c r="Q505" t="s">
        <v>166</v>
      </c>
      <c r="S505" t="s">
        <v>228</v>
      </c>
      <c r="T505" t="s">
        <v>174</v>
      </c>
      <c r="U505">
        <v>1.5269955556101391E-2</v>
      </c>
      <c r="V505" t="s">
        <v>166</v>
      </c>
    </row>
    <row r="506" spans="9:22" x14ac:dyDescent="0.45">
      <c r="I506" t="s">
        <v>187</v>
      </c>
      <c r="J506" t="s">
        <v>264</v>
      </c>
      <c r="K506">
        <v>8.0286199006626945E-3</v>
      </c>
      <c r="L506" t="s">
        <v>166</v>
      </c>
      <c r="N506" t="s">
        <v>211</v>
      </c>
      <c r="O506" t="s">
        <v>264</v>
      </c>
      <c r="P506">
        <v>1.8487236190736929E-3</v>
      </c>
      <c r="Q506" t="s">
        <v>166</v>
      </c>
      <c r="S506" t="s">
        <v>228</v>
      </c>
      <c r="T506" t="s">
        <v>264</v>
      </c>
      <c r="U506">
        <v>1.8159044710998706E-3</v>
      </c>
      <c r="V506" t="s">
        <v>166</v>
      </c>
    </row>
    <row r="507" spans="9:22" x14ac:dyDescent="0.45">
      <c r="I507" t="s">
        <v>187</v>
      </c>
      <c r="J507" t="s">
        <v>265</v>
      </c>
      <c r="K507">
        <v>1.0145626869459074E-2</v>
      </c>
      <c r="L507" t="s">
        <v>166</v>
      </c>
      <c r="N507" t="s">
        <v>211</v>
      </c>
      <c r="O507" t="s">
        <v>265</v>
      </c>
      <c r="P507">
        <v>2.8315617346135295E-3</v>
      </c>
      <c r="Q507" t="s">
        <v>166</v>
      </c>
      <c r="S507" t="s">
        <v>228</v>
      </c>
      <c r="T507" t="s">
        <v>265</v>
      </c>
      <c r="U507">
        <v>2.9738576716670569E-3</v>
      </c>
      <c r="V507" t="s">
        <v>166</v>
      </c>
    </row>
    <row r="508" spans="9:22" x14ac:dyDescent="0.45">
      <c r="I508" t="s">
        <v>187</v>
      </c>
      <c r="J508" t="s">
        <v>266</v>
      </c>
      <c r="K508">
        <v>0</v>
      </c>
      <c r="L508" t="s">
        <v>166</v>
      </c>
      <c r="N508" t="s">
        <v>211</v>
      </c>
      <c r="O508" t="s">
        <v>266</v>
      </c>
      <c r="P508">
        <v>6.7734884858153925E-3</v>
      </c>
      <c r="Q508" t="s">
        <v>166</v>
      </c>
      <c r="S508" t="s">
        <v>228</v>
      </c>
      <c r="T508" t="s">
        <v>266</v>
      </c>
      <c r="U508">
        <v>9.1700959531641826E-3</v>
      </c>
      <c r="V508" t="s">
        <v>166</v>
      </c>
    </row>
    <row r="509" spans="9:22" x14ac:dyDescent="0.45">
      <c r="I509" t="s">
        <v>187</v>
      </c>
      <c r="J509" t="s">
        <v>175</v>
      </c>
      <c r="K509">
        <v>3.9876211053110041E-3</v>
      </c>
      <c r="L509" t="s">
        <v>166</v>
      </c>
      <c r="N509" t="s">
        <v>211</v>
      </c>
      <c r="O509" t="s">
        <v>175</v>
      </c>
      <c r="P509">
        <v>1.2648002623560358E-2</v>
      </c>
      <c r="Q509" t="s">
        <v>166</v>
      </c>
      <c r="S509" t="s">
        <v>228</v>
      </c>
      <c r="T509" t="s">
        <v>175</v>
      </c>
      <c r="U509">
        <v>2.0041692563369771E-2</v>
      </c>
      <c r="V509" t="s">
        <v>166</v>
      </c>
    </row>
    <row r="510" spans="9:22" x14ac:dyDescent="0.45">
      <c r="I510" t="s">
        <v>187</v>
      </c>
      <c r="J510" t="s">
        <v>176</v>
      </c>
      <c r="K510">
        <v>4.5213270187877026E-3</v>
      </c>
      <c r="L510" t="s">
        <v>166</v>
      </c>
      <c r="N510" t="s">
        <v>211</v>
      </c>
      <c r="O510" t="s">
        <v>176</v>
      </c>
      <c r="P510">
        <v>1.5719975145937635E-3</v>
      </c>
      <c r="Q510" t="s">
        <v>166</v>
      </c>
      <c r="S510" t="s">
        <v>228</v>
      </c>
      <c r="T510" t="s">
        <v>176</v>
      </c>
      <c r="U510">
        <v>2.4150979584918438E-3</v>
      </c>
      <c r="V510" t="s">
        <v>166</v>
      </c>
    </row>
    <row r="511" spans="9:22" x14ac:dyDescent="0.45">
      <c r="I511" t="s">
        <v>187</v>
      </c>
      <c r="J511" t="s">
        <v>177</v>
      </c>
      <c r="K511">
        <v>6.1211309080552744E-2</v>
      </c>
      <c r="L511" t="s">
        <v>166</v>
      </c>
      <c r="N511" t="s">
        <v>211</v>
      </c>
      <c r="O511" t="s">
        <v>177</v>
      </c>
      <c r="P511">
        <v>1.4361272386640362E-2</v>
      </c>
      <c r="Q511" t="s">
        <v>166</v>
      </c>
      <c r="S511" t="s">
        <v>228</v>
      </c>
      <c r="T511" t="s">
        <v>177</v>
      </c>
      <c r="U511">
        <v>1.5466290122449326E-2</v>
      </c>
      <c r="V511" t="s">
        <v>166</v>
      </c>
    </row>
    <row r="512" spans="9:22" x14ac:dyDescent="0.45">
      <c r="I512" t="s">
        <v>187</v>
      </c>
      <c r="J512" t="s">
        <v>267</v>
      </c>
      <c r="K512">
        <v>7.2413078893124039E-3</v>
      </c>
      <c r="L512" t="s">
        <v>166</v>
      </c>
      <c r="N512" t="s">
        <v>211</v>
      </c>
      <c r="O512" t="s">
        <v>267</v>
      </c>
      <c r="P512">
        <v>1.4453839442637524E-3</v>
      </c>
      <c r="Q512" t="s">
        <v>166</v>
      </c>
      <c r="S512" t="s">
        <v>228</v>
      </c>
      <c r="T512" t="s">
        <v>267</v>
      </c>
      <c r="U512">
        <v>1.8782594119718307E-3</v>
      </c>
      <c r="V512" t="s">
        <v>166</v>
      </c>
    </row>
    <row r="513" spans="9:22" x14ac:dyDescent="0.45">
      <c r="I513" t="s">
        <v>187</v>
      </c>
      <c r="J513" t="s">
        <v>268</v>
      </c>
      <c r="K513">
        <v>8.834684381275909E-3</v>
      </c>
      <c r="L513" t="s">
        <v>166</v>
      </c>
      <c r="N513" t="s">
        <v>211</v>
      </c>
      <c r="O513" t="s">
        <v>268</v>
      </c>
      <c r="P513">
        <v>2.5721251718736761E-3</v>
      </c>
      <c r="Q513" t="s">
        <v>166</v>
      </c>
      <c r="S513" t="s">
        <v>228</v>
      </c>
      <c r="T513" t="s">
        <v>268</v>
      </c>
      <c r="U513">
        <v>2.7986760943495732E-3</v>
      </c>
      <c r="V513" t="s">
        <v>166</v>
      </c>
    </row>
    <row r="514" spans="9:22" x14ac:dyDescent="0.45">
      <c r="I514" t="s">
        <v>187</v>
      </c>
      <c r="J514" t="s">
        <v>269</v>
      </c>
      <c r="K514">
        <v>0</v>
      </c>
      <c r="L514" t="s">
        <v>166</v>
      </c>
      <c r="N514" t="s">
        <v>211</v>
      </c>
      <c r="O514" t="s">
        <v>269</v>
      </c>
      <c r="P514">
        <v>7.2690982494852379E-3</v>
      </c>
      <c r="Q514" t="s">
        <v>166</v>
      </c>
      <c r="S514" t="s">
        <v>228</v>
      </c>
      <c r="T514" t="s">
        <v>269</v>
      </c>
      <c r="U514">
        <v>1.0575663749092697E-2</v>
      </c>
      <c r="V514" t="s">
        <v>166</v>
      </c>
    </row>
    <row r="515" spans="9:22" x14ac:dyDescent="0.45">
      <c r="I515" t="s">
        <v>187</v>
      </c>
      <c r="J515" t="s">
        <v>270</v>
      </c>
      <c r="K515">
        <v>2.4018775644899992E-3</v>
      </c>
      <c r="L515" t="s">
        <v>166</v>
      </c>
      <c r="N515" t="s">
        <v>211</v>
      </c>
      <c r="O515" t="s">
        <v>270</v>
      </c>
      <c r="P515">
        <v>3.0124740739685983E-2</v>
      </c>
      <c r="Q515" t="s">
        <v>166</v>
      </c>
      <c r="S515" t="s">
        <v>228</v>
      </c>
      <c r="T515" t="s">
        <v>270</v>
      </c>
      <c r="U515">
        <v>3.8588668742615101E-2</v>
      </c>
      <c r="V515" t="s">
        <v>166</v>
      </c>
    </row>
    <row r="516" spans="9:22" x14ac:dyDescent="0.45">
      <c r="I516" t="s">
        <v>187</v>
      </c>
      <c r="J516" t="s">
        <v>271</v>
      </c>
      <c r="K516">
        <v>4.5019998755688627E-3</v>
      </c>
      <c r="L516" t="s">
        <v>166</v>
      </c>
      <c r="N516" t="s">
        <v>211</v>
      </c>
      <c r="O516" t="s">
        <v>271</v>
      </c>
      <c r="P516">
        <v>4.0371675093814324E-3</v>
      </c>
      <c r="Q516" t="s">
        <v>166</v>
      </c>
      <c r="S516" t="s">
        <v>228</v>
      </c>
      <c r="T516" t="s">
        <v>271</v>
      </c>
      <c r="U516">
        <v>4.6468478244827702E-3</v>
      </c>
      <c r="V516" t="s">
        <v>166</v>
      </c>
    </row>
    <row r="517" spans="9:22" x14ac:dyDescent="0.45">
      <c r="I517" t="s">
        <v>187</v>
      </c>
      <c r="J517" t="s">
        <v>272</v>
      </c>
      <c r="K517">
        <v>6.1833294261703586E-2</v>
      </c>
      <c r="L517" t="s">
        <v>166</v>
      </c>
      <c r="N517" t="s">
        <v>211</v>
      </c>
      <c r="O517" t="s">
        <v>272</v>
      </c>
      <c r="P517">
        <v>3.4872341208045589E-2</v>
      </c>
      <c r="Q517" t="s">
        <v>166</v>
      </c>
      <c r="S517" t="s">
        <v>228</v>
      </c>
      <c r="T517" t="s">
        <v>272</v>
      </c>
      <c r="U517">
        <v>3.2322379736278918E-2</v>
      </c>
      <c r="V517" t="s">
        <v>166</v>
      </c>
    </row>
    <row r="518" spans="9:22" x14ac:dyDescent="0.45">
      <c r="I518" t="s">
        <v>187</v>
      </c>
      <c r="J518" t="s">
        <v>273</v>
      </c>
      <c r="K518">
        <v>7.2039848010993102E-3</v>
      </c>
      <c r="L518" t="s">
        <v>166</v>
      </c>
      <c r="N518" t="s">
        <v>211</v>
      </c>
      <c r="O518" t="s">
        <v>273</v>
      </c>
      <c r="P518">
        <v>3.4615628019073756E-3</v>
      </c>
      <c r="Q518" t="s">
        <v>166</v>
      </c>
      <c r="S518" t="s">
        <v>228</v>
      </c>
      <c r="T518" t="s">
        <v>273</v>
      </c>
      <c r="U518">
        <v>4.1719983076957843E-3</v>
      </c>
      <c r="V518" t="s">
        <v>166</v>
      </c>
    </row>
    <row r="519" spans="9:22" x14ac:dyDescent="0.45">
      <c r="I519" t="s">
        <v>187</v>
      </c>
      <c r="J519" t="s">
        <v>274</v>
      </c>
      <c r="K519">
        <v>8.0339469719905264E-3</v>
      </c>
      <c r="L519" t="s">
        <v>166</v>
      </c>
      <c r="N519" t="s">
        <v>211</v>
      </c>
      <c r="O519" t="s">
        <v>274</v>
      </c>
      <c r="P519">
        <v>6.1664121641698041E-3</v>
      </c>
      <c r="Q519" t="s">
        <v>166</v>
      </c>
      <c r="S519" t="s">
        <v>228</v>
      </c>
      <c r="T519" t="s">
        <v>274</v>
      </c>
      <c r="U519">
        <v>7.323131808367276E-3</v>
      </c>
      <c r="V519" t="s">
        <v>166</v>
      </c>
    </row>
    <row r="520" spans="9:22" x14ac:dyDescent="0.45">
      <c r="I520" t="s">
        <v>187</v>
      </c>
      <c r="J520" t="s">
        <v>275</v>
      </c>
      <c r="K520">
        <v>0</v>
      </c>
      <c r="L520" t="s">
        <v>166</v>
      </c>
      <c r="N520" t="s">
        <v>211</v>
      </c>
      <c r="O520" t="s">
        <v>275</v>
      </c>
      <c r="P520">
        <v>1.653189717222054E-2</v>
      </c>
      <c r="Q520" t="s">
        <v>166</v>
      </c>
      <c r="S520" t="s">
        <v>228</v>
      </c>
      <c r="T520" t="s">
        <v>275</v>
      </c>
      <c r="U520">
        <v>2.104929428670263E-2</v>
      </c>
      <c r="V520" t="s">
        <v>166</v>
      </c>
    </row>
    <row r="521" spans="9:22" x14ac:dyDescent="0.45">
      <c r="I521" t="s">
        <v>187</v>
      </c>
      <c r="J521" t="s">
        <v>276</v>
      </c>
      <c r="K521">
        <v>6.5808700781481953E-3</v>
      </c>
      <c r="L521" t="s">
        <v>166</v>
      </c>
      <c r="N521" t="s">
        <v>211</v>
      </c>
      <c r="O521" t="s">
        <v>276</v>
      </c>
      <c r="P521">
        <v>3.4847214333369347E-2</v>
      </c>
      <c r="Q521" t="s">
        <v>166</v>
      </c>
      <c r="S521" t="s">
        <v>228</v>
      </c>
      <c r="T521" t="s">
        <v>276</v>
      </c>
      <c r="U521">
        <v>4.5796745081395716E-2</v>
      </c>
      <c r="V521" t="s">
        <v>166</v>
      </c>
    </row>
    <row r="522" spans="9:22" x14ac:dyDescent="0.45">
      <c r="I522" t="s">
        <v>187</v>
      </c>
      <c r="J522" t="s">
        <v>277</v>
      </c>
      <c r="K522">
        <v>1.169859824320362E-2</v>
      </c>
      <c r="L522" t="s">
        <v>166</v>
      </c>
      <c r="N522" t="s">
        <v>211</v>
      </c>
      <c r="O522" t="s">
        <v>277</v>
      </c>
      <c r="P522">
        <v>4.633610802072155E-3</v>
      </c>
      <c r="Q522" t="s">
        <v>166</v>
      </c>
      <c r="S522" t="s">
        <v>228</v>
      </c>
      <c r="T522" t="s">
        <v>277</v>
      </c>
      <c r="U522">
        <v>5.7855194015595307E-3</v>
      </c>
      <c r="V522" t="s">
        <v>166</v>
      </c>
    </row>
    <row r="523" spans="9:22" x14ac:dyDescent="0.45">
      <c r="I523" t="s">
        <v>187</v>
      </c>
      <c r="J523" t="s">
        <v>278</v>
      </c>
      <c r="K523">
        <v>0.13148402579300691</v>
      </c>
      <c r="L523" t="s">
        <v>166</v>
      </c>
      <c r="N523" t="s">
        <v>211</v>
      </c>
      <c r="O523" t="s">
        <v>278</v>
      </c>
      <c r="P523">
        <v>4.3425825934956939E-2</v>
      </c>
      <c r="Q523" t="s">
        <v>166</v>
      </c>
      <c r="S523" t="s">
        <v>228</v>
      </c>
      <c r="T523" t="s">
        <v>278</v>
      </c>
      <c r="U523">
        <v>3.9593606287318284E-2</v>
      </c>
      <c r="V523" t="s">
        <v>166</v>
      </c>
    </row>
    <row r="524" spans="9:22" x14ac:dyDescent="0.45">
      <c r="I524" t="s">
        <v>187</v>
      </c>
      <c r="J524" t="s">
        <v>279</v>
      </c>
      <c r="K524">
        <v>1.4511159456840825E-2</v>
      </c>
      <c r="L524" t="s">
        <v>166</v>
      </c>
      <c r="N524" t="s">
        <v>211</v>
      </c>
      <c r="O524" t="s">
        <v>279</v>
      </c>
      <c r="P524">
        <v>5.2716004262269795E-3</v>
      </c>
      <c r="Q524" t="s">
        <v>166</v>
      </c>
      <c r="S524" t="s">
        <v>228</v>
      </c>
      <c r="T524" t="s">
        <v>279</v>
      </c>
      <c r="U524">
        <v>5.4818126685189364E-3</v>
      </c>
      <c r="V524" t="s">
        <v>166</v>
      </c>
    </row>
    <row r="525" spans="9:22" x14ac:dyDescent="0.45">
      <c r="I525" t="s">
        <v>187</v>
      </c>
      <c r="J525" t="s">
        <v>280</v>
      </c>
      <c r="K525">
        <v>1.1706703047383455E-2</v>
      </c>
      <c r="L525" t="s">
        <v>166</v>
      </c>
      <c r="N525" t="s">
        <v>211</v>
      </c>
      <c r="O525" t="s">
        <v>280</v>
      </c>
      <c r="P525">
        <v>9.6983080533672439E-3</v>
      </c>
      <c r="Q525" t="s">
        <v>166</v>
      </c>
      <c r="S525" t="s">
        <v>228</v>
      </c>
      <c r="T525" t="s">
        <v>280</v>
      </c>
      <c r="U525">
        <v>9.8216124049197127E-3</v>
      </c>
      <c r="V525" t="s">
        <v>166</v>
      </c>
    </row>
    <row r="526" spans="9:22" x14ac:dyDescent="0.45">
      <c r="I526" t="s">
        <v>187</v>
      </c>
      <c r="J526" t="s">
        <v>281</v>
      </c>
      <c r="K526">
        <v>0</v>
      </c>
      <c r="L526" t="s">
        <v>166</v>
      </c>
      <c r="N526" t="s">
        <v>211</v>
      </c>
      <c r="O526" t="s">
        <v>281</v>
      </c>
      <c r="P526">
        <v>2.4556360887306897E-2</v>
      </c>
      <c r="Q526" t="s">
        <v>166</v>
      </c>
      <c r="S526" t="s">
        <v>228</v>
      </c>
      <c r="T526" t="s">
        <v>281</v>
      </c>
      <c r="U526">
        <v>2.6174705576899843E-2</v>
      </c>
      <c r="V526" t="s">
        <v>166</v>
      </c>
    </row>
    <row r="527" spans="9:22" x14ac:dyDescent="0.45">
      <c r="I527" t="s">
        <v>187</v>
      </c>
      <c r="J527" t="s">
        <v>282</v>
      </c>
      <c r="K527">
        <v>1.9694822871220226E-3</v>
      </c>
      <c r="L527" t="s">
        <v>166</v>
      </c>
      <c r="N527" t="s">
        <v>211</v>
      </c>
      <c r="O527" t="s">
        <v>282</v>
      </c>
      <c r="P527">
        <v>3.1580070405903625E-2</v>
      </c>
      <c r="Q527" t="s">
        <v>166</v>
      </c>
      <c r="S527" t="s">
        <v>228</v>
      </c>
      <c r="T527" t="s">
        <v>282</v>
      </c>
      <c r="U527">
        <v>4.1629708060508926E-2</v>
      </c>
      <c r="V527" t="s">
        <v>166</v>
      </c>
    </row>
    <row r="528" spans="9:22" x14ac:dyDescent="0.45">
      <c r="I528" t="s">
        <v>187</v>
      </c>
      <c r="J528" t="s">
        <v>283</v>
      </c>
      <c r="K528">
        <v>4.0883438409090242E-3</v>
      </c>
      <c r="L528" t="s">
        <v>166</v>
      </c>
      <c r="N528" t="s">
        <v>211</v>
      </c>
      <c r="O528" t="s">
        <v>283</v>
      </c>
      <c r="P528">
        <v>5.1979249400961828E-3</v>
      </c>
      <c r="Q528" t="s">
        <v>166</v>
      </c>
      <c r="S528" t="s">
        <v>228</v>
      </c>
      <c r="T528" t="s">
        <v>283</v>
      </c>
      <c r="U528">
        <v>5.8542775241366999E-3</v>
      </c>
      <c r="V528" t="s">
        <v>166</v>
      </c>
    </row>
    <row r="529" spans="9:22" x14ac:dyDescent="0.45">
      <c r="I529" t="s">
        <v>187</v>
      </c>
      <c r="J529" t="s">
        <v>284</v>
      </c>
      <c r="K529">
        <v>5.3996866268985692E-2</v>
      </c>
      <c r="L529" t="s">
        <v>166</v>
      </c>
      <c r="N529" t="s">
        <v>211</v>
      </c>
      <c r="O529" t="s">
        <v>284</v>
      </c>
      <c r="P529">
        <v>4.71411087288107E-2</v>
      </c>
      <c r="Q529" t="s">
        <v>166</v>
      </c>
      <c r="S529" t="s">
        <v>228</v>
      </c>
      <c r="T529" t="s">
        <v>284</v>
      </c>
      <c r="U529">
        <v>4.098661215617469E-2</v>
      </c>
      <c r="V529" t="s">
        <v>166</v>
      </c>
    </row>
    <row r="530" spans="9:22" x14ac:dyDescent="0.45">
      <c r="I530" t="s">
        <v>187</v>
      </c>
      <c r="J530" t="s">
        <v>285</v>
      </c>
      <c r="K530">
        <v>5.1245334079213648E-3</v>
      </c>
      <c r="L530" t="s">
        <v>166</v>
      </c>
      <c r="N530" t="s">
        <v>211</v>
      </c>
      <c r="O530" t="s">
        <v>285</v>
      </c>
      <c r="P530">
        <v>5.3416674842979052E-3</v>
      </c>
      <c r="Q530" t="s">
        <v>166</v>
      </c>
      <c r="S530" t="s">
        <v>228</v>
      </c>
      <c r="T530" t="s">
        <v>285</v>
      </c>
      <c r="U530">
        <v>5.7342789234896005E-3</v>
      </c>
      <c r="V530" t="s">
        <v>166</v>
      </c>
    </row>
    <row r="531" spans="9:22" x14ac:dyDescent="0.45">
      <c r="I531" t="s">
        <v>187</v>
      </c>
      <c r="J531" t="s">
        <v>286</v>
      </c>
      <c r="K531">
        <v>2.7814708781885565E-3</v>
      </c>
      <c r="L531" t="s">
        <v>166</v>
      </c>
      <c r="N531" t="s">
        <v>211</v>
      </c>
      <c r="O531" t="s">
        <v>286</v>
      </c>
      <c r="P531">
        <v>9.4003097990114637E-3</v>
      </c>
      <c r="Q531" t="s">
        <v>166</v>
      </c>
      <c r="S531" t="s">
        <v>228</v>
      </c>
      <c r="T531" t="s">
        <v>286</v>
      </c>
      <c r="U531">
        <v>1.043779883155427E-2</v>
      </c>
      <c r="V531" t="s">
        <v>166</v>
      </c>
    </row>
    <row r="532" spans="9:22" x14ac:dyDescent="0.45">
      <c r="I532" t="s">
        <v>187</v>
      </c>
      <c r="J532" t="s">
        <v>287</v>
      </c>
      <c r="K532">
        <v>0</v>
      </c>
      <c r="L532" t="s">
        <v>166</v>
      </c>
      <c r="N532" t="s">
        <v>211</v>
      </c>
      <c r="O532" t="s">
        <v>287</v>
      </c>
      <c r="P532">
        <v>2.4218077217320853E-2</v>
      </c>
      <c r="Q532" t="s">
        <v>166</v>
      </c>
      <c r="S532" t="s">
        <v>228</v>
      </c>
      <c r="T532" t="s">
        <v>287</v>
      </c>
      <c r="U532">
        <v>2.625890324374348E-2</v>
      </c>
      <c r="V532" t="s">
        <v>166</v>
      </c>
    </row>
    <row r="533" spans="9:22" x14ac:dyDescent="0.45">
      <c r="I533" t="s">
        <v>187</v>
      </c>
      <c r="J533" t="s">
        <v>288</v>
      </c>
      <c r="K533">
        <v>1.9555743820002325E-3</v>
      </c>
      <c r="L533" t="s">
        <v>166</v>
      </c>
      <c r="N533" t="s">
        <v>211</v>
      </c>
      <c r="O533" t="s">
        <v>288</v>
      </c>
      <c r="P533">
        <v>4.4432872648918355E-2</v>
      </c>
      <c r="Q533" t="s">
        <v>166</v>
      </c>
      <c r="S533" t="s">
        <v>228</v>
      </c>
      <c r="T533" t="s">
        <v>288</v>
      </c>
      <c r="U533">
        <v>5.0442819675333234E-2</v>
      </c>
      <c r="V533" t="s">
        <v>166</v>
      </c>
    </row>
    <row r="534" spans="9:22" x14ac:dyDescent="0.45">
      <c r="I534" t="s">
        <v>187</v>
      </c>
      <c r="J534" t="s">
        <v>289</v>
      </c>
      <c r="K534">
        <v>5.562779058300305E-3</v>
      </c>
      <c r="L534" t="s">
        <v>166</v>
      </c>
      <c r="N534" t="s">
        <v>211</v>
      </c>
      <c r="O534" t="s">
        <v>289</v>
      </c>
      <c r="P534">
        <v>6.314457687031357E-3</v>
      </c>
      <c r="Q534" t="s">
        <v>166</v>
      </c>
      <c r="S534" t="s">
        <v>228</v>
      </c>
      <c r="T534" t="s">
        <v>289</v>
      </c>
      <c r="U534">
        <v>6.4436177731442947E-3</v>
      </c>
      <c r="V534" t="s">
        <v>166</v>
      </c>
    </row>
    <row r="535" spans="9:22" x14ac:dyDescent="0.45">
      <c r="I535" t="s">
        <v>187</v>
      </c>
      <c r="J535" t="s">
        <v>290</v>
      </c>
      <c r="K535">
        <v>6.6816355156357879E-2</v>
      </c>
      <c r="L535" t="s">
        <v>166</v>
      </c>
      <c r="N535" t="s">
        <v>211</v>
      </c>
      <c r="O535" t="s">
        <v>290</v>
      </c>
      <c r="P535">
        <v>5.1846486189576296E-2</v>
      </c>
      <c r="Q535" t="s">
        <v>166</v>
      </c>
      <c r="S535" t="s">
        <v>228</v>
      </c>
      <c r="T535" t="s">
        <v>290</v>
      </c>
      <c r="U535">
        <v>4.5262917316163769E-2</v>
      </c>
      <c r="V535" t="s">
        <v>166</v>
      </c>
    </row>
    <row r="536" spans="9:22" x14ac:dyDescent="0.45">
      <c r="I536" t="s">
        <v>187</v>
      </c>
      <c r="J536" t="s">
        <v>291</v>
      </c>
      <c r="K536">
        <v>7.8354855212620696E-3</v>
      </c>
      <c r="L536" t="s">
        <v>166</v>
      </c>
      <c r="N536" t="s">
        <v>211</v>
      </c>
      <c r="O536" t="s">
        <v>291</v>
      </c>
      <c r="P536">
        <v>7.3165257071319996E-3</v>
      </c>
      <c r="Q536" t="s">
        <v>166</v>
      </c>
      <c r="S536" t="s">
        <v>228</v>
      </c>
      <c r="T536" t="s">
        <v>291</v>
      </c>
      <c r="U536">
        <v>6.4482920406599463E-3</v>
      </c>
      <c r="V536" t="s">
        <v>166</v>
      </c>
    </row>
    <row r="537" spans="9:22" x14ac:dyDescent="0.45">
      <c r="I537" t="s">
        <v>187</v>
      </c>
      <c r="J537" t="s">
        <v>292</v>
      </c>
      <c r="K537">
        <v>4.5731706892976967E-3</v>
      </c>
      <c r="L537" t="s">
        <v>166</v>
      </c>
      <c r="N537" t="s">
        <v>211</v>
      </c>
      <c r="O537" t="s">
        <v>292</v>
      </c>
      <c r="P537">
        <v>1.2973862848335158E-2</v>
      </c>
      <c r="Q537" t="s">
        <v>166</v>
      </c>
      <c r="S537" t="s">
        <v>228</v>
      </c>
      <c r="T537" t="s">
        <v>292</v>
      </c>
      <c r="U537">
        <v>1.183166053192373E-2</v>
      </c>
      <c r="V537" t="s">
        <v>166</v>
      </c>
    </row>
    <row r="538" spans="9:22" x14ac:dyDescent="0.45">
      <c r="I538" t="s">
        <v>187</v>
      </c>
      <c r="J538" t="s">
        <v>293</v>
      </c>
      <c r="K538">
        <v>0</v>
      </c>
      <c r="L538" t="s">
        <v>166</v>
      </c>
      <c r="N538" t="s">
        <v>211</v>
      </c>
      <c r="O538" t="s">
        <v>293</v>
      </c>
      <c r="P538">
        <v>3.422802522938901E-2</v>
      </c>
      <c r="Q538" t="s">
        <v>166</v>
      </c>
      <c r="S538" t="s">
        <v>228</v>
      </c>
      <c r="T538" t="s">
        <v>293</v>
      </c>
      <c r="U538">
        <v>3.0602231762325804E-2</v>
      </c>
      <c r="V538" t="s">
        <v>166</v>
      </c>
    </row>
    <row r="539" spans="9:22" x14ac:dyDescent="0.45">
      <c r="I539" t="s">
        <v>188</v>
      </c>
      <c r="J539" t="s">
        <v>165</v>
      </c>
      <c r="K539">
        <v>4.3155238768386363E-3</v>
      </c>
      <c r="L539" t="s">
        <v>166</v>
      </c>
      <c r="N539" t="s">
        <v>212</v>
      </c>
      <c r="O539" t="s">
        <v>165</v>
      </c>
      <c r="P539">
        <v>6.7214324345336834E-2</v>
      </c>
      <c r="Q539" t="s">
        <v>166</v>
      </c>
      <c r="S539" t="s">
        <v>229</v>
      </c>
      <c r="T539" t="s">
        <v>165</v>
      </c>
      <c r="U539">
        <v>9.8106627754997788E-2</v>
      </c>
      <c r="V539" t="s">
        <v>166</v>
      </c>
    </row>
    <row r="540" spans="9:22" x14ac:dyDescent="0.45">
      <c r="I540" t="s">
        <v>188</v>
      </c>
      <c r="J540" t="s">
        <v>167</v>
      </c>
      <c r="K540">
        <v>1.1330211614857887E-2</v>
      </c>
      <c r="L540" t="s">
        <v>166</v>
      </c>
      <c r="N540" t="s">
        <v>212</v>
      </c>
      <c r="O540" t="s">
        <v>167</v>
      </c>
      <c r="P540">
        <v>9.0741673378075035E-3</v>
      </c>
      <c r="Q540" t="s">
        <v>166</v>
      </c>
      <c r="S540" t="s">
        <v>229</v>
      </c>
      <c r="T540" t="s">
        <v>167</v>
      </c>
      <c r="U540">
        <v>1.2782705068671515E-2</v>
      </c>
      <c r="V540" t="s">
        <v>166</v>
      </c>
    </row>
    <row r="541" spans="9:22" x14ac:dyDescent="0.45">
      <c r="I541" t="s">
        <v>188</v>
      </c>
      <c r="J541" t="s">
        <v>168</v>
      </c>
      <c r="K541">
        <v>0.19485241193485645</v>
      </c>
      <c r="L541" t="s">
        <v>166</v>
      </c>
      <c r="N541" t="s">
        <v>212</v>
      </c>
      <c r="O541" t="s">
        <v>168</v>
      </c>
      <c r="P541">
        <v>8.5948258833452321E-2</v>
      </c>
      <c r="Q541" t="s">
        <v>166</v>
      </c>
      <c r="S541" t="s">
        <v>229</v>
      </c>
      <c r="T541" t="s">
        <v>168</v>
      </c>
      <c r="U541">
        <v>8.5541945849041998E-2</v>
      </c>
      <c r="V541" t="s">
        <v>166</v>
      </c>
    </row>
    <row r="542" spans="9:22" x14ac:dyDescent="0.45">
      <c r="I542" t="s">
        <v>188</v>
      </c>
      <c r="J542" t="s">
        <v>258</v>
      </c>
      <c r="K542">
        <v>2.0920305403367652E-2</v>
      </c>
      <c r="L542" t="s">
        <v>166</v>
      </c>
      <c r="N542" t="s">
        <v>212</v>
      </c>
      <c r="O542" t="s">
        <v>258</v>
      </c>
      <c r="P542">
        <v>1.252377642424618E-2</v>
      </c>
      <c r="Q542" t="s">
        <v>166</v>
      </c>
      <c r="S542" t="s">
        <v>229</v>
      </c>
      <c r="T542" t="s">
        <v>258</v>
      </c>
      <c r="U542">
        <v>1.2216791503069254E-2</v>
      </c>
      <c r="V542" t="s">
        <v>166</v>
      </c>
    </row>
    <row r="543" spans="9:22" x14ac:dyDescent="0.45">
      <c r="I543" t="s">
        <v>188</v>
      </c>
      <c r="J543" t="s">
        <v>259</v>
      </c>
      <c r="K543">
        <v>2.1254506416096733E-2</v>
      </c>
      <c r="L543" t="s">
        <v>166</v>
      </c>
      <c r="N543" t="s">
        <v>212</v>
      </c>
      <c r="O543" t="s">
        <v>259</v>
      </c>
      <c r="P543">
        <v>2.0168758334560295E-2</v>
      </c>
      <c r="Q543" t="s">
        <v>166</v>
      </c>
      <c r="S543" t="s">
        <v>229</v>
      </c>
      <c r="T543" t="s">
        <v>259</v>
      </c>
      <c r="U543">
        <v>2.2634600359331025E-2</v>
      </c>
      <c r="V543" t="s">
        <v>166</v>
      </c>
    </row>
    <row r="544" spans="9:22" x14ac:dyDescent="0.45">
      <c r="I544" t="s">
        <v>188</v>
      </c>
      <c r="J544" t="s">
        <v>260</v>
      </c>
      <c r="K544">
        <v>0</v>
      </c>
      <c r="L544" t="s">
        <v>166</v>
      </c>
      <c r="N544" t="s">
        <v>212</v>
      </c>
      <c r="O544" t="s">
        <v>260</v>
      </c>
      <c r="P544">
        <v>4.977928768236984E-2</v>
      </c>
      <c r="Q544" t="s">
        <v>166</v>
      </c>
      <c r="S544" t="s">
        <v>229</v>
      </c>
      <c r="T544" t="s">
        <v>260</v>
      </c>
      <c r="U544">
        <v>6.3089550278904269E-2</v>
      </c>
      <c r="V544" t="s">
        <v>166</v>
      </c>
    </row>
    <row r="545" spans="9:22" x14ac:dyDescent="0.45">
      <c r="I545" t="s">
        <v>188</v>
      </c>
      <c r="J545" t="s">
        <v>169</v>
      </c>
      <c r="K545">
        <v>5.3637834970717002E-3</v>
      </c>
      <c r="L545" t="s">
        <v>166</v>
      </c>
      <c r="N545" t="s">
        <v>212</v>
      </c>
      <c r="O545" t="s">
        <v>169</v>
      </c>
      <c r="P545">
        <v>1.7917360142855641E-2</v>
      </c>
      <c r="Q545" t="s">
        <v>166</v>
      </c>
      <c r="S545" t="s">
        <v>229</v>
      </c>
      <c r="T545" t="s">
        <v>169</v>
      </c>
      <c r="U545">
        <v>2.4470945215152102E-2</v>
      </c>
      <c r="V545" t="s">
        <v>166</v>
      </c>
    </row>
    <row r="546" spans="9:22" x14ac:dyDescent="0.45">
      <c r="I546" t="s">
        <v>188</v>
      </c>
      <c r="J546" t="s">
        <v>170</v>
      </c>
      <c r="K546">
        <v>6.2895924862935923E-3</v>
      </c>
      <c r="L546" t="s">
        <v>166</v>
      </c>
      <c r="N546" t="s">
        <v>212</v>
      </c>
      <c r="O546" t="s">
        <v>170</v>
      </c>
      <c r="P546">
        <v>3.258775786544849E-3</v>
      </c>
      <c r="Q546" t="s">
        <v>166</v>
      </c>
      <c r="S546" t="s">
        <v>229</v>
      </c>
      <c r="T546" t="s">
        <v>170</v>
      </c>
      <c r="U546">
        <v>2.8094477308981442E-3</v>
      </c>
      <c r="V546" t="s">
        <v>166</v>
      </c>
    </row>
    <row r="547" spans="9:22" x14ac:dyDescent="0.45">
      <c r="I547" t="s">
        <v>188</v>
      </c>
      <c r="J547" t="s">
        <v>171</v>
      </c>
      <c r="K547">
        <v>7.0695283335806117E-2</v>
      </c>
      <c r="L547" t="s">
        <v>166</v>
      </c>
      <c r="N547" t="s">
        <v>212</v>
      </c>
      <c r="O547" t="s">
        <v>171</v>
      </c>
      <c r="P547">
        <v>2.6666820583685937E-2</v>
      </c>
      <c r="Q547" t="s">
        <v>166</v>
      </c>
      <c r="S547" t="s">
        <v>229</v>
      </c>
      <c r="T547" t="s">
        <v>171</v>
      </c>
      <c r="U547">
        <v>1.8154044961157193E-2</v>
      </c>
      <c r="V547" t="s">
        <v>166</v>
      </c>
    </row>
    <row r="548" spans="9:22" x14ac:dyDescent="0.45">
      <c r="I548" t="s">
        <v>188</v>
      </c>
      <c r="J548" t="s">
        <v>261</v>
      </c>
      <c r="K548">
        <v>7.8287180694802654E-3</v>
      </c>
      <c r="L548" t="s">
        <v>166</v>
      </c>
      <c r="N548" t="s">
        <v>212</v>
      </c>
      <c r="O548" t="s">
        <v>261</v>
      </c>
      <c r="P548">
        <v>2.1562268378976434E-3</v>
      </c>
      <c r="Q548" t="s">
        <v>166</v>
      </c>
      <c r="S548" t="s">
        <v>229</v>
      </c>
      <c r="T548" t="s">
        <v>261</v>
      </c>
      <c r="U548">
        <v>2.6728524918127549E-3</v>
      </c>
      <c r="V548" t="s">
        <v>166</v>
      </c>
    </row>
    <row r="549" spans="9:22" x14ac:dyDescent="0.45">
      <c r="I549" t="s">
        <v>188</v>
      </c>
      <c r="J549" t="s">
        <v>262</v>
      </c>
      <c r="K549">
        <v>9.3202847075335143E-3</v>
      </c>
      <c r="L549" t="s">
        <v>166</v>
      </c>
      <c r="N549" t="s">
        <v>212</v>
      </c>
      <c r="O549" t="s">
        <v>262</v>
      </c>
      <c r="P549">
        <v>2.591336355116314E-3</v>
      </c>
      <c r="Q549" t="s">
        <v>166</v>
      </c>
      <c r="S549" t="s">
        <v>229</v>
      </c>
      <c r="T549" t="s">
        <v>262</v>
      </c>
      <c r="U549">
        <v>5.0408872385953561E-3</v>
      </c>
      <c r="V549" t="s">
        <v>166</v>
      </c>
    </row>
    <row r="550" spans="9:22" x14ac:dyDescent="0.45">
      <c r="I550" t="s">
        <v>188</v>
      </c>
      <c r="J550" t="s">
        <v>263</v>
      </c>
      <c r="K550">
        <v>0</v>
      </c>
      <c r="L550" t="s">
        <v>166</v>
      </c>
      <c r="N550" t="s">
        <v>212</v>
      </c>
      <c r="O550" t="s">
        <v>263</v>
      </c>
      <c r="P550">
        <v>6.4503160714401674E-3</v>
      </c>
      <c r="Q550" t="s">
        <v>166</v>
      </c>
      <c r="S550" t="s">
        <v>229</v>
      </c>
      <c r="T550" t="s">
        <v>263</v>
      </c>
      <c r="U550">
        <v>1.5179374811324647E-2</v>
      </c>
      <c r="V550" t="s">
        <v>166</v>
      </c>
    </row>
    <row r="551" spans="9:22" x14ac:dyDescent="0.45">
      <c r="I551" t="s">
        <v>188</v>
      </c>
      <c r="J551" t="s">
        <v>172</v>
      </c>
      <c r="K551">
        <v>5.6008636455589286E-3</v>
      </c>
      <c r="L551" t="s">
        <v>166</v>
      </c>
      <c r="N551" t="s">
        <v>212</v>
      </c>
      <c r="O551" t="s">
        <v>172</v>
      </c>
      <c r="P551">
        <v>3.5620308822873106E-2</v>
      </c>
      <c r="Q551" t="s">
        <v>166</v>
      </c>
      <c r="S551" t="s">
        <v>229</v>
      </c>
      <c r="T551" t="s">
        <v>172</v>
      </c>
      <c r="U551">
        <v>2.1454471222224256E-2</v>
      </c>
      <c r="V551" t="s">
        <v>166</v>
      </c>
    </row>
    <row r="552" spans="9:22" x14ac:dyDescent="0.45">
      <c r="I552" t="s">
        <v>188</v>
      </c>
      <c r="J552" t="s">
        <v>173</v>
      </c>
      <c r="K552">
        <v>6.497866332125189E-3</v>
      </c>
      <c r="L552" t="s">
        <v>166</v>
      </c>
      <c r="N552" t="s">
        <v>212</v>
      </c>
      <c r="O552" t="s">
        <v>173</v>
      </c>
      <c r="P552">
        <v>5.1375864924973055E-3</v>
      </c>
      <c r="Q552" t="s">
        <v>166</v>
      </c>
      <c r="S552" t="s">
        <v>229</v>
      </c>
      <c r="T552" t="s">
        <v>173</v>
      </c>
      <c r="U552">
        <v>2.6063720281762725E-3</v>
      </c>
      <c r="V552" t="s">
        <v>166</v>
      </c>
    </row>
    <row r="553" spans="9:22" x14ac:dyDescent="0.45">
      <c r="I553" t="s">
        <v>188</v>
      </c>
      <c r="J553" t="s">
        <v>174</v>
      </c>
      <c r="K553">
        <v>7.224172570323753E-2</v>
      </c>
      <c r="L553" t="s">
        <v>166</v>
      </c>
      <c r="N553" t="s">
        <v>212</v>
      </c>
      <c r="O553" t="s">
        <v>174</v>
      </c>
      <c r="P553">
        <v>3.7924193175742402E-2</v>
      </c>
      <c r="Q553" t="s">
        <v>166</v>
      </c>
      <c r="S553" t="s">
        <v>229</v>
      </c>
      <c r="T553" t="s">
        <v>174</v>
      </c>
      <c r="U553">
        <v>1.5561796054758612E-2</v>
      </c>
      <c r="V553" t="s">
        <v>166</v>
      </c>
    </row>
    <row r="554" spans="9:22" x14ac:dyDescent="0.45">
      <c r="I554" t="s">
        <v>188</v>
      </c>
      <c r="J554" t="s">
        <v>264</v>
      </c>
      <c r="K554">
        <v>7.4561495111191119E-3</v>
      </c>
      <c r="L554" t="s">
        <v>166</v>
      </c>
      <c r="N554" t="s">
        <v>212</v>
      </c>
      <c r="O554" t="s">
        <v>264</v>
      </c>
      <c r="P554">
        <v>4.4546237448514032E-3</v>
      </c>
      <c r="Q554" t="s">
        <v>166</v>
      </c>
      <c r="S554" t="s">
        <v>229</v>
      </c>
      <c r="T554" t="s">
        <v>264</v>
      </c>
      <c r="U554">
        <v>1.7388818518597048E-3</v>
      </c>
      <c r="V554" t="s">
        <v>166</v>
      </c>
    </row>
    <row r="555" spans="9:22" x14ac:dyDescent="0.45">
      <c r="I555" t="s">
        <v>188</v>
      </c>
      <c r="J555" t="s">
        <v>265</v>
      </c>
      <c r="K555">
        <v>9.2420854853511557E-3</v>
      </c>
      <c r="L555" t="s">
        <v>166</v>
      </c>
      <c r="N555" t="s">
        <v>212</v>
      </c>
      <c r="O555" t="s">
        <v>265</v>
      </c>
      <c r="P555">
        <v>6.4720949075638013E-3</v>
      </c>
      <c r="Q555" t="s">
        <v>166</v>
      </c>
      <c r="S555" t="s">
        <v>229</v>
      </c>
      <c r="T555" t="s">
        <v>265</v>
      </c>
      <c r="U555">
        <v>3.2432724954236116E-3</v>
      </c>
      <c r="V555" t="s">
        <v>166</v>
      </c>
    </row>
    <row r="556" spans="9:22" x14ac:dyDescent="0.45">
      <c r="I556" t="s">
        <v>188</v>
      </c>
      <c r="J556" t="s">
        <v>266</v>
      </c>
      <c r="K556">
        <v>1.5079540884722629E-4</v>
      </c>
      <c r="L556" t="s">
        <v>166</v>
      </c>
      <c r="N556" t="s">
        <v>212</v>
      </c>
      <c r="O556" t="s">
        <v>266</v>
      </c>
      <c r="P556">
        <v>1.6834677696750098E-2</v>
      </c>
      <c r="Q556" t="s">
        <v>166</v>
      </c>
      <c r="S556" t="s">
        <v>229</v>
      </c>
      <c r="T556" t="s">
        <v>266</v>
      </c>
      <c r="U556">
        <v>1.1618305950859146E-2</v>
      </c>
      <c r="V556" t="s">
        <v>166</v>
      </c>
    </row>
    <row r="557" spans="9:22" x14ac:dyDescent="0.45">
      <c r="I557" t="s">
        <v>188</v>
      </c>
      <c r="J557" t="s">
        <v>175</v>
      </c>
      <c r="K557">
        <v>3.521121089029881E-3</v>
      </c>
      <c r="L557" t="s">
        <v>166</v>
      </c>
      <c r="N557" t="s">
        <v>212</v>
      </c>
      <c r="O557" t="s">
        <v>175</v>
      </c>
      <c r="P557">
        <v>2.2946777715281183E-2</v>
      </c>
      <c r="Q557" t="s">
        <v>166</v>
      </c>
      <c r="S557" t="s">
        <v>229</v>
      </c>
      <c r="T557" t="s">
        <v>175</v>
      </c>
      <c r="U557">
        <v>2.2802367966412645E-2</v>
      </c>
      <c r="V557" t="s">
        <v>166</v>
      </c>
    </row>
    <row r="558" spans="9:22" x14ac:dyDescent="0.45">
      <c r="I558" t="s">
        <v>188</v>
      </c>
      <c r="J558" t="s">
        <v>176</v>
      </c>
      <c r="K558">
        <v>4.8074320116539395E-3</v>
      </c>
      <c r="L558" t="s">
        <v>166</v>
      </c>
      <c r="N558" t="s">
        <v>212</v>
      </c>
      <c r="O558" t="s">
        <v>176</v>
      </c>
      <c r="P558">
        <v>3.8173074141325735E-3</v>
      </c>
      <c r="Q558" t="s">
        <v>166</v>
      </c>
      <c r="S558" t="s">
        <v>229</v>
      </c>
      <c r="T558" t="s">
        <v>176</v>
      </c>
      <c r="U558">
        <v>2.6413916571469257E-3</v>
      </c>
      <c r="V558" t="s">
        <v>166</v>
      </c>
    </row>
    <row r="559" spans="9:22" x14ac:dyDescent="0.45">
      <c r="I559" t="s">
        <v>188</v>
      </c>
      <c r="J559" t="s">
        <v>177</v>
      </c>
      <c r="K559">
        <v>6.4973956137937008E-2</v>
      </c>
      <c r="L559" t="s">
        <v>166</v>
      </c>
      <c r="N559" t="s">
        <v>212</v>
      </c>
      <c r="O559" t="s">
        <v>177</v>
      </c>
      <c r="P559">
        <v>2.4336022091916477E-2</v>
      </c>
      <c r="Q559" t="s">
        <v>166</v>
      </c>
      <c r="S559" t="s">
        <v>229</v>
      </c>
      <c r="T559" t="s">
        <v>177</v>
      </c>
      <c r="U559">
        <v>1.5985291455710066E-2</v>
      </c>
      <c r="V559" t="s">
        <v>166</v>
      </c>
    </row>
    <row r="560" spans="9:22" x14ac:dyDescent="0.45">
      <c r="I560" t="s">
        <v>188</v>
      </c>
      <c r="J560" t="s">
        <v>267</v>
      </c>
      <c r="K560">
        <v>7.3552195952696093E-3</v>
      </c>
      <c r="L560" t="s">
        <v>166</v>
      </c>
      <c r="N560" t="s">
        <v>212</v>
      </c>
      <c r="O560" t="s">
        <v>267</v>
      </c>
      <c r="P560">
        <v>2.4480308792337799E-3</v>
      </c>
      <c r="Q560" t="s">
        <v>166</v>
      </c>
      <c r="S560" t="s">
        <v>229</v>
      </c>
      <c r="T560" t="s">
        <v>267</v>
      </c>
      <c r="U560">
        <v>1.9838472016059736E-3</v>
      </c>
      <c r="V560" t="s">
        <v>166</v>
      </c>
    </row>
    <row r="561" spans="9:22" x14ac:dyDescent="0.45">
      <c r="I561" t="s">
        <v>188</v>
      </c>
      <c r="J561" t="s">
        <v>268</v>
      </c>
      <c r="K561">
        <v>9.0189567668461611E-3</v>
      </c>
      <c r="L561" t="s">
        <v>166</v>
      </c>
      <c r="N561" t="s">
        <v>212</v>
      </c>
      <c r="O561" t="s">
        <v>268</v>
      </c>
      <c r="P561">
        <v>3.278356566783405E-3</v>
      </c>
      <c r="Q561" t="s">
        <v>166</v>
      </c>
      <c r="S561" t="s">
        <v>229</v>
      </c>
      <c r="T561" t="s">
        <v>268</v>
      </c>
      <c r="U561">
        <v>3.2931794394765014E-3</v>
      </c>
      <c r="V561" t="s">
        <v>166</v>
      </c>
    </row>
    <row r="562" spans="9:22" x14ac:dyDescent="0.45">
      <c r="I562" t="s">
        <v>188</v>
      </c>
      <c r="J562" t="s">
        <v>269</v>
      </c>
      <c r="K562">
        <v>5.2545864317325524E-4</v>
      </c>
      <c r="L562" t="s">
        <v>166</v>
      </c>
      <c r="N562" t="s">
        <v>212</v>
      </c>
      <c r="O562" t="s">
        <v>269</v>
      </c>
      <c r="P562">
        <v>8.9411981111145386E-3</v>
      </c>
      <c r="Q562" t="s">
        <v>166</v>
      </c>
      <c r="S562" t="s">
        <v>229</v>
      </c>
      <c r="T562" t="s">
        <v>269</v>
      </c>
      <c r="U562">
        <v>1.3033425856560109E-2</v>
      </c>
      <c r="V562" t="s">
        <v>166</v>
      </c>
    </row>
    <row r="563" spans="9:22" x14ac:dyDescent="0.45">
      <c r="I563" t="s">
        <v>188</v>
      </c>
      <c r="J563" t="s">
        <v>270</v>
      </c>
      <c r="K563">
        <v>2.4962055963904093E-3</v>
      </c>
      <c r="L563" t="s">
        <v>166</v>
      </c>
      <c r="N563" t="s">
        <v>212</v>
      </c>
      <c r="O563" t="s">
        <v>270</v>
      </c>
      <c r="P563">
        <v>4.738238886671256E-2</v>
      </c>
      <c r="Q563" t="s">
        <v>166</v>
      </c>
      <c r="S563" t="s">
        <v>229</v>
      </c>
      <c r="T563" t="s">
        <v>270</v>
      </c>
      <c r="U563">
        <v>3.8551313439140047E-2</v>
      </c>
      <c r="V563" t="s">
        <v>166</v>
      </c>
    </row>
    <row r="564" spans="9:22" x14ac:dyDescent="0.45">
      <c r="I564" t="s">
        <v>188</v>
      </c>
      <c r="J564" t="s">
        <v>271</v>
      </c>
      <c r="K564">
        <v>5.0639063324989944E-3</v>
      </c>
      <c r="L564" t="s">
        <v>166</v>
      </c>
      <c r="N564" t="s">
        <v>212</v>
      </c>
      <c r="O564" t="s">
        <v>271</v>
      </c>
      <c r="P564">
        <v>6.4825808184957E-3</v>
      </c>
      <c r="Q564" t="s">
        <v>166</v>
      </c>
      <c r="S564" t="s">
        <v>229</v>
      </c>
      <c r="T564" t="s">
        <v>271</v>
      </c>
      <c r="U564">
        <v>4.4707006101748405E-3</v>
      </c>
      <c r="V564" t="s">
        <v>166</v>
      </c>
    </row>
    <row r="565" spans="9:22" x14ac:dyDescent="0.45">
      <c r="I565" t="s">
        <v>188</v>
      </c>
      <c r="J565" t="s">
        <v>272</v>
      </c>
      <c r="K565">
        <v>6.7679639608775918E-2</v>
      </c>
      <c r="L565" t="s">
        <v>166</v>
      </c>
      <c r="N565" t="s">
        <v>212</v>
      </c>
      <c r="O565" t="s">
        <v>272</v>
      </c>
      <c r="P565">
        <v>4.5164589052477958E-2</v>
      </c>
      <c r="Q565" t="s">
        <v>166</v>
      </c>
      <c r="S565" t="s">
        <v>229</v>
      </c>
      <c r="T565" t="s">
        <v>272</v>
      </c>
      <c r="U565">
        <v>2.9580461220482576E-2</v>
      </c>
      <c r="V565" t="s">
        <v>166</v>
      </c>
    </row>
    <row r="566" spans="9:22" x14ac:dyDescent="0.45">
      <c r="I566" t="s">
        <v>188</v>
      </c>
      <c r="J566" t="s">
        <v>273</v>
      </c>
      <c r="K566">
        <v>7.3535851273546895E-3</v>
      </c>
      <c r="L566" t="s">
        <v>166</v>
      </c>
      <c r="N566" t="s">
        <v>212</v>
      </c>
      <c r="O566" t="s">
        <v>273</v>
      </c>
      <c r="P566">
        <v>4.9989331923558141E-3</v>
      </c>
      <c r="Q566" t="s">
        <v>166</v>
      </c>
      <c r="S566" t="s">
        <v>229</v>
      </c>
      <c r="T566" t="s">
        <v>273</v>
      </c>
      <c r="U566">
        <v>3.8096274341442786E-3</v>
      </c>
      <c r="V566" t="s">
        <v>166</v>
      </c>
    </row>
    <row r="567" spans="9:22" x14ac:dyDescent="0.45">
      <c r="I567" t="s">
        <v>188</v>
      </c>
      <c r="J567" t="s">
        <v>274</v>
      </c>
      <c r="K567">
        <v>8.0257767116125537E-3</v>
      </c>
      <c r="L567" t="s">
        <v>166</v>
      </c>
      <c r="N567" t="s">
        <v>212</v>
      </c>
      <c r="O567" t="s">
        <v>274</v>
      </c>
      <c r="P567">
        <v>7.5009926603996861E-3</v>
      </c>
      <c r="Q567" t="s">
        <v>166</v>
      </c>
      <c r="S567" t="s">
        <v>229</v>
      </c>
      <c r="T567" t="s">
        <v>274</v>
      </c>
      <c r="U567">
        <v>7.3582011105272887E-3</v>
      </c>
      <c r="V567" t="s">
        <v>166</v>
      </c>
    </row>
    <row r="568" spans="9:22" x14ac:dyDescent="0.45">
      <c r="I568" t="s">
        <v>188</v>
      </c>
      <c r="J568" t="s">
        <v>275</v>
      </c>
      <c r="K568">
        <v>0</v>
      </c>
      <c r="L568" t="s">
        <v>166</v>
      </c>
      <c r="N568" t="s">
        <v>212</v>
      </c>
      <c r="O568" t="s">
        <v>275</v>
      </c>
      <c r="P568">
        <v>2.141084131715355E-2</v>
      </c>
      <c r="Q568" t="s">
        <v>166</v>
      </c>
      <c r="S568" t="s">
        <v>229</v>
      </c>
      <c r="T568" t="s">
        <v>275</v>
      </c>
      <c r="U568">
        <v>2.2820005332707591E-2</v>
      </c>
      <c r="V568" t="s">
        <v>166</v>
      </c>
    </row>
    <row r="569" spans="9:22" x14ac:dyDescent="0.45">
      <c r="I569" t="s">
        <v>188</v>
      </c>
      <c r="J569" t="s">
        <v>276</v>
      </c>
      <c r="K569">
        <v>7.2241628144875973E-3</v>
      </c>
      <c r="L569" t="s">
        <v>166</v>
      </c>
      <c r="N569" t="s">
        <v>212</v>
      </c>
      <c r="O569" t="s">
        <v>276</v>
      </c>
      <c r="P569">
        <v>3.2708276438484347E-2</v>
      </c>
      <c r="Q569" t="s">
        <v>166</v>
      </c>
      <c r="S569" t="s">
        <v>229</v>
      </c>
      <c r="T569" t="s">
        <v>276</v>
      </c>
      <c r="U569">
        <v>4.7892715390413454E-2</v>
      </c>
      <c r="V569" t="s">
        <v>166</v>
      </c>
    </row>
    <row r="570" spans="9:22" x14ac:dyDescent="0.45">
      <c r="I570" t="s">
        <v>188</v>
      </c>
      <c r="J570" t="s">
        <v>277</v>
      </c>
      <c r="K570">
        <v>1.3088296753005877E-2</v>
      </c>
      <c r="L570" t="s">
        <v>166</v>
      </c>
      <c r="N570" t="s">
        <v>212</v>
      </c>
      <c r="O570" t="s">
        <v>277</v>
      </c>
      <c r="P570">
        <v>4.965390041666155E-3</v>
      </c>
      <c r="Q570" t="s">
        <v>166</v>
      </c>
      <c r="S570" t="s">
        <v>229</v>
      </c>
      <c r="T570" t="s">
        <v>277</v>
      </c>
      <c r="U570">
        <v>6.2900655084781659E-3</v>
      </c>
      <c r="V570" t="s">
        <v>166</v>
      </c>
    </row>
    <row r="571" spans="9:22" x14ac:dyDescent="0.45">
      <c r="I571" t="s">
        <v>188</v>
      </c>
      <c r="J571" t="s">
        <v>278</v>
      </c>
      <c r="K571">
        <v>0.14077301052981089</v>
      </c>
      <c r="L571" t="s">
        <v>166</v>
      </c>
      <c r="N571" t="s">
        <v>212</v>
      </c>
      <c r="O571" t="s">
        <v>278</v>
      </c>
      <c r="P571">
        <v>4.9768987328075574E-2</v>
      </c>
      <c r="Q571" t="s">
        <v>166</v>
      </c>
      <c r="S571" t="s">
        <v>229</v>
      </c>
      <c r="T571" t="s">
        <v>278</v>
      </c>
      <c r="U571">
        <v>4.3331446832613398E-2</v>
      </c>
      <c r="V571" t="s">
        <v>166</v>
      </c>
    </row>
    <row r="572" spans="9:22" x14ac:dyDescent="0.45">
      <c r="I572" t="s">
        <v>188</v>
      </c>
      <c r="J572" t="s">
        <v>279</v>
      </c>
      <c r="K572">
        <v>1.4462275043915692E-2</v>
      </c>
      <c r="L572" t="s">
        <v>166</v>
      </c>
      <c r="N572" t="s">
        <v>212</v>
      </c>
      <c r="O572" t="s">
        <v>279</v>
      </c>
      <c r="P572">
        <v>6.7618831712201099E-3</v>
      </c>
      <c r="Q572" t="s">
        <v>166</v>
      </c>
      <c r="S572" t="s">
        <v>229</v>
      </c>
      <c r="T572" t="s">
        <v>279</v>
      </c>
      <c r="U572">
        <v>5.9060535474224941E-3</v>
      </c>
      <c r="V572" t="s">
        <v>166</v>
      </c>
    </row>
    <row r="573" spans="9:22" x14ac:dyDescent="0.45">
      <c r="I573" t="s">
        <v>188</v>
      </c>
      <c r="J573" t="s">
        <v>280</v>
      </c>
      <c r="K573">
        <v>1.2329803328457331E-2</v>
      </c>
      <c r="L573" t="s">
        <v>166</v>
      </c>
      <c r="N573" t="s">
        <v>212</v>
      </c>
      <c r="O573" t="s">
        <v>280</v>
      </c>
      <c r="P573">
        <v>1.1095210619897194E-2</v>
      </c>
      <c r="Q573" t="s">
        <v>166</v>
      </c>
      <c r="S573" t="s">
        <v>229</v>
      </c>
      <c r="T573" t="s">
        <v>280</v>
      </c>
      <c r="U573">
        <v>1.06956096505198E-2</v>
      </c>
      <c r="V573" t="s">
        <v>166</v>
      </c>
    </row>
    <row r="574" spans="9:22" x14ac:dyDescent="0.45">
      <c r="I574" t="s">
        <v>188</v>
      </c>
      <c r="J574" t="s">
        <v>281</v>
      </c>
      <c r="K574">
        <v>0</v>
      </c>
      <c r="L574" t="s">
        <v>166</v>
      </c>
      <c r="N574" t="s">
        <v>212</v>
      </c>
      <c r="O574" t="s">
        <v>281</v>
      </c>
      <c r="P574">
        <v>2.3625199989860915E-2</v>
      </c>
      <c r="Q574" t="s">
        <v>166</v>
      </c>
      <c r="S574" t="s">
        <v>229</v>
      </c>
      <c r="T574" t="s">
        <v>281</v>
      </c>
      <c r="U574">
        <v>2.7345996569647965E-2</v>
      </c>
      <c r="V574" t="s">
        <v>166</v>
      </c>
    </row>
    <row r="575" spans="9:22" x14ac:dyDescent="0.45">
      <c r="I575" t="s">
        <v>188</v>
      </c>
      <c r="J575" t="s">
        <v>282</v>
      </c>
      <c r="K575">
        <v>2.1374758202714911E-3</v>
      </c>
      <c r="L575" t="s">
        <v>166</v>
      </c>
      <c r="N575" t="s">
        <v>212</v>
      </c>
      <c r="O575" t="s">
        <v>282</v>
      </c>
      <c r="P575">
        <v>3.6692162911100668E-2</v>
      </c>
      <c r="Q575" t="s">
        <v>166</v>
      </c>
      <c r="S575" t="s">
        <v>229</v>
      </c>
      <c r="T575" t="s">
        <v>282</v>
      </c>
      <c r="U575">
        <v>4.0153863329945048E-2</v>
      </c>
      <c r="V575" t="s">
        <v>166</v>
      </c>
    </row>
    <row r="576" spans="9:22" x14ac:dyDescent="0.45">
      <c r="I576" t="s">
        <v>188</v>
      </c>
      <c r="J576" t="s">
        <v>283</v>
      </c>
      <c r="K576">
        <v>4.4493468834314546E-3</v>
      </c>
      <c r="L576" t="s">
        <v>166</v>
      </c>
      <c r="N576" t="s">
        <v>212</v>
      </c>
      <c r="O576" t="s">
        <v>283</v>
      </c>
      <c r="P576">
        <v>5.7513644397589516E-3</v>
      </c>
      <c r="Q576" t="s">
        <v>166</v>
      </c>
      <c r="S576" t="s">
        <v>229</v>
      </c>
      <c r="T576" t="s">
        <v>283</v>
      </c>
      <c r="U576">
        <v>5.5436893414724997E-3</v>
      </c>
      <c r="V576" t="s">
        <v>166</v>
      </c>
    </row>
    <row r="577" spans="9:22" x14ac:dyDescent="0.45">
      <c r="I577" t="s">
        <v>188</v>
      </c>
      <c r="J577" t="s">
        <v>284</v>
      </c>
      <c r="K577">
        <v>5.5840666391117573E-2</v>
      </c>
      <c r="L577" t="s">
        <v>166</v>
      </c>
      <c r="N577" t="s">
        <v>212</v>
      </c>
      <c r="O577" t="s">
        <v>284</v>
      </c>
      <c r="P577">
        <v>4.6267411612496381E-2</v>
      </c>
      <c r="Q577" t="s">
        <v>166</v>
      </c>
      <c r="S577" t="s">
        <v>229</v>
      </c>
      <c r="T577" t="s">
        <v>284</v>
      </c>
      <c r="U577">
        <v>3.7714055431769013E-2</v>
      </c>
      <c r="V577" t="s">
        <v>166</v>
      </c>
    </row>
    <row r="578" spans="9:22" x14ac:dyDescent="0.45">
      <c r="I578" t="s">
        <v>188</v>
      </c>
      <c r="J578" t="s">
        <v>285</v>
      </c>
      <c r="K578">
        <v>5.6306327996046403E-3</v>
      </c>
      <c r="L578" t="s">
        <v>166</v>
      </c>
      <c r="N578" t="s">
        <v>212</v>
      </c>
      <c r="O578" t="s">
        <v>285</v>
      </c>
      <c r="P578">
        <v>5.5408144680330522E-3</v>
      </c>
      <c r="Q578" t="s">
        <v>166</v>
      </c>
      <c r="S578" t="s">
        <v>229</v>
      </c>
      <c r="T578" t="s">
        <v>285</v>
      </c>
      <c r="U578">
        <v>5.2870942618397894E-3</v>
      </c>
      <c r="V578" t="s">
        <v>166</v>
      </c>
    </row>
    <row r="579" spans="9:22" x14ac:dyDescent="0.45">
      <c r="I579" t="s">
        <v>188</v>
      </c>
      <c r="J579" t="s">
        <v>286</v>
      </c>
      <c r="K579">
        <v>3.2891357329378709E-3</v>
      </c>
      <c r="L579" t="s">
        <v>166</v>
      </c>
      <c r="N579" t="s">
        <v>212</v>
      </c>
      <c r="O579" t="s">
        <v>286</v>
      </c>
      <c r="P579">
        <v>8.8827657478865226E-3</v>
      </c>
      <c r="Q579" t="s">
        <v>166</v>
      </c>
      <c r="S579" t="s">
        <v>229</v>
      </c>
      <c r="T579" t="s">
        <v>286</v>
      </c>
      <c r="U579">
        <v>9.7483044435038874E-3</v>
      </c>
      <c r="V579" t="s">
        <v>166</v>
      </c>
    </row>
    <row r="580" spans="9:22" x14ac:dyDescent="0.45">
      <c r="I580" t="s">
        <v>188</v>
      </c>
      <c r="J580" t="s">
        <v>287</v>
      </c>
      <c r="K580">
        <v>0</v>
      </c>
      <c r="L580" t="s">
        <v>166</v>
      </c>
      <c r="N580" t="s">
        <v>212</v>
      </c>
      <c r="O580" t="s">
        <v>287</v>
      </c>
      <c r="P580">
        <v>2.2296523782534401E-2</v>
      </c>
      <c r="Q580" t="s">
        <v>166</v>
      </c>
      <c r="S580" t="s">
        <v>229</v>
      </c>
      <c r="T580" t="s">
        <v>287</v>
      </c>
      <c r="U580">
        <v>2.5956464675213408E-2</v>
      </c>
      <c r="V580" t="s">
        <v>166</v>
      </c>
    </row>
    <row r="581" spans="9:22" x14ac:dyDescent="0.45">
      <c r="I581" t="s">
        <v>188</v>
      </c>
      <c r="J581" t="s">
        <v>288</v>
      </c>
      <c r="K581">
        <v>1.8018151782626234E-3</v>
      </c>
      <c r="L581" t="s">
        <v>166</v>
      </c>
      <c r="N581" t="s">
        <v>212</v>
      </c>
      <c r="O581" t="s">
        <v>288</v>
      </c>
      <c r="P581">
        <v>4.2542119285312728E-2</v>
      </c>
      <c r="Q581" t="s">
        <v>166</v>
      </c>
      <c r="S581" t="s">
        <v>229</v>
      </c>
      <c r="T581" t="s">
        <v>288</v>
      </c>
      <c r="U581">
        <v>4.976038637026977E-2</v>
      </c>
      <c r="V581" t="s">
        <v>166</v>
      </c>
    </row>
    <row r="582" spans="9:22" x14ac:dyDescent="0.45">
      <c r="I582" t="s">
        <v>188</v>
      </c>
      <c r="J582" t="s">
        <v>289</v>
      </c>
      <c r="K582">
        <v>7.4581118472055227E-3</v>
      </c>
      <c r="L582" t="s">
        <v>166</v>
      </c>
      <c r="N582" t="s">
        <v>212</v>
      </c>
      <c r="O582" t="s">
        <v>289</v>
      </c>
      <c r="P582">
        <v>5.6639297858608493E-3</v>
      </c>
      <c r="Q582" t="s">
        <v>166</v>
      </c>
      <c r="S582" t="s">
        <v>229</v>
      </c>
      <c r="T582" t="s">
        <v>289</v>
      </c>
      <c r="U582">
        <v>6.5391156268164519E-3</v>
      </c>
      <c r="V582" t="s">
        <v>166</v>
      </c>
    </row>
    <row r="583" spans="9:22" x14ac:dyDescent="0.45">
      <c r="I583" t="s">
        <v>188</v>
      </c>
      <c r="J583" t="s">
        <v>290</v>
      </c>
      <c r="K583">
        <v>8.2788295970067663E-2</v>
      </c>
      <c r="L583" t="s">
        <v>166</v>
      </c>
      <c r="N583" t="s">
        <v>212</v>
      </c>
      <c r="O583" t="s">
        <v>290</v>
      </c>
      <c r="P583">
        <v>4.974361369123504E-2</v>
      </c>
      <c r="Q583" t="s">
        <v>166</v>
      </c>
      <c r="S583" t="s">
        <v>229</v>
      </c>
      <c r="T583" t="s">
        <v>290</v>
      </c>
      <c r="U583">
        <v>4.5119349195315579E-2</v>
      </c>
      <c r="V583" t="s">
        <v>166</v>
      </c>
    </row>
    <row r="584" spans="9:22" x14ac:dyDescent="0.45">
      <c r="I584" t="s">
        <v>188</v>
      </c>
      <c r="J584" t="s">
        <v>291</v>
      </c>
      <c r="K584">
        <v>9.1060065962576143E-3</v>
      </c>
      <c r="L584" t="s">
        <v>166</v>
      </c>
      <c r="N584" t="s">
        <v>212</v>
      </c>
      <c r="O584" t="s">
        <v>291</v>
      </c>
      <c r="P584">
        <v>5.8316696178274752E-3</v>
      </c>
      <c r="Q584" t="s">
        <v>166</v>
      </c>
      <c r="S584" t="s">
        <v>229</v>
      </c>
      <c r="T584" t="s">
        <v>291</v>
      </c>
      <c r="U584">
        <v>6.3464449615802448E-3</v>
      </c>
      <c r="V584" t="s">
        <v>166</v>
      </c>
    </row>
    <row r="585" spans="9:22" x14ac:dyDescent="0.45">
      <c r="I585" t="s">
        <v>188</v>
      </c>
      <c r="J585" t="s">
        <v>292</v>
      </c>
      <c r="K585">
        <v>5.4395992621806867E-3</v>
      </c>
      <c r="L585" t="s">
        <v>166</v>
      </c>
      <c r="N585" t="s">
        <v>212</v>
      </c>
      <c r="O585" t="s">
        <v>292</v>
      </c>
      <c r="P585">
        <v>8.949567071658393E-3</v>
      </c>
      <c r="Q585" t="s">
        <v>166</v>
      </c>
      <c r="S585" t="s">
        <v>229</v>
      </c>
      <c r="T585" t="s">
        <v>292</v>
      </c>
      <c r="U585">
        <v>1.1553986485333886E-2</v>
      </c>
      <c r="V585" t="s">
        <v>166</v>
      </c>
    </row>
    <row r="586" spans="9:22" x14ac:dyDescent="0.45">
      <c r="I586" t="s">
        <v>188</v>
      </c>
      <c r="J586" t="s">
        <v>293</v>
      </c>
      <c r="K586">
        <v>0</v>
      </c>
      <c r="L586" t="s">
        <v>166</v>
      </c>
      <c r="N586" t="s">
        <v>212</v>
      </c>
      <c r="O586" t="s">
        <v>293</v>
      </c>
      <c r="P586">
        <v>2.4012197735440801E-2</v>
      </c>
      <c r="Q586" t="s">
        <v>166</v>
      </c>
      <c r="S586" t="s">
        <v>229</v>
      </c>
      <c r="T586" t="s">
        <v>293</v>
      </c>
      <c r="U586">
        <v>2.9562672787496899E-2</v>
      </c>
      <c r="V586" t="s">
        <v>166</v>
      </c>
    </row>
    <row r="587" spans="9:22" x14ac:dyDescent="0.45">
      <c r="I587" t="s">
        <v>189</v>
      </c>
      <c r="J587" t="s">
        <v>165</v>
      </c>
      <c r="K587">
        <v>2.5160424793288731E-3</v>
      </c>
      <c r="L587" t="s">
        <v>166</v>
      </c>
      <c r="N587" t="s">
        <v>213</v>
      </c>
      <c r="O587" t="s">
        <v>165</v>
      </c>
      <c r="P587">
        <v>7.3676476604386143E-2</v>
      </c>
      <c r="Q587" t="s">
        <v>166</v>
      </c>
      <c r="S587" t="s">
        <v>230</v>
      </c>
      <c r="T587" t="s">
        <v>165</v>
      </c>
      <c r="U587">
        <v>0.11371326942649865</v>
      </c>
      <c r="V587" t="s">
        <v>166</v>
      </c>
    </row>
    <row r="588" spans="9:22" x14ac:dyDescent="0.45">
      <c r="I588" t="s">
        <v>189</v>
      </c>
      <c r="J588" t="s">
        <v>167</v>
      </c>
      <c r="K588">
        <v>7.6106838825576555E-3</v>
      </c>
      <c r="L588" t="s">
        <v>166</v>
      </c>
      <c r="N588" t="s">
        <v>213</v>
      </c>
      <c r="O588" t="s">
        <v>167</v>
      </c>
      <c r="P588">
        <v>9.4820924406770531E-3</v>
      </c>
      <c r="Q588" t="s">
        <v>166</v>
      </c>
      <c r="S588" t="s">
        <v>230</v>
      </c>
      <c r="T588" t="s">
        <v>167</v>
      </c>
      <c r="U588">
        <v>1.4632348726844083E-2</v>
      </c>
      <c r="V588" t="s">
        <v>166</v>
      </c>
    </row>
    <row r="589" spans="9:22" x14ac:dyDescent="0.45">
      <c r="I589" t="s">
        <v>189</v>
      </c>
      <c r="J589" t="s">
        <v>168</v>
      </c>
      <c r="K589">
        <v>0.20134239066929652</v>
      </c>
      <c r="L589" t="s">
        <v>166</v>
      </c>
      <c r="N589" t="s">
        <v>213</v>
      </c>
      <c r="O589" t="s">
        <v>168</v>
      </c>
      <c r="P589">
        <v>6.6793518514599484E-2</v>
      </c>
      <c r="Q589" t="s">
        <v>166</v>
      </c>
      <c r="S589" t="s">
        <v>230</v>
      </c>
      <c r="T589" t="s">
        <v>168</v>
      </c>
      <c r="U589">
        <v>9.5075157555189277E-2</v>
      </c>
      <c r="V589" t="s">
        <v>166</v>
      </c>
    </row>
    <row r="590" spans="9:22" x14ac:dyDescent="0.45">
      <c r="I590" t="s">
        <v>189</v>
      </c>
      <c r="J590" t="s">
        <v>258</v>
      </c>
      <c r="K590">
        <v>2.6460081010367856E-2</v>
      </c>
      <c r="L590" t="s">
        <v>166</v>
      </c>
      <c r="N590" t="s">
        <v>213</v>
      </c>
      <c r="O590" t="s">
        <v>258</v>
      </c>
      <c r="P590">
        <v>1.3686875055104446E-2</v>
      </c>
      <c r="Q590" t="s">
        <v>166</v>
      </c>
      <c r="S590" t="s">
        <v>230</v>
      </c>
      <c r="T590" t="s">
        <v>258</v>
      </c>
      <c r="U590">
        <v>1.3697663649840704E-2</v>
      </c>
      <c r="V590" t="s">
        <v>166</v>
      </c>
    </row>
    <row r="591" spans="9:22" x14ac:dyDescent="0.45">
      <c r="I591" t="s">
        <v>189</v>
      </c>
      <c r="J591" t="s">
        <v>259</v>
      </c>
      <c r="K591">
        <v>2.9520596589311911E-2</v>
      </c>
      <c r="L591" t="s">
        <v>166</v>
      </c>
      <c r="N591" t="s">
        <v>213</v>
      </c>
      <c r="O591" t="s">
        <v>259</v>
      </c>
      <c r="P591">
        <v>2.8716413322489164E-2</v>
      </c>
      <c r="Q591" t="s">
        <v>166</v>
      </c>
      <c r="S591" t="s">
        <v>230</v>
      </c>
      <c r="T591" t="s">
        <v>259</v>
      </c>
      <c r="U591">
        <v>2.5345323008778307E-2</v>
      </c>
      <c r="V591" t="s">
        <v>166</v>
      </c>
    </row>
    <row r="592" spans="9:22" x14ac:dyDescent="0.45">
      <c r="I592" t="s">
        <v>189</v>
      </c>
      <c r="J592" t="s">
        <v>260</v>
      </c>
      <c r="K592">
        <v>0</v>
      </c>
      <c r="L592" t="s">
        <v>166</v>
      </c>
      <c r="N592" t="s">
        <v>213</v>
      </c>
      <c r="O592" t="s">
        <v>260</v>
      </c>
      <c r="P592">
        <v>6.6399613533666121E-2</v>
      </c>
      <c r="Q592" t="s">
        <v>166</v>
      </c>
      <c r="S592" t="s">
        <v>230</v>
      </c>
      <c r="T592" t="s">
        <v>260</v>
      </c>
      <c r="U592">
        <v>7.1053508609259575E-2</v>
      </c>
      <c r="V592" t="s">
        <v>166</v>
      </c>
    </row>
    <row r="593" spans="9:22" x14ac:dyDescent="0.45">
      <c r="I593" t="s">
        <v>189</v>
      </c>
      <c r="J593" t="s">
        <v>169</v>
      </c>
      <c r="K593">
        <v>2.9176206839889862E-3</v>
      </c>
      <c r="L593" t="s">
        <v>166</v>
      </c>
      <c r="N593" t="s">
        <v>213</v>
      </c>
      <c r="O593" t="s">
        <v>169</v>
      </c>
      <c r="P593">
        <v>2.442869940820809E-2</v>
      </c>
      <c r="Q593" t="s">
        <v>166</v>
      </c>
      <c r="S593" t="s">
        <v>230</v>
      </c>
      <c r="T593" t="s">
        <v>169</v>
      </c>
      <c r="U593">
        <v>2.2925709421691982E-2</v>
      </c>
      <c r="V593" t="s">
        <v>166</v>
      </c>
    </row>
    <row r="594" spans="9:22" x14ac:dyDescent="0.45">
      <c r="I594" t="s">
        <v>189</v>
      </c>
      <c r="J594" t="s">
        <v>170</v>
      </c>
      <c r="K594">
        <v>4.1896202723377286E-3</v>
      </c>
      <c r="L594" t="s">
        <v>166</v>
      </c>
      <c r="N594" t="s">
        <v>213</v>
      </c>
      <c r="O594" t="s">
        <v>170</v>
      </c>
      <c r="P594">
        <v>1.643888697437158E-3</v>
      </c>
      <c r="Q594" t="s">
        <v>166</v>
      </c>
      <c r="S594" t="s">
        <v>230</v>
      </c>
      <c r="T594" t="s">
        <v>170</v>
      </c>
      <c r="U594">
        <v>2.6332157467799573E-3</v>
      </c>
      <c r="V594" t="s">
        <v>166</v>
      </c>
    </row>
    <row r="595" spans="9:22" x14ac:dyDescent="0.45">
      <c r="I595" t="s">
        <v>189</v>
      </c>
      <c r="J595" t="s">
        <v>171</v>
      </c>
      <c r="K595">
        <v>6.9714521163881729E-2</v>
      </c>
      <c r="L595" t="s">
        <v>166</v>
      </c>
      <c r="N595" t="s">
        <v>213</v>
      </c>
      <c r="O595" t="s">
        <v>171</v>
      </c>
      <c r="P595">
        <v>1.8478700589365991E-2</v>
      </c>
      <c r="Q595" t="s">
        <v>166</v>
      </c>
      <c r="S595" t="s">
        <v>230</v>
      </c>
      <c r="T595" t="s">
        <v>171</v>
      </c>
      <c r="U595">
        <v>1.5661073209755419E-2</v>
      </c>
      <c r="V595" t="s">
        <v>166</v>
      </c>
    </row>
    <row r="596" spans="9:22" x14ac:dyDescent="0.45">
      <c r="I596" t="s">
        <v>189</v>
      </c>
      <c r="J596" t="s">
        <v>261</v>
      </c>
      <c r="K596">
        <v>8.8287816230776372E-3</v>
      </c>
      <c r="L596" t="s">
        <v>166</v>
      </c>
      <c r="N596" t="s">
        <v>213</v>
      </c>
      <c r="O596" t="s">
        <v>261</v>
      </c>
      <c r="P596">
        <v>3.3716190334229738E-3</v>
      </c>
      <c r="Q596" t="s">
        <v>166</v>
      </c>
      <c r="S596" t="s">
        <v>230</v>
      </c>
      <c r="T596" t="s">
        <v>261</v>
      </c>
      <c r="U596">
        <v>1.7904835611864771E-3</v>
      </c>
      <c r="V596" t="s">
        <v>166</v>
      </c>
    </row>
    <row r="597" spans="9:22" x14ac:dyDescent="0.45">
      <c r="I597" t="s">
        <v>189</v>
      </c>
      <c r="J597" t="s">
        <v>262</v>
      </c>
      <c r="K597">
        <v>1.0924559192799109E-2</v>
      </c>
      <c r="L597" t="s">
        <v>166</v>
      </c>
      <c r="N597" t="s">
        <v>213</v>
      </c>
      <c r="O597" t="s">
        <v>262</v>
      </c>
      <c r="P597">
        <v>5.7613643882530579E-3</v>
      </c>
      <c r="Q597" t="s">
        <v>166</v>
      </c>
      <c r="S597" t="s">
        <v>230</v>
      </c>
      <c r="T597" t="s">
        <v>262</v>
      </c>
      <c r="U597">
        <v>2.9526491271075748E-3</v>
      </c>
      <c r="V597" t="s">
        <v>166</v>
      </c>
    </row>
    <row r="598" spans="9:22" x14ac:dyDescent="0.45">
      <c r="I598" t="s">
        <v>189</v>
      </c>
      <c r="J598" t="s">
        <v>263</v>
      </c>
      <c r="K598">
        <v>1.7879986177600526E-4</v>
      </c>
      <c r="L598" t="s">
        <v>166</v>
      </c>
      <c r="N598" t="s">
        <v>213</v>
      </c>
      <c r="O598" t="s">
        <v>263</v>
      </c>
      <c r="P598">
        <v>2.2624284148848945E-2</v>
      </c>
      <c r="Q598" t="s">
        <v>166</v>
      </c>
      <c r="S598" t="s">
        <v>230</v>
      </c>
      <c r="T598" t="s">
        <v>263</v>
      </c>
      <c r="U598">
        <v>1.2235384556629756E-2</v>
      </c>
      <c r="V598" t="s">
        <v>166</v>
      </c>
    </row>
    <row r="599" spans="9:22" x14ac:dyDescent="0.45">
      <c r="I599" t="s">
        <v>189</v>
      </c>
      <c r="J599" t="s">
        <v>172</v>
      </c>
      <c r="K599">
        <v>4.1965636571045066E-3</v>
      </c>
      <c r="L599" t="s">
        <v>166</v>
      </c>
      <c r="N599" t="s">
        <v>213</v>
      </c>
      <c r="O599" t="s">
        <v>172</v>
      </c>
      <c r="P599">
        <v>3.2790607206656566E-2</v>
      </c>
      <c r="Q599" t="s">
        <v>166</v>
      </c>
      <c r="S599" t="s">
        <v>230</v>
      </c>
      <c r="T599" t="s">
        <v>172</v>
      </c>
      <c r="U599">
        <v>1.900694266009707E-2</v>
      </c>
      <c r="V599" t="s">
        <v>166</v>
      </c>
    </row>
    <row r="600" spans="9:22" x14ac:dyDescent="0.45">
      <c r="I600" t="s">
        <v>189</v>
      </c>
      <c r="J600" t="s">
        <v>173</v>
      </c>
      <c r="K600">
        <v>5.3401051895197657E-3</v>
      </c>
      <c r="L600" t="s">
        <v>166</v>
      </c>
      <c r="N600" t="s">
        <v>213</v>
      </c>
      <c r="O600" t="s">
        <v>173</v>
      </c>
      <c r="P600">
        <v>3.5949457674204688E-3</v>
      </c>
      <c r="Q600" t="s">
        <v>166</v>
      </c>
      <c r="S600" t="s">
        <v>230</v>
      </c>
      <c r="T600" t="s">
        <v>173</v>
      </c>
      <c r="U600">
        <v>2.0148116973010867E-3</v>
      </c>
      <c r="V600" t="s">
        <v>166</v>
      </c>
    </row>
    <row r="601" spans="9:22" x14ac:dyDescent="0.45">
      <c r="I601" t="s">
        <v>189</v>
      </c>
      <c r="J601" t="s">
        <v>174</v>
      </c>
      <c r="K601">
        <v>7.5603788909901132E-2</v>
      </c>
      <c r="L601" t="s">
        <v>166</v>
      </c>
      <c r="N601" t="s">
        <v>213</v>
      </c>
      <c r="O601" t="s">
        <v>174</v>
      </c>
      <c r="P601">
        <v>2.9429451555125021E-2</v>
      </c>
      <c r="Q601" t="s">
        <v>166</v>
      </c>
      <c r="S601" t="s">
        <v>230</v>
      </c>
      <c r="T601" t="s">
        <v>174</v>
      </c>
      <c r="U601">
        <v>1.2704731818264618E-2</v>
      </c>
      <c r="V601" t="s">
        <v>166</v>
      </c>
    </row>
    <row r="602" spans="9:22" x14ac:dyDescent="0.45">
      <c r="I602" t="s">
        <v>189</v>
      </c>
      <c r="J602" t="s">
        <v>264</v>
      </c>
      <c r="K602">
        <v>8.5836142020916939E-3</v>
      </c>
      <c r="L602" t="s">
        <v>166</v>
      </c>
      <c r="N602" t="s">
        <v>213</v>
      </c>
      <c r="O602" t="s">
        <v>264</v>
      </c>
      <c r="P602">
        <v>4.8885038711438088E-3</v>
      </c>
      <c r="Q602" t="s">
        <v>166</v>
      </c>
      <c r="S602" t="s">
        <v>230</v>
      </c>
      <c r="T602" t="s">
        <v>264</v>
      </c>
      <c r="U602">
        <v>1.5462336344603002E-3</v>
      </c>
      <c r="V602" t="s">
        <v>166</v>
      </c>
    </row>
    <row r="603" spans="9:22" x14ac:dyDescent="0.45">
      <c r="I603" t="s">
        <v>189</v>
      </c>
      <c r="J603" t="s">
        <v>265</v>
      </c>
      <c r="K603">
        <v>1.0288272352701114E-2</v>
      </c>
      <c r="L603" t="s">
        <v>166</v>
      </c>
      <c r="N603" t="s">
        <v>213</v>
      </c>
      <c r="O603" t="s">
        <v>265</v>
      </c>
      <c r="P603">
        <v>8.3743234935378039E-3</v>
      </c>
      <c r="Q603" t="s">
        <v>166</v>
      </c>
      <c r="S603" t="s">
        <v>230</v>
      </c>
      <c r="T603" t="s">
        <v>265</v>
      </c>
      <c r="U603">
        <v>2.6635790967740793E-3</v>
      </c>
      <c r="V603" t="s">
        <v>166</v>
      </c>
    </row>
    <row r="604" spans="9:22" x14ac:dyDescent="0.45">
      <c r="I604" t="s">
        <v>189</v>
      </c>
      <c r="J604" t="s">
        <v>266</v>
      </c>
      <c r="K604">
        <v>2.060737248566031E-3</v>
      </c>
      <c r="L604" t="s">
        <v>166</v>
      </c>
      <c r="N604" t="s">
        <v>213</v>
      </c>
      <c r="O604" t="s">
        <v>266</v>
      </c>
      <c r="P604">
        <v>2.5583214335577652E-2</v>
      </c>
      <c r="Q604" t="s">
        <v>166</v>
      </c>
      <c r="S604" t="s">
        <v>230</v>
      </c>
      <c r="T604" t="s">
        <v>266</v>
      </c>
      <c r="U604">
        <v>9.5909843859460133E-3</v>
      </c>
      <c r="V604" t="s">
        <v>166</v>
      </c>
    </row>
    <row r="605" spans="9:22" x14ac:dyDescent="0.45">
      <c r="I605" t="s">
        <v>189</v>
      </c>
      <c r="J605" t="s">
        <v>175</v>
      </c>
      <c r="K605">
        <v>1.197257294014067E-3</v>
      </c>
      <c r="L605" t="s">
        <v>166</v>
      </c>
      <c r="N605" t="s">
        <v>213</v>
      </c>
      <c r="O605" t="s">
        <v>175</v>
      </c>
      <c r="P605">
        <v>1.7664221931178972E-2</v>
      </c>
      <c r="Q605" t="s">
        <v>166</v>
      </c>
      <c r="S605" t="s">
        <v>230</v>
      </c>
      <c r="T605" t="s">
        <v>175</v>
      </c>
      <c r="U605">
        <v>2.080163195959615E-2</v>
      </c>
      <c r="V605" t="s">
        <v>166</v>
      </c>
    </row>
    <row r="606" spans="9:22" x14ac:dyDescent="0.45">
      <c r="I606" t="s">
        <v>189</v>
      </c>
      <c r="J606" t="s">
        <v>176</v>
      </c>
      <c r="K606">
        <v>3.0298126836828683E-3</v>
      </c>
      <c r="L606" t="s">
        <v>166</v>
      </c>
      <c r="N606" t="s">
        <v>213</v>
      </c>
      <c r="O606" t="s">
        <v>176</v>
      </c>
      <c r="P606">
        <v>1.0684793136946477E-3</v>
      </c>
      <c r="Q606" t="s">
        <v>166</v>
      </c>
      <c r="S606" t="s">
        <v>230</v>
      </c>
      <c r="T606" t="s">
        <v>176</v>
      </c>
      <c r="U606">
        <v>2.0570132517449286E-3</v>
      </c>
      <c r="V606" t="s">
        <v>166</v>
      </c>
    </row>
    <row r="607" spans="9:22" x14ac:dyDescent="0.45">
      <c r="I607" t="s">
        <v>189</v>
      </c>
      <c r="J607" t="s">
        <v>177</v>
      </c>
      <c r="K607">
        <v>6.4630375519124678E-2</v>
      </c>
      <c r="L607" t="s">
        <v>166</v>
      </c>
      <c r="N607" t="s">
        <v>213</v>
      </c>
      <c r="O607" t="s">
        <v>177</v>
      </c>
      <c r="P607">
        <v>9.2707369504552543E-3</v>
      </c>
      <c r="Q607" t="s">
        <v>166</v>
      </c>
      <c r="S607" t="s">
        <v>230</v>
      </c>
      <c r="T607" t="s">
        <v>177</v>
      </c>
      <c r="U607">
        <v>1.2490299618854325E-2</v>
      </c>
      <c r="V607" t="s">
        <v>166</v>
      </c>
    </row>
    <row r="608" spans="9:22" x14ac:dyDescent="0.45">
      <c r="I608" t="s">
        <v>189</v>
      </c>
      <c r="J608" t="s">
        <v>267</v>
      </c>
      <c r="K608">
        <v>8.3798063107771818E-3</v>
      </c>
      <c r="L608" t="s">
        <v>166</v>
      </c>
      <c r="N608" t="s">
        <v>213</v>
      </c>
      <c r="O608" t="s">
        <v>267</v>
      </c>
      <c r="P608">
        <v>1.9771847501249E-3</v>
      </c>
      <c r="Q608" t="s">
        <v>166</v>
      </c>
      <c r="S608" t="s">
        <v>230</v>
      </c>
      <c r="T608" t="s">
        <v>267</v>
      </c>
      <c r="U608">
        <v>1.6274862704747587E-3</v>
      </c>
      <c r="V608" t="s">
        <v>166</v>
      </c>
    </row>
    <row r="609" spans="9:22" x14ac:dyDescent="0.45">
      <c r="I609" t="s">
        <v>189</v>
      </c>
      <c r="J609" t="s">
        <v>268</v>
      </c>
      <c r="K609">
        <v>1.0634818375824723E-2</v>
      </c>
      <c r="L609" t="s">
        <v>166</v>
      </c>
      <c r="N609" t="s">
        <v>213</v>
      </c>
      <c r="O609" t="s">
        <v>268</v>
      </c>
      <c r="P609">
        <v>3.8844441979152618E-3</v>
      </c>
      <c r="Q609" t="s">
        <v>166</v>
      </c>
      <c r="S609" t="s">
        <v>230</v>
      </c>
      <c r="T609" t="s">
        <v>268</v>
      </c>
      <c r="U609">
        <v>2.5219367390152438E-3</v>
      </c>
      <c r="V609" t="s">
        <v>166</v>
      </c>
    </row>
    <row r="610" spans="9:22" x14ac:dyDescent="0.45">
      <c r="I610" t="s">
        <v>189</v>
      </c>
      <c r="J610" t="s">
        <v>269</v>
      </c>
      <c r="K610">
        <v>2.0236469653001467E-3</v>
      </c>
      <c r="L610" t="s">
        <v>166</v>
      </c>
      <c r="N610" t="s">
        <v>213</v>
      </c>
      <c r="O610" t="s">
        <v>269</v>
      </c>
      <c r="P610">
        <v>1.5285497141012209E-2</v>
      </c>
      <c r="Q610" t="s">
        <v>166</v>
      </c>
      <c r="S610" t="s">
        <v>230</v>
      </c>
      <c r="T610" t="s">
        <v>269</v>
      </c>
      <c r="U610">
        <v>1.1483684634567125E-2</v>
      </c>
      <c r="V610" t="s">
        <v>166</v>
      </c>
    </row>
    <row r="611" spans="9:22" x14ac:dyDescent="0.45">
      <c r="I611" t="s">
        <v>189</v>
      </c>
      <c r="J611" t="s">
        <v>270</v>
      </c>
      <c r="K611">
        <v>2.5695317544507201E-3</v>
      </c>
      <c r="L611" t="s">
        <v>166</v>
      </c>
      <c r="N611" t="s">
        <v>213</v>
      </c>
      <c r="O611" t="s">
        <v>270</v>
      </c>
      <c r="P611">
        <v>3.3060532006881568E-2</v>
      </c>
      <c r="Q611" t="s">
        <v>166</v>
      </c>
      <c r="S611" t="s">
        <v>230</v>
      </c>
      <c r="T611" t="s">
        <v>270</v>
      </c>
      <c r="U611">
        <v>2.5212711252915139E-2</v>
      </c>
      <c r="V611" t="s">
        <v>166</v>
      </c>
    </row>
    <row r="612" spans="9:22" x14ac:dyDescent="0.45">
      <c r="I612" t="s">
        <v>189</v>
      </c>
      <c r="J612" t="s">
        <v>271</v>
      </c>
      <c r="K612">
        <v>5.5076295093189499E-3</v>
      </c>
      <c r="L612" t="s">
        <v>166</v>
      </c>
      <c r="N612" t="s">
        <v>213</v>
      </c>
      <c r="O612" t="s">
        <v>271</v>
      </c>
      <c r="P612">
        <v>2.4661000125077944E-3</v>
      </c>
      <c r="Q612" t="s">
        <v>166</v>
      </c>
      <c r="S612" t="s">
        <v>230</v>
      </c>
      <c r="T612" t="s">
        <v>271</v>
      </c>
      <c r="U612">
        <v>2.7819656181249566E-3</v>
      </c>
      <c r="V612" t="s">
        <v>166</v>
      </c>
    </row>
    <row r="613" spans="9:22" x14ac:dyDescent="0.45">
      <c r="I613" t="s">
        <v>189</v>
      </c>
      <c r="J613" t="s">
        <v>272</v>
      </c>
      <c r="K613">
        <v>7.436125049621789E-2</v>
      </c>
      <c r="L613" t="s">
        <v>166</v>
      </c>
      <c r="N613" t="s">
        <v>213</v>
      </c>
      <c r="O613" t="s">
        <v>272</v>
      </c>
      <c r="P613">
        <v>1.4756135910827951E-2</v>
      </c>
      <c r="Q613" t="s">
        <v>166</v>
      </c>
      <c r="S613" t="s">
        <v>230</v>
      </c>
      <c r="T613" t="s">
        <v>272</v>
      </c>
      <c r="U613">
        <v>2.0488762443414077E-2</v>
      </c>
      <c r="V613" t="s">
        <v>166</v>
      </c>
    </row>
    <row r="614" spans="9:22" x14ac:dyDescent="0.45">
      <c r="I614" t="s">
        <v>189</v>
      </c>
      <c r="J614" t="s">
        <v>273</v>
      </c>
      <c r="K614">
        <v>8.682292742436936E-3</v>
      </c>
      <c r="L614" t="s">
        <v>166</v>
      </c>
      <c r="N614" t="s">
        <v>213</v>
      </c>
      <c r="O614" t="s">
        <v>273</v>
      </c>
      <c r="P614">
        <v>2.0402856213988436E-3</v>
      </c>
      <c r="Q614" t="s">
        <v>166</v>
      </c>
      <c r="S614" t="s">
        <v>230</v>
      </c>
      <c r="T614" t="s">
        <v>273</v>
      </c>
      <c r="U614">
        <v>2.8381476374274264E-3</v>
      </c>
      <c r="V614" t="s">
        <v>166</v>
      </c>
    </row>
    <row r="615" spans="9:22" x14ac:dyDescent="0.45">
      <c r="I615" t="s">
        <v>189</v>
      </c>
      <c r="J615" t="s">
        <v>274</v>
      </c>
      <c r="K615">
        <v>9.877307013679025E-3</v>
      </c>
      <c r="L615" t="s">
        <v>166</v>
      </c>
      <c r="N615" t="s">
        <v>213</v>
      </c>
      <c r="O615" t="s">
        <v>274</v>
      </c>
      <c r="P615">
        <v>4.4039349983621785E-3</v>
      </c>
      <c r="Q615" t="s">
        <v>166</v>
      </c>
      <c r="S615" t="s">
        <v>230</v>
      </c>
      <c r="T615" t="s">
        <v>274</v>
      </c>
      <c r="U615">
        <v>5.2102684442065514E-3</v>
      </c>
      <c r="V615" t="s">
        <v>166</v>
      </c>
    </row>
    <row r="616" spans="9:22" x14ac:dyDescent="0.45">
      <c r="I616" t="s">
        <v>189</v>
      </c>
      <c r="J616" t="s">
        <v>275</v>
      </c>
      <c r="K616">
        <v>2.7496034742901143E-4</v>
      </c>
      <c r="L616" t="s">
        <v>166</v>
      </c>
      <c r="N616" t="s">
        <v>213</v>
      </c>
      <c r="O616" t="s">
        <v>275</v>
      </c>
      <c r="P616">
        <v>2.0991440809589208E-2</v>
      </c>
      <c r="Q616" t="s">
        <v>166</v>
      </c>
      <c r="S616" t="s">
        <v>230</v>
      </c>
      <c r="T616" t="s">
        <v>275</v>
      </c>
      <c r="U616">
        <v>1.5639230572699035E-2</v>
      </c>
      <c r="V616" t="s">
        <v>166</v>
      </c>
    </row>
    <row r="617" spans="9:22" x14ac:dyDescent="0.45">
      <c r="I617" t="s">
        <v>189</v>
      </c>
      <c r="J617" t="s">
        <v>276</v>
      </c>
      <c r="K617">
        <v>6.7239465900988185E-3</v>
      </c>
      <c r="L617" t="s">
        <v>166</v>
      </c>
      <c r="N617" t="s">
        <v>213</v>
      </c>
      <c r="O617" t="s">
        <v>276</v>
      </c>
      <c r="P617">
        <v>7.6755840380942159E-2</v>
      </c>
      <c r="Q617" t="s">
        <v>166</v>
      </c>
      <c r="S617" t="s">
        <v>230</v>
      </c>
      <c r="T617" t="s">
        <v>276</v>
      </c>
      <c r="U617">
        <v>4.9439523451050425E-2</v>
      </c>
      <c r="V617" t="s">
        <v>166</v>
      </c>
    </row>
    <row r="618" spans="9:22" x14ac:dyDescent="0.45">
      <c r="I618" t="s">
        <v>189</v>
      </c>
      <c r="J618" t="s">
        <v>277</v>
      </c>
      <c r="K618">
        <v>1.2638737438853945E-2</v>
      </c>
      <c r="L618" t="s">
        <v>166</v>
      </c>
      <c r="N618" t="s">
        <v>213</v>
      </c>
      <c r="O618" t="s">
        <v>277</v>
      </c>
      <c r="P618">
        <v>9.2649906272036439E-3</v>
      </c>
      <c r="Q618" t="s">
        <v>166</v>
      </c>
      <c r="S618" t="s">
        <v>230</v>
      </c>
      <c r="T618" t="s">
        <v>277</v>
      </c>
      <c r="U618">
        <v>6.5893950611308622E-3</v>
      </c>
      <c r="V618" t="s">
        <v>166</v>
      </c>
    </row>
    <row r="619" spans="9:22" x14ac:dyDescent="0.45">
      <c r="I619" t="s">
        <v>189</v>
      </c>
      <c r="J619" t="s">
        <v>278</v>
      </c>
      <c r="K619">
        <v>0.13898555591250786</v>
      </c>
      <c r="L619" t="s">
        <v>166</v>
      </c>
      <c r="N619" t="s">
        <v>213</v>
      </c>
      <c r="O619" t="s">
        <v>278</v>
      </c>
      <c r="P619">
        <v>7.3925575567570262E-2</v>
      </c>
      <c r="Q619" t="s">
        <v>166</v>
      </c>
      <c r="S619" t="s">
        <v>230</v>
      </c>
      <c r="T619" t="s">
        <v>278</v>
      </c>
      <c r="U619">
        <v>4.5014001821139987E-2</v>
      </c>
      <c r="V619" t="s">
        <v>166</v>
      </c>
    </row>
    <row r="620" spans="9:22" x14ac:dyDescent="0.45">
      <c r="I620" t="s">
        <v>189</v>
      </c>
      <c r="J620" t="s">
        <v>279</v>
      </c>
      <c r="K620">
        <v>1.4571458261039297E-2</v>
      </c>
      <c r="L620" t="s">
        <v>166</v>
      </c>
      <c r="N620" t="s">
        <v>213</v>
      </c>
      <c r="O620" t="s">
        <v>279</v>
      </c>
      <c r="P620">
        <v>1.0003072555668541E-2</v>
      </c>
      <c r="Q620" t="s">
        <v>166</v>
      </c>
      <c r="S620" t="s">
        <v>230</v>
      </c>
      <c r="T620" t="s">
        <v>279</v>
      </c>
      <c r="U620">
        <v>6.4096707128928091E-3</v>
      </c>
      <c r="V620" t="s">
        <v>166</v>
      </c>
    </row>
    <row r="621" spans="9:22" x14ac:dyDescent="0.45">
      <c r="I621" t="s">
        <v>189</v>
      </c>
      <c r="J621" t="s">
        <v>280</v>
      </c>
      <c r="K621">
        <v>1.5735390495661913E-2</v>
      </c>
      <c r="L621" t="s">
        <v>166</v>
      </c>
      <c r="N621" t="s">
        <v>213</v>
      </c>
      <c r="O621" t="s">
        <v>280</v>
      </c>
      <c r="P621">
        <v>1.9165771924847981E-2</v>
      </c>
      <c r="Q621" t="s">
        <v>166</v>
      </c>
      <c r="S621" t="s">
        <v>230</v>
      </c>
      <c r="T621" t="s">
        <v>280</v>
      </c>
      <c r="U621">
        <v>1.160418070448207E-2</v>
      </c>
      <c r="V621" t="s">
        <v>166</v>
      </c>
    </row>
    <row r="622" spans="9:22" x14ac:dyDescent="0.45">
      <c r="I622" t="s">
        <v>189</v>
      </c>
      <c r="J622" t="s">
        <v>281</v>
      </c>
      <c r="K622">
        <v>0</v>
      </c>
      <c r="L622" t="s">
        <v>166</v>
      </c>
      <c r="N622" t="s">
        <v>213</v>
      </c>
      <c r="O622" t="s">
        <v>281</v>
      </c>
      <c r="P622">
        <v>4.1918092870555305E-2</v>
      </c>
      <c r="Q622" t="s">
        <v>166</v>
      </c>
      <c r="S622" t="s">
        <v>230</v>
      </c>
      <c r="T622" t="s">
        <v>281</v>
      </c>
      <c r="U622">
        <v>3.0979259547095874E-2</v>
      </c>
      <c r="V622" t="s">
        <v>166</v>
      </c>
    </row>
    <row r="623" spans="9:22" x14ac:dyDescent="0.45">
      <c r="I623" t="s">
        <v>189</v>
      </c>
      <c r="J623" t="s">
        <v>282</v>
      </c>
      <c r="K623">
        <v>1.6178564538261765E-3</v>
      </c>
      <c r="L623" t="s">
        <v>166</v>
      </c>
      <c r="N623" t="s">
        <v>213</v>
      </c>
      <c r="O623" t="s">
        <v>282</v>
      </c>
      <c r="P623">
        <v>4.1984868398265429E-2</v>
      </c>
      <c r="Q623" t="s">
        <v>166</v>
      </c>
      <c r="S623" t="s">
        <v>230</v>
      </c>
      <c r="T623" t="s">
        <v>282</v>
      </c>
      <c r="U623">
        <v>4.5881988843384479E-2</v>
      </c>
      <c r="V623" t="s">
        <v>166</v>
      </c>
    </row>
    <row r="624" spans="9:22" x14ac:dyDescent="0.45">
      <c r="I624" t="s">
        <v>189</v>
      </c>
      <c r="J624" t="s">
        <v>283</v>
      </c>
      <c r="K624">
        <v>3.6487957588976295E-3</v>
      </c>
      <c r="L624" t="s">
        <v>166</v>
      </c>
      <c r="N624" t="s">
        <v>213</v>
      </c>
      <c r="O624" t="s">
        <v>283</v>
      </c>
      <c r="P624">
        <v>5.6345267028318092E-3</v>
      </c>
      <c r="Q624" t="s">
        <v>166</v>
      </c>
      <c r="S624" t="s">
        <v>230</v>
      </c>
      <c r="T624" t="s">
        <v>283</v>
      </c>
      <c r="U624">
        <v>6.2085057919481525E-3</v>
      </c>
      <c r="V624" t="s">
        <v>166</v>
      </c>
    </row>
    <row r="625" spans="9:22" x14ac:dyDescent="0.45">
      <c r="I625" t="s">
        <v>189</v>
      </c>
      <c r="J625" t="s">
        <v>284</v>
      </c>
      <c r="K625">
        <v>5.0204178252132844E-2</v>
      </c>
      <c r="L625" t="s">
        <v>166</v>
      </c>
      <c r="N625" t="s">
        <v>213</v>
      </c>
      <c r="O625" t="s">
        <v>284</v>
      </c>
      <c r="P625">
        <v>3.5616568544796674E-2</v>
      </c>
      <c r="Q625" t="s">
        <v>166</v>
      </c>
      <c r="S625" t="s">
        <v>230</v>
      </c>
      <c r="T625" t="s">
        <v>284</v>
      </c>
      <c r="U625">
        <v>4.4159607472260408E-2</v>
      </c>
      <c r="V625" t="s">
        <v>166</v>
      </c>
    </row>
    <row r="626" spans="9:22" x14ac:dyDescent="0.45">
      <c r="I626" t="s">
        <v>189</v>
      </c>
      <c r="J626" t="s">
        <v>285</v>
      </c>
      <c r="K626">
        <v>4.661236967403966E-3</v>
      </c>
      <c r="L626" t="s">
        <v>166</v>
      </c>
      <c r="N626" t="s">
        <v>213</v>
      </c>
      <c r="O626" t="s">
        <v>285</v>
      </c>
      <c r="P626">
        <v>4.445629674214714E-3</v>
      </c>
      <c r="Q626" t="s">
        <v>166</v>
      </c>
      <c r="S626" t="s">
        <v>230</v>
      </c>
      <c r="T626" t="s">
        <v>285</v>
      </c>
      <c r="U626">
        <v>6.2796152398524449E-3</v>
      </c>
      <c r="V626" t="s">
        <v>166</v>
      </c>
    </row>
    <row r="627" spans="9:22" x14ac:dyDescent="0.45">
      <c r="I627" t="s">
        <v>189</v>
      </c>
      <c r="J627" t="s">
        <v>286</v>
      </c>
      <c r="K627">
        <v>2.8809010609221813E-3</v>
      </c>
      <c r="L627" t="s">
        <v>166</v>
      </c>
      <c r="N627" t="s">
        <v>213</v>
      </c>
      <c r="O627" t="s">
        <v>286</v>
      </c>
      <c r="P627">
        <v>8.5029407112824813E-3</v>
      </c>
      <c r="Q627" t="s">
        <v>166</v>
      </c>
      <c r="S627" t="s">
        <v>230</v>
      </c>
      <c r="T627" t="s">
        <v>286</v>
      </c>
      <c r="U627">
        <v>1.1429522334038069E-2</v>
      </c>
      <c r="V627" t="s">
        <v>166</v>
      </c>
    </row>
    <row r="628" spans="9:22" x14ac:dyDescent="0.45">
      <c r="I628" t="s">
        <v>189</v>
      </c>
      <c r="J628" t="s">
        <v>287</v>
      </c>
      <c r="K628">
        <v>0</v>
      </c>
      <c r="L628" t="s">
        <v>166</v>
      </c>
      <c r="N628" t="s">
        <v>213</v>
      </c>
      <c r="O628" t="s">
        <v>287</v>
      </c>
      <c r="P628">
        <v>2.0706784950511068E-2</v>
      </c>
      <c r="Q628" t="s">
        <v>166</v>
      </c>
      <c r="S628" t="s">
        <v>230</v>
      </c>
      <c r="T628" t="s">
        <v>287</v>
      </c>
      <c r="U628">
        <v>2.9644903197408225E-2</v>
      </c>
      <c r="V628" t="s">
        <v>166</v>
      </c>
    </row>
    <row r="629" spans="9:22" x14ac:dyDescent="0.45">
      <c r="I629" t="s">
        <v>189</v>
      </c>
      <c r="J629" t="s">
        <v>288</v>
      </c>
      <c r="K629">
        <v>2.4027846840261012E-4</v>
      </c>
      <c r="L629" t="s">
        <v>166</v>
      </c>
      <c r="N629" t="s">
        <v>213</v>
      </c>
      <c r="O629" t="s">
        <v>288</v>
      </c>
      <c r="P629">
        <v>3.0570385232906162E-2</v>
      </c>
      <c r="Q629" t="s">
        <v>166</v>
      </c>
      <c r="S629" t="s">
        <v>230</v>
      </c>
      <c r="T629" t="s">
        <v>288</v>
      </c>
      <c r="U629">
        <v>4.8682440094715354E-2</v>
      </c>
      <c r="V629" t="s">
        <v>166</v>
      </c>
    </row>
    <row r="630" spans="9:22" x14ac:dyDescent="0.45">
      <c r="I630" t="s">
        <v>189</v>
      </c>
      <c r="J630" t="s">
        <v>289</v>
      </c>
      <c r="K630">
        <v>5.7381492720830979E-3</v>
      </c>
      <c r="L630" t="s">
        <v>166</v>
      </c>
      <c r="N630" t="s">
        <v>213</v>
      </c>
      <c r="O630" t="s">
        <v>289</v>
      </c>
      <c r="P630">
        <v>4.3401427036538825E-3</v>
      </c>
      <c r="Q630" t="s">
        <v>166</v>
      </c>
      <c r="S630" t="s">
        <v>230</v>
      </c>
      <c r="T630" t="s">
        <v>289</v>
      </c>
      <c r="U630">
        <v>6.6100742752309202E-3</v>
      </c>
      <c r="V630" t="s">
        <v>166</v>
      </c>
    </row>
    <row r="631" spans="9:22" x14ac:dyDescent="0.45">
      <c r="I631" t="s">
        <v>189</v>
      </c>
      <c r="J631" t="s">
        <v>290</v>
      </c>
      <c r="K631">
        <v>7.11019275777941E-2</v>
      </c>
      <c r="L631" t="s">
        <v>166</v>
      </c>
      <c r="N631" t="s">
        <v>213</v>
      </c>
      <c r="O631" t="s">
        <v>290</v>
      </c>
      <c r="P631">
        <v>2.7192671403269631E-2</v>
      </c>
      <c r="Q631" t="s">
        <v>166</v>
      </c>
      <c r="S631" t="s">
        <v>230</v>
      </c>
      <c r="T631" t="s">
        <v>290</v>
      </c>
      <c r="U631">
        <v>4.5405359464392385E-2</v>
      </c>
      <c r="V631" t="s">
        <v>166</v>
      </c>
    </row>
    <row r="632" spans="9:22" x14ac:dyDescent="0.45">
      <c r="I632" t="s">
        <v>189</v>
      </c>
      <c r="J632" t="s">
        <v>291</v>
      </c>
      <c r="K632">
        <v>6.2152656278426375E-3</v>
      </c>
      <c r="L632" t="s">
        <v>166</v>
      </c>
      <c r="N632" t="s">
        <v>213</v>
      </c>
      <c r="O632" t="s">
        <v>291</v>
      </c>
      <c r="P632">
        <v>3.1257398018613857E-3</v>
      </c>
      <c r="Q632" t="s">
        <v>166</v>
      </c>
      <c r="S632" t="s">
        <v>230</v>
      </c>
      <c r="T632" t="s">
        <v>291</v>
      </c>
      <c r="U632">
        <v>6.2343423563788226E-3</v>
      </c>
      <c r="V632" t="s">
        <v>166</v>
      </c>
    </row>
    <row r="633" spans="9:22" x14ac:dyDescent="0.45">
      <c r="I633" t="s">
        <v>189</v>
      </c>
      <c r="J633" t="s">
        <v>292</v>
      </c>
      <c r="K633">
        <v>3.5908538616678367E-3</v>
      </c>
      <c r="L633" t="s">
        <v>166</v>
      </c>
      <c r="N633" t="s">
        <v>213</v>
      </c>
      <c r="O633" t="s">
        <v>292</v>
      </c>
      <c r="P633">
        <v>6.4673774128663703E-3</v>
      </c>
      <c r="Q633" t="s">
        <v>166</v>
      </c>
      <c r="S633" t="s">
        <v>230</v>
      </c>
      <c r="T633" t="s">
        <v>292</v>
      </c>
      <c r="U633">
        <v>1.0450206495300086E-2</v>
      </c>
      <c r="V633" t="s">
        <v>166</v>
      </c>
    </row>
    <row r="634" spans="9:22" x14ac:dyDescent="0.45">
      <c r="I634" t="s">
        <v>189</v>
      </c>
      <c r="J634" t="s">
        <v>293</v>
      </c>
      <c r="K634">
        <v>0</v>
      </c>
      <c r="L634" t="s">
        <v>166</v>
      </c>
      <c r="N634" t="s">
        <v>213</v>
      </c>
      <c r="O634" t="s">
        <v>293</v>
      </c>
      <c r="P634">
        <v>1.3785434926885247E-2</v>
      </c>
      <c r="Q634" t="s">
        <v>166</v>
      </c>
      <c r="S634" t="s">
        <v>230</v>
      </c>
      <c r="T634" t="s">
        <v>293</v>
      </c>
      <c r="U634">
        <v>2.6581194801856143E-2</v>
      </c>
      <c r="V634" t="s">
        <v>166</v>
      </c>
    </row>
    <row r="635" spans="9:22" x14ac:dyDescent="0.45">
      <c r="I635" t="s">
        <v>190</v>
      </c>
      <c r="J635" t="s">
        <v>165</v>
      </c>
      <c r="K635">
        <v>3.6559031077885674E-3</v>
      </c>
      <c r="L635" t="s">
        <v>166</v>
      </c>
      <c r="N635" t="s">
        <v>214</v>
      </c>
      <c r="O635" t="s">
        <v>165</v>
      </c>
      <c r="P635">
        <v>8.5076211017583336E-2</v>
      </c>
      <c r="Q635" t="s">
        <v>166</v>
      </c>
      <c r="S635" t="s">
        <v>231</v>
      </c>
      <c r="T635" t="s">
        <v>165</v>
      </c>
      <c r="U635">
        <v>9.9551089748849242E-2</v>
      </c>
      <c r="V635" t="s">
        <v>166</v>
      </c>
    </row>
    <row r="636" spans="9:22" x14ac:dyDescent="0.45">
      <c r="I636" t="s">
        <v>190</v>
      </c>
      <c r="J636" t="s">
        <v>167</v>
      </c>
      <c r="K636">
        <v>9.483529908543311E-3</v>
      </c>
      <c r="L636" t="s">
        <v>166</v>
      </c>
      <c r="N636" t="s">
        <v>214</v>
      </c>
      <c r="O636" t="s">
        <v>167</v>
      </c>
      <c r="P636">
        <v>1.040834197653951E-2</v>
      </c>
      <c r="Q636" t="s">
        <v>166</v>
      </c>
      <c r="S636" t="s">
        <v>231</v>
      </c>
      <c r="T636" t="s">
        <v>167</v>
      </c>
      <c r="U636">
        <v>1.3236118033545602E-2</v>
      </c>
      <c r="V636" t="s">
        <v>166</v>
      </c>
    </row>
    <row r="637" spans="9:22" x14ac:dyDescent="0.45">
      <c r="I637" t="s">
        <v>190</v>
      </c>
      <c r="J637" t="s">
        <v>168</v>
      </c>
      <c r="K637">
        <v>0.18594307830727483</v>
      </c>
      <c r="L637" t="s">
        <v>166</v>
      </c>
      <c r="N637" t="s">
        <v>214</v>
      </c>
      <c r="O637" t="s">
        <v>168</v>
      </c>
      <c r="P637">
        <v>8.1914672416372403E-2</v>
      </c>
      <c r="Q637" t="s">
        <v>166</v>
      </c>
      <c r="S637" t="s">
        <v>231</v>
      </c>
      <c r="T637" t="s">
        <v>168</v>
      </c>
      <c r="U637">
        <v>9.1098480772312945E-2</v>
      </c>
      <c r="V637" t="s">
        <v>166</v>
      </c>
    </row>
    <row r="638" spans="9:22" x14ac:dyDescent="0.45">
      <c r="I638" t="s">
        <v>190</v>
      </c>
      <c r="J638" t="s">
        <v>258</v>
      </c>
      <c r="K638">
        <v>2.1903846512612228E-2</v>
      </c>
      <c r="L638" t="s">
        <v>166</v>
      </c>
      <c r="N638" t="s">
        <v>214</v>
      </c>
      <c r="O638" t="s">
        <v>258</v>
      </c>
      <c r="P638">
        <v>1.3707518916339116E-2</v>
      </c>
      <c r="Q638" t="s">
        <v>166</v>
      </c>
      <c r="S638" t="s">
        <v>231</v>
      </c>
      <c r="T638" t="s">
        <v>258</v>
      </c>
      <c r="U638">
        <v>1.3525950390783666E-2</v>
      </c>
      <c r="V638" t="s">
        <v>166</v>
      </c>
    </row>
    <row r="639" spans="9:22" x14ac:dyDescent="0.45">
      <c r="I639" t="s">
        <v>190</v>
      </c>
      <c r="J639" t="s">
        <v>259</v>
      </c>
      <c r="K639">
        <v>2.338758760234946E-2</v>
      </c>
      <c r="L639" t="s">
        <v>166</v>
      </c>
      <c r="N639" t="s">
        <v>214</v>
      </c>
      <c r="O639" t="s">
        <v>259</v>
      </c>
      <c r="P639">
        <v>2.7646050188879917E-2</v>
      </c>
      <c r="Q639" t="s">
        <v>166</v>
      </c>
      <c r="S639" t="s">
        <v>231</v>
      </c>
      <c r="T639" t="s">
        <v>259</v>
      </c>
      <c r="U639">
        <v>2.407382695915045E-2</v>
      </c>
      <c r="V639" t="s">
        <v>166</v>
      </c>
    </row>
    <row r="640" spans="9:22" x14ac:dyDescent="0.45">
      <c r="I640" t="s">
        <v>190</v>
      </c>
      <c r="J640" t="s">
        <v>260</v>
      </c>
      <c r="K640">
        <v>0</v>
      </c>
      <c r="L640" t="s">
        <v>166</v>
      </c>
      <c r="N640" t="s">
        <v>214</v>
      </c>
      <c r="O640" t="s">
        <v>260</v>
      </c>
      <c r="P640">
        <v>6.9658609118563738E-2</v>
      </c>
      <c r="Q640" t="s">
        <v>166</v>
      </c>
      <c r="S640" t="s">
        <v>231</v>
      </c>
      <c r="T640" t="s">
        <v>260</v>
      </c>
      <c r="U640">
        <v>6.4579851534499272E-2</v>
      </c>
      <c r="V640" t="s">
        <v>166</v>
      </c>
    </row>
    <row r="641" spans="9:22" x14ac:dyDescent="0.45">
      <c r="I641" t="s">
        <v>190</v>
      </c>
      <c r="J641" t="s">
        <v>169</v>
      </c>
      <c r="K641">
        <v>4.6456403940249944E-3</v>
      </c>
      <c r="L641" t="s">
        <v>166</v>
      </c>
      <c r="N641" t="s">
        <v>214</v>
      </c>
      <c r="O641" t="s">
        <v>169</v>
      </c>
      <c r="P641">
        <v>2.0516814303616213E-2</v>
      </c>
      <c r="Q641" t="s">
        <v>166</v>
      </c>
      <c r="S641" t="s">
        <v>231</v>
      </c>
      <c r="T641" t="s">
        <v>169</v>
      </c>
      <c r="U641">
        <v>2.3286743768480937E-2</v>
      </c>
      <c r="V641" t="s">
        <v>166</v>
      </c>
    </row>
    <row r="642" spans="9:22" x14ac:dyDescent="0.45">
      <c r="I642" t="s">
        <v>190</v>
      </c>
      <c r="J642" t="s">
        <v>170</v>
      </c>
      <c r="K642">
        <v>5.2609217011622758E-3</v>
      </c>
      <c r="L642" t="s">
        <v>166</v>
      </c>
      <c r="N642" t="s">
        <v>214</v>
      </c>
      <c r="O642" t="s">
        <v>170</v>
      </c>
      <c r="P642">
        <v>1.8921918550481552E-3</v>
      </c>
      <c r="Q642" t="s">
        <v>166</v>
      </c>
      <c r="S642" t="s">
        <v>231</v>
      </c>
      <c r="T642" t="s">
        <v>170</v>
      </c>
      <c r="U642">
        <v>2.3228127937427842E-3</v>
      </c>
      <c r="V642" t="s">
        <v>166</v>
      </c>
    </row>
    <row r="643" spans="9:22" x14ac:dyDescent="0.45">
      <c r="I643" t="s">
        <v>190</v>
      </c>
      <c r="J643" t="s">
        <v>171</v>
      </c>
      <c r="K643">
        <v>6.6323322215420158E-2</v>
      </c>
      <c r="L643" t="s">
        <v>166</v>
      </c>
      <c r="N643" t="s">
        <v>214</v>
      </c>
      <c r="O643" t="s">
        <v>171</v>
      </c>
      <c r="P643">
        <v>1.3587916005691E-2</v>
      </c>
      <c r="Q643" t="s">
        <v>166</v>
      </c>
      <c r="S643" t="s">
        <v>231</v>
      </c>
      <c r="T643" t="s">
        <v>171</v>
      </c>
      <c r="U643">
        <v>1.690496198309668E-2</v>
      </c>
      <c r="V643" t="s">
        <v>166</v>
      </c>
    </row>
    <row r="644" spans="9:22" x14ac:dyDescent="0.45">
      <c r="I644" t="s">
        <v>190</v>
      </c>
      <c r="J644" t="s">
        <v>261</v>
      </c>
      <c r="K644">
        <v>7.8700715658392029E-3</v>
      </c>
      <c r="L644" t="s">
        <v>166</v>
      </c>
      <c r="N644" t="s">
        <v>214</v>
      </c>
      <c r="O644" t="s">
        <v>261</v>
      </c>
      <c r="P644">
        <v>2.106392779143693E-3</v>
      </c>
      <c r="Q644" t="s">
        <v>166</v>
      </c>
      <c r="S644" t="s">
        <v>231</v>
      </c>
      <c r="T644" t="s">
        <v>261</v>
      </c>
      <c r="U644">
        <v>3.188966480859921E-3</v>
      </c>
      <c r="V644" t="s">
        <v>166</v>
      </c>
    </row>
    <row r="645" spans="9:22" x14ac:dyDescent="0.45">
      <c r="I645" t="s">
        <v>190</v>
      </c>
      <c r="J645" t="s">
        <v>262</v>
      </c>
      <c r="K645">
        <v>9.0441379553076393E-3</v>
      </c>
      <c r="L645" t="s">
        <v>166</v>
      </c>
      <c r="N645" t="s">
        <v>214</v>
      </c>
      <c r="O645" t="s">
        <v>262</v>
      </c>
      <c r="P645">
        <v>3.8623129304026565E-3</v>
      </c>
      <c r="Q645" t="s">
        <v>166</v>
      </c>
      <c r="S645" t="s">
        <v>231</v>
      </c>
      <c r="T645" t="s">
        <v>262</v>
      </c>
      <c r="U645">
        <v>6.1397356123178573E-3</v>
      </c>
      <c r="V645" t="s">
        <v>166</v>
      </c>
    </row>
    <row r="646" spans="9:22" x14ac:dyDescent="0.45">
      <c r="I646" t="s">
        <v>190</v>
      </c>
      <c r="J646" t="s">
        <v>263</v>
      </c>
      <c r="K646">
        <v>0</v>
      </c>
      <c r="L646" t="s">
        <v>166</v>
      </c>
      <c r="N646" t="s">
        <v>214</v>
      </c>
      <c r="O646" t="s">
        <v>263</v>
      </c>
      <c r="P646">
        <v>1.5493444343236728E-2</v>
      </c>
      <c r="Q646" t="s">
        <v>166</v>
      </c>
      <c r="S646" t="s">
        <v>231</v>
      </c>
      <c r="T646" t="s">
        <v>263</v>
      </c>
      <c r="U646">
        <v>1.735734274319526E-2</v>
      </c>
      <c r="V646" t="s">
        <v>166</v>
      </c>
    </row>
    <row r="647" spans="9:22" x14ac:dyDescent="0.45">
      <c r="I647" t="s">
        <v>190</v>
      </c>
      <c r="J647" t="s">
        <v>172</v>
      </c>
      <c r="K647">
        <v>5.2616571858215815E-3</v>
      </c>
      <c r="L647" t="s">
        <v>166</v>
      </c>
      <c r="N647" t="s">
        <v>214</v>
      </c>
      <c r="O647" t="s">
        <v>172</v>
      </c>
      <c r="P647">
        <v>3.1025723052811122E-2</v>
      </c>
      <c r="Q647" t="s">
        <v>166</v>
      </c>
      <c r="S647" t="s">
        <v>231</v>
      </c>
      <c r="T647" t="s">
        <v>172</v>
      </c>
      <c r="U647">
        <v>2.0076203975658798E-2</v>
      </c>
      <c r="V647" t="s">
        <v>166</v>
      </c>
    </row>
    <row r="648" spans="9:22" x14ac:dyDescent="0.45">
      <c r="I648" t="s">
        <v>190</v>
      </c>
      <c r="J648" t="s">
        <v>173</v>
      </c>
      <c r="K648">
        <v>6.3599010159913413E-3</v>
      </c>
      <c r="L648" t="s">
        <v>166</v>
      </c>
      <c r="N648" t="s">
        <v>214</v>
      </c>
      <c r="O648" t="s">
        <v>173</v>
      </c>
      <c r="P648">
        <v>3.169000348608157E-3</v>
      </c>
      <c r="Q648" t="s">
        <v>166</v>
      </c>
      <c r="S648" t="s">
        <v>231</v>
      </c>
      <c r="T648" t="s">
        <v>173</v>
      </c>
      <c r="U648">
        <v>2.2804773498165021E-3</v>
      </c>
      <c r="V648" t="s">
        <v>166</v>
      </c>
    </row>
    <row r="649" spans="9:22" x14ac:dyDescent="0.45">
      <c r="I649" t="s">
        <v>190</v>
      </c>
      <c r="J649" t="s">
        <v>174</v>
      </c>
      <c r="K649">
        <v>7.3525089139648295E-2</v>
      </c>
      <c r="L649" t="s">
        <v>166</v>
      </c>
      <c r="N649" t="s">
        <v>214</v>
      </c>
      <c r="O649" t="s">
        <v>174</v>
      </c>
      <c r="P649">
        <v>2.4641908913947588E-2</v>
      </c>
      <c r="Q649" t="s">
        <v>166</v>
      </c>
      <c r="S649" t="s">
        <v>231</v>
      </c>
      <c r="T649" t="s">
        <v>174</v>
      </c>
      <c r="U649">
        <v>1.3631824063458539E-2</v>
      </c>
      <c r="V649" t="s">
        <v>166</v>
      </c>
    </row>
    <row r="650" spans="9:22" x14ac:dyDescent="0.45">
      <c r="I650" t="s">
        <v>190</v>
      </c>
      <c r="J650" t="s">
        <v>264</v>
      </c>
      <c r="K650">
        <v>7.88902841223252E-3</v>
      </c>
      <c r="L650" t="s">
        <v>166</v>
      </c>
      <c r="N650" t="s">
        <v>214</v>
      </c>
      <c r="O650" t="s">
        <v>264</v>
      </c>
      <c r="P650">
        <v>3.9106448970241533E-3</v>
      </c>
      <c r="Q650" t="s">
        <v>166</v>
      </c>
      <c r="S650" t="s">
        <v>231</v>
      </c>
      <c r="T650" t="s">
        <v>264</v>
      </c>
      <c r="U650">
        <v>2.0798823279675914E-3</v>
      </c>
      <c r="V650" t="s">
        <v>166</v>
      </c>
    </row>
    <row r="651" spans="9:22" x14ac:dyDescent="0.45">
      <c r="I651" t="s">
        <v>190</v>
      </c>
      <c r="J651" t="s">
        <v>265</v>
      </c>
      <c r="K651">
        <v>9.52021059052186E-3</v>
      </c>
      <c r="L651" t="s">
        <v>166</v>
      </c>
      <c r="N651" t="s">
        <v>214</v>
      </c>
      <c r="O651" t="s">
        <v>265</v>
      </c>
      <c r="P651">
        <v>6.5851635907550193E-3</v>
      </c>
      <c r="Q651" t="s">
        <v>166</v>
      </c>
      <c r="S651" t="s">
        <v>231</v>
      </c>
      <c r="T651" t="s">
        <v>265</v>
      </c>
      <c r="U651">
        <v>3.9737939605943556E-3</v>
      </c>
      <c r="V651" t="s">
        <v>166</v>
      </c>
    </row>
    <row r="652" spans="9:22" x14ac:dyDescent="0.45">
      <c r="I652" t="s">
        <v>190</v>
      </c>
      <c r="J652" t="s">
        <v>266</v>
      </c>
      <c r="K652">
        <v>1.1216669448320838E-3</v>
      </c>
      <c r="L652" t="s">
        <v>166</v>
      </c>
      <c r="N652" t="s">
        <v>214</v>
      </c>
      <c r="O652" t="s">
        <v>266</v>
      </c>
      <c r="P652">
        <v>2.077397803505519E-2</v>
      </c>
      <c r="Q652" t="s">
        <v>166</v>
      </c>
      <c r="S652" t="s">
        <v>231</v>
      </c>
      <c r="T652" t="s">
        <v>266</v>
      </c>
      <c r="U652">
        <v>1.3356591919643269E-2</v>
      </c>
      <c r="V652" t="s">
        <v>166</v>
      </c>
    </row>
    <row r="653" spans="9:22" x14ac:dyDescent="0.45">
      <c r="I653" t="s">
        <v>190</v>
      </c>
      <c r="J653" t="s">
        <v>175</v>
      </c>
      <c r="K653">
        <v>3.4300451438081972E-3</v>
      </c>
      <c r="L653" t="s">
        <v>166</v>
      </c>
      <c r="N653" t="s">
        <v>214</v>
      </c>
      <c r="O653" t="s">
        <v>175</v>
      </c>
      <c r="P653">
        <v>2.3038845718368974E-2</v>
      </c>
      <c r="Q653" t="s">
        <v>166</v>
      </c>
      <c r="S653" t="s">
        <v>231</v>
      </c>
      <c r="T653" t="s">
        <v>175</v>
      </c>
      <c r="U653">
        <v>2.2135543623251895E-2</v>
      </c>
      <c r="V653" t="s">
        <v>166</v>
      </c>
    </row>
    <row r="654" spans="9:22" x14ac:dyDescent="0.45">
      <c r="I654" t="s">
        <v>190</v>
      </c>
      <c r="J654" t="s">
        <v>176</v>
      </c>
      <c r="K654">
        <v>4.8697227645374879E-3</v>
      </c>
      <c r="L654" t="s">
        <v>166</v>
      </c>
      <c r="N654" t="s">
        <v>214</v>
      </c>
      <c r="O654" t="s">
        <v>176</v>
      </c>
      <c r="P654">
        <v>2.3903026210842643E-3</v>
      </c>
      <c r="Q654" t="s">
        <v>166</v>
      </c>
      <c r="S654" t="s">
        <v>231</v>
      </c>
      <c r="T654" t="s">
        <v>176</v>
      </c>
      <c r="U654">
        <v>2.3144908348457752E-3</v>
      </c>
      <c r="V654" t="s">
        <v>166</v>
      </c>
    </row>
    <row r="655" spans="9:22" x14ac:dyDescent="0.45">
      <c r="I655" t="s">
        <v>190</v>
      </c>
      <c r="J655" t="s">
        <v>177</v>
      </c>
      <c r="K655">
        <v>6.7933048007457031E-2</v>
      </c>
      <c r="L655" t="s">
        <v>166</v>
      </c>
      <c r="N655" t="s">
        <v>214</v>
      </c>
      <c r="O655" t="s">
        <v>177</v>
      </c>
      <c r="P655">
        <v>1.3658204160539122E-2</v>
      </c>
      <c r="Q655" t="s">
        <v>166</v>
      </c>
      <c r="S655" t="s">
        <v>231</v>
      </c>
      <c r="T655" t="s">
        <v>177</v>
      </c>
      <c r="U655">
        <v>1.3984647607728171E-2</v>
      </c>
      <c r="V655" t="s">
        <v>166</v>
      </c>
    </row>
    <row r="656" spans="9:22" x14ac:dyDescent="0.45">
      <c r="I656" t="s">
        <v>190</v>
      </c>
      <c r="J656" t="s">
        <v>267</v>
      </c>
      <c r="K656">
        <v>7.6302153784165681E-3</v>
      </c>
      <c r="L656" t="s">
        <v>166</v>
      </c>
      <c r="N656" t="s">
        <v>214</v>
      </c>
      <c r="O656" t="s">
        <v>267</v>
      </c>
      <c r="P656">
        <v>2.3628732759903006E-3</v>
      </c>
      <c r="Q656" t="s">
        <v>166</v>
      </c>
      <c r="S656" t="s">
        <v>231</v>
      </c>
      <c r="T656" t="s">
        <v>267</v>
      </c>
      <c r="U656">
        <v>1.9977497749053964E-3</v>
      </c>
      <c r="V656" t="s">
        <v>166</v>
      </c>
    </row>
    <row r="657" spans="9:22" x14ac:dyDescent="0.45">
      <c r="I657" t="s">
        <v>190</v>
      </c>
      <c r="J657" t="s">
        <v>268</v>
      </c>
      <c r="K657">
        <v>9.4379428451438815E-3</v>
      </c>
      <c r="L657" t="s">
        <v>166</v>
      </c>
      <c r="N657" t="s">
        <v>214</v>
      </c>
      <c r="O657" t="s">
        <v>268</v>
      </c>
      <c r="P657">
        <v>4.2836841279923436E-3</v>
      </c>
      <c r="Q657" t="s">
        <v>166</v>
      </c>
      <c r="S657" t="s">
        <v>231</v>
      </c>
      <c r="T657" t="s">
        <v>268</v>
      </c>
      <c r="U657">
        <v>3.6460908087891054E-3</v>
      </c>
      <c r="V657" t="s">
        <v>166</v>
      </c>
    </row>
    <row r="658" spans="9:22" x14ac:dyDescent="0.45">
      <c r="I658" t="s">
        <v>190</v>
      </c>
      <c r="J658" t="s">
        <v>269</v>
      </c>
      <c r="K658">
        <v>1.7836876314740006E-3</v>
      </c>
      <c r="L658" t="s">
        <v>166</v>
      </c>
      <c r="N658" t="s">
        <v>214</v>
      </c>
      <c r="O658" t="s">
        <v>269</v>
      </c>
      <c r="P658">
        <v>1.5898397873537612E-2</v>
      </c>
      <c r="Q658" t="s">
        <v>166</v>
      </c>
      <c r="S658" t="s">
        <v>231</v>
      </c>
      <c r="T658" t="s">
        <v>269</v>
      </c>
      <c r="U658">
        <v>1.3916272039706891E-2</v>
      </c>
      <c r="V658" t="s">
        <v>166</v>
      </c>
    </row>
    <row r="659" spans="9:22" x14ac:dyDescent="0.45">
      <c r="I659" t="s">
        <v>190</v>
      </c>
      <c r="J659" t="s">
        <v>270</v>
      </c>
      <c r="K659">
        <v>3.1095483109800821E-3</v>
      </c>
      <c r="L659" t="s">
        <v>166</v>
      </c>
      <c r="N659" t="s">
        <v>214</v>
      </c>
      <c r="O659" t="s">
        <v>270</v>
      </c>
      <c r="P659">
        <v>3.8768619092385541E-2</v>
      </c>
      <c r="Q659" t="s">
        <v>166</v>
      </c>
      <c r="S659" t="s">
        <v>231</v>
      </c>
      <c r="T659" t="s">
        <v>270</v>
      </c>
      <c r="U659">
        <v>2.833518024203641E-2</v>
      </c>
      <c r="V659" t="s">
        <v>166</v>
      </c>
    </row>
    <row r="660" spans="9:22" x14ac:dyDescent="0.45">
      <c r="I660" t="s">
        <v>190</v>
      </c>
      <c r="J660" t="s">
        <v>271</v>
      </c>
      <c r="K660">
        <v>5.9244211168064777E-3</v>
      </c>
      <c r="L660" t="s">
        <v>166</v>
      </c>
      <c r="N660" t="s">
        <v>214</v>
      </c>
      <c r="O660" t="s">
        <v>271</v>
      </c>
      <c r="P660">
        <v>4.2749422321327639E-3</v>
      </c>
      <c r="Q660" t="s">
        <v>166</v>
      </c>
      <c r="S660" t="s">
        <v>231</v>
      </c>
      <c r="T660" t="s">
        <v>271</v>
      </c>
      <c r="U660">
        <v>3.2177072319747812E-3</v>
      </c>
      <c r="V660" t="s">
        <v>166</v>
      </c>
    </row>
    <row r="661" spans="9:22" x14ac:dyDescent="0.45">
      <c r="I661" t="s">
        <v>190</v>
      </c>
      <c r="J661" t="s">
        <v>272</v>
      </c>
      <c r="K661">
        <v>7.1801293895416118E-2</v>
      </c>
      <c r="L661" t="s">
        <v>166</v>
      </c>
      <c r="N661" t="s">
        <v>214</v>
      </c>
      <c r="O661" t="s">
        <v>272</v>
      </c>
      <c r="P661">
        <v>2.7852541365253305E-2</v>
      </c>
      <c r="Q661" t="s">
        <v>166</v>
      </c>
      <c r="S661" t="s">
        <v>231</v>
      </c>
      <c r="T661" t="s">
        <v>272</v>
      </c>
      <c r="U661">
        <v>2.0236586811442057E-2</v>
      </c>
      <c r="V661" t="s">
        <v>166</v>
      </c>
    </row>
    <row r="662" spans="9:22" x14ac:dyDescent="0.45">
      <c r="I662" t="s">
        <v>190</v>
      </c>
      <c r="J662" t="s">
        <v>273</v>
      </c>
      <c r="K662">
        <v>8.0270704904895733E-3</v>
      </c>
      <c r="L662" t="s">
        <v>166</v>
      </c>
      <c r="N662" t="s">
        <v>214</v>
      </c>
      <c r="O662" t="s">
        <v>273</v>
      </c>
      <c r="P662">
        <v>3.4593094985649305E-3</v>
      </c>
      <c r="Q662" t="s">
        <v>166</v>
      </c>
      <c r="S662" t="s">
        <v>231</v>
      </c>
      <c r="T662" t="s">
        <v>273</v>
      </c>
      <c r="U662">
        <v>3.053448184648149E-3</v>
      </c>
      <c r="V662" t="s">
        <v>166</v>
      </c>
    </row>
    <row r="663" spans="9:22" x14ac:dyDescent="0.45">
      <c r="I663" t="s">
        <v>190</v>
      </c>
      <c r="J663" t="s">
        <v>274</v>
      </c>
      <c r="K663">
        <v>8.8983882241781692E-3</v>
      </c>
      <c r="L663" t="s">
        <v>166</v>
      </c>
      <c r="N663" t="s">
        <v>214</v>
      </c>
      <c r="O663" t="s">
        <v>274</v>
      </c>
      <c r="P663">
        <v>6.4531748053015953E-3</v>
      </c>
      <c r="Q663" t="s">
        <v>166</v>
      </c>
      <c r="S663" t="s">
        <v>231</v>
      </c>
      <c r="T663" t="s">
        <v>274</v>
      </c>
      <c r="U663">
        <v>6.4842273508858503E-3</v>
      </c>
      <c r="V663" t="s">
        <v>166</v>
      </c>
    </row>
    <row r="664" spans="9:22" x14ac:dyDescent="0.45">
      <c r="I664" t="s">
        <v>190</v>
      </c>
      <c r="J664" t="s">
        <v>275</v>
      </c>
      <c r="K664">
        <v>0</v>
      </c>
      <c r="L664" t="s">
        <v>166</v>
      </c>
      <c r="N664" t="s">
        <v>214</v>
      </c>
      <c r="O664" t="s">
        <v>275</v>
      </c>
      <c r="P664">
        <v>2.1899638866641646E-2</v>
      </c>
      <c r="Q664" t="s">
        <v>166</v>
      </c>
      <c r="S664" t="s">
        <v>231</v>
      </c>
      <c r="T664" t="s">
        <v>275</v>
      </c>
      <c r="U664">
        <v>2.0397978617254679E-2</v>
      </c>
      <c r="V664" t="s">
        <v>166</v>
      </c>
    </row>
    <row r="665" spans="9:22" x14ac:dyDescent="0.45">
      <c r="I665" t="s">
        <v>190</v>
      </c>
      <c r="J665" t="s">
        <v>276</v>
      </c>
      <c r="K665">
        <v>7.5745188866570817E-3</v>
      </c>
      <c r="L665" t="s">
        <v>166</v>
      </c>
      <c r="N665" t="s">
        <v>214</v>
      </c>
      <c r="O665" t="s">
        <v>276</v>
      </c>
      <c r="P665">
        <v>4.8090972956417739E-2</v>
      </c>
      <c r="Q665" t="s">
        <v>166</v>
      </c>
      <c r="S665" t="s">
        <v>231</v>
      </c>
      <c r="T665" t="s">
        <v>276</v>
      </c>
      <c r="U665">
        <v>4.7723829588572096E-2</v>
      </c>
      <c r="V665" t="s">
        <v>166</v>
      </c>
    </row>
    <row r="666" spans="9:22" x14ac:dyDescent="0.45">
      <c r="I666" t="s">
        <v>190</v>
      </c>
      <c r="J666" t="s">
        <v>277</v>
      </c>
      <c r="K666">
        <v>1.3546161427470125E-2</v>
      </c>
      <c r="L666" t="s">
        <v>166</v>
      </c>
      <c r="N666" t="s">
        <v>214</v>
      </c>
      <c r="O666" t="s">
        <v>277</v>
      </c>
      <c r="P666">
        <v>6.1593030267182991E-3</v>
      </c>
      <c r="Q666" t="s">
        <v>166</v>
      </c>
      <c r="S666" t="s">
        <v>231</v>
      </c>
      <c r="T666" t="s">
        <v>277</v>
      </c>
      <c r="U666">
        <v>6.2798278819269446E-3</v>
      </c>
      <c r="V666" t="s">
        <v>166</v>
      </c>
    </row>
    <row r="667" spans="9:22" x14ac:dyDescent="0.45">
      <c r="I667" t="s">
        <v>190</v>
      </c>
      <c r="J667" t="s">
        <v>278</v>
      </c>
      <c r="K667">
        <v>0.14427650950866872</v>
      </c>
      <c r="L667" t="s">
        <v>166</v>
      </c>
      <c r="N667" t="s">
        <v>214</v>
      </c>
      <c r="O667" t="s">
        <v>278</v>
      </c>
      <c r="P667">
        <v>4.9410400127947354E-2</v>
      </c>
      <c r="Q667" t="s">
        <v>166</v>
      </c>
      <c r="S667" t="s">
        <v>231</v>
      </c>
      <c r="T667" t="s">
        <v>278</v>
      </c>
      <c r="U667">
        <v>4.5347967864376962E-2</v>
      </c>
      <c r="V667" t="s">
        <v>166</v>
      </c>
    </row>
    <row r="668" spans="9:22" x14ac:dyDescent="0.45">
      <c r="I668" t="s">
        <v>190</v>
      </c>
      <c r="J668" t="s">
        <v>279</v>
      </c>
      <c r="K668">
        <v>1.4645971938202948E-2</v>
      </c>
      <c r="L668" t="s">
        <v>166</v>
      </c>
      <c r="N668" t="s">
        <v>214</v>
      </c>
      <c r="O668" t="s">
        <v>279</v>
      </c>
      <c r="P668">
        <v>6.5862033922649763E-3</v>
      </c>
      <c r="Q668" t="s">
        <v>166</v>
      </c>
      <c r="S668" t="s">
        <v>231</v>
      </c>
      <c r="T668" t="s">
        <v>279</v>
      </c>
      <c r="U668">
        <v>6.7509628562289923E-3</v>
      </c>
      <c r="V668" t="s">
        <v>166</v>
      </c>
    </row>
    <row r="669" spans="9:22" x14ac:dyDescent="0.45">
      <c r="I669" t="s">
        <v>190</v>
      </c>
      <c r="J669" t="s">
        <v>280</v>
      </c>
      <c r="K669">
        <v>1.3619178289040215E-2</v>
      </c>
      <c r="L669" t="s">
        <v>166</v>
      </c>
      <c r="N669" t="s">
        <v>214</v>
      </c>
      <c r="O669" t="s">
        <v>280</v>
      </c>
      <c r="P669">
        <v>1.2090645147243301E-2</v>
      </c>
      <c r="Q669" t="s">
        <v>166</v>
      </c>
      <c r="S669" t="s">
        <v>231</v>
      </c>
      <c r="T669" t="s">
        <v>280</v>
      </c>
      <c r="U669">
        <v>1.2150894457302023E-2</v>
      </c>
      <c r="V669" t="s">
        <v>166</v>
      </c>
    </row>
    <row r="670" spans="9:22" x14ac:dyDescent="0.45">
      <c r="I670" t="s">
        <v>190</v>
      </c>
      <c r="J670" t="s">
        <v>281</v>
      </c>
      <c r="K670">
        <v>0</v>
      </c>
      <c r="L670" t="s">
        <v>166</v>
      </c>
      <c r="N670" t="s">
        <v>214</v>
      </c>
      <c r="O670" t="s">
        <v>281</v>
      </c>
      <c r="P670">
        <v>2.9712920948403488E-2</v>
      </c>
      <c r="Q670" t="s">
        <v>166</v>
      </c>
      <c r="S670" t="s">
        <v>231</v>
      </c>
      <c r="T670" t="s">
        <v>281</v>
      </c>
      <c r="U670">
        <v>2.9673423436592985E-2</v>
      </c>
      <c r="V670" t="s">
        <v>166</v>
      </c>
    </row>
    <row r="671" spans="9:22" x14ac:dyDescent="0.45">
      <c r="I671" t="s">
        <v>190</v>
      </c>
      <c r="J671" t="s">
        <v>282</v>
      </c>
      <c r="K671">
        <v>2.1427249882863372E-3</v>
      </c>
      <c r="L671" t="s">
        <v>166</v>
      </c>
      <c r="N671" t="s">
        <v>214</v>
      </c>
      <c r="O671" t="s">
        <v>282</v>
      </c>
      <c r="P671">
        <v>3.9789256808683865E-2</v>
      </c>
      <c r="Q671" t="s">
        <v>166</v>
      </c>
      <c r="S671" t="s">
        <v>231</v>
      </c>
      <c r="T671" t="s">
        <v>282</v>
      </c>
      <c r="U671">
        <v>4.087907555050109E-2</v>
      </c>
      <c r="V671" t="s">
        <v>166</v>
      </c>
    </row>
    <row r="672" spans="9:22" x14ac:dyDescent="0.45">
      <c r="I672" t="s">
        <v>190</v>
      </c>
      <c r="J672" t="s">
        <v>283</v>
      </c>
      <c r="K672">
        <v>4.5150301048485801E-3</v>
      </c>
      <c r="L672" t="s">
        <v>166</v>
      </c>
      <c r="N672" t="s">
        <v>214</v>
      </c>
      <c r="O672" t="s">
        <v>283</v>
      </c>
      <c r="P672">
        <v>5.6684068840596917E-3</v>
      </c>
      <c r="Q672" t="s">
        <v>166</v>
      </c>
      <c r="S672" t="s">
        <v>231</v>
      </c>
      <c r="T672" t="s">
        <v>283</v>
      </c>
      <c r="U672">
        <v>5.5315852925312556E-3</v>
      </c>
      <c r="V672" t="s">
        <v>166</v>
      </c>
    </row>
    <row r="673" spans="9:22" x14ac:dyDescent="0.45">
      <c r="I673" t="s">
        <v>190</v>
      </c>
      <c r="J673" t="s">
        <v>284</v>
      </c>
      <c r="K673">
        <v>5.4836995159975782E-2</v>
      </c>
      <c r="L673" t="s">
        <v>166</v>
      </c>
      <c r="N673" t="s">
        <v>214</v>
      </c>
      <c r="O673" t="s">
        <v>284</v>
      </c>
      <c r="P673">
        <v>4.1381118111497528E-2</v>
      </c>
      <c r="Q673" t="s">
        <v>166</v>
      </c>
      <c r="S673" t="s">
        <v>231</v>
      </c>
      <c r="T673" t="s">
        <v>284</v>
      </c>
      <c r="U673">
        <v>3.8000627258751148E-2</v>
      </c>
      <c r="V673" t="s">
        <v>166</v>
      </c>
    </row>
    <row r="674" spans="9:22" x14ac:dyDescent="0.45">
      <c r="I674" t="s">
        <v>190</v>
      </c>
      <c r="J674" t="s">
        <v>285</v>
      </c>
      <c r="K674">
        <v>5.473762137202071E-3</v>
      </c>
      <c r="L674" t="s">
        <v>166</v>
      </c>
      <c r="N674" t="s">
        <v>214</v>
      </c>
      <c r="O674" t="s">
        <v>285</v>
      </c>
      <c r="P674">
        <v>5.4366063216432937E-3</v>
      </c>
      <c r="Q674" t="s">
        <v>166</v>
      </c>
      <c r="S674" t="s">
        <v>231</v>
      </c>
      <c r="T674" t="s">
        <v>285</v>
      </c>
      <c r="U674">
        <v>5.4478756309371415E-3</v>
      </c>
      <c r="V674" t="s">
        <v>166</v>
      </c>
    </row>
    <row r="675" spans="9:22" x14ac:dyDescent="0.45">
      <c r="I675" t="s">
        <v>190</v>
      </c>
      <c r="J675" t="s">
        <v>286</v>
      </c>
      <c r="K675">
        <v>3.1508520423608145E-3</v>
      </c>
      <c r="L675" t="s">
        <v>166</v>
      </c>
      <c r="N675" t="s">
        <v>214</v>
      </c>
      <c r="O675" t="s">
        <v>286</v>
      </c>
      <c r="P675">
        <v>9.8204195499760356E-3</v>
      </c>
      <c r="Q675" t="s">
        <v>166</v>
      </c>
      <c r="S675" t="s">
        <v>231</v>
      </c>
      <c r="T675" t="s">
        <v>286</v>
      </c>
      <c r="U675">
        <v>1.0082060427917754E-2</v>
      </c>
      <c r="V675" t="s">
        <v>166</v>
      </c>
    </row>
    <row r="676" spans="9:22" x14ac:dyDescent="0.45">
      <c r="I676" t="s">
        <v>190</v>
      </c>
      <c r="J676" t="s">
        <v>287</v>
      </c>
      <c r="K676">
        <v>0</v>
      </c>
      <c r="L676" t="s">
        <v>166</v>
      </c>
      <c r="N676" t="s">
        <v>214</v>
      </c>
      <c r="O676" t="s">
        <v>287</v>
      </c>
      <c r="P676">
        <v>2.397376568329139E-2</v>
      </c>
      <c r="Q676" t="s">
        <v>166</v>
      </c>
      <c r="S676" t="s">
        <v>231</v>
      </c>
      <c r="T676" t="s">
        <v>287</v>
      </c>
      <c r="U676">
        <v>2.6613520019299428E-2</v>
      </c>
      <c r="V676" t="s">
        <v>166</v>
      </c>
    </row>
    <row r="677" spans="9:22" x14ac:dyDescent="0.45">
      <c r="I677" t="s">
        <v>190</v>
      </c>
      <c r="J677" t="s">
        <v>288</v>
      </c>
      <c r="K677">
        <v>1.3710338796762232E-3</v>
      </c>
      <c r="L677" t="s">
        <v>166</v>
      </c>
      <c r="N677" t="s">
        <v>214</v>
      </c>
      <c r="O677" t="s">
        <v>288</v>
      </c>
      <c r="P677">
        <v>4.0176877647979781E-2</v>
      </c>
      <c r="Q677" t="s">
        <v>166</v>
      </c>
      <c r="S677" t="s">
        <v>231</v>
      </c>
      <c r="T677" t="s">
        <v>288</v>
      </c>
      <c r="U677">
        <v>5.1437308353945048E-2</v>
      </c>
      <c r="V677" t="s">
        <v>166</v>
      </c>
    </row>
    <row r="678" spans="9:22" x14ac:dyDescent="0.45">
      <c r="I678" t="s">
        <v>190</v>
      </c>
      <c r="J678" t="s">
        <v>289</v>
      </c>
      <c r="K678">
        <v>6.9779376364386535E-3</v>
      </c>
      <c r="L678" t="s">
        <v>166</v>
      </c>
      <c r="N678" t="s">
        <v>214</v>
      </c>
      <c r="O678" t="s">
        <v>289</v>
      </c>
      <c r="P678">
        <v>5.6519633835196322E-3</v>
      </c>
      <c r="Q678" t="s">
        <v>166</v>
      </c>
      <c r="S678" t="s">
        <v>231</v>
      </c>
      <c r="T678" t="s">
        <v>289</v>
      </c>
      <c r="U678">
        <v>6.9780732089688964E-3</v>
      </c>
      <c r="V678" t="s">
        <v>166</v>
      </c>
    </row>
    <row r="679" spans="9:22" x14ac:dyDescent="0.45">
      <c r="I679" t="s">
        <v>190</v>
      </c>
      <c r="J679" t="s">
        <v>290</v>
      </c>
      <c r="K679">
        <v>8.0462092250177933E-2</v>
      </c>
      <c r="L679" t="s">
        <v>166</v>
      </c>
      <c r="N679" t="s">
        <v>214</v>
      </c>
      <c r="O679" t="s">
        <v>290</v>
      </c>
      <c r="P679">
        <v>4.3755863366160302E-2</v>
      </c>
      <c r="Q679" t="s">
        <v>166</v>
      </c>
      <c r="S679" t="s">
        <v>231</v>
      </c>
      <c r="T679" t="s">
        <v>290</v>
      </c>
      <c r="U679">
        <v>4.891633796843893E-2</v>
      </c>
      <c r="V679" t="s">
        <v>166</v>
      </c>
    </row>
    <row r="680" spans="9:22" x14ac:dyDescent="0.45">
      <c r="I680" t="s">
        <v>190</v>
      </c>
      <c r="J680" t="s">
        <v>291</v>
      </c>
      <c r="K680">
        <v>8.3732548732963555E-3</v>
      </c>
      <c r="L680" t="s">
        <v>166</v>
      </c>
      <c r="N680" t="s">
        <v>214</v>
      </c>
      <c r="O680" t="s">
        <v>291</v>
      </c>
      <c r="P680">
        <v>5.2051858421111414E-3</v>
      </c>
      <c r="Q680" t="s">
        <v>166</v>
      </c>
      <c r="S680" t="s">
        <v>231</v>
      </c>
      <c r="T680" t="s">
        <v>291</v>
      </c>
      <c r="U680">
        <v>6.8649055742694533E-3</v>
      </c>
      <c r="V680" t="s">
        <v>166</v>
      </c>
    </row>
    <row r="681" spans="9:22" x14ac:dyDescent="0.45">
      <c r="I681" t="s">
        <v>190</v>
      </c>
      <c r="J681" t="s">
        <v>292</v>
      </c>
      <c r="K681">
        <v>4.9930005096194083E-3</v>
      </c>
      <c r="L681" t="s">
        <v>166</v>
      </c>
      <c r="N681" t="s">
        <v>214</v>
      </c>
      <c r="O681" t="s">
        <v>292</v>
      </c>
      <c r="P681">
        <v>8.2425761317631296E-3</v>
      </c>
      <c r="Q681" t="s">
        <v>166</v>
      </c>
      <c r="S681" t="s">
        <v>231</v>
      </c>
      <c r="T681" t="s">
        <v>292</v>
      </c>
      <c r="U681">
        <v>1.1701478313885363E-2</v>
      </c>
      <c r="V681" t="s">
        <v>166</v>
      </c>
    </row>
    <row r="682" spans="9:22" x14ac:dyDescent="0.45">
      <c r="I682" t="s">
        <v>190</v>
      </c>
      <c r="J682" t="s">
        <v>293</v>
      </c>
      <c r="K682">
        <v>0</v>
      </c>
      <c r="L682" t="s">
        <v>166</v>
      </c>
      <c r="N682" t="s">
        <v>214</v>
      </c>
      <c r="O682" t="s">
        <v>293</v>
      </c>
      <c r="P682">
        <v>1.8530086342909688E-2</v>
      </c>
      <c r="Q682" t="s">
        <v>166</v>
      </c>
      <c r="S682" t="s">
        <v>231</v>
      </c>
      <c r="T682" t="s">
        <v>293</v>
      </c>
      <c r="U682">
        <v>2.9235668770115977E-2</v>
      </c>
      <c r="V682" t="s">
        <v>166</v>
      </c>
    </row>
    <row r="683" spans="9:22" x14ac:dyDescent="0.45">
      <c r="I683" t="s">
        <v>191</v>
      </c>
      <c r="J683" t="s">
        <v>165</v>
      </c>
      <c r="K683">
        <v>2.4292894150978101E-3</v>
      </c>
      <c r="L683" t="s">
        <v>166</v>
      </c>
      <c r="N683" t="s">
        <v>215</v>
      </c>
      <c r="O683" t="s">
        <v>165</v>
      </c>
      <c r="P683">
        <v>7.6455162643986121E-2</v>
      </c>
      <c r="Q683" t="s">
        <v>166</v>
      </c>
      <c r="S683" t="s">
        <v>232</v>
      </c>
      <c r="T683" t="s">
        <v>165</v>
      </c>
      <c r="U683">
        <v>0.14602678123759735</v>
      </c>
      <c r="V683" t="s">
        <v>166</v>
      </c>
    </row>
    <row r="684" spans="9:22" x14ac:dyDescent="0.45">
      <c r="I684" t="s">
        <v>191</v>
      </c>
      <c r="J684" t="s">
        <v>167</v>
      </c>
      <c r="K684">
        <v>7.5466125495925202E-3</v>
      </c>
      <c r="L684" t="s">
        <v>166</v>
      </c>
      <c r="N684" t="s">
        <v>215</v>
      </c>
      <c r="O684" t="s">
        <v>167</v>
      </c>
      <c r="P684">
        <v>1.0807802682230498E-2</v>
      </c>
      <c r="Q684" t="s">
        <v>166</v>
      </c>
      <c r="S684" t="s">
        <v>232</v>
      </c>
      <c r="T684" t="s">
        <v>167</v>
      </c>
      <c r="U684">
        <v>1.632316749744097E-2</v>
      </c>
      <c r="V684" t="s">
        <v>166</v>
      </c>
    </row>
    <row r="685" spans="9:22" x14ac:dyDescent="0.45">
      <c r="I685" t="s">
        <v>191</v>
      </c>
      <c r="J685" t="s">
        <v>168</v>
      </c>
      <c r="K685">
        <v>0.18300732147069237</v>
      </c>
      <c r="L685" t="s">
        <v>166</v>
      </c>
      <c r="N685" t="s">
        <v>215</v>
      </c>
      <c r="O685" t="s">
        <v>168</v>
      </c>
      <c r="P685">
        <v>0.11856682239764971</v>
      </c>
      <c r="Q685" t="s">
        <v>166</v>
      </c>
      <c r="S685" t="s">
        <v>232</v>
      </c>
      <c r="T685" t="s">
        <v>168</v>
      </c>
      <c r="U685">
        <v>0.10969508212401324</v>
      </c>
      <c r="V685" t="s">
        <v>166</v>
      </c>
    </row>
    <row r="686" spans="9:22" x14ac:dyDescent="0.45">
      <c r="I686" t="s">
        <v>191</v>
      </c>
      <c r="J686" t="s">
        <v>258</v>
      </c>
      <c r="K686">
        <v>2.3588293336106948E-2</v>
      </c>
      <c r="L686" t="s">
        <v>166</v>
      </c>
      <c r="N686" t="s">
        <v>215</v>
      </c>
      <c r="O686" t="s">
        <v>258</v>
      </c>
      <c r="P686">
        <v>1.9053105116911377E-2</v>
      </c>
      <c r="Q686" t="s">
        <v>166</v>
      </c>
      <c r="S686" t="s">
        <v>232</v>
      </c>
      <c r="T686" t="s">
        <v>258</v>
      </c>
      <c r="U686">
        <v>1.7360514813728696E-2</v>
      </c>
      <c r="V686" t="s">
        <v>166</v>
      </c>
    </row>
    <row r="687" spans="9:22" x14ac:dyDescent="0.45">
      <c r="I687" t="s">
        <v>191</v>
      </c>
      <c r="J687" t="s">
        <v>259</v>
      </c>
      <c r="K687">
        <v>2.679427153919545E-2</v>
      </c>
      <c r="L687" t="s">
        <v>166</v>
      </c>
      <c r="N687" t="s">
        <v>215</v>
      </c>
      <c r="O687" t="s">
        <v>259</v>
      </c>
      <c r="P687">
        <v>2.7717194093722419E-2</v>
      </c>
      <c r="Q687" t="s">
        <v>166</v>
      </c>
      <c r="S687" t="s">
        <v>232</v>
      </c>
      <c r="T687" t="s">
        <v>259</v>
      </c>
      <c r="U687">
        <v>3.2487659506063478E-2</v>
      </c>
      <c r="V687" t="s">
        <v>166</v>
      </c>
    </row>
    <row r="688" spans="9:22" x14ac:dyDescent="0.45">
      <c r="I688" t="s">
        <v>191</v>
      </c>
      <c r="J688" t="s">
        <v>260</v>
      </c>
      <c r="K688">
        <v>0</v>
      </c>
      <c r="L688" t="s">
        <v>166</v>
      </c>
      <c r="N688" t="s">
        <v>215</v>
      </c>
      <c r="O688" t="s">
        <v>260</v>
      </c>
      <c r="P688">
        <v>5.4688705906367513E-2</v>
      </c>
      <c r="Q688" t="s">
        <v>166</v>
      </c>
      <c r="S688" t="s">
        <v>232</v>
      </c>
      <c r="T688" t="s">
        <v>260</v>
      </c>
      <c r="U688">
        <v>9.8452703918563866E-2</v>
      </c>
      <c r="V688" t="s">
        <v>166</v>
      </c>
    </row>
    <row r="689" spans="9:22" x14ac:dyDescent="0.45">
      <c r="I689" t="s">
        <v>191</v>
      </c>
      <c r="J689" t="s">
        <v>169</v>
      </c>
      <c r="K689">
        <v>4.251324132182337E-3</v>
      </c>
      <c r="L689" t="s">
        <v>166</v>
      </c>
      <c r="N689" t="s">
        <v>215</v>
      </c>
      <c r="O689" t="s">
        <v>169</v>
      </c>
      <c r="P689">
        <v>9.533496561518702E-3</v>
      </c>
      <c r="Q689" t="s">
        <v>166</v>
      </c>
      <c r="S689" t="s">
        <v>232</v>
      </c>
      <c r="T689" t="s">
        <v>169</v>
      </c>
      <c r="U689">
        <v>1.490293476203956E-2</v>
      </c>
      <c r="V689" t="s">
        <v>166</v>
      </c>
    </row>
    <row r="690" spans="9:22" x14ac:dyDescent="0.45">
      <c r="I690" t="s">
        <v>191</v>
      </c>
      <c r="J690" t="s">
        <v>170</v>
      </c>
      <c r="K690">
        <v>5.1084173878934592E-3</v>
      </c>
      <c r="L690" t="s">
        <v>166</v>
      </c>
      <c r="N690" t="s">
        <v>215</v>
      </c>
      <c r="O690" t="s">
        <v>170</v>
      </c>
      <c r="P690">
        <v>7.8291158719299579E-4</v>
      </c>
      <c r="Q690" t="s">
        <v>166</v>
      </c>
      <c r="S690" t="s">
        <v>232</v>
      </c>
      <c r="T690" t="s">
        <v>170</v>
      </c>
      <c r="U690">
        <v>1.1615802582974953E-3</v>
      </c>
      <c r="V690" t="s">
        <v>166</v>
      </c>
    </row>
    <row r="691" spans="9:22" x14ac:dyDescent="0.45">
      <c r="I691" t="s">
        <v>191</v>
      </c>
      <c r="J691" t="s">
        <v>171</v>
      </c>
      <c r="K691">
        <v>7.2858238909998652E-2</v>
      </c>
      <c r="L691" t="s">
        <v>166</v>
      </c>
      <c r="N691" t="s">
        <v>215</v>
      </c>
      <c r="O691" t="s">
        <v>171</v>
      </c>
      <c r="P691">
        <v>1.1360582617245582E-2</v>
      </c>
      <c r="Q691" t="s">
        <v>166</v>
      </c>
      <c r="S691" t="s">
        <v>232</v>
      </c>
      <c r="T691" t="s">
        <v>171</v>
      </c>
      <c r="U691">
        <v>6.602973700274622E-3</v>
      </c>
      <c r="V691" t="s">
        <v>166</v>
      </c>
    </row>
    <row r="692" spans="9:22" x14ac:dyDescent="0.45">
      <c r="I692" t="s">
        <v>191</v>
      </c>
      <c r="J692" t="s">
        <v>261</v>
      </c>
      <c r="K692">
        <v>8.908009124710882E-3</v>
      </c>
      <c r="L692" t="s">
        <v>166</v>
      </c>
      <c r="N692" t="s">
        <v>215</v>
      </c>
      <c r="O692" t="s">
        <v>261</v>
      </c>
      <c r="P692">
        <v>2.5452923718816225E-3</v>
      </c>
      <c r="Q692" t="s">
        <v>166</v>
      </c>
      <c r="S692" t="s">
        <v>232</v>
      </c>
      <c r="T692" t="s">
        <v>261</v>
      </c>
      <c r="U692">
        <v>1.5230217504039376E-3</v>
      </c>
      <c r="V692" t="s">
        <v>166</v>
      </c>
    </row>
    <row r="693" spans="9:22" x14ac:dyDescent="0.45">
      <c r="I693" t="s">
        <v>191</v>
      </c>
      <c r="J693" t="s">
        <v>262</v>
      </c>
      <c r="K693">
        <v>1.1322856047520626E-2</v>
      </c>
      <c r="L693" t="s">
        <v>166</v>
      </c>
      <c r="N693" t="s">
        <v>215</v>
      </c>
      <c r="O693" t="s">
        <v>262</v>
      </c>
      <c r="P693">
        <v>4.205421912917816E-3</v>
      </c>
      <c r="Q693" t="s">
        <v>166</v>
      </c>
      <c r="S693" t="s">
        <v>232</v>
      </c>
      <c r="T693" t="s">
        <v>262</v>
      </c>
      <c r="U693">
        <v>3.6317672198699822E-3</v>
      </c>
      <c r="V693" t="s">
        <v>166</v>
      </c>
    </row>
    <row r="694" spans="9:22" x14ac:dyDescent="0.45">
      <c r="I694" t="s">
        <v>191</v>
      </c>
      <c r="J694" t="s">
        <v>263</v>
      </c>
      <c r="K694">
        <v>3.0013666506317479E-5</v>
      </c>
      <c r="L694" t="s">
        <v>166</v>
      </c>
      <c r="N694" t="s">
        <v>215</v>
      </c>
      <c r="O694" t="s">
        <v>263</v>
      </c>
      <c r="P694">
        <v>8.3661420680624671E-3</v>
      </c>
      <c r="Q694" t="s">
        <v>166</v>
      </c>
      <c r="S694" t="s">
        <v>232</v>
      </c>
      <c r="T694" t="s">
        <v>263</v>
      </c>
      <c r="U694">
        <v>1.5256489901553557E-2</v>
      </c>
      <c r="V694" t="s">
        <v>166</v>
      </c>
    </row>
    <row r="695" spans="9:22" x14ac:dyDescent="0.45">
      <c r="I695" t="s">
        <v>191</v>
      </c>
      <c r="J695" t="s">
        <v>172</v>
      </c>
      <c r="K695">
        <v>5.3128553319905115E-3</v>
      </c>
      <c r="L695" t="s">
        <v>166</v>
      </c>
      <c r="N695" t="s">
        <v>215</v>
      </c>
      <c r="O695" t="s">
        <v>172</v>
      </c>
      <c r="P695">
        <v>1.5698520538245719E-2</v>
      </c>
      <c r="Q695" t="s">
        <v>166</v>
      </c>
      <c r="S695" t="s">
        <v>232</v>
      </c>
      <c r="T695" t="s">
        <v>172</v>
      </c>
      <c r="U695">
        <v>1.8741033426126614E-2</v>
      </c>
      <c r="V695" t="s">
        <v>166</v>
      </c>
    </row>
    <row r="696" spans="9:22" x14ac:dyDescent="0.45">
      <c r="I696" t="s">
        <v>191</v>
      </c>
      <c r="J696" t="s">
        <v>173</v>
      </c>
      <c r="K696">
        <v>6.2690061981540892E-3</v>
      </c>
      <c r="L696" t="s">
        <v>166</v>
      </c>
      <c r="N696" t="s">
        <v>215</v>
      </c>
      <c r="O696" t="s">
        <v>173</v>
      </c>
      <c r="P696">
        <v>1.6347671064524181E-3</v>
      </c>
      <c r="Q696" t="s">
        <v>166</v>
      </c>
      <c r="S696" t="s">
        <v>232</v>
      </c>
      <c r="T696" t="s">
        <v>173</v>
      </c>
      <c r="U696">
        <v>2.2512912597574442E-3</v>
      </c>
      <c r="V696" t="s">
        <v>166</v>
      </c>
    </row>
    <row r="697" spans="9:22" x14ac:dyDescent="0.45">
      <c r="I697" t="s">
        <v>191</v>
      </c>
      <c r="J697" t="s">
        <v>174</v>
      </c>
      <c r="K697">
        <v>7.7690243464385855E-2</v>
      </c>
      <c r="L697" t="s">
        <v>166</v>
      </c>
      <c r="N697" t="s">
        <v>215</v>
      </c>
      <c r="O697" t="s">
        <v>174</v>
      </c>
      <c r="P697">
        <v>1.2977414083678453E-2</v>
      </c>
      <c r="Q697" t="s">
        <v>166</v>
      </c>
      <c r="S697" t="s">
        <v>232</v>
      </c>
      <c r="T697" t="s">
        <v>174</v>
      </c>
      <c r="U697">
        <v>1.5328953725148387E-2</v>
      </c>
      <c r="V697" t="s">
        <v>166</v>
      </c>
    </row>
    <row r="698" spans="9:22" x14ac:dyDescent="0.45">
      <c r="I698" t="s">
        <v>191</v>
      </c>
      <c r="J698" t="s">
        <v>264</v>
      </c>
      <c r="K698">
        <v>8.1912947439453133E-3</v>
      </c>
      <c r="L698" t="s">
        <v>166</v>
      </c>
      <c r="N698" t="s">
        <v>215</v>
      </c>
      <c r="O698" t="s">
        <v>264</v>
      </c>
      <c r="P698">
        <v>2.0544199954332294E-3</v>
      </c>
      <c r="Q698" t="s">
        <v>166</v>
      </c>
      <c r="S698" t="s">
        <v>232</v>
      </c>
      <c r="T698" t="s">
        <v>264</v>
      </c>
      <c r="U698">
        <v>2.3315360178194945E-3</v>
      </c>
      <c r="V698" t="s">
        <v>166</v>
      </c>
    </row>
    <row r="699" spans="9:22" x14ac:dyDescent="0.45">
      <c r="I699" t="s">
        <v>191</v>
      </c>
      <c r="J699" t="s">
        <v>265</v>
      </c>
      <c r="K699">
        <v>9.8537052921995778E-3</v>
      </c>
      <c r="L699" t="s">
        <v>166</v>
      </c>
      <c r="N699" t="s">
        <v>215</v>
      </c>
      <c r="O699" t="s">
        <v>265</v>
      </c>
      <c r="P699">
        <v>2.940663346568265E-3</v>
      </c>
      <c r="Q699" t="s">
        <v>166</v>
      </c>
      <c r="S699" t="s">
        <v>232</v>
      </c>
      <c r="T699" t="s">
        <v>265</v>
      </c>
      <c r="U699">
        <v>4.7649686998599543E-3</v>
      </c>
      <c r="V699" t="s">
        <v>166</v>
      </c>
    </row>
    <row r="700" spans="9:22" x14ac:dyDescent="0.45">
      <c r="I700" t="s">
        <v>191</v>
      </c>
      <c r="J700" t="s">
        <v>266</v>
      </c>
      <c r="K700">
        <v>1.8225047060593238E-3</v>
      </c>
      <c r="L700" t="s">
        <v>166</v>
      </c>
      <c r="N700" t="s">
        <v>215</v>
      </c>
      <c r="O700" t="s">
        <v>266</v>
      </c>
      <c r="P700">
        <v>9.1551910823268554E-3</v>
      </c>
      <c r="Q700" t="s">
        <v>166</v>
      </c>
      <c r="S700" t="s">
        <v>232</v>
      </c>
      <c r="T700" t="s">
        <v>266</v>
      </c>
      <c r="U700">
        <v>1.4924786450822528E-2</v>
      </c>
      <c r="V700" t="s">
        <v>166</v>
      </c>
    </row>
    <row r="701" spans="9:22" x14ac:dyDescent="0.45">
      <c r="I701" t="s">
        <v>191</v>
      </c>
      <c r="J701" t="s">
        <v>175</v>
      </c>
      <c r="K701">
        <v>1.7520443113079893E-3</v>
      </c>
      <c r="L701" t="s">
        <v>166</v>
      </c>
      <c r="N701" t="s">
        <v>215</v>
      </c>
      <c r="O701" t="s">
        <v>175</v>
      </c>
      <c r="P701">
        <v>1.3274244901380745E-2</v>
      </c>
      <c r="Q701" t="s">
        <v>166</v>
      </c>
      <c r="S701" t="s">
        <v>232</v>
      </c>
      <c r="T701" t="s">
        <v>175</v>
      </c>
      <c r="U701">
        <v>1.3220896940050424E-2</v>
      </c>
      <c r="V701" t="s">
        <v>166</v>
      </c>
    </row>
    <row r="702" spans="9:22" x14ac:dyDescent="0.45">
      <c r="I702" t="s">
        <v>191</v>
      </c>
      <c r="J702" t="s">
        <v>176</v>
      </c>
      <c r="K702">
        <v>3.3506185522130653E-3</v>
      </c>
      <c r="L702" t="s">
        <v>166</v>
      </c>
      <c r="N702" t="s">
        <v>215</v>
      </c>
      <c r="O702" t="s">
        <v>176</v>
      </c>
      <c r="P702">
        <v>1.0755015921860088E-3</v>
      </c>
      <c r="Q702" t="s">
        <v>166</v>
      </c>
      <c r="S702" t="s">
        <v>232</v>
      </c>
      <c r="T702" t="s">
        <v>176</v>
      </c>
      <c r="U702">
        <v>9.950026359067277E-4</v>
      </c>
      <c r="V702" t="s">
        <v>166</v>
      </c>
    </row>
    <row r="703" spans="9:22" x14ac:dyDescent="0.45">
      <c r="I703" t="s">
        <v>191</v>
      </c>
      <c r="J703" t="s">
        <v>177</v>
      </c>
      <c r="K703">
        <v>6.3081270340773335E-2</v>
      </c>
      <c r="L703" t="s">
        <v>166</v>
      </c>
      <c r="N703" t="s">
        <v>215</v>
      </c>
      <c r="O703" t="s">
        <v>177</v>
      </c>
      <c r="P703">
        <v>1.0540045182386659E-2</v>
      </c>
      <c r="Q703" t="s">
        <v>166</v>
      </c>
      <c r="S703" t="s">
        <v>232</v>
      </c>
      <c r="T703" t="s">
        <v>177</v>
      </c>
      <c r="U703">
        <v>6.3146513210404782E-3</v>
      </c>
      <c r="V703" t="s">
        <v>166</v>
      </c>
    </row>
    <row r="704" spans="9:22" x14ac:dyDescent="0.45">
      <c r="I704" t="s">
        <v>191</v>
      </c>
      <c r="J704" t="s">
        <v>267</v>
      </c>
      <c r="K704">
        <v>7.4434159106254658E-3</v>
      </c>
      <c r="L704" t="s">
        <v>166</v>
      </c>
      <c r="N704" t="s">
        <v>215</v>
      </c>
      <c r="O704" t="s">
        <v>267</v>
      </c>
      <c r="P704">
        <v>1.4242383730945288E-3</v>
      </c>
      <c r="Q704" t="s">
        <v>166</v>
      </c>
      <c r="S704" t="s">
        <v>232</v>
      </c>
      <c r="T704" t="s">
        <v>267</v>
      </c>
      <c r="U704">
        <v>1.2295733757840595E-3</v>
      </c>
      <c r="V704" t="s">
        <v>166</v>
      </c>
    </row>
    <row r="705" spans="9:22" x14ac:dyDescent="0.45">
      <c r="I705" t="s">
        <v>191</v>
      </c>
      <c r="J705" t="s">
        <v>268</v>
      </c>
      <c r="K705">
        <v>8.4115700377791029E-3</v>
      </c>
      <c r="L705" t="s">
        <v>166</v>
      </c>
      <c r="N705" t="s">
        <v>215</v>
      </c>
      <c r="O705" t="s">
        <v>268</v>
      </c>
      <c r="P705">
        <v>2.4020057339591513E-3</v>
      </c>
      <c r="Q705" t="s">
        <v>166</v>
      </c>
      <c r="S705" t="s">
        <v>232</v>
      </c>
      <c r="T705" t="s">
        <v>268</v>
      </c>
      <c r="U705">
        <v>2.5150046292780931E-3</v>
      </c>
      <c r="V705" t="s">
        <v>166</v>
      </c>
    </row>
    <row r="706" spans="9:22" x14ac:dyDescent="0.45">
      <c r="I706" t="s">
        <v>191</v>
      </c>
      <c r="J706" t="s">
        <v>269</v>
      </c>
      <c r="K706">
        <v>1.4998581541141281E-3</v>
      </c>
      <c r="L706" t="s">
        <v>166</v>
      </c>
      <c r="N706" t="s">
        <v>215</v>
      </c>
      <c r="O706" t="s">
        <v>269</v>
      </c>
      <c r="P706">
        <v>8.3653203376241707E-3</v>
      </c>
      <c r="Q706" t="s">
        <v>166</v>
      </c>
      <c r="S706" t="s">
        <v>232</v>
      </c>
      <c r="T706" t="s">
        <v>269</v>
      </c>
      <c r="U706">
        <v>1.1736718259855327E-2</v>
      </c>
      <c r="V706" t="s">
        <v>166</v>
      </c>
    </row>
    <row r="707" spans="9:22" x14ac:dyDescent="0.45">
      <c r="I707" t="s">
        <v>191</v>
      </c>
      <c r="J707" t="s">
        <v>270</v>
      </c>
      <c r="K707">
        <v>2.5635776307845813E-3</v>
      </c>
      <c r="L707" t="s">
        <v>166</v>
      </c>
      <c r="N707" t="s">
        <v>215</v>
      </c>
      <c r="O707" t="s">
        <v>270</v>
      </c>
      <c r="P707">
        <v>2.724261300567966E-2</v>
      </c>
      <c r="Q707" t="s">
        <v>166</v>
      </c>
      <c r="S707" t="s">
        <v>232</v>
      </c>
      <c r="T707" t="s">
        <v>270</v>
      </c>
      <c r="U707">
        <v>2.550616765956688E-2</v>
      </c>
      <c r="V707" t="s">
        <v>166</v>
      </c>
    </row>
    <row r="708" spans="9:22" x14ac:dyDescent="0.45">
      <c r="I708" t="s">
        <v>191</v>
      </c>
      <c r="J708" t="s">
        <v>271</v>
      </c>
      <c r="K708">
        <v>5.3420777554119185E-3</v>
      </c>
      <c r="L708" t="s">
        <v>166</v>
      </c>
      <c r="N708" t="s">
        <v>215</v>
      </c>
      <c r="O708" t="s">
        <v>271</v>
      </c>
      <c r="P708">
        <v>2.4961577851812821E-3</v>
      </c>
      <c r="Q708" t="s">
        <v>166</v>
      </c>
      <c r="S708" t="s">
        <v>232</v>
      </c>
      <c r="T708" t="s">
        <v>271</v>
      </c>
      <c r="U708">
        <v>3.2396997631068307E-3</v>
      </c>
      <c r="V708" t="s">
        <v>166</v>
      </c>
    </row>
    <row r="709" spans="9:22" x14ac:dyDescent="0.45">
      <c r="I709" t="s">
        <v>191</v>
      </c>
      <c r="J709" t="s">
        <v>272</v>
      </c>
      <c r="K709">
        <v>7.3430963954480302E-2</v>
      </c>
      <c r="L709" t="s">
        <v>166</v>
      </c>
      <c r="N709" t="s">
        <v>215</v>
      </c>
      <c r="O709" t="s">
        <v>272</v>
      </c>
      <c r="P709">
        <v>1.8072591353916641E-2</v>
      </c>
      <c r="Q709" t="s">
        <v>166</v>
      </c>
      <c r="S709" t="s">
        <v>232</v>
      </c>
      <c r="T709" t="s">
        <v>272</v>
      </c>
      <c r="U709">
        <v>1.9076090546482176E-2</v>
      </c>
      <c r="V709" t="s">
        <v>166</v>
      </c>
    </row>
    <row r="710" spans="9:22" x14ac:dyDescent="0.45">
      <c r="I710" t="s">
        <v>191</v>
      </c>
      <c r="J710" t="s">
        <v>273</v>
      </c>
      <c r="K710">
        <v>8.1404504983943176E-3</v>
      </c>
      <c r="L710" t="s">
        <v>166</v>
      </c>
      <c r="N710" t="s">
        <v>215</v>
      </c>
      <c r="O710" t="s">
        <v>273</v>
      </c>
      <c r="P710">
        <v>2.3876096370094991E-3</v>
      </c>
      <c r="Q710" t="s">
        <v>166</v>
      </c>
      <c r="S710" t="s">
        <v>232</v>
      </c>
      <c r="T710" t="s">
        <v>273</v>
      </c>
      <c r="U710">
        <v>2.3684409001812241E-3</v>
      </c>
      <c r="V710" t="s">
        <v>166</v>
      </c>
    </row>
    <row r="711" spans="9:22" x14ac:dyDescent="0.45">
      <c r="I711" t="s">
        <v>191</v>
      </c>
      <c r="J711" t="s">
        <v>274</v>
      </c>
      <c r="K711">
        <v>8.6116170524635476E-3</v>
      </c>
      <c r="L711" t="s">
        <v>166</v>
      </c>
      <c r="N711" t="s">
        <v>215</v>
      </c>
      <c r="O711" t="s">
        <v>274</v>
      </c>
      <c r="P711">
        <v>4.958457754466631E-3</v>
      </c>
      <c r="Q711" t="s">
        <v>166</v>
      </c>
      <c r="S711" t="s">
        <v>232</v>
      </c>
      <c r="T711" t="s">
        <v>274</v>
      </c>
      <c r="U711">
        <v>5.0098482786577582E-3</v>
      </c>
      <c r="V711" t="s">
        <v>166</v>
      </c>
    </row>
    <row r="712" spans="9:22" x14ac:dyDescent="0.45">
      <c r="I712" t="s">
        <v>191</v>
      </c>
      <c r="J712" t="s">
        <v>275</v>
      </c>
      <c r="K712">
        <v>9.1555396697943673E-5</v>
      </c>
      <c r="L712" t="s">
        <v>166</v>
      </c>
      <c r="N712" t="s">
        <v>215</v>
      </c>
      <c r="O712" t="s">
        <v>275</v>
      </c>
      <c r="P712">
        <v>1.8574989049145701E-2</v>
      </c>
      <c r="Q712" t="s">
        <v>166</v>
      </c>
      <c r="S712" t="s">
        <v>232</v>
      </c>
      <c r="T712" t="s">
        <v>275</v>
      </c>
      <c r="U712">
        <v>1.4013246879785059E-2</v>
      </c>
      <c r="V712" t="s">
        <v>166</v>
      </c>
    </row>
    <row r="713" spans="9:22" x14ac:dyDescent="0.45">
      <c r="I713" t="s">
        <v>191</v>
      </c>
      <c r="J713" t="s">
        <v>276</v>
      </c>
      <c r="K713">
        <v>6.7127753764285219E-3</v>
      </c>
      <c r="L713" t="s">
        <v>166</v>
      </c>
      <c r="N713" t="s">
        <v>215</v>
      </c>
      <c r="O713" t="s">
        <v>276</v>
      </c>
      <c r="P713">
        <v>3.8356305045070226E-2</v>
      </c>
      <c r="Q713" t="s">
        <v>166</v>
      </c>
      <c r="S713" t="s">
        <v>232</v>
      </c>
      <c r="T713" t="s">
        <v>276</v>
      </c>
      <c r="U713">
        <v>4.8815243638933518E-2</v>
      </c>
      <c r="V713" t="s">
        <v>166</v>
      </c>
    </row>
    <row r="714" spans="9:22" x14ac:dyDescent="0.45">
      <c r="I714" t="s">
        <v>191</v>
      </c>
      <c r="J714" t="s">
        <v>277</v>
      </c>
      <c r="K714">
        <v>1.2642887357299508E-2</v>
      </c>
      <c r="L714" t="s">
        <v>166</v>
      </c>
      <c r="N714" t="s">
        <v>215</v>
      </c>
      <c r="O714" t="s">
        <v>277</v>
      </c>
      <c r="P714">
        <v>5.201873921378327E-3</v>
      </c>
      <c r="Q714" t="s">
        <v>166</v>
      </c>
      <c r="S714" t="s">
        <v>232</v>
      </c>
      <c r="T714" t="s">
        <v>277</v>
      </c>
      <c r="U714">
        <v>6.5395229432487212E-3</v>
      </c>
      <c r="V714" t="s">
        <v>166</v>
      </c>
    </row>
    <row r="715" spans="9:22" x14ac:dyDescent="0.45">
      <c r="I715" t="s">
        <v>191</v>
      </c>
      <c r="J715" t="s">
        <v>278</v>
      </c>
      <c r="K715">
        <v>0.14190290758360269</v>
      </c>
      <c r="L715" t="s">
        <v>166</v>
      </c>
      <c r="N715" t="s">
        <v>215</v>
      </c>
      <c r="O715" t="s">
        <v>278</v>
      </c>
      <c r="P715">
        <v>5.2914849759546197E-2</v>
      </c>
      <c r="Q715" t="s">
        <v>166</v>
      </c>
      <c r="S715" t="s">
        <v>232</v>
      </c>
      <c r="T715" t="s">
        <v>278</v>
      </c>
      <c r="U715">
        <v>4.5217404474223587E-2</v>
      </c>
      <c r="V715" t="s">
        <v>166</v>
      </c>
    </row>
    <row r="716" spans="9:22" x14ac:dyDescent="0.45">
      <c r="I716" t="s">
        <v>191</v>
      </c>
      <c r="J716" t="s">
        <v>279</v>
      </c>
      <c r="K716">
        <v>1.476608384042314E-2</v>
      </c>
      <c r="L716" t="s">
        <v>166</v>
      </c>
      <c r="N716" t="s">
        <v>215</v>
      </c>
      <c r="O716" t="s">
        <v>279</v>
      </c>
      <c r="P716">
        <v>8.0881867769856917E-3</v>
      </c>
      <c r="Q716" t="s">
        <v>166</v>
      </c>
      <c r="S716" t="s">
        <v>232</v>
      </c>
      <c r="T716" t="s">
        <v>279</v>
      </c>
      <c r="U716">
        <v>6.9313195846844328E-3</v>
      </c>
      <c r="V716" t="s">
        <v>166</v>
      </c>
    </row>
    <row r="717" spans="9:22" x14ac:dyDescent="0.45">
      <c r="I717" t="s">
        <v>191</v>
      </c>
      <c r="J717" t="s">
        <v>280</v>
      </c>
      <c r="K717">
        <v>1.5262002886313727E-2</v>
      </c>
      <c r="L717" t="s">
        <v>166</v>
      </c>
      <c r="N717" t="s">
        <v>215</v>
      </c>
      <c r="O717" t="s">
        <v>280</v>
      </c>
      <c r="P717">
        <v>1.2299383108426406E-2</v>
      </c>
      <c r="Q717" t="s">
        <v>166</v>
      </c>
      <c r="S717" t="s">
        <v>232</v>
      </c>
      <c r="T717" t="s">
        <v>280</v>
      </c>
      <c r="U717">
        <v>1.2519575317157697E-2</v>
      </c>
      <c r="V717" t="s">
        <v>166</v>
      </c>
    </row>
    <row r="718" spans="9:22" x14ac:dyDescent="0.45">
      <c r="I718" t="s">
        <v>191</v>
      </c>
      <c r="J718" t="s">
        <v>281</v>
      </c>
      <c r="K718">
        <v>0</v>
      </c>
      <c r="L718" t="s">
        <v>166</v>
      </c>
      <c r="N718" t="s">
        <v>215</v>
      </c>
      <c r="O718" t="s">
        <v>281</v>
      </c>
      <c r="P718">
        <v>2.4955872938696985E-2</v>
      </c>
      <c r="Q718" t="s">
        <v>166</v>
      </c>
      <c r="S718" t="s">
        <v>232</v>
      </c>
      <c r="T718" t="s">
        <v>281</v>
      </c>
      <c r="U718">
        <v>3.596331339513352E-2</v>
      </c>
      <c r="V718" t="s">
        <v>166</v>
      </c>
    </row>
    <row r="719" spans="9:22" x14ac:dyDescent="0.45">
      <c r="I719" t="s">
        <v>191</v>
      </c>
      <c r="J719" t="s">
        <v>282</v>
      </c>
      <c r="K719">
        <v>1.6860971192091418E-3</v>
      </c>
      <c r="L719" t="s">
        <v>166</v>
      </c>
      <c r="N719" t="s">
        <v>215</v>
      </c>
      <c r="O719" t="s">
        <v>282</v>
      </c>
      <c r="P719">
        <v>4.26062517684365E-2</v>
      </c>
      <c r="Q719" t="s">
        <v>166</v>
      </c>
      <c r="S719" t="s">
        <v>232</v>
      </c>
      <c r="T719" t="s">
        <v>282</v>
      </c>
      <c r="U719">
        <v>4.1952581443772612E-2</v>
      </c>
      <c r="V719" t="s">
        <v>166</v>
      </c>
    </row>
    <row r="720" spans="9:22" x14ac:dyDescent="0.45">
      <c r="I720" t="s">
        <v>191</v>
      </c>
      <c r="J720" t="s">
        <v>283</v>
      </c>
      <c r="K720">
        <v>3.7292459833729204E-3</v>
      </c>
      <c r="L720" t="s">
        <v>166</v>
      </c>
      <c r="N720" t="s">
        <v>215</v>
      </c>
      <c r="O720" t="s">
        <v>283</v>
      </c>
      <c r="P720">
        <v>6.1627406844059649E-3</v>
      </c>
      <c r="Q720" t="s">
        <v>166</v>
      </c>
      <c r="S720" t="s">
        <v>232</v>
      </c>
      <c r="T720" t="s">
        <v>283</v>
      </c>
      <c r="U720">
        <v>5.554920789403975E-3</v>
      </c>
      <c r="V720" t="s">
        <v>166</v>
      </c>
    </row>
    <row r="721" spans="9:22" x14ac:dyDescent="0.45">
      <c r="I721" t="s">
        <v>191</v>
      </c>
      <c r="J721" t="s">
        <v>284</v>
      </c>
      <c r="K721">
        <v>5.2092938050979469E-2</v>
      </c>
      <c r="L721" t="s">
        <v>166</v>
      </c>
      <c r="N721" t="s">
        <v>215</v>
      </c>
      <c r="O721" t="s">
        <v>284</v>
      </c>
      <c r="P721">
        <v>5.1827856843682289E-2</v>
      </c>
      <c r="Q721" t="s">
        <v>166</v>
      </c>
      <c r="S721" t="s">
        <v>232</v>
      </c>
      <c r="T721" t="s">
        <v>284</v>
      </c>
      <c r="U721">
        <v>3.9085757013382641E-2</v>
      </c>
      <c r="V721" t="s">
        <v>166</v>
      </c>
    </row>
    <row r="722" spans="9:22" x14ac:dyDescent="0.45">
      <c r="I722" t="s">
        <v>191</v>
      </c>
      <c r="J722" t="s">
        <v>285</v>
      </c>
      <c r="K722">
        <v>5.0857231890718245E-3</v>
      </c>
      <c r="L722" t="s">
        <v>166</v>
      </c>
      <c r="N722" t="s">
        <v>215</v>
      </c>
      <c r="O722" t="s">
        <v>285</v>
      </c>
      <c r="P722">
        <v>6.8642777359257789E-3</v>
      </c>
      <c r="Q722" t="s">
        <v>166</v>
      </c>
      <c r="S722" t="s">
        <v>232</v>
      </c>
      <c r="T722" t="s">
        <v>285</v>
      </c>
      <c r="U722">
        <v>5.9012693717392477E-3</v>
      </c>
      <c r="V722" t="s">
        <v>166</v>
      </c>
    </row>
    <row r="723" spans="9:22" x14ac:dyDescent="0.45">
      <c r="I723" t="s">
        <v>191</v>
      </c>
      <c r="J723" t="s">
        <v>286</v>
      </c>
      <c r="K723">
        <v>3.1379948980777084E-3</v>
      </c>
      <c r="L723" t="s">
        <v>166</v>
      </c>
      <c r="N723" t="s">
        <v>215</v>
      </c>
      <c r="O723" t="s">
        <v>286</v>
      </c>
      <c r="P723">
        <v>1.1135755157299585E-2</v>
      </c>
      <c r="Q723" t="s">
        <v>166</v>
      </c>
      <c r="S723" t="s">
        <v>232</v>
      </c>
      <c r="T723" t="s">
        <v>286</v>
      </c>
      <c r="U723">
        <v>1.067853925021384E-2</v>
      </c>
      <c r="V723" t="s">
        <v>166</v>
      </c>
    </row>
    <row r="724" spans="9:22" x14ac:dyDescent="0.45">
      <c r="I724" t="s">
        <v>191</v>
      </c>
      <c r="J724" t="s">
        <v>287</v>
      </c>
      <c r="K724">
        <v>0</v>
      </c>
      <c r="L724" t="s">
        <v>166</v>
      </c>
      <c r="N724" t="s">
        <v>215</v>
      </c>
      <c r="O724" t="s">
        <v>287</v>
      </c>
      <c r="P724">
        <v>2.6383517057117306E-2</v>
      </c>
      <c r="Q724" t="s">
        <v>166</v>
      </c>
      <c r="S724" t="s">
        <v>232</v>
      </c>
      <c r="T724" t="s">
        <v>287</v>
      </c>
      <c r="U724">
        <v>2.9762704368244595E-2</v>
      </c>
      <c r="V724" t="s">
        <v>166</v>
      </c>
    </row>
    <row r="725" spans="9:22" x14ac:dyDescent="0.45">
      <c r="I725" t="s">
        <v>191</v>
      </c>
      <c r="J725" t="s">
        <v>288</v>
      </c>
      <c r="K725">
        <v>7.4051692597569378E-4</v>
      </c>
      <c r="L725" t="s">
        <v>166</v>
      </c>
      <c r="N725" t="s">
        <v>215</v>
      </c>
      <c r="O725" t="s">
        <v>288</v>
      </c>
      <c r="P725">
        <v>6.5114428501523491E-2</v>
      </c>
      <c r="Q725" t="s">
        <v>166</v>
      </c>
      <c r="S725" t="s">
        <v>232</v>
      </c>
      <c r="T725" t="s">
        <v>288</v>
      </c>
      <c r="U725">
        <v>2.8894754946999546E-2</v>
      </c>
      <c r="V725" t="s">
        <v>166</v>
      </c>
    </row>
    <row r="726" spans="9:22" x14ac:dyDescent="0.45">
      <c r="I726" t="s">
        <v>191</v>
      </c>
      <c r="J726" t="s">
        <v>289</v>
      </c>
      <c r="K726">
        <v>6.8946581404846843E-3</v>
      </c>
      <c r="L726" t="s">
        <v>166</v>
      </c>
      <c r="N726" t="s">
        <v>215</v>
      </c>
      <c r="O726" t="s">
        <v>289</v>
      </c>
      <c r="P726">
        <v>9.2087109303293658E-3</v>
      </c>
      <c r="Q726" t="s">
        <v>166</v>
      </c>
      <c r="S726" t="s">
        <v>232</v>
      </c>
      <c r="T726" t="s">
        <v>289</v>
      </c>
      <c r="U726">
        <v>4.359154668544956E-3</v>
      </c>
      <c r="V726" t="s">
        <v>166</v>
      </c>
    </row>
    <row r="727" spans="9:22" x14ac:dyDescent="0.45">
      <c r="I727" t="s">
        <v>191</v>
      </c>
      <c r="J727" t="s">
        <v>290</v>
      </c>
      <c r="K727">
        <v>8.2656223853633651E-2</v>
      </c>
      <c r="L727" t="s">
        <v>166</v>
      </c>
      <c r="N727" t="s">
        <v>215</v>
      </c>
      <c r="O727" t="s">
        <v>290</v>
      </c>
      <c r="P727">
        <v>7.5155547411386192E-2</v>
      </c>
      <c r="Q727" t="s">
        <v>166</v>
      </c>
      <c r="S727" t="s">
        <v>232</v>
      </c>
      <c r="T727" t="s">
        <v>290</v>
      </c>
      <c r="U727">
        <v>2.7363353126890796E-2</v>
      </c>
      <c r="V727" t="s">
        <v>166</v>
      </c>
    </row>
    <row r="728" spans="9:22" x14ac:dyDescent="0.45">
      <c r="I728" t="s">
        <v>191</v>
      </c>
      <c r="J728" t="s">
        <v>291</v>
      </c>
      <c r="K728">
        <v>8.6327705789838779E-3</v>
      </c>
      <c r="L728" t="s">
        <v>166</v>
      </c>
      <c r="N728" t="s">
        <v>215</v>
      </c>
      <c r="O728" t="s">
        <v>291</v>
      </c>
      <c r="P728">
        <v>1.0540391785378939E-2</v>
      </c>
      <c r="Q728" t="s">
        <v>166</v>
      </c>
      <c r="S728" t="s">
        <v>232</v>
      </c>
      <c r="T728" t="s">
        <v>291</v>
      </c>
      <c r="U728">
        <v>3.44050761128166E-3</v>
      </c>
      <c r="V728" t="s">
        <v>166</v>
      </c>
    </row>
    <row r="729" spans="9:22" x14ac:dyDescent="0.45">
      <c r="I729" t="s">
        <v>191</v>
      </c>
      <c r="J729" t="s">
        <v>292</v>
      </c>
      <c r="K729">
        <v>5.353897304863779E-3</v>
      </c>
      <c r="L729" t="s">
        <v>166</v>
      </c>
      <c r="N729" t="s">
        <v>215</v>
      </c>
      <c r="O729" t="s">
        <v>292</v>
      </c>
      <c r="P729">
        <v>1.6153059871908303E-2</v>
      </c>
      <c r="Q729" t="s">
        <v>166</v>
      </c>
      <c r="S729" t="s">
        <v>232</v>
      </c>
      <c r="T729" t="s">
        <v>292</v>
      </c>
      <c r="U729">
        <v>5.6612014511313348E-3</v>
      </c>
      <c r="V729" t="s">
        <v>166</v>
      </c>
    </row>
    <row r="730" spans="9:22" x14ac:dyDescent="0.45">
      <c r="I730" t="s">
        <v>191</v>
      </c>
      <c r="J730" t="s">
        <v>293</v>
      </c>
      <c r="K730">
        <v>0</v>
      </c>
      <c r="L730" t="s">
        <v>166</v>
      </c>
      <c r="N730" t="s">
        <v>215</v>
      </c>
      <c r="O730" t="s">
        <v>293</v>
      </c>
      <c r="P730">
        <v>3.7673599884085272E-2</v>
      </c>
      <c r="Q730" t="s">
        <v>166</v>
      </c>
      <c r="S730" t="s">
        <v>232</v>
      </c>
      <c r="T730" t="s">
        <v>293</v>
      </c>
      <c r="U730">
        <v>1.4366289145933044E-2</v>
      </c>
      <c r="V730" t="s">
        <v>166</v>
      </c>
    </row>
    <row r="731" spans="9:22" x14ac:dyDescent="0.45">
      <c r="I731" t="s">
        <v>192</v>
      </c>
      <c r="J731" t="s">
        <v>165</v>
      </c>
      <c r="K731">
        <v>4.4677042108958636E-3</v>
      </c>
      <c r="L731" t="s">
        <v>166</v>
      </c>
      <c r="N731" t="s">
        <v>216</v>
      </c>
      <c r="O731" t="s">
        <v>165</v>
      </c>
      <c r="P731">
        <v>0.11647446261181604</v>
      </c>
      <c r="Q731" t="s">
        <v>166</v>
      </c>
      <c r="S731" t="s">
        <v>233</v>
      </c>
      <c r="T731" t="s">
        <v>165</v>
      </c>
      <c r="U731">
        <v>0.13580245080844805</v>
      </c>
      <c r="V731" t="s">
        <v>166</v>
      </c>
    </row>
    <row r="732" spans="9:22" x14ac:dyDescent="0.45">
      <c r="I732" t="s">
        <v>192</v>
      </c>
      <c r="J732" t="s">
        <v>167</v>
      </c>
      <c r="K732">
        <v>1.2746818666211813E-2</v>
      </c>
      <c r="L732" t="s">
        <v>166</v>
      </c>
      <c r="N732" t="s">
        <v>216</v>
      </c>
      <c r="O732" t="s">
        <v>167</v>
      </c>
      <c r="P732">
        <v>1.3957611822080248E-2</v>
      </c>
      <c r="Q732" t="s">
        <v>166</v>
      </c>
      <c r="S732" t="s">
        <v>233</v>
      </c>
      <c r="T732" t="s">
        <v>167</v>
      </c>
      <c r="U732">
        <v>1.6681107456037906E-2</v>
      </c>
      <c r="V732" t="s">
        <v>166</v>
      </c>
    </row>
    <row r="733" spans="9:22" x14ac:dyDescent="0.45">
      <c r="I733" t="s">
        <v>192</v>
      </c>
      <c r="J733" t="s">
        <v>168</v>
      </c>
      <c r="K733">
        <v>0.23038788524793666</v>
      </c>
      <c r="L733" t="s">
        <v>166</v>
      </c>
      <c r="N733" t="s">
        <v>216</v>
      </c>
      <c r="O733" t="s">
        <v>168</v>
      </c>
      <c r="P733">
        <v>0.115610550010586</v>
      </c>
      <c r="Q733" t="s">
        <v>166</v>
      </c>
      <c r="S733" t="s">
        <v>233</v>
      </c>
      <c r="T733" t="s">
        <v>168</v>
      </c>
      <c r="U733">
        <v>0.10789187557005324</v>
      </c>
      <c r="V733" t="s">
        <v>166</v>
      </c>
    </row>
    <row r="734" spans="9:22" x14ac:dyDescent="0.45">
      <c r="I734" t="s">
        <v>192</v>
      </c>
      <c r="J734" t="s">
        <v>258</v>
      </c>
      <c r="K734">
        <v>2.9580207863178731E-2</v>
      </c>
      <c r="L734" t="s">
        <v>166</v>
      </c>
      <c r="N734" t="s">
        <v>216</v>
      </c>
      <c r="O734" t="s">
        <v>258</v>
      </c>
      <c r="P734">
        <v>2.0648552590843524E-2</v>
      </c>
      <c r="Q734" t="s">
        <v>166</v>
      </c>
      <c r="S734" t="s">
        <v>233</v>
      </c>
      <c r="T734" t="s">
        <v>258</v>
      </c>
      <c r="U734">
        <v>1.5124195544844879E-2</v>
      </c>
      <c r="V734" t="s">
        <v>166</v>
      </c>
    </row>
    <row r="735" spans="9:22" x14ac:dyDescent="0.45">
      <c r="I735" t="s">
        <v>192</v>
      </c>
      <c r="J735" t="s">
        <v>259</v>
      </c>
      <c r="K735">
        <v>3.6612394714630993E-2</v>
      </c>
      <c r="L735" t="s">
        <v>166</v>
      </c>
      <c r="N735" t="s">
        <v>216</v>
      </c>
      <c r="O735" t="s">
        <v>259</v>
      </c>
      <c r="P735">
        <v>3.6057240020150025E-2</v>
      </c>
      <c r="Q735" t="s">
        <v>166</v>
      </c>
      <c r="S735" t="s">
        <v>233</v>
      </c>
      <c r="T735" t="s">
        <v>259</v>
      </c>
      <c r="U735">
        <v>2.7633587378369042E-2</v>
      </c>
      <c r="V735" t="s">
        <v>166</v>
      </c>
    </row>
    <row r="736" spans="9:22" x14ac:dyDescent="0.45">
      <c r="I736" t="s">
        <v>192</v>
      </c>
      <c r="J736" t="s">
        <v>260</v>
      </c>
      <c r="K736">
        <v>0</v>
      </c>
      <c r="L736" t="s">
        <v>166</v>
      </c>
      <c r="N736" t="s">
        <v>216</v>
      </c>
      <c r="O736" t="s">
        <v>260</v>
      </c>
      <c r="P736">
        <v>8.7616383993702723E-2</v>
      </c>
      <c r="Q736" t="s">
        <v>166</v>
      </c>
      <c r="S736" t="s">
        <v>233</v>
      </c>
      <c r="T736" t="s">
        <v>260</v>
      </c>
      <c r="U736">
        <v>8.4053609916287242E-2</v>
      </c>
      <c r="V736" t="s">
        <v>166</v>
      </c>
    </row>
    <row r="737" spans="9:22" x14ac:dyDescent="0.45">
      <c r="I737" t="s">
        <v>192</v>
      </c>
      <c r="J737" t="s">
        <v>169</v>
      </c>
      <c r="K737">
        <v>3.3109882791107787E-3</v>
      </c>
      <c r="L737" t="s">
        <v>166</v>
      </c>
      <c r="N737" t="s">
        <v>216</v>
      </c>
      <c r="O737" t="s">
        <v>169</v>
      </c>
      <c r="P737">
        <v>1.1353247625073891E-2</v>
      </c>
      <c r="Q737" t="s">
        <v>166</v>
      </c>
      <c r="S737" t="s">
        <v>233</v>
      </c>
      <c r="T737" t="s">
        <v>169</v>
      </c>
      <c r="U737">
        <v>1.8351731120377357E-2</v>
      </c>
      <c r="V737" t="s">
        <v>166</v>
      </c>
    </row>
    <row r="738" spans="9:22" x14ac:dyDescent="0.45">
      <c r="I738" t="s">
        <v>192</v>
      </c>
      <c r="J738" t="s">
        <v>170</v>
      </c>
      <c r="K738">
        <v>5.0041160216924762E-3</v>
      </c>
      <c r="L738" t="s">
        <v>166</v>
      </c>
      <c r="N738" t="s">
        <v>216</v>
      </c>
      <c r="O738" t="s">
        <v>170</v>
      </c>
      <c r="P738">
        <v>8.7408705291783478E-4</v>
      </c>
      <c r="Q738" t="s">
        <v>166</v>
      </c>
      <c r="S738" t="s">
        <v>233</v>
      </c>
      <c r="T738" t="s">
        <v>170</v>
      </c>
      <c r="U738">
        <v>1.5955837622154228E-3</v>
      </c>
      <c r="V738" t="s">
        <v>166</v>
      </c>
    </row>
    <row r="739" spans="9:22" x14ac:dyDescent="0.45">
      <c r="I739" t="s">
        <v>192</v>
      </c>
      <c r="J739" t="s">
        <v>171</v>
      </c>
      <c r="K739">
        <v>7.1891567993864369E-2</v>
      </c>
      <c r="L739" t="s">
        <v>166</v>
      </c>
      <c r="N739" t="s">
        <v>216</v>
      </c>
      <c r="O739" t="s">
        <v>171</v>
      </c>
      <c r="P739">
        <v>1.1172519108540167E-2</v>
      </c>
      <c r="Q739" t="s">
        <v>166</v>
      </c>
      <c r="S739" t="s">
        <v>233</v>
      </c>
      <c r="T739" t="s">
        <v>171</v>
      </c>
      <c r="U739">
        <v>7.7881564678124529E-3</v>
      </c>
      <c r="V739" t="s">
        <v>166</v>
      </c>
    </row>
    <row r="740" spans="9:22" x14ac:dyDescent="0.45">
      <c r="I740" t="s">
        <v>192</v>
      </c>
      <c r="J740" t="s">
        <v>261</v>
      </c>
      <c r="K740">
        <v>8.7854931424910382E-3</v>
      </c>
      <c r="L740" t="s">
        <v>166</v>
      </c>
      <c r="N740" t="s">
        <v>216</v>
      </c>
      <c r="O740" t="s">
        <v>261</v>
      </c>
      <c r="P740">
        <v>3.3957988187490662E-3</v>
      </c>
      <c r="Q740" t="s">
        <v>166</v>
      </c>
      <c r="S740" t="s">
        <v>233</v>
      </c>
      <c r="T740" t="s">
        <v>261</v>
      </c>
      <c r="U740">
        <v>1.000212415001425E-3</v>
      </c>
      <c r="V740" t="s">
        <v>166</v>
      </c>
    </row>
    <row r="741" spans="9:22" x14ac:dyDescent="0.45">
      <c r="I741" t="s">
        <v>192</v>
      </c>
      <c r="J741" t="s">
        <v>262</v>
      </c>
      <c r="K741">
        <v>1.1680795197866477E-2</v>
      </c>
      <c r="L741" t="s">
        <v>166</v>
      </c>
      <c r="N741" t="s">
        <v>216</v>
      </c>
      <c r="O741" t="s">
        <v>262</v>
      </c>
      <c r="P741">
        <v>6.1416165282521052E-3</v>
      </c>
      <c r="Q741" t="s">
        <v>166</v>
      </c>
      <c r="S741" t="s">
        <v>233</v>
      </c>
      <c r="T741" t="s">
        <v>262</v>
      </c>
      <c r="U741">
        <v>2.0741707139023432E-3</v>
      </c>
      <c r="V741" t="s">
        <v>166</v>
      </c>
    </row>
    <row r="742" spans="9:22" x14ac:dyDescent="0.45">
      <c r="I742" t="s">
        <v>192</v>
      </c>
      <c r="J742" t="s">
        <v>263</v>
      </c>
      <c r="K742">
        <v>6.4407683541589167E-4</v>
      </c>
      <c r="L742" t="s">
        <v>166</v>
      </c>
      <c r="N742" t="s">
        <v>216</v>
      </c>
      <c r="O742" t="s">
        <v>263</v>
      </c>
      <c r="P742">
        <v>1.4901651877561541E-2</v>
      </c>
      <c r="Q742" t="s">
        <v>166</v>
      </c>
      <c r="S742" t="s">
        <v>233</v>
      </c>
      <c r="T742" t="s">
        <v>263</v>
      </c>
      <c r="U742">
        <v>1.1767022540548991E-2</v>
      </c>
      <c r="V742" t="s">
        <v>166</v>
      </c>
    </row>
    <row r="743" spans="9:22" x14ac:dyDescent="0.45">
      <c r="I743" t="s">
        <v>192</v>
      </c>
      <c r="J743" t="s">
        <v>172</v>
      </c>
      <c r="K743">
        <v>4.0959014328693756E-3</v>
      </c>
      <c r="L743" t="s">
        <v>166</v>
      </c>
      <c r="N743" t="s">
        <v>216</v>
      </c>
      <c r="O743" t="s">
        <v>172</v>
      </c>
      <c r="P743">
        <v>1.5540298663739639E-2</v>
      </c>
      <c r="Q743" t="s">
        <v>166</v>
      </c>
      <c r="S743" t="s">
        <v>233</v>
      </c>
      <c r="T743" t="s">
        <v>172</v>
      </c>
      <c r="U743">
        <v>1.7833511291444698E-2</v>
      </c>
      <c r="V743" t="s">
        <v>166</v>
      </c>
    </row>
    <row r="744" spans="9:22" x14ac:dyDescent="0.45">
      <c r="I744" t="s">
        <v>192</v>
      </c>
      <c r="J744" t="s">
        <v>173</v>
      </c>
      <c r="K744">
        <v>5.2767113796473291E-3</v>
      </c>
      <c r="L744" t="s">
        <v>166</v>
      </c>
      <c r="N744" t="s">
        <v>216</v>
      </c>
      <c r="O744" t="s">
        <v>173</v>
      </c>
      <c r="P744">
        <v>1.9706650334052295E-3</v>
      </c>
      <c r="Q744" t="s">
        <v>166</v>
      </c>
      <c r="S744" t="s">
        <v>233</v>
      </c>
      <c r="T744" t="s">
        <v>173</v>
      </c>
      <c r="U744">
        <v>1.8438013728430029E-3</v>
      </c>
      <c r="V744" t="s">
        <v>166</v>
      </c>
    </row>
    <row r="745" spans="9:22" x14ac:dyDescent="0.45">
      <c r="I745" t="s">
        <v>192</v>
      </c>
      <c r="J745" t="s">
        <v>174</v>
      </c>
      <c r="K745">
        <v>7.0369571097698688E-2</v>
      </c>
      <c r="L745" t="s">
        <v>166</v>
      </c>
      <c r="N745" t="s">
        <v>216</v>
      </c>
      <c r="O745" t="s">
        <v>174</v>
      </c>
      <c r="P745">
        <v>1.801777115989903E-2</v>
      </c>
      <c r="Q745" t="s">
        <v>166</v>
      </c>
      <c r="S745" t="s">
        <v>233</v>
      </c>
      <c r="T745" t="s">
        <v>174</v>
      </c>
      <c r="U745">
        <v>1.3196152372589785E-2</v>
      </c>
      <c r="V745" t="s">
        <v>166</v>
      </c>
    </row>
    <row r="746" spans="9:22" x14ac:dyDescent="0.45">
      <c r="I746" t="s">
        <v>192</v>
      </c>
      <c r="J746" t="s">
        <v>264</v>
      </c>
      <c r="K746">
        <v>7.8554512132042956E-3</v>
      </c>
      <c r="L746" t="s">
        <v>166</v>
      </c>
      <c r="N746" t="s">
        <v>216</v>
      </c>
      <c r="O746" t="s">
        <v>264</v>
      </c>
      <c r="P746">
        <v>4.0747002105051217E-3</v>
      </c>
      <c r="Q746" t="s">
        <v>166</v>
      </c>
      <c r="S746" t="s">
        <v>233</v>
      </c>
      <c r="T746" t="s">
        <v>264</v>
      </c>
      <c r="U746">
        <v>1.7368669491637919E-3</v>
      </c>
      <c r="V746" t="s">
        <v>166</v>
      </c>
    </row>
    <row r="747" spans="9:22" x14ac:dyDescent="0.45">
      <c r="I747" t="s">
        <v>192</v>
      </c>
      <c r="J747" t="s">
        <v>265</v>
      </c>
      <c r="K747">
        <v>9.6615858680197796E-3</v>
      </c>
      <c r="L747" t="s">
        <v>166</v>
      </c>
      <c r="N747" t="s">
        <v>216</v>
      </c>
      <c r="O747" t="s">
        <v>265</v>
      </c>
      <c r="P747">
        <v>5.9585146005209106E-3</v>
      </c>
      <c r="Q747" t="s">
        <v>166</v>
      </c>
      <c r="S747" t="s">
        <v>233</v>
      </c>
      <c r="T747" t="s">
        <v>265</v>
      </c>
      <c r="U747">
        <v>3.1257418581108636E-3</v>
      </c>
      <c r="V747" t="s">
        <v>166</v>
      </c>
    </row>
    <row r="748" spans="9:22" x14ac:dyDescent="0.45">
      <c r="I748" t="s">
        <v>192</v>
      </c>
      <c r="J748" t="s">
        <v>266</v>
      </c>
      <c r="K748">
        <v>1.7957603014980277E-3</v>
      </c>
      <c r="L748" t="s">
        <v>166</v>
      </c>
      <c r="N748" t="s">
        <v>216</v>
      </c>
      <c r="O748" t="s">
        <v>266</v>
      </c>
      <c r="P748">
        <v>1.2738519194923619E-2</v>
      </c>
      <c r="Q748" t="s">
        <v>166</v>
      </c>
      <c r="S748" t="s">
        <v>233</v>
      </c>
      <c r="T748" t="s">
        <v>266</v>
      </c>
      <c r="U748">
        <v>1.1273843514755752E-2</v>
      </c>
      <c r="V748" t="s">
        <v>166</v>
      </c>
    </row>
    <row r="749" spans="9:22" x14ac:dyDescent="0.45">
      <c r="I749" t="s">
        <v>192</v>
      </c>
      <c r="J749" t="s">
        <v>175</v>
      </c>
      <c r="K749">
        <v>1.3558344632242634E-3</v>
      </c>
      <c r="L749" t="s">
        <v>166</v>
      </c>
      <c r="N749" t="s">
        <v>216</v>
      </c>
      <c r="O749" t="s">
        <v>175</v>
      </c>
      <c r="P749">
        <v>1.1182337698089755E-2</v>
      </c>
      <c r="Q749" t="s">
        <v>166</v>
      </c>
      <c r="S749" t="s">
        <v>233</v>
      </c>
      <c r="T749" t="s">
        <v>175</v>
      </c>
      <c r="U749">
        <v>1.630663106181993E-2</v>
      </c>
      <c r="V749" t="s">
        <v>166</v>
      </c>
    </row>
    <row r="750" spans="9:22" x14ac:dyDescent="0.45">
      <c r="I750" t="s">
        <v>192</v>
      </c>
      <c r="J750" t="s">
        <v>176</v>
      </c>
      <c r="K750">
        <v>3.3262693141320253E-3</v>
      </c>
      <c r="L750" t="s">
        <v>166</v>
      </c>
      <c r="N750" t="s">
        <v>216</v>
      </c>
      <c r="O750" t="s">
        <v>176</v>
      </c>
      <c r="P750">
        <v>8.056472968579519E-4</v>
      </c>
      <c r="Q750" t="s">
        <v>166</v>
      </c>
      <c r="S750" t="s">
        <v>233</v>
      </c>
      <c r="T750" t="s">
        <v>176</v>
      </c>
      <c r="U750">
        <v>1.4560944535412616E-3</v>
      </c>
      <c r="V750" t="s">
        <v>166</v>
      </c>
    </row>
    <row r="751" spans="9:22" x14ac:dyDescent="0.45">
      <c r="I751" t="s">
        <v>192</v>
      </c>
      <c r="J751" t="s">
        <v>177</v>
      </c>
      <c r="K751">
        <v>5.9544114955860247E-2</v>
      </c>
      <c r="L751" t="s">
        <v>166</v>
      </c>
      <c r="N751" t="s">
        <v>216</v>
      </c>
      <c r="O751" t="s">
        <v>177</v>
      </c>
      <c r="P751">
        <v>7.8195691322832921E-3</v>
      </c>
      <c r="Q751" t="s">
        <v>166</v>
      </c>
      <c r="S751" t="s">
        <v>233</v>
      </c>
      <c r="T751" t="s">
        <v>177</v>
      </c>
      <c r="U751">
        <v>8.7198217728550673E-3</v>
      </c>
      <c r="V751" t="s">
        <v>166</v>
      </c>
    </row>
    <row r="752" spans="9:22" x14ac:dyDescent="0.45">
      <c r="I752" t="s">
        <v>192</v>
      </c>
      <c r="J752" t="s">
        <v>267</v>
      </c>
      <c r="K752">
        <v>7.1094580002092414E-3</v>
      </c>
      <c r="L752" t="s">
        <v>166</v>
      </c>
      <c r="N752" t="s">
        <v>216</v>
      </c>
      <c r="O752" t="s">
        <v>267</v>
      </c>
      <c r="P752">
        <v>2.0269659672250257E-3</v>
      </c>
      <c r="Q752" t="s">
        <v>166</v>
      </c>
      <c r="S752" t="s">
        <v>233</v>
      </c>
      <c r="T752" t="s">
        <v>267</v>
      </c>
      <c r="U752">
        <v>1.254738662336921E-3</v>
      </c>
      <c r="V752" t="s">
        <v>166</v>
      </c>
    </row>
    <row r="753" spans="9:22" x14ac:dyDescent="0.45">
      <c r="I753" t="s">
        <v>192</v>
      </c>
      <c r="J753" t="s">
        <v>268</v>
      </c>
      <c r="K753">
        <v>7.9330728269894919E-3</v>
      </c>
      <c r="L753" t="s">
        <v>166</v>
      </c>
      <c r="N753" t="s">
        <v>216</v>
      </c>
      <c r="O753" t="s">
        <v>268</v>
      </c>
      <c r="P753">
        <v>3.4948532995050579E-3</v>
      </c>
      <c r="Q753" t="s">
        <v>166</v>
      </c>
      <c r="S753" t="s">
        <v>233</v>
      </c>
      <c r="T753" t="s">
        <v>268</v>
      </c>
      <c r="U753">
        <v>2.2426687637936435E-3</v>
      </c>
      <c r="V753" t="s">
        <v>166</v>
      </c>
    </row>
    <row r="754" spans="9:22" x14ac:dyDescent="0.45">
      <c r="I754" t="s">
        <v>192</v>
      </c>
      <c r="J754" t="s">
        <v>269</v>
      </c>
      <c r="K754">
        <v>1.3725990011553267E-3</v>
      </c>
      <c r="L754" t="s">
        <v>166</v>
      </c>
      <c r="N754" t="s">
        <v>216</v>
      </c>
      <c r="O754" t="s">
        <v>269</v>
      </c>
      <c r="P754">
        <v>1.0990607379914953E-2</v>
      </c>
      <c r="Q754" t="s">
        <v>166</v>
      </c>
      <c r="S754" t="s">
        <v>233</v>
      </c>
      <c r="T754" t="s">
        <v>269</v>
      </c>
      <c r="U754">
        <v>1.1718771308530976E-2</v>
      </c>
      <c r="V754" t="s">
        <v>166</v>
      </c>
    </row>
    <row r="755" spans="9:22" x14ac:dyDescent="0.45">
      <c r="I755" t="s">
        <v>192</v>
      </c>
      <c r="J755" t="s">
        <v>270</v>
      </c>
      <c r="K755">
        <v>2.391324633302448E-3</v>
      </c>
      <c r="L755" t="s">
        <v>166</v>
      </c>
      <c r="N755" t="s">
        <v>216</v>
      </c>
      <c r="O755" t="s">
        <v>270</v>
      </c>
      <c r="P755">
        <v>9.8740471469701066E-3</v>
      </c>
      <c r="Q755" t="s">
        <v>166</v>
      </c>
      <c r="S755" t="s">
        <v>233</v>
      </c>
      <c r="T755" t="s">
        <v>270</v>
      </c>
      <c r="U755">
        <v>2.1025563167709815E-2</v>
      </c>
      <c r="V755" t="s">
        <v>166</v>
      </c>
    </row>
    <row r="756" spans="9:22" x14ac:dyDescent="0.45">
      <c r="I756" t="s">
        <v>192</v>
      </c>
      <c r="J756" t="s">
        <v>271</v>
      </c>
      <c r="K756">
        <v>4.9433345379680232E-3</v>
      </c>
      <c r="L756" t="s">
        <v>166</v>
      </c>
      <c r="N756" t="s">
        <v>216</v>
      </c>
      <c r="O756" t="s">
        <v>271</v>
      </c>
      <c r="P756">
        <v>8.6668782709180313E-4</v>
      </c>
      <c r="Q756" t="s">
        <v>166</v>
      </c>
      <c r="S756" t="s">
        <v>233</v>
      </c>
      <c r="T756" t="s">
        <v>271</v>
      </c>
      <c r="U756">
        <v>2.6930511858479049E-3</v>
      </c>
      <c r="V756" t="s">
        <v>166</v>
      </c>
    </row>
    <row r="757" spans="9:22" x14ac:dyDescent="0.45">
      <c r="I757" t="s">
        <v>192</v>
      </c>
      <c r="J757" t="s">
        <v>272</v>
      </c>
      <c r="K757">
        <v>6.5878115941292448E-2</v>
      </c>
      <c r="L757" t="s">
        <v>166</v>
      </c>
      <c r="N757" t="s">
        <v>216</v>
      </c>
      <c r="O757" t="s">
        <v>272</v>
      </c>
      <c r="P757">
        <v>7.3841184661658128E-3</v>
      </c>
      <c r="Q757" t="s">
        <v>166</v>
      </c>
      <c r="S757" t="s">
        <v>233</v>
      </c>
      <c r="T757" t="s">
        <v>272</v>
      </c>
      <c r="U757">
        <v>1.896229566245481E-2</v>
      </c>
      <c r="V757" t="s">
        <v>166</v>
      </c>
    </row>
    <row r="758" spans="9:22" x14ac:dyDescent="0.45">
      <c r="I758" t="s">
        <v>192</v>
      </c>
      <c r="J758" t="s">
        <v>273</v>
      </c>
      <c r="K758">
        <v>7.60898072406083E-3</v>
      </c>
      <c r="L758" t="s">
        <v>166</v>
      </c>
      <c r="N758" t="s">
        <v>216</v>
      </c>
      <c r="O758" t="s">
        <v>273</v>
      </c>
      <c r="P758">
        <v>1.7925615344579809E-3</v>
      </c>
      <c r="Q758" t="s">
        <v>166</v>
      </c>
      <c r="S758" t="s">
        <v>233</v>
      </c>
      <c r="T758" t="s">
        <v>273</v>
      </c>
      <c r="U758">
        <v>2.4405823385362292E-3</v>
      </c>
      <c r="V758" t="s">
        <v>166</v>
      </c>
    </row>
    <row r="759" spans="9:22" x14ac:dyDescent="0.45">
      <c r="I759" t="s">
        <v>192</v>
      </c>
      <c r="J759" t="s">
        <v>274</v>
      </c>
      <c r="K759">
        <v>8.6577120997025098E-3</v>
      </c>
      <c r="L759" t="s">
        <v>166</v>
      </c>
      <c r="N759" t="s">
        <v>216</v>
      </c>
      <c r="O759" t="s">
        <v>274</v>
      </c>
      <c r="P759">
        <v>3.6334964846188337E-3</v>
      </c>
      <c r="Q759" t="s">
        <v>166</v>
      </c>
      <c r="S759" t="s">
        <v>233</v>
      </c>
      <c r="T759" t="s">
        <v>274</v>
      </c>
      <c r="U759">
        <v>4.7904642093893491E-3</v>
      </c>
      <c r="V759" t="s">
        <v>166</v>
      </c>
    </row>
    <row r="760" spans="9:22" x14ac:dyDescent="0.45">
      <c r="I760" t="s">
        <v>192</v>
      </c>
      <c r="J760" t="s">
        <v>275</v>
      </c>
      <c r="K760">
        <v>5.7894921139922434E-4</v>
      </c>
      <c r="L760" t="s">
        <v>166</v>
      </c>
      <c r="N760" t="s">
        <v>216</v>
      </c>
      <c r="O760" t="s">
        <v>275</v>
      </c>
      <c r="P760">
        <v>9.4816819823028003E-3</v>
      </c>
      <c r="Q760" t="s">
        <v>166</v>
      </c>
      <c r="S760" t="s">
        <v>233</v>
      </c>
      <c r="T760" t="s">
        <v>275</v>
      </c>
      <c r="U760">
        <v>1.362428178158126E-2</v>
      </c>
      <c r="V760" t="s">
        <v>166</v>
      </c>
    </row>
    <row r="761" spans="9:22" x14ac:dyDescent="0.45">
      <c r="I761" t="s">
        <v>192</v>
      </c>
      <c r="J761" t="s">
        <v>276</v>
      </c>
      <c r="K761">
        <v>5.7095310449800226E-3</v>
      </c>
      <c r="L761" t="s">
        <v>166</v>
      </c>
      <c r="N761" t="s">
        <v>216</v>
      </c>
      <c r="O761" t="s">
        <v>276</v>
      </c>
      <c r="P761">
        <v>4.7128480976093345E-2</v>
      </c>
      <c r="Q761" t="s">
        <v>166</v>
      </c>
      <c r="S761" t="s">
        <v>233</v>
      </c>
      <c r="T761" t="s">
        <v>276</v>
      </c>
      <c r="U761">
        <v>5.1984767576239037E-2</v>
      </c>
      <c r="V761" t="s">
        <v>166</v>
      </c>
    </row>
    <row r="762" spans="9:22" x14ac:dyDescent="0.45">
      <c r="I762" t="s">
        <v>192</v>
      </c>
      <c r="J762" t="s">
        <v>277</v>
      </c>
      <c r="K762">
        <v>1.099304963562257E-2</v>
      </c>
      <c r="L762" t="s">
        <v>166</v>
      </c>
      <c r="N762" t="s">
        <v>216</v>
      </c>
      <c r="O762" t="s">
        <v>277</v>
      </c>
      <c r="P762">
        <v>6.0160657786870915E-3</v>
      </c>
      <c r="Q762" t="s">
        <v>166</v>
      </c>
      <c r="S762" t="s">
        <v>233</v>
      </c>
      <c r="T762" t="s">
        <v>277</v>
      </c>
      <c r="U762">
        <v>7.0772167628262803E-3</v>
      </c>
      <c r="V762" t="s">
        <v>166</v>
      </c>
    </row>
    <row r="763" spans="9:22" x14ac:dyDescent="0.45">
      <c r="I763" t="s">
        <v>192</v>
      </c>
      <c r="J763" t="s">
        <v>278</v>
      </c>
      <c r="K763">
        <v>0.12619434736689988</v>
      </c>
      <c r="L763" t="s">
        <v>166</v>
      </c>
      <c r="N763" t="s">
        <v>216</v>
      </c>
      <c r="O763" t="s">
        <v>278</v>
      </c>
      <c r="P763">
        <v>5.1308976964552507E-2</v>
      </c>
      <c r="Q763" t="s">
        <v>166</v>
      </c>
      <c r="S763" t="s">
        <v>233</v>
      </c>
      <c r="T763" t="s">
        <v>278</v>
      </c>
      <c r="U763">
        <v>4.7565727803637249E-2</v>
      </c>
      <c r="V763" t="s">
        <v>166</v>
      </c>
    </row>
    <row r="764" spans="9:22" x14ac:dyDescent="0.45">
      <c r="I764" t="s">
        <v>192</v>
      </c>
      <c r="J764" t="s">
        <v>279</v>
      </c>
      <c r="K764">
        <v>1.3972562073549872E-2</v>
      </c>
      <c r="L764" t="s">
        <v>166</v>
      </c>
      <c r="N764" t="s">
        <v>216</v>
      </c>
      <c r="O764" t="s">
        <v>279</v>
      </c>
      <c r="P764">
        <v>8.2457072850133772E-3</v>
      </c>
      <c r="Q764" t="s">
        <v>166</v>
      </c>
      <c r="S764" t="s">
        <v>233</v>
      </c>
      <c r="T764" t="s">
        <v>279</v>
      </c>
      <c r="U764">
        <v>6.8111696455724997E-3</v>
      </c>
      <c r="V764" t="s">
        <v>166</v>
      </c>
    </row>
    <row r="765" spans="9:22" x14ac:dyDescent="0.45">
      <c r="I765" t="s">
        <v>192</v>
      </c>
      <c r="J765" t="s">
        <v>280</v>
      </c>
      <c r="K765">
        <v>1.5952596900249673E-2</v>
      </c>
      <c r="L765" t="s">
        <v>166</v>
      </c>
      <c r="N765" t="s">
        <v>216</v>
      </c>
      <c r="O765" t="s">
        <v>280</v>
      </c>
      <c r="P765">
        <v>1.385008540982941E-2</v>
      </c>
      <c r="Q765" t="s">
        <v>166</v>
      </c>
      <c r="S765" t="s">
        <v>233</v>
      </c>
      <c r="T765" t="s">
        <v>280</v>
      </c>
      <c r="U765">
        <v>1.2768954473535347E-2</v>
      </c>
      <c r="V765" t="s">
        <v>166</v>
      </c>
    </row>
    <row r="766" spans="9:22" x14ac:dyDescent="0.45">
      <c r="I766" t="s">
        <v>192</v>
      </c>
      <c r="J766" t="s">
        <v>281</v>
      </c>
      <c r="K766">
        <v>0</v>
      </c>
      <c r="L766" t="s">
        <v>166</v>
      </c>
      <c r="N766" t="s">
        <v>216</v>
      </c>
      <c r="O766" t="s">
        <v>281</v>
      </c>
      <c r="P766">
        <v>3.2508938035633664E-2</v>
      </c>
      <c r="Q766" t="s">
        <v>166</v>
      </c>
      <c r="S766" t="s">
        <v>233</v>
      </c>
      <c r="T766" t="s">
        <v>281</v>
      </c>
      <c r="U766">
        <v>3.5701619947640678E-2</v>
      </c>
      <c r="V766" t="s">
        <v>166</v>
      </c>
    </row>
    <row r="767" spans="9:22" x14ac:dyDescent="0.45">
      <c r="I767" t="s">
        <v>192</v>
      </c>
      <c r="J767" t="s">
        <v>282</v>
      </c>
      <c r="K767">
        <v>1.0830079644904677E-3</v>
      </c>
      <c r="L767" t="s">
        <v>166</v>
      </c>
      <c r="N767" t="s">
        <v>216</v>
      </c>
      <c r="O767" t="s">
        <v>282</v>
      </c>
      <c r="P767">
        <v>4.2060615538481498E-2</v>
      </c>
      <c r="Q767" t="s">
        <v>166</v>
      </c>
      <c r="S767" t="s">
        <v>233</v>
      </c>
      <c r="T767" t="s">
        <v>282</v>
      </c>
      <c r="U767">
        <v>4.8387335955902729E-2</v>
      </c>
      <c r="V767" t="s">
        <v>166</v>
      </c>
    </row>
    <row r="768" spans="9:22" x14ac:dyDescent="0.45">
      <c r="I768" t="s">
        <v>192</v>
      </c>
      <c r="J768" t="s">
        <v>283</v>
      </c>
      <c r="K768">
        <v>2.8734961133465471E-3</v>
      </c>
      <c r="L768" t="s">
        <v>166</v>
      </c>
      <c r="N768" t="s">
        <v>216</v>
      </c>
      <c r="O768" t="s">
        <v>283</v>
      </c>
      <c r="P768">
        <v>5.3905983059097714E-3</v>
      </c>
      <c r="Q768" t="s">
        <v>166</v>
      </c>
      <c r="S768" t="s">
        <v>233</v>
      </c>
      <c r="T768" t="s">
        <v>283</v>
      </c>
      <c r="U768">
        <v>6.2293432358904843E-3</v>
      </c>
      <c r="V768" t="s">
        <v>166</v>
      </c>
    </row>
    <row r="769" spans="9:22" x14ac:dyDescent="0.45">
      <c r="I769" t="s">
        <v>192</v>
      </c>
      <c r="J769" t="s">
        <v>284</v>
      </c>
      <c r="K769">
        <v>4.5858196091454501E-2</v>
      </c>
      <c r="L769" t="s">
        <v>166</v>
      </c>
      <c r="N769" t="s">
        <v>216</v>
      </c>
      <c r="O769" t="s">
        <v>284</v>
      </c>
      <c r="P769">
        <v>4.2624920100313851E-2</v>
      </c>
      <c r="Q769" t="s">
        <v>166</v>
      </c>
      <c r="S769" t="s">
        <v>233</v>
      </c>
      <c r="T769" t="s">
        <v>284</v>
      </c>
      <c r="U769">
        <v>4.3802552046412521E-2</v>
      </c>
      <c r="V769" t="s">
        <v>166</v>
      </c>
    </row>
    <row r="770" spans="9:22" x14ac:dyDescent="0.45">
      <c r="I770" t="s">
        <v>192</v>
      </c>
      <c r="J770" t="s">
        <v>285</v>
      </c>
      <c r="K770">
        <v>4.5557675515864862E-3</v>
      </c>
      <c r="L770" t="s">
        <v>166</v>
      </c>
      <c r="N770" t="s">
        <v>216</v>
      </c>
      <c r="O770" t="s">
        <v>285</v>
      </c>
      <c r="P770">
        <v>6.6778811867497833E-3</v>
      </c>
      <c r="Q770" t="s">
        <v>166</v>
      </c>
      <c r="S770" t="s">
        <v>233</v>
      </c>
      <c r="T770" t="s">
        <v>285</v>
      </c>
      <c r="U770">
        <v>6.3533872297315205E-3</v>
      </c>
      <c r="V770" t="s">
        <v>166</v>
      </c>
    </row>
    <row r="771" spans="9:22" x14ac:dyDescent="0.45">
      <c r="I771" t="s">
        <v>192</v>
      </c>
      <c r="J771" t="s">
        <v>286</v>
      </c>
      <c r="K771">
        <v>2.9079428550770935E-3</v>
      </c>
      <c r="L771" t="s">
        <v>166</v>
      </c>
      <c r="N771" t="s">
        <v>216</v>
      </c>
      <c r="O771" t="s">
        <v>286</v>
      </c>
      <c r="P771">
        <v>1.2099512761522168E-2</v>
      </c>
      <c r="Q771" t="s">
        <v>166</v>
      </c>
      <c r="S771" t="s">
        <v>233</v>
      </c>
      <c r="T771" t="s">
        <v>286</v>
      </c>
      <c r="U771">
        <v>1.2102694133165623E-2</v>
      </c>
      <c r="V771" t="s">
        <v>166</v>
      </c>
    </row>
    <row r="772" spans="9:22" x14ac:dyDescent="0.45">
      <c r="I772" t="s">
        <v>192</v>
      </c>
      <c r="J772" t="s">
        <v>287</v>
      </c>
      <c r="K772">
        <v>0</v>
      </c>
      <c r="L772" t="s">
        <v>166</v>
      </c>
      <c r="N772" t="s">
        <v>216</v>
      </c>
      <c r="O772" t="s">
        <v>287</v>
      </c>
      <c r="P772">
        <v>3.0889049583240534E-2</v>
      </c>
      <c r="Q772" t="s">
        <v>166</v>
      </c>
      <c r="S772" t="s">
        <v>233</v>
      </c>
      <c r="T772" t="s">
        <v>287</v>
      </c>
      <c r="U772">
        <v>3.2529673944690946E-2</v>
      </c>
      <c r="V772" t="s">
        <v>166</v>
      </c>
    </row>
    <row r="773" spans="9:22" x14ac:dyDescent="0.45">
      <c r="I773" t="s">
        <v>192</v>
      </c>
      <c r="J773" t="s">
        <v>288</v>
      </c>
      <c r="K773">
        <v>1.0917325028035777E-5</v>
      </c>
      <c r="L773" t="s">
        <v>166</v>
      </c>
      <c r="N773" t="s">
        <v>216</v>
      </c>
      <c r="O773" t="s">
        <v>288</v>
      </c>
      <c r="P773">
        <v>4.3916345615606492E-2</v>
      </c>
      <c r="Q773" t="s">
        <v>166</v>
      </c>
      <c r="S773" t="s">
        <v>233</v>
      </c>
      <c r="T773" t="s">
        <v>288</v>
      </c>
      <c r="U773">
        <v>3.8989552557167739E-2</v>
      </c>
      <c r="V773" t="s">
        <v>166</v>
      </c>
    </row>
    <row r="774" spans="9:22" x14ac:dyDescent="0.45">
      <c r="I774" t="s">
        <v>192</v>
      </c>
      <c r="J774" t="s">
        <v>289</v>
      </c>
      <c r="K774">
        <v>5.0084611745187914E-3</v>
      </c>
      <c r="L774" t="s">
        <v>166</v>
      </c>
      <c r="N774" t="s">
        <v>216</v>
      </c>
      <c r="O774" t="s">
        <v>289</v>
      </c>
      <c r="P774">
        <v>6.4047812265292893E-3</v>
      </c>
      <c r="Q774" t="s">
        <v>166</v>
      </c>
      <c r="S774" t="s">
        <v>233</v>
      </c>
      <c r="T774" t="s">
        <v>289</v>
      </c>
      <c r="U774">
        <v>5.4017517761823343E-3</v>
      </c>
      <c r="V774" t="s">
        <v>166</v>
      </c>
    </row>
    <row r="775" spans="9:22" x14ac:dyDescent="0.45">
      <c r="I775" t="s">
        <v>192</v>
      </c>
      <c r="J775" t="s">
        <v>290</v>
      </c>
      <c r="K775">
        <v>6.8494216548114814E-2</v>
      </c>
      <c r="L775" t="s">
        <v>166</v>
      </c>
      <c r="N775" t="s">
        <v>216</v>
      </c>
      <c r="O775" t="s">
        <v>290</v>
      </c>
      <c r="P775">
        <v>4.5350562210216154E-2</v>
      </c>
      <c r="Q775" t="s">
        <v>166</v>
      </c>
      <c r="S775" t="s">
        <v>233</v>
      </c>
      <c r="T775" t="s">
        <v>290</v>
      </c>
      <c r="U775">
        <v>3.3019370736647471E-2</v>
      </c>
      <c r="V775" t="s">
        <v>166</v>
      </c>
    </row>
    <row r="776" spans="9:22" x14ac:dyDescent="0.45">
      <c r="I776" t="s">
        <v>192</v>
      </c>
      <c r="J776" t="s">
        <v>291</v>
      </c>
      <c r="K776">
        <v>6.983072914475032E-3</v>
      </c>
      <c r="L776" t="s">
        <v>166</v>
      </c>
      <c r="N776" t="s">
        <v>216</v>
      </c>
      <c r="O776" t="s">
        <v>291</v>
      </c>
      <c r="P776">
        <v>6.3284761351395579E-3</v>
      </c>
      <c r="Q776" t="s">
        <v>166</v>
      </c>
      <c r="S776" t="s">
        <v>233</v>
      </c>
      <c r="T776" t="s">
        <v>291</v>
      </c>
      <c r="U776">
        <v>3.876989374422728E-3</v>
      </c>
      <c r="V776" t="s">
        <v>166</v>
      </c>
    </row>
    <row r="777" spans="9:22" x14ac:dyDescent="0.45">
      <c r="I777" t="s">
        <v>192</v>
      </c>
      <c r="J777" t="s">
        <v>292</v>
      </c>
      <c r="K777">
        <v>4.5360392650772583E-3</v>
      </c>
      <c r="L777" t="s">
        <v>166</v>
      </c>
      <c r="N777" t="s">
        <v>216</v>
      </c>
      <c r="O777" t="s">
        <v>292</v>
      </c>
      <c r="P777">
        <v>1.0101671748332309E-2</v>
      </c>
      <c r="Q777" t="s">
        <v>166</v>
      </c>
      <c r="S777" t="s">
        <v>233</v>
      </c>
      <c r="T777" t="s">
        <v>292</v>
      </c>
      <c r="U777">
        <v>6.0847098406125186E-3</v>
      </c>
      <c r="V777" t="s">
        <v>166</v>
      </c>
    </row>
    <row r="778" spans="9:22" x14ac:dyDescent="0.45">
      <c r="I778" t="s">
        <v>192</v>
      </c>
      <c r="J778" t="s">
        <v>293</v>
      </c>
      <c r="K778">
        <v>0</v>
      </c>
      <c r="L778" t="s">
        <v>166</v>
      </c>
      <c r="N778" t="s">
        <v>216</v>
      </c>
      <c r="O778" t="s">
        <v>293</v>
      </c>
      <c r="P778">
        <v>2.3240565999398076E-2</v>
      </c>
      <c r="Q778" t="s">
        <v>166</v>
      </c>
      <c r="S778" t="s">
        <v>233</v>
      </c>
      <c r="T778" t="s">
        <v>293</v>
      </c>
      <c r="U778">
        <v>1.7304597538518922E-2</v>
      </c>
      <c r="V778" t="s">
        <v>166</v>
      </c>
    </row>
    <row r="779" spans="9:22" x14ac:dyDescent="0.45">
      <c r="I779" t="s">
        <v>193</v>
      </c>
      <c r="J779" t="s">
        <v>165</v>
      </c>
      <c r="K779">
        <v>6.6907991145189576E-3</v>
      </c>
      <c r="L779" t="s">
        <v>166</v>
      </c>
      <c r="N779" t="s">
        <v>217</v>
      </c>
      <c r="O779" t="s">
        <v>165</v>
      </c>
      <c r="P779">
        <v>0.11328348884603349</v>
      </c>
      <c r="Q779" t="s">
        <v>166</v>
      </c>
      <c r="S779" t="s">
        <v>234</v>
      </c>
      <c r="T779" t="s">
        <v>165</v>
      </c>
      <c r="U779">
        <v>0.13257918667223051</v>
      </c>
      <c r="V779" t="s">
        <v>166</v>
      </c>
    </row>
    <row r="780" spans="9:22" x14ac:dyDescent="0.45">
      <c r="I780" t="s">
        <v>193</v>
      </c>
      <c r="J780" t="s">
        <v>167</v>
      </c>
      <c r="K780">
        <v>1.8895406658645985E-2</v>
      </c>
      <c r="L780" t="s">
        <v>166</v>
      </c>
      <c r="N780" t="s">
        <v>217</v>
      </c>
      <c r="O780" t="s">
        <v>167</v>
      </c>
      <c r="P780">
        <v>1.2000285879890181E-2</v>
      </c>
      <c r="Q780" t="s">
        <v>166</v>
      </c>
      <c r="S780" t="s">
        <v>234</v>
      </c>
      <c r="T780" t="s">
        <v>167</v>
      </c>
      <c r="U780">
        <v>1.6150014693266039E-2</v>
      </c>
      <c r="V780" t="s">
        <v>166</v>
      </c>
    </row>
    <row r="781" spans="9:22" x14ac:dyDescent="0.45">
      <c r="I781" t="s">
        <v>193</v>
      </c>
      <c r="J781" t="s">
        <v>168</v>
      </c>
      <c r="K781">
        <v>0.26025923885934898</v>
      </c>
      <c r="L781" t="s">
        <v>166</v>
      </c>
      <c r="N781" t="s">
        <v>217</v>
      </c>
      <c r="O781" t="s">
        <v>168</v>
      </c>
      <c r="P781">
        <v>9.6726140520438361E-2</v>
      </c>
      <c r="Q781" t="s">
        <v>166</v>
      </c>
      <c r="S781" t="s">
        <v>234</v>
      </c>
      <c r="T781" t="s">
        <v>168</v>
      </c>
      <c r="U781">
        <v>0.10795390956821262</v>
      </c>
      <c r="V781" t="s">
        <v>166</v>
      </c>
    </row>
    <row r="782" spans="9:22" x14ac:dyDescent="0.45">
      <c r="I782" t="s">
        <v>193</v>
      </c>
      <c r="J782" t="s">
        <v>258</v>
      </c>
      <c r="K782">
        <v>3.2767566661405921E-2</v>
      </c>
      <c r="L782" t="s">
        <v>166</v>
      </c>
      <c r="N782" t="s">
        <v>217</v>
      </c>
      <c r="O782" t="s">
        <v>258</v>
      </c>
      <c r="P782">
        <v>1.9070824994660021E-2</v>
      </c>
      <c r="Q782" t="s">
        <v>166</v>
      </c>
      <c r="S782" t="s">
        <v>234</v>
      </c>
      <c r="T782" t="s">
        <v>258</v>
      </c>
      <c r="U782">
        <v>1.6560474105160289E-2</v>
      </c>
      <c r="V782" t="s">
        <v>166</v>
      </c>
    </row>
    <row r="783" spans="9:22" x14ac:dyDescent="0.45">
      <c r="I783" t="s">
        <v>193</v>
      </c>
      <c r="J783" t="s">
        <v>259</v>
      </c>
      <c r="K783">
        <v>4.27745822498517E-2</v>
      </c>
      <c r="L783" t="s">
        <v>166</v>
      </c>
      <c r="N783" t="s">
        <v>217</v>
      </c>
      <c r="O783" t="s">
        <v>259</v>
      </c>
      <c r="P783">
        <v>3.6198314422939692E-2</v>
      </c>
      <c r="Q783" t="s">
        <v>166</v>
      </c>
      <c r="S783" t="s">
        <v>234</v>
      </c>
      <c r="T783" t="s">
        <v>259</v>
      </c>
      <c r="U783">
        <v>3.0131086147972247E-2</v>
      </c>
      <c r="V783" t="s">
        <v>166</v>
      </c>
    </row>
    <row r="784" spans="9:22" x14ac:dyDescent="0.45">
      <c r="I784" t="s">
        <v>193</v>
      </c>
      <c r="J784" t="s">
        <v>260</v>
      </c>
      <c r="K784">
        <v>0</v>
      </c>
      <c r="L784" t="s">
        <v>166</v>
      </c>
      <c r="N784" t="s">
        <v>217</v>
      </c>
      <c r="O784" t="s">
        <v>260</v>
      </c>
      <c r="P784">
        <v>9.4447968709044303E-2</v>
      </c>
      <c r="Q784" t="s">
        <v>166</v>
      </c>
      <c r="S784" t="s">
        <v>234</v>
      </c>
      <c r="T784" t="s">
        <v>260</v>
      </c>
      <c r="U784">
        <v>8.6654595120147879E-2</v>
      </c>
      <c r="V784" t="s">
        <v>166</v>
      </c>
    </row>
    <row r="785" spans="9:22" x14ac:dyDescent="0.45">
      <c r="I785" t="s">
        <v>193</v>
      </c>
      <c r="J785" t="s">
        <v>169</v>
      </c>
      <c r="K785">
        <v>2.5500906967059049E-3</v>
      </c>
      <c r="L785" t="s">
        <v>166</v>
      </c>
      <c r="N785" t="s">
        <v>217</v>
      </c>
      <c r="O785" t="s">
        <v>169</v>
      </c>
      <c r="P785">
        <v>1.0699549726879838E-2</v>
      </c>
      <c r="Q785" t="s">
        <v>166</v>
      </c>
      <c r="S785" t="s">
        <v>234</v>
      </c>
      <c r="T785" t="s">
        <v>169</v>
      </c>
      <c r="U785">
        <v>1.6869922951383495E-2</v>
      </c>
      <c r="V785" t="s">
        <v>166</v>
      </c>
    </row>
    <row r="786" spans="9:22" x14ac:dyDescent="0.45">
      <c r="I786" t="s">
        <v>193</v>
      </c>
      <c r="J786" t="s">
        <v>170</v>
      </c>
      <c r="K786">
        <v>4.7080955779758467E-3</v>
      </c>
      <c r="L786" t="s">
        <v>166</v>
      </c>
      <c r="N786" t="s">
        <v>217</v>
      </c>
      <c r="O786" t="s">
        <v>170</v>
      </c>
      <c r="P786">
        <v>9.0986834946724061E-4</v>
      </c>
      <c r="Q786" t="s">
        <v>166</v>
      </c>
      <c r="S786" t="s">
        <v>234</v>
      </c>
      <c r="T786" t="s">
        <v>170</v>
      </c>
      <c r="U786">
        <v>1.4768866211505689E-3</v>
      </c>
      <c r="V786" t="s">
        <v>166</v>
      </c>
    </row>
    <row r="787" spans="9:22" x14ac:dyDescent="0.45">
      <c r="I787" t="s">
        <v>193</v>
      </c>
      <c r="J787" t="s">
        <v>171</v>
      </c>
      <c r="K787">
        <v>6.7853047296325797E-2</v>
      </c>
      <c r="L787" t="s">
        <v>166</v>
      </c>
      <c r="N787" t="s">
        <v>217</v>
      </c>
      <c r="O787" t="s">
        <v>171</v>
      </c>
      <c r="P787">
        <v>6.7208086045106455E-3</v>
      </c>
      <c r="Q787" t="s">
        <v>166</v>
      </c>
      <c r="S787" t="s">
        <v>234</v>
      </c>
      <c r="T787" t="s">
        <v>171</v>
      </c>
      <c r="U787">
        <v>8.9824420158632033E-3</v>
      </c>
      <c r="V787" t="s">
        <v>166</v>
      </c>
    </row>
    <row r="788" spans="9:22" x14ac:dyDescent="0.45">
      <c r="I788" t="s">
        <v>193</v>
      </c>
      <c r="J788" t="s">
        <v>261</v>
      </c>
      <c r="K788">
        <v>8.5376475744879578E-3</v>
      </c>
      <c r="L788" t="s">
        <v>166</v>
      </c>
      <c r="N788" t="s">
        <v>217</v>
      </c>
      <c r="O788" t="s">
        <v>261</v>
      </c>
      <c r="P788">
        <v>2.1599939807250799E-3</v>
      </c>
      <c r="Q788" t="s">
        <v>166</v>
      </c>
      <c r="S788" t="s">
        <v>234</v>
      </c>
      <c r="T788" t="s">
        <v>261</v>
      </c>
      <c r="U788">
        <v>1.8411019981863952E-3</v>
      </c>
      <c r="V788" t="s">
        <v>166</v>
      </c>
    </row>
    <row r="789" spans="9:22" x14ac:dyDescent="0.45">
      <c r="I789" t="s">
        <v>193</v>
      </c>
      <c r="J789" t="s">
        <v>262</v>
      </c>
      <c r="K789">
        <v>1.064136391690791E-2</v>
      </c>
      <c r="L789" t="s">
        <v>166</v>
      </c>
      <c r="N789" t="s">
        <v>217</v>
      </c>
      <c r="O789" t="s">
        <v>262</v>
      </c>
      <c r="P789">
        <v>4.923238616581364E-3</v>
      </c>
      <c r="Q789" t="s">
        <v>166</v>
      </c>
      <c r="S789" t="s">
        <v>234</v>
      </c>
      <c r="T789" t="s">
        <v>262</v>
      </c>
      <c r="U789">
        <v>3.8810307136243E-3</v>
      </c>
      <c r="V789" t="s">
        <v>166</v>
      </c>
    </row>
    <row r="790" spans="9:22" x14ac:dyDescent="0.45">
      <c r="I790" t="s">
        <v>193</v>
      </c>
      <c r="J790" t="s">
        <v>263</v>
      </c>
      <c r="K790">
        <v>1.064200134811664E-3</v>
      </c>
      <c r="L790" t="s">
        <v>166</v>
      </c>
      <c r="N790" t="s">
        <v>217</v>
      </c>
      <c r="O790" t="s">
        <v>263</v>
      </c>
      <c r="P790">
        <v>1.6692719157891216E-2</v>
      </c>
      <c r="Q790" t="s">
        <v>166</v>
      </c>
      <c r="S790" t="s">
        <v>234</v>
      </c>
      <c r="T790" t="s">
        <v>263</v>
      </c>
      <c r="U790">
        <v>1.4583013270460857E-2</v>
      </c>
      <c r="V790" t="s">
        <v>166</v>
      </c>
    </row>
    <row r="791" spans="9:22" x14ac:dyDescent="0.45">
      <c r="I791" t="s">
        <v>193</v>
      </c>
      <c r="J791" t="s">
        <v>172</v>
      </c>
      <c r="K791">
        <v>2.3565692494329749E-3</v>
      </c>
      <c r="L791" t="s">
        <v>166</v>
      </c>
      <c r="N791" t="s">
        <v>217</v>
      </c>
      <c r="O791" t="s">
        <v>172</v>
      </c>
      <c r="P791">
        <v>2.0511906219415645E-2</v>
      </c>
      <c r="Q791" t="s">
        <v>166</v>
      </c>
      <c r="S791" t="s">
        <v>234</v>
      </c>
      <c r="T791" t="s">
        <v>172</v>
      </c>
      <c r="U791">
        <v>1.8072368140727459E-2</v>
      </c>
      <c r="V791" t="s">
        <v>166</v>
      </c>
    </row>
    <row r="792" spans="9:22" x14ac:dyDescent="0.45">
      <c r="I792" t="s">
        <v>193</v>
      </c>
      <c r="J792" t="s">
        <v>173</v>
      </c>
      <c r="K792">
        <v>4.144386229197247E-3</v>
      </c>
      <c r="L792" t="s">
        <v>166</v>
      </c>
      <c r="N792" t="s">
        <v>217</v>
      </c>
      <c r="O792" t="s">
        <v>173</v>
      </c>
      <c r="P792">
        <v>2.4172624236902572E-3</v>
      </c>
      <c r="Q792" t="s">
        <v>166</v>
      </c>
      <c r="S792" t="s">
        <v>234</v>
      </c>
      <c r="T792" t="s">
        <v>173</v>
      </c>
      <c r="U792">
        <v>2.2370748394277768E-3</v>
      </c>
      <c r="V792" t="s">
        <v>166</v>
      </c>
    </row>
    <row r="793" spans="9:22" x14ac:dyDescent="0.45">
      <c r="I793" t="s">
        <v>193</v>
      </c>
      <c r="J793" t="s">
        <v>174</v>
      </c>
      <c r="K793">
        <v>5.9029583609020893E-2</v>
      </c>
      <c r="L793" t="s">
        <v>166</v>
      </c>
      <c r="N793" t="s">
        <v>217</v>
      </c>
      <c r="O793" t="s">
        <v>174</v>
      </c>
      <c r="P793">
        <v>1.7764082761694586E-2</v>
      </c>
      <c r="Q793" t="s">
        <v>166</v>
      </c>
      <c r="S793" t="s">
        <v>234</v>
      </c>
      <c r="T793" t="s">
        <v>174</v>
      </c>
      <c r="U793">
        <v>1.5886263695940962E-2</v>
      </c>
      <c r="V793" t="s">
        <v>166</v>
      </c>
    </row>
    <row r="794" spans="9:22" x14ac:dyDescent="0.45">
      <c r="I794" t="s">
        <v>193</v>
      </c>
      <c r="J794" t="s">
        <v>264</v>
      </c>
      <c r="K794">
        <v>6.9068055981513594E-3</v>
      </c>
      <c r="L794" t="s">
        <v>166</v>
      </c>
      <c r="N794" t="s">
        <v>217</v>
      </c>
      <c r="O794" t="s">
        <v>264</v>
      </c>
      <c r="P794">
        <v>3.2814114269554876E-3</v>
      </c>
      <c r="Q794" t="s">
        <v>166</v>
      </c>
      <c r="S794" t="s">
        <v>234</v>
      </c>
      <c r="T794" t="s">
        <v>264</v>
      </c>
      <c r="U794">
        <v>2.5837883168112114E-3</v>
      </c>
      <c r="V794" t="s">
        <v>166</v>
      </c>
    </row>
    <row r="795" spans="9:22" x14ac:dyDescent="0.45">
      <c r="I795" t="s">
        <v>193</v>
      </c>
      <c r="J795" t="s">
        <v>265</v>
      </c>
      <c r="K795">
        <v>8.5826542252452898E-3</v>
      </c>
      <c r="L795" t="s">
        <v>166</v>
      </c>
      <c r="N795" t="s">
        <v>217</v>
      </c>
      <c r="O795" t="s">
        <v>265</v>
      </c>
      <c r="P795">
        <v>6.5292937796428453E-3</v>
      </c>
      <c r="Q795" t="s">
        <v>166</v>
      </c>
      <c r="S795" t="s">
        <v>234</v>
      </c>
      <c r="T795" t="s">
        <v>265</v>
      </c>
      <c r="U795">
        <v>4.3540840238791775E-3</v>
      </c>
      <c r="V795" t="s">
        <v>166</v>
      </c>
    </row>
    <row r="796" spans="9:22" x14ac:dyDescent="0.45">
      <c r="I796" t="s">
        <v>193</v>
      </c>
      <c r="J796" t="s">
        <v>266</v>
      </c>
      <c r="K796">
        <v>1.5336977491624902E-3</v>
      </c>
      <c r="L796" t="s">
        <v>166</v>
      </c>
      <c r="N796" t="s">
        <v>217</v>
      </c>
      <c r="O796" t="s">
        <v>266</v>
      </c>
      <c r="P796">
        <v>1.566096459656564E-2</v>
      </c>
      <c r="Q796" t="s">
        <v>166</v>
      </c>
      <c r="S796" t="s">
        <v>234</v>
      </c>
      <c r="T796" t="s">
        <v>266</v>
      </c>
      <c r="U796">
        <v>1.283407835924948E-2</v>
      </c>
      <c r="V796" t="s">
        <v>166</v>
      </c>
    </row>
    <row r="797" spans="9:22" x14ac:dyDescent="0.45">
      <c r="I797" t="s">
        <v>193</v>
      </c>
      <c r="J797" t="s">
        <v>175</v>
      </c>
      <c r="K797">
        <v>1.081103461994551E-3</v>
      </c>
      <c r="L797" t="s">
        <v>166</v>
      </c>
      <c r="N797" t="s">
        <v>217</v>
      </c>
      <c r="O797" t="s">
        <v>175</v>
      </c>
      <c r="P797">
        <v>1.0900634073796529E-2</v>
      </c>
      <c r="Q797" t="s">
        <v>166</v>
      </c>
      <c r="S797" t="s">
        <v>234</v>
      </c>
      <c r="T797" t="s">
        <v>175</v>
      </c>
      <c r="U797">
        <v>1.5681100678091836E-2</v>
      </c>
      <c r="V797" t="s">
        <v>166</v>
      </c>
    </row>
    <row r="798" spans="9:22" x14ac:dyDescent="0.45">
      <c r="I798" t="s">
        <v>193</v>
      </c>
      <c r="J798" t="s">
        <v>176</v>
      </c>
      <c r="K798">
        <v>2.815247781061782E-3</v>
      </c>
      <c r="L798" t="s">
        <v>166</v>
      </c>
      <c r="N798" t="s">
        <v>217</v>
      </c>
      <c r="O798" t="s">
        <v>176</v>
      </c>
      <c r="P798">
        <v>1.1718142608262475E-3</v>
      </c>
      <c r="Q798" t="s">
        <v>166</v>
      </c>
      <c r="S798" t="s">
        <v>234</v>
      </c>
      <c r="T798" t="s">
        <v>176</v>
      </c>
      <c r="U798">
        <v>1.2980901090124998E-3</v>
      </c>
      <c r="V798" t="s">
        <v>166</v>
      </c>
    </row>
    <row r="799" spans="9:22" x14ac:dyDescent="0.45">
      <c r="I799" t="s">
        <v>193</v>
      </c>
      <c r="J799" t="s">
        <v>177</v>
      </c>
      <c r="K799">
        <v>5.1401015678994251E-2</v>
      </c>
      <c r="L799" t="s">
        <v>166</v>
      </c>
      <c r="N799" t="s">
        <v>217</v>
      </c>
      <c r="O799" t="s">
        <v>177</v>
      </c>
      <c r="P799">
        <v>8.4201907742246108E-3</v>
      </c>
      <c r="Q799" t="s">
        <v>166</v>
      </c>
      <c r="S799" t="s">
        <v>234</v>
      </c>
      <c r="T799" t="s">
        <v>177</v>
      </c>
      <c r="U799">
        <v>7.8919691369868216E-3</v>
      </c>
      <c r="V799" t="s">
        <v>166</v>
      </c>
    </row>
    <row r="800" spans="9:22" x14ac:dyDescent="0.45">
      <c r="I800" t="s">
        <v>193</v>
      </c>
      <c r="J800" t="s">
        <v>267</v>
      </c>
      <c r="K800">
        <v>5.7928932069177255E-3</v>
      </c>
      <c r="L800" t="s">
        <v>166</v>
      </c>
      <c r="N800" t="s">
        <v>217</v>
      </c>
      <c r="O800" t="s">
        <v>267</v>
      </c>
      <c r="P800">
        <v>1.8781420017143441E-3</v>
      </c>
      <c r="Q800" t="s">
        <v>166</v>
      </c>
      <c r="S800" t="s">
        <v>234</v>
      </c>
      <c r="T800" t="s">
        <v>267</v>
      </c>
      <c r="U800">
        <v>1.4578940852891466E-3</v>
      </c>
      <c r="V800" t="s">
        <v>166</v>
      </c>
    </row>
    <row r="801" spans="9:22" x14ac:dyDescent="0.45">
      <c r="I801" t="s">
        <v>193</v>
      </c>
      <c r="J801" t="s">
        <v>268</v>
      </c>
      <c r="K801">
        <v>6.366700750141137E-3</v>
      </c>
      <c r="L801" t="s">
        <v>166</v>
      </c>
      <c r="N801" t="s">
        <v>217</v>
      </c>
      <c r="O801" t="s">
        <v>268</v>
      </c>
      <c r="P801">
        <v>3.8015502890533658E-3</v>
      </c>
      <c r="Q801" t="s">
        <v>166</v>
      </c>
      <c r="S801" t="s">
        <v>234</v>
      </c>
      <c r="T801" t="s">
        <v>268</v>
      </c>
      <c r="U801">
        <v>2.8290888838717076E-3</v>
      </c>
      <c r="V801" t="s">
        <v>166</v>
      </c>
    </row>
    <row r="802" spans="9:22" x14ac:dyDescent="0.45">
      <c r="I802" t="s">
        <v>193</v>
      </c>
      <c r="J802" t="s">
        <v>269</v>
      </c>
      <c r="K802">
        <v>9.5219022908806764E-4</v>
      </c>
      <c r="L802" t="s">
        <v>166</v>
      </c>
      <c r="N802" t="s">
        <v>217</v>
      </c>
      <c r="O802" t="s">
        <v>269</v>
      </c>
      <c r="P802">
        <v>1.1331221582233552E-2</v>
      </c>
      <c r="Q802" t="s">
        <v>166</v>
      </c>
      <c r="S802" t="s">
        <v>234</v>
      </c>
      <c r="T802" t="s">
        <v>269</v>
      </c>
      <c r="U802">
        <v>1.2266135016880335E-2</v>
      </c>
      <c r="V802" t="s">
        <v>166</v>
      </c>
    </row>
    <row r="803" spans="9:22" x14ac:dyDescent="0.45">
      <c r="I803" t="s">
        <v>193</v>
      </c>
      <c r="J803" t="s">
        <v>270</v>
      </c>
      <c r="K803">
        <v>1.5483515039879808E-3</v>
      </c>
      <c r="L803" t="s">
        <v>166</v>
      </c>
      <c r="N803" t="s">
        <v>217</v>
      </c>
      <c r="O803" t="s">
        <v>270</v>
      </c>
      <c r="P803">
        <v>3.3943450612957206E-2</v>
      </c>
      <c r="Q803" t="s">
        <v>166</v>
      </c>
      <c r="S803" t="s">
        <v>234</v>
      </c>
      <c r="T803" t="s">
        <v>270</v>
      </c>
      <c r="U803">
        <v>1.5183798886858843E-2</v>
      </c>
      <c r="V803" t="s">
        <v>166</v>
      </c>
    </row>
    <row r="804" spans="9:22" x14ac:dyDescent="0.45">
      <c r="I804" t="s">
        <v>193</v>
      </c>
      <c r="J804" t="s">
        <v>271</v>
      </c>
      <c r="K804">
        <v>3.6755868698008115E-3</v>
      </c>
      <c r="L804" t="s">
        <v>166</v>
      </c>
      <c r="N804" t="s">
        <v>217</v>
      </c>
      <c r="O804" t="s">
        <v>271</v>
      </c>
      <c r="P804">
        <v>4.3397163049090992E-3</v>
      </c>
      <c r="Q804" t="s">
        <v>166</v>
      </c>
      <c r="S804" t="s">
        <v>234</v>
      </c>
      <c r="T804" t="s">
        <v>271</v>
      </c>
      <c r="U804">
        <v>1.6254440805169824E-3</v>
      </c>
      <c r="V804" t="s">
        <v>166</v>
      </c>
    </row>
    <row r="805" spans="9:22" x14ac:dyDescent="0.45">
      <c r="I805" t="s">
        <v>193</v>
      </c>
      <c r="J805" t="s">
        <v>272</v>
      </c>
      <c r="K805">
        <v>5.9812957919769455E-2</v>
      </c>
      <c r="L805" t="s">
        <v>166</v>
      </c>
      <c r="N805" t="s">
        <v>217</v>
      </c>
      <c r="O805" t="s">
        <v>272</v>
      </c>
      <c r="P805">
        <v>2.8677984770109272E-2</v>
      </c>
      <c r="Q805" t="s">
        <v>166</v>
      </c>
      <c r="S805" t="s">
        <v>234</v>
      </c>
      <c r="T805" t="s">
        <v>272</v>
      </c>
      <c r="U805">
        <v>1.1233162716450702E-2</v>
      </c>
      <c r="V805" t="s">
        <v>166</v>
      </c>
    </row>
    <row r="806" spans="9:22" x14ac:dyDescent="0.45">
      <c r="I806" t="s">
        <v>193</v>
      </c>
      <c r="J806" t="s">
        <v>273</v>
      </c>
      <c r="K806">
        <v>7.1747644374751257E-3</v>
      </c>
      <c r="L806" t="s">
        <v>166</v>
      </c>
      <c r="N806" t="s">
        <v>217</v>
      </c>
      <c r="O806" t="s">
        <v>273</v>
      </c>
      <c r="P806">
        <v>3.4945685587274146E-3</v>
      </c>
      <c r="Q806" t="s">
        <v>166</v>
      </c>
      <c r="S806" t="s">
        <v>234</v>
      </c>
      <c r="T806" t="s">
        <v>273</v>
      </c>
      <c r="U806">
        <v>1.9327448195574422E-3</v>
      </c>
      <c r="V806" t="s">
        <v>166</v>
      </c>
    </row>
    <row r="807" spans="9:22" x14ac:dyDescent="0.45">
      <c r="I807" t="s">
        <v>193</v>
      </c>
      <c r="J807" t="s">
        <v>274</v>
      </c>
      <c r="K807">
        <v>8.2329834500041409E-3</v>
      </c>
      <c r="L807" t="s">
        <v>166</v>
      </c>
      <c r="N807" t="s">
        <v>217</v>
      </c>
      <c r="O807" t="s">
        <v>274</v>
      </c>
      <c r="P807">
        <v>7.0019895040212814E-3</v>
      </c>
      <c r="Q807" t="s">
        <v>166</v>
      </c>
      <c r="S807" t="s">
        <v>234</v>
      </c>
      <c r="T807" t="s">
        <v>274</v>
      </c>
      <c r="U807">
        <v>4.0371142826239178E-3</v>
      </c>
      <c r="V807" t="s">
        <v>166</v>
      </c>
    </row>
    <row r="808" spans="9:22" x14ac:dyDescent="0.45">
      <c r="I808" t="s">
        <v>193</v>
      </c>
      <c r="J808" t="s">
        <v>275</v>
      </c>
      <c r="K808">
        <v>7.3406296086921227E-4</v>
      </c>
      <c r="L808" t="s">
        <v>166</v>
      </c>
      <c r="N808" t="s">
        <v>217</v>
      </c>
      <c r="O808" t="s">
        <v>275</v>
      </c>
      <c r="P808">
        <v>1.7987386352098841E-2</v>
      </c>
      <c r="Q808" t="s">
        <v>166</v>
      </c>
      <c r="S808" t="s">
        <v>234</v>
      </c>
      <c r="T808" t="s">
        <v>275</v>
      </c>
      <c r="U808">
        <v>1.1479013489487178E-2</v>
      </c>
      <c r="V808" t="s">
        <v>166</v>
      </c>
    </row>
    <row r="809" spans="9:22" x14ac:dyDescent="0.45">
      <c r="I809" t="s">
        <v>193</v>
      </c>
      <c r="J809" t="s">
        <v>276</v>
      </c>
      <c r="K809">
        <v>5.0306028407408263E-3</v>
      </c>
      <c r="L809" t="s">
        <v>166</v>
      </c>
      <c r="N809" t="s">
        <v>217</v>
      </c>
      <c r="O809" t="s">
        <v>276</v>
      </c>
      <c r="P809">
        <v>4.8831498551911205E-2</v>
      </c>
      <c r="Q809" t="s">
        <v>166</v>
      </c>
      <c r="S809" t="s">
        <v>234</v>
      </c>
      <c r="T809" t="s">
        <v>276</v>
      </c>
      <c r="U809">
        <v>4.8303806347007934E-2</v>
      </c>
      <c r="V809" t="s">
        <v>166</v>
      </c>
    </row>
    <row r="810" spans="9:22" x14ac:dyDescent="0.45">
      <c r="I810" t="s">
        <v>193</v>
      </c>
      <c r="J810" t="s">
        <v>277</v>
      </c>
      <c r="K810">
        <v>9.9063736993085256E-3</v>
      </c>
      <c r="L810" t="s">
        <v>166</v>
      </c>
      <c r="N810" t="s">
        <v>217</v>
      </c>
      <c r="O810" t="s">
        <v>277</v>
      </c>
      <c r="P810">
        <v>5.9667977348784578E-3</v>
      </c>
      <c r="Q810" t="s">
        <v>166</v>
      </c>
      <c r="S810" t="s">
        <v>234</v>
      </c>
      <c r="T810" t="s">
        <v>277</v>
      </c>
      <c r="U810">
        <v>6.6530942832775395E-3</v>
      </c>
      <c r="V810" t="s">
        <v>166</v>
      </c>
    </row>
    <row r="811" spans="9:22" x14ac:dyDescent="0.45">
      <c r="I811" t="s">
        <v>193</v>
      </c>
      <c r="J811" t="s">
        <v>278</v>
      </c>
      <c r="K811">
        <v>0.11984601025785013</v>
      </c>
      <c r="L811" t="s">
        <v>166</v>
      </c>
      <c r="N811" t="s">
        <v>217</v>
      </c>
      <c r="O811" t="s">
        <v>278</v>
      </c>
      <c r="P811">
        <v>4.624091131277238E-2</v>
      </c>
      <c r="Q811" t="s">
        <v>166</v>
      </c>
      <c r="S811" t="s">
        <v>234</v>
      </c>
      <c r="T811" t="s">
        <v>278</v>
      </c>
      <c r="U811">
        <v>4.8614655397189212E-2</v>
      </c>
      <c r="V811" t="s">
        <v>166</v>
      </c>
    </row>
    <row r="812" spans="9:22" x14ac:dyDescent="0.45">
      <c r="I812" t="s">
        <v>193</v>
      </c>
      <c r="J812" t="s">
        <v>279</v>
      </c>
      <c r="K812">
        <v>1.3412234265075887E-2</v>
      </c>
      <c r="L812" t="s">
        <v>166</v>
      </c>
      <c r="N812" t="s">
        <v>217</v>
      </c>
      <c r="O812" t="s">
        <v>279</v>
      </c>
      <c r="P812">
        <v>6.9139606608765057E-3</v>
      </c>
      <c r="Q812" t="s">
        <v>166</v>
      </c>
      <c r="S812" t="s">
        <v>234</v>
      </c>
      <c r="T812" t="s">
        <v>279</v>
      </c>
      <c r="U812">
        <v>7.1556678683115243E-3</v>
      </c>
      <c r="V812" t="s">
        <v>166</v>
      </c>
    </row>
    <row r="813" spans="9:22" x14ac:dyDescent="0.45">
      <c r="I813" t="s">
        <v>193</v>
      </c>
      <c r="J813" t="s">
        <v>280</v>
      </c>
      <c r="K813">
        <v>1.5708177630762044E-2</v>
      </c>
      <c r="L813" t="s">
        <v>166</v>
      </c>
      <c r="N813" t="s">
        <v>217</v>
      </c>
      <c r="O813" t="s">
        <v>280</v>
      </c>
      <c r="P813">
        <v>1.2135220062037343E-2</v>
      </c>
      <c r="Q813" t="s">
        <v>166</v>
      </c>
      <c r="S813" t="s">
        <v>234</v>
      </c>
      <c r="T813" t="s">
        <v>280</v>
      </c>
      <c r="U813">
        <v>1.2553519103156451E-2</v>
      </c>
      <c r="V813" t="s">
        <v>166</v>
      </c>
    </row>
    <row r="814" spans="9:22" x14ac:dyDescent="0.45">
      <c r="I814" t="s">
        <v>193</v>
      </c>
      <c r="J814" t="s">
        <v>281</v>
      </c>
      <c r="K814">
        <v>0</v>
      </c>
      <c r="L814" t="s">
        <v>166</v>
      </c>
      <c r="N814" t="s">
        <v>217</v>
      </c>
      <c r="O814" t="s">
        <v>281</v>
      </c>
      <c r="P814">
        <v>3.3160952032956235E-2</v>
      </c>
      <c r="Q814" t="s">
        <v>166</v>
      </c>
      <c r="S814" t="s">
        <v>234</v>
      </c>
      <c r="T814" t="s">
        <v>281</v>
      </c>
      <c r="U814">
        <v>3.3966265581041058E-2</v>
      </c>
      <c r="V814" t="s">
        <v>166</v>
      </c>
    </row>
    <row r="815" spans="9:22" x14ac:dyDescent="0.45">
      <c r="I815" t="s">
        <v>193</v>
      </c>
      <c r="J815" t="s">
        <v>282</v>
      </c>
      <c r="K815">
        <v>1.3782219853229389E-3</v>
      </c>
      <c r="L815" t="s">
        <v>166</v>
      </c>
      <c r="N815" t="s">
        <v>217</v>
      </c>
      <c r="O815" t="s">
        <v>282</v>
      </c>
      <c r="P815">
        <v>4.045462760619202E-2</v>
      </c>
      <c r="Q815" t="s">
        <v>166</v>
      </c>
      <c r="S815" t="s">
        <v>234</v>
      </c>
      <c r="T815" t="s">
        <v>282</v>
      </c>
      <c r="U815">
        <v>4.4744532171385541E-2</v>
      </c>
      <c r="V815" t="s">
        <v>166</v>
      </c>
    </row>
    <row r="816" spans="9:22" x14ac:dyDescent="0.45">
      <c r="I816" t="s">
        <v>193</v>
      </c>
      <c r="J816" t="s">
        <v>283</v>
      </c>
      <c r="K816">
        <v>3.3715224289154401E-3</v>
      </c>
      <c r="L816" t="s">
        <v>166</v>
      </c>
      <c r="N816" t="s">
        <v>217</v>
      </c>
      <c r="O816" t="s">
        <v>283</v>
      </c>
      <c r="P816">
        <v>5.4500183432467982E-3</v>
      </c>
      <c r="Q816" t="s">
        <v>166</v>
      </c>
      <c r="S816" t="s">
        <v>234</v>
      </c>
      <c r="T816" t="s">
        <v>283</v>
      </c>
      <c r="U816">
        <v>5.7362277493506761E-3</v>
      </c>
      <c r="V816" t="s">
        <v>166</v>
      </c>
    </row>
    <row r="817" spans="9:22" x14ac:dyDescent="0.45">
      <c r="I817" t="s">
        <v>193</v>
      </c>
      <c r="J817" t="s">
        <v>284</v>
      </c>
      <c r="K817">
        <v>4.6829917894420765E-2</v>
      </c>
      <c r="L817" t="s">
        <v>166</v>
      </c>
      <c r="N817" t="s">
        <v>217</v>
      </c>
      <c r="O817" t="s">
        <v>284</v>
      </c>
      <c r="P817">
        <v>3.9314249988117715E-2</v>
      </c>
      <c r="Q817" t="s">
        <v>166</v>
      </c>
      <c r="S817" t="s">
        <v>234</v>
      </c>
      <c r="T817" t="s">
        <v>284</v>
      </c>
      <c r="U817">
        <v>4.2210752223586077E-2</v>
      </c>
      <c r="V817" t="s">
        <v>166</v>
      </c>
    </row>
    <row r="818" spans="9:22" x14ac:dyDescent="0.45">
      <c r="I818" t="s">
        <v>193</v>
      </c>
      <c r="J818" t="s">
        <v>285</v>
      </c>
      <c r="K818">
        <v>4.586776462362374E-3</v>
      </c>
      <c r="L818" t="s">
        <v>166</v>
      </c>
      <c r="N818" t="s">
        <v>217</v>
      </c>
      <c r="O818" t="s">
        <v>285</v>
      </c>
      <c r="P818">
        <v>5.9458568296045441E-3</v>
      </c>
      <c r="Q818" t="s">
        <v>166</v>
      </c>
      <c r="S818" t="s">
        <v>234</v>
      </c>
      <c r="T818" t="s">
        <v>285</v>
      </c>
      <c r="U818">
        <v>6.5277647417625413E-3</v>
      </c>
      <c r="V818" t="s">
        <v>166</v>
      </c>
    </row>
    <row r="819" spans="9:22" x14ac:dyDescent="0.45">
      <c r="I819" t="s">
        <v>193</v>
      </c>
      <c r="J819" t="s">
        <v>286</v>
      </c>
      <c r="K819">
        <v>3.1931417377090384E-3</v>
      </c>
      <c r="L819" t="s">
        <v>166</v>
      </c>
      <c r="N819" t="s">
        <v>217</v>
      </c>
      <c r="O819" t="s">
        <v>286</v>
      </c>
      <c r="P819">
        <v>1.0631051800960111E-2</v>
      </c>
      <c r="Q819" t="s">
        <v>166</v>
      </c>
      <c r="S819" t="s">
        <v>234</v>
      </c>
      <c r="T819" t="s">
        <v>286</v>
      </c>
      <c r="U819">
        <v>1.2060782622180218E-2</v>
      </c>
      <c r="V819" t="s">
        <v>166</v>
      </c>
    </row>
    <row r="820" spans="9:22" x14ac:dyDescent="0.45">
      <c r="I820" t="s">
        <v>193</v>
      </c>
      <c r="J820" t="s">
        <v>287</v>
      </c>
      <c r="K820">
        <v>0</v>
      </c>
      <c r="L820" t="s">
        <v>166</v>
      </c>
      <c r="N820" t="s">
        <v>217</v>
      </c>
      <c r="O820" t="s">
        <v>287</v>
      </c>
      <c r="P820">
        <v>2.7843071929479879E-2</v>
      </c>
      <c r="Q820" t="s">
        <v>166</v>
      </c>
      <c r="S820" t="s">
        <v>234</v>
      </c>
      <c r="T820" t="s">
        <v>287</v>
      </c>
      <c r="U820">
        <v>3.1400520401176323E-2</v>
      </c>
      <c r="V820" t="s">
        <v>166</v>
      </c>
    </row>
    <row r="821" spans="9:22" x14ac:dyDescent="0.45">
      <c r="I821" t="s">
        <v>193</v>
      </c>
      <c r="J821" t="s">
        <v>288</v>
      </c>
      <c r="K821">
        <v>0</v>
      </c>
      <c r="L821" t="s">
        <v>166</v>
      </c>
      <c r="N821" t="s">
        <v>217</v>
      </c>
      <c r="O821" t="s">
        <v>288</v>
      </c>
      <c r="P821">
        <v>3.4127682453642512E-2</v>
      </c>
      <c r="Q821" t="s">
        <v>166</v>
      </c>
      <c r="S821" t="s">
        <v>234</v>
      </c>
      <c r="T821" t="s">
        <v>288</v>
      </c>
      <c r="U821">
        <v>4.1152087656207766E-2</v>
      </c>
      <c r="V821" t="s">
        <v>166</v>
      </c>
    </row>
    <row r="822" spans="9:22" x14ac:dyDescent="0.45">
      <c r="I822" t="s">
        <v>193</v>
      </c>
      <c r="J822" t="s">
        <v>289</v>
      </c>
      <c r="K822">
        <v>5.1908481692384614E-3</v>
      </c>
      <c r="L822" t="s">
        <v>166</v>
      </c>
      <c r="N822" t="s">
        <v>217</v>
      </c>
      <c r="O822" t="s">
        <v>289</v>
      </c>
      <c r="P822">
        <v>5.0556392920162677E-3</v>
      </c>
      <c r="Q822" t="s">
        <v>166</v>
      </c>
      <c r="S822" t="s">
        <v>234</v>
      </c>
      <c r="T822" t="s">
        <v>289</v>
      </c>
      <c r="U822">
        <v>5.984194511150254E-3</v>
      </c>
      <c r="V822" t="s">
        <v>166</v>
      </c>
    </row>
    <row r="823" spans="9:22" x14ac:dyDescent="0.45">
      <c r="I823" t="s">
        <v>193</v>
      </c>
      <c r="J823" t="s">
        <v>290</v>
      </c>
      <c r="K823">
        <v>6.9804900926472527E-2</v>
      </c>
      <c r="L823" t="s">
        <v>166</v>
      </c>
      <c r="N823" t="s">
        <v>217</v>
      </c>
      <c r="O823" t="s">
        <v>290</v>
      </c>
      <c r="P823">
        <v>3.5523973600735441E-2</v>
      </c>
      <c r="Q823" t="s">
        <v>166</v>
      </c>
      <c r="S823" t="s">
        <v>234</v>
      </c>
      <c r="T823" t="s">
        <v>290</v>
      </c>
      <c r="U823">
        <v>3.9074117996309693E-2</v>
      </c>
      <c r="V823" t="s">
        <v>166</v>
      </c>
    </row>
    <row r="824" spans="9:22" x14ac:dyDescent="0.45">
      <c r="I824" t="s">
        <v>193</v>
      </c>
      <c r="J824" t="s">
        <v>291</v>
      </c>
      <c r="K824">
        <v>7.6631525343770967E-3</v>
      </c>
      <c r="L824" t="s">
        <v>166</v>
      </c>
      <c r="N824" t="s">
        <v>217</v>
      </c>
      <c r="O824" t="s">
        <v>291</v>
      </c>
      <c r="P824">
        <v>4.5874555710094835E-3</v>
      </c>
      <c r="Q824" t="s">
        <v>166</v>
      </c>
      <c r="S824" t="s">
        <v>234</v>
      </c>
      <c r="T824" t="s">
        <v>291</v>
      </c>
      <c r="U824">
        <v>5.1937604124858983E-3</v>
      </c>
      <c r="V824" t="s">
        <v>166</v>
      </c>
    </row>
    <row r="825" spans="9:22" x14ac:dyDescent="0.45">
      <c r="I825" t="s">
        <v>193</v>
      </c>
      <c r="J825" t="s">
        <v>292</v>
      </c>
      <c r="K825">
        <v>5.1945255161415975E-3</v>
      </c>
      <c r="L825" t="s">
        <v>166</v>
      </c>
      <c r="N825" t="s">
        <v>217</v>
      </c>
      <c r="O825" t="s">
        <v>292</v>
      </c>
      <c r="P825">
        <v>7.415788104683207E-3</v>
      </c>
      <c r="Q825" t="s">
        <v>166</v>
      </c>
      <c r="S825" t="s">
        <v>234</v>
      </c>
      <c r="T825" t="s">
        <v>292</v>
      </c>
      <c r="U825">
        <v>8.2194744717417525E-3</v>
      </c>
      <c r="V825" t="s">
        <v>166</v>
      </c>
    </row>
    <row r="826" spans="9:22" x14ac:dyDescent="0.45">
      <c r="I826" t="s">
        <v>193</v>
      </c>
      <c r="J826" t="s">
        <v>293</v>
      </c>
      <c r="K826">
        <v>0</v>
      </c>
      <c r="L826" t="s">
        <v>166</v>
      </c>
      <c r="N826" t="s">
        <v>217</v>
      </c>
      <c r="O826" t="s">
        <v>293</v>
      </c>
      <c r="P826">
        <v>1.7454472023181258E-2</v>
      </c>
      <c r="Q826" t="s">
        <v>166</v>
      </c>
      <c r="S826" t="s">
        <v>234</v>
      </c>
      <c r="T826" t="s">
        <v>293</v>
      </c>
      <c r="U826">
        <v>1.9901899023360856E-2</v>
      </c>
      <c r="V826" t="s">
        <v>166</v>
      </c>
    </row>
    <row r="827" spans="9:22" x14ac:dyDescent="0.45">
      <c r="I827" t="s">
        <v>194</v>
      </c>
      <c r="J827" t="s">
        <v>165</v>
      </c>
      <c r="K827">
        <v>6.3590537857130805E-3</v>
      </c>
      <c r="L827" t="s">
        <v>166</v>
      </c>
      <c r="S827" t="s">
        <v>235</v>
      </c>
      <c r="T827" t="s">
        <v>165</v>
      </c>
      <c r="U827">
        <v>0.12087672335317759</v>
      </c>
      <c r="V827" t="s">
        <v>166</v>
      </c>
    </row>
    <row r="828" spans="9:22" x14ac:dyDescent="0.45">
      <c r="I828" t="s">
        <v>194</v>
      </c>
      <c r="J828" t="s">
        <v>167</v>
      </c>
      <c r="K828">
        <v>1.7246993490999622E-2</v>
      </c>
      <c r="L828" t="s">
        <v>166</v>
      </c>
      <c r="S828" t="s">
        <v>235</v>
      </c>
      <c r="T828" t="s">
        <v>167</v>
      </c>
      <c r="U828">
        <v>1.4302110697892279E-2</v>
      </c>
      <c r="V828" t="s">
        <v>166</v>
      </c>
    </row>
    <row r="829" spans="9:22" x14ac:dyDescent="0.45">
      <c r="I829" t="s">
        <v>194</v>
      </c>
      <c r="J829" t="s">
        <v>168</v>
      </c>
      <c r="K829">
        <v>0.25256023343780365</v>
      </c>
      <c r="L829" t="s">
        <v>166</v>
      </c>
      <c r="S829" t="s">
        <v>235</v>
      </c>
      <c r="T829" t="s">
        <v>168</v>
      </c>
      <c r="U829">
        <v>9.0024228437885337E-2</v>
      </c>
      <c r="V829" t="s">
        <v>166</v>
      </c>
    </row>
    <row r="830" spans="9:22" x14ac:dyDescent="0.45">
      <c r="I830" t="s">
        <v>194</v>
      </c>
      <c r="J830" t="s">
        <v>258</v>
      </c>
      <c r="K830">
        <v>3.3014390242951233E-2</v>
      </c>
      <c r="L830" t="s">
        <v>166</v>
      </c>
      <c r="S830" t="s">
        <v>235</v>
      </c>
      <c r="T830" t="s">
        <v>258</v>
      </c>
      <c r="U830">
        <v>1.3306002492670567E-2</v>
      </c>
      <c r="V830" t="s">
        <v>166</v>
      </c>
    </row>
    <row r="831" spans="9:22" x14ac:dyDescent="0.45">
      <c r="I831" t="s">
        <v>194</v>
      </c>
      <c r="J831" t="s">
        <v>259</v>
      </c>
      <c r="K831">
        <v>4.3082042918273944E-2</v>
      </c>
      <c r="L831" t="s">
        <v>166</v>
      </c>
      <c r="S831" t="s">
        <v>235</v>
      </c>
      <c r="T831" t="s">
        <v>259</v>
      </c>
      <c r="U831">
        <v>2.7513936959786232E-2</v>
      </c>
      <c r="V831" t="s">
        <v>166</v>
      </c>
    </row>
    <row r="832" spans="9:22" x14ac:dyDescent="0.45">
      <c r="I832" t="s">
        <v>194</v>
      </c>
      <c r="J832" t="s">
        <v>260</v>
      </c>
      <c r="K832">
        <v>0</v>
      </c>
      <c r="L832" t="s">
        <v>166</v>
      </c>
      <c r="S832" t="s">
        <v>235</v>
      </c>
      <c r="T832" t="s">
        <v>260</v>
      </c>
      <c r="U832">
        <v>8.5178762433829963E-2</v>
      </c>
      <c r="V832" t="s">
        <v>166</v>
      </c>
    </row>
    <row r="833" spans="9:22" x14ac:dyDescent="0.45">
      <c r="I833" t="s">
        <v>194</v>
      </c>
      <c r="J833" t="s">
        <v>169</v>
      </c>
      <c r="K833">
        <v>1.8629606761577482E-3</v>
      </c>
      <c r="L833" t="s">
        <v>166</v>
      </c>
      <c r="S833" t="s">
        <v>235</v>
      </c>
      <c r="T833" t="s">
        <v>169</v>
      </c>
      <c r="U833">
        <v>3.1201809293407521E-2</v>
      </c>
      <c r="V833" t="s">
        <v>166</v>
      </c>
    </row>
    <row r="834" spans="9:22" x14ac:dyDescent="0.45">
      <c r="I834" t="s">
        <v>194</v>
      </c>
      <c r="J834" t="s">
        <v>170</v>
      </c>
      <c r="K834">
        <v>3.810986582264322E-3</v>
      </c>
      <c r="L834" t="s">
        <v>166</v>
      </c>
      <c r="S834" t="s">
        <v>235</v>
      </c>
      <c r="T834" t="s">
        <v>170</v>
      </c>
      <c r="U834">
        <v>2.779425375169689E-3</v>
      </c>
      <c r="V834" t="s">
        <v>166</v>
      </c>
    </row>
    <row r="835" spans="9:22" x14ac:dyDescent="0.45">
      <c r="I835" t="s">
        <v>194</v>
      </c>
      <c r="J835" t="s">
        <v>171</v>
      </c>
      <c r="K835">
        <v>6.5125768541651557E-2</v>
      </c>
      <c r="L835" t="s">
        <v>166</v>
      </c>
      <c r="S835" t="s">
        <v>235</v>
      </c>
      <c r="T835" t="s">
        <v>171</v>
      </c>
      <c r="U835">
        <v>1.5100407751174572E-2</v>
      </c>
      <c r="V835" t="s">
        <v>166</v>
      </c>
    </row>
    <row r="836" spans="9:22" x14ac:dyDescent="0.45">
      <c r="I836" t="s">
        <v>194</v>
      </c>
      <c r="J836" t="s">
        <v>261</v>
      </c>
      <c r="K836">
        <v>8.7720625300163196E-3</v>
      </c>
      <c r="L836" t="s">
        <v>166</v>
      </c>
      <c r="S836" t="s">
        <v>235</v>
      </c>
      <c r="T836" t="s">
        <v>261</v>
      </c>
      <c r="U836">
        <v>2.0285765702020859E-3</v>
      </c>
      <c r="V836" t="s">
        <v>166</v>
      </c>
    </row>
    <row r="837" spans="9:22" x14ac:dyDescent="0.45">
      <c r="I837" t="s">
        <v>194</v>
      </c>
      <c r="J837" t="s">
        <v>262</v>
      </c>
      <c r="K837">
        <v>1.1357654930039889E-2</v>
      </c>
      <c r="L837" t="s">
        <v>166</v>
      </c>
      <c r="S837" t="s">
        <v>235</v>
      </c>
      <c r="T837" t="s">
        <v>262</v>
      </c>
      <c r="U837">
        <v>4.2651973303385023E-3</v>
      </c>
      <c r="V837" t="s">
        <v>166</v>
      </c>
    </row>
    <row r="838" spans="9:22" x14ac:dyDescent="0.45">
      <c r="I838" t="s">
        <v>194</v>
      </c>
      <c r="J838" t="s">
        <v>263</v>
      </c>
      <c r="K838">
        <v>2.0145548048604105E-3</v>
      </c>
      <c r="L838" t="s">
        <v>166</v>
      </c>
      <c r="S838" t="s">
        <v>235</v>
      </c>
      <c r="T838" t="s">
        <v>263</v>
      </c>
      <c r="U838">
        <v>2.3335493119580664E-2</v>
      </c>
      <c r="V838" t="s">
        <v>166</v>
      </c>
    </row>
    <row r="839" spans="9:22" x14ac:dyDescent="0.45">
      <c r="I839" t="s">
        <v>194</v>
      </c>
      <c r="J839" t="s">
        <v>172</v>
      </c>
      <c r="K839">
        <v>2.6748065054164002E-3</v>
      </c>
      <c r="L839" t="s">
        <v>166</v>
      </c>
      <c r="S839" t="s">
        <v>235</v>
      </c>
      <c r="T839" t="s">
        <v>172</v>
      </c>
      <c r="U839">
        <v>3.4116282425989734E-2</v>
      </c>
      <c r="V839" t="s">
        <v>166</v>
      </c>
    </row>
    <row r="840" spans="9:22" x14ac:dyDescent="0.45">
      <c r="I840" t="s">
        <v>194</v>
      </c>
      <c r="J840" t="s">
        <v>173</v>
      </c>
      <c r="K840">
        <v>4.0726252271643618E-3</v>
      </c>
      <c r="L840" t="s">
        <v>166</v>
      </c>
      <c r="S840" t="s">
        <v>235</v>
      </c>
      <c r="T840" t="s">
        <v>173</v>
      </c>
      <c r="U840">
        <v>3.4938047581771917E-3</v>
      </c>
      <c r="V840" t="s">
        <v>166</v>
      </c>
    </row>
    <row r="841" spans="9:22" x14ac:dyDescent="0.45">
      <c r="I841" t="s">
        <v>194</v>
      </c>
      <c r="J841" t="s">
        <v>174</v>
      </c>
      <c r="K841">
        <v>6.0786109512820825E-2</v>
      </c>
      <c r="L841" t="s">
        <v>166</v>
      </c>
      <c r="S841" t="s">
        <v>235</v>
      </c>
      <c r="T841" t="s">
        <v>174</v>
      </c>
      <c r="U841">
        <v>2.1803440336988597E-2</v>
      </c>
      <c r="V841" t="s">
        <v>166</v>
      </c>
    </row>
    <row r="842" spans="9:22" x14ac:dyDescent="0.45">
      <c r="I842" t="s">
        <v>194</v>
      </c>
      <c r="J842" t="s">
        <v>264</v>
      </c>
      <c r="K842">
        <v>7.7349295181231717E-3</v>
      </c>
      <c r="L842" t="s">
        <v>166</v>
      </c>
      <c r="S842" t="s">
        <v>235</v>
      </c>
      <c r="T842" t="s">
        <v>264</v>
      </c>
      <c r="U842">
        <v>3.0311670827799669E-3</v>
      </c>
      <c r="V842" t="s">
        <v>166</v>
      </c>
    </row>
    <row r="843" spans="9:22" x14ac:dyDescent="0.45">
      <c r="I843" t="s">
        <v>194</v>
      </c>
      <c r="J843" t="s">
        <v>265</v>
      </c>
      <c r="K843">
        <v>9.8384378766848395E-3</v>
      </c>
      <c r="L843" t="s">
        <v>166</v>
      </c>
      <c r="S843" t="s">
        <v>235</v>
      </c>
      <c r="T843" t="s">
        <v>265</v>
      </c>
      <c r="U843">
        <v>5.6853399612035111E-3</v>
      </c>
      <c r="V843" t="s">
        <v>166</v>
      </c>
    </row>
    <row r="844" spans="9:22" x14ac:dyDescent="0.45">
      <c r="I844" t="s">
        <v>194</v>
      </c>
      <c r="J844" t="s">
        <v>266</v>
      </c>
      <c r="K844">
        <v>1.7195305245357767E-3</v>
      </c>
      <c r="L844" t="s">
        <v>166</v>
      </c>
      <c r="S844" t="s">
        <v>235</v>
      </c>
      <c r="T844" t="s">
        <v>266</v>
      </c>
      <c r="U844">
        <v>2.2832619128300896E-2</v>
      </c>
      <c r="V844" t="s">
        <v>166</v>
      </c>
    </row>
    <row r="845" spans="9:22" x14ac:dyDescent="0.45">
      <c r="I845" t="s">
        <v>194</v>
      </c>
      <c r="J845" t="s">
        <v>175</v>
      </c>
      <c r="K845">
        <v>7.9486016694860283E-4</v>
      </c>
      <c r="L845" t="s">
        <v>166</v>
      </c>
      <c r="S845" t="s">
        <v>235</v>
      </c>
      <c r="T845" t="s">
        <v>175</v>
      </c>
      <c r="U845">
        <v>3.0415708706218438E-2</v>
      </c>
      <c r="V845" t="s">
        <v>166</v>
      </c>
    </row>
    <row r="846" spans="9:22" x14ac:dyDescent="0.45">
      <c r="I846" t="s">
        <v>194</v>
      </c>
      <c r="J846" t="s">
        <v>176</v>
      </c>
      <c r="K846">
        <v>1.9738101914887193E-3</v>
      </c>
      <c r="L846" t="s">
        <v>166</v>
      </c>
      <c r="S846" t="s">
        <v>235</v>
      </c>
      <c r="T846" t="s">
        <v>176</v>
      </c>
      <c r="U846">
        <v>2.5516495727899735E-3</v>
      </c>
      <c r="V846" t="s">
        <v>166</v>
      </c>
    </row>
    <row r="847" spans="9:22" x14ac:dyDescent="0.45">
      <c r="I847" t="s">
        <v>194</v>
      </c>
      <c r="J847" t="s">
        <v>177</v>
      </c>
      <c r="K847">
        <v>4.9837634550880902E-2</v>
      </c>
      <c r="L847" t="s">
        <v>166</v>
      </c>
      <c r="S847" t="s">
        <v>235</v>
      </c>
      <c r="T847" t="s">
        <v>177</v>
      </c>
      <c r="U847">
        <v>1.5119089445743583E-2</v>
      </c>
      <c r="V847" t="s">
        <v>166</v>
      </c>
    </row>
    <row r="848" spans="9:22" x14ac:dyDescent="0.45">
      <c r="I848" t="s">
        <v>194</v>
      </c>
      <c r="J848" t="s">
        <v>267</v>
      </c>
      <c r="K848">
        <v>6.8073699655681313E-3</v>
      </c>
      <c r="L848" t="s">
        <v>166</v>
      </c>
      <c r="S848" t="s">
        <v>235</v>
      </c>
      <c r="T848" t="s">
        <v>267</v>
      </c>
      <c r="U848">
        <v>2.3213976092128527E-3</v>
      </c>
      <c r="V848" t="s">
        <v>166</v>
      </c>
    </row>
    <row r="849" spans="9:22" x14ac:dyDescent="0.45">
      <c r="I849" t="s">
        <v>194</v>
      </c>
      <c r="J849" t="s">
        <v>268</v>
      </c>
      <c r="K849">
        <v>8.5548038776225837E-3</v>
      </c>
      <c r="L849" t="s">
        <v>166</v>
      </c>
      <c r="S849" t="s">
        <v>235</v>
      </c>
      <c r="T849" t="s">
        <v>268</v>
      </c>
      <c r="U849">
        <v>5.0368666239500714E-3</v>
      </c>
      <c r="V849" t="s">
        <v>166</v>
      </c>
    </row>
    <row r="850" spans="9:22" x14ac:dyDescent="0.45">
      <c r="I850" t="s">
        <v>194</v>
      </c>
      <c r="J850" t="s">
        <v>269</v>
      </c>
      <c r="K850">
        <v>1.5678210904423835E-3</v>
      </c>
      <c r="L850" t="s">
        <v>166</v>
      </c>
      <c r="S850" t="s">
        <v>235</v>
      </c>
      <c r="T850" t="s">
        <v>269</v>
      </c>
      <c r="U850">
        <v>2.0760201906431592E-2</v>
      </c>
      <c r="V850" t="s">
        <v>166</v>
      </c>
    </row>
    <row r="851" spans="9:22" x14ac:dyDescent="0.45">
      <c r="I851" t="s">
        <v>194</v>
      </c>
      <c r="J851" t="s">
        <v>270</v>
      </c>
      <c r="K851">
        <v>1.4659894825994983E-3</v>
      </c>
      <c r="L851" t="s">
        <v>166</v>
      </c>
      <c r="S851" t="s">
        <v>235</v>
      </c>
      <c r="T851" t="s">
        <v>270</v>
      </c>
      <c r="U851">
        <v>2.6820801489535754E-2</v>
      </c>
      <c r="V851" t="s">
        <v>166</v>
      </c>
    </row>
    <row r="852" spans="9:22" x14ac:dyDescent="0.45">
      <c r="I852" t="s">
        <v>194</v>
      </c>
      <c r="J852" t="s">
        <v>271</v>
      </c>
      <c r="K852">
        <v>3.6942338818124467E-3</v>
      </c>
      <c r="L852" t="s">
        <v>166</v>
      </c>
      <c r="S852" t="s">
        <v>235</v>
      </c>
      <c r="T852" t="s">
        <v>271</v>
      </c>
      <c r="U852">
        <v>2.9485621685697841E-3</v>
      </c>
      <c r="V852" t="s">
        <v>166</v>
      </c>
    </row>
    <row r="853" spans="9:22" x14ac:dyDescent="0.45">
      <c r="I853" t="s">
        <v>194</v>
      </c>
      <c r="J853" t="s">
        <v>272</v>
      </c>
      <c r="K853">
        <v>6.3077571873061108E-2</v>
      </c>
      <c r="L853" t="s">
        <v>166</v>
      </c>
      <c r="S853" t="s">
        <v>235</v>
      </c>
      <c r="T853" t="s">
        <v>272</v>
      </c>
      <c r="U853">
        <v>1.6588973224176202E-2</v>
      </c>
      <c r="V853" t="s">
        <v>166</v>
      </c>
    </row>
    <row r="854" spans="9:22" x14ac:dyDescent="0.45">
      <c r="I854" t="s">
        <v>194</v>
      </c>
      <c r="J854" t="s">
        <v>273</v>
      </c>
      <c r="K854">
        <v>7.6419273271907742E-3</v>
      </c>
      <c r="L854" t="s">
        <v>166</v>
      </c>
      <c r="S854" t="s">
        <v>235</v>
      </c>
      <c r="T854" t="s">
        <v>273</v>
      </c>
      <c r="U854">
        <v>1.7835349130934557E-3</v>
      </c>
      <c r="V854" t="s">
        <v>166</v>
      </c>
    </row>
    <row r="855" spans="9:22" x14ac:dyDescent="0.45">
      <c r="I855" t="s">
        <v>194</v>
      </c>
      <c r="J855" t="s">
        <v>274</v>
      </c>
      <c r="K855">
        <v>8.7019838776262372E-3</v>
      </c>
      <c r="L855" t="s">
        <v>166</v>
      </c>
      <c r="S855" t="s">
        <v>235</v>
      </c>
      <c r="T855" t="s">
        <v>274</v>
      </c>
      <c r="U855">
        <v>3.4964471798541816E-3</v>
      </c>
      <c r="V855" t="s">
        <v>166</v>
      </c>
    </row>
    <row r="856" spans="9:22" x14ac:dyDescent="0.45">
      <c r="I856" t="s">
        <v>194</v>
      </c>
      <c r="J856" t="s">
        <v>275</v>
      </c>
      <c r="K856">
        <v>9.9470430681740754E-4</v>
      </c>
      <c r="L856" t="s">
        <v>166</v>
      </c>
      <c r="S856" t="s">
        <v>235</v>
      </c>
      <c r="T856" t="s">
        <v>275</v>
      </c>
      <c r="U856">
        <v>1.6171000248823775E-2</v>
      </c>
      <c r="V856" t="s">
        <v>166</v>
      </c>
    </row>
    <row r="857" spans="9:22" x14ac:dyDescent="0.45">
      <c r="I857" t="s">
        <v>194</v>
      </c>
      <c r="J857" t="s">
        <v>276</v>
      </c>
      <c r="K857">
        <v>5.1119637374685807E-3</v>
      </c>
      <c r="L857" t="s">
        <v>166</v>
      </c>
      <c r="S857" t="s">
        <v>235</v>
      </c>
      <c r="T857" t="s">
        <v>276</v>
      </c>
      <c r="U857">
        <v>4.4222170237873414E-2</v>
      </c>
      <c r="V857" t="s">
        <v>166</v>
      </c>
    </row>
    <row r="858" spans="9:22" x14ac:dyDescent="0.45">
      <c r="I858" t="s">
        <v>194</v>
      </c>
      <c r="J858" t="s">
        <v>277</v>
      </c>
      <c r="K858">
        <v>9.9629401008076383E-3</v>
      </c>
      <c r="L858" t="s">
        <v>166</v>
      </c>
      <c r="S858" t="s">
        <v>235</v>
      </c>
      <c r="T858" t="s">
        <v>277</v>
      </c>
      <c r="U858">
        <v>5.9920474595824705E-3</v>
      </c>
      <c r="V858" t="s">
        <v>166</v>
      </c>
    </row>
    <row r="859" spans="9:22" x14ac:dyDescent="0.45">
      <c r="I859" t="s">
        <v>194</v>
      </c>
      <c r="J859" t="s">
        <v>278</v>
      </c>
      <c r="K859">
        <v>0.12489898837892116</v>
      </c>
      <c r="L859" t="s">
        <v>166</v>
      </c>
      <c r="S859" t="s">
        <v>235</v>
      </c>
      <c r="T859" t="s">
        <v>278</v>
      </c>
      <c r="U859">
        <v>3.9013463842179151E-2</v>
      </c>
      <c r="V859" t="s">
        <v>166</v>
      </c>
    </row>
    <row r="860" spans="9:22" x14ac:dyDescent="0.45">
      <c r="I860" t="s">
        <v>194</v>
      </c>
      <c r="J860" t="s">
        <v>279</v>
      </c>
      <c r="K860">
        <v>1.4493285383858311E-2</v>
      </c>
      <c r="L860" t="s">
        <v>166</v>
      </c>
      <c r="S860" t="s">
        <v>235</v>
      </c>
      <c r="T860" t="s">
        <v>279</v>
      </c>
      <c r="U860">
        <v>5.2932450268153332E-3</v>
      </c>
      <c r="V860" t="s">
        <v>166</v>
      </c>
    </row>
    <row r="861" spans="9:22" x14ac:dyDescent="0.45">
      <c r="I861" t="s">
        <v>194</v>
      </c>
      <c r="J861" t="s">
        <v>280</v>
      </c>
      <c r="K861">
        <v>1.6965003029188457E-2</v>
      </c>
      <c r="L861" t="s">
        <v>166</v>
      </c>
      <c r="S861" t="s">
        <v>235</v>
      </c>
      <c r="T861" t="s">
        <v>280</v>
      </c>
      <c r="U861">
        <v>9.939721979930153E-3</v>
      </c>
      <c r="V861" t="s">
        <v>166</v>
      </c>
    </row>
    <row r="862" spans="9:22" x14ac:dyDescent="0.45">
      <c r="I862" t="s">
        <v>194</v>
      </c>
      <c r="J862" t="s">
        <v>281</v>
      </c>
      <c r="K862">
        <v>0</v>
      </c>
      <c r="L862" t="s">
        <v>166</v>
      </c>
      <c r="S862" t="s">
        <v>235</v>
      </c>
      <c r="T862" t="s">
        <v>281</v>
      </c>
      <c r="U862">
        <v>2.5451331456321179E-2</v>
      </c>
      <c r="V862" t="s">
        <v>166</v>
      </c>
    </row>
    <row r="863" spans="9:22" x14ac:dyDescent="0.45">
      <c r="I863" t="s">
        <v>194</v>
      </c>
      <c r="J863" t="s">
        <v>282</v>
      </c>
      <c r="K863">
        <v>1.3376261151404299E-3</v>
      </c>
      <c r="L863" t="s">
        <v>166</v>
      </c>
      <c r="S863" t="s">
        <v>235</v>
      </c>
      <c r="T863" t="s">
        <v>282</v>
      </c>
      <c r="U863">
        <v>3.6989944069967778E-2</v>
      </c>
      <c r="V863" t="s">
        <v>166</v>
      </c>
    </row>
    <row r="864" spans="9:22" x14ac:dyDescent="0.45">
      <c r="I864" t="s">
        <v>194</v>
      </c>
      <c r="J864" t="s">
        <v>283</v>
      </c>
      <c r="K864">
        <v>3.4525746895436426E-3</v>
      </c>
      <c r="L864" t="s">
        <v>166</v>
      </c>
      <c r="S864" t="s">
        <v>235</v>
      </c>
      <c r="T864" t="s">
        <v>283</v>
      </c>
      <c r="U864">
        <v>5.1210555456289815E-3</v>
      </c>
      <c r="V864" t="s">
        <v>166</v>
      </c>
    </row>
    <row r="865" spans="9:22" x14ac:dyDescent="0.45">
      <c r="I865" t="s">
        <v>194</v>
      </c>
      <c r="J865" t="s">
        <v>284</v>
      </c>
      <c r="K865">
        <v>5.0421010301148123E-2</v>
      </c>
      <c r="L865" t="s">
        <v>166</v>
      </c>
      <c r="S865" t="s">
        <v>235</v>
      </c>
      <c r="T865" t="s">
        <v>284</v>
      </c>
      <c r="U865">
        <v>3.2026542150040825E-2</v>
      </c>
      <c r="V865" t="s">
        <v>166</v>
      </c>
    </row>
    <row r="866" spans="9:22" x14ac:dyDescent="0.45">
      <c r="I866" t="s">
        <v>194</v>
      </c>
      <c r="J866" t="s">
        <v>285</v>
      </c>
      <c r="K866">
        <v>5.3083223124154571E-3</v>
      </c>
      <c r="L866" t="s">
        <v>166</v>
      </c>
      <c r="S866" t="s">
        <v>235</v>
      </c>
      <c r="T866" t="s">
        <v>285</v>
      </c>
      <c r="U866">
        <v>4.152266125328076E-3</v>
      </c>
      <c r="V866" t="s">
        <v>166</v>
      </c>
    </row>
    <row r="867" spans="9:22" x14ac:dyDescent="0.45">
      <c r="I867" t="s">
        <v>194</v>
      </c>
      <c r="J867" t="s">
        <v>286</v>
      </c>
      <c r="K867">
        <v>3.6244960702342685E-3</v>
      </c>
      <c r="L867" t="s">
        <v>166</v>
      </c>
      <c r="S867" t="s">
        <v>235</v>
      </c>
      <c r="T867" t="s">
        <v>286</v>
      </c>
      <c r="U867">
        <v>7.4947625139481248E-3</v>
      </c>
      <c r="V867" t="s">
        <v>166</v>
      </c>
    </row>
    <row r="868" spans="9:22" x14ac:dyDescent="0.45">
      <c r="I868" t="s">
        <v>194</v>
      </c>
      <c r="J868" t="s">
        <v>287</v>
      </c>
      <c r="K868">
        <v>0</v>
      </c>
      <c r="L868" t="s">
        <v>166</v>
      </c>
      <c r="S868" t="s">
        <v>235</v>
      </c>
      <c r="T868" t="s">
        <v>287</v>
      </c>
      <c r="U868">
        <v>2.1653576264833913E-2</v>
      </c>
      <c r="V868" t="s">
        <v>166</v>
      </c>
    </row>
    <row r="869" spans="9:22" x14ac:dyDescent="0.45">
      <c r="I869" t="s">
        <v>194</v>
      </c>
      <c r="J869" t="s">
        <v>288</v>
      </c>
      <c r="K869">
        <v>0</v>
      </c>
      <c r="L869" t="s">
        <v>166</v>
      </c>
      <c r="S869" t="s">
        <v>235</v>
      </c>
      <c r="T869" t="s">
        <v>288</v>
      </c>
      <c r="U869">
        <v>3.4957240939458421E-2</v>
      </c>
      <c r="V869" t="s">
        <v>166</v>
      </c>
    </row>
    <row r="870" spans="9:22" x14ac:dyDescent="0.45">
      <c r="I870" t="s">
        <v>194</v>
      </c>
      <c r="J870" t="s">
        <v>289</v>
      </c>
      <c r="K870">
        <v>4.3932624179296772E-3</v>
      </c>
      <c r="L870" t="s">
        <v>166</v>
      </c>
      <c r="S870" t="s">
        <v>235</v>
      </c>
      <c r="T870" t="s">
        <v>289</v>
      </c>
      <c r="U870">
        <v>4.8258652069220814E-3</v>
      </c>
      <c r="V870" t="s">
        <v>166</v>
      </c>
    </row>
    <row r="871" spans="9:22" x14ac:dyDescent="0.45">
      <c r="I871" t="s">
        <v>194</v>
      </c>
      <c r="J871" t="s">
        <v>290</v>
      </c>
      <c r="K871">
        <v>6.2932111888164596E-2</v>
      </c>
      <c r="L871" t="s">
        <v>166</v>
      </c>
      <c r="S871" t="s">
        <v>235</v>
      </c>
      <c r="T871" t="s">
        <v>290</v>
      </c>
      <c r="U871">
        <v>3.055099463582996E-2</v>
      </c>
      <c r="V871" t="s">
        <v>166</v>
      </c>
    </row>
    <row r="872" spans="9:22" x14ac:dyDescent="0.45">
      <c r="I872" t="s">
        <v>194</v>
      </c>
      <c r="J872" t="s">
        <v>291</v>
      </c>
      <c r="K872">
        <v>6.1482327816640651E-3</v>
      </c>
      <c r="L872" t="s">
        <v>166</v>
      </c>
      <c r="S872" t="s">
        <v>235</v>
      </c>
      <c r="T872" t="s">
        <v>291</v>
      </c>
      <c r="U872">
        <v>3.8365797407443119E-3</v>
      </c>
      <c r="V872" t="s">
        <v>166</v>
      </c>
    </row>
    <row r="873" spans="9:22" x14ac:dyDescent="0.45">
      <c r="I873" t="s">
        <v>194</v>
      </c>
      <c r="J873" t="s">
        <v>292</v>
      </c>
      <c r="K873">
        <v>3.8043310959774992E-3</v>
      </c>
      <c r="L873" t="s">
        <v>166</v>
      </c>
      <c r="S873" t="s">
        <v>235</v>
      </c>
      <c r="T873" t="s">
        <v>292</v>
      </c>
      <c r="U873">
        <v>6.2924912448707165E-3</v>
      </c>
      <c r="V873" t="s">
        <v>166</v>
      </c>
    </row>
    <row r="874" spans="9:22" x14ac:dyDescent="0.45">
      <c r="I874" t="s">
        <v>194</v>
      </c>
      <c r="J874" t="s">
        <v>293</v>
      </c>
      <c r="K874">
        <v>0</v>
      </c>
      <c r="L874" t="s">
        <v>166</v>
      </c>
      <c r="S874" t="s">
        <v>235</v>
      </c>
      <c r="T874" t="s">
        <v>293</v>
      </c>
      <c r="U874">
        <v>1.7297140962769526E-2</v>
      </c>
      <c r="V874" t="s">
        <v>166</v>
      </c>
    </row>
    <row r="875" spans="9:22" x14ac:dyDescent="0.45">
      <c r="I875" t="s">
        <v>195</v>
      </c>
      <c r="J875" t="s">
        <v>165</v>
      </c>
      <c r="K875">
        <v>3.6730079061341142E-3</v>
      </c>
      <c r="L875" t="s">
        <v>166</v>
      </c>
      <c r="S875" t="s">
        <v>236</v>
      </c>
      <c r="T875" t="s">
        <v>165</v>
      </c>
      <c r="U875">
        <v>0.11183664793213437</v>
      </c>
      <c r="V875" t="s">
        <v>166</v>
      </c>
    </row>
    <row r="876" spans="9:22" x14ac:dyDescent="0.45">
      <c r="I876" t="s">
        <v>195</v>
      </c>
      <c r="J876" t="s">
        <v>167</v>
      </c>
      <c r="K876">
        <v>1.0409739081839843E-2</v>
      </c>
      <c r="L876" t="s">
        <v>166</v>
      </c>
      <c r="S876" t="s">
        <v>236</v>
      </c>
      <c r="T876" t="s">
        <v>167</v>
      </c>
      <c r="U876">
        <v>1.4209825828232018E-2</v>
      </c>
      <c r="V876" t="s">
        <v>166</v>
      </c>
    </row>
    <row r="877" spans="9:22" x14ac:dyDescent="0.45">
      <c r="I877" t="s">
        <v>195</v>
      </c>
      <c r="J877" t="s">
        <v>168</v>
      </c>
      <c r="K877">
        <v>0.20705022197853229</v>
      </c>
      <c r="L877" t="s">
        <v>166</v>
      </c>
      <c r="S877" t="s">
        <v>236</v>
      </c>
      <c r="T877" t="s">
        <v>168</v>
      </c>
      <c r="U877">
        <v>9.412244797319351E-2</v>
      </c>
      <c r="V877" t="s">
        <v>166</v>
      </c>
    </row>
    <row r="878" spans="9:22" x14ac:dyDescent="0.45">
      <c r="I878" t="s">
        <v>195</v>
      </c>
      <c r="J878" t="s">
        <v>258</v>
      </c>
      <c r="K878">
        <v>2.3740541978725514E-2</v>
      </c>
      <c r="L878" t="s">
        <v>166</v>
      </c>
      <c r="S878" t="s">
        <v>236</v>
      </c>
      <c r="T878" t="s">
        <v>258</v>
      </c>
      <c r="U878">
        <v>1.3295692881107853E-2</v>
      </c>
      <c r="V878" t="s">
        <v>166</v>
      </c>
    </row>
    <row r="879" spans="9:22" x14ac:dyDescent="0.45">
      <c r="I879" t="s">
        <v>195</v>
      </c>
      <c r="J879" t="s">
        <v>259</v>
      </c>
      <c r="K879">
        <v>2.6890052032235965E-2</v>
      </c>
      <c r="L879" t="s">
        <v>166</v>
      </c>
      <c r="S879" t="s">
        <v>236</v>
      </c>
      <c r="T879" t="s">
        <v>259</v>
      </c>
      <c r="U879">
        <v>2.4577556049862236E-2</v>
      </c>
      <c r="V879" t="s">
        <v>166</v>
      </c>
    </row>
    <row r="880" spans="9:22" x14ac:dyDescent="0.45">
      <c r="I880" t="s">
        <v>195</v>
      </c>
      <c r="J880" t="s">
        <v>260</v>
      </c>
      <c r="K880">
        <v>0</v>
      </c>
      <c r="L880" t="s">
        <v>166</v>
      </c>
      <c r="S880" t="s">
        <v>236</v>
      </c>
      <c r="T880" t="s">
        <v>260</v>
      </c>
      <c r="U880">
        <v>7.1105879313905579E-2</v>
      </c>
      <c r="V880" t="s">
        <v>166</v>
      </c>
    </row>
    <row r="881" spans="9:22" x14ac:dyDescent="0.45">
      <c r="I881" t="s">
        <v>195</v>
      </c>
      <c r="J881" t="s">
        <v>169</v>
      </c>
      <c r="K881">
        <v>5.4905211976110646E-3</v>
      </c>
      <c r="L881" t="s">
        <v>166</v>
      </c>
      <c r="S881" t="s">
        <v>236</v>
      </c>
      <c r="T881" t="s">
        <v>169</v>
      </c>
      <c r="U881">
        <v>3.5054444283457289E-2</v>
      </c>
      <c r="V881" t="s">
        <v>166</v>
      </c>
    </row>
    <row r="882" spans="9:22" x14ac:dyDescent="0.45">
      <c r="I882" t="s">
        <v>195</v>
      </c>
      <c r="J882" t="s">
        <v>170</v>
      </c>
      <c r="K882">
        <v>6.9486922812867363E-3</v>
      </c>
      <c r="L882" t="s">
        <v>166</v>
      </c>
      <c r="S882" t="s">
        <v>236</v>
      </c>
      <c r="T882" t="s">
        <v>170</v>
      </c>
      <c r="U882">
        <v>3.9294831700868778E-3</v>
      </c>
      <c r="V882" t="s">
        <v>166</v>
      </c>
    </row>
    <row r="883" spans="9:22" x14ac:dyDescent="0.45">
      <c r="I883" t="s">
        <v>195</v>
      </c>
      <c r="J883" t="s">
        <v>171</v>
      </c>
      <c r="K883">
        <v>7.9689189694727644E-2</v>
      </c>
      <c r="L883" t="s">
        <v>166</v>
      </c>
      <c r="S883" t="s">
        <v>236</v>
      </c>
      <c r="T883" t="s">
        <v>171</v>
      </c>
      <c r="U883">
        <v>2.4299571591611654E-2</v>
      </c>
      <c r="V883" t="s">
        <v>166</v>
      </c>
    </row>
    <row r="884" spans="9:22" x14ac:dyDescent="0.45">
      <c r="I884" t="s">
        <v>195</v>
      </c>
      <c r="J884" t="s">
        <v>261</v>
      </c>
      <c r="K884">
        <v>8.3880989189511878E-3</v>
      </c>
      <c r="L884" t="s">
        <v>166</v>
      </c>
      <c r="S884" t="s">
        <v>236</v>
      </c>
      <c r="T884" t="s">
        <v>261</v>
      </c>
      <c r="U884">
        <v>3.1277040613422982E-3</v>
      </c>
      <c r="V884" t="s">
        <v>166</v>
      </c>
    </row>
    <row r="885" spans="9:22" x14ac:dyDescent="0.45">
      <c r="I885" t="s">
        <v>195</v>
      </c>
      <c r="J885" t="s">
        <v>262</v>
      </c>
      <c r="K885">
        <v>1.014437515899823E-2</v>
      </c>
      <c r="L885" t="s">
        <v>166</v>
      </c>
      <c r="S885" t="s">
        <v>236</v>
      </c>
      <c r="T885" t="s">
        <v>262</v>
      </c>
      <c r="U885">
        <v>5.1123021929720524E-3</v>
      </c>
      <c r="V885" t="s">
        <v>166</v>
      </c>
    </row>
    <row r="886" spans="9:22" x14ac:dyDescent="0.45">
      <c r="I886" t="s">
        <v>195</v>
      </c>
      <c r="J886" t="s">
        <v>263</v>
      </c>
      <c r="K886">
        <v>0</v>
      </c>
      <c r="L886" t="s">
        <v>166</v>
      </c>
      <c r="S886" t="s">
        <v>236</v>
      </c>
      <c r="T886" t="s">
        <v>263</v>
      </c>
      <c r="U886">
        <v>1.9919194966880955E-2</v>
      </c>
      <c r="V886" t="s">
        <v>166</v>
      </c>
    </row>
    <row r="887" spans="9:22" x14ac:dyDescent="0.45">
      <c r="I887" t="s">
        <v>195</v>
      </c>
      <c r="J887" t="s">
        <v>172</v>
      </c>
      <c r="K887">
        <v>5.8753615260529303E-3</v>
      </c>
      <c r="L887" t="s">
        <v>166</v>
      </c>
      <c r="S887" t="s">
        <v>236</v>
      </c>
      <c r="T887" t="s">
        <v>172</v>
      </c>
      <c r="U887">
        <v>3.4210416552223677E-2</v>
      </c>
      <c r="V887" t="s">
        <v>166</v>
      </c>
    </row>
    <row r="888" spans="9:22" x14ac:dyDescent="0.45">
      <c r="I888" t="s">
        <v>195</v>
      </c>
      <c r="J888" t="s">
        <v>173</v>
      </c>
      <c r="K888">
        <v>6.6025578211291996E-3</v>
      </c>
      <c r="L888" t="s">
        <v>166</v>
      </c>
      <c r="S888" t="s">
        <v>236</v>
      </c>
      <c r="T888" t="s">
        <v>173</v>
      </c>
      <c r="U888">
        <v>3.7423182756720665E-3</v>
      </c>
      <c r="V888" t="s">
        <v>166</v>
      </c>
    </row>
    <row r="889" spans="9:22" x14ac:dyDescent="0.45">
      <c r="I889" t="s">
        <v>195</v>
      </c>
      <c r="J889" t="s">
        <v>174</v>
      </c>
      <c r="K889">
        <v>7.4882531164277608E-2</v>
      </c>
      <c r="L889" t="s">
        <v>166</v>
      </c>
      <c r="S889" t="s">
        <v>236</v>
      </c>
      <c r="T889" t="s">
        <v>174</v>
      </c>
      <c r="U889">
        <v>2.6004507740758288E-2</v>
      </c>
      <c r="V889" t="s">
        <v>166</v>
      </c>
    </row>
    <row r="890" spans="9:22" x14ac:dyDescent="0.45">
      <c r="I890" t="s">
        <v>195</v>
      </c>
      <c r="J890" t="s">
        <v>264</v>
      </c>
      <c r="K890">
        <v>7.889844913654874E-3</v>
      </c>
      <c r="L890" t="s">
        <v>166</v>
      </c>
      <c r="S890" t="s">
        <v>236</v>
      </c>
      <c r="T890" t="s">
        <v>264</v>
      </c>
      <c r="U890">
        <v>3.4140495216890502E-3</v>
      </c>
      <c r="V890" t="s">
        <v>166</v>
      </c>
    </row>
    <row r="891" spans="9:22" x14ac:dyDescent="0.45">
      <c r="I891" t="s">
        <v>195</v>
      </c>
      <c r="J891" t="s">
        <v>265</v>
      </c>
      <c r="K891">
        <v>9.922225947998943E-3</v>
      </c>
      <c r="L891" t="s">
        <v>166</v>
      </c>
      <c r="S891" t="s">
        <v>236</v>
      </c>
      <c r="T891" t="s">
        <v>265</v>
      </c>
      <c r="U891">
        <v>6.0714675802808846E-3</v>
      </c>
      <c r="V891" t="s">
        <v>166</v>
      </c>
    </row>
    <row r="892" spans="9:22" x14ac:dyDescent="0.45">
      <c r="I892" t="s">
        <v>195</v>
      </c>
      <c r="J892" t="s">
        <v>266</v>
      </c>
      <c r="K892">
        <v>1.1158654923430634E-3</v>
      </c>
      <c r="L892" t="s">
        <v>166</v>
      </c>
      <c r="S892" t="s">
        <v>236</v>
      </c>
      <c r="T892" t="s">
        <v>266</v>
      </c>
      <c r="U892">
        <v>2.0570608702832532E-2</v>
      </c>
      <c r="V892" t="s">
        <v>166</v>
      </c>
    </row>
    <row r="893" spans="9:22" x14ac:dyDescent="0.45">
      <c r="I893" t="s">
        <v>195</v>
      </c>
      <c r="J893" t="s">
        <v>175</v>
      </c>
      <c r="K893">
        <v>2.475572720587624E-3</v>
      </c>
      <c r="L893" t="s">
        <v>166</v>
      </c>
      <c r="S893" t="s">
        <v>236</v>
      </c>
      <c r="T893" t="s">
        <v>175</v>
      </c>
      <c r="U893">
        <v>3.1154812627200226E-2</v>
      </c>
      <c r="V893" t="s">
        <v>166</v>
      </c>
    </row>
    <row r="894" spans="9:22" x14ac:dyDescent="0.45">
      <c r="I894" t="s">
        <v>195</v>
      </c>
      <c r="J894" t="s">
        <v>176</v>
      </c>
      <c r="K894">
        <v>4.481824910189277E-3</v>
      </c>
      <c r="L894" t="s">
        <v>166</v>
      </c>
      <c r="S894" t="s">
        <v>236</v>
      </c>
      <c r="T894" t="s">
        <v>176</v>
      </c>
      <c r="U894">
        <v>2.8879889062404561E-3</v>
      </c>
      <c r="V894" t="s">
        <v>166</v>
      </c>
    </row>
    <row r="895" spans="9:22" x14ac:dyDescent="0.45">
      <c r="I895" t="s">
        <v>195</v>
      </c>
      <c r="J895" t="s">
        <v>177</v>
      </c>
      <c r="K895">
        <v>6.6856341553909349E-2</v>
      </c>
      <c r="L895" t="s">
        <v>166</v>
      </c>
      <c r="S895" t="s">
        <v>236</v>
      </c>
      <c r="T895" t="s">
        <v>177</v>
      </c>
      <c r="U895">
        <v>2.0691181789068303E-2</v>
      </c>
      <c r="V895" t="s">
        <v>166</v>
      </c>
    </row>
    <row r="896" spans="9:22" x14ac:dyDescent="0.45">
      <c r="I896" t="s">
        <v>195</v>
      </c>
      <c r="J896" t="s">
        <v>267</v>
      </c>
      <c r="K896">
        <v>7.2779152812548842E-3</v>
      </c>
      <c r="L896" t="s">
        <v>166</v>
      </c>
      <c r="S896" t="s">
        <v>236</v>
      </c>
      <c r="T896" t="s">
        <v>267</v>
      </c>
      <c r="U896">
        <v>2.8510416776953399E-3</v>
      </c>
      <c r="V896" t="s">
        <v>166</v>
      </c>
    </row>
    <row r="897" spans="9:22" x14ac:dyDescent="0.45">
      <c r="I897" t="s">
        <v>195</v>
      </c>
      <c r="J897" t="s">
        <v>268</v>
      </c>
      <c r="K897">
        <v>8.0803162393576905E-3</v>
      </c>
      <c r="L897" t="s">
        <v>166</v>
      </c>
      <c r="S897" t="s">
        <v>236</v>
      </c>
      <c r="T897" t="s">
        <v>268</v>
      </c>
      <c r="U897">
        <v>5.1577874431471714E-3</v>
      </c>
      <c r="V897" t="s">
        <v>166</v>
      </c>
    </row>
    <row r="898" spans="9:22" x14ac:dyDescent="0.45">
      <c r="I898" t="s">
        <v>195</v>
      </c>
      <c r="J898" t="s">
        <v>269</v>
      </c>
      <c r="K898">
        <v>1.213724271598891E-3</v>
      </c>
      <c r="L898" t="s">
        <v>166</v>
      </c>
      <c r="S898" t="s">
        <v>236</v>
      </c>
      <c r="T898" t="s">
        <v>269</v>
      </c>
      <c r="U898">
        <v>1.7838677497741071E-2</v>
      </c>
      <c r="V898" t="s">
        <v>166</v>
      </c>
    </row>
    <row r="899" spans="9:22" x14ac:dyDescent="0.45">
      <c r="I899" t="s">
        <v>195</v>
      </c>
      <c r="J899" t="s">
        <v>270</v>
      </c>
      <c r="K899">
        <v>2.7441584234018184E-3</v>
      </c>
      <c r="L899" t="s">
        <v>166</v>
      </c>
      <c r="S899" t="s">
        <v>236</v>
      </c>
      <c r="T899" t="s">
        <v>270</v>
      </c>
      <c r="U899">
        <v>2.3469763292872977E-2</v>
      </c>
      <c r="V899" t="s">
        <v>166</v>
      </c>
    </row>
    <row r="900" spans="9:22" x14ac:dyDescent="0.45">
      <c r="I900" t="s">
        <v>195</v>
      </c>
      <c r="J900" t="s">
        <v>271</v>
      </c>
      <c r="K900">
        <v>5.3696258888872288E-3</v>
      </c>
      <c r="L900" t="s">
        <v>166</v>
      </c>
      <c r="S900" t="s">
        <v>236</v>
      </c>
      <c r="T900" t="s">
        <v>271</v>
      </c>
      <c r="U900">
        <v>2.4908046109977365E-3</v>
      </c>
      <c r="V900" t="s">
        <v>166</v>
      </c>
    </row>
    <row r="901" spans="9:22" x14ac:dyDescent="0.45">
      <c r="I901" t="s">
        <v>195</v>
      </c>
      <c r="J901" t="s">
        <v>272</v>
      </c>
      <c r="K901">
        <v>7.0228576748742916E-2</v>
      </c>
      <c r="L901" t="s">
        <v>166</v>
      </c>
      <c r="S901" t="s">
        <v>236</v>
      </c>
      <c r="T901" t="s">
        <v>272</v>
      </c>
      <c r="U901">
        <v>1.6172074058831865E-2</v>
      </c>
      <c r="V901" t="s">
        <v>166</v>
      </c>
    </row>
    <row r="902" spans="9:22" x14ac:dyDescent="0.45">
      <c r="I902" t="s">
        <v>195</v>
      </c>
      <c r="J902" t="s">
        <v>273</v>
      </c>
      <c r="K902">
        <v>7.429754623993986E-3</v>
      </c>
      <c r="L902" t="s">
        <v>166</v>
      </c>
      <c r="S902" t="s">
        <v>236</v>
      </c>
      <c r="T902" t="s">
        <v>273</v>
      </c>
      <c r="U902">
        <v>1.768293876852648E-3</v>
      </c>
      <c r="V902" t="s">
        <v>166</v>
      </c>
    </row>
    <row r="903" spans="9:22" x14ac:dyDescent="0.45">
      <c r="I903" t="s">
        <v>195</v>
      </c>
      <c r="J903" t="s">
        <v>274</v>
      </c>
      <c r="K903">
        <v>7.8585700794879948E-3</v>
      </c>
      <c r="L903" t="s">
        <v>166</v>
      </c>
      <c r="S903" t="s">
        <v>236</v>
      </c>
      <c r="T903" t="s">
        <v>274</v>
      </c>
      <c r="U903">
        <v>3.2063176162506644E-3</v>
      </c>
      <c r="V903" t="s">
        <v>166</v>
      </c>
    </row>
    <row r="904" spans="9:22" x14ac:dyDescent="0.45">
      <c r="I904" t="s">
        <v>195</v>
      </c>
      <c r="J904" t="s">
        <v>275</v>
      </c>
      <c r="K904">
        <v>1.9823305767435968E-5</v>
      </c>
      <c r="L904" t="s">
        <v>166</v>
      </c>
      <c r="S904" t="s">
        <v>236</v>
      </c>
      <c r="T904" t="s">
        <v>275</v>
      </c>
      <c r="U904">
        <v>1.1644586186515002E-2</v>
      </c>
      <c r="V904" t="s">
        <v>166</v>
      </c>
    </row>
    <row r="905" spans="9:22" x14ac:dyDescent="0.45">
      <c r="I905" t="s">
        <v>195</v>
      </c>
      <c r="J905" t="s">
        <v>276</v>
      </c>
      <c r="K905">
        <v>5.7972601273096145E-3</v>
      </c>
      <c r="L905" t="s">
        <v>166</v>
      </c>
      <c r="S905" t="s">
        <v>236</v>
      </c>
      <c r="T905" t="s">
        <v>276</v>
      </c>
      <c r="U905">
        <v>5.0439184079513352E-2</v>
      </c>
      <c r="V905" t="s">
        <v>166</v>
      </c>
    </row>
    <row r="906" spans="9:22" x14ac:dyDescent="0.45">
      <c r="I906" t="s">
        <v>195</v>
      </c>
      <c r="J906" t="s">
        <v>277</v>
      </c>
      <c r="K906">
        <v>1.0980701203547338E-2</v>
      </c>
      <c r="L906" t="s">
        <v>166</v>
      </c>
      <c r="S906" t="s">
        <v>236</v>
      </c>
      <c r="T906" t="s">
        <v>277</v>
      </c>
      <c r="U906">
        <v>6.6543112004198617E-3</v>
      </c>
      <c r="V906" t="s">
        <v>166</v>
      </c>
    </row>
    <row r="907" spans="9:22" x14ac:dyDescent="0.45">
      <c r="I907" t="s">
        <v>195</v>
      </c>
      <c r="J907" t="s">
        <v>278</v>
      </c>
      <c r="K907">
        <v>0.12544175309155386</v>
      </c>
      <c r="L907" t="s">
        <v>166</v>
      </c>
      <c r="S907" t="s">
        <v>236</v>
      </c>
      <c r="T907" t="s">
        <v>278</v>
      </c>
      <c r="U907">
        <v>4.2673304953628706E-2</v>
      </c>
      <c r="V907" t="s">
        <v>166</v>
      </c>
    </row>
    <row r="908" spans="9:22" x14ac:dyDescent="0.45">
      <c r="I908" t="s">
        <v>195</v>
      </c>
      <c r="J908" t="s">
        <v>279</v>
      </c>
      <c r="K908">
        <v>1.3147789056199484E-2</v>
      </c>
      <c r="L908" t="s">
        <v>166</v>
      </c>
      <c r="S908" t="s">
        <v>236</v>
      </c>
      <c r="T908" t="s">
        <v>279</v>
      </c>
      <c r="U908">
        <v>5.6366698301148306E-3</v>
      </c>
      <c r="V908" t="s">
        <v>166</v>
      </c>
    </row>
    <row r="909" spans="9:22" x14ac:dyDescent="0.45">
      <c r="I909" t="s">
        <v>195</v>
      </c>
      <c r="J909" t="s">
        <v>280</v>
      </c>
      <c r="K909">
        <v>1.2946013524128719E-2</v>
      </c>
      <c r="L909" t="s">
        <v>166</v>
      </c>
      <c r="S909" t="s">
        <v>236</v>
      </c>
      <c r="T909" t="s">
        <v>280</v>
      </c>
      <c r="U909">
        <v>1.0200390592202383E-2</v>
      </c>
      <c r="V909" t="s">
        <v>166</v>
      </c>
    </row>
    <row r="910" spans="9:22" x14ac:dyDescent="0.45">
      <c r="I910" t="s">
        <v>195</v>
      </c>
      <c r="J910" t="s">
        <v>281</v>
      </c>
      <c r="K910">
        <v>0</v>
      </c>
      <c r="L910" t="s">
        <v>166</v>
      </c>
      <c r="S910" t="s">
        <v>236</v>
      </c>
      <c r="T910" t="s">
        <v>281</v>
      </c>
      <c r="U910">
        <v>2.7297800539969896E-2</v>
      </c>
      <c r="V910" t="s">
        <v>166</v>
      </c>
    </row>
    <row r="911" spans="9:22" x14ac:dyDescent="0.45">
      <c r="I911" t="s">
        <v>195</v>
      </c>
      <c r="J911" t="s">
        <v>282</v>
      </c>
      <c r="K911">
        <v>1.2266779664710668E-3</v>
      </c>
      <c r="L911" t="s">
        <v>166</v>
      </c>
      <c r="S911" t="s">
        <v>236</v>
      </c>
      <c r="T911" t="s">
        <v>282</v>
      </c>
      <c r="U911">
        <v>3.9076376336069626E-2</v>
      </c>
      <c r="V911" t="s">
        <v>166</v>
      </c>
    </row>
    <row r="912" spans="9:22" x14ac:dyDescent="0.45">
      <c r="I912" t="s">
        <v>195</v>
      </c>
      <c r="J912" t="s">
        <v>283</v>
      </c>
      <c r="K912">
        <v>2.8117832887487545E-3</v>
      </c>
      <c r="L912" t="s">
        <v>166</v>
      </c>
      <c r="S912" t="s">
        <v>236</v>
      </c>
      <c r="T912" t="s">
        <v>283</v>
      </c>
      <c r="U912">
        <v>5.3266323376459411E-3</v>
      </c>
      <c r="V912" t="s">
        <v>166</v>
      </c>
    </row>
    <row r="913" spans="9:22" x14ac:dyDescent="0.45">
      <c r="I913" t="s">
        <v>195</v>
      </c>
      <c r="J913" t="s">
        <v>284</v>
      </c>
      <c r="K913">
        <v>4.5201707727897826E-2</v>
      </c>
      <c r="L913" t="s">
        <v>166</v>
      </c>
      <c r="S913" t="s">
        <v>236</v>
      </c>
      <c r="T913" t="s">
        <v>284</v>
      </c>
      <c r="U913">
        <v>3.4034440474720519E-2</v>
      </c>
      <c r="V913" t="s">
        <v>166</v>
      </c>
    </row>
    <row r="914" spans="9:22" x14ac:dyDescent="0.45">
      <c r="I914" t="s">
        <v>195</v>
      </c>
      <c r="J914" t="s">
        <v>285</v>
      </c>
      <c r="K914">
        <v>4.4245841741381185E-3</v>
      </c>
      <c r="L914" t="s">
        <v>166</v>
      </c>
      <c r="S914" t="s">
        <v>236</v>
      </c>
      <c r="T914" t="s">
        <v>285</v>
      </c>
      <c r="U914">
        <v>4.2691779455185375E-3</v>
      </c>
      <c r="V914" t="s">
        <v>166</v>
      </c>
    </row>
    <row r="915" spans="9:22" x14ac:dyDescent="0.45">
      <c r="I915" t="s">
        <v>195</v>
      </c>
      <c r="J915" t="s">
        <v>286</v>
      </c>
      <c r="K915">
        <v>2.6874982051855898E-3</v>
      </c>
      <c r="L915" t="s">
        <v>166</v>
      </c>
      <c r="S915" t="s">
        <v>236</v>
      </c>
      <c r="T915" t="s">
        <v>286</v>
      </c>
      <c r="U915">
        <v>7.3728771512040414E-3</v>
      </c>
      <c r="V915" t="s">
        <v>166</v>
      </c>
    </row>
    <row r="916" spans="9:22" x14ac:dyDescent="0.45">
      <c r="I916" t="s">
        <v>195</v>
      </c>
      <c r="J916" t="s">
        <v>287</v>
      </c>
      <c r="K916">
        <v>0</v>
      </c>
      <c r="L916" t="s">
        <v>166</v>
      </c>
      <c r="S916" t="s">
        <v>236</v>
      </c>
      <c r="T916" t="s">
        <v>287</v>
      </c>
      <c r="U916">
        <v>2.1460392532514343E-2</v>
      </c>
      <c r="V916" t="s">
        <v>166</v>
      </c>
    </row>
    <row r="917" spans="9:22" x14ac:dyDescent="0.45">
      <c r="I917" t="s">
        <v>195</v>
      </c>
      <c r="J917" t="s">
        <v>288</v>
      </c>
      <c r="K917">
        <v>1.1666032982265997E-3</v>
      </c>
      <c r="L917" t="s">
        <v>166</v>
      </c>
      <c r="S917" t="s">
        <v>236</v>
      </c>
      <c r="T917" t="s">
        <v>288</v>
      </c>
      <c r="U917">
        <v>3.4305133785063453E-2</v>
      </c>
      <c r="V917" t="s">
        <v>166</v>
      </c>
    </row>
    <row r="918" spans="9:22" x14ac:dyDescent="0.45">
      <c r="I918" t="s">
        <v>195</v>
      </c>
      <c r="J918" t="s">
        <v>289</v>
      </c>
      <c r="K918">
        <v>6.6200624172338997E-3</v>
      </c>
      <c r="L918" t="s">
        <v>166</v>
      </c>
      <c r="S918" t="s">
        <v>236</v>
      </c>
      <c r="T918" t="s">
        <v>289</v>
      </c>
      <c r="U918">
        <v>4.3471661657938287E-3</v>
      </c>
      <c r="V918" t="s">
        <v>166</v>
      </c>
    </row>
    <row r="919" spans="9:22" x14ac:dyDescent="0.45">
      <c r="I919" t="s">
        <v>195</v>
      </c>
      <c r="J919" t="s">
        <v>290</v>
      </c>
      <c r="K919">
        <v>8.0161909816529348E-2</v>
      </c>
      <c r="L919" t="s">
        <v>166</v>
      </c>
      <c r="S919" t="s">
        <v>236</v>
      </c>
      <c r="T919" t="s">
        <v>290</v>
      </c>
      <c r="U919">
        <v>2.7534091126443894E-2</v>
      </c>
      <c r="V919" t="s">
        <v>166</v>
      </c>
    </row>
    <row r="920" spans="9:22" x14ac:dyDescent="0.45">
      <c r="I920" t="s">
        <v>195</v>
      </c>
      <c r="J920" t="s">
        <v>291</v>
      </c>
      <c r="K920">
        <v>8.9133713152246188E-3</v>
      </c>
      <c r="L920" t="s">
        <v>166</v>
      </c>
      <c r="S920" t="s">
        <v>236</v>
      </c>
      <c r="T920" t="s">
        <v>291</v>
      </c>
      <c r="U920">
        <v>3.39431277934451E-3</v>
      </c>
      <c r="V920" t="s">
        <v>166</v>
      </c>
    </row>
    <row r="921" spans="9:22" x14ac:dyDescent="0.45">
      <c r="I921" t="s">
        <v>195</v>
      </c>
      <c r="J921" t="s">
        <v>292</v>
      </c>
      <c r="K921">
        <v>5.7232536459284576E-3</v>
      </c>
      <c r="L921" t="s">
        <v>166</v>
      </c>
      <c r="S921" t="s">
        <v>236</v>
      </c>
      <c r="T921" t="s">
        <v>292</v>
      </c>
      <c r="U921">
        <v>5.4821547499206329E-3</v>
      </c>
      <c r="V921" t="s">
        <v>166</v>
      </c>
    </row>
    <row r="922" spans="9:22" x14ac:dyDescent="0.45">
      <c r="I922" t="s">
        <v>195</v>
      </c>
      <c r="J922" t="s">
        <v>293</v>
      </c>
      <c r="K922">
        <v>0</v>
      </c>
      <c r="L922" t="s">
        <v>166</v>
      </c>
      <c r="S922" t="s">
        <v>236</v>
      </c>
      <c r="T922" t="s">
        <v>293</v>
      </c>
      <c r="U922">
        <v>1.6558135218252841E-2</v>
      </c>
      <c r="V922" t="s">
        <v>166</v>
      </c>
    </row>
    <row r="923" spans="9:22" x14ac:dyDescent="0.45">
      <c r="I923" t="s">
        <v>196</v>
      </c>
      <c r="J923" t="s">
        <v>165</v>
      </c>
      <c r="K923">
        <v>5.5645206926574651E-3</v>
      </c>
      <c r="L923" t="s">
        <v>166</v>
      </c>
      <c r="S923" t="s">
        <v>237</v>
      </c>
      <c r="T923" t="s">
        <v>165</v>
      </c>
      <c r="U923">
        <v>0.10509731388010816</v>
      </c>
      <c r="V923" t="s">
        <v>166</v>
      </c>
    </row>
    <row r="924" spans="9:22" x14ac:dyDescent="0.45">
      <c r="I924" t="s">
        <v>196</v>
      </c>
      <c r="J924" t="s">
        <v>167</v>
      </c>
      <c r="K924">
        <v>1.395771345391479E-2</v>
      </c>
      <c r="L924" t="s">
        <v>166</v>
      </c>
      <c r="S924" t="s">
        <v>237</v>
      </c>
      <c r="T924" t="s">
        <v>167</v>
      </c>
      <c r="U924">
        <v>1.3352269266602153E-2</v>
      </c>
      <c r="V924" t="s">
        <v>166</v>
      </c>
    </row>
    <row r="925" spans="9:22" x14ac:dyDescent="0.45">
      <c r="I925" t="s">
        <v>196</v>
      </c>
      <c r="J925" t="s">
        <v>168</v>
      </c>
      <c r="K925">
        <v>0.23065765176351904</v>
      </c>
      <c r="L925" t="s">
        <v>166</v>
      </c>
      <c r="S925" t="s">
        <v>237</v>
      </c>
      <c r="T925" t="s">
        <v>168</v>
      </c>
      <c r="U925">
        <v>8.7684220622639933E-2</v>
      </c>
      <c r="V925" t="s">
        <v>166</v>
      </c>
    </row>
    <row r="926" spans="9:22" x14ac:dyDescent="0.45">
      <c r="I926" t="s">
        <v>196</v>
      </c>
      <c r="J926" t="s">
        <v>258</v>
      </c>
      <c r="K926">
        <v>2.6766229905195987E-2</v>
      </c>
      <c r="L926" t="s">
        <v>166</v>
      </c>
      <c r="S926" t="s">
        <v>237</v>
      </c>
      <c r="T926" t="s">
        <v>258</v>
      </c>
      <c r="U926">
        <v>1.2077896121680982E-2</v>
      </c>
      <c r="V926" t="s">
        <v>166</v>
      </c>
    </row>
    <row r="927" spans="9:22" x14ac:dyDescent="0.45">
      <c r="I927" t="s">
        <v>196</v>
      </c>
      <c r="J927" t="s">
        <v>259</v>
      </c>
      <c r="K927">
        <v>3.135720749954047E-2</v>
      </c>
      <c r="L927" t="s">
        <v>166</v>
      </c>
      <c r="S927" t="s">
        <v>237</v>
      </c>
      <c r="T927" t="s">
        <v>259</v>
      </c>
      <c r="U927">
        <v>2.2065796307282816E-2</v>
      </c>
      <c r="V927" t="s">
        <v>166</v>
      </c>
    </row>
    <row r="928" spans="9:22" x14ac:dyDescent="0.45">
      <c r="I928" t="s">
        <v>196</v>
      </c>
      <c r="J928" t="s">
        <v>260</v>
      </c>
      <c r="K928">
        <v>0</v>
      </c>
      <c r="L928" t="s">
        <v>166</v>
      </c>
      <c r="S928" t="s">
        <v>237</v>
      </c>
      <c r="T928" t="s">
        <v>260</v>
      </c>
      <c r="U928">
        <v>6.4055557152667336E-2</v>
      </c>
      <c r="V928" t="s">
        <v>166</v>
      </c>
    </row>
    <row r="929" spans="9:22" x14ac:dyDescent="0.45">
      <c r="I929" t="s">
        <v>196</v>
      </c>
      <c r="J929" t="s">
        <v>169</v>
      </c>
      <c r="K929">
        <v>4.7535462134932274E-3</v>
      </c>
      <c r="L929" t="s">
        <v>166</v>
      </c>
      <c r="S929" t="s">
        <v>237</v>
      </c>
      <c r="T929" t="s">
        <v>169</v>
      </c>
      <c r="U929">
        <v>2.8905940474331933E-2</v>
      </c>
      <c r="V929" t="s">
        <v>166</v>
      </c>
    </row>
    <row r="930" spans="9:22" x14ac:dyDescent="0.45">
      <c r="I930" t="s">
        <v>196</v>
      </c>
      <c r="J930" t="s">
        <v>170</v>
      </c>
      <c r="K930">
        <v>7.0645368209433053E-3</v>
      </c>
      <c r="L930" t="s">
        <v>166</v>
      </c>
      <c r="S930" t="s">
        <v>237</v>
      </c>
      <c r="T930" t="s">
        <v>170</v>
      </c>
      <c r="U930">
        <v>3.7451494300144925E-3</v>
      </c>
      <c r="V930" t="s">
        <v>166</v>
      </c>
    </row>
    <row r="931" spans="9:22" x14ac:dyDescent="0.45">
      <c r="I931" t="s">
        <v>196</v>
      </c>
      <c r="J931" t="s">
        <v>171</v>
      </c>
      <c r="K931">
        <v>8.0781974846631341E-2</v>
      </c>
      <c r="L931" t="s">
        <v>166</v>
      </c>
      <c r="S931" t="s">
        <v>237</v>
      </c>
      <c r="T931" t="s">
        <v>171</v>
      </c>
      <c r="U931">
        <v>2.5202657822970452E-2</v>
      </c>
      <c r="V931" t="s">
        <v>166</v>
      </c>
    </row>
    <row r="932" spans="9:22" x14ac:dyDescent="0.45">
      <c r="I932" t="s">
        <v>196</v>
      </c>
      <c r="J932" t="s">
        <v>261</v>
      </c>
      <c r="K932">
        <v>8.2925850346684746E-3</v>
      </c>
      <c r="L932" t="s">
        <v>166</v>
      </c>
      <c r="S932" t="s">
        <v>237</v>
      </c>
      <c r="T932" t="s">
        <v>261</v>
      </c>
      <c r="U932">
        <v>3.5982835970378058E-3</v>
      </c>
      <c r="V932" t="s">
        <v>166</v>
      </c>
    </row>
    <row r="933" spans="9:22" x14ac:dyDescent="0.45">
      <c r="I933" t="s">
        <v>196</v>
      </c>
      <c r="J933" t="s">
        <v>262</v>
      </c>
      <c r="K933">
        <v>1.0840726541948538E-2</v>
      </c>
      <c r="L933" t="s">
        <v>166</v>
      </c>
      <c r="S933" t="s">
        <v>237</v>
      </c>
      <c r="T933" t="s">
        <v>262</v>
      </c>
      <c r="U933">
        <v>6.0093870604461756E-3</v>
      </c>
      <c r="V933" t="s">
        <v>166</v>
      </c>
    </row>
    <row r="934" spans="9:22" x14ac:dyDescent="0.45">
      <c r="I934" t="s">
        <v>196</v>
      </c>
      <c r="J934" t="s">
        <v>263</v>
      </c>
      <c r="K934">
        <v>0</v>
      </c>
      <c r="L934" t="s">
        <v>166</v>
      </c>
      <c r="S934" t="s">
        <v>237</v>
      </c>
      <c r="T934" t="s">
        <v>263</v>
      </c>
      <c r="U934">
        <v>1.7067788064418811E-2</v>
      </c>
      <c r="V934" t="s">
        <v>166</v>
      </c>
    </row>
    <row r="935" spans="9:22" x14ac:dyDescent="0.45">
      <c r="I935" t="s">
        <v>196</v>
      </c>
      <c r="J935" t="s">
        <v>172</v>
      </c>
      <c r="K935">
        <v>4.7717207834007298E-3</v>
      </c>
      <c r="L935" t="s">
        <v>166</v>
      </c>
      <c r="S935" t="s">
        <v>237</v>
      </c>
      <c r="T935" t="s">
        <v>172</v>
      </c>
      <c r="U935">
        <v>3.5726463776033189E-2</v>
      </c>
      <c r="V935" t="s">
        <v>166</v>
      </c>
    </row>
    <row r="936" spans="9:22" x14ac:dyDescent="0.45">
      <c r="I936" t="s">
        <v>196</v>
      </c>
      <c r="J936" t="s">
        <v>173</v>
      </c>
      <c r="K936">
        <v>6.292508274247325E-3</v>
      </c>
      <c r="L936" t="s">
        <v>166</v>
      </c>
      <c r="S936" t="s">
        <v>237</v>
      </c>
      <c r="T936" t="s">
        <v>173</v>
      </c>
      <c r="U936">
        <v>4.3632313869299061E-3</v>
      </c>
      <c r="V936" t="s">
        <v>166</v>
      </c>
    </row>
    <row r="937" spans="9:22" x14ac:dyDescent="0.45">
      <c r="I937" t="s">
        <v>196</v>
      </c>
      <c r="J937" t="s">
        <v>174</v>
      </c>
      <c r="K937">
        <v>7.0895967579775648E-2</v>
      </c>
      <c r="L937" t="s">
        <v>166</v>
      </c>
      <c r="S937" t="s">
        <v>237</v>
      </c>
      <c r="T937" t="s">
        <v>174</v>
      </c>
      <c r="U937">
        <v>3.2010252066805446E-2</v>
      </c>
      <c r="V937" t="s">
        <v>166</v>
      </c>
    </row>
    <row r="938" spans="9:22" x14ac:dyDescent="0.45">
      <c r="I938" t="s">
        <v>196</v>
      </c>
      <c r="J938" t="s">
        <v>264</v>
      </c>
      <c r="K938">
        <v>7.7087769484007005E-3</v>
      </c>
      <c r="L938" t="s">
        <v>166</v>
      </c>
      <c r="S938" t="s">
        <v>237</v>
      </c>
      <c r="T938" t="s">
        <v>264</v>
      </c>
      <c r="U938">
        <v>4.3631406261767959E-3</v>
      </c>
      <c r="V938" t="s">
        <v>166</v>
      </c>
    </row>
    <row r="939" spans="9:22" x14ac:dyDescent="0.45">
      <c r="I939" t="s">
        <v>196</v>
      </c>
      <c r="J939" t="s">
        <v>265</v>
      </c>
      <c r="K939">
        <v>1.0216779618452665E-2</v>
      </c>
      <c r="L939" t="s">
        <v>166</v>
      </c>
      <c r="S939" t="s">
        <v>237</v>
      </c>
      <c r="T939" t="s">
        <v>265</v>
      </c>
      <c r="U939">
        <v>7.4147503741698161E-3</v>
      </c>
      <c r="V939" t="s">
        <v>166</v>
      </c>
    </row>
    <row r="940" spans="9:22" x14ac:dyDescent="0.45">
      <c r="I940" t="s">
        <v>196</v>
      </c>
      <c r="J940" t="s">
        <v>266</v>
      </c>
      <c r="K940">
        <v>1.0916214874156492E-3</v>
      </c>
      <c r="L940" t="s">
        <v>166</v>
      </c>
      <c r="S940" t="s">
        <v>237</v>
      </c>
      <c r="T940" t="s">
        <v>266</v>
      </c>
      <c r="U940">
        <v>1.9710383044458699E-2</v>
      </c>
      <c r="V940" t="s">
        <v>166</v>
      </c>
    </row>
    <row r="941" spans="9:22" x14ac:dyDescent="0.45">
      <c r="I941" t="s">
        <v>196</v>
      </c>
      <c r="J941" t="s">
        <v>175</v>
      </c>
      <c r="K941">
        <v>2.3443249138227562E-3</v>
      </c>
      <c r="L941" t="s">
        <v>166</v>
      </c>
      <c r="S941" t="s">
        <v>237</v>
      </c>
      <c r="T941" t="s">
        <v>175</v>
      </c>
      <c r="U941">
        <v>2.3460471932472662E-2</v>
      </c>
      <c r="V941" t="s">
        <v>166</v>
      </c>
    </row>
    <row r="942" spans="9:22" x14ac:dyDescent="0.45">
      <c r="I942" t="s">
        <v>196</v>
      </c>
      <c r="J942" t="s">
        <v>176</v>
      </c>
      <c r="K942">
        <v>4.7951931875596125E-3</v>
      </c>
      <c r="L942" t="s">
        <v>166</v>
      </c>
      <c r="S942" t="s">
        <v>237</v>
      </c>
      <c r="T942" t="s">
        <v>176</v>
      </c>
      <c r="U942">
        <v>2.4517451204681289E-3</v>
      </c>
      <c r="V942" t="s">
        <v>166</v>
      </c>
    </row>
    <row r="943" spans="9:22" x14ac:dyDescent="0.45">
      <c r="I943" t="s">
        <v>196</v>
      </c>
      <c r="J943" t="s">
        <v>177</v>
      </c>
      <c r="K943">
        <v>6.5930401576414346E-2</v>
      </c>
      <c r="L943" t="s">
        <v>166</v>
      </c>
      <c r="S943" t="s">
        <v>237</v>
      </c>
      <c r="T943" t="s">
        <v>177</v>
      </c>
      <c r="U943">
        <v>1.8431175001887037E-2</v>
      </c>
      <c r="V943" t="s">
        <v>166</v>
      </c>
    </row>
    <row r="944" spans="9:22" x14ac:dyDescent="0.45">
      <c r="I944" t="s">
        <v>196</v>
      </c>
      <c r="J944" t="s">
        <v>267</v>
      </c>
      <c r="K944">
        <v>7.0695776668312322E-3</v>
      </c>
      <c r="L944" t="s">
        <v>166</v>
      </c>
      <c r="S944" t="s">
        <v>237</v>
      </c>
      <c r="T944" t="s">
        <v>267</v>
      </c>
      <c r="U944">
        <v>2.8294999423951481E-3</v>
      </c>
      <c r="V944" t="s">
        <v>166</v>
      </c>
    </row>
    <row r="945" spans="9:22" x14ac:dyDescent="0.45">
      <c r="I945" t="s">
        <v>196</v>
      </c>
      <c r="J945" t="s">
        <v>268</v>
      </c>
      <c r="K945">
        <v>8.1616375709078967E-3</v>
      </c>
      <c r="L945" t="s">
        <v>166</v>
      </c>
      <c r="S945" t="s">
        <v>237</v>
      </c>
      <c r="T945" t="s">
        <v>268</v>
      </c>
      <c r="U945">
        <v>4.8211561129458801E-3</v>
      </c>
      <c r="V945" t="s">
        <v>166</v>
      </c>
    </row>
    <row r="946" spans="9:22" x14ac:dyDescent="0.45">
      <c r="I946" t="s">
        <v>196</v>
      </c>
      <c r="J946" t="s">
        <v>269</v>
      </c>
      <c r="K946">
        <v>1.4410272517893675E-3</v>
      </c>
      <c r="L946" t="s">
        <v>166</v>
      </c>
      <c r="S946" t="s">
        <v>237</v>
      </c>
      <c r="T946" t="s">
        <v>269</v>
      </c>
      <c r="U946">
        <v>1.3784648367798769E-2</v>
      </c>
      <c r="V946" t="s">
        <v>166</v>
      </c>
    </row>
    <row r="947" spans="9:22" x14ac:dyDescent="0.45">
      <c r="I947" t="s">
        <v>196</v>
      </c>
      <c r="J947" t="s">
        <v>270</v>
      </c>
      <c r="K947">
        <v>2.984461575320836E-3</v>
      </c>
      <c r="L947" t="s">
        <v>166</v>
      </c>
      <c r="S947" t="s">
        <v>237</v>
      </c>
      <c r="T947" t="s">
        <v>270</v>
      </c>
      <c r="U947">
        <v>1.8576413863696462E-2</v>
      </c>
      <c r="V947" t="s">
        <v>166</v>
      </c>
    </row>
    <row r="948" spans="9:22" x14ac:dyDescent="0.45">
      <c r="I948" t="s">
        <v>196</v>
      </c>
      <c r="J948" t="s">
        <v>271</v>
      </c>
      <c r="K948">
        <v>5.9496990317584666E-3</v>
      </c>
      <c r="L948" t="s">
        <v>166</v>
      </c>
      <c r="S948" t="s">
        <v>237</v>
      </c>
      <c r="T948" t="s">
        <v>271</v>
      </c>
      <c r="U948">
        <v>1.9453784907141297E-3</v>
      </c>
      <c r="V948" t="s">
        <v>166</v>
      </c>
    </row>
    <row r="949" spans="9:22" x14ac:dyDescent="0.45">
      <c r="I949" t="s">
        <v>196</v>
      </c>
      <c r="J949" t="s">
        <v>272</v>
      </c>
      <c r="K949">
        <v>7.0956706101944475E-2</v>
      </c>
      <c r="L949" t="s">
        <v>166</v>
      </c>
      <c r="S949" t="s">
        <v>237</v>
      </c>
      <c r="T949" t="s">
        <v>272</v>
      </c>
      <c r="U949">
        <v>1.3771481881416707E-2</v>
      </c>
      <c r="V949" t="s">
        <v>166</v>
      </c>
    </row>
    <row r="950" spans="9:22" x14ac:dyDescent="0.45">
      <c r="I950" t="s">
        <v>196</v>
      </c>
      <c r="J950" t="s">
        <v>273</v>
      </c>
      <c r="K950">
        <v>7.2095010230692237E-3</v>
      </c>
      <c r="L950" t="s">
        <v>166</v>
      </c>
      <c r="S950" t="s">
        <v>237</v>
      </c>
      <c r="T950" t="s">
        <v>273</v>
      </c>
      <c r="U950">
        <v>1.8122818168640747E-3</v>
      </c>
      <c r="V950" t="s">
        <v>166</v>
      </c>
    </row>
    <row r="951" spans="9:22" x14ac:dyDescent="0.45">
      <c r="I951" t="s">
        <v>196</v>
      </c>
      <c r="J951" t="s">
        <v>274</v>
      </c>
      <c r="K951">
        <v>8.2470079023646992E-3</v>
      </c>
      <c r="L951" t="s">
        <v>166</v>
      </c>
      <c r="S951" t="s">
        <v>237</v>
      </c>
      <c r="T951" t="s">
        <v>274</v>
      </c>
      <c r="U951">
        <v>3.6512316455123289E-3</v>
      </c>
      <c r="V951" t="s">
        <v>166</v>
      </c>
    </row>
    <row r="952" spans="9:22" x14ac:dyDescent="0.45">
      <c r="I952" t="s">
        <v>196</v>
      </c>
      <c r="J952" t="s">
        <v>275</v>
      </c>
      <c r="K952">
        <v>2.8533821925462216E-7</v>
      </c>
      <c r="L952" t="s">
        <v>166</v>
      </c>
      <c r="S952" t="s">
        <v>237</v>
      </c>
      <c r="T952" t="s">
        <v>275</v>
      </c>
      <c r="U952">
        <v>1.1108835701834059E-2</v>
      </c>
      <c r="V952" t="s">
        <v>166</v>
      </c>
    </row>
    <row r="953" spans="9:22" x14ac:dyDescent="0.45">
      <c r="I953" t="s">
        <v>196</v>
      </c>
      <c r="J953" t="s">
        <v>276</v>
      </c>
      <c r="K953">
        <v>5.3367163940605854E-3</v>
      </c>
      <c r="L953" t="s">
        <v>166</v>
      </c>
      <c r="S953" t="s">
        <v>237</v>
      </c>
      <c r="T953" t="s">
        <v>276</v>
      </c>
      <c r="U953">
        <v>6.0243372293111053E-2</v>
      </c>
      <c r="V953" t="s">
        <v>166</v>
      </c>
    </row>
    <row r="954" spans="9:22" x14ac:dyDescent="0.45">
      <c r="I954" t="s">
        <v>196</v>
      </c>
      <c r="J954" t="s">
        <v>277</v>
      </c>
      <c r="K954">
        <v>1.0046139232114339E-2</v>
      </c>
      <c r="L954" t="s">
        <v>166</v>
      </c>
      <c r="S954" t="s">
        <v>237</v>
      </c>
      <c r="T954" t="s">
        <v>277</v>
      </c>
      <c r="U954">
        <v>8.1826115488723723E-3</v>
      </c>
      <c r="V954" t="s">
        <v>166</v>
      </c>
    </row>
    <row r="955" spans="9:22" x14ac:dyDescent="0.45">
      <c r="I955" t="s">
        <v>196</v>
      </c>
      <c r="J955" t="s">
        <v>278</v>
      </c>
      <c r="K955">
        <v>0.11382207476150349</v>
      </c>
      <c r="L955" t="s">
        <v>166</v>
      </c>
      <c r="S955" t="s">
        <v>237</v>
      </c>
      <c r="T955" t="s">
        <v>278</v>
      </c>
      <c r="U955">
        <v>5.1144916721677994E-2</v>
      </c>
      <c r="V955" t="s">
        <v>166</v>
      </c>
    </row>
    <row r="956" spans="9:22" x14ac:dyDescent="0.45">
      <c r="I956" t="s">
        <v>196</v>
      </c>
      <c r="J956" t="s">
        <v>279</v>
      </c>
      <c r="K956">
        <v>1.2282771028224298E-2</v>
      </c>
      <c r="L956" t="s">
        <v>166</v>
      </c>
      <c r="S956" t="s">
        <v>237</v>
      </c>
      <c r="T956" t="s">
        <v>279</v>
      </c>
      <c r="U956">
        <v>6.3689675539731119E-3</v>
      </c>
      <c r="V956" t="s">
        <v>166</v>
      </c>
    </row>
    <row r="957" spans="9:22" x14ac:dyDescent="0.45">
      <c r="I957" t="s">
        <v>196</v>
      </c>
      <c r="J957" t="s">
        <v>280</v>
      </c>
      <c r="K957">
        <v>1.1961744232388043E-2</v>
      </c>
      <c r="L957" t="s">
        <v>166</v>
      </c>
      <c r="S957" t="s">
        <v>237</v>
      </c>
      <c r="T957" t="s">
        <v>280</v>
      </c>
      <c r="U957">
        <v>1.1550667552838007E-2</v>
      </c>
      <c r="V957" t="s">
        <v>166</v>
      </c>
    </row>
    <row r="958" spans="9:22" x14ac:dyDescent="0.45">
      <c r="I958" t="s">
        <v>196</v>
      </c>
      <c r="J958" t="s">
        <v>281</v>
      </c>
      <c r="K958">
        <v>0</v>
      </c>
      <c r="L958" t="s">
        <v>166</v>
      </c>
      <c r="S958" t="s">
        <v>237</v>
      </c>
      <c r="T958" t="s">
        <v>281</v>
      </c>
      <c r="U958">
        <v>3.3497672515182098E-2</v>
      </c>
      <c r="V958" t="s">
        <v>166</v>
      </c>
    </row>
    <row r="959" spans="9:22" x14ac:dyDescent="0.45">
      <c r="I959" t="s">
        <v>196</v>
      </c>
      <c r="J959" t="s">
        <v>282</v>
      </c>
      <c r="K959">
        <v>1.1087435624105172E-3</v>
      </c>
      <c r="L959" t="s">
        <v>166</v>
      </c>
      <c r="S959" t="s">
        <v>237</v>
      </c>
      <c r="T959" t="s">
        <v>282</v>
      </c>
      <c r="U959">
        <v>4.0618029216532625E-2</v>
      </c>
      <c r="V959" t="s">
        <v>166</v>
      </c>
    </row>
    <row r="960" spans="9:22" x14ac:dyDescent="0.45">
      <c r="I960" t="s">
        <v>196</v>
      </c>
      <c r="J960" t="s">
        <v>283</v>
      </c>
      <c r="K960">
        <v>2.4971287297368468E-3</v>
      </c>
      <c r="L960" t="s">
        <v>166</v>
      </c>
      <c r="S960" t="s">
        <v>237</v>
      </c>
      <c r="T960" t="s">
        <v>283</v>
      </c>
      <c r="U960">
        <v>5.7169444533597047E-3</v>
      </c>
      <c r="V960" t="s">
        <v>166</v>
      </c>
    </row>
    <row r="961" spans="9:22" x14ac:dyDescent="0.45">
      <c r="I961" t="s">
        <v>196</v>
      </c>
      <c r="J961" t="s">
        <v>284</v>
      </c>
      <c r="K961">
        <v>4.0385162530911234E-2</v>
      </c>
      <c r="L961" t="s">
        <v>166</v>
      </c>
      <c r="S961" t="s">
        <v>237</v>
      </c>
      <c r="T961" t="s">
        <v>284</v>
      </c>
      <c r="U961">
        <v>3.5382521434584015E-2</v>
      </c>
      <c r="V961" t="s">
        <v>166</v>
      </c>
    </row>
    <row r="962" spans="9:22" x14ac:dyDescent="0.45">
      <c r="I962" t="s">
        <v>196</v>
      </c>
      <c r="J962" t="s">
        <v>285</v>
      </c>
      <c r="K962">
        <v>4.2013099825515673E-3</v>
      </c>
      <c r="L962" t="s">
        <v>166</v>
      </c>
      <c r="S962" t="s">
        <v>237</v>
      </c>
      <c r="T962" t="s">
        <v>285</v>
      </c>
      <c r="U962">
        <v>4.4352272846742953E-3</v>
      </c>
      <c r="V962" t="s">
        <v>166</v>
      </c>
    </row>
    <row r="963" spans="9:22" x14ac:dyDescent="0.45">
      <c r="I963" t="s">
        <v>196</v>
      </c>
      <c r="J963" t="s">
        <v>286</v>
      </c>
      <c r="K963">
        <v>2.5784993527443985E-3</v>
      </c>
      <c r="L963" t="s">
        <v>166</v>
      </c>
      <c r="S963" t="s">
        <v>237</v>
      </c>
      <c r="T963" t="s">
        <v>286</v>
      </c>
      <c r="U963">
        <v>7.1754431373744999E-3</v>
      </c>
      <c r="V963" t="s">
        <v>166</v>
      </c>
    </row>
    <row r="964" spans="9:22" x14ac:dyDescent="0.45">
      <c r="I964" t="s">
        <v>196</v>
      </c>
      <c r="J964" t="s">
        <v>287</v>
      </c>
      <c r="K964">
        <v>0</v>
      </c>
      <c r="L964" t="s">
        <v>166</v>
      </c>
      <c r="S964" t="s">
        <v>237</v>
      </c>
      <c r="T964" t="s">
        <v>287</v>
      </c>
      <c r="U964">
        <v>2.1525514782155072E-2</v>
      </c>
      <c r="V964" t="s">
        <v>166</v>
      </c>
    </row>
    <row r="965" spans="9:22" x14ac:dyDescent="0.45">
      <c r="I965" t="s">
        <v>196</v>
      </c>
      <c r="J965" t="s">
        <v>288</v>
      </c>
      <c r="K965">
        <v>1.2010668730833794E-3</v>
      </c>
      <c r="L965" t="s">
        <v>166</v>
      </c>
      <c r="S965" t="s">
        <v>237</v>
      </c>
      <c r="T965" t="s">
        <v>288</v>
      </c>
      <c r="U965">
        <v>4.0144910826712836E-2</v>
      </c>
      <c r="V965" t="s">
        <v>166</v>
      </c>
    </row>
    <row r="966" spans="9:22" x14ac:dyDescent="0.45">
      <c r="I966" t="s">
        <v>196</v>
      </c>
      <c r="J966" t="s">
        <v>289</v>
      </c>
      <c r="K966">
        <v>5.5834972100944451E-3</v>
      </c>
      <c r="L966" t="s">
        <v>166</v>
      </c>
      <c r="S966" t="s">
        <v>237</v>
      </c>
      <c r="T966" t="s">
        <v>289</v>
      </c>
      <c r="U966">
        <v>5.1550213209269275E-3</v>
      </c>
      <c r="V966" t="s">
        <v>166</v>
      </c>
    </row>
    <row r="967" spans="9:22" x14ac:dyDescent="0.45">
      <c r="I967" t="s">
        <v>196</v>
      </c>
      <c r="J967" t="s">
        <v>290</v>
      </c>
      <c r="K967">
        <v>6.9883877622480287E-2</v>
      </c>
      <c r="L967" t="s">
        <v>166</v>
      </c>
      <c r="S967" t="s">
        <v>237</v>
      </c>
      <c r="T967" t="s">
        <v>290</v>
      </c>
      <c r="U967">
        <v>3.1154176413585234E-2</v>
      </c>
      <c r="V967" t="s">
        <v>166</v>
      </c>
    </row>
    <row r="968" spans="9:22" x14ac:dyDescent="0.45">
      <c r="I968" t="s">
        <v>196</v>
      </c>
      <c r="J968" t="s">
        <v>291</v>
      </c>
      <c r="K968">
        <v>7.7038546338338851E-3</v>
      </c>
      <c r="L968" t="s">
        <v>166</v>
      </c>
      <c r="S968" t="s">
        <v>237</v>
      </c>
      <c r="T968" t="s">
        <v>291</v>
      </c>
      <c r="U968">
        <v>3.6620458419708434E-3</v>
      </c>
      <c r="V968" t="s">
        <v>166</v>
      </c>
    </row>
    <row r="969" spans="9:22" x14ac:dyDescent="0.45">
      <c r="I969" t="s">
        <v>196</v>
      </c>
      <c r="J969" t="s">
        <v>292</v>
      </c>
      <c r="K969">
        <v>5.3035232496564701E-3</v>
      </c>
      <c r="L969" t="s">
        <v>166</v>
      </c>
      <c r="S969" t="s">
        <v>237</v>
      </c>
      <c r="T969" t="s">
        <v>292</v>
      </c>
      <c r="U969">
        <v>5.9571452102586209E-3</v>
      </c>
      <c r="V969" t="s">
        <v>166</v>
      </c>
    </row>
    <row r="970" spans="9:22" x14ac:dyDescent="0.45">
      <c r="I970" t="s">
        <v>196</v>
      </c>
      <c r="J970" t="s">
        <v>293</v>
      </c>
      <c r="K970">
        <v>0</v>
      </c>
      <c r="L970" t="s">
        <v>166</v>
      </c>
      <c r="S970" t="s">
        <v>237</v>
      </c>
      <c r="T970" t="s">
        <v>293</v>
      </c>
      <c r="U970">
        <v>1.899001093942914E-2</v>
      </c>
      <c r="V970" t="s">
        <v>166</v>
      </c>
    </row>
    <row r="971" spans="9:22" x14ac:dyDescent="0.45">
      <c r="I971" t="s">
        <v>197</v>
      </c>
      <c r="J971" t="s">
        <v>165</v>
      </c>
      <c r="K971">
        <v>4.547285329731623E-3</v>
      </c>
      <c r="L971" t="s">
        <v>166</v>
      </c>
      <c r="S971" t="s">
        <v>238</v>
      </c>
      <c r="T971" t="s">
        <v>165</v>
      </c>
      <c r="U971">
        <v>9.3391814812441049E-2</v>
      </c>
      <c r="V971" t="s">
        <v>166</v>
      </c>
    </row>
    <row r="972" spans="9:22" x14ac:dyDescent="0.45">
      <c r="I972" t="s">
        <v>197</v>
      </c>
      <c r="J972" t="s">
        <v>167</v>
      </c>
      <c r="K972">
        <v>1.3088055556787114E-2</v>
      </c>
      <c r="L972" t="s">
        <v>166</v>
      </c>
      <c r="S972" t="s">
        <v>238</v>
      </c>
      <c r="T972" t="s">
        <v>167</v>
      </c>
      <c r="U972">
        <v>1.097411408962139E-2</v>
      </c>
      <c r="V972" t="s">
        <v>166</v>
      </c>
    </row>
    <row r="973" spans="9:22" x14ac:dyDescent="0.45">
      <c r="I973" t="s">
        <v>197</v>
      </c>
      <c r="J973" t="s">
        <v>168</v>
      </c>
      <c r="K973">
        <v>0.24722695350160415</v>
      </c>
      <c r="L973" t="s">
        <v>166</v>
      </c>
      <c r="S973" t="s">
        <v>238</v>
      </c>
      <c r="T973" t="s">
        <v>168</v>
      </c>
      <c r="U973">
        <v>7.9377805805164084E-2</v>
      </c>
      <c r="V973" t="s">
        <v>166</v>
      </c>
    </row>
    <row r="974" spans="9:22" x14ac:dyDescent="0.45">
      <c r="I974" t="s">
        <v>197</v>
      </c>
      <c r="J974" t="s">
        <v>258</v>
      </c>
      <c r="K974">
        <v>2.9646954441618217E-2</v>
      </c>
      <c r="L974" t="s">
        <v>166</v>
      </c>
      <c r="S974" t="s">
        <v>238</v>
      </c>
      <c r="T974" t="s">
        <v>258</v>
      </c>
      <c r="U974">
        <v>1.3431289027420364E-2</v>
      </c>
      <c r="V974" t="s">
        <v>166</v>
      </c>
    </row>
    <row r="975" spans="9:22" x14ac:dyDescent="0.45">
      <c r="I975" t="s">
        <v>197</v>
      </c>
      <c r="J975" t="s">
        <v>259</v>
      </c>
      <c r="K975">
        <v>3.6246556653327322E-2</v>
      </c>
      <c r="L975" t="s">
        <v>166</v>
      </c>
      <c r="S975" t="s">
        <v>238</v>
      </c>
      <c r="T975" t="s">
        <v>259</v>
      </c>
      <c r="U975">
        <v>2.7983414780052496E-2</v>
      </c>
      <c r="V975" t="s">
        <v>166</v>
      </c>
    </row>
    <row r="976" spans="9:22" x14ac:dyDescent="0.45">
      <c r="I976" t="s">
        <v>197</v>
      </c>
      <c r="J976" t="s">
        <v>260</v>
      </c>
      <c r="K976">
        <v>0</v>
      </c>
      <c r="L976" t="s">
        <v>166</v>
      </c>
      <c r="S976" t="s">
        <v>238</v>
      </c>
      <c r="T976" t="s">
        <v>260</v>
      </c>
      <c r="U976">
        <v>7.4610710377996797E-2</v>
      </c>
      <c r="V976" t="s">
        <v>166</v>
      </c>
    </row>
    <row r="977" spans="9:22" x14ac:dyDescent="0.45">
      <c r="I977" t="s">
        <v>197</v>
      </c>
      <c r="J977" t="s">
        <v>169</v>
      </c>
      <c r="K977">
        <v>3.3909000948263946E-3</v>
      </c>
      <c r="L977" t="s">
        <v>166</v>
      </c>
      <c r="S977" t="s">
        <v>238</v>
      </c>
      <c r="T977" t="s">
        <v>169</v>
      </c>
      <c r="U977">
        <v>2.0984840947277723E-2</v>
      </c>
      <c r="V977" t="s">
        <v>166</v>
      </c>
    </row>
    <row r="978" spans="9:22" x14ac:dyDescent="0.45">
      <c r="I978" t="s">
        <v>197</v>
      </c>
      <c r="J978" t="s">
        <v>170</v>
      </c>
      <c r="K978">
        <v>6.3347085315733683E-3</v>
      </c>
      <c r="L978" t="s">
        <v>166</v>
      </c>
      <c r="S978" t="s">
        <v>238</v>
      </c>
      <c r="T978" t="s">
        <v>170</v>
      </c>
      <c r="U978">
        <v>1.9133561772784811E-3</v>
      </c>
      <c r="V978" t="s">
        <v>166</v>
      </c>
    </row>
    <row r="979" spans="9:22" x14ac:dyDescent="0.45">
      <c r="I979" t="s">
        <v>197</v>
      </c>
      <c r="J979" t="s">
        <v>171</v>
      </c>
      <c r="K979">
        <v>7.831506434593502E-2</v>
      </c>
      <c r="L979" t="s">
        <v>166</v>
      </c>
      <c r="S979" t="s">
        <v>238</v>
      </c>
      <c r="T979" t="s">
        <v>171</v>
      </c>
      <c r="U979">
        <v>1.0809069961421822E-2</v>
      </c>
      <c r="V979" t="s">
        <v>166</v>
      </c>
    </row>
    <row r="980" spans="9:22" x14ac:dyDescent="0.45">
      <c r="I980" t="s">
        <v>197</v>
      </c>
      <c r="J980" t="s">
        <v>261</v>
      </c>
      <c r="K980">
        <v>7.9919345889306881E-3</v>
      </c>
      <c r="L980" t="s">
        <v>166</v>
      </c>
      <c r="S980" t="s">
        <v>238</v>
      </c>
      <c r="T980" t="s">
        <v>261</v>
      </c>
      <c r="U980">
        <v>2.0003410068762861E-3</v>
      </c>
      <c r="V980" t="s">
        <v>166</v>
      </c>
    </row>
    <row r="981" spans="9:22" x14ac:dyDescent="0.45">
      <c r="I981" t="s">
        <v>197</v>
      </c>
      <c r="J981" t="s">
        <v>262</v>
      </c>
      <c r="K981">
        <v>9.2247624721832778E-3</v>
      </c>
      <c r="L981" t="s">
        <v>166</v>
      </c>
      <c r="S981" t="s">
        <v>238</v>
      </c>
      <c r="T981" t="s">
        <v>262</v>
      </c>
      <c r="U981">
        <v>4.5867086973116278E-3</v>
      </c>
      <c r="V981" t="s">
        <v>166</v>
      </c>
    </row>
    <row r="982" spans="9:22" x14ac:dyDescent="0.45">
      <c r="I982" t="s">
        <v>197</v>
      </c>
      <c r="J982" t="s">
        <v>263</v>
      </c>
      <c r="K982">
        <v>5.8492713816708923E-5</v>
      </c>
      <c r="L982" t="s">
        <v>166</v>
      </c>
      <c r="S982" t="s">
        <v>238</v>
      </c>
      <c r="T982" t="s">
        <v>263</v>
      </c>
      <c r="U982">
        <v>1.8326087034523611E-2</v>
      </c>
      <c r="V982" t="s">
        <v>166</v>
      </c>
    </row>
    <row r="983" spans="9:22" x14ac:dyDescent="0.45">
      <c r="I983" t="s">
        <v>197</v>
      </c>
      <c r="J983" t="s">
        <v>172</v>
      </c>
      <c r="K983">
        <v>3.7504118808646346E-3</v>
      </c>
      <c r="L983" t="s">
        <v>166</v>
      </c>
      <c r="S983" t="s">
        <v>238</v>
      </c>
      <c r="T983" t="s">
        <v>172</v>
      </c>
      <c r="U983">
        <v>3.1788509155154999E-2</v>
      </c>
      <c r="V983" t="s">
        <v>166</v>
      </c>
    </row>
    <row r="984" spans="9:22" x14ac:dyDescent="0.45">
      <c r="I984" t="s">
        <v>197</v>
      </c>
      <c r="J984" t="s">
        <v>173</v>
      </c>
      <c r="K984">
        <v>5.8500357096861249E-3</v>
      </c>
      <c r="L984" t="s">
        <v>166</v>
      </c>
      <c r="S984" t="s">
        <v>238</v>
      </c>
      <c r="T984" t="s">
        <v>173</v>
      </c>
      <c r="U984">
        <v>3.3606905616478822E-3</v>
      </c>
      <c r="V984" t="s">
        <v>166</v>
      </c>
    </row>
    <row r="985" spans="9:22" x14ac:dyDescent="0.45">
      <c r="I985" t="s">
        <v>197</v>
      </c>
      <c r="J985" t="s">
        <v>174</v>
      </c>
      <c r="K985">
        <v>6.9421591865225063E-2</v>
      </c>
      <c r="L985" t="s">
        <v>166</v>
      </c>
      <c r="S985" t="s">
        <v>238</v>
      </c>
      <c r="T985" t="s">
        <v>174</v>
      </c>
      <c r="U985">
        <v>2.3098950102014668E-2</v>
      </c>
      <c r="V985" t="s">
        <v>166</v>
      </c>
    </row>
    <row r="986" spans="9:22" x14ac:dyDescent="0.45">
      <c r="I986" t="s">
        <v>197</v>
      </c>
      <c r="J986" t="s">
        <v>264</v>
      </c>
      <c r="K986">
        <v>7.1974470240799351E-3</v>
      </c>
      <c r="L986" t="s">
        <v>166</v>
      </c>
      <c r="S986" t="s">
        <v>238</v>
      </c>
      <c r="T986" t="s">
        <v>264</v>
      </c>
      <c r="U986">
        <v>3.8168243957441813E-3</v>
      </c>
      <c r="V986" t="s">
        <v>166</v>
      </c>
    </row>
    <row r="987" spans="9:22" x14ac:dyDescent="0.45">
      <c r="I987" t="s">
        <v>197</v>
      </c>
      <c r="J987" t="s">
        <v>265</v>
      </c>
      <c r="K987">
        <v>8.6249483733009374E-3</v>
      </c>
      <c r="L987" t="s">
        <v>166</v>
      </c>
      <c r="S987" t="s">
        <v>238</v>
      </c>
      <c r="T987" t="s">
        <v>265</v>
      </c>
      <c r="U987">
        <v>6.7701568966887869E-3</v>
      </c>
      <c r="V987" t="s">
        <v>166</v>
      </c>
    </row>
    <row r="988" spans="9:22" x14ac:dyDescent="0.45">
      <c r="I988" t="s">
        <v>197</v>
      </c>
      <c r="J988" t="s">
        <v>266</v>
      </c>
      <c r="K988">
        <v>1.8463411978041533E-3</v>
      </c>
      <c r="L988" t="s">
        <v>166</v>
      </c>
      <c r="S988" t="s">
        <v>238</v>
      </c>
      <c r="T988" t="s">
        <v>266</v>
      </c>
      <c r="U988">
        <v>2.2272093903713101E-2</v>
      </c>
      <c r="V988" t="s">
        <v>166</v>
      </c>
    </row>
    <row r="989" spans="9:22" x14ac:dyDescent="0.45">
      <c r="I989" t="s">
        <v>197</v>
      </c>
      <c r="J989" t="s">
        <v>175</v>
      </c>
      <c r="K989">
        <v>1.6323120367591982E-3</v>
      </c>
      <c r="L989" t="s">
        <v>166</v>
      </c>
      <c r="S989" t="s">
        <v>238</v>
      </c>
      <c r="T989" t="s">
        <v>175</v>
      </c>
      <c r="U989">
        <v>2.4724307362735364E-2</v>
      </c>
      <c r="V989" t="s">
        <v>166</v>
      </c>
    </row>
    <row r="990" spans="9:22" x14ac:dyDescent="0.45">
      <c r="I990" t="s">
        <v>197</v>
      </c>
      <c r="J990" t="s">
        <v>176</v>
      </c>
      <c r="K990">
        <v>4.1271511468375602E-3</v>
      </c>
      <c r="L990" t="s">
        <v>166</v>
      </c>
      <c r="S990" t="s">
        <v>238</v>
      </c>
      <c r="T990" t="s">
        <v>176</v>
      </c>
      <c r="U990">
        <v>2.3725206069081487E-3</v>
      </c>
      <c r="V990" t="s">
        <v>166</v>
      </c>
    </row>
    <row r="991" spans="9:22" x14ac:dyDescent="0.45">
      <c r="I991" t="s">
        <v>197</v>
      </c>
      <c r="J991" t="s">
        <v>177</v>
      </c>
      <c r="K991">
        <v>6.1033766090173407E-2</v>
      </c>
      <c r="L991" t="s">
        <v>166</v>
      </c>
      <c r="S991" t="s">
        <v>238</v>
      </c>
      <c r="T991" t="s">
        <v>177</v>
      </c>
      <c r="U991">
        <v>1.3609458205207474E-2</v>
      </c>
      <c r="V991" t="s">
        <v>166</v>
      </c>
    </row>
    <row r="992" spans="9:22" x14ac:dyDescent="0.45">
      <c r="I992" t="s">
        <v>197</v>
      </c>
      <c r="J992" t="s">
        <v>267</v>
      </c>
      <c r="K992">
        <v>5.4976243259049398E-3</v>
      </c>
      <c r="L992" t="s">
        <v>166</v>
      </c>
      <c r="S992" t="s">
        <v>238</v>
      </c>
      <c r="T992" t="s">
        <v>267</v>
      </c>
      <c r="U992">
        <v>2.4550927261527372E-3</v>
      </c>
      <c r="V992" t="s">
        <v>166</v>
      </c>
    </row>
    <row r="993" spans="9:22" x14ac:dyDescent="0.45">
      <c r="I993" t="s">
        <v>197</v>
      </c>
      <c r="J993" t="s">
        <v>268</v>
      </c>
      <c r="K993">
        <v>5.6841097958760002E-3</v>
      </c>
      <c r="L993" t="s">
        <v>166</v>
      </c>
      <c r="S993" t="s">
        <v>238</v>
      </c>
      <c r="T993" t="s">
        <v>268</v>
      </c>
      <c r="U993">
        <v>5.1070487571499385E-3</v>
      </c>
      <c r="V993" t="s">
        <v>166</v>
      </c>
    </row>
    <row r="994" spans="9:22" x14ac:dyDescent="0.45">
      <c r="I994" t="s">
        <v>197</v>
      </c>
      <c r="J994" t="s">
        <v>269</v>
      </c>
      <c r="K994">
        <v>9.1851628139145048E-4</v>
      </c>
      <c r="L994" t="s">
        <v>166</v>
      </c>
      <c r="S994" t="s">
        <v>238</v>
      </c>
      <c r="T994" t="s">
        <v>269</v>
      </c>
      <c r="U994">
        <v>1.7925673866318884E-2</v>
      </c>
      <c r="V994" t="s">
        <v>166</v>
      </c>
    </row>
    <row r="995" spans="9:22" x14ac:dyDescent="0.45">
      <c r="I995" t="s">
        <v>197</v>
      </c>
      <c r="J995" t="s">
        <v>270</v>
      </c>
      <c r="K995">
        <v>1.9965838995093864E-3</v>
      </c>
      <c r="L995" t="s">
        <v>166</v>
      </c>
      <c r="S995" t="s">
        <v>238</v>
      </c>
      <c r="T995" t="s">
        <v>270</v>
      </c>
      <c r="U995">
        <v>4.0977689779253458E-2</v>
      </c>
      <c r="V995" t="s">
        <v>166</v>
      </c>
    </row>
    <row r="996" spans="9:22" x14ac:dyDescent="0.45">
      <c r="I996" t="s">
        <v>197</v>
      </c>
      <c r="J996" t="s">
        <v>271</v>
      </c>
      <c r="K996">
        <v>4.8862445127735334E-3</v>
      </c>
      <c r="L996" t="s">
        <v>166</v>
      </c>
      <c r="S996" t="s">
        <v>238</v>
      </c>
      <c r="T996" t="s">
        <v>271</v>
      </c>
      <c r="U996">
        <v>4.9189388571440808E-3</v>
      </c>
      <c r="V996" t="s">
        <v>166</v>
      </c>
    </row>
    <row r="997" spans="9:22" x14ac:dyDescent="0.45">
      <c r="I997" t="s">
        <v>197</v>
      </c>
      <c r="J997" t="s">
        <v>272</v>
      </c>
      <c r="K997">
        <v>6.8156771341673555E-2</v>
      </c>
      <c r="L997" t="s">
        <v>166</v>
      </c>
      <c r="S997" t="s">
        <v>238</v>
      </c>
      <c r="T997" t="s">
        <v>272</v>
      </c>
      <c r="U997">
        <v>2.9575660946095914E-2</v>
      </c>
      <c r="V997" t="s">
        <v>166</v>
      </c>
    </row>
    <row r="998" spans="9:22" x14ac:dyDescent="0.45">
      <c r="I998" t="s">
        <v>197</v>
      </c>
      <c r="J998" t="s">
        <v>273</v>
      </c>
      <c r="K998">
        <v>6.9310865169431458E-3</v>
      </c>
      <c r="L998" t="s">
        <v>166</v>
      </c>
      <c r="S998" t="s">
        <v>238</v>
      </c>
      <c r="T998" t="s">
        <v>273</v>
      </c>
      <c r="U998">
        <v>3.4896601180727251E-3</v>
      </c>
      <c r="V998" t="s">
        <v>166</v>
      </c>
    </row>
    <row r="999" spans="9:22" x14ac:dyDescent="0.45">
      <c r="I999" t="s">
        <v>197</v>
      </c>
      <c r="J999" t="s">
        <v>274</v>
      </c>
      <c r="K999">
        <v>7.4414989535482355E-3</v>
      </c>
      <c r="L999" t="s">
        <v>166</v>
      </c>
      <c r="S999" t="s">
        <v>238</v>
      </c>
      <c r="T999" t="s">
        <v>274</v>
      </c>
      <c r="U999">
        <v>6.8689435837456791E-3</v>
      </c>
      <c r="V999" t="s">
        <v>166</v>
      </c>
    </row>
    <row r="1000" spans="9:22" x14ac:dyDescent="0.45">
      <c r="I1000" t="s">
        <v>197</v>
      </c>
      <c r="J1000" t="s">
        <v>275</v>
      </c>
      <c r="K1000">
        <v>2.1621121000803059E-4</v>
      </c>
      <c r="L1000" t="s">
        <v>166</v>
      </c>
      <c r="S1000" t="s">
        <v>238</v>
      </c>
      <c r="T1000" t="s">
        <v>275</v>
      </c>
      <c r="U1000">
        <v>2.2600028305579452E-2</v>
      </c>
      <c r="V1000" t="s">
        <v>166</v>
      </c>
    </row>
    <row r="1001" spans="9:22" x14ac:dyDescent="0.45">
      <c r="I1001" t="s">
        <v>197</v>
      </c>
      <c r="J1001" t="s">
        <v>276</v>
      </c>
      <c r="K1001">
        <v>4.400728531267729E-3</v>
      </c>
      <c r="L1001" t="s">
        <v>166</v>
      </c>
      <c r="S1001" t="s">
        <v>238</v>
      </c>
      <c r="T1001" t="s">
        <v>276</v>
      </c>
      <c r="U1001">
        <v>4.6259013835088458E-2</v>
      </c>
      <c r="V1001" t="s">
        <v>166</v>
      </c>
    </row>
    <row r="1002" spans="9:22" x14ac:dyDescent="0.45">
      <c r="I1002" t="s">
        <v>197</v>
      </c>
      <c r="J1002" t="s">
        <v>277</v>
      </c>
      <c r="K1002">
        <v>9.1545445025392694E-3</v>
      </c>
      <c r="L1002" t="s">
        <v>166</v>
      </c>
      <c r="S1002" t="s">
        <v>238</v>
      </c>
      <c r="T1002" t="s">
        <v>277</v>
      </c>
      <c r="U1002">
        <v>5.917819091215264E-3</v>
      </c>
      <c r="V1002" t="s">
        <v>166</v>
      </c>
    </row>
    <row r="1003" spans="9:22" x14ac:dyDescent="0.45">
      <c r="I1003" t="s">
        <v>197</v>
      </c>
      <c r="J1003" t="s">
        <v>278</v>
      </c>
      <c r="K1003">
        <v>0.11482092625495022</v>
      </c>
      <c r="L1003" t="s">
        <v>166</v>
      </c>
      <c r="S1003" t="s">
        <v>238</v>
      </c>
      <c r="T1003" t="s">
        <v>278</v>
      </c>
      <c r="U1003">
        <v>4.0726216459632689E-2</v>
      </c>
      <c r="V1003" t="s">
        <v>166</v>
      </c>
    </row>
    <row r="1004" spans="9:22" x14ac:dyDescent="0.45">
      <c r="I1004" t="s">
        <v>197</v>
      </c>
      <c r="J1004" t="s">
        <v>279</v>
      </c>
      <c r="K1004">
        <v>1.1876025791966435E-2</v>
      </c>
      <c r="L1004" t="s">
        <v>166</v>
      </c>
      <c r="S1004" t="s">
        <v>238</v>
      </c>
      <c r="T1004" t="s">
        <v>279</v>
      </c>
      <c r="U1004">
        <v>5.6922383580841592E-3</v>
      </c>
      <c r="V1004" t="s">
        <v>166</v>
      </c>
    </row>
    <row r="1005" spans="9:22" x14ac:dyDescent="0.45">
      <c r="I1005" t="s">
        <v>197</v>
      </c>
      <c r="J1005" t="s">
        <v>280</v>
      </c>
      <c r="K1005">
        <v>1.3118242563791932E-2</v>
      </c>
      <c r="L1005" t="s">
        <v>166</v>
      </c>
      <c r="S1005" t="s">
        <v>238</v>
      </c>
      <c r="T1005" t="s">
        <v>280</v>
      </c>
      <c r="U1005">
        <v>1.0900281820325477E-2</v>
      </c>
      <c r="V1005" t="s">
        <v>166</v>
      </c>
    </row>
    <row r="1006" spans="9:22" x14ac:dyDescent="0.45">
      <c r="I1006" t="s">
        <v>197</v>
      </c>
      <c r="J1006" t="s">
        <v>281</v>
      </c>
      <c r="K1006">
        <v>0</v>
      </c>
      <c r="L1006" t="s">
        <v>166</v>
      </c>
      <c r="S1006" t="s">
        <v>238</v>
      </c>
      <c r="T1006" t="s">
        <v>281</v>
      </c>
      <c r="U1006">
        <v>2.9155757268363378E-2</v>
      </c>
      <c r="V1006" t="s">
        <v>166</v>
      </c>
    </row>
    <row r="1007" spans="9:22" x14ac:dyDescent="0.45">
      <c r="I1007" t="s">
        <v>197</v>
      </c>
      <c r="J1007" t="s">
        <v>282</v>
      </c>
      <c r="K1007">
        <v>8.9192587526137554E-4</v>
      </c>
      <c r="L1007" t="s">
        <v>166</v>
      </c>
      <c r="S1007" t="s">
        <v>238</v>
      </c>
      <c r="T1007" t="s">
        <v>282</v>
      </c>
      <c r="U1007">
        <v>3.8550475509995186E-2</v>
      </c>
      <c r="V1007" t="s">
        <v>166</v>
      </c>
    </row>
    <row r="1008" spans="9:22" x14ac:dyDescent="0.45">
      <c r="I1008" t="s">
        <v>197</v>
      </c>
      <c r="J1008" t="s">
        <v>283</v>
      </c>
      <c r="K1008">
        <v>2.2090321617691164E-3</v>
      </c>
      <c r="L1008" t="s">
        <v>166</v>
      </c>
      <c r="S1008" t="s">
        <v>238</v>
      </c>
      <c r="T1008" t="s">
        <v>283</v>
      </c>
      <c r="U1008">
        <v>5.3189787992630883E-3</v>
      </c>
      <c r="V1008" t="s">
        <v>166</v>
      </c>
    </row>
    <row r="1009" spans="9:22" x14ac:dyDescent="0.45">
      <c r="I1009" t="s">
        <v>197</v>
      </c>
      <c r="J1009" t="s">
        <v>284</v>
      </c>
      <c r="K1009">
        <v>3.9455389758597012E-2</v>
      </c>
      <c r="L1009" t="s">
        <v>166</v>
      </c>
      <c r="S1009" t="s">
        <v>238</v>
      </c>
      <c r="T1009" t="s">
        <v>284</v>
      </c>
      <c r="U1009">
        <v>3.6251074198353515E-2</v>
      </c>
      <c r="V1009" t="s">
        <v>166</v>
      </c>
    </row>
    <row r="1010" spans="9:22" x14ac:dyDescent="0.45">
      <c r="I1010" t="s">
        <v>197</v>
      </c>
      <c r="J1010" t="s">
        <v>285</v>
      </c>
      <c r="K1010">
        <v>3.8051982549872159E-3</v>
      </c>
      <c r="L1010" t="s">
        <v>166</v>
      </c>
      <c r="S1010" t="s">
        <v>238</v>
      </c>
      <c r="T1010" t="s">
        <v>285</v>
      </c>
      <c r="U1010">
        <v>4.8833560247635898E-3</v>
      </c>
      <c r="V1010" t="s">
        <v>166</v>
      </c>
    </row>
    <row r="1011" spans="9:22" x14ac:dyDescent="0.45">
      <c r="I1011" t="s">
        <v>197</v>
      </c>
      <c r="J1011" t="s">
        <v>286</v>
      </c>
      <c r="K1011">
        <v>2.4619062417352362E-3</v>
      </c>
      <c r="L1011" t="s">
        <v>166</v>
      </c>
      <c r="S1011" t="s">
        <v>238</v>
      </c>
      <c r="T1011" t="s">
        <v>286</v>
      </c>
      <c r="U1011">
        <v>8.704238611375488E-3</v>
      </c>
      <c r="V1011" t="s">
        <v>166</v>
      </c>
    </row>
    <row r="1012" spans="9:22" x14ac:dyDescent="0.45">
      <c r="I1012" t="s">
        <v>197</v>
      </c>
      <c r="J1012" t="s">
        <v>287</v>
      </c>
      <c r="K1012">
        <v>0</v>
      </c>
      <c r="L1012" t="s">
        <v>166</v>
      </c>
      <c r="S1012" t="s">
        <v>238</v>
      </c>
      <c r="T1012" t="s">
        <v>287</v>
      </c>
      <c r="U1012">
        <v>2.3522863086070097E-2</v>
      </c>
      <c r="V1012" t="s">
        <v>166</v>
      </c>
    </row>
    <row r="1013" spans="9:22" x14ac:dyDescent="0.45">
      <c r="I1013" t="s">
        <v>197</v>
      </c>
      <c r="J1013" t="s">
        <v>288</v>
      </c>
      <c r="K1013">
        <v>3.0974516845948876E-4</v>
      </c>
      <c r="L1013" t="s">
        <v>166</v>
      </c>
      <c r="S1013" t="s">
        <v>238</v>
      </c>
      <c r="T1013" t="s">
        <v>288</v>
      </c>
      <c r="U1013">
        <v>4.1500460108803983E-2</v>
      </c>
      <c r="V1013" t="s">
        <v>166</v>
      </c>
    </row>
    <row r="1014" spans="9:22" x14ac:dyDescent="0.45">
      <c r="I1014" t="s">
        <v>197</v>
      </c>
      <c r="J1014" t="s">
        <v>289</v>
      </c>
      <c r="K1014">
        <v>5.6395436771236153E-3</v>
      </c>
      <c r="L1014" t="s">
        <v>166</v>
      </c>
      <c r="S1014" t="s">
        <v>238</v>
      </c>
      <c r="T1014" t="s">
        <v>289</v>
      </c>
      <c r="U1014">
        <v>5.7802092777342554E-3</v>
      </c>
      <c r="V1014" t="s">
        <v>166</v>
      </c>
    </row>
    <row r="1015" spans="9:22" x14ac:dyDescent="0.45">
      <c r="I1015" t="s">
        <v>197</v>
      </c>
      <c r="J1015" t="s">
        <v>290</v>
      </c>
      <c r="K1015">
        <v>7.6694292893456736E-2</v>
      </c>
      <c r="L1015" t="s">
        <v>166</v>
      </c>
      <c r="S1015" t="s">
        <v>238</v>
      </c>
      <c r="T1015" t="s">
        <v>290</v>
      </c>
      <c r="U1015">
        <v>4.0136883758415266E-2</v>
      </c>
      <c r="V1015" t="s">
        <v>166</v>
      </c>
    </row>
    <row r="1016" spans="9:22" x14ac:dyDescent="0.45">
      <c r="I1016" t="s">
        <v>197</v>
      </c>
      <c r="J1016" t="s">
        <v>291</v>
      </c>
      <c r="K1016">
        <v>8.2683180706056708E-3</v>
      </c>
      <c r="L1016" t="s">
        <v>166</v>
      </c>
      <c r="S1016" t="s">
        <v>238</v>
      </c>
      <c r="T1016" t="s">
        <v>291</v>
      </c>
      <c r="U1016">
        <v>4.9470456818369851E-3</v>
      </c>
      <c r="V1016" t="s">
        <v>166</v>
      </c>
    </row>
    <row r="1017" spans="9:22" x14ac:dyDescent="0.45">
      <c r="I1017" t="s">
        <v>197</v>
      </c>
      <c r="J1017" t="s">
        <v>292</v>
      </c>
      <c r="K1017">
        <v>5.6098598607983953E-3</v>
      </c>
      <c r="L1017" t="s">
        <v>166</v>
      </c>
      <c r="S1017" t="s">
        <v>238</v>
      </c>
      <c r="T1017" t="s">
        <v>292</v>
      </c>
      <c r="U1017">
        <v>8.0694140928441859E-3</v>
      </c>
      <c r="V1017" t="s">
        <v>166</v>
      </c>
    </row>
    <row r="1018" spans="9:22" x14ac:dyDescent="0.45">
      <c r="I1018" t="s">
        <v>197</v>
      </c>
      <c r="J1018" t="s">
        <v>293</v>
      </c>
      <c r="K1018">
        <v>0</v>
      </c>
      <c r="L1018" t="s">
        <v>166</v>
      </c>
      <c r="S1018" t="s">
        <v>238</v>
      </c>
      <c r="T1018" t="s">
        <v>293</v>
      </c>
      <c r="U1018">
        <v>1.9561873171123036E-2</v>
      </c>
      <c r="V1018" t="s">
        <v>166</v>
      </c>
    </row>
    <row r="1019" spans="9:22" x14ac:dyDescent="0.45">
      <c r="I1019" t="s">
        <v>198</v>
      </c>
      <c r="J1019" t="s">
        <v>165</v>
      </c>
      <c r="K1019">
        <v>6.1762180599013649E-3</v>
      </c>
      <c r="L1019" t="s">
        <v>166</v>
      </c>
      <c r="S1019" t="s">
        <v>239</v>
      </c>
      <c r="T1019" t="s">
        <v>165</v>
      </c>
      <c r="U1019">
        <v>0.12239859165292145</v>
      </c>
      <c r="V1019" t="s">
        <v>166</v>
      </c>
    </row>
    <row r="1020" spans="9:22" x14ac:dyDescent="0.45">
      <c r="I1020" t="s">
        <v>198</v>
      </c>
      <c r="J1020" t="s">
        <v>167</v>
      </c>
      <c r="K1020">
        <v>1.4384978539145206E-2</v>
      </c>
      <c r="L1020" t="s">
        <v>166</v>
      </c>
      <c r="S1020" t="s">
        <v>239</v>
      </c>
      <c r="T1020" t="s">
        <v>167</v>
      </c>
      <c r="U1020">
        <v>1.4474833541239674E-2</v>
      </c>
      <c r="V1020" t="s">
        <v>166</v>
      </c>
    </row>
    <row r="1021" spans="9:22" x14ac:dyDescent="0.45">
      <c r="I1021" t="s">
        <v>198</v>
      </c>
      <c r="J1021" t="s">
        <v>168</v>
      </c>
      <c r="K1021">
        <v>0.23488027185377541</v>
      </c>
      <c r="L1021" t="s">
        <v>166</v>
      </c>
      <c r="S1021" t="s">
        <v>239</v>
      </c>
      <c r="T1021" t="s">
        <v>168</v>
      </c>
      <c r="U1021">
        <v>9.060600516170271E-2</v>
      </c>
      <c r="V1021" t="s">
        <v>166</v>
      </c>
    </row>
    <row r="1022" spans="9:22" x14ac:dyDescent="0.45">
      <c r="I1022" t="s">
        <v>198</v>
      </c>
      <c r="J1022" t="s">
        <v>258</v>
      </c>
      <c r="K1022">
        <v>2.685902900525269E-2</v>
      </c>
      <c r="L1022" t="s">
        <v>166</v>
      </c>
      <c r="S1022" t="s">
        <v>239</v>
      </c>
      <c r="T1022" t="s">
        <v>258</v>
      </c>
      <c r="U1022">
        <v>1.4122816821820686E-2</v>
      </c>
      <c r="V1022" t="s">
        <v>166</v>
      </c>
    </row>
    <row r="1023" spans="9:22" x14ac:dyDescent="0.45">
      <c r="I1023" t="s">
        <v>198</v>
      </c>
      <c r="J1023" t="s">
        <v>259</v>
      </c>
      <c r="K1023">
        <v>2.9422323022187682E-2</v>
      </c>
      <c r="L1023" t="s">
        <v>166</v>
      </c>
      <c r="S1023" t="s">
        <v>239</v>
      </c>
      <c r="T1023" t="s">
        <v>259</v>
      </c>
      <c r="U1023">
        <v>2.9040254804355854E-2</v>
      </c>
      <c r="V1023" t="s">
        <v>166</v>
      </c>
    </row>
    <row r="1024" spans="9:22" x14ac:dyDescent="0.45">
      <c r="I1024" t="s">
        <v>198</v>
      </c>
      <c r="J1024" t="s">
        <v>260</v>
      </c>
      <c r="K1024">
        <v>0</v>
      </c>
      <c r="L1024" t="s">
        <v>166</v>
      </c>
      <c r="S1024" t="s">
        <v>239</v>
      </c>
      <c r="T1024" t="s">
        <v>260</v>
      </c>
      <c r="U1024">
        <v>8.8332175513208253E-2</v>
      </c>
      <c r="V1024" t="s">
        <v>166</v>
      </c>
    </row>
    <row r="1025" spans="9:22" x14ac:dyDescent="0.45">
      <c r="I1025" t="s">
        <v>198</v>
      </c>
      <c r="J1025" t="s">
        <v>169</v>
      </c>
      <c r="K1025">
        <v>6.9701212018476516E-3</v>
      </c>
      <c r="L1025" t="s">
        <v>166</v>
      </c>
      <c r="S1025" t="s">
        <v>239</v>
      </c>
      <c r="T1025" t="s">
        <v>169</v>
      </c>
      <c r="U1025">
        <v>2.035292550111362E-2</v>
      </c>
      <c r="V1025" t="s">
        <v>166</v>
      </c>
    </row>
    <row r="1026" spans="9:22" x14ac:dyDescent="0.45">
      <c r="I1026" t="s">
        <v>198</v>
      </c>
      <c r="J1026" t="s">
        <v>170</v>
      </c>
      <c r="K1026">
        <v>7.8710835753815055E-3</v>
      </c>
      <c r="L1026" t="s">
        <v>166</v>
      </c>
      <c r="S1026" t="s">
        <v>239</v>
      </c>
      <c r="T1026" t="s">
        <v>170</v>
      </c>
      <c r="U1026">
        <v>1.7153420658871303E-3</v>
      </c>
      <c r="V1026" t="s">
        <v>166</v>
      </c>
    </row>
    <row r="1027" spans="9:22" x14ac:dyDescent="0.45">
      <c r="I1027" t="s">
        <v>198</v>
      </c>
      <c r="J1027" t="s">
        <v>171</v>
      </c>
      <c r="K1027">
        <v>8.5360545472910096E-2</v>
      </c>
      <c r="L1027" t="s">
        <v>166</v>
      </c>
      <c r="S1027" t="s">
        <v>239</v>
      </c>
      <c r="T1027" t="s">
        <v>171</v>
      </c>
      <c r="U1027">
        <v>1.0057248937707793E-2</v>
      </c>
      <c r="V1027" t="s">
        <v>166</v>
      </c>
    </row>
    <row r="1028" spans="9:22" x14ac:dyDescent="0.45">
      <c r="I1028" t="s">
        <v>198</v>
      </c>
      <c r="J1028" t="s">
        <v>261</v>
      </c>
      <c r="K1028">
        <v>8.8933787463043746E-3</v>
      </c>
      <c r="L1028" t="s">
        <v>166</v>
      </c>
      <c r="S1028" t="s">
        <v>239</v>
      </c>
      <c r="T1028" t="s">
        <v>261</v>
      </c>
      <c r="U1028">
        <v>1.8123590138944018E-3</v>
      </c>
      <c r="V1028" t="s">
        <v>166</v>
      </c>
    </row>
    <row r="1029" spans="9:22" x14ac:dyDescent="0.45">
      <c r="I1029" t="s">
        <v>198</v>
      </c>
      <c r="J1029" t="s">
        <v>262</v>
      </c>
      <c r="K1029">
        <v>1.1088816961340042E-2</v>
      </c>
      <c r="L1029" t="s">
        <v>166</v>
      </c>
      <c r="S1029" t="s">
        <v>239</v>
      </c>
      <c r="T1029" t="s">
        <v>262</v>
      </c>
      <c r="U1029">
        <v>4.2622164563508903E-3</v>
      </c>
      <c r="V1029" t="s">
        <v>166</v>
      </c>
    </row>
    <row r="1030" spans="9:22" x14ac:dyDescent="0.45">
      <c r="I1030" t="s">
        <v>198</v>
      </c>
      <c r="J1030" t="s">
        <v>263</v>
      </c>
      <c r="K1030">
        <v>0</v>
      </c>
      <c r="L1030" t="s">
        <v>166</v>
      </c>
      <c r="S1030" t="s">
        <v>239</v>
      </c>
      <c r="T1030" t="s">
        <v>263</v>
      </c>
      <c r="U1030">
        <v>1.9915835760397044E-2</v>
      </c>
      <c r="V1030" t="s">
        <v>166</v>
      </c>
    </row>
    <row r="1031" spans="9:22" x14ac:dyDescent="0.45">
      <c r="I1031" t="s">
        <v>198</v>
      </c>
      <c r="J1031" t="s">
        <v>172</v>
      </c>
      <c r="K1031">
        <v>7.2459818912432843E-3</v>
      </c>
      <c r="L1031" t="s">
        <v>166</v>
      </c>
      <c r="S1031" t="s">
        <v>239</v>
      </c>
      <c r="T1031" t="s">
        <v>172</v>
      </c>
      <c r="U1031">
        <v>2.9436470292130174E-2</v>
      </c>
      <c r="V1031" t="s">
        <v>166</v>
      </c>
    </row>
    <row r="1032" spans="9:22" x14ac:dyDescent="0.45">
      <c r="I1032" t="s">
        <v>198</v>
      </c>
      <c r="J1032" t="s">
        <v>173</v>
      </c>
      <c r="K1032">
        <v>7.1975842134359824E-3</v>
      </c>
      <c r="L1032" t="s">
        <v>166</v>
      </c>
      <c r="S1032" t="s">
        <v>239</v>
      </c>
      <c r="T1032" t="s">
        <v>173</v>
      </c>
      <c r="U1032">
        <v>3.3919596565603186E-3</v>
      </c>
      <c r="V1032" t="s">
        <v>166</v>
      </c>
    </row>
    <row r="1033" spans="9:22" x14ac:dyDescent="0.45">
      <c r="I1033" t="s">
        <v>198</v>
      </c>
      <c r="J1033" t="s">
        <v>174</v>
      </c>
      <c r="K1033">
        <v>7.6171002565732795E-2</v>
      </c>
      <c r="L1033" t="s">
        <v>166</v>
      </c>
      <c r="S1033" t="s">
        <v>239</v>
      </c>
      <c r="T1033" t="s">
        <v>174</v>
      </c>
      <c r="U1033">
        <v>2.1497171880425835E-2</v>
      </c>
      <c r="V1033" t="s">
        <v>166</v>
      </c>
    </row>
    <row r="1034" spans="9:22" x14ac:dyDescent="0.45">
      <c r="I1034" t="s">
        <v>198</v>
      </c>
      <c r="J1034" t="s">
        <v>264</v>
      </c>
      <c r="K1034">
        <v>8.5056113342876043E-3</v>
      </c>
      <c r="L1034" t="s">
        <v>166</v>
      </c>
      <c r="S1034" t="s">
        <v>239</v>
      </c>
      <c r="T1034" t="s">
        <v>264</v>
      </c>
      <c r="U1034">
        <v>3.1726900348622777E-3</v>
      </c>
      <c r="V1034" t="s">
        <v>166</v>
      </c>
    </row>
    <row r="1035" spans="9:22" x14ac:dyDescent="0.45">
      <c r="I1035" t="s">
        <v>198</v>
      </c>
      <c r="J1035" t="s">
        <v>265</v>
      </c>
      <c r="K1035">
        <v>1.1588427776950452E-2</v>
      </c>
      <c r="L1035" t="s">
        <v>166</v>
      </c>
      <c r="S1035" t="s">
        <v>239</v>
      </c>
      <c r="T1035" t="s">
        <v>265</v>
      </c>
      <c r="U1035">
        <v>6.2672512300841615E-3</v>
      </c>
      <c r="V1035" t="s">
        <v>166</v>
      </c>
    </row>
    <row r="1036" spans="9:22" x14ac:dyDescent="0.45">
      <c r="I1036" t="s">
        <v>198</v>
      </c>
      <c r="J1036" t="s">
        <v>266</v>
      </c>
      <c r="K1036">
        <v>0</v>
      </c>
      <c r="L1036" t="s">
        <v>166</v>
      </c>
      <c r="S1036" t="s">
        <v>239</v>
      </c>
      <c r="T1036" t="s">
        <v>266</v>
      </c>
      <c r="U1036">
        <v>2.1428428988858727E-2</v>
      </c>
      <c r="V1036" t="s">
        <v>166</v>
      </c>
    </row>
    <row r="1037" spans="9:22" x14ac:dyDescent="0.45">
      <c r="I1037" t="s">
        <v>198</v>
      </c>
      <c r="J1037" t="s">
        <v>175</v>
      </c>
      <c r="K1037">
        <v>3.0706095638645256E-3</v>
      </c>
      <c r="L1037" t="s">
        <v>166</v>
      </c>
      <c r="S1037" t="s">
        <v>239</v>
      </c>
      <c r="T1037" t="s">
        <v>175</v>
      </c>
      <c r="U1037">
        <v>2.2148666453785874E-2</v>
      </c>
      <c r="V1037" t="s">
        <v>166</v>
      </c>
    </row>
    <row r="1038" spans="9:22" x14ac:dyDescent="0.45">
      <c r="I1038" t="s">
        <v>198</v>
      </c>
      <c r="J1038" t="s">
        <v>176</v>
      </c>
      <c r="K1038">
        <v>5.3858916106423634E-3</v>
      </c>
      <c r="L1038" t="s">
        <v>166</v>
      </c>
      <c r="S1038" t="s">
        <v>239</v>
      </c>
      <c r="T1038" t="s">
        <v>176</v>
      </c>
      <c r="U1038">
        <v>2.1615539868045609E-3</v>
      </c>
      <c r="V1038" t="s">
        <v>166</v>
      </c>
    </row>
    <row r="1039" spans="9:22" x14ac:dyDescent="0.45">
      <c r="I1039" t="s">
        <v>198</v>
      </c>
      <c r="J1039" t="s">
        <v>177</v>
      </c>
      <c r="K1039">
        <v>6.9460390205228151E-2</v>
      </c>
      <c r="L1039" t="s">
        <v>166</v>
      </c>
      <c r="S1039" t="s">
        <v>239</v>
      </c>
      <c r="T1039" t="s">
        <v>177</v>
      </c>
      <c r="U1039">
        <v>1.337809780538146E-2</v>
      </c>
      <c r="V1039" t="s">
        <v>166</v>
      </c>
    </row>
    <row r="1040" spans="9:22" x14ac:dyDescent="0.45">
      <c r="I1040" t="s">
        <v>198</v>
      </c>
      <c r="J1040" t="s">
        <v>267</v>
      </c>
      <c r="K1040">
        <v>7.6840958508200231E-3</v>
      </c>
      <c r="L1040" t="s">
        <v>166</v>
      </c>
      <c r="S1040" t="s">
        <v>239</v>
      </c>
      <c r="T1040" t="s">
        <v>267</v>
      </c>
      <c r="U1040">
        <v>2.1299880382815734E-3</v>
      </c>
      <c r="V1040" t="s">
        <v>166</v>
      </c>
    </row>
    <row r="1041" spans="9:22" x14ac:dyDescent="0.45">
      <c r="I1041" t="s">
        <v>198</v>
      </c>
      <c r="J1041" t="s">
        <v>268</v>
      </c>
      <c r="K1041">
        <v>9.7465441337140756E-3</v>
      </c>
      <c r="L1041" t="s">
        <v>166</v>
      </c>
      <c r="S1041" t="s">
        <v>239</v>
      </c>
      <c r="T1041" t="s">
        <v>268</v>
      </c>
      <c r="U1041">
        <v>4.3573777370508335E-3</v>
      </c>
      <c r="V1041" t="s">
        <v>166</v>
      </c>
    </row>
    <row r="1042" spans="9:22" x14ac:dyDescent="0.45">
      <c r="I1042" t="s">
        <v>198</v>
      </c>
      <c r="J1042" t="s">
        <v>269</v>
      </c>
      <c r="K1042">
        <v>0</v>
      </c>
      <c r="L1042" t="s">
        <v>166</v>
      </c>
      <c r="S1042" t="s">
        <v>239</v>
      </c>
      <c r="T1042" t="s">
        <v>269</v>
      </c>
      <c r="U1042">
        <v>1.7422322313317581E-2</v>
      </c>
      <c r="V1042" t="s">
        <v>166</v>
      </c>
    </row>
    <row r="1043" spans="9:22" x14ac:dyDescent="0.45">
      <c r="I1043" t="s">
        <v>198</v>
      </c>
      <c r="J1043" t="s">
        <v>270</v>
      </c>
      <c r="K1043">
        <v>3.13841016500689E-3</v>
      </c>
      <c r="L1043" t="s">
        <v>166</v>
      </c>
      <c r="S1043" t="s">
        <v>239</v>
      </c>
      <c r="T1043" t="s">
        <v>270</v>
      </c>
      <c r="U1043">
        <v>3.8114900567435571E-2</v>
      </c>
      <c r="V1043" t="s">
        <v>166</v>
      </c>
    </row>
    <row r="1044" spans="9:22" x14ac:dyDescent="0.45">
      <c r="I1044" t="s">
        <v>198</v>
      </c>
      <c r="J1044" t="s">
        <v>271</v>
      </c>
      <c r="K1044">
        <v>5.9391513245841592E-3</v>
      </c>
      <c r="L1044" t="s">
        <v>166</v>
      </c>
      <c r="S1044" t="s">
        <v>239</v>
      </c>
      <c r="T1044" t="s">
        <v>271</v>
      </c>
      <c r="U1044">
        <v>4.8878843570902275E-3</v>
      </c>
      <c r="V1044" t="s">
        <v>166</v>
      </c>
    </row>
    <row r="1045" spans="9:22" x14ac:dyDescent="0.45">
      <c r="I1045" t="s">
        <v>198</v>
      </c>
      <c r="J1045" t="s">
        <v>272</v>
      </c>
      <c r="K1045">
        <v>7.2653477185249588E-2</v>
      </c>
      <c r="L1045" t="s">
        <v>166</v>
      </c>
      <c r="S1045" t="s">
        <v>239</v>
      </c>
      <c r="T1045" t="s">
        <v>272</v>
      </c>
      <c r="U1045">
        <v>2.9693716533663646E-2</v>
      </c>
      <c r="V1045" t="s">
        <v>166</v>
      </c>
    </row>
    <row r="1046" spans="9:22" x14ac:dyDescent="0.45">
      <c r="I1046" t="s">
        <v>198</v>
      </c>
      <c r="J1046" t="s">
        <v>273</v>
      </c>
      <c r="K1046">
        <v>8.0863417116710801E-3</v>
      </c>
      <c r="L1046" t="s">
        <v>166</v>
      </c>
      <c r="S1046" t="s">
        <v>239</v>
      </c>
      <c r="T1046" t="s">
        <v>273</v>
      </c>
      <c r="U1046">
        <v>3.2488302822638406E-3</v>
      </c>
      <c r="V1046" t="s">
        <v>166</v>
      </c>
    </row>
    <row r="1047" spans="9:22" x14ac:dyDescent="0.45">
      <c r="I1047" t="s">
        <v>198</v>
      </c>
      <c r="J1047" t="s">
        <v>274</v>
      </c>
      <c r="K1047">
        <v>8.7962846507425949E-3</v>
      </c>
      <c r="L1047" t="s">
        <v>166</v>
      </c>
      <c r="S1047" t="s">
        <v>239</v>
      </c>
      <c r="T1047" t="s">
        <v>274</v>
      </c>
      <c r="U1047">
        <v>6.5730971197306802E-3</v>
      </c>
      <c r="V1047" t="s">
        <v>166</v>
      </c>
    </row>
    <row r="1048" spans="9:22" x14ac:dyDescent="0.45">
      <c r="I1048" t="s">
        <v>198</v>
      </c>
      <c r="J1048" t="s">
        <v>275</v>
      </c>
      <c r="K1048">
        <v>0</v>
      </c>
      <c r="L1048" t="s">
        <v>166</v>
      </c>
      <c r="S1048" t="s">
        <v>239</v>
      </c>
      <c r="T1048" t="s">
        <v>275</v>
      </c>
      <c r="U1048">
        <v>2.0924429528321069E-2</v>
      </c>
      <c r="V1048" t="s">
        <v>166</v>
      </c>
    </row>
    <row r="1049" spans="9:22" x14ac:dyDescent="0.45">
      <c r="I1049" t="s">
        <v>198</v>
      </c>
      <c r="J1049" t="s">
        <v>276</v>
      </c>
      <c r="K1049">
        <v>5.0403015569518046E-3</v>
      </c>
      <c r="L1049" t="s">
        <v>166</v>
      </c>
      <c r="S1049" t="s">
        <v>239</v>
      </c>
      <c r="T1049" t="s">
        <v>276</v>
      </c>
      <c r="U1049">
        <v>4.8041999826770224E-2</v>
      </c>
      <c r="V1049" t="s">
        <v>166</v>
      </c>
    </row>
    <row r="1050" spans="9:22" x14ac:dyDescent="0.45">
      <c r="I1050" t="s">
        <v>198</v>
      </c>
      <c r="J1050" t="s">
        <v>277</v>
      </c>
      <c r="K1050">
        <v>9.6310843754998082E-3</v>
      </c>
      <c r="L1050" t="s">
        <v>166</v>
      </c>
      <c r="S1050" t="s">
        <v>239</v>
      </c>
      <c r="T1050" t="s">
        <v>277</v>
      </c>
      <c r="U1050">
        <v>5.6700512843321765E-3</v>
      </c>
      <c r="V1050" t="s">
        <v>166</v>
      </c>
    </row>
    <row r="1051" spans="9:22" x14ac:dyDescent="0.45">
      <c r="I1051" t="s">
        <v>198</v>
      </c>
      <c r="J1051" t="s">
        <v>278</v>
      </c>
      <c r="K1051">
        <v>0.1158388599148653</v>
      </c>
      <c r="L1051" t="s">
        <v>166</v>
      </c>
      <c r="S1051" t="s">
        <v>239</v>
      </c>
      <c r="T1051" t="s">
        <v>278</v>
      </c>
      <c r="U1051">
        <v>3.7098984655827311E-2</v>
      </c>
      <c r="V1051" t="s">
        <v>166</v>
      </c>
    </row>
    <row r="1052" spans="9:22" x14ac:dyDescent="0.45">
      <c r="I1052" t="s">
        <v>198</v>
      </c>
      <c r="J1052" t="s">
        <v>279</v>
      </c>
      <c r="K1052">
        <v>1.2329372334650254E-2</v>
      </c>
      <c r="L1052" t="s">
        <v>166</v>
      </c>
      <c r="S1052" t="s">
        <v>239</v>
      </c>
      <c r="T1052" t="s">
        <v>279</v>
      </c>
      <c r="U1052">
        <v>5.4950070701853858E-3</v>
      </c>
      <c r="V1052" t="s">
        <v>166</v>
      </c>
    </row>
    <row r="1053" spans="9:22" x14ac:dyDescent="0.45">
      <c r="I1053" t="s">
        <v>198</v>
      </c>
      <c r="J1053" t="s">
        <v>280</v>
      </c>
      <c r="K1053">
        <v>1.0962537050551301E-2</v>
      </c>
      <c r="L1053" t="s">
        <v>166</v>
      </c>
      <c r="S1053" t="s">
        <v>239</v>
      </c>
      <c r="T1053" t="s">
        <v>280</v>
      </c>
      <c r="U1053">
        <v>1.0885485264630913E-2</v>
      </c>
      <c r="V1053" t="s">
        <v>166</v>
      </c>
    </row>
    <row r="1054" spans="9:22" x14ac:dyDescent="0.45">
      <c r="I1054" t="s">
        <v>198</v>
      </c>
      <c r="J1054" t="s">
        <v>281</v>
      </c>
      <c r="K1054">
        <v>0</v>
      </c>
      <c r="L1054" t="s">
        <v>166</v>
      </c>
      <c r="S1054" t="s">
        <v>239</v>
      </c>
      <c r="T1054" t="s">
        <v>281</v>
      </c>
      <c r="U1054">
        <v>3.1488577319233858E-2</v>
      </c>
      <c r="V1054" t="s">
        <v>166</v>
      </c>
    </row>
    <row r="1055" spans="9:22" x14ac:dyDescent="0.45">
      <c r="I1055" t="s">
        <v>198</v>
      </c>
      <c r="J1055" t="s">
        <v>282</v>
      </c>
      <c r="K1055">
        <v>1.1140840686219512E-3</v>
      </c>
      <c r="L1055" t="s">
        <v>166</v>
      </c>
      <c r="S1055" t="s">
        <v>239</v>
      </c>
      <c r="T1055" t="s">
        <v>282</v>
      </c>
      <c r="U1055">
        <v>3.5505599619277767E-2</v>
      </c>
      <c r="V1055" t="s">
        <v>166</v>
      </c>
    </row>
    <row r="1056" spans="9:22" x14ac:dyDescent="0.45">
      <c r="I1056" t="s">
        <v>198</v>
      </c>
      <c r="J1056" t="s">
        <v>283</v>
      </c>
      <c r="K1056">
        <v>2.4282784170506872E-3</v>
      </c>
      <c r="L1056" t="s">
        <v>166</v>
      </c>
      <c r="S1056" t="s">
        <v>239</v>
      </c>
      <c r="T1056" t="s">
        <v>283</v>
      </c>
      <c r="U1056">
        <v>4.7672753823561394E-3</v>
      </c>
      <c r="V1056" t="s">
        <v>166</v>
      </c>
    </row>
    <row r="1057" spans="9:22" x14ac:dyDescent="0.45">
      <c r="I1057" t="s">
        <v>198</v>
      </c>
      <c r="J1057" t="s">
        <v>284</v>
      </c>
      <c r="K1057">
        <v>4.0435151228764017E-2</v>
      </c>
      <c r="L1057" t="s">
        <v>166</v>
      </c>
      <c r="S1057" t="s">
        <v>239</v>
      </c>
      <c r="T1057" t="s">
        <v>284</v>
      </c>
      <c r="U1057">
        <v>2.8895774711221754E-2</v>
      </c>
      <c r="V1057" t="s">
        <v>166</v>
      </c>
    </row>
    <row r="1058" spans="9:22" x14ac:dyDescent="0.45">
      <c r="I1058" t="s">
        <v>198</v>
      </c>
      <c r="J1058" t="s">
        <v>285</v>
      </c>
      <c r="K1058">
        <v>3.7143052698656387E-3</v>
      </c>
      <c r="L1058" t="s">
        <v>166</v>
      </c>
      <c r="S1058" t="s">
        <v>239</v>
      </c>
      <c r="T1058" t="s">
        <v>285</v>
      </c>
      <c r="U1058">
        <v>3.9711988449164385E-3</v>
      </c>
      <c r="V1058" t="s">
        <v>166</v>
      </c>
    </row>
    <row r="1059" spans="9:22" x14ac:dyDescent="0.45">
      <c r="I1059" t="s">
        <v>198</v>
      </c>
      <c r="J1059" t="s">
        <v>286</v>
      </c>
      <c r="K1059">
        <v>2.0896559958314478E-3</v>
      </c>
      <c r="L1059" t="s">
        <v>166</v>
      </c>
      <c r="S1059" t="s">
        <v>239</v>
      </c>
      <c r="T1059" t="s">
        <v>286</v>
      </c>
      <c r="U1059">
        <v>7.16840788390117E-3</v>
      </c>
      <c r="V1059" t="s">
        <v>166</v>
      </c>
    </row>
    <row r="1060" spans="9:22" x14ac:dyDescent="0.45">
      <c r="I1060" t="s">
        <v>198</v>
      </c>
      <c r="J1060" t="s">
        <v>287</v>
      </c>
      <c r="K1060">
        <v>0</v>
      </c>
      <c r="L1060" t="s">
        <v>166</v>
      </c>
      <c r="S1060" t="s">
        <v>239</v>
      </c>
      <c r="T1060" t="s">
        <v>287</v>
      </c>
      <c r="U1060">
        <v>2.2568046609523704E-2</v>
      </c>
      <c r="V1060" t="s">
        <v>166</v>
      </c>
    </row>
    <row r="1061" spans="9:22" x14ac:dyDescent="0.45">
      <c r="I1061" t="s">
        <v>198</v>
      </c>
      <c r="J1061" t="s">
        <v>288</v>
      </c>
      <c r="K1061">
        <v>1.167836849000476E-3</v>
      </c>
      <c r="L1061" t="s">
        <v>166</v>
      </c>
      <c r="S1061" t="s">
        <v>239</v>
      </c>
      <c r="T1061" t="s">
        <v>288</v>
      </c>
      <c r="U1061">
        <v>3.1678964676430728E-2</v>
      </c>
      <c r="V1061" t="s">
        <v>166</v>
      </c>
    </row>
    <row r="1062" spans="9:22" x14ac:dyDescent="0.45">
      <c r="I1062" t="s">
        <v>198</v>
      </c>
      <c r="J1062" t="s">
        <v>289</v>
      </c>
      <c r="K1062">
        <v>3.1366202933521773E-3</v>
      </c>
      <c r="L1062" t="s">
        <v>166</v>
      </c>
      <c r="S1062" t="s">
        <v>239</v>
      </c>
      <c r="T1062" t="s">
        <v>289</v>
      </c>
      <c r="U1062">
        <v>4.3930837582876938E-3</v>
      </c>
      <c r="V1062" t="s">
        <v>166</v>
      </c>
    </row>
    <row r="1063" spans="9:22" x14ac:dyDescent="0.45">
      <c r="I1063" t="s">
        <v>198</v>
      </c>
      <c r="J1063" t="s">
        <v>290</v>
      </c>
      <c r="K1063">
        <v>4.8124614984440282E-2</v>
      </c>
      <c r="L1063" t="s">
        <v>166</v>
      </c>
      <c r="S1063" t="s">
        <v>239</v>
      </c>
      <c r="T1063" t="s">
        <v>290</v>
      </c>
      <c r="U1063">
        <v>2.7851172839048335E-2</v>
      </c>
      <c r="V1063" t="s">
        <v>166</v>
      </c>
    </row>
    <row r="1064" spans="9:22" x14ac:dyDescent="0.45">
      <c r="I1064" t="s">
        <v>198</v>
      </c>
      <c r="J1064" t="s">
        <v>291</v>
      </c>
      <c r="K1064">
        <v>4.5427013343396763E-3</v>
      </c>
      <c r="L1064" t="s">
        <v>166</v>
      </c>
      <c r="S1064" t="s">
        <v>239</v>
      </c>
      <c r="T1064" t="s">
        <v>291</v>
      </c>
      <c r="U1064">
        <v>3.7494899462256369E-3</v>
      </c>
      <c r="V1064" t="s">
        <v>166</v>
      </c>
    </row>
    <row r="1065" spans="9:22" x14ac:dyDescent="0.45">
      <c r="I1065" t="s">
        <v>198</v>
      </c>
      <c r="J1065" t="s">
        <v>292</v>
      </c>
      <c r="K1065">
        <v>2.8680257049956402E-3</v>
      </c>
      <c r="L1065" t="s">
        <v>166</v>
      </c>
      <c r="S1065" t="s">
        <v>239</v>
      </c>
      <c r="T1065" t="s">
        <v>292</v>
      </c>
      <c r="U1065">
        <v>6.5741386299185351E-3</v>
      </c>
      <c r="V1065" t="s">
        <v>166</v>
      </c>
    </row>
    <row r="1066" spans="9:22" x14ac:dyDescent="0.45">
      <c r="I1066" t="s">
        <v>198</v>
      </c>
      <c r="J1066" t="s">
        <v>293</v>
      </c>
      <c r="K1066">
        <v>0</v>
      </c>
      <c r="L1066" t="s">
        <v>166</v>
      </c>
      <c r="S1066" t="s">
        <v>239</v>
      </c>
      <c r="T1066" t="s">
        <v>293</v>
      </c>
      <c r="U1066">
        <v>1.6871299641264978E-2</v>
      </c>
      <c r="V1066" t="s">
        <v>166</v>
      </c>
    </row>
    <row r="1067" spans="9:22" x14ac:dyDescent="0.45">
      <c r="I1067" t="s">
        <v>199</v>
      </c>
      <c r="J1067" t="s">
        <v>165</v>
      </c>
      <c r="K1067">
        <v>6.3845264802997381E-3</v>
      </c>
      <c r="L1067" t="s">
        <v>166</v>
      </c>
    </row>
    <row r="1068" spans="9:22" x14ac:dyDescent="0.45">
      <c r="I1068" t="s">
        <v>199</v>
      </c>
      <c r="J1068" t="s">
        <v>167</v>
      </c>
      <c r="K1068">
        <v>1.9342640355859541E-2</v>
      </c>
      <c r="L1068" t="s">
        <v>166</v>
      </c>
    </row>
    <row r="1069" spans="9:22" x14ac:dyDescent="0.45">
      <c r="I1069" t="s">
        <v>199</v>
      </c>
      <c r="J1069" t="s">
        <v>168</v>
      </c>
      <c r="K1069">
        <v>0.27985394483768683</v>
      </c>
      <c r="L1069" t="s">
        <v>166</v>
      </c>
    </row>
    <row r="1070" spans="9:22" x14ac:dyDescent="0.45">
      <c r="I1070" t="s">
        <v>199</v>
      </c>
      <c r="J1070" t="s">
        <v>258</v>
      </c>
      <c r="K1070">
        <v>3.2621994947584908E-2</v>
      </c>
      <c r="L1070" t="s">
        <v>166</v>
      </c>
    </row>
    <row r="1071" spans="9:22" x14ac:dyDescent="0.45">
      <c r="I1071" t="s">
        <v>199</v>
      </c>
      <c r="J1071" t="s">
        <v>259</v>
      </c>
      <c r="K1071">
        <v>4.1334267873894284E-2</v>
      </c>
      <c r="L1071" t="s">
        <v>166</v>
      </c>
    </row>
    <row r="1072" spans="9:22" x14ac:dyDescent="0.45">
      <c r="I1072" t="s">
        <v>199</v>
      </c>
      <c r="J1072" t="s">
        <v>260</v>
      </c>
      <c r="K1072">
        <v>0</v>
      </c>
      <c r="L1072" t="s">
        <v>166</v>
      </c>
    </row>
    <row r="1073" spans="9:12" x14ac:dyDescent="0.45">
      <c r="I1073" t="s">
        <v>199</v>
      </c>
      <c r="J1073" t="s">
        <v>169</v>
      </c>
      <c r="K1073">
        <v>2.2455114464790126E-3</v>
      </c>
      <c r="L1073" t="s">
        <v>166</v>
      </c>
    </row>
    <row r="1074" spans="9:12" x14ac:dyDescent="0.45">
      <c r="I1074" t="s">
        <v>199</v>
      </c>
      <c r="J1074" t="s">
        <v>170</v>
      </c>
      <c r="K1074">
        <v>4.5720720030298012E-3</v>
      </c>
      <c r="L1074" t="s">
        <v>166</v>
      </c>
    </row>
    <row r="1075" spans="9:12" x14ac:dyDescent="0.45">
      <c r="I1075" t="s">
        <v>199</v>
      </c>
      <c r="J1075" t="s">
        <v>171</v>
      </c>
      <c r="K1075">
        <v>6.6456712836150622E-2</v>
      </c>
      <c r="L1075" t="s">
        <v>166</v>
      </c>
    </row>
    <row r="1076" spans="9:12" x14ac:dyDescent="0.45">
      <c r="I1076" t="s">
        <v>199</v>
      </c>
      <c r="J1076" t="s">
        <v>261</v>
      </c>
      <c r="K1076">
        <v>6.8233108726575582E-3</v>
      </c>
      <c r="L1076" t="s">
        <v>166</v>
      </c>
    </row>
    <row r="1077" spans="9:12" x14ac:dyDescent="0.45">
      <c r="I1077" t="s">
        <v>199</v>
      </c>
      <c r="J1077" t="s">
        <v>262</v>
      </c>
      <c r="K1077">
        <v>8.6832836226162502E-3</v>
      </c>
      <c r="L1077" t="s">
        <v>166</v>
      </c>
    </row>
    <row r="1078" spans="9:12" x14ac:dyDescent="0.45">
      <c r="I1078" t="s">
        <v>199</v>
      </c>
      <c r="J1078" t="s">
        <v>263</v>
      </c>
      <c r="K1078">
        <v>6.7142390784360833E-5</v>
      </c>
      <c r="L1078" t="s">
        <v>166</v>
      </c>
    </row>
    <row r="1079" spans="9:12" x14ac:dyDescent="0.45">
      <c r="I1079" t="s">
        <v>199</v>
      </c>
      <c r="J1079" t="s">
        <v>172</v>
      </c>
      <c r="K1079">
        <v>2.1826469615477419E-3</v>
      </c>
      <c r="L1079" t="s">
        <v>166</v>
      </c>
    </row>
    <row r="1080" spans="9:12" x14ac:dyDescent="0.45">
      <c r="I1080" t="s">
        <v>199</v>
      </c>
      <c r="J1080" t="s">
        <v>173</v>
      </c>
      <c r="K1080">
        <v>4.5212108100066619E-3</v>
      </c>
      <c r="L1080" t="s">
        <v>166</v>
      </c>
    </row>
    <row r="1081" spans="9:12" x14ac:dyDescent="0.45">
      <c r="I1081" t="s">
        <v>199</v>
      </c>
      <c r="J1081" t="s">
        <v>174</v>
      </c>
      <c r="K1081">
        <v>5.7066748495211934E-2</v>
      </c>
      <c r="L1081" t="s">
        <v>166</v>
      </c>
    </row>
    <row r="1082" spans="9:12" x14ac:dyDescent="0.45">
      <c r="I1082" t="s">
        <v>199</v>
      </c>
      <c r="J1082" t="s">
        <v>264</v>
      </c>
      <c r="K1082">
        <v>5.8707298462821345E-3</v>
      </c>
      <c r="L1082" t="s">
        <v>166</v>
      </c>
    </row>
    <row r="1083" spans="9:12" x14ac:dyDescent="0.45">
      <c r="I1083" t="s">
        <v>199</v>
      </c>
      <c r="J1083" t="s">
        <v>265</v>
      </c>
      <c r="K1083">
        <v>7.4892808019627957E-3</v>
      </c>
      <c r="L1083" t="s">
        <v>166</v>
      </c>
    </row>
    <row r="1084" spans="9:12" x14ac:dyDescent="0.45">
      <c r="I1084" t="s">
        <v>199</v>
      </c>
      <c r="J1084" t="s">
        <v>266</v>
      </c>
      <c r="K1084">
        <v>1.763293908300184E-3</v>
      </c>
      <c r="L1084" t="s">
        <v>166</v>
      </c>
    </row>
    <row r="1085" spans="9:12" x14ac:dyDescent="0.45">
      <c r="I1085" t="s">
        <v>199</v>
      </c>
      <c r="J1085" t="s">
        <v>175</v>
      </c>
      <c r="K1085">
        <v>1.0372899951570102E-3</v>
      </c>
      <c r="L1085" t="s">
        <v>166</v>
      </c>
    </row>
    <row r="1086" spans="9:12" x14ac:dyDescent="0.45">
      <c r="I1086" t="s">
        <v>199</v>
      </c>
      <c r="J1086" t="s">
        <v>176</v>
      </c>
      <c r="K1086">
        <v>2.7773860141739647E-3</v>
      </c>
      <c r="L1086" t="s">
        <v>166</v>
      </c>
    </row>
    <row r="1087" spans="9:12" x14ac:dyDescent="0.45">
      <c r="I1087" t="s">
        <v>199</v>
      </c>
      <c r="J1087" t="s">
        <v>177</v>
      </c>
      <c r="K1087">
        <v>4.8211428482860974E-2</v>
      </c>
      <c r="L1087" t="s">
        <v>166</v>
      </c>
    </row>
    <row r="1088" spans="9:12" x14ac:dyDescent="0.45">
      <c r="I1088" t="s">
        <v>199</v>
      </c>
      <c r="J1088" t="s">
        <v>267</v>
      </c>
      <c r="K1088">
        <v>4.9395838900343396E-3</v>
      </c>
      <c r="L1088" t="s">
        <v>166</v>
      </c>
    </row>
    <row r="1089" spans="9:12" x14ac:dyDescent="0.45">
      <c r="I1089" t="s">
        <v>199</v>
      </c>
      <c r="J1089" t="s">
        <v>268</v>
      </c>
      <c r="K1089">
        <v>5.4064565909460582E-3</v>
      </c>
      <c r="L1089" t="s">
        <v>166</v>
      </c>
    </row>
    <row r="1090" spans="9:12" x14ac:dyDescent="0.45">
      <c r="I1090" t="s">
        <v>199</v>
      </c>
      <c r="J1090" t="s">
        <v>269</v>
      </c>
      <c r="K1090">
        <v>8.701275635752977E-4</v>
      </c>
      <c r="L1090" t="s">
        <v>166</v>
      </c>
    </row>
    <row r="1091" spans="9:12" x14ac:dyDescent="0.45">
      <c r="I1091" t="s">
        <v>199</v>
      </c>
      <c r="J1091" t="s">
        <v>270</v>
      </c>
      <c r="K1091">
        <v>1.3553196016086861E-3</v>
      </c>
      <c r="L1091" t="s">
        <v>166</v>
      </c>
    </row>
    <row r="1092" spans="9:12" x14ac:dyDescent="0.45">
      <c r="I1092" t="s">
        <v>199</v>
      </c>
      <c r="J1092" t="s">
        <v>271</v>
      </c>
      <c r="K1092">
        <v>3.43415826155583E-3</v>
      </c>
      <c r="L1092" t="s">
        <v>166</v>
      </c>
    </row>
    <row r="1093" spans="9:12" x14ac:dyDescent="0.45">
      <c r="I1093" t="s">
        <v>199</v>
      </c>
      <c r="J1093" t="s">
        <v>272</v>
      </c>
      <c r="K1093">
        <v>5.6581370716872983E-2</v>
      </c>
      <c r="L1093" t="s">
        <v>166</v>
      </c>
    </row>
    <row r="1094" spans="9:12" x14ac:dyDescent="0.45">
      <c r="I1094" t="s">
        <v>199</v>
      </c>
      <c r="J1094" t="s">
        <v>273</v>
      </c>
      <c r="K1094">
        <v>5.3308010698942324E-3</v>
      </c>
      <c r="L1094" t="s">
        <v>166</v>
      </c>
    </row>
    <row r="1095" spans="9:12" x14ac:dyDescent="0.45">
      <c r="I1095" t="s">
        <v>199</v>
      </c>
      <c r="J1095" t="s">
        <v>274</v>
      </c>
      <c r="K1095">
        <v>5.5881429887464874E-3</v>
      </c>
      <c r="L1095" t="s">
        <v>166</v>
      </c>
    </row>
    <row r="1096" spans="9:12" x14ac:dyDescent="0.45">
      <c r="I1096" t="s">
        <v>199</v>
      </c>
      <c r="J1096" t="s">
        <v>275</v>
      </c>
      <c r="K1096">
        <v>8.0636521662104483E-5</v>
      </c>
      <c r="L1096" t="s">
        <v>166</v>
      </c>
    </row>
    <row r="1097" spans="9:12" x14ac:dyDescent="0.45">
      <c r="I1097" t="s">
        <v>199</v>
      </c>
      <c r="J1097" t="s">
        <v>276</v>
      </c>
      <c r="K1097">
        <v>4.4978564520319342E-3</v>
      </c>
      <c r="L1097" t="s">
        <v>166</v>
      </c>
    </row>
    <row r="1098" spans="9:12" x14ac:dyDescent="0.45">
      <c r="I1098" t="s">
        <v>199</v>
      </c>
      <c r="J1098" t="s">
        <v>277</v>
      </c>
      <c r="K1098">
        <v>9.0634359444570836E-3</v>
      </c>
      <c r="L1098" t="s">
        <v>166</v>
      </c>
    </row>
    <row r="1099" spans="9:12" x14ac:dyDescent="0.45">
      <c r="I1099" t="s">
        <v>199</v>
      </c>
      <c r="J1099" t="s">
        <v>278</v>
      </c>
      <c r="K1099">
        <v>0.11341567042896374</v>
      </c>
      <c r="L1099" t="s">
        <v>166</v>
      </c>
    </row>
    <row r="1100" spans="9:12" x14ac:dyDescent="0.45">
      <c r="I1100" t="s">
        <v>199</v>
      </c>
      <c r="J1100" t="s">
        <v>279</v>
      </c>
      <c r="K1100">
        <v>1.1810973754329797E-2</v>
      </c>
      <c r="L1100" t="s">
        <v>166</v>
      </c>
    </row>
    <row r="1101" spans="9:12" x14ac:dyDescent="0.45">
      <c r="I1101" t="s">
        <v>199</v>
      </c>
      <c r="J1101" t="s">
        <v>280</v>
      </c>
      <c r="K1101">
        <v>1.2352192886392171E-2</v>
      </c>
      <c r="L1101" t="s">
        <v>166</v>
      </c>
    </row>
    <row r="1102" spans="9:12" x14ac:dyDescent="0.45">
      <c r="I1102" t="s">
        <v>199</v>
      </c>
      <c r="J1102" t="s">
        <v>281</v>
      </c>
      <c r="K1102">
        <v>0</v>
      </c>
      <c r="L1102" t="s">
        <v>166</v>
      </c>
    </row>
    <row r="1103" spans="9:12" x14ac:dyDescent="0.45">
      <c r="I1103" t="s">
        <v>199</v>
      </c>
      <c r="J1103" t="s">
        <v>282</v>
      </c>
      <c r="K1103">
        <v>1.4804900051733287E-3</v>
      </c>
      <c r="L1103" t="s">
        <v>166</v>
      </c>
    </row>
    <row r="1104" spans="9:12" x14ac:dyDescent="0.45">
      <c r="I1104" t="s">
        <v>199</v>
      </c>
      <c r="J1104" t="s">
        <v>283</v>
      </c>
      <c r="K1104">
        <v>3.3848126181282245E-3</v>
      </c>
      <c r="L1104" t="s">
        <v>166</v>
      </c>
    </row>
    <row r="1105" spans="9:12" x14ac:dyDescent="0.45">
      <c r="I1105" t="s">
        <v>199</v>
      </c>
      <c r="J1105" t="s">
        <v>284</v>
      </c>
      <c r="K1105">
        <v>5.2501608491182822E-2</v>
      </c>
      <c r="L1105" t="s">
        <v>166</v>
      </c>
    </row>
    <row r="1106" spans="9:12" x14ac:dyDescent="0.45">
      <c r="I1106" t="s">
        <v>199</v>
      </c>
      <c r="J1106" t="s">
        <v>285</v>
      </c>
      <c r="K1106">
        <v>5.2509946613721586E-3</v>
      </c>
      <c r="L1106" t="s">
        <v>166</v>
      </c>
    </row>
    <row r="1107" spans="9:12" x14ac:dyDescent="0.45">
      <c r="I1107" t="s">
        <v>199</v>
      </c>
      <c r="J1107" t="s">
        <v>286</v>
      </c>
      <c r="K1107">
        <v>3.3632128252654887E-3</v>
      </c>
      <c r="L1107" t="s">
        <v>166</v>
      </c>
    </row>
    <row r="1108" spans="9:12" x14ac:dyDescent="0.45">
      <c r="I1108" t="s">
        <v>199</v>
      </c>
      <c r="J1108" t="s">
        <v>287</v>
      </c>
      <c r="K1108">
        <v>0</v>
      </c>
      <c r="L1108" t="s">
        <v>166</v>
      </c>
    </row>
    <row r="1109" spans="9:12" x14ac:dyDescent="0.45">
      <c r="I1109" t="s">
        <v>199</v>
      </c>
      <c r="J1109" t="s">
        <v>288</v>
      </c>
      <c r="K1109">
        <v>4.8152947063763571E-4</v>
      </c>
      <c r="L1109" t="s">
        <v>166</v>
      </c>
    </row>
    <row r="1110" spans="9:12" x14ac:dyDescent="0.45">
      <c r="I1110" t="s">
        <v>199</v>
      </c>
      <c r="J1110" t="s">
        <v>289</v>
      </c>
      <c r="K1110">
        <v>6.152018745650043E-3</v>
      </c>
      <c r="L1110" t="s">
        <v>166</v>
      </c>
    </row>
    <row r="1111" spans="9:12" x14ac:dyDescent="0.45">
      <c r="I1111" t="s">
        <v>199</v>
      </c>
      <c r="J1111" t="s">
        <v>290</v>
      </c>
      <c r="K1111">
        <v>7.7950300950090257E-2</v>
      </c>
      <c r="L1111" t="s">
        <v>166</v>
      </c>
    </row>
    <row r="1112" spans="9:12" x14ac:dyDescent="0.45">
      <c r="I1112" t="s">
        <v>199</v>
      </c>
      <c r="J1112" t="s">
        <v>291</v>
      </c>
      <c r="K1112">
        <v>9.0572868444058381E-3</v>
      </c>
      <c r="L1112" t="s">
        <v>166</v>
      </c>
    </row>
    <row r="1113" spans="9:12" x14ac:dyDescent="0.45">
      <c r="I1113" t="s">
        <v>199</v>
      </c>
      <c r="J1113" t="s">
        <v>292</v>
      </c>
      <c r="K1113">
        <v>6.3455957344781301E-3</v>
      </c>
      <c r="L1113" t="s">
        <v>166</v>
      </c>
    </row>
    <row r="1114" spans="9:12" x14ac:dyDescent="0.45">
      <c r="I1114" t="s">
        <v>199</v>
      </c>
      <c r="J1114" t="s">
        <v>293</v>
      </c>
      <c r="K1114">
        <v>0</v>
      </c>
      <c r="L1114" t="s">
        <v>166</v>
      </c>
    </row>
    <row r="1115" spans="9:12" x14ac:dyDescent="0.45">
      <c r="I1115" t="s">
        <v>200</v>
      </c>
      <c r="J1115" t="s">
        <v>165</v>
      </c>
      <c r="K1115">
        <v>7.3384890749422522E-3</v>
      </c>
      <c r="L1115" t="s">
        <v>166</v>
      </c>
    </row>
    <row r="1116" spans="9:12" x14ac:dyDescent="0.45">
      <c r="I1116" t="s">
        <v>200</v>
      </c>
      <c r="J1116" t="s">
        <v>167</v>
      </c>
      <c r="K1116">
        <v>1.8886191922083535E-2</v>
      </c>
      <c r="L1116" t="s">
        <v>166</v>
      </c>
    </row>
    <row r="1117" spans="9:12" x14ac:dyDescent="0.45">
      <c r="I1117" t="s">
        <v>200</v>
      </c>
      <c r="J1117" t="s">
        <v>168</v>
      </c>
      <c r="K1117">
        <v>0.27042562897809802</v>
      </c>
      <c r="L1117" t="s">
        <v>166</v>
      </c>
    </row>
    <row r="1118" spans="9:12" x14ac:dyDescent="0.45">
      <c r="I1118" t="s">
        <v>200</v>
      </c>
      <c r="J1118" t="s">
        <v>258</v>
      </c>
      <c r="K1118">
        <v>3.1057779111859623E-2</v>
      </c>
      <c r="L1118" t="s">
        <v>166</v>
      </c>
    </row>
    <row r="1119" spans="9:12" x14ac:dyDescent="0.45">
      <c r="I1119" t="s">
        <v>200</v>
      </c>
      <c r="J1119" t="s">
        <v>259</v>
      </c>
      <c r="K1119">
        <v>3.5903480689328415E-2</v>
      </c>
      <c r="L1119" t="s">
        <v>166</v>
      </c>
    </row>
    <row r="1120" spans="9:12" x14ac:dyDescent="0.45">
      <c r="I1120" t="s">
        <v>200</v>
      </c>
      <c r="J1120" t="s">
        <v>260</v>
      </c>
      <c r="K1120">
        <v>0</v>
      </c>
      <c r="L1120" t="s">
        <v>166</v>
      </c>
    </row>
    <row r="1121" spans="9:12" x14ac:dyDescent="0.45">
      <c r="I1121" t="s">
        <v>200</v>
      </c>
      <c r="J1121" t="s">
        <v>169</v>
      </c>
      <c r="K1121">
        <v>3.875710758067882E-3</v>
      </c>
      <c r="L1121" t="s">
        <v>166</v>
      </c>
    </row>
    <row r="1122" spans="9:12" x14ac:dyDescent="0.45">
      <c r="I1122" t="s">
        <v>200</v>
      </c>
      <c r="J1122" t="s">
        <v>170</v>
      </c>
      <c r="K1122">
        <v>5.9085433226521338E-3</v>
      </c>
      <c r="L1122" t="s">
        <v>166</v>
      </c>
    </row>
    <row r="1123" spans="9:12" x14ac:dyDescent="0.45">
      <c r="I1123" t="s">
        <v>200</v>
      </c>
      <c r="J1123" t="s">
        <v>171</v>
      </c>
      <c r="K1123">
        <v>7.1477461947010296E-2</v>
      </c>
      <c r="L1123" t="s">
        <v>166</v>
      </c>
    </row>
    <row r="1124" spans="9:12" x14ac:dyDescent="0.45">
      <c r="I1124" t="s">
        <v>200</v>
      </c>
      <c r="J1124" t="s">
        <v>261</v>
      </c>
      <c r="K1124">
        <v>7.4811746105818908E-3</v>
      </c>
      <c r="L1124" t="s">
        <v>166</v>
      </c>
    </row>
    <row r="1125" spans="9:12" x14ac:dyDescent="0.45">
      <c r="I1125" t="s">
        <v>200</v>
      </c>
      <c r="J1125" t="s">
        <v>262</v>
      </c>
      <c r="K1125">
        <v>9.7152252853131803E-3</v>
      </c>
      <c r="L1125" t="s">
        <v>166</v>
      </c>
    </row>
    <row r="1126" spans="9:12" x14ac:dyDescent="0.45">
      <c r="I1126" t="s">
        <v>200</v>
      </c>
      <c r="J1126" t="s">
        <v>263</v>
      </c>
      <c r="K1126">
        <v>0</v>
      </c>
      <c r="L1126" t="s">
        <v>166</v>
      </c>
    </row>
    <row r="1127" spans="9:12" x14ac:dyDescent="0.45">
      <c r="I1127" t="s">
        <v>200</v>
      </c>
      <c r="J1127" t="s">
        <v>172</v>
      </c>
      <c r="K1127">
        <v>4.1397650835791758E-3</v>
      </c>
      <c r="L1127" t="s">
        <v>166</v>
      </c>
    </row>
    <row r="1128" spans="9:12" x14ac:dyDescent="0.45">
      <c r="I1128" t="s">
        <v>200</v>
      </c>
      <c r="J1128" t="s">
        <v>173</v>
      </c>
      <c r="K1128">
        <v>5.4280466686335172E-3</v>
      </c>
      <c r="L1128" t="s">
        <v>166</v>
      </c>
    </row>
    <row r="1129" spans="9:12" x14ac:dyDescent="0.45">
      <c r="I1129" t="s">
        <v>200</v>
      </c>
      <c r="J1129" t="s">
        <v>174</v>
      </c>
      <c r="K1129">
        <v>6.379762139128109E-2</v>
      </c>
      <c r="L1129" t="s">
        <v>166</v>
      </c>
    </row>
    <row r="1130" spans="9:12" x14ac:dyDescent="0.45">
      <c r="I1130" t="s">
        <v>200</v>
      </c>
      <c r="J1130" t="s">
        <v>264</v>
      </c>
      <c r="K1130">
        <v>7.0877623938683998E-3</v>
      </c>
      <c r="L1130" t="s">
        <v>166</v>
      </c>
    </row>
    <row r="1131" spans="9:12" x14ac:dyDescent="0.45">
      <c r="I1131" t="s">
        <v>200</v>
      </c>
      <c r="J1131" t="s">
        <v>265</v>
      </c>
      <c r="K1131">
        <v>9.6329298451130526E-3</v>
      </c>
      <c r="L1131" t="s">
        <v>166</v>
      </c>
    </row>
    <row r="1132" spans="9:12" x14ac:dyDescent="0.45">
      <c r="I1132" t="s">
        <v>200</v>
      </c>
      <c r="J1132" t="s">
        <v>266</v>
      </c>
      <c r="K1132">
        <v>1.4439946798211999E-4</v>
      </c>
      <c r="L1132" t="s">
        <v>166</v>
      </c>
    </row>
    <row r="1133" spans="9:12" x14ac:dyDescent="0.45">
      <c r="I1133" t="s">
        <v>200</v>
      </c>
      <c r="J1133" t="s">
        <v>175</v>
      </c>
      <c r="K1133">
        <v>1.640001322237963E-3</v>
      </c>
      <c r="L1133" t="s">
        <v>166</v>
      </c>
    </row>
    <row r="1134" spans="9:12" x14ac:dyDescent="0.45">
      <c r="I1134" t="s">
        <v>200</v>
      </c>
      <c r="J1134" t="s">
        <v>176</v>
      </c>
      <c r="K1134">
        <v>3.540253458408844E-3</v>
      </c>
      <c r="L1134" t="s">
        <v>166</v>
      </c>
    </row>
    <row r="1135" spans="9:12" x14ac:dyDescent="0.45">
      <c r="I1135" t="s">
        <v>200</v>
      </c>
      <c r="J1135" t="s">
        <v>177</v>
      </c>
      <c r="K1135">
        <v>5.5334952046312356E-2</v>
      </c>
      <c r="L1135" t="s">
        <v>166</v>
      </c>
    </row>
    <row r="1136" spans="9:12" x14ac:dyDescent="0.45">
      <c r="I1136" t="s">
        <v>200</v>
      </c>
      <c r="J1136" t="s">
        <v>267</v>
      </c>
      <c r="K1136">
        <v>6.1461546118780734E-3</v>
      </c>
      <c r="L1136" t="s">
        <v>166</v>
      </c>
    </row>
    <row r="1137" spans="9:12" x14ac:dyDescent="0.45">
      <c r="I1137" t="s">
        <v>200</v>
      </c>
      <c r="J1137" t="s">
        <v>268</v>
      </c>
      <c r="K1137">
        <v>7.8199127641910716E-3</v>
      </c>
      <c r="L1137" t="s">
        <v>166</v>
      </c>
    </row>
    <row r="1138" spans="9:12" x14ac:dyDescent="0.45">
      <c r="I1138" t="s">
        <v>200</v>
      </c>
      <c r="J1138" t="s">
        <v>269</v>
      </c>
      <c r="K1138">
        <v>3.3192205955512527E-4</v>
      </c>
      <c r="L1138" t="s">
        <v>166</v>
      </c>
    </row>
    <row r="1139" spans="9:12" x14ac:dyDescent="0.45">
      <c r="I1139" t="s">
        <v>200</v>
      </c>
      <c r="J1139" t="s">
        <v>270</v>
      </c>
      <c r="K1139">
        <v>1.9059792576516107E-3</v>
      </c>
      <c r="L1139" t="s">
        <v>166</v>
      </c>
    </row>
    <row r="1140" spans="9:12" x14ac:dyDescent="0.45">
      <c r="I1140" t="s">
        <v>200</v>
      </c>
      <c r="J1140" t="s">
        <v>271</v>
      </c>
      <c r="K1140">
        <v>4.1061702309560426E-3</v>
      </c>
      <c r="L1140" t="s">
        <v>166</v>
      </c>
    </row>
    <row r="1141" spans="9:12" x14ac:dyDescent="0.45">
      <c r="I1141" t="s">
        <v>200</v>
      </c>
      <c r="J1141" t="s">
        <v>272</v>
      </c>
      <c r="K1141">
        <v>5.8999430930642464E-2</v>
      </c>
      <c r="L1141" t="s">
        <v>166</v>
      </c>
    </row>
    <row r="1142" spans="9:12" x14ac:dyDescent="0.45">
      <c r="I1142" t="s">
        <v>200</v>
      </c>
      <c r="J1142" t="s">
        <v>273</v>
      </c>
      <c r="K1142">
        <v>6.2172145374644206E-3</v>
      </c>
      <c r="L1142" t="s">
        <v>166</v>
      </c>
    </row>
    <row r="1143" spans="9:12" x14ac:dyDescent="0.45">
      <c r="I1143" t="s">
        <v>200</v>
      </c>
      <c r="J1143" t="s">
        <v>274</v>
      </c>
      <c r="K1143">
        <v>6.6357509986032801E-3</v>
      </c>
      <c r="L1143" t="s">
        <v>166</v>
      </c>
    </row>
    <row r="1144" spans="9:12" x14ac:dyDescent="0.45">
      <c r="I1144" t="s">
        <v>200</v>
      </c>
      <c r="J1144" t="s">
        <v>275</v>
      </c>
      <c r="K1144">
        <v>0</v>
      </c>
      <c r="L1144" t="s">
        <v>166</v>
      </c>
    </row>
    <row r="1145" spans="9:12" x14ac:dyDescent="0.45">
      <c r="I1145" t="s">
        <v>200</v>
      </c>
      <c r="J1145" t="s">
        <v>276</v>
      </c>
      <c r="K1145">
        <v>4.8703029926022929E-3</v>
      </c>
      <c r="L1145" t="s">
        <v>166</v>
      </c>
    </row>
    <row r="1146" spans="9:12" x14ac:dyDescent="0.45">
      <c r="I1146" t="s">
        <v>200</v>
      </c>
      <c r="J1146" t="s">
        <v>277</v>
      </c>
      <c r="K1146">
        <v>1.0010487388460058E-2</v>
      </c>
      <c r="L1146" t="s">
        <v>166</v>
      </c>
    </row>
    <row r="1147" spans="9:12" x14ac:dyDescent="0.45">
      <c r="I1147" t="s">
        <v>200</v>
      </c>
      <c r="J1147" t="s">
        <v>278</v>
      </c>
      <c r="K1147">
        <v>0.11109199074713452</v>
      </c>
      <c r="L1147" t="s">
        <v>166</v>
      </c>
    </row>
    <row r="1148" spans="9:12" x14ac:dyDescent="0.45">
      <c r="I1148" t="s">
        <v>200</v>
      </c>
      <c r="J1148" t="s">
        <v>279</v>
      </c>
      <c r="K1148">
        <v>1.1314344247058811E-2</v>
      </c>
      <c r="L1148" t="s">
        <v>166</v>
      </c>
    </row>
    <row r="1149" spans="9:12" x14ac:dyDescent="0.45">
      <c r="I1149" t="s">
        <v>200</v>
      </c>
      <c r="J1149" t="s">
        <v>280</v>
      </c>
      <c r="K1149">
        <v>1.1014727765261125E-2</v>
      </c>
      <c r="L1149" t="s">
        <v>166</v>
      </c>
    </row>
    <row r="1150" spans="9:12" x14ac:dyDescent="0.45">
      <c r="I1150" t="s">
        <v>200</v>
      </c>
      <c r="J1150" t="s">
        <v>281</v>
      </c>
      <c r="K1150">
        <v>0</v>
      </c>
      <c r="L1150" t="s">
        <v>166</v>
      </c>
    </row>
    <row r="1151" spans="9:12" x14ac:dyDescent="0.45">
      <c r="I1151" t="s">
        <v>200</v>
      </c>
      <c r="J1151" t="s">
        <v>282</v>
      </c>
      <c r="K1151">
        <v>1.7260697778933107E-3</v>
      </c>
      <c r="L1151" t="s">
        <v>166</v>
      </c>
    </row>
    <row r="1152" spans="9:12" x14ac:dyDescent="0.45">
      <c r="I1152" t="s">
        <v>200</v>
      </c>
      <c r="J1152" t="s">
        <v>283</v>
      </c>
      <c r="K1152">
        <v>3.7466450895406902E-3</v>
      </c>
      <c r="L1152" t="s">
        <v>166</v>
      </c>
    </row>
    <row r="1153" spans="9:12" x14ac:dyDescent="0.45">
      <c r="I1153" t="s">
        <v>200</v>
      </c>
      <c r="J1153" t="s">
        <v>284</v>
      </c>
      <c r="K1153">
        <v>5.012646139917893E-2</v>
      </c>
      <c r="L1153" t="s">
        <v>166</v>
      </c>
    </row>
    <row r="1154" spans="9:12" x14ac:dyDescent="0.45">
      <c r="I1154" t="s">
        <v>200</v>
      </c>
      <c r="J1154" t="s">
        <v>285</v>
      </c>
      <c r="K1154">
        <v>4.8094719001495851E-3</v>
      </c>
      <c r="L1154" t="s">
        <v>166</v>
      </c>
    </row>
    <row r="1155" spans="9:12" x14ac:dyDescent="0.45">
      <c r="I1155" t="s">
        <v>200</v>
      </c>
      <c r="J1155" t="s">
        <v>286</v>
      </c>
      <c r="K1155">
        <v>2.7638931900178963E-3</v>
      </c>
      <c r="L1155" t="s">
        <v>166</v>
      </c>
    </row>
    <row r="1156" spans="9:12" x14ac:dyDescent="0.45">
      <c r="I1156" t="s">
        <v>200</v>
      </c>
      <c r="J1156" t="s">
        <v>287</v>
      </c>
      <c r="K1156">
        <v>0</v>
      </c>
      <c r="L1156" t="s">
        <v>166</v>
      </c>
    </row>
    <row r="1157" spans="9:12" x14ac:dyDescent="0.45">
      <c r="I1157" t="s">
        <v>200</v>
      </c>
      <c r="J1157" t="s">
        <v>288</v>
      </c>
      <c r="K1157">
        <v>1.6680372801562674E-3</v>
      </c>
      <c r="L1157" t="s">
        <v>166</v>
      </c>
    </row>
    <row r="1158" spans="9:12" x14ac:dyDescent="0.45">
      <c r="I1158" t="s">
        <v>200</v>
      </c>
      <c r="J1158" t="s">
        <v>289</v>
      </c>
      <c r="K1158">
        <v>5.2888323870025605E-3</v>
      </c>
      <c r="L1158" t="s">
        <v>166</v>
      </c>
    </row>
    <row r="1159" spans="9:12" x14ac:dyDescent="0.45">
      <c r="I1159" t="s">
        <v>200</v>
      </c>
      <c r="J1159" t="s">
        <v>290</v>
      </c>
      <c r="K1159">
        <v>6.5261466474862723E-2</v>
      </c>
      <c r="L1159" t="s">
        <v>166</v>
      </c>
    </row>
    <row r="1160" spans="9:12" x14ac:dyDescent="0.45">
      <c r="I1160" t="s">
        <v>200</v>
      </c>
      <c r="J1160" t="s">
        <v>291</v>
      </c>
      <c r="K1160">
        <v>6.6850926459074249E-3</v>
      </c>
      <c r="L1160" t="s">
        <v>166</v>
      </c>
    </row>
    <row r="1161" spans="9:12" x14ac:dyDescent="0.45">
      <c r="I1161" t="s">
        <v>200</v>
      </c>
      <c r="J1161" t="s">
        <v>292</v>
      </c>
      <c r="K1161">
        <v>4.6442239464767878E-3</v>
      </c>
      <c r="L1161" t="s">
        <v>166</v>
      </c>
    </row>
    <row r="1162" spans="9:12" x14ac:dyDescent="0.45">
      <c r="I1162" t="s">
        <v>200</v>
      </c>
      <c r="J1162" t="s">
        <v>293</v>
      </c>
      <c r="K1162">
        <v>0</v>
      </c>
      <c r="L1162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D985-8E70-4E2B-9AD6-3A94397E1617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143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240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246</v>
      </c>
      <c r="AK10" t="s">
        <v>47</v>
      </c>
      <c r="AL10" t="s">
        <v>121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296</v>
      </c>
      <c r="F11" t="s">
        <v>250</v>
      </c>
      <c r="G11" t="s">
        <v>297</v>
      </c>
      <c r="I11" t="s">
        <v>164</v>
      </c>
      <c r="J11" t="s">
        <v>165</v>
      </c>
      <c r="K11">
        <v>9.7728581505519239E-3</v>
      </c>
      <c r="L11" t="s">
        <v>166</v>
      </c>
      <c r="N11" t="s">
        <v>201</v>
      </c>
      <c r="O11" t="s">
        <v>165</v>
      </c>
      <c r="P11">
        <v>0.10063977688431275</v>
      </c>
      <c r="Q11" t="s">
        <v>166</v>
      </c>
      <c r="S11" t="s">
        <v>218</v>
      </c>
      <c r="T11" t="s">
        <v>165</v>
      </c>
      <c r="U11">
        <v>0.1329371228548665</v>
      </c>
      <c r="V11" t="s">
        <v>166</v>
      </c>
      <c r="X11">
        <v>0.10776255707762557</v>
      </c>
      <c r="Y11">
        <v>5.9729010764985213E-2</v>
      </c>
      <c r="Z11" t="s">
        <v>165</v>
      </c>
      <c r="AA11" t="s">
        <v>25</v>
      </c>
      <c r="AC11" t="s">
        <v>22</v>
      </c>
      <c r="AD11" t="s">
        <v>165</v>
      </c>
      <c r="AE11">
        <v>0.12321124791056255</v>
      </c>
      <c r="AG11" t="s">
        <v>96</v>
      </c>
      <c r="AH11" t="s">
        <v>165</v>
      </c>
      <c r="AI11">
        <v>0.20212148077954772</v>
      </c>
      <c r="AK11">
        <v>2020</v>
      </c>
      <c r="AL11" t="s">
        <v>154</v>
      </c>
      <c r="AM11">
        <v>0.19299392768212592</v>
      </c>
      <c r="AN11" t="s">
        <v>249</v>
      </c>
    </row>
    <row r="12" spans="1:40" x14ac:dyDescent="0.45">
      <c r="C12" t="s">
        <v>158</v>
      </c>
      <c r="D12" t="s">
        <v>297</v>
      </c>
      <c r="E12" t="s">
        <v>298</v>
      </c>
      <c r="F12" t="s">
        <v>154</v>
      </c>
      <c r="G12" t="s">
        <v>297</v>
      </c>
      <c r="I12" t="s">
        <v>164</v>
      </c>
      <c r="J12" t="s">
        <v>167</v>
      </c>
      <c r="K12">
        <v>2.0546069908853042E-2</v>
      </c>
      <c r="L12" t="s">
        <v>166</v>
      </c>
      <c r="N12" t="s">
        <v>201</v>
      </c>
      <c r="O12" t="s">
        <v>167</v>
      </c>
      <c r="P12">
        <v>1.3080364591280405E-2</v>
      </c>
      <c r="Q12" t="s">
        <v>166</v>
      </c>
      <c r="S12" t="s">
        <v>218</v>
      </c>
      <c r="T12" t="s">
        <v>167</v>
      </c>
      <c r="U12">
        <v>1.8628784633256745E-2</v>
      </c>
      <c r="V12" t="s">
        <v>166</v>
      </c>
      <c r="X12">
        <v>1.3470319634703196E-2</v>
      </c>
      <c r="Y12">
        <v>1.7210716919838571E-2</v>
      </c>
      <c r="Z12" t="s">
        <v>167</v>
      </c>
      <c r="AA12" t="s">
        <v>25</v>
      </c>
      <c r="AC12" t="s">
        <v>22</v>
      </c>
      <c r="AD12" t="s">
        <v>167</v>
      </c>
      <c r="AE12">
        <v>1.6893292597781891E-2</v>
      </c>
      <c r="AG12" t="s">
        <v>96</v>
      </c>
      <c r="AH12" t="s">
        <v>167</v>
      </c>
      <c r="AI12">
        <v>0.1466903855310735</v>
      </c>
      <c r="AK12">
        <v>2020</v>
      </c>
      <c r="AL12" t="s">
        <v>158</v>
      </c>
      <c r="AM12">
        <v>0.26597667668598229</v>
      </c>
      <c r="AN12" t="s">
        <v>249</v>
      </c>
    </row>
    <row r="13" spans="1:40" x14ac:dyDescent="0.45">
      <c r="C13" t="s">
        <v>160</v>
      </c>
      <c r="D13" t="s">
        <v>299</v>
      </c>
      <c r="E13" t="s">
        <v>300</v>
      </c>
      <c r="F13" t="s">
        <v>154</v>
      </c>
      <c r="G13" t="s">
        <v>297</v>
      </c>
      <c r="I13" t="s">
        <v>164</v>
      </c>
      <c r="J13" t="s">
        <v>168</v>
      </c>
      <c r="K13">
        <v>0.26309474487830242</v>
      </c>
      <c r="L13" t="s">
        <v>166</v>
      </c>
      <c r="N13" t="s">
        <v>201</v>
      </c>
      <c r="O13" t="s">
        <v>168</v>
      </c>
      <c r="P13">
        <v>8.7601507582522734E-2</v>
      </c>
      <c r="Q13" t="s">
        <v>166</v>
      </c>
      <c r="S13" t="s">
        <v>218</v>
      </c>
      <c r="T13" t="s">
        <v>168</v>
      </c>
      <c r="U13">
        <v>0.13046537745901543</v>
      </c>
      <c r="V13" t="s">
        <v>166</v>
      </c>
      <c r="X13">
        <v>9.429223744292238E-2</v>
      </c>
      <c r="Y13">
        <v>0.12274370385103053</v>
      </c>
      <c r="Z13" t="s">
        <v>168</v>
      </c>
      <c r="AA13" t="s">
        <v>25</v>
      </c>
      <c r="AC13" t="s">
        <v>22</v>
      </c>
      <c r="AD13" t="s">
        <v>168</v>
      </c>
      <c r="AE13">
        <v>0.11884345851764529</v>
      </c>
      <c r="AG13" t="s">
        <v>96</v>
      </c>
      <c r="AH13" t="s">
        <v>168</v>
      </c>
      <c r="AI13">
        <v>0.22057507577451863</v>
      </c>
      <c r="AK13">
        <v>2020</v>
      </c>
      <c r="AL13" t="s">
        <v>160</v>
      </c>
      <c r="AM13">
        <v>0.38891557263315191</v>
      </c>
      <c r="AN13" t="s">
        <v>249</v>
      </c>
    </row>
    <row r="14" spans="1:40" x14ac:dyDescent="0.45">
      <c r="C14" t="s">
        <v>162</v>
      </c>
      <c r="E14" t="s">
        <v>301</v>
      </c>
      <c r="G14" t="s">
        <v>297</v>
      </c>
      <c r="I14" t="s">
        <v>164</v>
      </c>
      <c r="J14" t="s">
        <v>258</v>
      </c>
      <c r="K14">
        <v>2.8241703786085353E-2</v>
      </c>
      <c r="L14" t="s">
        <v>166</v>
      </c>
      <c r="N14" t="s">
        <v>201</v>
      </c>
      <c r="O14" t="s">
        <v>258</v>
      </c>
      <c r="P14">
        <v>1.2578438138798487E-2</v>
      </c>
      <c r="Q14" t="s">
        <v>166</v>
      </c>
      <c r="S14" t="s">
        <v>218</v>
      </c>
      <c r="T14" t="s">
        <v>258</v>
      </c>
      <c r="U14">
        <v>1.8373252463997979E-2</v>
      </c>
      <c r="V14" t="s">
        <v>166</v>
      </c>
      <c r="X14">
        <v>1.3470319634703196E-2</v>
      </c>
      <c r="Y14">
        <v>2.6207228037026908E-2</v>
      </c>
      <c r="Z14" t="s">
        <v>258</v>
      </c>
      <c r="AA14" t="s">
        <v>25</v>
      </c>
      <c r="AC14" t="s">
        <v>22</v>
      </c>
      <c r="AD14" t="s">
        <v>258</v>
      </c>
      <c r="AE14">
        <v>9.9059585132128761E-3</v>
      </c>
      <c r="AG14" t="s">
        <v>96</v>
      </c>
      <c r="AH14" t="s">
        <v>258</v>
      </c>
      <c r="AI14">
        <v>0.2528553904865749</v>
      </c>
      <c r="AK14">
        <v>2020</v>
      </c>
      <c r="AL14" t="s">
        <v>162</v>
      </c>
      <c r="AM14">
        <v>0.49515560926735042</v>
      </c>
      <c r="AN14" t="s">
        <v>249</v>
      </c>
    </row>
    <row r="15" spans="1:40" x14ac:dyDescent="0.45">
      <c r="C15" t="s">
        <v>252</v>
      </c>
      <c r="E15" t="s">
        <v>302</v>
      </c>
      <c r="G15" t="s">
        <v>297</v>
      </c>
      <c r="I15" t="s">
        <v>164</v>
      </c>
      <c r="J15" t="s">
        <v>259</v>
      </c>
      <c r="K15">
        <v>2.9771567591822739E-2</v>
      </c>
      <c r="L15" t="s">
        <v>166</v>
      </c>
      <c r="N15" t="s">
        <v>201</v>
      </c>
      <c r="O15" t="s">
        <v>259</v>
      </c>
      <c r="P15">
        <v>2.2637814996787946E-2</v>
      </c>
      <c r="Q15" t="s">
        <v>166</v>
      </c>
      <c r="S15" t="s">
        <v>218</v>
      </c>
      <c r="T15" t="s">
        <v>259</v>
      </c>
      <c r="U15">
        <v>3.2611931205221947E-2</v>
      </c>
      <c r="V15" t="s">
        <v>166</v>
      </c>
      <c r="X15">
        <v>2.6940639269406392E-2</v>
      </c>
      <c r="Y15">
        <v>4.6547166215017949E-2</v>
      </c>
      <c r="Z15" t="s">
        <v>259</v>
      </c>
      <c r="AA15" t="s">
        <v>25</v>
      </c>
      <c r="AC15" t="s">
        <v>22</v>
      </c>
      <c r="AD15" t="s">
        <v>259</v>
      </c>
      <c r="AE15">
        <v>1.5846768778121925E-2</v>
      </c>
      <c r="AG15" t="s">
        <v>96</v>
      </c>
      <c r="AH15" t="s">
        <v>259</v>
      </c>
      <c r="AI15">
        <v>0.32336151270637425</v>
      </c>
      <c r="AK15">
        <v>2020</v>
      </c>
      <c r="AL15" t="s">
        <v>252</v>
      </c>
      <c r="AM15">
        <v>0.6333085432741471</v>
      </c>
      <c r="AN15" t="s">
        <v>249</v>
      </c>
    </row>
    <row r="16" spans="1:40" x14ac:dyDescent="0.45">
      <c r="C16" t="s">
        <v>254</v>
      </c>
      <c r="E16" t="s">
        <v>303</v>
      </c>
      <c r="G16" t="s">
        <v>297</v>
      </c>
      <c r="I16" t="s">
        <v>164</v>
      </c>
      <c r="J16" t="s">
        <v>260</v>
      </c>
      <c r="K16">
        <v>0</v>
      </c>
      <c r="L16" t="s">
        <v>166</v>
      </c>
      <c r="N16" t="s">
        <v>201</v>
      </c>
      <c r="O16" t="s">
        <v>260</v>
      </c>
      <c r="P16">
        <v>6.4770964237661391E-2</v>
      </c>
      <c r="Q16" t="s">
        <v>166</v>
      </c>
      <c r="S16" t="s">
        <v>218</v>
      </c>
      <c r="T16" t="s">
        <v>260</v>
      </c>
      <c r="U16">
        <v>8.9155871155400593E-2</v>
      </c>
      <c r="V16" t="s">
        <v>166</v>
      </c>
      <c r="X16">
        <v>6.7351598173515978E-2</v>
      </c>
      <c r="Y16">
        <v>5.0849845444977587E-2</v>
      </c>
      <c r="Z16" t="s">
        <v>260</v>
      </c>
      <c r="AA16" t="s">
        <v>25</v>
      </c>
      <c r="AC16" t="s">
        <v>22</v>
      </c>
      <c r="AD16" t="s">
        <v>260</v>
      </c>
      <c r="AE16">
        <v>4.0911577173139271E-2</v>
      </c>
      <c r="AG16" t="s">
        <v>96</v>
      </c>
      <c r="AH16" t="s">
        <v>260</v>
      </c>
      <c r="AI16">
        <v>0.29095348592356163</v>
      </c>
      <c r="AK16">
        <v>2020</v>
      </c>
      <c r="AL16" t="s">
        <v>254</v>
      </c>
      <c r="AM16">
        <v>0.65208400042693992</v>
      </c>
      <c r="AN16" t="s">
        <v>249</v>
      </c>
    </row>
    <row r="17" spans="3:40" x14ac:dyDescent="0.45">
      <c r="C17" t="s">
        <v>256</v>
      </c>
      <c r="E17" t="s">
        <v>304</v>
      </c>
      <c r="G17" t="s">
        <v>297</v>
      </c>
      <c r="I17" t="s">
        <v>164</v>
      </c>
      <c r="J17" t="s">
        <v>346</v>
      </c>
      <c r="K17">
        <v>0</v>
      </c>
      <c r="L17" t="s">
        <v>166</v>
      </c>
      <c r="N17" t="s">
        <v>201</v>
      </c>
      <c r="O17" t="s">
        <v>346</v>
      </c>
      <c r="P17">
        <v>4.6514358992191906E-5</v>
      </c>
      <c r="Q17" t="s">
        <v>166</v>
      </c>
      <c r="S17" t="s">
        <v>218</v>
      </c>
      <c r="T17" t="s">
        <v>346</v>
      </c>
      <c r="U17">
        <v>1.7482449759772978E-4</v>
      </c>
      <c r="V17" t="s">
        <v>166</v>
      </c>
      <c r="X17">
        <v>1.1415525114155251E-4</v>
      </c>
      <c r="Y17">
        <v>2.1546544680075254E-5</v>
      </c>
      <c r="Z17" t="s">
        <v>346</v>
      </c>
      <c r="AA17" t="s">
        <v>25</v>
      </c>
      <c r="AC17" t="s">
        <v>22</v>
      </c>
      <c r="AD17" t="s">
        <v>346</v>
      </c>
      <c r="AE17">
        <v>7.0653006392020976E-5</v>
      </c>
      <c r="AG17" t="s">
        <v>96</v>
      </c>
      <c r="AH17" t="s">
        <v>346</v>
      </c>
      <c r="AI17">
        <v>0</v>
      </c>
      <c r="AK17">
        <v>2020</v>
      </c>
      <c r="AL17" t="s">
        <v>256</v>
      </c>
      <c r="AM17">
        <v>0.52967232362045058</v>
      </c>
      <c r="AN17" t="s">
        <v>249</v>
      </c>
    </row>
    <row r="18" spans="3:40" x14ac:dyDescent="0.45">
      <c r="C18" t="s">
        <v>257</v>
      </c>
      <c r="E18" t="s">
        <v>305</v>
      </c>
      <c r="G18" t="s">
        <v>297</v>
      </c>
      <c r="I18" t="s">
        <v>164</v>
      </c>
      <c r="J18" t="s">
        <v>347</v>
      </c>
      <c r="K18">
        <v>0</v>
      </c>
      <c r="L18" t="s">
        <v>166</v>
      </c>
      <c r="N18" t="s">
        <v>201</v>
      </c>
      <c r="O18" t="s">
        <v>347</v>
      </c>
      <c r="P18">
        <v>5.2386396464521643E-5</v>
      </c>
      <c r="Q18" t="s">
        <v>166</v>
      </c>
      <c r="S18" t="s">
        <v>218</v>
      </c>
      <c r="T18" t="s">
        <v>347</v>
      </c>
      <c r="U18">
        <v>1.6743615893920097E-4</v>
      </c>
      <c r="V18" t="s">
        <v>166</v>
      </c>
      <c r="X18">
        <v>1.1415525114155251E-4</v>
      </c>
      <c r="Y18">
        <v>1.4916838624667481E-5</v>
      </c>
      <c r="Z18" t="s">
        <v>347</v>
      </c>
      <c r="AA18" t="s">
        <v>25</v>
      </c>
      <c r="AC18" t="s">
        <v>22</v>
      </c>
      <c r="AD18" t="s">
        <v>347</v>
      </c>
      <c r="AE18">
        <v>8.9404262043305308E-5</v>
      </c>
      <c r="AG18" t="s">
        <v>96</v>
      </c>
      <c r="AH18" t="s">
        <v>347</v>
      </c>
      <c r="AI18">
        <v>0</v>
      </c>
      <c r="AK18">
        <v>2020</v>
      </c>
      <c r="AL18" t="s">
        <v>257</v>
      </c>
      <c r="AM18">
        <v>0.59715637362750873</v>
      </c>
      <c r="AN18" t="s">
        <v>249</v>
      </c>
    </row>
    <row r="19" spans="3:40" x14ac:dyDescent="0.45">
      <c r="E19" t="s">
        <v>306</v>
      </c>
      <c r="G19" t="s">
        <v>297</v>
      </c>
      <c r="I19" t="s">
        <v>164</v>
      </c>
      <c r="J19" t="s">
        <v>348</v>
      </c>
      <c r="K19">
        <v>0</v>
      </c>
      <c r="L19" t="s">
        <v>166</v>
      </c>
      <c r="N19" t="s">
        <v>201</v>
      </c>
      <c r="O19" t="s">
        <v>348</v>
      </c>
      <c r="P19">
        <v>6.013941997988762E-5</v>
      </c>
      <c r="Q19" t="s">
        <v>166</v>
      </c>
      <c r="S19" t="s">
        <v>218</v>
      </c>
      <c r="T19" t="s">
        <v>348</v>
      </c>
      <c r="U19">
        <v>1.5612431266268158E-4</v>
      </c>
      <c r="V19" t="s">
        <v>166</v>
      </c>
      <c r="X19">
        <v>1.1415525114155251E-4</v>
      </c>
      <c r="Y19">
        <v>1.6574265138519424E-5</v>
      </c>
      <c r="Z19" t="s">
        <v>348</v>
      </c>
      <c r="AA19" t="s">
        <v>25</v>
      </c>
      <c r="AC19" t="s">
        <v>22</v>
      </c>
      <c r="AD19" t="s">
        <v>348</v>
      </c>
      <c r="AE19">
        <v>1.0562348805404202E-4</v>
      </c>
      <c r="AG19" t="s">
        <v>96</v>
      </c>
      <c r="AH19" t="s">
        <v>348</v>
      </c>
      <c r="AI19">
        <v>0</v>
      </c>
      <c r="AK19">
        <v>2021</v>
      </c>
      <c r="AL19" t="s">
        <v>154</v>
      </c>
      <c r="AM19">
        <v>0.29483882391814031</v>
      </c>
      <c r="AN19" t="s">
        <v>249</v>
      </c>
    </row>
    <row r="20" spans="3:40" x14ac:dyDescent="0.45">
      <c r="E20" t="s">
        <v>307</v>
      </c>
      <c r="G20" t="s">
        <v>297</v>
      </c>
      <c r="I20" t="s">
        <v>164</v>
      </c>
      <c r="J20" t="s">
        <v>349</v>
      </c>
      <c r="K20">
        <v>0</v>
      </c>
      <c r="L20" t="s">
        <v>166</v>
      </c>
      <c r="N20" t="s">
        <v>201</v>
      </c>
      <c r="O20" t="s">
        <v>349</v>
      </c>
      <c r="P20">
        <v>6.4196505681392003E-5</v>
      </c>
      <c r="Q20" t="s">
        <v>166</v>
      </c>
      <c r="S20" t="s">
        <v>218</v>
      </c>
      <c r="T20" t="s">
        <v>349</v>
      </c>
      <c r="U20">
        <v>1.6946752548401743E-4</v>
      </c>
      <c r="V20" t="s">
        <v>166</v>
      </c>
      <c r="X20">
        <v>1.1415525114155251E-4</v>
      </c>
      <c r="Y20">
        <v>1.4585353321897093E-5</v>
      </c>
      <c r="Z20" t="s">
        <v>349</v>
      </c>
      <c r="AA20" t="s">
        <v>25</v>
      </c>
      <c r="AC20" t="s">
        <v>22</v>
      </c>
      <c r="AD20" t="s">
        <v>349</v>
      </c>
      <c r="AE20">
        <v>1.1209084087086249E-4</v>
      </c>
      <c r="AG20" t="s">
        <v>96</v>
      </c>
      <c r="AH20" t="s">
        <v>349</v>
      </c>
      <c r="AI20">
        <v>0</v>
      </c>
      <c r="AK20">
        <v>2021</v>
      </c>
      <c r="AL20" t="s">
        <v>158</v>
      </c>
      <c r="AM20">
        <v>0.34570999729337371</v>
      </c>
      <c r="AN20" t="s">
        <v>249</v>
      </c>
    </row>
    <row r="21" spans="3:40" x14ac:dyDescent="0.45">
      <c r="E21" t="s">
        <v>308</v>
      </c>
      <c r="G21" t="s">
        <v>297</v>
      </c>
      <c r="I21" t="s">
        <v>164</v>
      </c>
      <c r="J21" t="s">
        <v>350</v>
      </c>
      <c r="K21">
        <v>0</v>
      </c>
      <c r="L21" t="s">
        <v>166</v>
      </c>
      <c r="N21" t="s">
        <v>201</v>
      </c>
      <c r="O21" t="s">
        <v>350</v>
      </c>
      <c r="P21">
        <v>6.5655958461259179E-5</v>
      </c>
      <c r="Q21" t="s">
        <v>166</v>
      </c>
      <c r="S21" t="s">
        <v>218</v>
      </c>
      <c r="T21" t="s">
        <v>350</v>
      </c>
      <c r="U21">
        <v>1.8654480178768182E-4</v>
      </c>
      <c r="V21" t="s">
        <v>166</v>
      </c>
      <c r="X21">
        <v>1.1415525114155251E-4</v>
      </c>
      <c r="Y21">
        <v>2.1215059377304864E-5</v>
      </c>
      <c r="Z21" t="s">
        <v>350</v>
      </c>
      <c r="AA21" t="s">
        <v>25</v>
      </c>
      <c r="AC21" t="s">
        <v>22</v>
      </c>
      <c r="AD21" t="s">
        <v>350</v>
      </c>
      <c r="AE21">
        <v>1.12202697601971E-4</v>
      </c>
      <c r="AG21" t="s">
        <v>96</v>
      </c>
      <c r="AH21" t="s">
        <v>350</v>
      </c>
      <c r="AI21">
        <v>0</v>
      </c>
      <c r="AK21">
        <v>2021</v>
      </c>
      <c r="AL21" t="s">
        <v>160</v>
      </c>
      <c r="AM21">
        <v>0.40999237223493512</v>
      </c>
      <c r="AN21" t="s">
        <v>249</v>
      </c>
    </row>
    <row r="22" spans="3:40" x14ac:dyDescent="0.45">
      <c r="E22" t="s">
        <v>309</v>
      </c>
      <c r="G22" t="s">
        <v>297</v>
      </c>
      <c r="I22" t="s">
        <v>164</v>
      </c>
      <c r="J22" t="s">
        <v>351</v>
      </c>
      <c r="K22">
        <v>0</v>
      </c>
      <c r="L22" t="s">
        <v>166</v>
      </c>
      <c r="N22" t="s">
        <v>201</v>
      </c>
      <c r="O22" t="s">
        <v>351</v>
      </c>
      <c r="P22">
        <v>7.4256982921465739E-5</v>
      </c>
      <c r="Q22" t="s">
        <v>166</v>
      </c>
      <c r="S22" t="s">
        <v>218</v>
      </c>
      <c r="T22" t="s">
        <v>351</v>
      </c>
      <c r="U22">
        <v>1.8319475145299181E-4</v>
      </c>
      <c r="V22" t="s">
        <v>166</v>
      </c>
      <c r="X22">
        <v>1.1415525114155251E-4</v>
      </c>
      <c r="Y22">
        <v>5.7678442682047593E-5</v>
      </c>
      <c r="Z22" t="s">
        <v>351</v>
      </c>
      <c r="AA22" t="s">
        <v>25</v>
      </c>
      <c r="AC22" t="s">
        <v>22</v>
      </c>
      <c r="AD22" t="s">
        <v>351</v>
      </c>
      <c r="AE22">
        <v>1.133517712942677E-4</v>
      </c>
      <c r="AG22" t="s">
        <v>96</v>
      </c>
      <c r="AH22" t="s">
        <v>351</v>
      </c>
      <c r="AI22">
        <v>0</v>
      </c>
      <c r="AK22">
        <v>2021</v>
      </c>
      <c r="AL22" t="s">
        <v>162</v>
      </c>
      <c r="AM22">
        <v>0.48165645530375728</v>
      </c>
      <c r="AN22" t="s">
        <v>249</v>
      </c>
    </row>
    <row r="23" spans="3:40" x14ac:dyDescent="0.45">
      <c r="E23" t="s">
        <v>310</v>
      </c>
      <c r="G23" t="s">
        <v>297</v>
      </c>
      <c r="I23" t="s">
        <v>164</v>
      </c>
      <c r="J23" t="s">
        <v>352</v>
      </c>
      <c r="K23">
        <v>0</v>
      </c>
      <c r="L23" t="s">
        <v>166</v>
      </c>
      <c r="N23" t="s">
        <v>201</v>
      </c>
      <c r="O23" t="s">
        <v>352</v>
      </c>
      <c r="P23">
        <v>7.2142453226447381E-5</v>
      </c>
      <c r="Q23" t="s">
        <v>166</v>
      </c>
      <c r="S23" t="s">
        <v>218</v>
      </c>
      <c r="T23" t="s">
        <v>352</v>
      </c>
      <c r="U23">
        <v>2.3039973738776245E-4</v>
      </c>
      <c r="V23" t="s">
        <v>166</v>
      </c>
      <c r="X23">
        <v>1.1415525114155251E-4</v>
      </c>
      <c r="Y23">
        <v>1.6905750441289813E-4</v>
      </c>
      <c r="Z23" t="s">
        <v>352</v>
      </c>
      <c r="AA23" t="s">
        <v>25</v>
      </c>
      <c r="AC23" t="s">
        <v>22</v>
      </c>
      <c r="AD23" t="s">
        <v>352</v>
      </c>
      <c r="AE23">
        <v>1.1463303930514722E-4</v>
      </c>
      <c r="AG23" t="s">
        <v>96</v>
      </c>
      <c r="AH23" t="s">
        <v>352</v>
      </c>
      <c r="AI23">
        <v>0</v>
      </c>
      <c r="AK23">
        <v>2021</v>
      </c>
      <c r="AL23" t="s">
        <v>252</v>
      </c>
      <c r="AM23">
        <v>0.50503186437341607</v>
      </c>
      <c r="AN23" t="s">
        <v>249</v>
      </c>
    </row>
    <row r="24" spans="3:40" x14ac:dyDescent="0.45">
      <c r="E24" t="s">
        <v>311</v>
      </c>
      <c r="G24" t="s">
        <v>297</v>
      </c>
      <c r="I24" t="s">
        <v>164</v>
      </c>
      <c r="J24" t="s">
        <v>353</v>
      </c>
      <c r="K24">
        <v>4.7763739646380561E-6</v>
      </c>
      <c r="L24" t="s">
        <v>166</v>
      </c>
      <c r="N24" t="s">
        <v>201</v>
      </c>
      <c r="O24" t="s">
        <v>353</v>
      </c>
      <c r="P24">
        <v>6.8393824903581729E-5</v>
      </c>
      <c r="Q24" t="s">
        <v>166</v>
      </c>
      <c r="S24" t="s">
        <v>218</v>
      </c>
      <c r="T24" t="s">
        <v>353</v>
      </c>
      <c r="U24">
        <v>2.5921720407976324E-4</v>
      </c>
      <c r="V24" t="s">
        <v>166</v>
      </c>
      <c r="X24">
        <v>1.1415525114155251E-4</v>
      </c>
      <c r="Y24">
        <v>1.9060404909297337E-4</v>
      </c>
      <c r="Z24" t="s">
        <v>353</v>
      </c>
      <c r="AA24" t="s">
        <v>25</v>
      </c>
      <c r="AC24" t="s">
        <v>22</v>
      </c>
      <c r="AD24" t="s">
        <v>353</v>
      </c>
      <c r="AE24">
        <v>1.1490759673604998E-4</v>
      </c>
      <c r="AG24" t="s">
        <v>96</v>
      </c>
      <c r="AH24" t="s">
        <v>353</v>
      </c>
      <c r="AI24">
        <v>0</v>
      </c>
      <c r="AK24">
        <v>2021</v>
      </c>
      <c r="AL24" t="s">
        <v>254</v>
      </c>
      <c r="AM24">
        <v>0.53094986179802006</v>
      </c>
      <c r="AN24" t="s">
        <v>249</v>
      </c>
    </row>
    <row r="25" spans="3:40" x14ac:dyDescent="0.45">
      <c r="E25" t="s">
        <v>312</v>
      </c>
      <c r="G25" t="s">
        <v>297</v>
      </c>
      <c r="I25" t="s">
        <v>164</v>
      </c>
      <c r="J25" t="s">
        <v>354</v>
      </c>
      <c r="K25">
        <v>1.1268175149740224E-4</v>
      </c>
      <c r="L25" t="s">
        <v>166</v>
      </c>
      <c r="N25" t="s">
        <v>201</v>
      </c>
      <c r="O25" t="s">
        <v>354</v>
      </c>
      <c r="P25">
        <v>6.2115892819853907E-5</v>
      </c>
      <c r="Q25" t="s">
        <v>166</v>
      </c>
      <c r="S25" t="s">
        <v>218</v>
      </c>
      <c r="T25" t="s">
        <v>354</v>
      </c>
      <c r="U25">
        <v>2.7377229379530268E-4</v>
      </c>
      <c r="V25" t="s">
        <v>166</v>
      </c>
      <c r="X25">
        <v>1.1415525114155251E-4</v>
      </c>
      <c r="Y25">
        <v>1.4585353321897094E-4</v>
      </c>
      <c r="Z25" t="s">
        <v>354</v>
      </c>
      <c r="AA25" t="s">
        <v>25</v>
      </c>
      <c r="AC25" t="s">
        <v>22</v>
      </c>
      <c r="AD25" t="s">
        <v>354</v>
      </c>
      <c r="AE25">
        <v>1.1490759673604997E-4</v>
      </c>
      <c r="AG25" t="s">
        <v>96</v>
      </c>
      <c r="AH25" t="s">
        <v>354</v>
      </c>
      <c r="AI25">
        <v>0</v>
      </c>
      <c r="AK25">
        <v>2021</v>
      </c>
      <c r="AL25" t="s">
        <v>256</v>
      </c>
      <c r="AM25">
        <v>0.54347826086956519</v>
      </c>
      <c r="AN25" t="s">
        <v>249</v>
      </c>
    </row>
    <row r="26" spans="3:40" x14ac:dyDescent="0.45">
      <c r="E26" t="s">
        <v>313</v>
      </c>
      <c r="G26" t="s">
        <v>297</v>
      </c>
      <c r="I26" t="s">
        <v>164</v>
      </c>
      <c r="J26" t="s">
        <v>355</v>
      </c>
      <c r="K26">
        <v>1.9095047862148644E-4</v>
      </c>
      <c r="L26" t="s">
        <v>166</v>
      </c>
      <c r="N26" t="s">
        <v>201</v>
      </c>
      <c r="O26" t="s">
        <v>355</v>
      </c>
      <c r="P26">
        <v>5.2541544007271946E-5</v>
      </c>
      <c r="Q26" t="s">
        <v>166</v>
      </c>
      <c r="S26" t="s">
        <v>218</v>
      </c>
      <c r="T26" t="s">
        <v>355</v>
      </c>
      <c r="U26">
        <v>2.9545631265608943E-4</v>
      </c>
      <c r="V26" t="s">
        <v>166</v>
      </c>
      <c r="X26">
        <v>1.1415525114155251E-4</v>
      </c>
      <c r="Y26">
        <v>1.4452759200788939E-4</v>
      </c>
      <c r="Z26" t="s">
        <v>355</v>
      </c>
      <c r="AA26" t="s">
        <v>25</v>
      </c>
      <c r="AC26" t="s">
        <v>22</v>
      </c>
      <c r="AD26" t="s">
        <v>355</v>
      </c>
      <c r="AE26">
        <v>1.1514147899200416E-4</v>
      </c>
      <c r="AG26" t="s">
        <v>96</v>
      </c>
      <c r="AH26" t="s">
        <v>355</v>
      </c>
      <c r="AI26">
        <v>0</v>
      </c>
      <c r="AK26">
        <v>2021</v>
      </c>
      <c r="AL26" t="s">
        <v>257</v>
      </c>
      <c r="AM26">
        <v>0.41276051278265791</v>
      </c>
      <c r="AN26" t="s">
        <v>249</v>
      </c>
    </row>
    <row r="27" spans="3:40" x14ac:dyDescent="0.45">
      <c r="E27" t="s">
        <v>314</v>
      </c>
      <c r="G27" t="s">
        <v>297</v>
      </c>
      <c r="I27" t="s">
        <v>164</v>
      </c>
      <c r="J27" t="s">
        <v>356</v>
      </c>
      <c r="K27">
        <v>3.0102117823053792E-4</v>
      </c>
      <c r="L27" t="s">
        <v>166</v>
      </c>
      <c r="N27" t="s">
        <v>201</v>
      </c>
      <c r="O27" t="s">
        <v>356</v>
      </c>
      <c r="P27">
        <v>4.2756698387254544E-5</v>
      </c>
      <c r="Q27" t="s">
        <v>166</v>
      </c>
      <c r="S27" t="s">
        <v>218</v>
      </c>
      <c r="T27" t="s">
        <v>356</v>
      </c>
      <c r="U27">
        <v>3.1514540454860454E-4</v>
      </c>
      <c r="V27" t="s">
        <v>166</v>
      </c>
      <c r="X27">
        <v>1.1415525114155251E-4</v>
      </c>
      <c r="Y27">
        <v>1.408812536774151E-4</v>
      </c>
      <c r="Z27" t="s">
        <v>356</v>
      </c>
      <c r="AA27" t="s">
        <v>25</v>
      </c>
      <c r="AC27" t="s">
        <v>22</v>
      </c>
      <c r="AD27" t="s">
        <v>356</v>
      </c>
      <c r="AE27">
        <v>1.1815144193819732E-4</v>
      </c>
      <c r="AG27" t="s">
        <v>96</v>
      </c>
      <c r="AH27" t="s">
        <v>356</v>
      </c>
      <c r="AI27">
        <v>0</v>
      </c>
      <c r="AK27">
        <v>2022</v>
      </c>
      <c r="AL27" t="s">
        <v>154</v>
      </c>
      <c r="AM27">
        <v>0.34417506759491634</v>
      </c>
      <c r="AN27" t="s">
        <v>249</v>
      </c>
    </row>
    <row r="28" spans="3:40" x14ac:dyDescent="0.45">
      <c r="E28" t="s">
        <v>315</v>
      </c>
      <c r="G28" t="s">
        <v>297</v>
      </c>
      <c r="I28" t="s">
        <v>164</v>
      </c>
      <c r="J28" t="s">
        <v>357</v>
      </c>
      <c r="K28">
        <v>3.4942463304047272E-4</v>
      </c>
      <c r="L28" t="s">
        <v>166</v>
      </c>
      <c r="N28" t="s">
        <v>201</v>
      </c>
      <c r="O28" t="s">
        <v>357</v>
      </c>
      <c r="P28">
        <v>3.9707583986340125E-5</v>
      </c>
      <c r="Q28" t="s">
        <v>166</v>
      </c>
      <c r="S28" t="s">
        <v>218</v>
      </c>
      <c r="T28" t="s">
        <v>357</v>
      </c>
      <c r="U28">
        <v>3.1675055959858511E-4</v>
      </c>
      <c r="V28" t="s">
        <v>166</v>
      </c>
      <c r="X28">
        <v>1.1415525114155251E-4</v>
      </c>
      <c r="Y28">
        <v>1.4054976837464471E-4</v>
      </c>
      <c r="Z28" t="s">
        <v>357</v>
      </c>
      <c r="AA28" t="s">
        <v>25</v>
      </c>
      <c r="AC28" t="s">
        <v>22</v>
      </c>
      <c r="AD28" t="s">
        <v>357</v>
      </c>
      <c r="AE28">
        <v>1.3771620108845277E-4</v>
      </c>
      <c r="AG28" t="s">
        <v>96</v>
      </c>
      <c r="AH28" t="s">
        <v>357</v>
      </c>
      <c r="AI28">
        <v>0</v>
      </c>
      <c r="AK28">
        <v>2022</v>
      </c>
      <c r="AL28" t="s">
        <v>158</v>
      </c>
      <c r="AM28">
        <v>0.4957547642569764</v>
      </c>
      <c r="AN28" t="s">
        <v>249</v>
      </c>
    </row>
    <row r="29" spans="3:40" x14ac:dyDescent="0.45">
      <c r="E29" t="s">
        <v>316</v>
      </c>
      <c r="G29" t="s">
        <v>297</v>
      </c>
      <c r="I29" t="s">
        <v>164</v>
      </c>
      <c r="J29" t="s">
        <v>358</v>
      </c>
      <c r="K29">
        <v>3.4239074932827107E-4</v>
      </c>
      <c r="L29" t="s">
        <v>166</v>
      </c>
      <c r="N29" t="s">
        <v>201</v>
      </c>
      <c r="O29" t="s">
        <v>358</v>
      </c>
      <c r="P29">
        <v>3.7655218916299244E-5</v>
      </c>
      <c r="Q29" t="s">
        <v>166</v>
      </c>
      <c r="S29" t="s">
        <v>218</v>
      </c>
      <c r="T29" t="s">
        <v>358</v>
      </c>
      <c r="U29">
        <v>2.9747560103243254E-4</v>
      </c>
      <c r="V29" t="s">
        <v>166</v>
      </c>
      <c r="X29">
        <v>1.1415525114155251E-4</v>
      </c>
      <c r="Y29">
        <v>1.4253868019126702E-4</v>
      </c>
      <c r="Z29" t="s">
        <v>358</v>
      </c>
      <c r="AA29" t="s">
        <v>25</v>
      </c>
      <c r="AC29" t="s">
        <v>22</v>
      </c>
      <c r="AD29" t="s">
        <v>358</v>
      </c>
      <c r="AE29">
        <v>1.377162010884528E-4</v>
      </c>
      <c r="AG29" t="s">
        <v>96</v>
      </c>
      <c r="AH29" t="s">
        <v>358</v>
      </c>
      <c r="AI29">
        <v>0</v>
      </c>
      <c r="AK29">
        <v>2022</v>
      </c>
      <c r="AL29" t="s">
        <v>160</v>
      </c>
      <c r="AM29">
        <v>0.68119051141687637</v>
      </c>
      <c r="AN29" t="s">
        <v>249</v>
      </c>
    </row>
    <row r="30" spans="3:40" x14ac:dyDescent="0.45">
      <c r="E30" t="s">
        <v>317</v>
      </c>
      <c r="G30" t="s">
        <v>297</v>
      </c>
      <c r="I30" t="s">
        <v>164</v>
      </c>
      <c r="J30" t="s">
        <v>359</v>
      </c>
      <c r="K30">
        <v>3.3312378607560159E-4</v>
      </c>
      <c r="L30" t="s">
        <v>166</v>
      </c>
      <c r="N30" t="s">
        <v>201</v>
      </c>
      <c r="O30" t="s">
        <v>359</v>
      </c>
      <c r="P30">
        <v>3.9860442687986144E-5</v>
      </c>
      <c r="Q30" t="s">
        <v>166</v>
      </c>
      <c r="S30" t="s">
        <v>218</v>
      </c>
      <c r="T30" t="s">
        <v>359</v>
      </c>
      <c r="U30">
        <v>2.4117057862328269E-4</v>
      </c>
      <c r="V30" t="s">
        <v>166</v>
      </c>
      <c r="X30">
        <v>1.1415525114155251E-4</v>
      </c>
      <c r="Y30">
        <v>1.4883690094390442E-4</v>
      </c>
      <c r="Z30" t="s">
        <v>359</v>
      </c>
      <c r="AA30" t="s">
        <v>25</v>
      </c>
      <c r="AC30" t="s">
        <v>22</v>
      </c>
      <c r="AD30" t="s">
        <v>359</v>
      </c>
      <c r="AE30">
        <v>1.3230640282029484E-4</v>
      </c>
      <c r="AG30" t="s">
        <v>96</v>
      </c>
      <c r="AH30" t="s">
        <v>359</v>
      </c>
      <c r="AI30">
        <v>0</v>
      </c>
      <c r="AK30">
        <v>2022</v>
      </c>
      <c r="AL30" t="s">
        <v>162</v>
      </c>
      <c r="AM30">
        <v>0.65623374330045015</v>
      </c>
      <c r="AN30" t="s">
        <v>249</v>
      </c>
    </row>
    <row r="31" spans="3:40" x14ac:dyDescent="0.45">
      <c r="E31" t="s">
        <v>318</v>
      </c>
      <c r="G31" t="s">
        <v>297</v>
      </c>
      <c r="I31" t="s">
        <v>164</v>
      </c>
      <c r="J31" t="s">
        <v>360</v>
      </c>
      <c r="K31">
        <v>3.510392728644115E-4</v>
      </c>
      <c r="L31" t="s">
        <v>166</v>
      </c>
      <c r="N31" t="s">
        <v>201</v>
      </c>
      <c r="O31" t="s">
        <v>360</v>
      </c>
      <c r="P31">
        <v>4.7316689346328967E-5</v>
      </c>
      <c r="Q31" t="s">
        <v>166</v>
      </c>
      <c r="S31" t="s">
        <v>218</v>
      </c>
      <c r="T31" t="s">
        <v>360</v>
      </c>
      <c r="U31">
        <v>2.141192293122063E-4</v>
      </c>
      <c r="V31" t="s">
        <v>166</v>
      </c>
      <c r="X31">
        <v>1.1415525114155251E-4</v>
      </c>
      <c r="Y31">
        <v>1.5049432745775637E-4</v>
      </c>
      <c r="Z31" t="s">
        <v>360</v>
      </c>
      <c r="AA31" t="s">
        <v>25</v>
      </c>
      <c r="AC31" t="s">
        <v>22</v>
      </c>
      <c r="AD31" t="s">
        <v>360</v>
      </c>
      <c r="AE31">
        <v>1.1038248352302308E-4</v>
      </c>
      <c r="AG31" t="s">
        <v>96</v>
      </c>
      <c r="AH31" t="s">
        <v>360</v>
      </c>
      <c r="AI31">
        <v>0</v>
      </c>
      <c r="AK31">
        <v>2022</v>
      </c>
      <c r="AL31" t="s">
        <v>252</v>
      </c>
      <c r="AM31">
        <v>0.63654673100143655</v>
      </c>
      <c r="AN31" t="s">
        <v>249</v>
      </c>
    </row>
    <row r="32" spans="3:40" x14ac:dyDescent="0.45">
      <c r="E32" t="s">
        <v>319</v>
      </c>
      <c r="G32" t="s">
        <v>297</v>
      </c>
      <c r="I32" t="s">
        <v>164</v>
      </c>
      <c r="J32" t="s">
        <v>361</v>
      </c>
      <c r="K32">
        <v>3.2098030110122106E-4</v>
      </c>
      <c r="L32" t="s">
        <v>166</v>
      </c>
      <c r="N32" t="s">
        <v>201</v>
      </c>
      <c r="O32" t="s">
        <v>361</v>
      </c>
      <c r="P32">
        <v>5.6469140737422893E-5</v>
      </c>
      <c r="Q32" t="s">
        <v>166</v>
      </c>
      <c r="S32" t="s">
        <v>218</v>
      </c>
      <c r="T32" t="s">
        <v>361</v>
      </c>
      <c r="U32">
        <v>2.1104673576678766E-4</v>
      </c>
      <c r="V32" t="s">
        <v>166</v>
      </c>
      <c r="X32">
        <v>1.1415525114155251E-4</v>
      </c>
      <c r="Y32">
        <v>1.7237235744060203E-4</v>
      </c>
      <c r="Z32" t="s">
        <v>361</v>
      </c>
      <c r="AA32" t="s">
        <v>25</v>
      </c>
      <c r="AC32" t="s">
        <v>22</v>
      </c>
      <c r="AD32" t="s">
        <v>361</v>
      </c>
      <c r="AE32">
        <v>8.3313154594759039E-5</v>
      </c>
      <c r="AG32" t="s">
        <v>96</v>
      </c>
      <c r="AH32" t="s">
        <v>361</v>
      </c>
      <c r="AI32">
        <v>0</v>
      </c>
      <c r="AK32">
        <v>2022</v>
      </c>
      <c r="AL32" t="s">
        <v>254</v>
      </c>
      <c r="AM32">
        <v>0.58065749053034832</v>
      </c>
      <c r="AN32" t="s">
        <v>249</v>
      </c>
    </row>
    <row r="33" spans="5:40" x14ac:dyDescent="0.45">
      <c r="E33" t="s">
        <v>320</v>
      </c>
      <c r="G33" t="s">
        <v>297</v>
      </c>
      <c r="I33" t="s">
        <v>164</v>
      </c>
      <c r="J33" t="s">
        <v>362</v>
      </c>
      <c r="K33">
        <v>2.6093586704082196E-4</v>
      </c>
      <c r="L33" t="s">
        <v>166</v>
      </c>
      <c r="N33" t="s">
        <v>201</v>
      </c>
      <c r="O33" t="s">
        <v>362</v>
      </c>
      <c r="P33">
        <v>6.6459418551830505E-5</v>
      </c>
      <c r="Q33" t="s">
        <v>166</v>
      </c>
      <c r="S33" t="s">
        <v>218</v>
      </c>
      <c r="T33" t="s">
        <v>362</v>
      </c>
      <c r="U33">
        <v>2.0998906146986999E-4</v>
      </c>
      <c r="V33" t="s">
        <v>166</v>
      </c>
      <c r="X33">
        <v>1.1415525114155251E-4</v>
      </c>
      <c r="Y33">
        <v>2.2209515285616027E-4</v>
      </c>
      <c r="Z33" t="s">
        <v>362</v>
      </c>
      <c r="AA33" t="s">
        <v>25</v>
      </c>
      <c r="AC33" t="s">
        <v>22</v>
      </c>
      <c r="AD33" t="s">
        <v>362</v>
      </c>
      <c r="AE33">
        <v>5.4342261237650018E-5</v>
      </c>
      <c r="AG33" t="s">
        <v>96</v>
      </c>
      <c r="AH33" t="s">
        <v>362</v>
      </c>
      <c r="AI33">
        <v>0</v>
      </c>
      <c r="AK33">
        <v>2022</v>
      </c>
      <c r="AL33" t="s">
        <v>256</v>
      </c>
      <c r="AM33">
        <v>0.60844799526557181</v>
      </c>
      <c r="AN33" t="s">
        <v>249</v>
      </c>
    </row>
    <row r="34" spans="5:40" x14ac:dyDescent="0.45">
      <c r="E34" t="s">
        <v>321</v>
      </c>
      <c r="G34" t="s">
        <v>297</v>
      </c>
      <c r="I34" t="s">
        <v>164</v>
      </c>
      <c r="J34" t="s">
        <v>363</v>
      </c>
      <c r="K34">
        <v>2.3000244826976618E-4</v>
      </c>
      <c r="L34" t="s">
        <v>166</v>
      </c>
      <c r="N34" t="s">
        <v>201</v>
      </c>
      <c r="O34" t="s">
        <v>363</v>
      </c>
      <c r="P34">
        <v>5.8927990193393439E-5</v>
      </c>
      <c r="Q34" t="s">
        <v>166</v>
      </c>
      <c r="S34" t="s">
        <v>218</v>
      </c>
      <c r="T34" t="s">
        <v>363</v>
      </c>
      <c r="U34">
        <v>1.6492878152132921E-4</v>
      </c>
      <c r="V34" t="s">
        <v>166</v>
      </c>
      <c r="X34">
        <v>1.1415525114155251E-4</v>
      </c>
      <c r="Y34">
        <v>2.2209515285616027E-4</v>
      </c>
      <c r="Z34" t="s">
        <v>363</v>
      </c>
      <c r="AA34" t="s">
        <v>25</v>
      </c>
      <c r="AC34" t="s">
        <v>22</v>
      </c>
      <c r="AD34" t="s">
        <v>363</v>
      </c>
      <c r="AE34">
        <v>2.9703274012562172E-5</v>
      </c>
      <c r="AG34" t="s">
        <v>96</v>
      </c>
      <c r="AH34" t="s">
        <v>363</v>
      </c>
      <c r="AI34">
        <v>0</v>
      </c>
      <c r="AK34">
        <v>2022</v>
      </c>
      <c r="AL34" t="s">
        <v>257</v>
      </c>
      <c r="AM34">
        <v>0.60075216318504843</v>
      </c>
      <c r="AN34" t="s">
        <v>249</v>
      </c>
    </row>
    <row r="35" spans="5:40" x14ac:dyDescent="0.45">
      <c r="E35" t="s">
        <v>322</v>
      </c>
      <c r="G35" t="s">
        <v>299</v>
      </c>
      <c r="I35" t="s">
        <v>164</v>
      </c>
      <c r="J35" t="s">
        <v>364</v>
      </c>
      <c r="K35">
        <v>9.4866196332153547E-5</v>
      </c>
      <c r="L35" t="s">
        <v>166</v>
      </c>
      <c r="N35" t="s">
        <v>201</v>
      </c>
      <c r="O35" t="s">
        <v>364</v>
      </c>
      <c r="P35">
        <v>6.6004603827246152E-5</v>
      </c>
      <c r="Q35" t="s">
        <v>166</v>
      </c>
      <c r="S35" t="s">
        <v>218</v>
      </c>
      <c r="T35" t="s">
        <v>364</v>
      </c>
      <c r="U35">
        <v>1.8810524091866012E-4</v>
      </c>
      <c r="V35" t="s">
        <v>166</v>
      </c>
      <c r="X35">
        <v>1.1415525114155251E-4</v>
      </c>
      <c r="Y35">
        <v>1.7237235744060203E-4</v>
      </c>
      <c r="Z35" t="s">
        <v>364</v>
      </c>
      <c r="AA35" t="s">
        <v>25</v>
      </c>
      <c r="AC35" t="s">
        <v>22</v>
      </c>
      <c r="AD35" t="s">
        <v>364</v>
      </c>
      <c r="AE35">
        <v>2.9632092456402204E-5</v>
      </c>
      <c r="AG35" t="s">
        <v>96</v>
      </c>
      <c r="AH35" t="s">
        <v>364</v>
      </c>
      <c r="AI35">
        <v>0</v>
      </c>
      <c r="AK35">
        <v>2025</v>
      </c>
      <c r="AL35" t="s">
        <v>154</v>
      </c>
      <c r="AM35">
        <v>0.30177500000000002</v>
      </c>
      <c r="AN35" t="s">
        <v>249</v>
      </c>
    </row>
    <row r="36" spans="5:40" x14ac:dyDescent="0.45">
      <c r="E36" t="s">
        <v>323</v>
      </c>
      <c r="G36" t="s">
        <v>299</v>
      </c>
      <c r="I36" t="s">
        <v>164</v>
      </c>
      <c r="J36" t="s">
        <v>365</v>
      </c>
      <c r="K36">
        <v>0</v>
      </c>
      <c r="L36" t="s">
        <v>166</v>
      </c>
      <c r="N36" t="s">
        <v>201</v>
      </c>
      <c r="O36" t="s">
        <v>365</v>
      </c>
      <c r="P36">
        <v>6.7789425665277817E-5</v>
      </c>
      <c r="Q36" t="s">
        <v>166</v>
      </c>
      <c r="S36" t="s">
        <v>218</v>
      </c>
      <c r="T36" t="s">
        <v>365</v>
      </c>
      <c r="U36">
        <v>2.1993118574797023E-4</v>
      </c>
      <c r="V36" t="s">
        <v>166</v>
      </c>
      <c r="X36">
        <v>1.1415525114155251E-4</v>
      </c>
      <c r="Y36">
        <v>1.5579809230208258E-4</v>
      </c>
      <c r="Z36" t="s">
        <v>365</v>
      </c>
      <c r="AA36" t="s">
        <v>25</v>
      </c>
      <c r="AC36" t="s">
        <v>22</v>
      </c>
      <c r="AD36" t="s">
        <v>365</v>
      </c>
      <c r="AE36">
        <v>2.7435633009180162E-5</v>
      </c>
      <c r="AG36" t="s">
        <v>96</v>
      </c>
      <c r="AH36" t="s">
        <v>365</v>
      </c>
      <c r="AI36">
        <v>0</v>
      </c>
      <c r="AK36">
        <v>2025</v>
      </c>
      <c r="AL36" t="s">
        <v>158</v>
      </c>
      <c r="AM36">
        <v>0.34110000000000001</v>
      </c>
      <c r="AN36" t="s">
        <v>249</v>
      </c>
    </row>
    <row r="37" spans="5:40" x14ac:dyDescent="0.45">
      <c r="E37" t="s">
        <v>324</v>
      </c>
      <c r="G37" t="s">
        <v>299</v>
      </c>
      <c r="I37" t="s">
        <v>164</v>
      </c>
      <c r="J37" t="s">
        <v>366</v>
      </c>
      <c r="K37">
        <v>0</v>
      </c>
      <c r="L37" t="s">
        <v>166</v>
      </c>
      <c r="N37" t="s">
        <v>201</v>
      </c>
      <c r="O37" t="s">
        <v>366</v>
      </c>
      <c r="P37">
        <v>6.8433561941089825E-5</v>
      </c>
      <c r="Q37" t="s">
        <v>166</v>
      </c>
      <c r="S37" t="s">
        <v>218</v>
      </c>
      <c r="T37" t="s">
        <v>366</v>
      </c>
      <c r="U37">
        <v>2.191631302701455E-4</v>
      </c>
      <c r="V37" t="s">
        <v>166</v>
      </c>
      <c r="X37">
        <v>1.1415525114155251E-4</v>
      </c>
      <c r="Y37">
        <v>1.093901499142282E-4</v>
      </c>
      <c r="Z37" t="s">
        <v>366</v>
      </c>
      <c r="AA37" t="s">
        <v>25</v>
      </c>
      <c r="AC37" t="s">
        <v>22</v>
      </c>
      <c r="AD37" t="s">
        <v>366</v>
      </c>
      <c r="AE37">
        <v>2.8177954951991308E-5</v>
      </c>
      <c r="AG37" t="s">
        <v>96</v>
      </c>
      <c r="AH37" t="s">
        <v>366</v>
      </c>
      <c r="AI37">
        <v>0</v>
      </c>
      <c r="AK37">
        <v>2025</v>
      </c>
      <c r="AL37" t="s">
        <v>160</v>
      </c>
      <c r="AM37">
        <v>0.45550000000000002</v>
      </c>
      <c r="AN37" t="s">
        <v>249</v>
      </c>
    </row>
    <row r="38" spans="5:40" x14ac:dyDescent="0.45">
      <c r="E38" t="s">
        <v>325</v>
      </c>
      <c r="G38" t="s">
        <v>299</v>
      </c>
      <c r="I38" t="s">
        <v>164</v>
      </c>
      <c r="J38" t="s">
        <v>367</v>
      </c>
      <c r="K38">
        <v>0</v>
      </c>
      <c r="L38" t="s">
        <v>166</v>
      </c>
      <c r="N38" t="s">
        <v>201</v>
      </c>
      <c r="O38" t="s">
        <v>367</v>
      </c>
      <c r="P38">
        <v>7.693746655437948E-5</v>
      </c>
      <c r="Q38" t="s">
        <v>166</v>
      </c>
      <c r="S38" t="s">
        <v>218</v>
      </c>
      <c r="T38" t="s">
        <v>367</v>
      </c>
      <c r="U38">
        <v>2.0061533412331036E-4</v>
      </c>
      <c r="V38" t="s">
        <v>166</v>
      </c>
      <c r="X38">
        <v>1.1415525114155251E-4</v>
      </c>
      <c r="Y38">
        <v>7.9556472664893237E-5</v>
      </c>
      <c r="Z38" t="s">
        <v>367</v>
      </c>
      <c r="AA38" t="s">
        <v>25</v>
      </c>
      <c r="AC38" t="s">
        <v>22</v>
      </c>
      <c r="AD38" t="s">
        <v>367</v>
      </c>
      <c r="AE38">
        <v>2.997783144346492E-5</v>
      </c>
      <c r="AG38" t="s">
        <v>96</v>
      </c>
      <c r="AH38" t="s">
        <v>367</v>
      </c>
      <c r="AI38">
        <v>0</v>
      </c>
      <c r="AK38">
        <v>2025</v>
      </c>
      <c r="AL38" t="s">
        <v>162</v>
      </c>
      <c r="AM38">
        <v>0.47799999999999998</v>
      </c>
      <c r="AN38" t="s">
        <v>249</v>
      </c>
    </row>
    <row r="39" spans="5:40" x14ac:dyDescent="0.45">
      <c r="E39" t="s">
        <v>326</v>
      </c>
      <c r="G39" t="s">
        <v>299</v>
      </c>
      <c r="I39" t="s">
        <v>164</v>
      </c>
      <c r="J39" t="s">
        <v>368</v>
      </c>
      <c r="K39">
        <v>0</v>
      </c>
      <c r="L39" t="s">
        <v>166</v>
      </c>
      <c r="N39" t="s">
        <v>201</v>
      </c>
      <c r="O39" t="s">
        <v>368</v>
      </c>
      <c r="P39">
        <v>8.7832264279293675E-5</v>
      </c>
      <c r="Q39" t="s">
        <v>166</v>
      </c>
      <c r="S39" t="s">
        <v>218</v>
      </c>
      <c r="T39" t="s">
        <v>368</v>
      </c>
      <c r="U39">
        <v>1.8285762234999278E-4</v>
      </c>
      <c r="V39" t="s">
        <v>166</v>
      </c>
      <c r="X39">
        <v>1.1415525114155251E-4</v>
      </c>
      <c r="Y39">
        <v>5.6352501470966035E-5</v>
      </c>
      <c r="Z39" t="s">
        <v>368</v>
      </c>
      <c r="AA39" t="s">
        <v>25</v>
      </c>
      <c r="AC39" t="s">
        <v>22</v>
      </c>
      <c r="AD39" t="s">
        <v>368</v>
      </c>
      <c r="AE39">
        <v>5.1322129497719711E-5</v>
      </c>
      <c r="AG39" t="s">
        <v>96</v>
      </c>
      <c r="AH39" t="s">
        <v>368</v>
      </c>
      <c r="AI39">
        <v>0</v>
      </c>
      <c r="AK39">
        <v>2025</v>
      </c>
      <c r="AL39" t="s">
        <v>252</v>
      </c>
      <c r="AM39">
        <v>0.54090000000000005</v>
      </c>
      <c r="AN39" t="s">
        <v>249</v>
      </c>
    </row>
    <row r="40" spans="5:40" x14ac:dyDescent="0.45">
      <c r="E40" t="s">
        <v>327</v>
      </c>
      <c r="G40" t="s">
        <v>299</v>
      </c>
      <c r="I40" t="s">
        <v>164</v>
      </c>
      <c r="J40" t="s">
        <v>369</v>
      </c>
      <c r="K40">
        <v>0</v>
      </c>
      <c r="L40" t="s">
        <v>166</v>
      </c>
      <c r="N40" t="s">
        <v>201</v>
      </c>
      <c r="O40" t="s">
        <v>369</v>
      </c>
      <c r="P40">
        <v>9.024084063806246E-5</v>
      </c>
      <c r="Q40" t="s">
        <v>166</v>
      </c>
      <c r="S40" t="s">
        <v>218</v>
      </c>
      <c r="T40" t="s">
        <v>369</v>
      </c>
      <c r="U40">
        <v>1.7424296050572283E-4</v>
      </c>
      <c r="V40" t="s">
        <v>166</v>
      </c>
      <c r="X40">
        <v>1.1415525114155251E-4</v>
      </c>
      <c r="Y40">
        <v>2.9833677249334962E-5</v>
      </c>
      <c r="Z40" t="s">
        <v>369</v>
      </c>
      <c r="AA40" t="s">
        <v>25</v>
      </c>
      <c r="AC40" t="s">
        <v>22</v>
      </c>
      <c r="AD40" t="s">
        <v>369</v>
      </c>
      <c r="AE40">
        <v>5.1261116735296901E-5</v>
      </c>
      <c r="AG40" t="s">
        <v>96</v>
      </c>
      <c r="AH40" t="s">
        <v>369</v>
      </c>
      <c r="AI40">
        <v>0</v>
      </c>
      <c r="AK40">
        <v>2025</v>
      </c>
      <c r="AL40" t="s">
        <v>254</v>
      </c>
      <c r="AM40">
        <v>0.54285000000000005</v>
      </c>
      <c r="AN40" t="s">
        <v>249</v>
      </c>
    </row>
    <row r="41" spans="5:40" x14ac:dyDescent="0.45">
      <c r="E41" t="s">
        <v>328</v>
      </c>
      <c r="G41" t="s">
        <v>299</v>
      </c>
      <c r="I41" t="s">
        <v>164</v>
      </c>
      <c r="J41" t="s">
        <v>370</v>
      </c>
      <c r="K41">
        <v>0</v>
      </c>
      <c r="L41" t="s">
        <v>166</v>
      </c>
      <c r="N41" t="s">
        <v>201</v>
      </c>
      <c r="O41" t="s">
        <v>370</v>
      </c>
      <c r="P41">
        <v>3.6883088348823279E-5</v>
      </c>
      <c r="Q41" t="s">
        <v>166</v>
      </c>
      <c r="S41" t="s">
        <v>218</v>
      </c>
      <c r="T41" t="s">
        <v>370</v>
      </c>
      <c r="U41">
        <v>1.5056778258428933E-4</v>
      </c>
      <c r="V41" t="s">
        <v>166</v>
      </c>
      <c r="X41">
        <v>1.1415525114155251E-4</v>
      </c>
      <c r="Y41">
        <v>2.1546544680075254E-5</v>
      </c>
      <c r="Z41" t="s">
        <v>370</v>
      </c>
      <c r="AA41" t="s">
        <v>25</v>
      </c>
      <c r="AC41" t="s">
        <v>22</v>
      </c>
      <c r="AD41" t="s">
        <v>370</v>
      </c>
      <c r="AE41">
        <v>9.4166622075920946E-5</v>
      </c>
      <c r="AG41" t="s">
        <v>96</v>
      </c>
      <c r="AH41" t="s">
        <v>370</v>
      </c>
      <c r="AI41">
        <v>0</v>
      </c>
      <c r="AK41">
        <v>2025</v>
      </c>
      <c r="AL41" t="s">
        <v>256</v>
      </c>
      <c r="AM41">
        <v>0.53080000000000005</v>
      </c>
      <c r="AN41" t="s">
        <v>249</v>
      </c>
    </row>
    <row r="42" spans="5:40" x14ac:dyDescent="0.45">
      <c r="E42" t="s">
        <v>329</v>
      </c>
      <c r="G42" t="s">
        <v>299</v>
      </c>
      <c r="I42" t="s">
        <v>164</v>
      </c>
      <c r="J42" t="s">
        <v>371</v>
      </c>
      <c r="K42">
        <v>0</v>
      </c>
      <c r="L42" t="s">
        <v>166</v>
      </c>
      <c r="N42" t="s">
        <v>201</v>
      </c>
      <c r="O42" t="s">
        <v>371</v>
      </c>
      <c r="P42">
        <v>2.6816309796990695E-5</v>
      </c>
      <c r="Q42" t="s">
        <v>166</v>
      </c>
      <c r="S42" t="s">
        <v>218</v>
      </c>
      <c r="T42" t="s">
        <v>371</v>
      </c>
      <c r="U42">
        <v>1.3601568290349779E-4</v>
      </c>
      <c r="V42" t="s">
        <v>166</v>
      </c>
      <c r="X42">
        <v>1.1415525114155251E-4</v>
      </c>
      <c r="Y42">
        <v>1.4916838624667481E-5</v>
      </c>
      <c r="Z42" t="s">
        <v>371</v>
      </c>
      <c r="AA42" t="s">
        <v>25</v>
      </c>
      <c r="AC42" t="s">
        <v>22</v>
      </c>
      <c r="AD42" t="s">
        <v>371</v>
      </c>
      <c r="AE42">
        <v>1.1190099835349137E-4</v>
      </c>
      <c r="AG42" t="s">
        <v>96</v>
      </c>
      <c r="AH42" t="s">
        <v>371</v>
      </c>
      <c r="AI42">
        <v>0</v>
      </c>
      <c r="AK42">
        <v>2025</v>
      </c>
      <c r="AL42" t="s">
        <v>257</v>
      </c>
      <c r="AM42">
        <v>0.5</v>
      </c>
      <c r="AN42" t="s">
        <v>249</v>
      </c>
    </row>
    <row r="43" spans="5:40" x14ac:dyDescent="0.45">
      <c r="E43" t="s">
        <v>330</v>
      </c>
      <c r="G43" t="s">
        <v>299</v>
      </c>
      <c r="I43" t="s">
        <v>164</v>
      </c>
      <c r="J43" t="s">
        <v>372</v>
      </c>
      <c r="K43">
        <v>0</v>
      </c>
      <c r="L43" t="s">
        <v>166</v>
      </c>
      <c r="N43" t="s">
        <v>201</v>
      </c>
      <c r="O43" t="s">
        <v>372</v>
      </c>
      <c r="P43">
        <v>2.1559526602360779E-5</v>
      </c>
      <c r="Q43" t="s">
        <v>166</v>
      </c>
      <c r="S43" t="s">
        <v>218</v>
      </c>
      <c r="T43" t="s">
        <v>372</v>
      </c>
      <c r="U43">
        <v>1.4590146381044468E-4</v>
      </c>
      <c r="V43" t="s">
        <v>166</v>
      </c>
      <c r="X43">
        <v>1.1415525114155251E-4</v>
      </c>
      <c r="Y43">
        <v>1.6574265138519424E-5</v>
      </c>
      <c r="Z43" t="s">
        <v>372</v>
      </c>
      <c r="AA43" t="s">
        <v>25</v>
      </c>
      <c r="AC43" t="s">
        <v>22</v>
      </c>
      <c r="AD43" t="s">
        <v>372</v>
      </c>
      <c r="AE43">
        <v>1.3004212638054738E-4</v>
      </c>
      <c r="AG43" t="s">
        <v>96</v>
      </c>
      <c r="AH43" t="s">
        <v>372</v>
      </c>
      <c r="AI43">
        <v>0</v>
      </c>
      <c r="AK43">
        <v>2026</v>
      </c>
      <c r="AL43" t="s">
        <v>154</v>
      </c>
      <c r="AM43">
        <v>0.297375</v>
      </c>
      <c r="AN43" t="s">
        <v>249</v>
      </c>
    </row>
    <row r="44" spans="5:40" x14ac:dyDescent="0.45">
      <c r="E44" t="s">
        <v>331</v>
      </c>
      <c r="G44" t="s">
        <v>299</v>
      </c>
      <c r="I44" t="s">
        <v>164</v>
      </c>
      <c r="J44" t="s">
        <v>373</v>
      </c>
      <c r="K44">
        <v>0</v>
      </c>
      <c r="L44" t="s">
        <v>166</v>
      </c>
      <c r="N44" t="s">
        <v>201</v>
      </c>
      <c r="O44" t="s">
        <v>373</v>
      </c>
      <c r="P44">
        <v>1.8260396725001417E-5</v>
      </c>
      <c r="Q44" t="s">
        <v>166</v>
      </c>
      <c r="S44" t="s">
        <v>218</v>
      </c>
      <c r="T44" t="s">
        <v>373</v>
      </c>
      <c r="U44">
        <v>1.491759979624537E-4</v>
      </c>
      <c r="V44" t="s">
        <v>166</v>
      </c>
      <c r="X44">
        <v>1.1415525114155251E-4</v>
      </c>
      <c r="Y44">
        <v>1.4585353321897093E-5</v>
      </c>
      <c r="Z44" t="s">
        <v>373</v>
      </c>
      <c r="AA44" t="s">
        <v>25</v>
      </c>
      <c r="AC44" t="s">
        <v>22</v>
      </c>
      <c r="AD44" t="s">
        <v>373</v>
      </c>
      <c r="AE44">
        <v>1.3762804650845309E-4</v>
      </c>
      <c r="AG44" t="s">
        <v>96</v>
      </c>
      <c r="AH44" t="s">
        <v>373</v>
      </c>
      <c r="AI44">
        <v>0</v>
      </c>
      <c r="AK44">
        <v>2026</v>
      </c>
      <c r="AL44" t="s">
        <v>158</v>
      </c>
      <c r="AM44">
        <v>0.3362</v>
      </c>
      <c r="AN44" t="s">
        <v>249</v>
      </c>
    </row>
    <row r="45" spans="5:40" x14ac:dyDescent="0.45">
      <c r="E45" t="s">
        <v>332</v>
      </c>
      <c r="G45" t="s">
        <v>299</v>
      </c>
      <c r="I45" t="s">
        <v>164</v>
      </c>
      <c r="J45" t="s">
        <v>374</v>
      </c>
      <c r="K45">
        <v>0</v>
      </c>
      <c r="L45" t="s">
        <v>166</v>
      </c>
      <c r="N45" t="s">
        <v>201</v>
      </c>
      <c r="O45" t="s">
        <v>374</v>
      </c>
      <c r="P45">
        <v>1.2752487751996377E-5</v>
      </c>
      <c r="Q45" t="s">
        <v>166</v>
      </c>
      <c r="S45" t="s">
        <v>218</v>
      </c>
      <c r="T45" t="s">
        <v>374</v>
      </c>
      <c r="U45">
        <v>1.5089380346650503E-4</v>
      </c>
      <c r="V45" t="s">
        <v>166</v>
      </c>
      <c r="X45">
        <v>1.1415525114155251E-4</v>
      </c>
      <c r="Y45">
        <v>2.1215059377304864E-5</v>
      </c>
      <c r="Z45" t="s">
        <v>374</v>
      </c>
      <c r="AA45" t="s">
        <v>25</v>
      </c>
      <c r="AC45" t="s">
        <v>22</v>
      </c>
      <c r="AD45" t="s">
        <v>374</v>
      </c>
      <c r="AE45">
        <v>1.4514278508019886E-4</v>
      </c>
      <c r="AG45" t="s">
        <v>96</v>
      </c>
      <c r="AH45" t="s">
        <v>374</v>
      </c>
      <c r="AI45">
        <v>0</v>
      </c>
      <c r="AK45">
        <v>2026</v>
      </c>
      <c r="AL45" t="s">
        <v>160</v>
      </c>
      <c r="AM45">
        <v>0.43869999999999998</v>
      </c>
      <c r="AN45" t="s">
        <v>249</v>
      </c>
    </row>
    <row r="46" spans="5:40" x14ac:dyDescent="0.45">
      <c r="E46" t="s">
        <v>333</v>
      </c>
      <c r="G46" t="s">
        <v>299</v>
      </c>
      <c r="I46" t="s">
        <v>164</v>
      </c>
      <c r="J46" t="s">
        <v>375</v>
      </c>
      <c r="K46">
        <v>0</v>
      </c>
      <c r="L46" t="s">
        <v>166</v>
      </c>
      <c r="N46" t="s">
        <v>201</v>
      </c>
      <c r="O46" t="s">
        <v>375</v>
      </c>
      <c r="P46">
        <v>5.6506534978838384E-6</v>
      </c>
      <c r="Q46" t="s">
        <v>166</v>
      </c>
      <c r="S46" t="s">
        <v>218</v>
      </c>
      <c r="T46" t="s">
        <v>375</v>
      </c>
      <c r="U46">
        <v>1.5748875317233058E-4</v>
      </c>
      <c r="V46" t="s">
        <v>166</v>
      </c>
      <c r="X46">
        <v>1.1415525114155251E-4</v>
      </c>
      <c r="Y46">
        <v>5.7678442682047593E-5</v>
      </c>
      <c r="Z46" t="s">
        <v>375</v>
      </c>
      <c r="AA46" t="s">
        <v>25</v>
      </c>
      <c r="AC46" t="s">
        <v>22</v>
      </c>
      <c r="AD46" t="s">
        <v>375</v>
      </c>
      <c r="AE46">
        <v>1.4719688141510092E-4</v>
      </c>
      <c r="AG46" t="s">
        <v>96</v>
      </c>
      <c r="AH46" t="s">
        <v>375</v>
      </c>
      <c r="AI46">
        <v>0</v>
      </c>
      <c r="AK46">
        <v>2026</v>
      </c>
      <c r="AL46" t="s">
        <v>162</v>
      </c>
      <c r="AM46">
        <v>0.53779999999999994</v>
      </c>
      <c r="AN46" t="s">
        <v>249</v>
      </c>
    </row>
    <row r="47" spans="5:40" x14ac:dyDescent="0.45">
      <c r="E47" t="s">
        <v>334</v>
      </c>
      <c r="G47" t="s">
        <v>299</v>
      </c>
      <c r="I47" t="s">
        <v>164</v>
      </c>
      <c r="J47" t="s">
        <v>376</v>
      </c>
      <c r="K47">
        <v>0</v>
      </c>
      <c r="L47" t="s">
        <v>166</v>
      </c>
      <c r="N47" t="s">
        <v>201</v>
      </c>
      <c r="O47" t="s">
        <v>376</v>
      </c>
      <c r="P47">
        <v>7.4838632486205763E-6</v>
      </c>
      <c r="Q47" t="s">
        <v>166</v>
      </c>
      <c r="S47" t="s">
        <v>218</v>
      </c>
      <c r="T47" t="s">
        <v>376</v>
      </c>
      <c r="U47">
        <v>1.4870618607549786E-4</v>
      </c>
      <c r="V47" t="s">
        <v>166</v>
      </c>
      <c r="X47">
        <v>1.1415525114155251E-4</v>
      </c>
      <c r="Y47">
        <v>1.6905750441289813E-4</v>
      </c>
      <c r="Z47" t="s">
        <v>376</v>
      </c>
      <c r="AA47" t="s">
        <v>25</v>
      </c>
      <c r="AC47" t="s">
        <v>22</v>
      </c>
      <c r="AD47" t="s">
        <v>376</v>
      </c>
      <c r="AE47">
        <v>1.4683080484056391E-4</v>
      </c>
      <c r="AG47" t="s">
        <v>96</v>
      </c>
      <c r="AH47" t="s">
        <v>376</v>
      </c>
      <c r="AI47">
        <v>0</v>
      </c>
      <c r="AK47">
        <v>2026</v>
      </c>
      <c r="AL47" t="s">
        <v>252</v>
      </c>
      <c r="AM47">
        <v>0.60319999999999996</v>
      </c>
      <c r="AN47" t="s">
        <v>249</v>
      </c>
    </row>
    <row r="48" spans="5:40" x14ac:dyDescent="0.45">
      <c r="E48" t="s">
        <v>335</v>
      </c>
      <c r="G48" t="s">
        <v>299</v>
      </c>
      <c r="I48" t="s">
        <v>164</v>
      </c>
      <c r="J48" t="s">
        <v>377</v>
      </c>
      <c r="K48">
        <v>1.126268666083505E-4</v>
      </c>
      <c r="L48" t="s">
        <v>166</v>
      </c>
      <c r="N48" t="s">
        <v>201</v>
      </c>
      <c r="O48" t="s">
        <v>377</v>
      </c>
      <c r="P48">
        <v>1.0318171387529606E-5</v>
      </c>
      <c r="Q48" t="s">
        <v>166</v>
      </c>
      <c r="S48" t="s">
        <v>218</v>
      </c>
      <c r="T48" t="s">
        <v>377</v>
      </c>
      <c r="U48">
        <v>1.3355839502410597E-4</v>
      </c>
      <c r="V48" t="s">
        <v>166</v>
      </c>
      <c r="X48">
        <v>1.1415525114155251E-4</v>
      </c>
      <c r="Y48">
        <v>1.9060404909297337E-4</v>
      </c>
      <c r="Z48" t="s">
        <v>377</v>
      </c>
      <c r="AA48" t="s">
        <v>25</v>
      </c>
      <c r="AC48" t="s">
        <v>22</v>
      </c>
      <c r="AD48" t="s">
        <v>377</v>
      </c>
      <c r="AE48">
        <v>1.4683080484056391E-4</v>
      </c>
      <c r="AG48" t="s">
        <v>96</v>
      </c>
      <c r="AH48" t="s">
        <v>377</v>
      </c>
      <c r="AI48">
        <v>0</v>
      </c>
      <c r="AK48">
        <v>2026</v>
      </c>
      <c r="AL48" t="s">
        <v>254</v>
      </c>
      <c r="AM48">
        <v>0.56935000000000002</v>
      </c>
      <c r="AN48" t="s">
        <v>249</v>
      </c>
    </row>
    <row r="49" spans="5:40" x14ac:dyDescent="0.45">
      <c r="E49" t="s">
        <v>336</v>
      </c>
      <c r="G49" t="s">
        <v>299</v>
      </c>
      <c r="I49" t="s">
        <v>164</v>
      </c>
      <c r="J49" t="s">
        <v>378</v>
      </c>
      <c r="K49">
        <v>2.0963541267288483E-4</v>
      </c>
      <c r="L49" t="s">
        <v>166</v>
      </c>
      <c r="N49" t="s">
        <v>201</v>
      </c>
      <c r="O49" t="s">
        <v>378</v>
      </c>
      <c r="P49">
        <v>1.1710811872372212E-5</v>
      </c>
      <c r="Q49" t="s">
        <v>166</v>
      </c>
      <c r="S49" t="s">
        <v>218</v>
      </c>
      <c r="T49" t="s">
        <v>378</v>
      </c>
      <c r="U49">
        <v>1.2728476644292581E-4</v>
      </c>
      <c r="V49" t="s">
        <v>166</v>
      </c>
      <c r="X49">
        <v>1.1415525114155251E-4</v>
      </c>
      <c r="Y49">
        <v>1.4585353321897094E-4</v>
      </c>
      <c r="Z49" t="s">
        <v>378</v>
      </c>
      <c r="AA49" t="s">
        <v>25</v>
      </c>
      <c r="AC49" t="s">
        <v>22</v>
      </c>
      <c r="AD49" t="s">
        <v>378</v>
      </c>
      <c r="AE49">
        <v>1.4510210990525025E-4</v>
      </c>
      <c r="AG49" t="s">
        <v>96</v>
      </c>
      <c r="AH49" t="s">
        <v>378</v>
      </c>
      <c r="AI49">
        <v>0</v>
      </c>
      <c r="AK49">
        <v>2026</v>
      </c>
      <c r="AL49" t="s">
        <v>256</v>
      </c>
      <c r="AM49">
        <v>0.55020000000000002</v>
      </c>
      <c r="AN49" t="s">
        <v>249</v>
      </c>
    </row>
    <row r="50" spans="5:40" x14ac:dyDescent="0.45">
      <c r="E50" t="s">
        <v>337</v>
      </c>
      <c r="G50" t="s">
        <v>299</v>
      </c>
      <c r="I50" t="s">
        <v>164</v>
      </c>
      <c r="J50" t="s">
        <v>379</v>
      </c>
      <c r="K50">
        <v>3.4361266688080224E-4</v>
      </c>
      <c r="L50" t="s">
        <v>166</v>
      </c>
      <c r="N50" t="s">
        <v>201</v>
      </c>
      <c r="O50" t="s">
        <v>379</v>
      </c>
      <c r="P50">
        <v>2.0044751013327038E-5</v>
      </c>
      <c r="Q50" t="s">
        <v>166</v>
      </c>
      <c r="S50" t="s">
        <v>218</v>
      </c>
      <c r="T50" t="s">
        <v>379</v>
      </c>
      <c r="U50">
        <v>1.2246262924054752E-4</v>
      </c>
      <c r="V50" t="s">
        <v>166</v>
      </c>
      <c r="X50">
        <v>1.1415525114155251E-4</v>
      </c>
      <c r="Y50">
        <v>1.4452759200788939E-4</v>
      </c>
      <c r="Z50" t="s">
        <v>379</v>
      </c>
      <c r="AA50" t="s">
        <v>25</v>
      </c>
      <c r="AC50" t="s">
        <v>22</v>
      </c>
      <c r="AD50" t="s">
        <v>379</v>
      </c>
      <c r="AE50">
        <v>1.4513261628646169E-4</v>
      </c>
      <c r="AG50" t="s">
        <v>96</v>
      </c>
      <c r="AH50" t="s">
        <v>379</v>
      </c>
      <c r="AI50">
        <v>0</v>
      </c>
      <c r="AK50">
        <v>2026</v>
      </c>
      <c r="AL50" t="s">
        <v>257</v>
      </c>
      <c r="AM50">
        <v>0.49680000000000002</v>
      </c>
      <c r="AN50" t="s">
        <v>249</v>
      </c>
    </row>
    <row r="51" spans="5:40" x14ac:dyDescent="0.45">
      <c r="E51" t="s">
        <v>338</v>
      </c>
      <c r="G51" t="s">
        <v>299</v>
      </c>
      <c r="I51" t="s">
        <v>164</v>
      </c>
      <c r="J51" t="s">
        <v>380</v>
      </c>
      <c r="K51">
        <v>4.2502551475082139E-4</v>
      </c>
      <c r="L51" t="s">
        <v>166</v>
      </c>
      <c r="N51" t="s">
        <v>201</v>
      </c>
      <c r="O51" t="s">
        <v>380</v>
      </c>
      <c r="P51">
        <v>3.3049388193516694E-5</v>
      </c>
      <c r="Q51" t="s">
        <v>166</v>
      </c>
      <c r="S51" t="s">
        <v>218</v>
      </c>
      <c r="T51" t="s">
        <v>380</v>
      </c>
      <c r="U51">
        <v>1.0820948591314347E-4</v>
      </c>
      <c r="V51" t="s">
        <v>166</v>
      </c>
      <c r="X51">
        <v>1.1415525114155251E-4</v>
      </c>
      <c r="Y51">
        <v>1.408812536774151E-4</v>
      </c>
      <c r="Z51" t="s">
        <v>380</v>
      </c>
      <c r="AA51" t="s">
        <v>25</v>
      </c>
      <c r="AC51" t="s">
        <v>22</v>
      </c>
      <c r="AD51" t="s">
        <v>380</v>
      </c>
      <c r="AE51">
        <v>1.2565937627984045E-4</v>
      </c>
      <c r="AG51" t="s">
        <v>96</v>
      </c>
      <c r="AH51" t="s">
        <v>380</v>
      </c>
      <c r="AI51">
        <v>0</v>
      </c>
      <c r="AK51">
        <v>2027</v>
      </c>
      <c r="AL51" t="s">
        <v>154</v>
      </c>
      <c r="AM51">
        <v>0.27327500000000005</v>
      </c>
      <c r="AN51" t="s">
        <v>249</v>
      </c>
    </row>
    <row r="52" spans="5:40" x14ac:dyDescent="0.45">
      <c r="E52" t="s">
        <v>339</v>
      </c>
      <c r="G52" t="s">
        <v>299</v>
      </c>
      <c r="I52" t="s">
        <v>164</v>
      </c>
      <c r="J52" t="s">
        <v>381</v>
      </c>
      <c r="K52">
        <v>4.4553122489687574E-4</v>
      </c>
      <c r="L52" t="s">
        <v>166</v>
      </c>
      <c r="N52" t="s">
        <v>201</v>
      </c>
      <c r="O52" t="s">
        <v>381</v>
      </c>
      <c r="P52">
        <v>4.8064901559303977E-5</v>
      </c>
      <c r="Q52" t="s">
        <v>166</v>
      </c>
      <c r="S52" t="s">
        <v>218</v>
      </c>
      <c r="T52" t="s">
        <v>381</v>
      </c>
      <c r="U52">
        <v>8.3286377412436442E-5</v>
      </c>
      <c r="V52" t="s">
        <v>166</v>
      </c>
      <c r="X52">
        <v>1.1415525114155251E-4</v>
      </c>
      <c r="Y52">
        <v>1.4054976837464471E-4</v>
      </c>
      <c r="Z52" t="s">
        <v>381</v>
      </c>
      <c r="AA52" t="s">
        <v>25</v>
      </c>
      <c r="AC52" t="s">
        <v>22</v>
      </c>
      <c r="AD52" t="s">
        <v>381</v>
      </c>
      <c r="AE52">
        <v>1.5121355494127078E-4</v>
      </c>
      <c r="AG52" t="s">
        <v>96</v>
      </c>
      <c r="AH52" t="s">
        <v>381</v>
      </c>
      <c r="AI52">
        <v>0</v>
      </c>
      <c r="AK52">
        <v>2027</v>
      </c>
      <c r="AL52" t="s">
        <v>158</v>
      </c>
      <c r="AM52">
        <v>0.38400000000000001</v>
      </c>
      <c r="AN52" t="s">
        <v>249</v>
      </c>
    </row>
    <row r="53" spans="5:40" x14ac:dyDescent="0.45">
      <c r="E53" t="s">
        <v>340</v>
      </c>
      <c r="G53" t="s">
        <v>299</v>
      </c>
      <c r="I53" t="s">
        <v>164</v>
      </c>
      <c r="J53" t="s">
        <v>382</v>
      </c>
      <c r="K53">
        <v>4.5198709572527953E-4</v>
      </c>
      <c r="L53" t="s">
        <v>166</v>
      </c>
      <c r="N53" t="s">
        <v>201</v>
      </c>
      <c r="O53" t="s">
        <v>382</v>
      </c>
      <c r="P53">
        <v>7.1491565781752283E-5</v>
      </c>
      <c r="Q53" t="s">
        <v>166</v>
      </c>
      <c r="S53" t="s">
        <v>218</v>
      </c>
      <c r="T53" t="s">
        <v>382</v>
      </c>
      <c r="U53">
        <v>6.2582012505970534E-5</v>
      </c>
      <c r="V53" t="s">
        <v>166</v>
      </c>
      <c r="X53">
        <v>1.1415525114155251E-4</v>
      </c>
      <c r="Y53">
        <v>1.4253868019126702E-4</v>
      </c>
      <c r="Z53" t="s">
        <v>382</v>
      </c>
      <c r="AA53" t="s">
        <v>25</v>
      </c>
      <c r="AC53" t="s">
        <v>22</v>
      </c>
      <c r="AD53" t="s">
        <v>382</v>
      </c>
      <c r="AE53">
        <v>1.5121355494127078E-4</v>
      </c>
      <c r="AG53" t="s">
        <v>96</v>
      </c>
      <c r="AH53" t="s">
        <v>382</v>
      </c>
      <c r="AI53">
        <v>0</v>
      </c>
      <c r="AK53">
        <v>2027</v>
      </c>
      <c r="AL53" t="s">
        <v>160</v>
      </c>
      <c r="AM53">
        <v>0.42130000000000001</v>
      </c>
      <c r="AN53" t="s">
        <v>249</v>
      </c>
    </row>
    <row r="54" spans="5:40" x14ac:dyDescent="0.45">
      <c r="E54" t="s">
        <v>341</v>
      </c>
      <c r="G54" t="s">
        <v>299</v>
      </c>
      <c r="I54" t="s">
        <v>164</v>
      </c>
      <c r="J54" t="s">
        <v>383</v>
      </c>
      <c r="K54">
        <v>4.4072819451932609E-4</v>
      </c>
      <c r="L54" t="s">
        <v>166</v>
      </c>
      <c r="N54" t="s">
        <v>201</v>
      </c>
      <c r="O54" t="s">
        <v>383</v>
      </c>
      <c r="P54">
        <v>1.2438109345618207E-4</v>
      </c>
      <c r="Q54" t="s">
        <v>166</v>
      </c>
      <c r="S54" t="s">
        <v>218</v>
      </c>
      <c r="T54" t="s">
        <v>383</v>
      </c>
      <c r="U54">
        <v>5.8216815328105926E-5</v>
      </c>
      <c r="V54" t="s">
        <v>166</v>
      </c>
      <c r="X54">
        <v>1.1415525114155251E-4</v>
      </c>
      <c r="Y54">
        <v>1.4883690094390442E-4</v>
      </c>
      <c r="Z54" t="s">
        <v>383</v>
      </c>
      <c r="AA54" t="s">
        <v>25</v>
      </c>
      <c r="AC54" t="s">
        <v>22</v>
      </c>
      <c r="AD54" t="s">
        <v>383</v>
      </c>
      <c r="AE54">
        <v>1.4098374844170893E-4</v>
      </c>
      <c r="AG54" t="s">
        <v>96</v>
      </c>
      <c r="AH54" t="s">
        <v>383</v>
      </c>
      <c r="AI54">
        <v>0</v>
      </c>
      <c r="AK54">
        <v>2027</v>
      </c>
      <c r="AL54" t="s">
        <v>162</v>
      </c>
      <c r="AM54">
        <v>0.52080000000000004</v>
      </c>
      <c r="AN54" t="s">
        <v>249</v>
      </c>
    </row>
    <row r="55" spans="5:40" x14ac:dyDescent="0.45">
      <c r="E55" t="s">
        <v>342</v>
      </c>
      <c r="G55" t="s">
        <v>299</v>
      </c>
      <c r="I55" t="s">
        <v>164</v>
      </c>
      <c r="J55" t="s">
        <v>384</v>
      </c>
      <c r="K55">
        <v>4.5954165484486887E-4</v>
      </c>
      <c r="L55" t="s">
        <v>166</v>
      </c>
      <c r="N55" t="s">
        <v>201</v>
      </c>
      <c r="O55" t="s">
        <v>384</v>
      </c>
      <c r="P55">
        <v>1.956248666054683E-4</v>
      </c>
      <c r="Q55" t="s">
        <v>166</v>
      </c>
      <c r="S55" t="s">
        <v>218</v>
      </c>
      <c r="T55" t="s">
        <v>384</v>
      </c>
      <c r="U55">
        <v>6.3518046132462973E-5</v>
      </c>
      <c r="V55" t="s">
        <v>166</v>
      </c>
      <c r="X55">
        <v>1.1415525114155251E-4</v>
      </c>
      <c r="Y55">
        <v>1.5049432745775637E-4</v>
      </c>
      <c r="Z55" t="s">
        <v>384</v>
      </c>
      <c r="AA55" t="s">
        <v>25</v>
      </c>
      <c r="AC55" t="s">
        <v>22</v>
      </c>
      <c r="AD55" t="s">
        <v>384</v>
      </c>
      <c r="AE55">
        <v>1.242560827441153E-4</v>
      </c>
      <c r="AG55" t="s">
        <v>96</v>
      </c>
      <c r="AH55" t="s">
        <v>384</v>
      </c>
      <c r="AI55">
        <v>0</v>
      </c>
      <c r="AK55">
        <v>2027</v>
      </c>
      <c r="AL55" t="s">
        <v>252</v>
      </c>
      <c r="AM55">
        <v>0.59830000000000005</v>
      </c>
      <c r="AN55" t="s">
        <v>249</v>
      </c>
    </row>
    <row r="56" spans="5:40" x14ac:dyDescent="0.45">
      <c r="E56" t="s">
        <v>343</v>
      </c>
      <c r="G56" t="s">
        <v>299</v>
      </c>
      <c r="I56" t="s">
        <v>164</v>
      </c>
      <c r="J56" t="s">
        <v>385</v>
      </c>
      <c r="K56">
        <v>4.5262526442324823E-4</v>
      </c>
      <c r="L56" t="s">
        <v>166</v>
      </c>
      <c r="N56" t="s">
        <v>201</v>
      </c>
      <c r="O56" t="s">
        <v>385</v>
      </c>
      <c r="P56">
        <v>2.4763567661965051E-4</v>
      </c>
      <c r="Q56" t="s">
        <v>166</v>
      </c>
      <c r="S56" t="s">
        <v>218</v>
      </c>
      <c r="T56" t="s">
        <v>385</v>
      </c>
      <c r="U56">
        <v>7.1539197843310142E-5</v>
      </c>
      <c r="V56" t="s">
        <v>166</v>
      </c>
      <c r="X56">
        <v>1.1415525114155251E-4</v>
      </c>
      <c r="Y56">
        <v>1.7237235744060203E-4</v>
      </c>
      <c r="Z56" t="s">
        <v>385</v>
      </c>
      <c r="AA56" t="s">
        <v>25</v>
      </c>
      <c r="AC56" t="s">
        <v>22</v>
      </c>
      <c r="AD56" t="s">
        <v>385</v>
      </c>
      <c r="AE56">
        <v>1.0072549403637562E-4</v>
      </c>
      <c r="AG56" t="s">
        <v>96</v>
      </c>
      <c r="AH56" t="s">
        <v>385</v>
      </c>
      <c r="AI56">
        <v>0</v>
      </c>
      <c r="AK56">
        <v>2027</v>
      </c>
      <c r="AL56" t="s">
        <v>254</v>
      </c>
      <c r="AM56">
        <v>0.56725000000000003</v>
      </c>
      <c r="AN56" t="s">
        <v>249</v>
      </c>
    </row>
    <row r="57" spans="5:40" x14ac:dyDescent="0.45">
      <c r="E57" t="s">
        <v>344</v>
      </c>
      <c r="G57" t="s">
        <v>299</v>
      </c>
      <c r="I57" t="s">
        <v>164</v>
      </c>
      <c r="J57" t="s">
        <v>386</v>
      </c>
      <c r="K57">
        <v>4.0310759800378835E-4</v>
      </c>
      <c r="L57" t="s">
        <v>166</v>
      </c>
      <c r="N57" t="s">
        <v>201</v>
      </c>
      <c r="O57" t="s">
        <v>386</v>
      </c>
      <c r="P57">
        <v>2.7967751095384411E-4</v>
      </c>
      <c r="Q57" t="s">
        <v>166</v>
      </c>
      <c r="S57" t="s">
        <v>218</v>
      </c>
      <c r="T57" t="s">
        <v>386</v>
      </c>
      <c r="U57">
        <v>7.0328552778169614E-5</v>
      </c>
      <c r="V57" t="s">
        <v>166</v>
      </c>
      <c r="X57">
        <v>1.1415525114155251E-4</v>
      </c>
      <c r="Y57">
        <v>2.2209515285616027E-4</v>
      </c>
      <c r="Z57" t="s">
        <v>386</v>
      </c>
      <c r="AA57" t="s">
        <v>25</v>
      </c>
      <c r="AC57" t="s">
        <v>22</v>
      </c>
      <c r="AD57" t="s">
        <v>386</v>
      </c>
      <c r="AE57">
        <v>8.3123312077387963E-5</v>
      </c>
      <c r="AG57" t="s">
        <v>96</v>
      </c>
      <c r="AH57" t="s">
        <v>386</v>
      </c>
      <c r="AI57">
        <v>0</v>
      </c>
      <c r="AK57">
        <v>2027</v>
      </c>
      <c r="AL57" t="s">
        <v>256</v>
      </c>
      <c r="AM57">
        <v>0.57240000000000002</v>
      </c>
      <c r="AN57" t="s">
        <v>249</v>
      </c>
    </row>
    <row r="58" spans="5:40" x14ac:dyDescent="0.45">
      <c r="E58" t="s">
        <v>345</v>
      </c>
      <c r="G58" t="s">
        <v>299</v>
      </c>
      <c r="I58" t="s">
        <v>164</v>
      </c>
      <c r="J58" t="s">
        <v>387</v>
      </c>
      <c r="K58">
        <v>3.2370093044629565E-4</v>
      </c>
      <c r="L58" t="s">
        <v>166</v>
      </c>
      <c r="N58" t="s">
        <v>201</v>
      </c>
      <c r="O58" t="s">
        <v>387</v>
      </c>
      <c r="P58">
        <v>2.8599696241615648E-4</v>
      </c>
      <c r="Q58" t="s">
        <v>166</v>
      </c>
      <c r="S58" t="s">
        <v>218</v>
      </c>
      <c r="T58" t="s">
        <v>387</v>
      </c>
      <c r="U58">
        <v>6.1747963434918829E-5</v>
      </c>
      <c r="V58" t="s">
        <v>166</v>
      </c>
      <c r="X58">
        <v>1.1415525114155251E-4</v>
      </c>
      <c r="Y58">
        <v>2.2209515285616027E-4</v>
      </c>
      <c r="Z58" t="s">
        <v>387</v>
      </c>
      <c r="AA58" t="s">
        <v>25</v>
      </c>
      <c r="AC58" t="s">
        <v>22</v>
      </c>
      <c r="AD58" t="s">
        <v>387</v>
      </c>
      <c r="AE58">
        <v>4.5864851824510641E-5</v>
      </c>
      <c r="AG58" t="s">
        <v>96</v>
      </c>
      <c r="AH58" t="s">
        <v>387</v>
      </c>
      <c r="AI58">
        <v>0</v>
      </c>
      <c r="AK58">
        <v>2027</v>
      </c>
      <c r="AL58" t="s">
        <v>257</v>
      </c>
      <c r="AM58">
        <v>0.46779999999999999</v>
      </c>
      <c r="AN58" t="s">
        <v>249</v>
      </c>
    </row>
    <row r="59" spans="5:40" x14ac:dyDescent="0.45">
      <c r="E59" t="s">
        <v>156</v>
      </c>
      <c r="G59" t="s">
        <v>155</v>
      </c>
      <c r="I59" t="s">
        <v>164</v>
      </c>
      <c r="J59" t="s">
        <v>388</v>
      </c>
      <c r="K59">
        <v>1.7851076073770037E-4</v>
      </c>
      <c r="L59" t="s">
        <v>166</v>
      </c>
      <c r="N59" t="s">
        <v>201</v>
      </c>
      <c r="O59" t="s">
        <v>388</v>
      </c>
      <c r="P59">
        <v>2.9537542431588951E-4</v>
      </c>
      <c r="Q59" t="s">
        <v>166</v>
      </c>
      <c r="S59" t="s">
        <v>218</v>
      </c>
      <c r="T59" t="s">
        <v>388</v>
      </c>
      <c r="U59">
        <v>8.127262045177766E-5</v>
      </c>
      <c r="V59" t="s">
        <v>166</v>
      </c>
      <c r="X59">
        <v>1.1415525114155251E-4</v>
      </c>
      <c r="Y59">
        <v>1.7237235744060203E-4</v>
      </c>
      <c r="Z59" t="s">
        <v>388</v>
      </c>
      <c r="AA59" t="s">
        <v>25</v>
      </c>
      <c r="AC59" t="s">
        <v>22</v>
      </c>
      <c r="AD59" t="s">
        <v>388</v>
      </c>
      <c r="AE59">
        <v>4.7502027616190022E-5</v>
      </c>
      <c r="AG59" t="s">
        <v>96</v>
      </c>
      <c r="AH59" t="s">
        <v>388</v>
      </c>
      <c r="AI59">
        <v>0</v>
      </c>
      <c r="AK59">
        <v>2028</v>
      </c>
      <c r="AL59" t="s">
        <v>154</v>
      </c>
      <c r="AM59">
        <v>0.30019999999999997</v>
      </c>
      <c r="AN59" t="s">
        <v>249</v>
      </c>
    </row>
    <row r="60" spans="5:40" x14ac:dyDescent="0.45">
      <c r="E60" t="s">
        <v>159</v>
      </c>
      <c r="G60" t="s">
        <v>155</v>
      </c>
      <c r="I60" t="s">
        <v>164</v>
      </c>
      <c r="J60" t="s">
        <v>389</v>
      </c>
      <c r="K60">
        <v>0</v>
      </c>
      <c r="L60" t="s">
        <v>166</v>
      </c>
      <c r="N60" t="s">
        <v>201</v>
      </c>
      <c r="O60" t="s">
        <v>389</v>
      </c>
      <c r="P60">
        <v>3.0795925012652177E-4</v>
      </c>
      <c r="Q60" t="s">
        <v>166</v>
      </c>
      <c r="S60" t="s">
        <v>218</v>
      </c>
      <c r="T60" t="s">
        <v>389</v>
      </c>
      <c r="U60">
        <v>1.2551039137737128E-4</v>
      </c>
      <c r="V60" t="s">
        <v>166</v>
      </c>
      <c r="X60">
        <v>1.1415525114155251E-4</v>
      </c>
      <c r="Y60">
        <v>1.5579809230208258E-4</v>
      </c>
      <c r="Z60" t="s">
        <v>389</v>
      </c>
      <c r="AA60" t="s">
        <v>25</v>
      </c>
      <c r="AC60" t="s">
        <v>22</v>
      </c>
      <c r="AD60" t="s">
        <v>389</v>
      </c>
      <c r="AE60">
        <v>4.4654765369791094E-5</v>
      </c>
      <c r="AG60" t="s">
        <v>96</v>
      </c>
      <c r="AH60" t="s">
        <v>389</v>
      </c>
      <c r="AI60">
        <v>0</v>
      </c>
      <c r="AK60">
        <v>2028</v>
      </c>
      <c r="AL60" t="s">
        <v>158</v>
      </c>
      <c r="AM60">
        <v>0.3826</v>
      </c>
      <c r="AN60" t="s">
        <v>249</v>
      </c>
    </row>
    <row r="61" spans="5:40" x14ac:dyDescent="0.45">
      <c r="E61" t="s">
        <v>161</v>
      </c>
      <c r="G61" t="s">
        <v>155</v>
      </c>
      <c r="I61" t="s">
        <v>164</v>
      </c>
      <c r="J61" t="s">
        <v>390</v>
      </c>
      <c r="K61">
        <v>0</v>
      </c>
      <c r="L61" t="s">
        <v>166</v>
      </c>
      <c r="N61" t="s">
        <v>201</v>
      </c>
      <c r="O61" t="s">
        <v>390</v>
      </c>
      <c r="P61">
        <v>2.9812925216940456E-4</v>
      </c>
      <c r="Q61" t="s">
        <v>166</v>
      </c>
      <c r="S61" t="s">
        <v>218</v>
      </c>
      <c r="T61" t="s">
        <v>390</v>
      </c>
      <c r="U61">
        <v>1.4668369265011645E-4</v>
      </c>
      <c r="V61" t="s">
        <v>166</v>
      </c>
      <c r="X61">
        <v>1.1415525114155251E-4</v>
      </c>
      <c r="Y61">
        <v>1.093901499142282E-4</v>
      </c>
      <c r="Z61" t="s">
        <v>390</v>
      </c>
      <c r="AA61" t="s">
        <v>25</v>
      </c>
      <c r="AC61" t="s">
        <v>22</v>
      </c>
      <c r="AD61" t="s">
        <v>390</v>
      </c>
      <c r="AE61">
        <v>4.4166663270408408E-5</v>
      </c>
      <c r="AG61" t="s">
        <v>96</v>
      </c>
      <c r="AH61" t="s">
        <v>390</v>
      </c>
      <c r="AI61">
        <v>0</v>
      </c>
      <c r="AK61">
        <v>2028</v>
      </c>
      <c r="AL61" t="s">
        <v>160</v>
      </c>
      <c r="AM61">
        <v>0.41830000000000001</v>
      </c>
      <c r="AN61" t="s">
        <v>249</v>
      </c>
    </row>
    <row r="62" spans="5:40" x14ac:dyDescent="0.45">
      <c r="E62" t="s">
        <v>251</v>
      </c>
      <c r="G62" t="s">
        <v>155</v>
      </c>
      <c r="I62" t="s">
        <v>164</v>
      </c>
      <c r="J62" t="s">
        <v>391</v>
      </c>
      <c r="K62">
        <v>0</v>
      </c>
      <c r="L62" t="s">
        <v>166</v>
      </c>
      <c r="N62" t="s">
        <v>201</v>
      </c>
      <c r="O62" t="s">
        <v>391</v>
      </c>
      <c r="P62">
        <v>2.8376185022285024E-4</v>
      </c>
      <c r="Q62" t="s">
        <v>166</v>
      </c>
      <c r="S62" t="s">
        <v>218</v>
      </c>
      <c r="T62" t="s">
        <v>391</v>
      </c>
      <c r="U62">
        <v>1.3179287691814038E-4</v>
      </c>
      <c r="V62" t="s">
        <v>166</v>
      </c>
      <c r="X62">
        <v>1.1415525114155251E-4</v>
      </c>
      <c r="Y62">
        <v>7.9556472664893237E-5</v>
      </c>
      <c r="Z62" t="s">
        <v>391</v>
      </c>
      <c r="AA62" t="s">
        <v>25</v>
      </c>
      <c r="AC62" t="s">
        <v>22</v>
      </c>
      <c r="AD62" t="s">
        <v>391</v>
      </c>
      <c r="AE62">
        <v>4.4715778132213925E-5</v>
      </c>
      <c r="AG62" t="s">
        <v>96</v>
      </c>
      <c r="AH62" t="s">
        <v>391</v>
      </c>
      <c r="AI62">
        <v>0</v>
      </c>
      <c r="AK62">
        <v>2028</v>
      </c>
      <c r="AL62" t="s">
        <v>162</v>
      </c>
      <c r="AM62">
        <v>0.53290000000000004</v>
      </c>
      <c r="AN62" t="s">
        <v>249</v>
      </c>
    </row>
    <row r="63" spans="5:40" x14ac:dyDescent="0.45">
      <c r="E63" t="s">
        <v>253</v>
      </c>
      <c r="G63" t="s">
        <v>155</v>
      </c>
      <c r="I63" t="s">
        <v>164</v>
      </c>
      <c r="J63" t="s">
        <v>392</v>
      </c>
      <c r="K63">
        <v>0</v>
      </c>
      <c r="L63" t="s">
        <v>166</v>
      </c>
      <c r="N63" t="s">
        <v>201</v>
      </c>
      <c r="O63" t="s">
        <v>392</v>
      </c>
      <c r="P63">
        <v>2.7027308273723895E-4</v>
      </c>
      <c r="Q63" t="s">
        <v>166</v>
      </c>
      <c r="S63" t="s">
        <v>218</v>
      </c>
      <c r="T63" t="s">
        <v>392</v>
      </c>
      <c r="U63">
        <v>1.1667605352471788E-4</v>
      </c>
      <c r="V63" t="s">
        <v>166</v>
      </c>
      <c r="X63">
        <v>1.1415525114155251E-4</v>
      </c>
      <c r="Y63">
        <v>5.6352501470966035E-5</v>
      </c>
      <c r="Z63" t="s">
        <v>392</v>
      </c>
      <c r="AA63" t="s">
        <v>25</v>
      </c>
      <c r="AC63" t="s">
        <v>22</v>
      </c>
      <c r="AD63" t="s">
        <v>392</v>
      </c>
      <c r="AE63">
        <v>6.6822735716754139E-5</v>
      </c>
      <c r="AG63" t="s">
        <v>96</v>
      </c>
      <c r="AH63" t="s">
        <v>392</v>
      </c>
      <c r="AI63">
        <v>0</v>
      </c>
      <c r="AK63">
        <v>2028</v>
      </c>
      <c r="AL63" t="s">
        <v>252</v>
      </c>
      <c r="AM63">
        <v>0.5867</v>
      </c>
      <c r="AN63" t="s">
        <v>249</v>
      </c>
    </row>
    <row r="64" spans="5:40" x14ac:dyDescent="0.45">
      <c r="E64" t="s">
        <v>255</v>
      </c>
      <c r="G64" t="s">
        <v>155</v>
      </c>
      <c r="I64" t="s">
        <v>164</v>
      </c>
      <c r="J64" t="s">
        <v>393</v>
      </c>
      <c r="K64">
        <v>0</v>
      </c>
      <c r="L64" t="s">
        <v>166</v>
      </c>
      <c r="N64" t="s">
        <v>201</v>
      </c>
      <c r="O64" t="s">
        <v>393</v>
      </c>
      <c r="P64">
        <v>2.5753804026359251E-4</v>
      </c>
      <c r="Q64" t="s">
        <v>166</v>
      </c>
      <c r="S64" t="s">
        <v>218</v>
      </c>
      <c r="T64" t="s">
        <v>393</v>
      </c>
      <c r="U64">
        <v>8.7603353684278867E-5</v>
      </c>
      <c r="V64" t="s">
        <v>166</v>
      </c>
      <c r="X64">
        <v>1.1415525114155251E-4</v>
      </c>
      <c r="Y64">
        <v>2.9833677249334962E-5</v>
      </c>
      <c r="Z64" t="s">
        <v>393</v>
      </c>
      <c r="AA64" t="s">
        <v>25</v>
      </c>
      <c r="AC64" t="s">
        <v>22</v>
      </c>
      <c r="AD64" t="s">
        <v>393</v>
      </c>
      <c r="AE64">
        <v>6.8175185283793628E-5</v>
      </c>
      <c r="AG64" t="s">
        <v>96</v>
      </c>
      <c r="AH64" t="s">
        <v>393</v>
      </c>
      <c r="AI64">
        <v>0</v>
      </c>
      <c r="AK64">
        <v>2028</v>
      </c>
      <c r="AL64" t="s">
        <v>254</v>
      </c>
      <c r="AM64">
        <v>0.57139999999999991</v>
      </c>
      <c r="AN64" t="s">
        <v>249</v>
      </c>
    </row>
    <row r="65" spans="9:40" x14ac:dyDescent="0.45">
      <c r="I65" t="s">
        <v>164</v>
      </c>
      <c r="J65" t="s">
        <v>169</v>
      </c>
      <c r="K65">
        <v>8.0296742519506102E-3</v>
      </c>
      <c r="L65" t="s">
        <v>166</v>
      </c>
      <c r="N65" t="s">
        <v>201</v>
      </c>
      <c r="O65" t="s">
        <v>169</v>
      </c>
      <c r="P65">
        <v>3.3485135182854259E-2</v>
      </c>
      <c r="Q65" t="s">
        <v>166</v>
      </c>
      <c r="S65" t="s">
        <v>218</v>
      </c>
      <c r="T65" t="s">
        <v>169</v>
      </c>
      <c r="U65">
        <v>5.1605724359319958E-3</v>
      </c>
      <c r="V65" t="s">
        <v>166</v>
      </c>
      <c r="X65">
        <v>2.8310502283105023E-2</v>
      </c>
      <c r="Y65">
        <v>1.5691519777241876E-2</v>
      </c>
      <c r="Z65" t="s">
        <v>169</v>
      </c>
      <c r="AA65" t="s">
        <v>25</v>
      </c>
      <c r="AC65" t="s">
        <v>22</v>
      </c>
      <c r="AD65" t="s">
        <v>169</v>
      </c>
      <c r="AE65">
        <v>3.7958726365841557E-2</v>
      </c>
      <c r="AG65" t="s">
        <v>96</v>
      </c>
      <c r="AH65" t="s">
        <v>169</v>
      </c>
      <c r="AI65">
        <v>0.10619153699380157</v>
      </c>
      <c r="AK65">
        <v>2028</v>
      </c>
      <c r="AL65" t="s">
        <v>256</v>
      </c>
      <c r="AM65">
        <v>0.5141</v>
      </c>
      <c r="AN65" t="s">
        <v>249</v>
      </c>
    </row>
    <row r="66" spans="9:40" x14ac:dyDescent="0.45">
      <c r="I66" t="s">
        <v>164</v>
      </c>
      <c r="J66" t="s">
        <v>170</v>
      </c>
      <c r="K66">
        <v>8.0241047798937457E-3</v>
      </c>
      <c r="L66" t="s">
        <v>166</v>
      </c>
      <c r="N66" t="s">
        <v>201</v>
      </c>
      <c r="O66" t="s">
        <v>170</v>
      </c>
      <c r="P66">
        <v>3.2903992635660963E-3</v>
      </c>
      <c r="Q66" t="s">
        <v>166</v>
      </c>
      <c r="S66" t="s">
        <v>218</v>
      </c>
      <c r="T66" t="s">
        <v>170</v>
      </c>
      <c r="U66">
        <v>8.0810956878447796E-4</v>
      </c>
      <c r="V66" t="s">
        <v>166</v>
      </c>
      <c r="X66">
        <v>3.5388127853881279E-3</v>
      </c>
      <c r="Y66">
        <v>4.521459529788099E-3</v>
      </c>
      <c r="Z66" t="s">
        <v>170</v>
      </c>
      <c r="AA66" t="s">
        <v>25</v>
      </c>
      <c r="AC66" t="s">
        <v>22</v>
      </c>
      <c r="AD66" t="s">
        <v>170</v>
      </c>
      <c r="AE66">
        <v>5.0939189604363539E-3</v>
      </c>
      <c r="AG66" t="s">
        <v>96</v>
      </c>
      <c r="AH66" t="s">
        <v>170</v>
      </c>
      <c r="AI66">
        <v>6.3200058018554772E-2</v>
      </c>
      <c r="AK66">
        <v>2028</v>
      </c>
      <c r="AL66" t="s">
        <v>257</v>
      </c>
      <c r="AM66">
        <v>0.48449999999999999</v>
      </c>
      <c r="AN66" t="s">
        <v>249</v>
      </c>
    </row>
    <row r="67" spans="9:40" x14ac:dyDescent="0.45">
      <c r="I67" t="s">
        <v>164</v>
      </c>
      <c r="J67" t="s">
        <v>171</v>
      </c>
      <c r="K67">
        <v>7.9919358437761781E-2</v>
      </c>
      <c r="L67" t="s">
        <v>166</v>
      </c>
      <c r="N67" t="s">
        <v>201</v>
      </c>
      <c r="O67" t="s">
        <v>171</v>
      </c>
      <c r="P67">
        <v>2.3076912135869657E-2</v>
      </c>
      <c r="Q67" t="s">
        <v>166</v>
      </c>
      <c r="S67" t="s">
        <v>218</v>
      </c>
      <c r="T67" t="s">
        <v>171</v>
      </c>
      <c r="U67">
        <v>6.2204645490692686E-3</v>
      </c>
      <c r="V67" t="s">
        <v>166</v>
      </c>
      <c r="X67">
        <v>2.4771689497716895E-2</v>
      </c>
      <c r="Y67">
        <v>3.2246227282897846E-2</v>
      </c>
      <c r="Z67" t="s">
        <v>171</v>
      </c>
      <c r="AA67" t="s">
        <v>25</v>
      </c>
      <c r="AC67" t="s">
        <v>22</v>
      </c>
      <c r="AD67" t="s">
        <v>171</v>
      </c>
      <c r="AE67">
        <v>3.5541823707056948E-2</v>
      </c>
      <c r="AG67" t="s">
        <v>96</v>
      </c>
      <c r="AH67" t="s">
        <v>171</v>
      </c>
      <c r="AI67">
        <v>0.14177772213782203</v>
      </c>
      <c r="AK67">
        <v>2029</v>
      </c>
      <c r="AL67" t="s">
        <v>154</v>
      </c>
      <c r="AM67">
        <v>0.29725000000000001</v>
      </c>
      <c r="AN67" t="s">
        <v>249</v>
      </c>
    </row>
    <row r="68" spans="9:40" x14ac:dyDescent="0.45">
      <c r="I68" t="s">
        <v>164</v>
      </c>
      <c r="J68" t="s">
        <v>261</v>
      </c>
      <c r="K68">
        <v>7.5687154847560835E-3</v>
      </c>
      <c r="L68" t="s">
        <v>166</v>
      </c>
      <c r="N68" t="s">
        <v>201</v>
      </c>
      <c r="O68" t="s">
        <v>261</v>
      </c>
      <c r="P68">
        <v>3.7700223883192874E-3</v>
      </c>
      <c r="Q68" t="s">
        <v>166</v>
      </c>
      <c r="S68" t="s">
        <v>218</v>
      </c>
      <c r="T68" t="s">
        <v>261</v>
      </c>
      <c r="U68">
        <v>7.5190176508694489E-4</v>
      </c>
      <c r="V68" t="s">
        <v>166</v>
      </c>
      <c r="X68">
        <v>3.5388127853881279E-3</v>
      </c>
      <c r="Y68">
        <v>6.8849497385409693E-3</v>
      </c>
      <c r="Z68" t="s">
        <v>261</v>
      </c>
      <c r="AA68" t="s">
        <v>25</v>
      </c>
      <c r="AC68" t="s">
        <v>22</v>
      </c>
      <c r="AD68" t="s">
        <v>261</v>
      </c>
      <c r="AE68">
        <v>3.7014755276286973E-3</v>
      </c>
      <c r="AG68" t="s">
        <v>96</v>
      </c>
      <c r="AH68" t="s">
        <v>261</v>
      </c>
      <c r="AI68">
        <v>9.7099819314871327E-2</v>
      </c>
      <c r="AK68">
        <v>2029</v>
      </c>
      <c r="AL68" t="s">
        <v>158</v>
      </c>
      <c r="AM68">
        <v>0.3488</v>
      </c>
      <c r="AN68" t="s">
        <v>249</v>
      </c>
    </row>
    <row r="69" spans="9:40" x14ac:dyDescent="0.45">
      <c r="I69" t="s">
        <v>164</v>
      </c>
      <c r="J69" t="s">
        <v>262</v>
      </c>
      <c r="K69">
        <v>9.095379644490564E-3</v>
      </c>
      <c r="L69" t="s">
        <v>166</v>
      </c>
      <c r="N69" t="s">
        <v>201</v>
      </c>
      <c r="O69" t="s">
        <v>262</v>
      </c>
      <c r="P69">
        <v>6.528513345909483E-3</v>
      </c>
      <c r="Q69" t="s">
        <v>166</v>
      </c>
      <c r="S69" t="s">
        <v>218</v>
      </c>
      <c r="T69" t="s">
        <v>262</v>
      </c>
      <c r="U69">
        <v>9.2505061234037476E-4</v>
      </c>
      <c r="V69" t="s">
        <v>166</v>
      </c>
      <c r="X69">
        <v>7.0776255707762558E-3</v>
      </c>
      <c r="Y69">
        <v>1.2228492819199624E-2</v>
      </c>
      <c r="Z69" t="s">
        <v>262</v>
      </c>
      <c r="AA69" t="s">
        <v>25</v>
      </c>
      <c r="AC69" t="s">
        <v>22</v>
      </c>
      <c r="AD69" t="s">
        <v>262</v>
      </c>
      <c r="AE69">
        <v>6.9321867491965441E-3</v>
      </c>
      <c r="AG69" t="s">
        <v>96</v>
      </c>
      <c r="AH69" t="s">
        <v>262</v>
      </c>
      <c r="AI69">
        <v>5.7567770035908072E-2</v>
      </c>
      <c r="AK69">
        <v>2029</v>
      </c>
      <c r="AL69" t="s">
        <v>160</v>
      </c>
      <c r="AM69">
        <v>0.43059999999999998</v>
      </c>
      <c r="AN69" t="s">
        <v>249</v>
      </c>
    </row>
    <row r="70" spans="9:40" x14ac:dyDescent="0.45">
      <c r="I70" t="s">
        <v>164</v>
      </c>
      <c r="J70" t="s">
        <v>263</v>
      </c>
      <c r="K70">
        <v>0</v>
      </c>
      <c r="L70" t="s">
        <v>166</v>
      </c>
      <c r="N70" t="s">
        <v>201</v>
      </c>
      <c r="O70" t="s">
        <v>263</v>
      </c>
      <c r="P70">
        <v>2.2535541154312003E-2</v>
      </c>
      <c r="Q70" t="s">
        <v>166</v>
      </c>
      <c r="S70" t="s">
        <v>218</v>
      </c>
      <c r="T70" t="s">
        <v>263</v>
      </c>
      <c r="U70">
        <v>1.8134884308789914E-3</v>
      </c>
      <c r="V70" t="s">
        <v>166</v>
      </c>
      <c r="X70">
        <v>1.7694063926940638E-2</v>
      </c>
      <c r="Y70">
        <v>1.3358857701646654E-2</v>
      </c>
      <c r="Z70" t="s">
        <v>263</v>
      </c>
      <c r="AA70" t="s">
        <v>25</v>
      </c>
      <c r="AC70" t="s">
        <v>22</v>
      </c>
      <c r="AD70" t="s">
        <v>263</v>
      </c>
      <c r="AE70">
        <v>1.602838842572879E-2</v>
      </c>
      <c r="AG70" t="s">
        <v>96</v>
      </c>
      <c r="AH70" t="s">
        <v>263</v>
      </c>
      <c r="AI70">
        <v>8.5212374425676529E-2</v>
      </c>
      <c r="AK70">
        <v>2029</v>
      </c>
      <c r="AL70" t="s">
        <v>162</v>
      </c>
      <c r="AM70">
        <v>0.50980000000000003</v>
      </c>
      <c r="AN70" t="s">
        <v>249</v>
      </c>
    </row>
    <row r="71" spans="9:40" x14ac:dyDescent="0.45">
      <c r="I71" t="s">
        <v>164</v>
      </c>
      <c r="J71" t="s">
        <v>172</v>
      </c>
      <c r="K71">
        <v>7.1400500157747645E-3</v>
      </c>
      <c r="L71" t="s">
        <v>166</v>
      </c>
      <c r="N71" t="s">
        <v>201</v>
      </c>
      <c r="O71" t="s">
        <v>172</v>
      </c>
      <c r="P71">
        <v>3.9461098910641132E-2</v>
      </c>
      <c r="Q71" t="s">
        <v>166</v>
      </c>
      <c r="S71" t="s">
        <v>218</v>
      </c>
      <c r="T71" t="s">
        <v>172</v>
      </c>
      <c r="U71">
        <v>8.1101716491487567E-3</v>
      </c>
      <c r="V71" t="s">
        <v>166</v>
      </c>
      <c r="X71">
        <v>2.7397260273972601E-2</v>
      </c>
      <c r="Y71">
        <v>1.5185341719911493E-2</v>
      </c>
      <c r="Z71" t="s">
        <v>172</v>
      </c>
      <c r="AA71" t="s">
        <v>25</v>
      </c>
      <c r="AC71" t="s">
        <v>22</v>
      </c>
      <c r="AD71" t="s">
        <v>172</v>
      </c>
      <c r="AE71">
        <v>3.540581317845648E-2</v>
      </c>
      <c r="AG71" t="s">
        <v>96</v>
      </c>
      <c r="AH71" t="s">
        <v>172</v>
      </c>
      <c r="AI71">
        <v>0.1017724372109361</v>
      </c>
      <c r="AK71">
        <v>2029</v>
      </c>
      <c r="AL71" t="s">
        <v>252</v>
      </c>
      <c r="AM71">
        <v>0.55149999999999999</v>
      </c>
      <c r="AN71" t="s">
        <v>249</v>
      </c>
    </row>
    <row r="72" spans="9:40" x14ac:dyDescent="0.45">
      <c r="I72" t="s">
        <v>164</v>
      </c>
      <c r="J72" t="s">
        <v>173</v>
      </c>
      <c r="K72">
        <v>6.7540368828526978E-3</v>
      </c>
      <c r="L72" t="s">
        <v>166</v>
      </c>
      <c r="N72" t="s">
        <v>201</v>
      </c>
      <c r="O72" t="s">
        <v>173</v>
      </c>
      <c r="P72">
        <v>4.4135901939814735E-3</v>
      </c>
      <c r="Q72" t="s">
        <v>166</v>
      </c>
      <c r="S72" t="s">
        <v>218</v>
      </c>
      <c r="T72" t="s">
        <v>173</v>
      </c>
      <c r="U72">
        <v>9.9155791665898278E-4</v>
      </c>
      <c r="V72" t="s">
        <v>166</v>
      </c>
      <c r="X72">
        <v>3.4246575342465752E-3</v>
      </c>
      <c r="Y72">
        <v>4.3756059965691279E-3</v>
      </c>
      <c r="Z72" t="s">
        <v>173</v>
      </c>
      <c r="AA72" t="s">
        <v>25</v>
      </c>
      <c r="AC72" t="s">
        <v>22</v>
      </c>
      <c r="AD72" t="s">
        <v>173</v>
      </c>
      <c r="AE72">
        <v>4.8131068447233713E-3</v>
      </c>
      <c r="AG72" t="s">
        <v>96</v>
      </c>
      <c r="AH72" t="s">
        <v>173</v>
      </c>
      <c r="AI72">
        <v>5.1943919634771296E-2</v>
      </c>
      <c r="AK72">
        <v>2029</v>
      </c>
      <c r="AL72" t="s">
        <v>254</v>
      </c>
      <c r="AM72">
        <v>0.57464999999999999</v>
      </c>
      <c r="AN72" t="s">
        <v>249</v>
      </c>
    </row>
    <row r="73" spans="9:40" x14ac:dyDescent="0.45">
      <c r="I73" t="s">
        <v>164</v>
      </c>
      <c r="J73" t="s">
        <v>174</v>
      </c>
      <c r="K73">
        <v>6.8558988065827067E-2</v>
      </c>
      <c r="L73" t="s">
        <v>166</v>
      </c>
      <c r="N73" t="s">
        <v>201</v>
      </c>
      <c r="O73" t="s">
        <v>174</v>
      </c>
      <c r="P73">
        <v>3.146399851128024E-2</v>
      </c>
      <c r="Q73" t="s">
        <v>166</v>
      </c>
      <c r="S73" t="s">
        <v>218</v>
      </c>
      <c r="T73" t="s">
        <v>174</v>
      </c>
      <c r="U73">
        <v>8.1276261676439636E-3</v>
      </c>
      <c r="V73" t="s">
        <v>166</v>
      </c>
      <c r="X73">
        <v>2.3972602739726026E-2</v>
      </c>
      <c r="Y73">
        <v>3.1206026402804371E-2</v>
      </c>
      <c r="Z73" t="s">
        <v>174</v>
      </c>
      <c r="AA73" t="s">
        <v>25</v>
      </c>
      <c r="AC73" t="s">
        <v>22</v>
      </c>
      <c r="AD73" t="s">
        <v>174</v>
      </c>
      <c r="AE73">
        <v>3.4127602750224847E-2</v>
      </c>
      <c r="AG73" t="s">
        <v>96</v>
      </c>
      <c r="AH73" t="s">
        <v>174</v>
      </c>
      <c r="AI73">
        <v>0.15506643281091637</v>
      </c>
      <c r="AK73">
        <v>2029</v>
      </c>
      <c r="AL73" t="s">
        <v>256</v>
      </c>
      <c r="AM73">
        <v>0.55679999999999996</v>
      </c>
      <c r="AN73" t="s">
        <v>249</v>
      </c>
    </row>
    <row r="74" spans="9:40" x14ac:dyDescent="0.45">
      <c r="I74" t="s">
        <v>164</v>
      </c>
      <c r="J74" t="s">
        <v>264</v>
      </c>
      <c r="K74">
        <v>7.1517542696927028E-3</v>
      </c>
      <c r="L74" t="s">
        <v>166</v>
      </c>
      <c r="N74" t="s">
        <v>201</v>
      </c>
      <c r="O74" t="s">
        <v>264</v>
      </c>
      <c r="P74">
        <v>4.4902640969798138E-3</v>
      </c>
      <c r="Q74" t="s">
        <v>166</v>
      </c>
      <c r="S74" t="s">
        <v>218</v>
      </c>
      <c r="T74" t="s">
        <v>264</v>
      </c>
      <c r="U74">
        <v>1.1279198925583656E-3</v>
      </c>
      <c r="V74" t="s">
        <v>166</v>
      </c>
      <c r="X74">
        <v>3.4246575342465752E-3</v>
      </c>
      <c r="Y74">
        <v>6.662854585684809E-3</v>
      </c>
      <c r="Z74" t="s">
        <v>264</v>
      </c>
      <c r="AA74" t="s">
        <v>25</v>
      </c>
      <c r="AC74" t="s">
        <v>22</v>
      </c>
      <c r="AD74" t="s">
        <v>264</v>
      </c>
      <c r="AE74">
        <v>3.4696261537600385E-3</v>
      </c>
      <c r="AG74" t="s">
        <v>96</v>
      </c>
      <c r="AH74" t="s">
        <v>264</v>
      </c>
      <c r="AI74">
        <v>9.4501043582484456E-2</v>
      </c>
      <c r="AK74">
        <v>2029</v>
      </c>
      <c r="AL74" t="s">
        <v>257</v>
      </c>
      <c r="AM74">
        <v>0.50509999999999999</v>
      </c>
      <c r="AN74" t="s">
        <v>249</v>
      </c>
    </row>
    <row r="75" spans="9:40" x14ac:dyDescent="0.45">
      <c r="I75" t="s">
        <v>164</v>
      </c>
      <c r="J75" t="s">
        <v>265</v>
      </c>
      <c r="K75">
        <v>8.9129047762866679E-3</v>
      </c>
      <c r="L75" t="s">
        <v>166</v>
      </c>
      <c r="N75" t="s">
        <v>201</v>
      </c>
      <c r="O75" t="s">
        <v>265</v>
      </c>
      <c r="P75">
        <v>7.9054051767868203E-3</v>
      </c>
      <c r="Q75" t="s">
        <v>166</v>
      </c>
      <c r="S75" t="s">
        <v>218</v>
      </c>
      <c r="T75" t="s">
        <v>265</v>
      </c>
      <c r="U75">
        <v>1.5500776632908437E-3</v>
      </c>
      <c r="V75" t="s">
        <v>166</v>
      </c>
      <c r="X75">
        <v>6.8493150684931503E-3</v>
      </c>
      <c r="Y75">
        <v>1.1834025308902863E-2</v>
      </c>
      <c r="Z75" t="s">
        <v>265</v>
      </c>
      <c r="AA75" t="s">
        <v>25</v>
      </c>
      <c r="AC75" t="s">
        <v>22</v>
      </c>
      <c r="AD75" t="s">
        <v>265</v>
      </c>
      <c r="AE75">
        <v>3.6627957838577274E-3</v>
      </c>
      <c r="AG75" t="s">
        <v>96</v>
      </c>
      <c r="AH75" t="s">
        <v>265</v>
      </c>
      <c r="AI75">
        <v>5.3418124287863078E-2</v>
      </c>
      <c r="AK75">
        <v>2030</v>
      </c>
      <c r="AL75" t="s">
        <v>154</v>
      </c>
      <c r="AM75">
        <v>0.28499999999999998</v>
      </c>
      <c r="AN75" t="s">
        <v>249</v>
      </c>
    </row>
    <row r="76" spans="9:40" x14ac:dyDescent="0.45">
      <c r="I76" t="s">
        <v>164</v>
      </c>
      <c r="J76" t="s">
        <v>266</v>
      </c>
      <c r="K76">
        <v>0</v>
      </c>
      <c r="L76" t="s">
        <v>166</v>
      </c>
      <c r="N76" t="s">
        <v>201</v>
      </c>
      <c r="O76" t="s">
        <v>266</v>
      </c>
      <c r="P76">
        <v>2.3116299353970977E-2</v>
      </c>
      <c r="Q76" t="s">
        <v>166</v>
      </c>
      <c r="S76" t="s">
        <v>218</v>
      </c>
      <c r="T76" t="s">
        <v>266</v>
      </c>
      <c r="U76">
        <v>2.860498806711255E-3</v>
      </c>
      <c r="V76" t="s">
        <v>166</v>
      </c>
      <c r="X76">
        <v>1.7123287671232876E-2</v>
      </c>
      <c r="Y76">
        <v>1.2927926808045149E-2</v>
      </c>
      <c r="Z76" t="s">
        <v>266</v>
      </c>
      <c r="AA76" t="s">
        <v>25</v>
      </c>
      <c r="AC76" t="s">
        <v>22</v>
      </c>
      <c r="AD76" t="s">
        <v>266</v>
      </c>
      <c r="AE76">
        <v>1.0349905906138702E-2</v>
      </c>
      <c r="AG76" t="s">
        <v>96</v>
      </c>
      <c r="AH76" t="s">
        <v>266</v>
      </c>
      <c r="AI76">
        <v>0.13482317444482872</v>
      </c>
      <c r="AK76">
        <v>2030</v>
      </c>
      <c r="AL76" t="s">
        <v>158</v>
      </c>
      <c r="AM76">
        <v>0.37530000000000002</v>
      </c>
      <c r="AN76" t="s">
        <v>249</v>
      </c>
    </row>
    <row r="77" spans="9:40" x14ac:dyDescent="0.45">
      <c r="I77" t="s">
        <v>164</v>
      </c>
      <c r="J77" t="s">
        <v>175</v>
      </c>
      <c r="K77">
        <v>3.133199911783209E-3</v>
      </c>
      <c r="L77" t="s">
        <v>166</v>
      </c>
      <c r="N77" t="s">
        <v>201</v>
      </c>
      <c r="O77" t="s">
        <v>175</v>
      </c>
      <c r="P77">
        <v>3.0367605653274683E-2</v>
      </c>
      <c r="Q77" t="s">
        <v>166</v>
      </c>
      <c r="S77" t="s">
        <v>218</v>
      </c>
      <c r="T77" t="s">
        <v>175</v>
      </c>
      <c r="U77">
        <v>1.6679430157972897E-2</v>
      </c>
      <c r="V77" t="s">
        <v>166</v>
      </c>
      <c r="X77">
        <v>2.8310502283105023E-2</v>
      </c>
      <c r="Y77">
        <v>1.5691519777241876E-2</v>
      </c>
      <c r="Z77" t="s">
        <v>175</v>
      </c>
      <c r="AA77" t="s">
        <v>25</v>
      </c>
      <c r="AC77" t="s">
        <v>22</v>
      </c>
      <c r="AD77" t="s">
        <v>175</v>
      </c>
      <c r="AE77">
        <v>3.3705431327878246E-2</v>
      </c>
      <c r="AG77" t="s">
        <v>96</v>
      </c>
      <c r="AH77" t="s">
        <v>175</v>
      </c>
      <c r="AI77">
        <v>9.9974320835269026E-2</v>
      </c>
      <c r="AK77">
        <v>2030</v>
      </c>
      <c r="AL77" t="s">
        <v>160</v>
      </c>
      <c r="AM77">
        <v>0.45569999999999999</v>
      </c>
      <c r="AN77" t="s">
        <v>249</v>
      </c>
    </row>
    <row r="78" spans="9:40" x14ac:dyDescent="0.45">
      <c r="I78" t="s">
        <v>164</v>
      </c>
      <c r="J78" t="s">
        <v>176</v>
      </c>
      <c r="K78">
        <v>5.1607721107188118E-3</v>
      </c>
      <c r="L78" t="s">
        <v>166</v>
      </c>
      <c r="N78" t="s">
        <v>201</v>
      </c>
      <c r="O78" t="s">
        <v>176</v>
      </c>
      <c r="P78">
        <v>2.6711794606970691E-3</v>
      </c>
      <c r="Q78" t="s">
        <v>166</v>
      </c>
      <c r="S78" t="s">
        <v>218</v>
      </c>
      <c r="T78" t="s">
        <v>176</v>
      </c>
      <c r="U78">
        <v>2.2052086258842985E-3</v>
      </c>
      <c r="V78" t="s">
        <v>166</v>
      </c>
      <c r="X78">
        <v>3.5388127853881279E-3</v>
      </c>
      <c r="Y78">
        <v>4.521459529788099E-3</v>
      </c>
      <c r="Z78" t="s">
        <v>176</v>
      </c>
      <c r="AA78" t="s">
        <v>25</v>
      </c>
      <c r="AC78" t="s">
        <v>22</v>
      </c>
      <c r="AD78" t="s">
        <v>176</v>
      </c>
      <c r="AE78">
        <v>4.5563083363547143E-3</v>
      </c>
      <c r="AG78" t="s">
        <v>96</v>
      </c>
      <c r="AH78" t="s">
        <v>176</v>
      </c>
      <c r="AI78">
        <v>5.1293401609640021E-2</v>
      </c>
      <c r="AK78">
        <v>2030</v>
      </c>
      <c r="AL78" t="s">
        <v>162</v>
      </c>
      <c r="AM78">
        <v>0.54259999999999997</v>
      </c>
      <c r="AN78" t="s">
        <v>249</v>
      </c>
    </row>
    <row r="79" spans="9:40" x14ac:dyDescent="0.45">
      <c r="I79" t="s">
        <v>164</v>
      </c>
      <c r="J79" t="s">
        <v>177</v>
      </c>
      <c r="K79">
        <v>6.2928074985996743E-2</v>
      </c>
      <c r="L79" t="s">
        <v>166</v>
      </c>
      <c r="N79" t="s">
        <v>201</v>
      </c>
      <c r="O79" t="s">
        <v>177</v>
      </c>
      <c r="P79">
        <v>2.0283574526202407E-2</v>
      </c>
      <c r="Q79" t="s">
        <v>166</v>
      </c>
      <c r="S79" t="s">
        <v>218</v>
      </c>
      <c r="T79" t="s">
        <v>177</v>
      </c>
      <c r="U79">
        <v>1.6109346053328515E-2</v>
      </c>
      <c r="V79" t="s">
        <v>166</v>
      </c>
      <c r="X79">
        <v>2.4771689497716895E-2</v>
      </c>
      <c r="Y79">
        <v>3.2246227282897846E-2</v>
      </c>
      <c r="Z79" t="s">
        <v>177</v>
      </c>
      <c r="AA79" t="s">
        <v>25</v>
      </c>
      <c r="AC79" t="s">
        <v>22</v>
      </c>
      <c r="AD79" t="s">
        <v>177</v>
      </c>
      <c r="AE79">
        <v>3.3643587460226658E-2</v>
      </c>
      <c r="AG79" t="s">
        <v>96</v>
      </c>
      <c r="AH79" t="s">
        <v>177</v>
      </c>
      <c r="AI79">
        <v>0.15472575577333614</v>
      </c>
      <c r="AK79">
        <v>2030</v>
      </c>
      <c r="AL79" t="s">
        <v>252</v>
      </c>
      <c r="AM79">
        <v>0.5847</v>
      </c>
      <c r="AN79" t="s">
        <v>249</v>
      </c>
    </row>
    <row r="80" spans="9:40" x14ac:dyDescent="0.45">
      <c r="I80" t="s">
        <v>164</v>
      </c>
      <c r="J80" t="s">
        <v>267</v>
      </c>
      <c r="K80">
        <v>6.3997480273061949E-3</v>
      </c>
      <c r="L80" t="s">
        <v>166</v>
      </c>
      <c r="N80" t="s">
        <v>201</v>
      </c>
      <c r="O80" t="s">
        <v>267</v>
      </c>
      <c r="P80">
        <v>3.2173508625479835E-3</v>
      </c>
      <c r="Q80" t="s">
        <v>166</v>
      </c>
      <c r="S80" t="s">
        <v>218</v>
      </c>
      <c r="T80" t="s">
        <v>267</v>
      </c>
      <c r="U80">
        <v>2.3172457954240056E-3</v>
      </c>
      <c r="V80" t="s">
        <v>166</v>
      </c>
      <c r="X80">
        <v>3.5388127853881279E-3</v>
      </c>
      <c r="Y80">
        <v>6.8849497385409693E-3</v>
      </c>
      <c r="Z80" t="s">
        <v>267</v>
      </c>
      <c r="AA80" t="s">
        <v>25</v>
      </c>
      <c r="AC80" t="s">
        <v>22</v>
      </c>
      <c r="AD80" t="s">
        <v>267</v>
      </c>
      <c r="AE80">
        <v>2.9632854470819903E-3</v>
      </c>
      <c r="AG80" t="s">
        <v>96</v>
      </c>
      <c r="AH80" t="s">
        <v>267</v>
      </c>
      <c r="AI80">
        <v>0.10008139171136943</v>
      </c>
      <c r="AK80">
        <v>2030</v>
      </c>
      <c r="AL80" t="s">
        <v>254</v>
      </c>
      <c r="AM80">
        <v>0.57784999999999997</v>
      </c>
      <c r="AN80" t="s">
        <v>249</v>
      </c>
    </row>
    <row r="81" spans="9:40" x14ac:dyDescent="0.45">
      <c r="I81" t="s">
        <v>164</v>
      </c>
      <c r="J81" t="s">
        <v>268</v>
      </c>
      <c r="K81">
        <v>7.5076396310035601E-3</v>
      </c>
      <c r="L81" t="s">
        <v>166</v>
      </c>
      <c r="N81" t="s">
        <v>201</v>
      </c>
      <c r="O81" t="s">
        <v>268</v>
      </c>
      <c r="P81">
        <v>5.7525392507535977E-3</v>
      </c>
      <c r="Q81" t="s">
        <v>166</v>
      </c>
      <c r="S81" t="s">
        <v>218</v>
      </c>
      <c r="T81" t="s">
        <v>268</v>
      </c>
      <c r="U81">
        <v>3.3972429991672285E-3</v>
      </c>
      <c r="V81" t="s">
        <v>166</v>
      </c>
      <c r="X81">
        <v>7.0776255707762558E-3</v>
      </c>
      <c r="Y81">
        <v>1.2228492819199624E-2</v>
      </c>
      <c r="Z81" t="s">
        <v>268</v>
      </c>
      <c r="AA81" t="s">
        <v>25</v>
      </c>
      <c r="AC81" t="s">
        <v>22</v>
      </c>
      <c r="AD81" t="s">
        <v>268</v>
      </c>
      <c r="AE81">
        <v>3.1201973673820938E-3</v>
      </c>
      <c r="AG81" t="s">
        <v>96</v>
      </c>
      <c r="AH81" t="s">
        <v>268</v>
      </c>
      <c r="AI81">
        <v>4.2612785374078088E-2</v>
      </c>
      <c r="AK81">
        <v>2030</v>
      </c>
      <c r="AL81" t="s">
        <v>256</v>
      </c>
      <c r="AM81">
        <v>0.48959999999999998</v>
      </c>
      <c r="AN81" t="s">
        <v>249</v>
      </c>
    </row>
    <row r="82" spans="9:40" x14ac:dyDescent="0.45">
      <c r="I82" t="s">
        <v>164</v>
      </c>
      <c r="J82" t="s">
        <v>269</v>
      </c>
      <c r="K82">
        <v>0</v>
      </c>
      <c r="L82" t="s">
        <v>166</v>
      </c>
      <c r="N82" t="s">
        <v>201</v>
      </c>
      <c r="O82" t="s">
        <v>269</v>
      </c>
      <c r="P82">
        <v>1.9254698423547257E-2</v>
      </c>
      <c r="Q82" t="s">
        <v>166</v>
      </c>
      <c r="S82" t="s">
        <v>218</v>
      </c>
      <c r="T82" t="s">
        <v>269</v>
      </c>
      <c r="U82">
        <v>6.6265280144245046E-3</v>
      </c>
      <c r="V82" t="s">
        <v>166</v>
      </c>
      <c r="X82">
        <v>1.7694063926940638E-2</v>
      </c>
      <c r="Y82">
        <v>1.3358857701646654E-2</v>
      </c>
      <c r="Z82" t="s">
        <v>269</v>
      </c>
      <c r="AA82" t="s">
        <v>25</v>
      </c>
      <c r="AC82" t="s">
        <v>22</v>
      </c>
      <c r="AD82" t="s">
        <v>269</v>
      </c>
      <c r="AE82">
        <v>9.2309630554429228E-3</v>
      </c>
      <c r="AG82" t="s">
        <v>96</v>
      </c>
      <c r="AH82" t="s">
        <v>269</v>
      </c>
      <c r="AI82">
        <v>0.1185740390229284</v>
      </c>
      <c r="AK82">
        <v>2030</v>
      </c>
      <c r="AL82" t="s">
        <v>257</v>
      </c>
      <c r="AM82">
        <v>0.54949999999999999</v>
      </c>
      <c r="AN82" t="s">
        <v>249</v>
      </c>
    </row>
    <row r="83" spans="9:40" x14ac:dyDescent="0.45">
      <c r="I83" t="s">
        <v>164</v>
      </c>
      <c r="J83" t="s">
        <v>270</v>
      </c>
      <c r="K83">
        <v>2.7501919989436864E-3</v>
      </c>
      <c r="L83" t="s">
        <v>166</v>
      </c>
      <c r="N83" t="s">
        <v>201</v>
      </c>
      <c r="O83" t="s">
        <v>270</v>
      </c>
      <c r="P83">
        <v>2.2249386853205218E-2</v>
      </c>
      <c r="Q83" t="s">
        <v>166</v>
      </c>
      <c r="S83" t="s">
        <v>218</v>
      </c>
      <c r="T83" t="s">
        <v>270</v>
      </c>
      <c r="U83">
        <v>1.9808480227360686E-2</v>
      </c>
      <c r="V83" t="s">
        <v>166</v>
      </c>
      <c r="X83">
        <v>2.8310502283105023E-2</v>
      </c>
      <c r="Y83">
        <v>1.5691519777241876E-2</v>
      </c>
      <c r="Z83" t="s">
        <v>270</v>
      </c>
      <c r="AA83" t="s">
        <v>25</v>
      </c>
      <c r="AC83" t="s">
        <v>22</v>
      </c>
      <c r="AD83" t="s">
        <v>270</v>
      </c>
      <c r="AE83">
        <v>3.352959303938189E-2</v>
      </c>
      <c r="AG83" t="s">
        <v>96</v>
      </c>
      <c r="AH83" t="s">
        <v>270</v>
      </c>
      <c r="AI83">
        <v>0.1014646172274527</v>
      </c>
      <c r="AK83">
        <v>2031</v>
      </c>
      <c r="AL83" t="s">
        <v>154</v>
      </c>
      <c r="AM83">
        <v>0.30507500000000004</v>
      </c>
      <c r="AN83" t="s">
        <v>249</v>
      </c>
    </row>
    <row r="84" spans="9:40" x14ac:dyDescent="0.45">
      <c r="I84" t="s">
        <v>164</v>
      </c>
      <c r="J84" t="s">
        <v>271</v>
      </c>
      <c r="K84">
        <v>5.2140522044480447E-3</v>
      </c>
      <c r="L84" t="s">
        <v>166</v>
      </c>
      <c r="N84" t="s">
        <v>201</v>
      </c>
      <c r="O84" t="s">
        <v>271</v>
      </c>
      <c r="P84">
        <v>2.1881335970732546E-3</v>
      </c>
      <c r="Q84" t="s">
        <v>166</v>
      </c>
      <c r="S84" t="s">
        <v>218</v>
      </c>
      <c r="T84" t="s">
        <v>271</v>
      </c>
      <c r="U84">
        <v>3.1846225265658411E-3</v>
      </c>
      <c r="V84" t="s">
        <v>166</v>
      </c>
      <c r="X84">
        <v>3.5388127853881279E-3</v>
      </c>
      <c r="Y84">
        <v>4.521459529788099E-3</v>
      </c>
      <c r="Z84" t="s">
        <v>271</v>
      </c>
      <c r="AA84" t="s">
        <v>25</v>
      </c>
      <c r="AC84" t="s">
        <v>22</v>
      </c>
      <c r="AD84" t="s">
        <v>271</v>
      </c>
      <c r="AE84">
        <v>4.6089865628115272E-3</v>
      </c>
      <c r="AG84" t="s">
        <v>96</v>
      </c>
      <c r="AH84" t="s">
        <v>271</v>
      </c>
      <c r="AI84">
        <v>5.1983301722024589E-2</v>
      </c>
      <c r="AK84">
        <v>2031</v>
      </c>
      <c r="AL84" t="s">
        <v>158</v>
      </c>
      <c r="AM84">
        <v>0.37730000000000002</v>
      </c>
      <c r="AN84" t="s">
        <v>249</v>
      </c>
    </row>
    <row r="85" spans="9:40" x14ac:dyDescent="0.45">
      <c r="I85" t="s">
        <v>164</v>
      </c>
      <c r="J85" t="s">
        <v>272</v>
      </c>
      <c r="K85">
        <v>6.5602732057527369E-2</v>
      </c>
      <c r="L85" t="s">
        <v>166</v>
      </c>
      <c r="N85" t="s">
        <v>201</v>
      </c>
      <c r="O85" t="s">
        <v>272</v>
      </c>
      <c r="P85">
        <v>1.4709262946113308E-2</v>
      </c>
      <c r="Q85" t="s">
        <v>166</v>
      </c>
      <c r="S85" t="s">
        <v>218</v>
      </c>
      <c r="T85" t="s">
        <v>272</v>
      </c>
      <c r="U85">
        <v>2.4146191797491251E-2</v>
      </c>
      <c r="V85" t="s">
        <v>166</v>
      </c>
      <c r="X85">
        <v>2.4771689497716895E-2</v>
      </c>
      <c r="Y85">
        <v>3.2246227282897846E-2</v>
      </c>
      <c r="Z85" t="s">
        <v>272</v>
      </c>
      <c r="AA85" t="s">
        <v>25</v>
      </c>
      <c r="AC85" t="s">
        <v>22</v>
      </c>
      <c r="AD85" t="s">
        <v>272</v>
      </c>
      <c r="AE85">
        <v>3.3411735580927707E-2</v>
      </c>
      <c r="AG85" t="s">
        <v>96</v>
      </c>
      <c r="AH85" t="s">
        <v>272</v>
      </c>
      <c r="AI85">
        <v>0.18142829444329234</v>
      </c>
      <c r="AK85">
        <v>2031</v>
      </c>
      <c r="AL85" t="s">
        <v>160</v>
      </c>
      <c r="AM85">
        <v>0.4259</v>
      </c>
      <c r="AN85" t="s">
        <v>249</v>
      </c>
    </row>
    <row r="86" spans="9:40" x14ac:dyDescent="0.45">
      <c r="I86" t="s">
        <v>164</v>
      </c>
      <c r="J86" t="s">
        <v>273</v>
      </c>
      <c r="K86">
        <v>6.7769036037574563E-3</v>
      </c>
      <c r="L86" t="s">
        <v>166</v>
      </c>
      <c r="N86" t="s">
        <v>201</v>
      </c>
      <c r="O86" t="s">
        <v>273</v>
      </c>
      <c r="P86">
        <v>1.9635311088477482E-3</v>
      </c>
      <c r="Q86" t="s">
        <v>166</v>
      </c>
      <c r="S86" t="s">
        <v>218</v>
      </c>
      <c r="T86" t="s">
        <v>273</v>
      </c>
      <c r="U86">
        <v>2.6216987180682394E-3</v>
      </c>
      <c r="V86" t="s">
        <v>166</v>
      </c>
      <c r="X86">
        <v>3.5388127853881279E-3</v>
      </c>
      <c r="Y86">
        <v>6.8849497385409693E-3</v>
      </c>
      <c r="Z86" t="s">
        <v>273</v>
      </c>
      <c r="AA86" t="s">
        <v>25</v>
      </c>
      <c r="AC86" t="s">
        <v>22</v>
      </c>
      <c r="AD86" t="s">
        <v>273</v>
      </c>
      <c r="AE86">
        <v>2.7103812529440385E-3</v>
      </c>
      <c r="AG86" t="s">
        <v>96</v>
      </c>
      <c r="AH86" t="s">
        <v>273</v>
      </c>
      <c r="AI86">
        <v>0.10547674044882061</v>
      </c>
      <c r="AK86">
        <v>2031</v>
      </c>
      <c r="AL86" t="s">
        <v>162</v>
      </c>
      <c r="AM86">
        <v>0.51400000000000001</v>
      </c>
      <c r="AN86" t="s">
        <v>249</v>
      </c>
    </row>
    <row r="87" spans="9:40" x14ac:dyDescent="0.45">
      <c r="I87" t="s">
        <v>164</v>
      </c>
      <c r="J87" t="s">
        <v>274</v>
      </c>
      <c r="K87">
        <v>6.9170905581946163E-3</v>
      </c>
      <c r="L87" t="s">
        <v>166</v>
      </c>
      <c r="N87" t="s">
        <v>201</v>
      </c>
      <c r="O87" t="s">
        <v>274</v>
      </c>
      <c r="P87">
        <v>3.99475265856179E-3</v>
      </c>
      <c r="Q87" t="s">
        <v>166</v>
      </c>
      <c r="S87" t="s">
        <v>218</v>
      </c>
      <c r="T87" t="s">
        <v>274</v>
      </c>
      <c r="U87">
        <v>3.7942978590903942E-3</v>
      </c>
      <c r="V87" t="s">
        <v>166</v>
      </c>
      <c r="X87">
        <v>7.0776255707762558E-3</v>
      </c>
      <c r="Y87">
        <v>1.2228492819199624E-2</v>
      </c>
      <c r="Z87" t="s">
        <v>274</v>
      </c>
      <c r="AA87" t="s">
        <v>25</v>
      </c>
      <c r="AC87" t="s">
        <v>22</v>
      </c>
      <c r="AD87" t="s">
        <v>274</v>
      </c>
      <c r="AE87">
        <v>2.866666582930871E-3</v>
      </c>
      <c r="AG87" t="s">
        <v>96</v>
      </c>
      <c r="AH87" t="s">
        <v>274</v>
      </c>
      <c r="AI87">
        <v>5.1678022541457702E-2</v>
      </c>
      <c r="AK87">
        <v>2031</v>
      </c>
      <c r="AL87" t="s">
        <v>252</v>
      </c>
      <c r="AM87">
        <v>0.55259999999999998</v>
      </c>
      <c r="AN87" t="s">
        <v>249</v>
      </c>
    </row>
    <row r="88" spans="9:40" x14ac:dyDescent="0.45">
      <c r="I88" t="s">
        <v>164</v>
      </c>
      <c r="J88" t="s">
        <v>275</v>
      </c>
      <c r="K88">
        <v>0</v>
      </c>
      <c r="L88" t="s">
        <v>166</v>
      </c>
      <c r="N88" t="s">
        <v>201</v>
      </c>
      <c r="O88" t="s">
        <v>275</v>
      </c>
      <c r="P88">
        <v>1.2594070901774761E-2</v>
      </c>
      <c r="Q88" t="s">
        <v>166</v>
      </c>
      <c r="S88" t="s">
        <v>218</v>
      </c>
      <c r="T88" t="s">
        <v>275</v>
      </c>
      <c r="U88">
        <v>7.3635149123637651E-3</v>
      </c>
      <c r="V88" t="s">
        <v>166</v>
      </c>
      <c r="X88">
        <v>1.7694063926940638E-2</v>
      </c>
      <c r="Y88">
        <v>1.3358857701646654E-2</v>
      </c>
      <c r="Z88" t="s">
        <v>275</v>
      </c>
      <c r="AA88" t="s">
        <v>25</v>
      </c>
      <c r="AC88" t="s">
        <v>22</v>
      </c>
      <c r="AD88" t="s">
        <v>275</v>
      </c>
      <c r="AE88">
        <v>9.0504253283384441E-3</v>
      </c>
      <c r="AG88" t="s">
        <v>96</v>
      </c>
      <c r="AH88" t="s">
        <v>275</v>
      </c>
      <c r="AI88">
        <v>0.1247121941012177</v>
      </c>
      <c r="AK88">
        <v>2031</v>
      </c>
      <c r="AL88" t="s">
        <v>254</v>
      </c>
      <c r="AM88">
        <v>0.55420000000000003</v>
      </c>
      <c r="AN88" t="s">
        <v>249</v>
      </c>
    </row>
    <row r="89" spans="9:40" x14ac:dyDescent="0.45">
      <c r="I89" t="s">
        <v>164</v>
      </c>
      <c r="J89" t="s">
        <v>276</v>
      </c>
      <c r="K89">
        <v>5.1195147031987834E-3</v>
      </c>
      <c r="L89" t="s">
        <v>166</v>
      </c>
      <c r="N89" t="s">
        <v>201</v>
      </c>
      <c r="O89" t="s">
        <v>276</v>
      </c>
      <c r="P89">
        <v>5.8151003503039964E-2</v>
      </c>
      <c r="Q89" t="s">
        <v>166</v>
      </c>
      <c r="S89" t="s">
        <v>218</v>
      </c>
      <c r="T89" t="s">
        <v>276</v>
      </c>
      <c r="U89">
        <v>4.3632317871027775E-2</v>
      </c>
      <c r="V89" t="s">
        <v>166</v>
      </c>
      <c r="X89">
        <v>5.5707762557077628E-2</v>
      </c>
      <c r="Y89">
        <v>3.0876861497153366E-2</v>
      </c>
      <c r="Z89" t="s">
        <v>276</v>
      </c>
      <c r="AA89" t="s">
        <v>25</v>
      </c>
      <c r="AC89" t="s">
        <v>22</v>
      </c>
      <c r="AD89" t="s">
        <v>276</v>
      </c>
      <c r="AE89">
        <v>6.2821242715871334E-2</v>
      </c>
      <c r="AG89" t="s">
        <v>96</v>
      </c>
      <c r="AH89" t="s">
        <v>276</v>
      </c>
      <c r="AI89">
        <v>0.10086698775543557</v>
      </c>
      <c r="AK89">
        <v>2031</v>
      </c>
      <c r="AL89" t="s">
        <v>256</v>
      </c>
      <c r="AM89">
        <v>0.51639999999999997</v>
      </c>
      <c r="AN89" t="s">
        <v>249</v>
      </c>
    </row>
    <row r="90" spans="9:40" x14ac:dyDescent="0.45">
      <c r="I90" t="s">
        <v>164</v>
      </c>
      <c r="J90" t="s">
        <v>277</v>
      </c>
      <c r="K90">
        <v>9.7144655309426321E-3</v>
      </c>
      <c r="L90" t="s">
        <v>166</v>
      </c>
      <c r="N90" t="s">
        <v>201</v>
      </c>
      <c r="O90" t="s">
        <v>277</v>
      </c>
      <c r="P90">
        <v>7.7121537717761701E-3</v>
      </c>
      <c r="Q90" t="s">
        <v>166</v>
      </c>
      <c r="S90" t="s">
        <v>218</v>
      </c>
      <c r="T90" t="s">
        <v>277</v>
      </c>
      <c r="U90">
        <v>5.279943473696415E-3</v>
      </c>
      <c r="V90" t="s">
        <v>166</v>
      </c>
      <c r="X90">
        <v>6.9634703196347035E-3</v>
      </c>
      <c r="Y90">
        <v>8.8970655263572278E-3</v>
      </c>
      <c r="Z90" t="s">
        <v>277</v>
      </c>
      <c r="AA90" t="s">
        <v>25</v>
      </c>
      <c r="AC90" t="s">
        <v>22</v>
      </c>
      <c r="AD90" t="s">
        <v>277</v>
      </c>
      <c r="AE90">
        <v>8.4159671084456864E-3</v>
      </c>
      <c r="AG90" t="s">
        <v>96</v>
      </c>
      <c r="AH90" t="s">
        <v>277</v>
      </c>
      <c r="AI90">
        <v>5.8846435047355872E-2</v>
      </c>
      <c r="AK90">
        <v>2031</v>
      </c>
      <c r="AL90" t="s">
        <v>257</v>
      </c>
      <c r="AM90">
        <v>0.53090000000000004</v>
      </c>
      <c r="AN90" t="s">
        <v>249</v>
      </c>
    </row>
    <row r="91" spans="9:40" x14ac:dyDescent="0.45">
      <c r="I91" t="s">
        <v>164</v>
      </c>
      <c r="J91" t="s">
        <v>278</v>
      </c>
      <c r="K91">
        <v>0.11294290442997856</v>
      </c>
      <c r="L91" t="s">
        <v>166</v>
      </c>
      <c r="N91" t="s">
        <v>201</v>
      </c>
      <c r="O91" t="s">
        <v>278</v>
      </c>
      <c r="P91">
        <v>4.8363874536065679E-2</v>
      </c>
      <c r="Q91" t="s">
        <v>166</v>
      </c>
      <c r="S91" t="s">
        <v>218</v>
      </c>
      <c r="T91" t="s">
        <v>278</v>
      </c>
      <c r="U91">
        <v>3.7978297608324281E-2</v>
      </c>
      <c r="V91" t="s">
        <v>166</v>
      </c>
      <c r="X91">
        <v>4.8744292237442921E-2</v>
      </c>
      <c r="Y91">
        <v>6.3452253685702203E-2</v>
      </c>
      <c r="Z91" t="s">
        <v>278</v>
      </c>
      <c r="AA91" t="s">
        <v>25</v>
      </c>
      <c r="AC91" t="s">
        <v>22</v>
      </c>
      <c r="AD91" t="s">
        <v>278</v>
      </c>
      <c r="AE91">
        <v>6.1943666793403962E-2</v>
      </c>
      <c r="AG91" t="s">
        <v>96</v>
      </c>
      <c r="AH91" t="s">
        <v>278</v>
      </c>
      <c r="AI91">
        <v>0.21215065239356301</v>
      </c>
      <c r="AK91">
        <v>2032</v>
      </c>
      <c r="AL91" t="s">
        <v>154</v>
      </c>
      <c r="AM91">
        <v>0.24100000000000002</v>
      </c>
      <c r="AN91" t="s">
        <v>249</v>
      </c>
    </row>
    <row r="92" spans="9:40" x14ac:dyDescent="0.45">
      <c r="I92" t="s">
        <v>164</v>
      </c>
      <c r="J92" t="s">
        <v>279</v>
      </c>
      <c r="K92">
        <v>1.0745650786737879E-2</v>
      </c>
      <c r="L92" t="s">
        <v>166</v>
      </c>
      <c r="N92" t="s">
        <v>201</v>
      </c>
      <c r="O92" t="s">
        <v>279</v>
      </c>
      <c r="P92">
        <v>6.2042388451163007E-3</v>
      </c>
      <c r="Q92" t="s">
        <v>166</v>
      </c>
      <c r="S92" t="s">
        <v>218</v>
      </c>
      <c r="T92" t="s">
        <v>279</v>
      </c>
      <c r="U92">
        <v>5.1583892347914226E-3</v>
      </c>
      <c r="V92" t="s">
        <v>166</v>
      </c>
      <c r="X92">
        <v>6.9634703196347035E-3</v>
      </c>
      <c r="Y92">
        <v>1.354780432422577E-2</v>
      </c>
      <c r="Z92" t="s">
        <v>279</v>
      </c>
      <c r="AA92" t="s">
        <v>25</v>
      </c>
      <c r="AC92" t="s">
        <v>22</v>
      </c>
      <c r="AD92" t="s">
        <v>279</v>
      </c>
      <c r="AE92">
        <v>4.5154415443413778E-3</v>
      </c>
      <c r="AG92" t="s">
        <v>96</v>
      </c>
      <c r="AH92" t="s">
        <v>279</v>
      </c>
      <c r="AI92">
        <v>0.17657307316043491</v>
      </c>
      <c r="AK92">
        <v>2032</v>
      </c>
      <c r="AL92" t="s">
        <v>158</v>
      </c>
      <c r="AM92">
        <v>0.28100000000000003</v>
      </c>
      <c r="AN92" t="s">
        <v>249</v>
      </c>
    </row>
    <row r="93" spans="9:40" x14ac:dyDescent="0.45">
      <c r="I93" t="s">
        <v>164</v>
      </c>
      <c r="J93" t="s">
        <v>280</v>
      </c>
      <c r="K93">
        <v>8.3445603493297691E-3</v>
      </c>
      <c r="L93" t="s">
        <v>166</v>
      </c>
      <c r="N93" t="s">
        <v>201</v>
      </c>
      <c r="O93" t="s">
        <v>280</v>
      </c>
      <c r="P93">
        <v>1.1320448741642364E-2</v>
      </c>
      <c r="Q93" t="s">
        <v>166</v>
      </c>
      <c r="S93" t="s">
        <v>218</v>
      </c>
      <c r="T93" t="s">
        <v>280</v>
      </c>
      <c r="U93">
        <v>9.6474265446572956E-3</v>
      </c>
      <c r="V93" t="s">
        <v>166</v>
      </c>
      <c r="X93">
        <v>1.3926940639269407E-2</v>
      </c>
      <c r="Y93">
        <v>2.4062518128102495E-2</v>
      </c>
      <c r="Z93" t="s">
        <v>280</v>
      </c>
      <c r="AA93" t="s">
        <v>25</v>
      </c>
      <c r="AC93" t="s">
        <v>22</v>
      </c>
      <c r="AD93" t="s">
        <v>280</v>
      </c>
      <c r="AE93">
        <v>5.0413805793784799E-3</v>
      </c>
      <c r="AG93" t="s">
        <v>96</v>
      </c>
      <c r="AH93" t="s">
        <v>280</v>
      </c>
      <c r="AI93">
        <v>8.4130550869511822E-2</v>
      </c>
      <c r="AK93">
        <v>2032</v>
      </c>
      <c r="AL93" t="s">
        <v>160</v>
      </c>
      <c r="AM93">
        <v>0.40139999999999998</v>
      </c>
      <c r="AN93" t="s">
        <v>249</v>
      </c>
    </row>
    <row r="94" spans="9:40" x14ac:dyDescent="0.45">
      <c r="I94" t="s">
        <v>164</v>
      </c>
      <c r="J94" t="s">
        <v>281</v>
      </c>
      <c r="K94">
        <v>0</v>
      </c>
      <c r="L94" t="s">
        <v>166</v>
      </c>
      <c r="N94" t="s">
        <v>201</v>
      </c>
      <c r="O94" t="s">
        <v>281</v>
      </c>
      <c r="P94">
        <v>3.1340826475701807E-2</v>
      </c>
      <c r="Q94" t="s">
        <v>166</v>
      </c>
      <c r="S94" t="s">
        <v>218</v>
      </c>
      <c r="T94" t="s">
        <v>281</v>
      </c>
      <c r="U94">
        <v>2.3185366725259109E-2</v>
      </c>
      <c r="V94" t="s">
        <v>166</v>
      </c>
      <c r="X94">
        <v>3.4817351598173514E-2</v>
      </c>
      <c r="Y94">
        <v>2.6286784509691803E-2</v>
      </c>
      <c r="Z94" t="s">
        <v>281</v>
      </c>
      <c r="AA94" t="s">
        <v>25</v>
      </c>
      <c r="AC94" t="s">
        <v>22</v>
      </c>
      <c r="AD94" t="s">
        <v>281</v>
      </c>
      <c r="AE94">
        <v>1.7280923698036615E-2</v>
      </c>
      <c r="AG94" t="s">
        <v>96</v>
      </c>
      <c r="AH94" t="s">
        <v>281</v>
      </c>
      <c r="AI94">
        <v>0.14520632548926127</v>
      </c>
      <c r="AK94">
        <v>2032</v>
      </c>
      <c r="AL94" t="s">
        <v>162</v>
      </c>
      <c r="AM94">
        <v>0.44280000000000003</v>
      </c>
      <c r="AN94" t="s">
        <v>249</v>
      </c>
    </row>
    <row r="95" spans="9:40" x14ac:dyDescent="0.45">
      <c r="I95" t="s">
        <v>164</v>
      </c>
      <c r="J95" t="s">
        <v>282</v>
      </c>
      <c r="K95">
        <v>1.6486531918941958E-3</v>
      </c>
      <c r="L95" t="s">
        <v>166</v>
      </c>
      <c r="N95" t="s">
        <v>201</v>
      </c>
      <c r="O95" t="s">
        <v>282</v>
      </c>
      <c r="P95">
        <v>3.5818915057541215E-2</v>
      </c>
      <c r="Q95" t="s">
        <v>166</v>
      </c>
      <c r="S95" t="s">
        <v>218</v>
      </c>
      <c r="T95" t="s">
        <v>282</v>
      </c>
      <c r="U95">
        <v>3.0338831108290581E-2</v>
      </c>
      <c r="V95" t="s">
        <v>166</v>
      </c>
      <c r="X95">
        <v>2.7397260273972601E-2</v>
      </c>
      <c r="Y95">
        <v>1.5185341719911493E-2</v>
      </c>
      <c r="Z95" t="s">
        <v>282</v>
      </c>
      <c r="AA95" t="s">
        <v>25</v>
      </c>
      <c r="AC95" t="s">
        <v>22</v>
      </c>
      <c r="AD95" t="s">
        <v>282</v>
      </c>
      <c r="AE95">
        <v>3.0001053381045913E-2</v>
      </c>
      <c r="AG95" t="s">
        <v>96</v>
      </c>
      <c r="AH95" t="s">
        <v>282</v>
      </c>
      <c r="AI95">
        <v>0.12400144514471512</v>
      </c>
      <c r="AK95">
        <v>2032</v>
      </c>
      <c r="AL95" t="s">
        <v>252</v>
      </c>
      <c r="AM95">
        <v>0.53129999999999999</v>
      </c>
      <c r="AN95" t="s">
        <v>249</v>
      </c>
    </row>
    <row r="96" spans="9:40" x14ac:dyDescent="0.45">
      <c r="I96" t="s">
        <v>164</v>
      </c>
      <c r="J96" t="s">
        <v>283</v>
      </c>
      <c r="K96">
        <v>3.4991878188363134E-3</v>
      </c>
      <c r="L96" t="s">
        <v>166</v>
      </c>
      <c r="N96" t="s">
        <v>201</v>
      </c>
      <c r="O96" t="s">
        <v>283</v>
      </c>
      <c r="P96">
        <v>4.9614437565531E-3</v>
      </c>
      <c r="Q96" t="s">
        <v>166</v>
      </c>
      <c r="S96" t="s">
        <v>218</v>
      </c>
      <c r="T96" t="s">
        <v>283</v>
      </c>
      <c r="U96">
        <v>4.3810612812869411E-3</v>
      </c>
      <c r="V96" t="s">
        <v>166</v>
      </c>
      <c r="X96">
        <v>3.4246575342465752E-3</v>
      </c>
      <c r="Y96">
        <v>4.3756059965691279E-3</v>
      </c>
      <c r="Z96" t="s">
        <v>283</v>
      </c>
      <c r="AA96" t="s">
        <v>25</v>
      </c>
      <c r="AC96" t="s">
        <v>22</v>
      </c>
      <c r="AD96" t="s">
        <v>283</v>
      </c>
      <c r="AE96">
        <v>4.0661104137225106E-3</v>
      </c>
      <c r="AG96" t="s">
        <v>96</v>
      </c>
      <c r="AH96" t="s">
        <v>283</v>
      </c>
      <c r="AI96">
        <v>7.8597769582796406E-2</v>
      </c>
      <c r="AK96">
        <v>2032</v>
      </c>
      <c r="AL96" t="s">
        <v>254</v>
      </c>
      <c r="AM96">
        <v>0.46250000000000002</v>
      </c>
      <c r="AN96" t="s">
        <v>249</v>
      </c>
    </row>
    <row r="97" spans="9:40" x14ac:dyDescent="0.45">
      <c r="I97" t="s">
        <v>164</v>
      </c>
      <c r="J97" t="s">
        <v>284</v>
      </c>
      <c r="K97">
        <v>4.6959450037332415E-2</v>
      </c>
      <c r="L97" t="s">
        <v>166</v>
      </c>
      <c r="N97" t="s">
        <v>201</v>
      </c>
      <c r="O97" t="s">
        <v>284</v>
      </c>
      <c r="P97">
        <v>3.0439260252258574E-2</v>
      </c>
      <c r="Q97" t="s">
        <v>166</v>
      </c>
      <c r="S97" t="s">
        <v>218</v>
      </c>
      <c r="T97" t="s">
        <v>284</v>
      </c>
      <c r="U97">
        <v>2.7593336547495833E-2</v>
      </c>
      <c r="V97" t="s">
        <v>166</v>
      </c>
      <c r="X97">
        <v>2.3972602739726026E-2</v>
      </c>
      <c r="Y97">
        <v>3.1206026402804371E-2</v>
      </c>
      <c r="Z97" t="s">
        <v>284</v>
      </c>
      <c r="AA97" t="s">
        <v>25</v>
      </c>
      <c r="AC97" t="s">
        <v>22</v>
      </c>
      <c r="AD97" t="s">
        <v>284</v>
      </c>
      <c r="AE97">
        <v>2.918139138066745E-2</v>
      </c>
      <c r="AG97" t="s">
        <v>96</v>
      </c>
      <c r="AH97" t="s">
        <v>284</v>
      </c>
      <c r="AI97">
        <v>0.20332311288828908</v>
      </c>
      <c r="AK97">
        <v>2032</v>
      </c>
      <c r="AL97" t="s">
        <v>256</v>
      </c>
      <c r="AM97">
        <v>0.41039999999999999</v>
      </c>
      <c r="AN97" t="s">
        <v>249</v>
      </c>
    </row>
    <row r="98" spans="9:40" x14ac:dyDescent="0.45">
      <c r="I98" t="s">
        <v>164</v>
      </c>
      <c r="J98" t="s">
        <v>285</v>
      </c>
      <c r="K98">
        <v>4.3179001914411073E-3</v>
      </c>
      <c r="L98" t="s">
        <v>166</v>
      </c>
      <c r="N98" t="s">
        <v>201</v>
      </c>
      <c r="O98" t="s">
        <v>285</v>
      </c>
      <c r="P98">
        <v>3.7482541094422208E-3</v>
      </c>
      <c r="Q98" t="s">
        <v>166</v>
      </c>
      <c r="S98" t="s">
        <v>218</v>
      </c>
      <c r="T98" t="s">
        <v>285</v>
      </c>
      <c r="U98">
        <v>3.9793195683790056E-3</v>
      </c>
      <c r="V98" t="s">
        <v>166</v>
      </c>
      <c r="X98">
        <v>3.4246575342465752E-3</v>
      </c>
      <c r="Y98">
        <v>6.662854585684809E-3</v>
      </c>
      <c r="Z98" t="s">
        <v>285</v>
      </c>
      <c r="AA98" t="s">
        <v>25</v>
      </c>
      <c r="AC98" t="s">
        <v>22</v>
      </c>
      <c r="AD98" t="s">
        <v>285</v>
      </c>
      <c r="AE98">
        <v>2.2030043627913748E-3</v>
      </c>
      <c r="AG98" t="s">
        <v>96</v>
      </c>
      <c r="AH98" t="s">
        <v>285</v>
      </c>
      <c r="AI98">
        <v>3.4296234907621903E-2</v>
      </c>
      <c r="AK98">
        <v>2032</v>
      </c>
      <c r="AL98" t="s">
        <v>257</v>
      </c>
      <c r="AM98">
        <v>0.45050000000000001</v>
      </c>
      <c r="AN98" t="s">
        <v>249</v>
      </c>
    </row>
    <row r="99" spans="9:40" x14ac:dyDescent="0.45">
      <c r="I99" t="s">
        <v>164</v>
      </c>
      <c r="J99" t="s">
        <v>286</v>
      </c>
      <c r="K99">
        <v>2.4941423596588031E-3</v>
      </c>
      <c r="L99" t="s">
        <v>166</v>
      </c>
      <c r="N99" t="s">
        <v>201</v>
      </c>
      <c r="O99" t="s">
        <v>286</v>
      </c>
      <c r="P99">
        <v>6.2719052754413923E-3</v>
      </c>
      <c r="Q99" t="s">
        <v>166</v>
      </c>
      <c r="S99" t="s">
        <v>218</v>
      </c>
      <c r="T99" t="s">
        <v>286</v>
      </c>
      <c r="U99">
        <v>8.2469263180252779E-3</v>
      </c>
      <c r="V99" t="s">
        <v>166</v>
      </c>
      <c r="X99">
        <v>6.8493150684931503E-3</v>
      </c>
      <c r="Y99">
        <v>1.1834025308902863E-2</v>
      </c>
      <c r="Z99" t="s">
        <v>286</v>
      </c>
      <c r="AA99" t="s">
        <v>25</v>
      </c>
      <c r="AC99" t="s">
        <v>22</v>
      </c>
      <c r="AD99" t="s">
        <v>286</v>
      </c>
      <c r="AE99">
        <v>2.5019122670972066E-3</v>
      </c>
      <c r="AG99" t="s">
        <v>96</v>
      </c>
      <c r="AH99" t="s">
        <v>286</v>
      </c>
      <c r="AI99">
        <v>3.0588028048404547E-2</v>
      </c>
      <c r="AK99">
        <v>2033</v>
      </c>
      <c r="AL99" t="s">
        <v>154</v>
      </c>
      <c r="AM99">
        <v>0.2437</v>
      </c>
      <c r="AN99" t="s">
        <v>249</v>
      </c>
    </row>
    <row r="100" spans="9:40" x14ac:dyDescent="0.45">
      <c r="I100" t="s">
        <v>164</v>
      </c>
      <c r="J100" t="s">
        <v>287</v>
      </c>
      <c r="K100">
        <v>0</v>
      </c>
      <c r="L100" t="s">
        <v>166</v>
      </c>
      <c r="N100" t="s">
        <v>201</v>
      </c>
      <c r="O100" t="s">
        <v>287</v>
      </c>
      <c r="P100">
        <v>1.8221389490419345E-2</v>
      </c>
      <c r="Q100" t="s">
        <v>166</v>
      </c>
      <c r="S100" t="s">
        <v>218</v>
      </c>
      <c r="T100" t="s">
        <v>287</v>
      </c>
      <c r="U100">
        <v>2.3589513412686329E-2</v>
      </c>
      <c r="V100" t="s">
        <v>166</v>
      </c>
      <c r="X100">
        <v>1.7123287671232876E-2</v>
      </c>
      <c r="Y100">
        <v>1.2927926808045149E-2</v>
      </c>
      <c r="Z100" t="s">
        <v>287</v>
      </c>
      <c r="AA100" t="s">
        <v>25</v>
      </c>
      <c r="AC100" t="s">
        <v>22</v>
      </c>
      <c r="AD100" t="s">
        <v>287</v>
      </c>
      <c r="AE100">
        <v>8.3783451170603637E-3</v>
      </c>
      <c r="AG100" t="s">
        <v>96</v>
      </c>
      <c r="AH100" t="s">
        <v>287</v>
      </c>
      <c r="AI100">
        <v>0.1368834281942457</v>
      </c>
      <c r="AK100">
        <v>2033</v>
      </c>
      <c r="AL100" t="s">
        <v>158</v>
      </c>
      <c r="AM100">
        <v>0.28270000000000001</v>
      </c>
      <c r="AN100" t="s">
        <v>249</v>
      </c>
    </row>
    <row r="101" spans="9:40" x14ac:dyDescent="0.45">
      <c r="I101" t="s">
        <v>164</v>
      </c>
      <c r="J101" t="s">
        <v>288</v>
      </c>
      <c r="K101">
        <v>1.318361825505196E-3</v>
      </c>
      <c r="L101" t="s">
        <v>166</v>
      </c>
      <c r="N101" t="s">
        <v>201</v>
      </c>
      <c r="O101" t="s">
        <v>288</v>
      </c>
      <c r="P101">
        <v>3.4942946645856322E-2</v>
      </c>
      <c r="Q101" t="s">
        <v>166</v>
      </c>
      <c r="S101" t="s">
        <v>218</v>
      </c>
      <c r="T101" t="s">
        <v>288</v>
      </c>
      <c r="U101">
        <v>6.3240074869887586E-2</v>
      </c>
      <c r="V101" t="s">
        <v>166</v>
      </c>
      <c r="X101">
        <v>2.8310502283105023E-2</v>
      </c>
      <c r="Y101">
        <v>1.5691519777241876E-2</v>
      </c>
      <c r="Z101" t="s">
        <v>288</v>
      </c>
      <c r="AA101" t="s">
        <v>25</v>
      </c>
      <c r="AC101" t="s">
        <v>22</v>
      </c>
      <c r="AD101" t="s">
        <v>288</v>
      </c>
      <c r="AE101">
        <v>2.52797257100245E-2</v>
      </c>
      <c r="AG101" t="s">
        <v>96</v>
      </c>
      <c r="AH101" t="s">
        <v>288</v>
      </c>
      <c r="AI101">
        <v>0.10836729109311483</v>
      </c>
      <c r="AK101">
        <v>2033</v>
      </c>
      <c r="AL101" t="s">
        <v>160</v>
      </c>
      <c r="AM101">
        <v>0.35709999999999997</v>
      </c>
      <c r="AN101" t="s">
        <v>249</v>
      </c>
    </row>
    <row r="102" spans="9:40" x14ac:dyDescent="0.45">
      <c r="I102" t="s">
        <v>164</v>
      </c>
      <c r="J102" t="s">
        <v>289</v>
      </c>
      <c r="K102">
        <v>2.711026978010362E-3</v>
      </c>
      <c r="L102" t="s">
        <v>166</v>
      </c>
      <c r="N102" t="s">
        <v>201</v>
      </c>
      <c r="O102" t="s">
        <v>289</v>
      </c>
      <c r="P102">
        <v>4.5894171504327706E-3</v>
      </c>
      <c r="Q102" t="s">
        <v>166</v>
      </c>
      <c r="S102" t="s">
        <v>218</v>
      </c>
      <c r="T102" t="s">
        <v>289</v>
      </c>
      <c r="U102">
        <v>7.9746396475785797E-3</v>
      </c>
      <c r="V102" t="s">
        <v>166</v>
      </c>
      <c r="X102">
        <v>3.5388127853881279E-3</v>
      </c>
      <c r="Y102">
        <v>4.521459529788099E-3</v>
      </c>
      <c r="Z102" t="s">
        <v>289</v>
      </c>
      <c r="AA102" t="s">
        <v>25</v>
      </c>
      <c r="AC102" t="s">
        <v>22</v>
      </c>
      <c r="AD102" t="s">
        <v>289</v>
      </c>
      <c r="AE102">
        <v>3.5073990760722392E-3</v>
      </c>
      <c r="AG102" t="s">
        <v>96</v>
      </c>
      <c r="AH102" t="s">
        <v>289</v>
      </c>
      <c r="AI102">
        <v>5.7770046565276845E-2</v>
      </c>
      <c r="AK102">
        <v>2033</v>
      </c>
      <c r="AL102" t="s">
        <v>162</v>
      </c>
      <c r="AM102">
        <v>0.4209</v>
      </c>
      <c r="AN102" t="s">
        <v>249</v>
      </c>
    </row>
    <row r="103" spans="9:40" x14ac:dyDescent="0.45">
      <c r="I103" t="s">
        <v>164</v>
      </c>
      <c r="J103" t="s">
        <v>290</v>
      </c>
      <c r="K103">
        <v>4.2176880950708061E-2</v>
      </c>
      <c r="L103" t="s">
        <v>166</v>
      </c>
      <c r="N103" t="s">
        <v>201</v>
      </c>
      <c r="O103" t="s">
        <v>290</v>
      </c>
      <c r="P103">
        <v>2.5572471611997223E-2</v>
      </c>
      <c r="Q103" t="s">
        <v>166</v>
      </c>
      <c r="S103" t="s">
        <v>218</v>
      </c>
      <c r="T103" t="s">
        <v>290</v>
      </c>
      <c r="U103">
        <v>5.8434367308718718E-2</v>
      </c>
      <c r="V103" t="s">
        <v>166</v>
      </c>
      <c r="X103">
        <v>2.4771689497716895E-2</v>
      </c>
      <c r="Y103">
        <v>3.2246227282897846E-2</v>
      </c>
      <c r="Z103" t="s">
        <v>290</v>
      </c>
      <c r="AA103" t="s">
        <v>25</v>
      </c>
      <c r="AC103" t="s">
        <v>22</v>
      </c>
      <c r="AD103" t="s">
        <v>290</v>
      </c>
      <c r="AE103">
        <v>2.4969639435958455E-2</v>
      </c>
      <c r="AG103" t="s">
        <v>96</v>
      </c>
      <c r="AH103" t="s">
        <v>290</v>
      </c>
      <c r="AI103">
        <v>0.11931214463174533</v>
      </c>
      <c r="AK103">
        <v>2033</v>
      </c>
      <c r="AL103" t="s">
        <v>252</v>
      </c>
      <c r="AM103">
        <v>0.53669999999999995</v>
      </c>
      <c r="AN103" t="s">
        <v>249</v>
      </c>
    </row>
    <row r="104" spans="9:40" x14ac:dyDescent="0.45">
      <c r="I104" t="s">
        <v>164</v>
      </c>
      <c r="J104" t="s">
        <v>291</v>
      </c>
      <c r="K104">
        <v>3.7108883951681312E-3</v>
      </c>
      <c r="L104" t="s">
        <v>166</v>
      </c>
      <c r="N104" t="s">
        <v>201</v>
      </c>
      <c r="O104" t="s">
        <v>291</v>
      </c>
      <c r="P104">
        <v>2.8377858686163683E-3</v>
      </c>
      <c r="Q104" t="s">
        <v>166</v>
      </c>
      <c r="S104" t="s">
        <v>218</v>
      </c>
      <c r="T104" t="s">
        <v>291</v>
      </c>
      <c r="U104">
        <v>8.5157678887554863E-3</v>
      </c>
      <c r="V104" t="s">
        <v>166</v>
      </c>
      <c r="X104">
        <v>3.5388127853881279E-3</v>
      </c>
      <c r="Y104">
        <v>6.8849497385409693E-3</v>
      </c>
      <c r="Z104" t="s">
        <v>291</v>
      </c>
      <c r="AA104" t="s">
        <v>25</v>
      </c>
      <c r="AC104" t="s">
        <v>22</v>
      </c>
      <c r="AD104" t="s">
        <v>291</v>
      </c>
      <c r="AE104">
        <v>1.7884051699838376E-3</v>
      </c>
      <c r="AG104" t="s">
        <v>96</v>
      </c>
      <c r="AH104" t="s">
        <v>291</v>
      </c>
      <c r="AI104">
        <v>5.9486905398182799E-2</v>
      </c>
      <c r="AK104">
        <v>2033</v>
      </c>
      <c r="AL104" t="s">
        <v>254</v>
      </c>
      <c r="AM104">
        <v>0.47909999999999997</v>
      </c>
      <c r="AN104" t="s">
        <v>249</v>
      </c>
    </row>
    <row r="105" spans="9:40" x14ac:dyDescent="0.45">
      <c r="I105" t="s">
        <v>164</v>
      </c>
      <c r="J105" t="s">
        <v>292</v>
      </c>
      <c r="K105">
        <v>2.1852702157995974E-3</v>
      </c>
      <c r="L105" t="s">
        <v>166</v>
      </c>
      <c r="N105" t="s">
        <v>201</v>
      </c>
      <c r="O105" t="s">
        <v>292</v>
      </c>
      <c r="P105">
        <v>4.7651584427138944E-3</v>
      </c>
      <c r="Q105" t="s">
        <v>166</v>
      </c>
      <c r="S105" t="s">
        <v>218</v>
      </c>
      <c r="T105" t="s">
        <v>292</v>
      </c>
      <c r="U105">
        <v>1.6757111705286976E-2</v>
      </c>
      <c r="V105" t="s">
        <v>166</v>
      </c>
      <c r="X105">
        <v>7.0776255707762558E-3</v>
      </c>
      <c r="Y105">
        <v>1.2228492819199624E-2</v>
      </c>
      <c r="Z105" t="s">
        <v>292</v>
      </c>
      <c r="AA105" t="s">
        <v>25</v>
      </c>
      <c r="AC105" t="s">
        <v>22</v>
      </c>
      <c r="AD105" t="s">
        <v>292</v>
      </c>
      <c r="AE105">
        <v>1.747942617549487E-3</v>
      </c>
      <c r="AG105" t="s">
        <v>96</v>
      </c>
      <c r="AH105" t="s">
        <v>292</v>
      </c>
      <c r="AI105">
        <v>1.1943858661108475E-2</v>
      </c>
      <c r="AK105">
        <v>2033</v>
      </c>
      <c r="AL105" t="s">
        <v>256</v>
      </c>
      <c r="AM105">
        <v>0.48010000000000003</v>
      </c>
      <c r="AN105" t="s">
        <v>249</v>
      </c>
    </row>
    <row r="106" spans="9:40" x14ac:dyDescent="0.45">
      <c r="I106" t="s">
        <v>164</v>
      </c>
      <c r="J106" t="s">
        <v>293</v>
      </c>
      <c r="K106">
        <v>0</v>
      </c>
      <c r="L106" t="s">
        <v>166</v>
      </c>
      <c r="N106" t="s">
        <v>201</v>
      </c>
      <c r="O106" t="s">
        <v>293</v>
      </c>
      <c r="P106">
        <v>1.6011200468114231E-2</v>
      </c>
      <c r="Q106" t="s">
        <v>166</v>
      </c>
      <c r="S106" t="s">
        <v>218</v>
      </c>
      <c r="T106" t="s">
        <v>293</v>
      </c>
      <c r="U106">
        <v>4.5250720046575925E-2</v>
      </c>
      <c r="V106" t="s">
        <v>166</v>
      </c>
      <c r="X106">
        <v>1.7694063926940638E-2</v>
      </c>
      <c r="Y106">
        <v>1.3358857701646654E-2</v>
      </c>
      <c r="Z106" t="s">
        <v>293</v>
      </c>
      <c r="AA106" t="s">
        <v>25</v>
      </c>
      <c r="AC106" t="s">
        <v>22</v>
      </c>
      <c r="AD106" t="s">
        <v>293</v>
      </c>
      <c r="AE106">
        <v>5.5878085605489368E-3</v>
      </c>
      <c r="AG106" t="s">
        <v>96</v>
      </c>
      <c r="AH106" t="s">
        <v>293</v>
      </c>
      <c r="AI106">
        <v>0.14878203841263482</v>
      </c>
      <c r="AK106">
        <v>2033</v>
      </c>
      <c r="AL106" t="s">
        <v>257</v>
      </c>
      <c r="AM106">
        <v>0.41699999999999998</v>
      </c>
      <c r="AN106" t="s">
        <v>249</v>
      </c>
    </row>
    <row r="107" spans="9:40" x14ac:dyDescent="0.45">
      <c r="I107" t="s">
        <v>178</v>
      </c>
      <c r="J107" t="s">
        <v>165</v>
      </c>
      <c r="K107">
        <v>1.1835064646967144E-2</v>
      </c>
      <c r="L107" t="s">
        <v>166</v>
      </c>
      <c r="N107" t="s">
        <v>202</v>
      </c>
      <c r="O107" t="s">
        <v>165</v>
      </c>
      <c r="P107">
        <v>0.11595304691112542</v>
      </c>
      <c r="Q107" t="s">
        <v>166</v>
      </c>
      <c r="S107" t="s">
        <v>219</v>
      </c>
      <c r="T107" t="s">
        <v>165</v>
      </c>
      <c r="U107">
        <v>0.12348756898379298</v>
      </c>
      <c r="V107" t="s">
        <v>166</v>
      </c>
      <c r="AC107" t="s">
        <v>19</v>
      </c>
      <c r="AD107" t="s">
        <v>165</v>
      </c>
      <c r="AE107">
        <v>0.10845094754912192</v>
      </c>
      <c r="AK107">
        <v>2034</v>
      </c>
      <c r="AL107" t="s">
        <v>154</v>
      </c>
      <c r="AM107">
        <v>0.25340000000000001</v>
      </c>
      <c r="AN107" t="s">
        <v>249</v>
      </c>
    </row>
    <row r="108" spans="9:40" x14ac:dyDescent="0.45">
      <c r="I108" t="s">
        <v>178</v>
      </c>
      <c r="J108" t="s">
        <v>167</v>
      </c>
      <c r="K108">
        <v>2.1268460170244169E-2</v>
      </c>
      <c r="L108" t="s">
        <v>166</v>
      </c>
      <c r="N108" t="s">
        <v>202</v>
      </c>
      <c r="O108" t="s">
        <v>167</v>
      </c>
      <c r="P108">
        <v>1.537339153505494E-2</v>
      </c>
      <c r="Q108" t="s">
        <v>166</v>
      </c>
      <c r="S108" t="s">
        <v>219</v>
      </c>
      <c r="T108" t="s">
        <v>167</v>
      </c>
      <c r="U108">
        <v>1.8357696403832297E-2</v>
      </c>
      <c r="V108" t="s">
        <v>166</v>
      </c>
      <c r="AC108" t="s">
        <v>19</v>
      </c>
      <c r="AD108" t="s">
        <v>167</v>
      </c>
      <c r="AE108">
        <v>1.3625819245197943E-2</v>
      </c>
      <c r="AK108">
        <v>2034</v>
      </c>
      <c r="AL108" t="s">
        <v>158</v>
      </c>
      <c r="AM108">
        <v>0.27900000000000003</v>
      </c>
      <c r="AN108" t="s">
        <v>249</v>
      </c>
    </row>
    <row r="109" spans="9:40" x14ac:dyDescent="0.45">
      <c r="I109" t="s">
        <v>178</v>
      </c>
      <c r="J109" t="s">
        <v>168</v>
      </c>
      <c r="K109">
        <v>0.2571505411899751</v>
      </c>
      <c r="L109" t="s">
        <v>166</v>
      </c>
      <c r="N109" t="s">
        <v>202</v>
      </c>
      <c r="O109" t="s">
        <v>168</v>
      </c>
      <c r="P109">
        <v>0.1353529709354826</v>
      </c>
      <c r="Q109" t="s">
        <v>166</v>
      </c>
      <c r="S109" t="s">
        <v>219</v>
      </c>
      <c r="T109" t="s">
        <v>168</v>
      </c>
      <c r="U109">
        <v>0.12734996379636626</v>
      </c>
      <c r="V109" t="s">
        <v>166</v>
      </c>
      <c r="AC109" t="s">
        <v>19</v>
      </c>
      <c r="AD109" t="s">
        <v>168</v>
      </c>
      <c r="AE109">
        <v>9.5408219694560495E-2</v>
      </c>
      <c r="AK109">
        <v>2034</v>
      </c>
      <c r="AL109" t="s">
        <v>160</v>
      </c>
      <c r="AM109">
        <v>0.36980000000000002</v>
      </c>
      <c r="AN109" t="s">
        <v>249</v>
      </c>
    </row>
    <row r="110" spans="9:40" x14ac:dyDescent="0.45">
      <c r="I110" t="s">
        <v>178</v>
      </c>
      <c r="J110" t="s">
        <v>258</v>
      </c>
      <c r="K110">
        <v>2.7079725777218795E-2</v>
      </c>
      <c r="L110" t="s">
        <v>166</v>
      </c>
      <c r="N110" t="s">
        <v>202</v>
      </c>
      <c r="O110" t="s">
        <v>258</v>
      </c>
      <c r="P110">
        <v>1.9416386704898734E-2</v>
      </c>
      <c r="Q110" t="s">
        <v>166</v>
      </c>
      <c r="S110" t="s">
        <v>219</v>
      </c>
      <c r="T110" t="s">
        <v>258</v>
      </c>
      <c r="U110">
        <v>1.7636990346107283E-2</v>
      </c>
      <c r="V110" t="s">
        <v>166</v>
      </c>
      <c r="AC110" t="s">
        <v>19</v>
      </c>
      <c r="AD110" t="s">
        <v>258</v>
      </c>
      <c r="AE110">
        <v>1.330054254520629E-2</v>
      </c>
      <c r="AK110">
        <v>2034</v>
      </c>
      <c r="AL110" t="s">
        <v>162</v>
      </c>
      <c r="AM110">
        <v>0.39450000000000002</v>
      </c>
      <c r="AN110" t="s">
        <v>249</v>
      </c>
    </row>
    <row r="111" spans="9:40" x14ac:dyDescent="0.45">
      <c r="I111" t="s">
        <v>178</v>
      </c>
      <c r="J111" t="s">
        <v>259</v>
      </c>
      <c r="K111">
        <v>2.7875540248806552E-2</v>
      </c>
      <c r="L111" t="s">
        <v>166</v>
      </c>
      <c r="N111" t="s">
        <v>202</v>
      </c>
      <c r="O111" t="s">
        <v>259</v>
      </c>
      <c r="P111">
        <v>3.3551038952043394E-2</v>
      </c>
      <c r="Q111" t="s">
        <v>166</v>
      </c>
      <c r="S111" t="s">
        <v>219</v>
      </c>
      <c r="T111" t="s">
        <v>259</v>
      </c>
      <c r="U111">
        <v>3.1429557638958563E-2</v>
      </c>
      <c r="V111" t="s">
        <v>166</v>
      </c>
      <c r="AC111" t="s">
        <v>19</v>
      </c>
      <c r="AD111" t="s">
        <v>259</v>
      </c>
      <c r="AE111">
        <v>2.6416498190519767E-2</v>
      </c>
      <c r="AK111">
        <v>2034</v>
      </c>
      <c r="AL111" t="s">
        <v>252</v>
      </c>
      <c r="AM111">
        <v>0.48180000000000001</v>
      </c>
      <c r="AN111" t="s">
        <v>249</v>
      </c>
    </row>
    <row r="112" spans="9:40" x14ac:dyDescent="0.45">
      <c r="I112" t="s">
        <v>178</v>
      </c>
      <c r="J112" t="s">
        <v>260</v>
      </c>
      <c r="K112">
        <v>0</v>
      </c>
      <c r="L112" t="s">
        <v>166</v>
      </c>
      <c r="N112" t="s">
        <v>202</v>
      </c>
      <c r="O112" t="s">
        <v>260</v>
      </c>
      <c r="P112">
        <v>9.0600086001564301E-2</v>
      </c>
      <c r="Q112" t="s">
        <v>166</v>
      </c>
      <c r="S112" t="s">
        <v>219</v>
      </c>
      <c r="T112" t="s">
        <v>260</v>
      </c>
      <c r="U112">
        <v>8.0438151044299827E-2</v>
      </c>
      <c r="V112" t="s">
        <v>166</v>
      </c>
      <c r="AC112" t="s">
        <v>19</v>
      </c>
      <c r="AD112" t="s">
        <v>260</v>
      </c>
      <c r="AE112">
        <v>6.6101514697012212E-2</v>
      </c>
      <c r="AK112">
        <v>2034</v>
      </c>
      <c r="AL112" t="s">
        <v>254</v>
      </c>
      <c r="AM112">
        <v>0.45695000000000002</v>
      </c>
      <c r="AN112" t="s">
        <v>249</v>
      </c>
    </row>
    <row r="113" spans="9:40" x14ac:dyDescent="0.45">
      <c r="I113" t="s">
        <v>178</v>
      </c>
      <c r="J113" t="s">
        <v>346</v>
      </c>
      <c r="K113">
        <v>0</v>
      </c>
      <c r="L113" t="s">
        <v>166</v>
      </c>
      <c r="N113" t="s">
        <v>202</v>
      </c>
      <c r="O113" t="s">
        <v>346</v>
      </c>
      <c r="P113">
        <v>2.9249548742454847E-7</v>
      </c>
      <c r="Q113" t="s">
        <v>166</v>
      </c>
      <c r="S113" t="s">
        <v>219</v>
      </c>
      <c r="T113" t="s">
        <v>346</v>
      </c>
      <c r="U113">
        <v>2.0653140529367929E-4</v>
      </c>
      <c r="V113" t="s">
        <v>166</v>
      </c>
      <c r="AC113" t="s">
        <v>19</v>
      </c>
      <c r="AD113" t="s">
        <v>346</v>
      </c>
      <c r="AE113">
        <v>1.130517603767791E-4</v>
      </c>
      <c r="AK113">
        <v>2034</v>
      </c>
      <c r="AL113" t="s">
        <v>256</v>
      </c>
      <c r="AM113">
        <v>0.4239</v>
      </c>
      <c r="AN113" t="s">
        <v>249</v>
      </c>
    </row>
    <row r="114" spans="9:40" x14ac:dyDescent="0.45">
      <c r="I114" t="s">
        <v>178</v>
      </c>
      <c r="J114" t="s">
        <v>347</v>
      </c>
      <c r="K114">
        <v>0</v>
      </c>
      <c r="L114" t="s">
        <v>166</v>
      </c>
      <c r="N114" t="s">
        <v>202</v>
      </c>
      <c r="O114" t="s">
        <v>347</v>
      </c>
      <c r="P114">
        <v>9.5157638742407459E-7</v>
      </c>
      <c r="Q114" t="s">
        <v>166</v>
      </c>
      <c r="S114" t="s">
        <v>219</v>
      </c>
      <c r="T114" t="s">
        <v>347</v>
      </c>
      <c r="U114">
        <v>2.0574031387753629E-4</v>
      </c>
      <c r="V114" t="s">
        <v>166</v>
      </c>
      <c r="AC114" t="s">
        <v>19</v>
      </c>
      <c r="AD114" t="s">
        <v>347</v>
      </c>
      <c r="AE114">
        <v>1.1392467506571885E-4</v>
      </c>
      <c r="AK114">
        <v>2034</v>
      </c>
      <c r="AL114" t="s">
        <v>257</v>
      </c>
      <c r="AM114">
        <v>0.4788</v>
      </c>
      <c r="AN114" t="s">
        <v>249</v>
      </c>
    </row>
    <row r="115" spans="9:40" x14ac:dyDescent="0.45">
      <c r="I115" t="s">
        <v>178</v>
      </c>
      <c r="J115" t="s">
        <v>348</v>
      </c>
      <c r="K115">
        <v>0</v>
      </c>
      <c r="L115" t="s">
        <v>166</v>
      </c>
      <c r="N115" t="s">
        <v>202</v>
      </c>
      <c r="O115" t="s">
        <v>348</v>
      </c>
      <c r="P115">
        <v>4.0642011590552042E-7</v>
      </c>
      <c r="Q115" t="s">
        <v>166</v>
      </c>
      <c r="S115" t="s">
        <v>219</v>
      </c>
      <c r="T115" t="s">
        <v>348</v>
      </c>
      <c r="U115">
        <v>1.8788153224392871E-4</v>
      </c>
      <c r="V115" t="s">
        <v>166</v>
      </c>
      <c r="AC115" t="s">
        <v>19</v>
      </c>
      <c r="AD115" t="s">
        <v>348</v>
      </c>
      <c r="AE115">
        <v>1.1467971786878765E-4</v>
      </c>
      <c r="AK115">
        <v>2035</v>
      </c>
      <c r="AL115" t="s">
        <v>154</v>
      </c>
      <c r="AM115">
        <v>0.30227500000000002</v>
      </c>
      <c r="AN115" t="s">
        <v>249</v>
      </c>
    </row>
    <row r="116" spans="9:40" x14ac:dyDescent="0.45">
      <c r="I116" t="s">
        <v>178</v>
      </c>
      <c r="J116" t="s">
        <v>349</v>
      </c>
      <c r="K116">
        <v>0</v>
      </c>
      <c r="L116" t="s">
        <v>166</v>
      </c>
      <c r="N116" t="s">
        <v>202</v>
      </c>
      <c r="O116" t="s">
        <v>349</v>
      </c>
      <c r="P116">
        <v>1.6656493780807345E-7</v>
      </c>
      <c r="Q116" t="s">
        <v>166</v>
      </c>
      <c r="S116" t="s">
        <v>219</v>
      </c>
      <c r="T116" t="s">
        <v>349</v>
      </c>
      <c r="U116">
        <v>1.8358885009027217E-4</v>
      </c>
      <c r="V116" t="s">
        <v>166</v>
      </c>
      <c r="AC116" t="s">
        <v>19</v>
      </c>
      <c r="AD116" t="s">
        <v>349</v>
      </c>
      <c r="AE116">
        <v>1.1498078822787965E-4</v>
      </c>
      <c r="AK116">
        <v>2035</v>
      </c>
      <c r="AL116" t="s">
        <v>158</v>
      </c>
      <c r="AM116">
        <v>0.34970000000000001</v>
      </c>
      <c r="AN116" t="s">
        <v>249</v>
      </c>
    </row>
    <row r="117" spans="9:40" x14ac:dyDescent="0.45">
      <c r="I117" t="s">
        <v>178</v>
      </c>
      <c r="J117" t="s">
        <v>350</v>
      </c>
      <c r="K117">
        <v>0</v>
      </c>
      <c r="L117" t="s">
        <v>166</v>
      </c>
      <c r="N117" t="s">
        <v>202</v>
      </c>
      <c r="O117" t="s">
        <v>350</v>
      </c>
      <c r="P117">
        <v>0</v>
      </c>
      <c r="Q117" t="s">
        <v>166</v>
      </c>
      <c r="S117" t="s">
        <v>219</v>
      </c>
      <c r="T117" t="s">
        <v>350</v>
      </c>
      <c r="U117">
        <v>1.853326431929083E-4</v>
      </c>
      <c r="V117" t="s">
        <v>166</v>
      </c>
      <c r="AC117" t="s">
        <v>19</v>
      </c>
      <c r="AD117" t="s">
        <v>350</v>
      </c>
      <c r="AE117">
        <v>1.1498599541962497E-4</v>
      </c>
      <c r="AK117">
        <v>2035</v>
      </c>
      <c r="AL117" t="s">
        <v>160</v>
      </c>
      <c r="AM117">
        <v>0.45190000000000002</v>
      </c>
      <c r="AN117" t="s">
        <v>249</v>
      </c>
    </row>
    <row r="118" spans="9:40" x14ac:dyDescent="0.45">
      <c r="I118" t="s">
        <v>178</v>
      </c>
      <c r="J118" t="s">
        <v>351</v>
      </c>
      <c r="K118">
        <v>0</v>
      </c>
      <c r="L118" t="s">
        <v>166</v>
      </c>
      <c r="N118" t="s">
        <v>202</v>
      </c>
      <c r="O118" t="s">
        <v>351</v>
      </c>
      <c r="P118">
        <v>0</v>
      </c>
      <c r="Q118" t="s">
        <v>166</v>
      </c>
      <c r="S118" t="s">
        <v>219</v>
      </c>
      <c r="T118" t="s">
        <v>351</v>
      </c>
      <c r="U118">
        <v>1.7088542210818978E-4</v>
      </c>
      <c r="V118" t="s">
        <v>166</v>
      </c>
      <c r="AC118" t="s">
        <v>19</v>
      </c>
      <c r="AD118" t="s">
        <v>351</v>
      </c>
      <c r="AE118">
        <v>1.1503948748028125E-4</v>
      </c>
      <c r="AK118">
        <v>2035</v>
      </c>
      <c r="AL118" t="s">
        <v>162</v>
      </c>
      <c r="AM118">
        <v>0.45279999999999998</v>
      </c>
      <c r="AN118" t="s">
        <v>249</v>
      </c>
    </row>
    <row r="119" spans="9:40" x14ac:dyDescent="0.45">
      <c r="I119" t="s">
        <v>178</v>
      </c>
      <c r="J119" t="s">
        <v>352</v>
      </c>
      <c r="K119">
        <v>0</v>
      </c>
      <c r="L119" t="s">
        <v>166</v>
      </c>
      <c r="N119" t="s">
        <v>202</v>
      </c>
      <c r="O119" t="s">
        <v>352</v>
      </c>
      <c r="P119">
        <v>4.38313774503781E-8</v>
      </c>
      <c r="Q119" t="s">
        <v>166</v>
      </c>
      <c r="S119" t="s">
        <v>219</v>
      </c>
      <c r="T119" t="s">
        <v>352</v>
      </c>
      <c r="U119">
        <v>2.0306537976439473E-4</v>
      </c>
      <c r="V119" t="s">
        <v>166</v>
      </c>
      <c r="AC119" t="s">
        <v>19</v>
      </c>
      <c r="AD119" t="s">
        <v>352</v>
      </c>
      <c r="AE119">
        <v>1.1509913349481835E-4</v>
      </c>
      <c r="AK119">
        <v>2035</v>
      </c>
      <c r="AL119" t="s">
        <v>252</v>
      </c>
      <c r="AM119">
        <v>0.60199999999999998</v>
      </c>
      <c r="AN119" t="s">
        <v>249</v>
      </c>
    </row>
    <row r="120" spans="9:40" x14ac:dyDescent="0.45">
      <c r="I120" t="s">
        <v>178</v>
      </c>
      <c r="J120" t="s">
        <v>353</v>
      </c>
      <c r="K120">
        <v>4.5219231252519462E-5</v>
      </c>
      <c r="L120" t="s">
        <v>166</v>
      </c>
      <c r="N120" t="s">
        <v>202</v>
      </c>
      <c r="O120" t="s">
        <v>353</v>
      </c>
      <c r="P120">
        <v>0</v>
      </c>
      <c r="Q120" t="s">
        <v>166</v>
      </c>
      <c r="S120" t="s">
        <v>219</v>
      </c>
      <c r="T120" t="s">
        <v>353</v>
      </c>
      <c r="U120">
        <v>2.2977526714173439E-4</v>
      </c>
      <c r="V120" t="s">
        <v>166</v>
      </c>
      <c r="AC120" t="s">
        <v>19</v>
      </c>
      <c r="AD120" t="s">
        <v>353</v>
      </c>
      <c r="AE120">
        <v>1.1511191478364773E-4</v>
      </c>
      <c r="AK120">
        <v>2035</v>
      </c>
      <c r="AL120" t="s">
        <v>254</v>
      </c>
      <c r="AM120">
        <v>0.52174999999999994</v>
      </c>
      <c r="AN120" t="s">
        <v>249</v>
      </c>
    </row>
    <row r="121" spans="9:40" x14ac:dyDescent="0.45">
      <c r="I121" t="s">
        <v>178</v>
      </c>
      <c r="J121" t="s">
        <v>354</v>
      </c>
      <c r="K121">
        <v>1.094973824742826E-4</v>
      </c>
      <c r="L121" t="s">
        <v>166</v>
      </c>
      <c r="N121" t="s">
        <v>202</v>
      </c>
      <c r="O121" t="s">
        <v>354</v>
      </c>
      <c r="P121">
        <v>0</v>
      </c>
      <c r="Q121" t="s">
        <v>166</v>
      </c>
      <c r="S121" t="s">
        <v>219</v>
      </c>
      <c r="T121" t="s">
        <v>354</v>
      </c>
      <c r="U121">
        <v>2.5842512767772766E-4</v>
      </c>
      <c r="V121" t="s">
        <v>166</v>
      </c>
      <c r="AC121" t="s">
        <v>19</v>
      </c>
      <c r="AD121" t="s">
        <v>354</v>
      </c>
      <c r="AE121">
        <v>1.1511191478364773E-4</v>
      </c>
      <c r="AK121">
        <v>2035</v>
      </c>
      <c r="AL121" t="s">
        <v>256</v>
      </c>
      <c r="AM121">
        <v>0.55869999999999997</v>
      </c>
      <c r="AN121" t="s">
        <v>249</v>
      </c>
    </row>
    <row r="122" spans="9:40" x14ac:dyDescent="0.45">
      <c r="I122" t="s">
        <v>178</v>
      </c>
      <c r="J122" t="s">
        <v>355</v>
      </c>
      <c r="K122">
        <v>1.5573548384130166E-4</v>
      </c>
      <c r="L122" t="s">
        <v>166</v>
      </c>
      <c r="N122" t="s">
        <v>202</v>
      </c>
      <c r="O122" t="s">
        <v>355</v>
      </c>
      <c r="P122">
        <v>6.5989903194061008E-8</v>
      </c>
      <c r="Q122" t="s">
        <v>166</v>
      </c>
      <c r="S122" t="s">
        <v>219</v>
      </c>
      <c r="T122" t="s">
        <v>355</v>
      </c>
      <c r="U122">
        <v>2.9136448671678077E-4</v>
      </c>
      <c r="V122" t="s">
        <v>166</v>
      </c>
      <c r="AC122" t="s">
        <v>19</v>
      </c>
      <c r="AD122" t="s">
        <v>355</v>
      </c>
      <c r="AE122">
        <v>1.1512280254820609E-4</v>
      </c>
      <c r="AK122">
        <v>2035</v>
      </c>
      <c r="AL122" t="s">
        <v>257</v>
      </c>
      <c r="AM122">
        <v>0.48509999999999998</v>
      </c>
      <c r="AN122" t="s">
        <v>249</v>
      </c>
    </row>
    <row r="123" spans="9:40" x14ac:dyDescent="0.45">
      <c r="I123" t="s">
        <v>178</v>
      </c>
      <c r="J123" t="s">
        <v>356</v>
      </c>
      <c r="K123">
        <v>2.9958805091464397E-4</v>
      </c>
      <c r="L123" t="s">
        <v>166</v>
      </c>
      <c r="N123" t="s">
        <v>202</v>
      </c>
      <c r="O123" t="s">
        <v>356</v>
      </c>
      <c r="P123">
        <v>4.018746218960095E-8</v>
      </c>
      <c r="Q123" t="s">
        <v>166</v>
      </c>
      <c r="S123" t="s">
        <v>219</v>
      </c>
      <c r="T123" t="s">
        <v>356</v>
      </c>
      <c r="U123">
        <v>3.0964192328485757E-4</v>
      </c>
      <c r="V123" t="s">
        <v>166</v>
      </c>
      <c r="AC123" t="s">
        <v>19</v>
      </c>
      <c r="AD123" t="s">
        <v>356</v>
      </c>
      <c r="AE123">
        <v>1.1526292334426149E-4</v>
      </c>
      <c r="AK123">
        <v>2036</v>
      </c>
      <c r="AL123" t="s">
        <v>154</v>
      </c>
      <c r="AM123">
        <v>0.28815000000000002</v>
      </c>
      <c r="AN123" t="s">
        <v>249</v>
      </c>
    </row>
    <row r="124" spans="9:40" x14ac:dyDescent="0.45">
      <c r="I124" t="s">
        <v>178</v>
      </c>
      <c r="J124" t="s">
        <v>357</v>
      </c>
      <c r="K124">
        <v>2.7761328690081822E-4</v>
      </c>
      <c r="L124" t="s">
        <v>166</v>
      </c>
      <c r="N124" t="s">
        <v>202</v>
      </c>
      <c r="O124" t="s">
        <v>357</v>
      </c>
      <c r="P124">
        <v>4.4675560246198399E-8</v>
      </c>
      <c r="Q124" t="s">
        <v>166</v>
      </c>
      <c r="S124" t="s">
        <v>219</v>
      </c>
      <c r="T124" t="s">
        <v>357</v>
      </c>
      <c r="U124">
        <v>3.0589791939189656E-4</v>
      </c>
      <c r="V124" t="s">
        <v>166</v>
      </c>
      <c r="AC124" t="s">
        <v>19</v>
      </c>
      <c r="AD124" t="s">
        <v>357</v>
      </c>
      <c r="AE124">
        <v>1.1617370851862159E-4</v>
      </c>
      <c r="AK124">
        <v>2036</v>
      </c>
      <c r="AL124" t="s">
        <v>158</v>
      </c>
      <c r="AM124">
        <v>0.33729999999999999</v>
      </c>
      <c r="AN124" t="s">
        <v>249</v>
      </c>
    </row>
    <row r="125" spans="9:40" x14ac:dyDescent="0.45">
      <c r="I125" t="s">
        <v>178</v>
      </c>
      <c r="J125" t="s">
        <v>358</v>
      </c>
      <c r="K125">
        <v>2.6411920182172328E-4</v>
      </c>
      <c r="L125" t="s">
        <v>166</v>
      </c>
      <c r="N125" t="s">
        <v>202</v>
      </c>
      <c r="O125" t="s">
        <v>358</v>
      </c>
      <c r="P125">
        <v>3.3068696831920047E-7</v>
      </c>
      <c r="Q125" t="s">
        <v>166</v>
      </c>
      <c r="S125" t="s">
        <v>219</v>
      </c>
      <c r="T125" t="s">
        <v>358</v>
      </c>
      <c r="U125">
        <v>2.8858271502194504E-4</v>
      </c>
      <c r="V125" t="s">
        <v>166</v>
      </c>
      <c r="AC125" t="s">
        <v>19</v>
      </c>
      <c r="AD125" t="s">
        <v>358</v>
      </c>
      <c r="AE125">
        <v>1.1617370851862159E-4</v>
      </c>
      <c r="AK125">
        <v>2036</v>
      </c>
      <c r="AL125" t="s">
        <v>160</v>
      </c>
      <c r="AM125">
        <v>0.44130000000000003</v>
      </c>
      <c r="AN125" t="s">
        <v>249</v>
      </c>
    </row>
    <row r="126" spans="9:40" x14ac:dyDescent="0.45">
      <c r="I126" t="s">
        <v>178</v>
      </c>
      <c r="J126" t="s">
        <v>359</v>
      </c>
      <c r="K126">
        <v>2.6787337704417102E-4</v>
      </c>
      <c r="L126" t="s">
        <v>166</v>
      </c>
      <c r="N126" t="s">
        <v>202</v>
      </c>
      <c r="O126" t="s">
        <v>359</v>
      </c>
      <c r="P126">
        <v>3.7169082903476208E-6</v>
      </c>
      <c r="Q126" t="s">
        <v>166</v>
      </c>
      <c r="S126" t="s">
        <v>219</v>
      </c>
      <c r="T126" t="s">
        <v>359</v>
      </c>
      <c r="U126">
        <v>2.400678302782478E-4</v>
      </c>
      <c r="V126" t="s">
        <v>166</v>
      </c>
      <c r="AC126" t="s">
        <v>19</v>
      </c>
      <c r="AD126" t="s">
        <v>359</v>
      </c>
      <c r="AE126">
        <v>1.1592186979057607E-4</v>
      </c>
      <c r="AK126">
        <v>2036</v>
      </c>
      <c r="AL126" t="s">
        <v>162</v>
      </c>
      <c r="AM126">
        <v>0.53080000000000005</v>
      </c>
      <c r="AN126" t="s">
        <v>249</v>
      </c>
    </row>
    <row r="127" spans="9:40" x14ac:dyDescent="0.45">
      <c r="I127" t="s">
        <v>178</v>
      </c>
      <c r="J127" t="s">
        <v>360</v>
      </c>
      <c r="K127">
        <v>2.6547956861607187E-4</v>
      </c>
      <c r="L127" t="s">
        <v>166</v>
      </c>
      <c r="N127" t="s">
        <v>202</v>
      </c>
      <c r="O127" t="s">
        <v>360</v>
      </c>
      <c r="P127">
        <v>1.5511319168422012E-5</v>
      </c>
      <c r="Q127" t="s">
        <v>166</v>
      </c>
      <c r="S127" t="s">
        <v>219</v>
      </c>
      <c r="T127" t="s">
        <v>360</v>
      </c>
      <c r="U127">
        <v>2.0306089289964495E-4</v>
      </c>
      <c r="V127" t="s">
        <v>166</v>
      </c>
      <c r="AC127" t="s">
        <v>19</v>
      </c>
      <c r="AD127" t="s">
        <v>360</v>
      </c>
      <c r="AE127">
        <v>1.1490126020849687E-4</v>
      </c>
      <c r="AK127">
        <v>2036</v>
      </c>
      <c r="AL127" t="s">
        <v>252</v>
      </c>
      <c r="AM127">
        <v>0.59640000000000004</v>
      </c>
      <c r="AN127" t="s">
        <v>249</v>
      </c>
    </row>
    <row r="128" spans="9:40" x14ac:dyDescent="0.45">
      <c r="I128" t="s">
        <v>178</v>
      </c>
      <c r="J128" t="s">
        <v>361</v>
      </c>
      <c r="K128">
        <v>2.3881200318789019E-4</v>
      </c>
      <c r="L128" t="s">
        <v>166</v>
      </c>
      <c r="N128" t="s">
        <v>202</v>
      </c>
      <c r="O128" t="s">
        <v>361</v>
      </c>
      <c r="P128">
        <v>2.2119475182396587E-5</v>
      </c>
      <c r="Q128" t="s">
        <v>166</v>
      </c>
      <c r="S128" t="s">
        <v>219</v>
      </c>
      <c r="T128" t="s">
        <v>361</v>
      </c>
      <c r="U128">
        <v>1.8782358681459268E-4</v>
      </c>
      <c r="V128" t="s">
        <v>166</v>
      </c>
      <c r="AC128" t="s">
        <v>19</v>
      </c>
      <c r="AD128" t="s">
        <v>361</v>
      </c>
      <c r="AE128">
        <v>1.1364111980613376E-4</v>
      </c>
      <c r="AK128">
        <v>2036</v>
      </c>
      <c r="AL128" t="s">
        <v>254</v>
      </c>
      <c r="AM128">
        <v>0.57145000000000001</v>
      </c>
      <c r="AN128" t="s">
        <v>249</v>
      </c>
    </row>
    <row r="129" spans="9:40" x14ac:dyDescent="0.45">
      <c r="I129" t="s">
        <v>178</v>
      </c>
      <c r="J129" t="s">
        <v>362</v>
      </c>
      <c r="K129">
        <v>2.1232777230405754E-4</v>
      </c>
      <c r="L129" t="s">
        <v>166</v>
      </c>
      <c r="N129" t="s">
        <v>202</v>
      </c>
      <c r="O129" t="s">
        <v>362</v>
      </c>
      <c r="P129">
        <v>3.5040374060200041E-5</v>
      </c>
      <c r="Q129" t="s">
        <v>166</v>
      </c>
      <c r="S129" t="s">
        <v>219</v>
      </c>
      <c r="T129" t="s">
        <v>362</v>
      </c>
      <c r="U129">
        <v>1.8687176345920779E-4</v>
      </c>
      <c r="V129" t="s">
        <v>166</v>
      </c>
      <c r="AC129" t="s">
        <v>19</v>
      </c>
      <c r="AD129" t="s">
        <v>362</v>
      </c>
      <c r="AE129">
        <v>1.122924571441005E-4</v>
      </c>
      <c r="AK129">
        <v>2036</v>
      </c>
      <c r="AL129" t="s">
        <v>256</v>
      </c>
      <c r="AM129">
        <v>0.52980000000000005</v>
      </c>
      <c r="AN129" t="s">
        <v>249</v>
      </c>
    </row>
    <row r="130" spans="9:40" x14ac:dyDescent="0.45">
      <c r="I130" t="s">
        <v>178</v>
      </c>
      <c r="J130" t="s">
        <v>363</v>
      </c>
      <c r="K130">
        <v>1.6949116913366207E-4</v>
      </c>
      <c r="L130" t="s">
        <v>166</v>
      </c>
      <c r="N130" t="s">
        <v>202</v>
      </c>
      <c r="O130" t="s">
        <v>363</v>
      </c>
      <c r="P130">
        <v>1.8516358273211117E-5</v>
      </c>
      <c r="Q130" t="s">
        <v>166</v>
      </c>
      <c r="S130" t="s">
        <v>219</v>
      </c>
      <c r="T130" t="s">
        <v>363</v>
      </c>
      <c r="U130">
        <v>1.5781148953997637E-4</v>
      </c>
      <c r="V130" t="s">
        <v>166</v>
      </c>
      <c r="AC130" t="s">
        <v>19</v>
      </c>
      <c r="AD130" t="s">
        <v>363</v>
      </c>
      <c r="AE130">
        <v>1.1114545481693077E-4</v>
      </c>
      <c r="AK130">
        <v>2036</v>
      </c>
      <c r="AL130" t="s">
        <v>257</v>
      </c>
      <c r="AM130">
        <v>0.47039999999999998</v>
      </c>
      <c r="AN130" t="s">
        <v>249</v>
      </c>
    </row>
    <row r="131" spans="9:40" x14ac:dyDescent="0.45">
      <c r="I131" t="s">
        <v>178</v>
      </c>
      <c r="J131" t="s">
        <v>364</v>
      </c>
      <c r="K131">
        <v>4.6772706521764428E-6</v>
      </c>
      <c r="L131" t="s">
        <v>166</v>
      </c>
      <c r="N131" t="s">
        <v>202</v>
      </c>
      <c r="O131" t="s">
        <v>364</v>
      </c>
      <c r="P131">
        <v>1.3364343759343259E-5</v>
      </c>
      <c r="Q131" t="s">
        <v>166</v>
      </c>
      <c r="S131" t="s">
        <v>219</v>
      </c>
      <c r="T131" t="s">
        <v>364</v>
      </c>
      <c r="U131">
        <v>1.7851099250549841E-4</v>
      </c>
      <c r="V131" t="s">
        <v>166</v>
      </c>
      <c r="AC131" t="s">
        <v>19</v>
      </c>
      <c r="AD131" t="s">
        <v>364</v>
      </c>
      <c r="AE131">
        <v>1.1114214114945649E-4</v>
      </c>
      <c r="AK131">
        <v>2037</v>
      </c>
      <c r="AL131" t="s">
        <v>154</v>
      </c>
      <c r="AM131">
        <v>0.30814999999999998</v>
      </c>
      <c r="AN131" t="s">
        <v>249</v>
      </c>
    </row>
    <row r="132" spans="9:40" x14ac:dyDescent="0.45">
      <c r="I132" t="s">
        <v>178</v>
      </c>
      <c r="J132" t="s">
        <v>365</v>
      </c>
      <c r="K132">
        <v>0</v>
      </c>
      <c r="L132" t="s">
        <v>166</v>
      </c>
      <c r="N132" t="s">
        <v>202</v>
      </c>
      <c r="O132" t="s">
        <v>365</v>
      </c>
      <c r="P132">
        <v>1.7634747576487552E-5</v>
      </c>
      <c r="Q132" t="s">
        <v>166</v>
      </c>
      <c r="S132" t="s">
        <v>219</v>
      </c>
      <c r="T132" t="s">
        <v>365</v>
      </c>
      <c r="U132">
        <v>2.115236543944383E-4</v>
      </c>
      <c r="V132" t="s">
        <v>166</v>
      </c>
      <c r="AC132" t="s">
        <v>19</v>
      </c>
      <c r="AD132" t="s">
        <v>365</v>
      </c>
      <c r="AE132">
        <v>1.1103989083882147E-4</v>
      </c>
      <c r="AK132">
        <v>2037</v>
      </c>
      <c r="AL132" t="s">
        <v>158</v>
      </c>
      <c r="AM132">
        <v>0.33500000000000002</v>
      </c>
      <c r="AN132" t="s">
        <v>249</v>
      </c>
    </row>
    <row r="133" spans="9:40" x14ac:dyDescent="0.45">
      <c r="I133" t="s">
        <v>178</v>
      </c>
      <c r="J133" t="s">
        <v>366</v>
      </c>
      <c r="K133">
        <v>0</v>
      </c>
      <c r="L133" t="s">
        <v>166</v>
      </c>
      <c r="N133" t="s">
        <v>202</v>
      </c>
      <c r="O133" t="s">
        <v>366</v>
      </c>
      <c r="P133">
        <v>1.9893191007988405E-5</v>
      </c>
      <c r="Q133" t="s">
        <v>166</v>
      </c>
      <c r="S133" t="s">
        <v>219</v>
      </c>
      <c r="T133" t="s">
        <v>366</v>
      </c>
      <c r="U133">
        <v>2.067493117171008E-4</v>
      </c>
      <c r="V133" t="s">
        <v>166</v>
      </c>
      <c r="AC133" t="s">
        <v>19</v>
      </c>
      <c r="AD133" t="s">
        <v>366</v>
      </c>
      <c r="AE133">
        <v>1.1107444765676757E-4</v>
      </c>
      <c r="AK133">
        <v>2037</v>
      </c>
      <c r="AL133" t="s">
        <v>160</v>
      </c>
      <c r="AM133">
        <v>0.4244</v>
      </c>
      <c r="AN133" t="s">
        <v>249</v>
      </c>
    </row>
    <row r="134" spans="9:40" x14ac:dyDescent="0.45">
      <c r="I134" t="s">
        <v>178</v>
      </c>
      <c r="J134" t="s">
        <v>367</v>
      </c>
      <c r="K134">
        <v>0</v>
      </c>
      <c r="L134" t="s">
        <v>166</v>
      </c>
      <c r="N134" t="s">
        <v>202</v>
      </c>
      <c r="O134" t="s">
        <v>367</v>
      </c>
      <c r="P134">
        <v>2.583941432451958E-5</v>
      </c>
      <c r="Q134" t="s">
        <v>166</v>
      </c>
      <c r="S134" t="s">
        <v>219</v>
      </c>
      <c r="T134" t="s">
        <v>367</v>
      </c>
      <c r="U134">
        <v>1.8654495480185362E-4</v>
      </c>
      <c r="V134" t="s">
        <v>166</v>
      </c>
      <c r="AC134" t="s">
        <v>19</v>
      </c>
      <c r="AD134" t="s">
        <v>367</v>
      </c>
      <c r="AE134">
        <v>1.1115823610576014E-4</v>
      </c>
      <c r="AK134">
        <v>2037</v>
      </c>
      <c r="AL134" t="s">
        <v>162</v>
      </c>
      <c r="AM134">
        <v>0.53210000000000002</v>
      </c>
      <c r="AN134" t="s">
        <v>249</v>
      </c>
    </row>
    <row r="135" spans="9:40" x14ac:dyDescent="0.45">
      <c r="I135" t="s">
        <v>178</v>
      </c>
      <c r="J135" t="s">
        <v>368</v>
      </c>
      <c r="K135">
        <v>0</v>
      </c>
      <c r="L135" t="s">
        <v>166</v>
      </c>
      <c r="N135" t="s">
        <v>202</v>
      </c>
      <c r="O135" t="s">
        <v>368</v>
      </c>
      <c r="P135">
        <v>2.391568609156602E-5</v>
      </c>
      <c r="Q135" t="s">
        <v>166</v>
      </c>
      <c r="S135" t="s">
        <v>219</v>
      </c>
      <c r="T135" t="s">
        <v>368</v>
      </c>
      <c r="U135">
        <v>1.7718772791414948E-4</v>
      </c>
      <c r="V135" t="s">
        <v>166</v>
      </c>
      <c r="AC135" t="s">
        <v>19</v>
      </c>
      <c r="AD135" t="s">
        <v>368</v>
      </c>
      <c r="AE135">
        <v>1.1215186296697735E-4</v>
      </c>
      <c r="AK135">
        <v>2037</v>
      </c>
      <c r="AL135" t="s">
        <v>252</v>
      </c>
      <c r="AM135">
        <v>0.53559999999999997</v>
      </c>
      <c r="AN135" t="s">
        <v>249</v>
      </c>
    </row>
    <row r="136" spans="9:40" x14ac:dyDescent="0.45">
      <c r="I136" t="s">
        <v>178</v>
      </c>
      <c r="J136" t="s">
        <v>369</v>
      </c>
      <c r="K136">
        <v>0</v>
      </c>
      <c r="L136" t="s">
        <v>166</v>
      </c>
      <c r="N136" t="s">
        <v>202</v>
      </c>
      <c r="O136" t="s">
        <v>369</v>
      </c>
      <c r="P136">
        <v>1.7354828611888702E-5</v>
      </c>
      <c r="Q136" t="s">
        <v>166</v>
      </c>
      <c r="S136" t="s">
        <v>219</v>
      </c>
      <c r="T136" t="s">
        <v>369</v>
      </c>
      <c r="U136">
        <v>1.7296609419192746E-4</v>
      </c>
      <c r="V136" t="s">
        <v>166</v>
      </c>
      <c r="AC136" t="s">
        <v>19</v>
      </c>
      <c r="AD136" t="s">
        <v>369</v>
      </c>
      <c r="AE136">
        <v>1.1214902268057081E-4</v>
      </c>
      <c r="AK136">
        <v>2037</v>
      </c>
      <c r="AL136" t="s">
        <v>254</v>
      </c>
      <c r="AM136">
        <v>0.52329999999999999</v>
      </c>
      <c r="AN136" t="s">
        <v>249</v>
      </c>
    </row>
    <row r="137" spans="9:40" x14ac:dyDescent="0.45">
      <c r="I137" t="s">
        <v>178</v>
      </c>
      <c r="J137" t="s">
        <v>370</v>
      </c>
      <c r="K137">
        <v>0</v>
      </c>
      <c r="L137" t="s">
        <v>166</v>
      </c>
      <c r="N137" t="s">
        <v>202</v>
      </c>
      <c r="O137" t="s">
        <v>370</v>
      </c>
      <c r="P137">
        <v>2.6183797925124363E-4</v>
      </c>
      <c r="Q137" t="s">
        <v>166</v>
      </c>
      <c r="S137" t="s">
        <v>219</v>
      </c>
      <c r="T137" t="s">
        <v>370</v>
      </c>
      <c r="U137">
        <v>1.1463098736725787E-4</v>
      </c>
      <c r="V137" t="s">
        <v>166</v>
      </c>
      <c r="AC137" t="s">
        <v>19</v>
      </c>
      <c r="AD137" t="s">
        <v>370</v>
      </c>
      <c r="AE137">
        <v>1.1348490129965671E-4</v>
      </c>
      <c r="AK137">
        <v>2037</v>
      </c>
      <c r="AL137" t="s">
        <v>256</v>
      </c>
      <c r="AM137">
        <v>0.55130000000000001</v>
      </c>
      <c r="AN137" t="s">
        <v>249</v>
      </c>
    </row>
    <row r="138" spans="9:40" x14ac:dyDescent="0.45">
      <c r="I138" t="s">
        <v>178</v>
      </c>
      <c r="J138" t="s">
        <v>371</v>
      </c>
      <c r="K138">
        <v>0</v>
      </c>
      <c r="L138" t="s">
        <v>166</v>
      </c>
      <c r="N138" t="s">
        <v>202</v>
      </c>
      <c r="O138" t="s">
        <v>371</v>
      </c>
      <c r="P138">
        <v>2.4332427123578069E-4</v>
      </c>
      <c r="Q138" t="s">
        <v>166</v>
      </c>
      <c r="S138" t="s">
        <v>219</v>
      </c>
      <c r="T138" t="s">
        <v>371</v>
      </c>
      <c r="U138">
        <v>1.0057052303040351E-4</v>
      </c>
      <c r="V138" t="s">
        <v>166</v>
      </c>
      <c r="AC138" t="s">
        <v>19</v>
      </c>
      <c r="AD138" t="s">
        <v>371</v>
      </c>
      <c r="AE138">
        <v>1.1431047788182098E-4</v>
      </c>
      <c r="AK138">
        <v>2037</v>
      </c>
      <c r="AL138" t="s">
        <v>257</v>
      </c>
      <c r="AM138">
        <v>0.46899999999999997</v>
      </c>
      <c r="AN138" t="s">
        <v>249</v>
      </c>
    </row>
    <row r="139" spans="9:40" x14ac:dyDescent="0.45">
      <c r="I139" t="s">
        <v>178</v>
      </c>
      <c r="J139" t="s">
        <v>372</v>
      </c>
      <c r="K139">
        <v>0</v>
      </c>
      <c r="L139" t="s">
        <v>166</v>
      </c>
      <c r="N139" t="s">
        <v>202</v>
      </c>
      <c r="O139" t="s">
        <v>372</v>
      </c>
      <c r="P139">
        <v>2.082184973232063E-4</v>
      </c>
      <c r="Q139" t="s">
        <v>166</v>
      </c>
      <c r="S139" t="s">
        <v>219</v>
      </c>
      <c r="T139" t="s">
        <v>372</v>
      </c>
      <c r="U139">
        <v>1.1086837652147934E-4</v>
      </c>
      <c r="V139" t="s">
        <v>166</v>
      </c>
      <c r="AC139" t="s">
        <v>19</v>
      </c>
      <c r="AD139" t="s">
        <v>372</v>
      </c>
      <c r="AE139">
        <v>1.1515498970669543E-4</v>
      </c>
      <c r="AK139">
        <v>2038</v>
      </c>
      <c r="AL139" t="s">
        <v>154</v>
      </c>
      <c r="AM139">
        <v>0.24782499999999999</v>
      </c>
      <c r="AN139" t="s">
        <v>249</v>
      </c>
    </row>
    <row r="140" spans="9:40" x14ac:dyDescent="0.45">
      <c r="I140" t="s">
        <v>178</v>
      </c>
      <c r="J140" t="s">
        <v>373</v>
      </c>
      <c r="K140">
        <v>0</v>
      </c>
      <c r="L140" t="s">
        <v>166</v>
      </c>
      <c r="N140" t="s">
        <v>202</v>
      </c>
      <c r="O140" t="s">
        <v>373</v>
      </c>
      <c r="P140">
        <v>1.7351908400727915E-4</v>
      </c>
      <c r="Q140" t="s">
        <v>166</v>
      </c>
      <c r="S140" t="s">
        <v>219</v>
      </c>
      <c r="T140" t="s">
        <v>373</v>
      </c>
      <c r="U140">
        <v>1.1926962474550835E-4</v>
      </c>
      <c r="V140" t="s">
        <v>166</v>
      </c>
      <c r="AC140" t="s">
        <v>19</v>
      </c>
      <c r="AD140" t="s">
        <v>373</v>
      </c>
      <c r="AE140">
        <v>1.1550813198324048E-4</v>
      </c>
      <c r="AK140">
        <v>2038</v>
      </c>
      <c r="AL140" t="s">
        <v>158</v>
      </c>
      <c r="AM140">
        <v>0.27160000000000001</v>
      </c>
      <c r="AN140" t="s">
        <v>249</v>
      </c>
    </row>
    <row r="141" spans="9:40" x14ac:dyDescent="0.45">
      <c r="I141" t="s">
        <v>178</v>
      </c>
      <c r="J141" t="s">
        <v>374</v>
      </c>
      <c r="K141">
        <v>0</v>
      </c>
      <c r="L141" t="s">
        <v>166</v>
      </c>
      <c r="N141" t="s">
        <v>202</v>
      </c>
      <c r="O141" t="s">
        <v>374</v>
      </c>
      <c r="P141">
        <v>8.7804906932001438E-5</v>
      </c>
      <c r="Q141" t="s">
        <v>166</v>
      </c>
      <c r="S141" t="s">
        <v>219</v>
      </c>
      <c r="T141" t="s">
        <v>374</v>
      </c>
      <c r="U141">
        <v>1.2582335889529215E-4</v>
      </c>
      <c r="V141" t="s">
        <v>166</v>
      </c>
      <c r="AC141" t="s">
        <v>19</v>
      </c>
      <c r="AD141" t="s">
        <v>374</v>
      </c>
      <c r="AE141">
        <v>1.1585796059231121E-4</v>
      </c>
      <c r="AK141">
        <v>2038</v>
      </c>
      <c r="AL141" t="s">
        <v>160</v>
      </c>
      <c r="AM141">
        <v>0.36880000000000002</v>
      </c>
      <c r="AN141" t="s">
        <v>249</v>
      </c>
    </row>
    <row r="142" spans="9:40" x14ac:dyDescent="0.45">
      <c r="I142" t="s">
        <v>178</v>
      </c>
      <c r="J142" t="s">
        <v>375</v>
      </c>
      <c r="K142">
        <v>0</v>
      </c>
      <c r="L142" t="s">
        <v>166</v>
      </c>
      <c r="N142" t="s">
        <v>202</v>
      </c>
      <c r="O142" t="s">
        <v>375</v>
      </c>
      <c r="P142">
        <v>2.8625837465758231E-5</v>
      </c>
      <c r="Q142" t="s">
        <v>166</v>
      </c>
      <c r="S142" t="s">
        <v>219</v>
      </c>
      <c r="T142" t="s">
        <v>375</v>
      </c>
      <c r="U142">
        <v>1.2775424216923033E-4</v>
      </c>
      <c r="V142" t="s">
        <v>166</v>
      </c>
      <c r="AC142" t="s">
        <v>19</v>
      </c>
      <c r="AD142" t="s">
        <v>375</v>
      </c>
      <c r="AE142">
        <v>1.1595358356799767E-4</v>
      </c>
      <c r="AK142">
        <v>2038</v>
      </c>
      <c r="AL142" t="s">
        <v>162</v>
      </c>
      <c r="AM142">
        <v>0.42630000000000001</v>
      </c>
      <c r="AN142" t="s">
        <v>249</v>
      </c>
    </row>
    <row r="143" spans="9:40" x14ac:dyDescent="0.45">
      <c r="I143" t="s">
        <v>178</v>
      </c>
      <c r="J143" t="s">
        <v>376</v>
      </c>
      <c r="K143">
        <v>0</v>
      </c>
      <c r="L143" t="s">
        <v>166</v>
      </c>
      <c r="N143" t="s">
        <v>202</v>
      </c>
      <c r="O143" t="s">
        <v>376</v>
      </c>
      <c r="P143">
        <v>3.6675768966484592E-7</v>
      </c>
      <c r="Q143" t="s">
        <v>166</v>
      </c>
      <c r="S143" t="s">
        <v>219</v>
      </c>
      <c r="T143" t="s">
        <v>376</v>
      </c>
      <c r="U143">
        <v>1.2133904917755157E-4</v>
      </c>
      <c r="V143" t="s">
        <v>166</v>
      </c>
      <c r="AC143" t="s">
        <v>19</v>
      </c>
      <c r="AD143" t="s">
        <v>376</v>
      </c>
      <c r="AE143">
        <v>1.159365418495585E-4</v>
      </c>
      <c r="AK143">
        <v>2038</v>
      </c>
      <c r="AL143" t="s">
        <v>252</v>
      </c>
      <c r="AM143">
        <v>0.47320000000000001</v>
      </c>
      <c r="AN143" t="s">
        <v>249</v>
      </c>
    </row>
    <row r="144" spans="9:40" x14ac:dyDescent="0.45">
      <c r="I144" t="s">
        <v>178</v>
      </c>
      <c r="J144" t="s">
        <v>377</v>
      </c>
      <c r="K144">
        <v>1.1615112439880465E-4</v>
      </c>
      <c r="L144" t="s">
        <v>166</v>
      </c>
      <c r="N144" t="s">
        <v>202</v>
      </c>
      <c r="O144" t="s">
        <v>377</v>
      </c>
      <c r="P144">
        <v>4.2800312920059488E-6</v>
      </c>
      <c r="Q144" t="s">
        <v>166</v>
      </c>
      <c r="S144" t="s">
        <v>219</v>
      </c>
      <c r="T144" t="s">
        <v>377</v>
      </c>
      <c r="U144">
        <v>1.1861534025031633E-4</v>
      </c>
      <c r="V144" t="s">
        <v>166</v>
      </c>
      <c r="AC144" t="s">
        <v>19</v>
      </c>
      <c r="AD144" t="s">
        <v>377</v>
      </c>
      <c r="AE144">
        <v>1.159365418495585E-4</v>
      </c>
      <c r="AK144">
        <v>2038</v>
      </c>
      <c r="AL144" t="s">
        <v>254</v>
      </c>
      <c r="AM144">
        <v>0.47115000000000001</v>
      </c>
      <c r="AN144" t="s">
        <v>249</v>
      </c>
    </row>
    <row r="145" spans="9:40" x14ac:dyDescent="0.45">
      <c r="I145" t="s">
        <v>178</v>
      </c>
      <c r="J145" t="s">
        <v>378</v>
      </c>
      <c r="K145">
        <v>2.219179780833875E-4</v>
      </c>
      <c r="L145" t="s">
        <v>166</v>
      </c>
      <c r="N145" t="s">
        <v>202</v>
      </c>
      <c r="O145" t="s">
        <v>378</v>
      </c>
      <c r="P145">
        <v>2.6093733134958827E-4</v>
      </c>
      <c r="Q145" t="s">
        <v>166</v>
      </c>
      <c r="S145" t="s">
        <v>219</v>
      </c>
      <c r="T145" t="s">
        <v>378</v>
      </c>
      <c r="U145">
        <v>1.1643526090646396E-4</v>
      </c>
      <c r="V145" t="s">
        <v>166</v>
      </c>
      <c r="AC145" t="s">
        <v>19</v>
      </c>
      <c r="AD145" t="s">
        <v>378</v>
      </c>
      <c r="AE145">
        <v>1.1585606706804019E-4</v>
      </c>
      <c r="AK145">
        <v>2038</v>
      </c>
      <c r="AL145" t="s">
        <v>256</v>
      </c>
      <c r="AM145">
        <v>0.40770000000000001</v>
      </c>
      <c r="AN145" t="s">
        <v>249</v>
      </c>
    </row>
    <row r="146" spans="9:40" x14ac:dyDescent="0.45">
      <c r="I146" t="s">
        <v>178</v>
      </c>
      <c r="J146" t="s">
        <v>379</v>
      </c>
      <c r="K146">
        <v>3.3723815345483414E-4</v>
      </c>
      <c r="L146" t="s">
        <v>166</v>
      </c>
      <c r="N146" t="s">
        <v>202</v>
      </c>
      <c r="O146" t="s">
        <v>379</v>
      </c>
      <c r="P146">
        <v>4.5378264921093378E-4</v>
      </c>
      <c r="Q146" t="s">
        <v>166</v>
      </c>
      <c r="S146" t="s">
        <v>219</v>
      </c>
      <c r="T146" t="s">
        <v>379</v>
      </c>
      <c r="U146">
        <v>1.1732261088392619E-4</v>
      </c>
      <c r="V146" t="s">
        <v>166</v>
      </c>
      <c r="AC146" t="s">
        <v>19</v>
      </c>
      <c r="AD146" t="s">
        <v>379</v>
      </c>
      <c r="AE146">
        <v>1.1585748721124348E-4</v>
      </c>
      <c r="AK146">
        <v>2038</v>
      </c>
      <c r="AL146" t="s">
        <v>257</v>
      </c>
      <c r="AM146">
        <v>0.4073</v>
      </c>
      <c r="AN146" t="s">
        <v>249</v>
      </c>
    </row>
    <row r="147" spans="9:40" x14ac:dyDescent="0.45">
      <c r="I147" t="s">
        <v>178</v>
      </c>
      <c r="J147" t="s">
        <v>380</v>
      </c>
      <c r="K147">
        <v>4.073904798016873E-4</v>
      </c>
      <c r="L147" t="s">
        <v>166</v>
      </c>
      <c r="N147" t="s">
        <v>202</v>
      </c>
      <c r="O147" t="s">
        <v>380</v>
      </c>
      <c r="P147">
        <v>5.8851655230792127E-4</v>
      </c>
      <c r="Q147" t="s">
        <v>166</v>
      </c>
      <c r="S147" t="s">
        <v>219</v>
      </c>
      <c r="T147" t="s">
        <v>380</v>
      </c>
      <c r="U147">
        <v>1.1450287980779186E-4</v>
      </c>
      <c r="V147" t="s">
        <v>166</v>
      </c>
      <c r="AC147" t="s">
        <v>19</v>
      </c>
      <c r="AD147" t="s">
        <v>380</v>
      </c>
      <c r="AE147">
        <v>1.1495096246649314E-4</v>
      </c>
      <c r="AK147">
        <v>2039</v>
      </c>
      <c r="AL147" t="s">
        <v>154</v>
      </c>
      <c r="AM147">
        <v>0.24042499999999997</v>
      </c>
      <c r="AN147" t="s">
        <v>249</v>
      </c>
    </row>
    <row r="148" spans="9:40" x14ac:dyDescent="0.45">
      <c r="I148" t="s">
        <v>178</v>
      </c>
      <c r="J148" t="s">
        <v>381</v>
      </c>
      <c r="K148">
        <v>4.5189145985964076E-4</v>
      </c>
      <c r="L148" t="s">
        <v>166</v>
      </c>
      <c r="N148" t="s">
        <v>202</v>
      </c>
      <c r="O148" t="s">
        <v>381</v>
      </c>
      <c r="P148">
        <v>5.9449390202474285E-4</v>
      </c>
      <c r="Q148" t="s">
        <v>166</v>
      </c>
      <c r="S148" t="s">
        <v>219</v>
      </c>
      <c r="T148" t="s">
        <v>381</v>
      </c>
      <c r="U148">
        <v>9.6837026561785535E-5</v>
      </c>
      <c r="V148" t="s">
        <v>166</v>
      </c>
      <c r="AC148" t="s">
        <v>19</v>
      </c>
      <c r="AD148" t="s">
        <v>381</v>
      </c>
      <c r="AE148">
        <v>1.161405690897608E-4</v>
      </c>
      <c r="AK148">
        <v>2039</v>
      </c>
      <c r="AL148" t="s">
        <v>158</v>
      </c>
      <c r="AM148">
        <v>0.3251</v>
      </c>
      <c r="AN148" t="s">
        <v>249</v>
      </c>
    </row>
    <row r="149" spans="9:40" x14ac:dyDescent="0.45">
      <c r="I149" t="s">
        <v>178</v>
      </c>
      <c r="J149" t="s">
        <v>382</v>
      </c>
      <c r="K149">
        <v>4.5265112621899244E-4</v>
      </c>
      <c r="L149" t="s">
        <v>166</v>
      </c>
      <c r="N149" t="s">
        <v>202</v>
      </c>
      <c r="O149" t="s">
        <v>382</v>
      </c>
      <c r="P149">
        <v>5.3318656077751519E-4</v>
      </c>
      <c r="Q149" t="s">
        <v>166</v>
      </c>
      <c r="S149" t="s">
        <v>219</v>
      </c>
      <c r="T149" t="s">
        <v>382</v>
      </c>
      <c r="U149">
        <v>6.9987093065942084E-5</v>
      </c>
      <c r="V149" t="s">
        <v>166</v>
      </c>
      <c r="AC149" t="s">
        <v>19</v>
      </c>
      <c r="AD149" t="s">
        <v>382</v>
      </c>
      <c r="AE149">
        <v>1.161405690897608E-4</v>
      </c>
      <c r="AK149">
        <v>2039</v>
      </c>
      <c r="AL149" t="s">
        <v>160</v>
      </c>
      <c r="AM149">
        <v>0.34420000000000001</v>
      </c>
      <c r="AN149" t="s">
        <v>249</v>
      </c>
    </row>
    <row r="150" spans="9:40" x14ac:dyDescent="0.45">
      <c r="I150" t="s">
        <v>178</v>
      </c>
      <c r="J150" t="s">
        <v>383</v>
      </c>
      <c r="K150">
        <v>4.5442821117503644E-4</v>
      </c>
      <c r="L150" t="s">
        <v>166</v>
      </c>
      <c r="N150" t="s">
        <v>202</v>
      </c>
      <c r="O150" t="s">
        <v>383</v>
      </c>
      <c r="P150">
        <v>4.3042425841029186E-4</v>
      </c>
      <c r="Q150" t="s">
        <v>166</v>
      </c>
      <c r="S150" t="s">
        <v>219</v>
      </c>
      <c r="T150" t="s">
        <v>383</v>
      </c>
      <c r="U150">
        <v>5.6463834500153608E-5</v>
      </c>
      <c r="V150" t="s">
        <v>166</v>
      </c>
      <c r="AC150" t="s">
        <v>19</v>
      </c>
      <c r="AD150" t="s">
        <v>383</v>
      </c>
      <c r="AE150">
        <v>1.1566434773559953E-4</v>
      </c>
      <c r="AK150">
        <v>2039</v>
      </c>
      <c r="AL150" t="s">
        <v>162</v>
      </c>
      <c r="AM150">
        <v>0.39</v>
      </c>
      <c r="AN150" t="s">
        <v>249</v>
      </c>
    </row>
    <row r="151" spans="9:40" x14ac:dyDescent="0.45">
      <c r="I151" t="s">
        <v>178</v>
      </c>
      <c r="J151" t="s">
        <v>384</v>
      </c>
      <c r="K151">
        <v>4.5862144082632091E-4</v>
      </c>
      <c r="L151" t="s">
        <v>166</v>
      </c>
      <c r="N151" t="s">
        <v>202</v>
      </c>
      <c r="O151" t="s">
        <v>384</v>
      </c>
      <c r="P151">
        <v>3.3133636071862478E-4</v>
      </c>
      <c r="Q151" t="s">
        <v>166</v>
      </c>
      <c r="S151" t="s">
        <v>219</v>
      </c>
      <c r="T151" t="s">
        <v>384</v>
      </c>
      <c r="U151">
        <v>5.3498161819715215E-5</v>
      </c>
      <c r="V151" t="s">
        <v>166</v>
      </c>
      <c r="AC151" t="s">
        <v>19</v>
      </c>
      <c r="AD151" t="s">
        <v>384</v>
      </c>
      <c r="AE151">
        <v>1.1488563587914298E-4</v>
      </c>
      <c r="AK151">
        <v>2039</v>
      </c>
      <c r="AL151" t="s">
        <v>252</v>
      </c>
      <c r="AM151">
        <v>0.51180000000000003</v>
      </c>
      <c r="AN151" t="s">
        <v>249</v>
      </c>
    </row>
    <row r="152" spans="9:40" x14ac:dyDescent="0.45">
      <c r="I152" t="s">
        <v>178</v>
      </c>
      <c r="J152" t="s">
        <v>385</v>
      </c>
      <c r="K152">
        <v>4.4282811336146825E-4</v>
      </c>
      <c r="L152" t="s">
        <v>166</v>
      </c>
      <c r="N152" t="s">
        <v>202</v>
      </c>
      <c r="O152" t="s">
        <v>385</v>
      </c>
      <c r="P152">
        <v>2.4897176292820955E-4</v>
      </c>
      <c r="Q152" t="s">
        <v>166</v>
      </c>
      <c r="S152" t="s">
        <v>219</v>
      </c>
      <c r="T152" t="s">
        <v>385</v>
      </c>
      <c r="U152">
        <v>5.3134133316725101E-5</v>
      </c>
      <c r="V152" t="s">
        <v>166</v>
      </c>
      <c r="AC152" t="s">
        <v>19</v>
      </c>
      <c r="AD152" t="s">
        <v>385</v>
      </c>
      <c r="AE152">
        <v>1.1379023208835851E-4</v>
      </c>
      <c r="AK152">
        <v>2039</v>
      </c>
      <c r="AL152" t="s">
        <v>254</v>
      </c>
      <c r="AM152">
        <v>0.4708</v>
      </c>
      <c r="AN152" t="s">
        <v>249</v>
      </c>
    </row>
    <row r="153" spans="9:40" x14ac:dyDescent="0.45">
      <c r="I153" t="s">
        <v>178</v>
      </c>
      <c r="J153" t="s">
        <v>386</v>
      </c>
      <c r="K153">
        <v>4.0161332295531846E-4</v>
      </c>
      <c r="L153" t="s">
        <v>166</v>
      </c>
      <c r="N153" t="s">
        <v>202</v>
      </c>
      <c r="O153" t="s">
        <v>386</v>
      </c>
      <c r="P153">
        <v>2.2168224963900208E-4</v>
      </c>
      <c r="Q153" t="s">
        <v>166</v>
      </c>
      <c r="S153" t="s">
        <v>219</v>
      </c>
      <c r="T153" t="s">
        <v>386</v>
      </c>
      <c r="U153">
        <v>4.6949325712492975E-5</v>
      </c>
      <c r="V153" t="s">
        <v>166</v>
      </c>
      <c r="AC153" t="s">
        <v>19</v>
      </c>
      <c r="AD153" t="s">
        <v>386</v>
      </c>
      <c r="AE153">
        <v>1.1297080946007507E-4</v>
      </c>
      <c r="AK153">
        <v>2039</v>
      </c>
      <c r="AL153" t="s">
        <v>256</v>
      </c>
      <c r="AM153">
        <v>0.4713</v>
      </c>
      <c r="AN153" t="s">
        <v>249</v>
      </c>
    </row>
    <row r="154" spans="9:40" x14ac:dyDescent="0.45">
      <c r="I154" t="s">
        <v>178</v>
      </c>
      <c r="J154" t="s">
        <v>387</v>
      </c>
      <c r="K154">
        <v>3.1820051735852043E-4</v>
      </c>
      <c r="L154" t="s">
        <v>166</v>
      </c>
      <c r="N154" t="s">
        <v>202</v>
      </c>
      <c r="O154" t="s">
        <v>387</v>
      </c>
      <c r="P154">
        <v>1.306548547973558E-4</v>
      </c>
      <c r="Q154" t="s">
        <v>166</v>
      </c>
      <c r="S154" t="s">
        <v>219</v>
      </c>
      <c r="T154" t="s">
        <v>387</v>
      </c>
      <c r="U154">
        <v>4.233504370886569E-5</v>
      </c>
      <c r="V154" t="s">
        <v>166</v>
      </c>
      <c r="AC154" t="s">
        <v>19</v>
      </c>
      <c r="AD154" t="s">
        <v>387</v>
      </c>
      <c r="AE154">
        <v>1.112363412278217E-4</v>
      </c>
      <c r="AK154">
        <v>2039</v>
      </c>
      <c r="AL154" t="s">
        <v>257</v>
      </c>
      <c r="AM154">
        <v>0.40539999999999998</v>
      </c>
      <c r="AN154" t="s">
        <v>249</v>
      </c>
    </row>
    <row r="155" spans="9:40" x14ac:dyDescent="0.45">
      <c r="I155" t="s">
        <v>178</v>
      </c>
      <c r="J155" t="s">
        <v>388</v>
      </c>
      <c r="K155">
        <v>1.815207567871295E-4</v>
      </c>
      <c r="L155" t="s">
        <v>166</v>
      </c>
      <c r="N155" t="s">
        <v>202</v>
      </c>
      <c r="O155" t="s">
        <v>388</v>
      </c>
      <c r="P155">
        <v>1.4550742066808464E-4</v>
      </c>
      <c r="Q155" t="s">
        <v>166</v>
      </c>
      <c r="S155" t="s">
        <v>219</v>
      </c>
      <c r="T155" t="s">
        <v>388</v>
      </c>
      <c r="U155">
        <v>5.1708979278991265E-5</v>
      </c>
      <c r="V155" t="s">
        <v>166</v>
      </c>
      <c r="AC155" t="s">
        <v>19</v>
      </c>
      <c r="AD155" t="s">
        <v>388</v>
      </c>
      <c r="AE155">
        <v>1.1131255557973022E-4</v>
      </c>
      <c r="AK155">
        <v>2040</v>
      </c>
      <c r="AL155" t="s">
        <v>154</v>
      </c>
      <c r="AM155">
        <v>0.29127499999999995</v>
      </c>
      <c r="AN155" t="s">
        <v>249</v>
      </c>
    </row>
    <row r="156" spans="9:40" x14ac:dyDescent="0.45">
      <c r="I156" t="s">
        <v>178</v>
      </c>
      <c r="J156" t="s">
        <v>389</v>
      </c>
      <c r="K156">
        <v>0</v>
      </c>
      <c r="L156" t="s">
        <v>166</v>
      </c>
      <c r="N156" t="s">
        <v>202</v>
      </c>
      <c r="O156" t="s">
        <v>389</v>
      </c>
      <c r="P156">
        <v>1.410123070434155E-4</v>
      </c>
      <c r="Q156" t="s">
        <v>166</v>
      </c>
      <c r="S156" t="s">
        <v>219</v>
      </c>
      <c r="T156" t="s">
        <v>389</v>
      </c>
      <c r="U156">
        <v>8.1305003275108071E-5</v>
      </c>
      <c r="V156" t="s">
        <v>166</v>
      </c>
      <c r="AC156" t="s">
        <v>19</v>
      </c>
      <c r="AD156" t="s">
        <v>389</v>
      </c>
      <c r="AE156">
        <v>1.1118000888075888E-4</v>
      </c>
      <c r="AK156">
        <v>2040</v>
      </c>
      <c r="AL156" t="s">
        <v>158</v>
      </c>
      <c r="AM156">
        <v>0.34129999999999999</v>
      </c>
      <c r="AN156" t="s">
        <v>249</v>
      </c>
    </row>
    <row r="157" spans="9:40" x14ac:dyDescent="0.45">
      <c r="I157" t="s">
        <v>178</v>
      </c>
      <c r="J157" t="s">
        <v>390</v>
      </c>
      <c r="K157">
        <v>0</v>
      </c>
      <c r="L157" t="s">
        <v>166</v>
      </c>
      <c r="N157" t="s">
        <v>202</v>
      </c>
      <c r="O157" t="s">
        <v>390</v>
      </c>
      <c r="P157">
        <v>1.3112109066453468E-4</v>
      </c>
      <c r="Q157" t="s">
        <v>166</v>
      </c>
      <c r="S157" t="s">
        <v>219</v>
      </c>
      <c r="T157" t="s">
        <v>390</v>
      </c>
      <c r="U157">
        <v>1.0239908064857319E-4</v>
      </c>
      <c r="V157" t="s">
        <v>166</v>
      </c>
      <c r="AC157" t="s">
        <v>19</v>
      </c>
      <c r="AD157" t="s">
        <v>390</v>
      </c>
      <c r="AE157">
        <v>1.1115728658950666E-4</v>
      </c>
      <c r="AK157">
        <v>2040</v>
      </c>
      <c r="AL157" t="s">
        <v>160</v>
      </c>
      <c r="AM157">
        <v>0.4244</v>
      </c>
      <c r="AN157" t="s">
        <v>249</v>
      </c>
    </row>
    <row r="158" spans="9:40" x14ac:dyDescent="0.45">
      <c r="I158" t="s">
        <v>178</v>
      </c>
      <c r="J158" t="s">
        <v>391</v>
      </c>
      <c r="K158">
        <v>0</v>
      </c>
      <c r="L158" t="s">
        <v>166</v>
      </c>
      <c r="N158" t="s">
        <v>202</v>
      </c>
      <c r="O158" t="s">
        <v>391</v>
      </c>
      <c r="P158">
        <v>1.0931916512681999E-4</v>
      </c>
      <c r="Q158" t="s">
        <v>166</v>
      </c>
      <c r="S158" t="s">
        <v>219</v>
      </c>
      <c r="T158" t="s">
        <v>391</v>
      </c>
      <c r="U158">
        <v>8.5377538181045565E-5</v>
      </c>
      <c r="V158" t="s">
        <v>166</v>
      </c>
      <c r="AC158" t="s">
        <v>19</v>
      </c>
      <c r="AD158" t="s">
        <v>391</v>
      </c>
      <c r="AE158">
        <v>1.1118284916716541E-4</v>
      </c>
      <c r="AK158">
        <v>2040</v>
      </c>
      <c r="AL158" t="s">
        <v>162</v>
      </c>
      <c r="AM158">
        <v>0.4758</v>
      </c>
      <c r="AN158" t="s">
        <v>249</v>
      </c>
    </row>
    <row r="159" spans="9:40" x14ac:dyDescent="0.45">
      <c r="I159" t="s">
        <v>178</v>
      </c>
      <c r="J159" t="s">
        <v>392</v>
      </c>
      <c r="K159">
        <v>0</v>
      </c>
      <c r="L159" t="s">
        <v>166</v>
      </c>
      <c r="N159" t="s">
        <v>202</v>
      </c>
      <c r="O159" t="s">
        <v>392</v>
      </c>
      <c r="P159">
        <v>9.9467118845932324E-5</v>
      </c>
      <c r="Q159" t="s">
        <v>166</v>
      </c>
      <c r="S159" t="s">
        <v>219</v>
      </c>
      <c r="T159" t="s">
        <v>392</v>
      </c>
      <c r="U159">
        <v>7.0475530387968847E-5</v>
      </c>
      <c r="V159" t="s">
        <v>166</v>
      </c>
      <c r="AC159" t="s">
        <v>19</v>
      </c>
      <c r="AD159" t="s">
        <v>392</v>
      </c>
      <c r="AE159">
        <v>1.1221197960846423E-4</v>
      </c>
      <c r="AK159">
        <v>2040</v>
      </c>
      <c r="AL159" t="s">
        <v>252</v>
      </c>
      <c r="AM159">
        <v>0.61819999999999997</v>
      </c>
      <c r="AN159" t="s">
        <v>249</v>
      </c>
    </row>
    <row r="160" spans="9:40" x14ac:dyDescent="0.45">
      <c r="I160" t="s">
        <v>178</v>
      </c>
      <c r="J160" t="s">
        <v>393</v>
      </c>
      <c r="K160">
        <v>0</v>
      </c>
      <c r="L160" t="s">
        <v>166</v>
      </c>
      <c r="N160" t="s">
        <v>202</v>
      </c>
      <c r="O160" t="s">
        <v>393</v>
      </c>
      <c r="P160">
        <v>1.1296708760178464E-4</v>
      </c>
      <c r="Q160" t="s">
        <v>166</v>
      </c>
      <c r="S160" t="s">
        <v>219</v>
      </c>
      <c r="T160" t="s">
        <v>393</v>
      </c>
      <c r="U160">
        <v>5.1827212836707511E-5</v>
      </c>
      <c r="V160" t="s">
        <v>166</v>
      </c>
      <c r="AC160" t="s">
        <v>19</v>
      </c>
      <c r="AD160" t="s">
        <v>393</v>
      </c>
      <c r="AE160">
        <v>1.122749392904756E-4</v>
      </c>
      <c r="AK160">
        <v>2040</v>
      </c>
      <c r="AL160" t="s">
        <v>254</v>
      </c>
      <c r="AM160">
        <v>0.54469999999999996</v>
      </c>
      <c r="AN160" t="s">
        <v>249</v>
      </c>
    </row>
    <row r="161" spans="9:40" x14ac:dyDescent="0.45">
      <c r="I161" t="s">
        <v>178</v>
      </c>
      <c r="J161" t="s">
        <v>169</v>
      </c>
      <c r="K161">
        <v>9.9828154611338454E-3</v>
      </c>
      <c r="L161" t="s">
        <v>166</v>
      </c>
      <c r="N161" t="s">
        <v>202</v>
      </c>
      <c r="O161" t="s">
        <v>169</v>
      </c>
      <c r="P161">
        <v>2.1484398443337552E-2</v>
      </c>
      <c r="Q161" t="s">
        <v>166</v>
      </c>
      <c r="S161" t="s">
        <v>219</v>
      </c>
      <c r="T161" t="s">
        <v>169</v>
      </c>
      <c r="U161">
        <v>7.2370410864018757E-3</v>
      </c>
      <c r="V161" t="s">
        <v>166</v>
      </c>
      <c r="AC161" t="s">
        <v>19</v>
      </c>
      <c r="AD161" t="s">
        <v>169</v>
      </c>
      <c r="AE161">
        <v>2.8474196418916759E-2</v>
      </c>
      <c r="AK161">
        <v>2040</v>
      </c>
      <c r="AL161" t="s">
        <v>256</v>
      </c>
      <c r="AM161">
        <v>0.57169999999999999</v>
      </c>
      <c r="AN161" t="s">
        <v>249</v>
      </c>
    </row>
    <row r="162" spans="9:40" x14ac:dyDescent="0.45">
      <c r="I162" t="s">
        <v>178</v>
      </c>
      <c r="J162" t="s">
        <v>170</v>
      </c>
      <c r="K162">
        <v>8.8480265256569227E-3</v>
      </c>
      <c r="L162" t="s">
        <v>166</v>
      </c>
      <c r="N162" t="s">
        <v>202</v>
      </c>
      <c r="O162" t="s">
        <v>170</v>
      </c>
      <c r="P162">
        <v>2.7447091467133625E-3</v>
      </c>
      <c r="Q162" t="s">
        <v>166</v>
      </c>
      <c r="S162" t="s">
        <v>219</v>
      </c>
      <c r="T162" t="s">
        <v>170</v>
      </c>
      <c r="U162">
        <v>1.049960470285992E-3</v>
      </c>
      <c r="V162" t="s">
        <v>166</v>
      </c>
      <c r="AC162" t="s">
        <v>19</v>
      </c>
      <c r="AD162" t="s">
        <v>170</v>
      </c>
      <c r="AE162">
        <v>3.5755249551763799E-3</v>
      </c>
      <c r="AK162">
        <v>2040</v>
      </c>
      <c r="AL162" t="s">
        <v>257</v>
      </c>
      <c r="AM162">
        <v>0.49159999999999998</v>
      </c>
      <c r="AN162" t="s">
        <v>249</v>
      </c>
    </row>
    <row r="163" spans="9:40" x14ac:dyDescent="0.45">
      <c r="I163" t="s">
        <v>178</v>
      </c>
      <c r="J163" t="s">
        <v>171</v>
      </c>
      <c r="K163">
        <v>8.1639757565544327E-2</v>
      </c>
      <c r="L163" t="s">
        <v>166</v>
      </c>
      <c r="N163" t="s">
        <v>202</v>
      </c>
      <c r="O163" t="s">
        <v>171</v>
      </c>
      <c r="P163">
        <v>2.3970818712957361E-2</v>
      </c>
      <c r="Q163" t="s">
        <v>166</v>
      </c>
      <c r="S163" t="s">
        <v>219</v>
      </c>
      <c r="T163" t="s">
        <v>171</v>
      </c>
      <c r="U163">
        <v>7.8586509392017997E-3</v>
      </c>
      <c r="V163" t="s">
        <v>166</v>
      </c>
      <c r="AC163" t="s">
        <v>19</v>
      </c>
      <c r="AD163" t="s">
        <v>171</v>
      </c>
      <c r="AE163">
        <v>2.5023292816875355E-2</v>
      </c>
      <c r="AK163">
        <v>2041</v>
      </c>
      <c r="AL163" t="s">
        <v>154</v>
      </c>
      <c r="AM163">
        <v>0.30467499999999997</v>
      </c>
      <c r="AN163" t="s">
        <v>249</v>
      </c>
    </row>
    <row r="164" spans="9:40" x14ac:dyDescent="0.45">
      <c r="I164" t="s">
        <v>178</v>
      </c>
      <c r="J164" t="s">
        <v>261</v>
      </c>
      <c r="K164">
        <v>6.9624924225743469E-3</v>
      </c>
      <c r="L164" t="s">
        <v>166</v>
      </c>
      <c r="N164" t="s">
        <v>202</v>
      </c>
      <c r="O164" t="s">
        <v>261</v>
      </c>
      <c r="P164">
        <v>3.6184494641260563E-3</v>
      </c>
      <c r="Q164" t="s">
        <v>166</v>
      </c>
      <c r="S164" t="s">
        <v>219</v>
      </c>
      <c r="T164" t="s">
        <v>261</v>
      </c>
      <c r="U164">
        <v>1.0209315145689847E-3</v>
      </c>
      <c r="V164" t="s">
        <v>166</v>
      </c>
      <c r="AC164" t="s">
        <v>19</v>
      </c>
      <c r="AD164" t="s">
        <v>261</v>
      </c>
      <c r="AE164">
        <v>3.5107034654255197E-3</v>
      </c>
      <c r="AK164">
        <v>2041</v>
      </c>
      <c r="AL164" t="s">
        <v>158</v>
      </c>
      <c r="AM164">
        <v>0.37590000000000001</v>
      </c>
      <c r="AN164" t="s">
        <v>249</v>
      </c>
    </row>
    <row r="165" spans="9:40" x14ac:dyDescent="0.45">
      <c r="I165" t="s">
        <v>178</v>
      </c>
      <c r="J165" t="s">
        <v>262</v>
      </c>
      <c r="K165">
        <v>7.9590784020497265E-3</v>
      </c>
      <c r="L165" t="s">
        <v>166</v>
      </c>
      <c r="N165" t="s">
        <v>202</v>
      </c>
      <c r="O165" t="s">
        <v>262</v>
      </c>
      <c r="P165">
        <v>6.7199414729307927E-3</v>
      </c>
      <c r="Q165" t="s">
        <v>166</v>
      </c>
      <c r="S165" t="s">
        <v>219</v>
      </c>
      <c r="T165" t="s">
        <v>262</v>
      </c>
      <c r="U165">
        <v>1.1581594262494084E-3</v>
      </c>
      <c r="V165" t="s">
        <v>166</v>
      </c>
      <c r="AC165" t="s">
        <v>19</v>
      </c>
      <c r="AD165" t="s">
        <v>262</v>
      </c>
      <c r="AE165">
        <v>6.9994917543193345E-3</v>
      </c>
      <c r="AK165">
        <v>2041</v>
      </c>
      <c r="AL165" t="s">
        <v>160</v>
      </c>
      <c r="AM165">
        <v>0.46329999999999999</v>
      </c>
      <c r="AN165" t="s">
        <v>249</v>
      </c>
    </row>
    <row r="166" spans="9:40" x14ac:dyDescent="0.45">
      <c r="I166" t="s">
        <v>178</v>
      </c>
      <c r="J166" t="s">
        <v>263</v>
      </c>
      <c r="K166">
        <v>0</v>
      </c>
      <c r="L166" t="s">
        <v>166</v>
      </c>
      <c r="N166" t="s">
        <v>202</v>
      </c>
      <c r="O166" t="s">
        <v>263</v>
      </c>
      <c r="P166">
        <v>1.8196932484759759E-2</v>
      </c>
      <c r="Q166" t="s">
        <v>166</v>
      </c>
      <c r="S166" t="s">
        <v>219</v>
      </c>
      <c r="T166" t="s">
        <v>263</v>
      </c>
      <c r="U166">
        <v>2.6890814576017823E-3</v>
      </c>
      <c r="V166" t="s">
        <v>166</v>
      </c>
      <c r="AC166" t="s">
        <v>19</v>
      </c>
      <c r="AD166" t="s">
        <v>263</v>
      </c>
      <c r="AE166">
        <v>1.7438114596906081E-2</v>
      </c>
      <c r="AK166">
        <v>2041</v>
      </c>
      <c r="AL166" t="s">
        <v>162</v>
      </c>
      <c r="AM166">
        <v>0.47110000000000002</v>
      </c>
      <c r="AN166" t="s">
        <v>249</v>
      </c>
    </row>
    <row r="167" spans="9:40" x14ac:dyDescent="0.45">
      <c r="I167" t="s">
        <v>178</v>
      </c>
      <c r="J167" t="s">
        <v>172</v>
      </c>
      <c r="K167">
        <v>7.4403523747897894E-3</v>
      </c>
      <c r="L167" t="s">
        <v>166</v>
      </c>
      <c r="N167" t="s">
        <v>202</v>
      </c>
      <c r="O167" t="s">
        <v>172</v>
      </c>
      <c r="P167">
        <v>2.2599754213691675E-2</v>
      </c>
      <c r="Q167" t="s">
        <v>166</v>
      </c>
      <c r="S167" t="s">
        <v>219</v>
      </c>
      <c r="T167" t="s">
        <v>172</v>
      </c>
      <c r="U167">
        <v>1.8943154009171858E-2</v>
      </c>
      <c r="V167" t="s">
        <v>166</v>
      </c>
      <c r="AC167" t="s">
        <v>19</v>
      </c>
      <c r="AD167" t="s">
        <v>172</v>
      </c>
      <c r="AE167">
        <v>2.7634729949640193E-2</v>
      </c>
      <c r="AK167">
        <v>2041</v>
      </c>
      <c r="AL167" t="s">
        <v>252</v>
      </c>
      <c r="AM167">
        <v>0.54149999999999998</v>
      </c>
      <c r="AN167" t="s">
        <v>249</v>
      </c>
    </row>
    <row r="168" spans="9:40" x14ac:dyDescent="0.45">
      <c r="I168" t="s">
        <v>178</v>
      </c>
      <c r="J168" t="s">
        <v>173</v>
      </c>
      <c r="K168">
        <v>6.7902170137985165E-3</v>
      </c>
      <c r="L168" t="s">
        <v>166</v>
      </c>
      <c r="N168" t="s">
        <v>202</v>
      </c>
      <c r="O168" t="s">
        <v>173</v>
      </c>
      <c r="P168">
        <v>3.372756402339696E-3</v>
      </c>
      <c r="Q168" t="s">
        <v>166</v>
      </c>
      <c r="S168" t="s">
        <v>219</v>
      </c>
      <c r="T168" t="s">
        <v>173</v>
      </c>
      <c r="U168">
        <v>2.151475454942875E-3</v>
      </c>
      <c r="V168" t="s">
        <v>166</v>
      </c>
      <c r="AC168" t="s">
        <v>19</v>
      </c>
      <c r="AD168" t="s">
        <v>173</v>
      </c>
      <c r="AE168">
        <v>3.4723746954811409E-3</v>
      </c>
      <c r="AK168">
        <v>2041</v>
      </c>
      <c r="AL168" t="s">
        <v>254</v>
      </c>
      <c r="AM168">
        <v>0.54339999999999999</v>
      </c>
      <c r="AN168" t="s">
        <v>249</v>
      </c>
    </row>
    <row r="169" spans="9:40" x14ac:dyDescent="0.45">
      <c r="I169" t="s">
        <v>178</v>
      </c>
      <c r="J169" t="s">
        <v>174</v>
      </c>
      <c r="K169">
        <v>6.6673412966334694E-2</v>
      </c>
      <c r="L169" t="s">
        <v>166</v>
      </c>
      <c r="N169" t="s">
        <v>202</v>
      </c>
      <c r="O169" t="s">
        <v>174</v>
      </c>
      <c r="P169">
        <v>2.6636057559598057E-2</v>
      </c>
      <c r="Q169" t="s">
        <v>166</v>
      </c>
      <c r="S169" t="s">
        <v>219</v>
      </c>
      <c r="T169" t="s">
        <v>174</v>
      </c>
      <c r="U169">
        <v>1.6852948975944491E-2</v>
      </c>
      <c r="V169" t="s">
        <v>166</v>
      </c>
      <c r="AC169" t="s">
        <v>19</v>
      </c>
      <c r="AD169" t="s">
        <v>174</v>
      </c>
      <c r="AE169">
        <v>2.4326912927694091E-2</v>
      </c>
      <c r="AK169">
        <v>2041</v>
      </c>
      <c r="AL169" t="s">
        <v>256</v>
      </c>
      <c r="AM169">
        <v>0.54710000000000003</v>
      </c>
      <c r="AN169" t="s">
        <v>249</v>
      </c>
    </row>
    <row r="170" spans="9:40" x14ac:dyDescent="0.45">
      <c r="I170" t="s">
        <v>178</v>
      </c>
      <c r="J170" t="s">
        <v>264</v>
      </c>
      <c r="K170">
        <v>6.5653949634213718E-3</v>
      </c>
      <c r="L170" t="s">
        <v>166</v>
      </c>
      <c r="N170" t="s">
        <v>202</v>
      </c>
      <c r="O170" t="s">
        <v>264</v>
      </c>
      <c r="P170">
        <v>3.5164083097708326E-3</v>
      </c>
      <c r="Q170" t="s">
        <v>166</v>
      </c>
      <c r="S170" t="s">
        <v>219</v>
      </c>
      <c r="T170" t="s">
        <v>264</v>
      </c>
      <c r="U170">
        <v>2.3530841832759106E-3</v>
      </c>
      <c r="V170" t="s">
        <v>166</v>
      </c>
      <c r="AC170" t="s">
        <v>19</v>
      </c>
      <c r="AD170" t="s">
        <v>264</v>
      </c>
      <c r="AE170">
        <v>3.4098325355715205E-3</v>
      </c>
      <c r="AK170">
        <v>2041</v>
      </c>
      <c r="AL170" t="s">
        <v>257</v>
      </c>
      <c r="AM170">
        <v>0.55389999999999995</v>
      </c>
      <c r="AN170" t="s">
        <v>249</v>
      </c>
    </row>
    <row r="171" spans="9:40" x14ac:dyDescent="0.45">
      <c r="I171" t="s">
        <v>178</v>
      </c>
      <c r="J171" t="s">
        <v>265</v>
      </c>
      <c r="K171">
        <v>7.6398741940047771E-3</v>
      </c>
      <c r="L171" t="s">
        <v>166</v>
      </c>
      <c r="N171" t="s">
        <v>202</v>
      </c>
      <c r="O171" t="s">
        <v>265</v>
      </c>
      <c r="P171">
        <v>4.8992490929379772E-3</v>
      </c>
      <c r="Q171" t="s">
        <v>166</v>
      </c>
      <c r="S171" t="s">
        <v>219</v>
      </c>
      <c r="T171" t="s">
        <v>265</v>
      </c>
      <c r="U171">
        <v>3.3198601390608132E-3</v>
      </c>
      <c r="V171" t="s">
        <v>166</v>
      </c>
      <c r="AC171" t="s">
        <v>19</v>
      </c>
      <c r="AD171" t="s">
        <v>265</v>
      </c>
      <c r="AE171">
        <v>6.6671383774449897E-3</v>
      </c>
      <c r="AK171">
        <v>2042</v>
      </c>
      <c r="AL171" t="s">
        <v>154</v>
      </c>
      <c r="AM171">
        <v>0.29609999999999997</v>
      </c>
      <c r="AN171" t="s">
        <v>249</v>
      </c>
    </row>
    <row r="172" spans="9:40" x14ac:dyDescent="0.45">
      <c r="I172" t="s">
        <v>178</v>
      </c>
      <c r="J172" t="s">
        <v>266</v>
      </c>
      <c r="K172">
        <v>0</v>
      </c>
      <c r="L172" t="s">
        <v>166</v>
      </c>
      <c r="N172" t="s">
        <v>202</v>
      </c>
      <c r="O172" t="s">
        <v>266</v>
      </c>
      <c r="P172">
        <v>1.5161318220035174E-2</v>
      </c>
      <c r="Q172" t="s">
        <v>166</v>
      </c>
      <c r="S172" t="s">
        <v>219</v>
      </c>
      <c r="T172" t="s">
        <v>266</v>
      </c>
      <c r="U172">
        <v>8.5215050523757031E-3</v>
      </c>
      <c r="V172" t="s">
        <v>166</v>
      </c>
      <c r="AC172" t="s">
        <v>19</v>
      </c>
      <c r="AD172" t="s">
        <v>266</v>
      </c>
      <c r="AE172">
        <v>1.6723378986742383E-2</v>
      </c>
      <c r="AK172">
        <v>2042</v>
      </c>
      <c r="AL172" t="s">
        <v>158</v>
      </c>
      <c r="AM172">
        <v>0.34439999999999998</v>
      </c>
      <c r="AN172" t="s">
        <v>249</v>
      </c>
    </row>
    <row r="173" spans="9:40" x14ac:dyDescent="0.45">
      <c r="I173" t="s">
        <v>178</v>
      </c>
      <c r="J173" t="s">
        <v>175</v>
      </c>
      <c r="K173">
        <v>4.4728226371635108E-3</v>
      </c>
      <c r="L173" t="s">
        <v>166</v>
      </c>
      <c r="N173" t="s">
        <v>202</v>
      </c>
      <c r="O173" t="s">
        <v>175</v>
      </c>
      <c r="P173">
        <v>2.3149550435663205E-2</v>
      </c>
      <c r="Q173" t="s">
        <v>166</v>
      </c>
      <c r="S173" t="s">
        <v>219</v>
      </c>
      <c r="T173" t="s">
        <v>175</v>
      </c>
      <c r="U173">
        <v>2.1384628062770118E-2</v>
      </c>
      <c r="V173" t="s">
        <v>166</v>
      </c>
      <c r="AC173" t="s">
        <v>19</v>
      </c>
      <c r="AD173" t="s">
        <v>175</v>
      </c>
      <c r="AE173">
        <v>2.8529511422726864E-2</v>
      </c>
      <c r="AK173">
        <v>2042</v>
      </c>
      <c r="AL173" t="s">
        <v>160</v>
      </c>
      <c r="AM173">
        <v>0.42709999999999998</v>
      </c>
      <c r="AN173" t="s">
        <v>249</v>
      </c>
    </row>
    <row r="174" spans="9:40" x14ac:dyDescent="0.45">
      <c r="I174" t="s">
        <v>178</v>
      </c>
      <c r="J174" t="s">
        <v>176</v>
      </c>
      <c r="K174">
        <v>5.995132043310856E-3</v>
      </c>
      <c r="L174" t="s">
        <v>166</v>
      </c>
      <c r="N174" t="s">
        <v>202</v>
      </c>
      <c r="O174" t="s">
        <v>176</v>
      </c>
      <c r="P174">
        <v>3.50829264456638E-3</v>
      </c>
      <c r="Q174" t="s">
        <v>166</v>
      </c>
      <c r="S174" t="s">
        <v>219</v>
      </c>
      <c r="T174" t="s">
        <v>176</v>
      </c>
      <c r="U174">
        <v>3.0324697026482984E-3</v>
      </c>
      <c r="V174" t="s">
        <v>166</v>
      </c>
      <c r="AC174" t="s">
        <v>19</v>
      </c>
      <c r="AD174" t="s">
        <v>176</v>
      </c>
      <c r="AE174">
        <v>3.5821624027280062E-3</v>
      </c>
      <c r="AK174">
        <v>2042</v>
      </c>
      <c r="AL174" t="s">
        <v>162</v>
      </c>
      <c r="AM174">
        <v>0.48799999999999999</v>
      </c>
      <c r="AN174" t="s">
        <v>249</v>
      </c>
    </row>
    <row r="175" spans="9:40" x14ac:dyDescent="0.45">
      <c r="I175" t="s">
        <v>178</v>
      </c>
      <c r="J175" t="s">
        <v>177</v>
      </c>
      <c r="K175">
        <v>6.6017312762079353E-2</v>
      </c>
      <c r="L175" t="s">
        <v>166</v>
      </c>
      <c r="N175" t="s">
        <v>202</v>
      </c>
      <c r="O175" t="s">
        <v>177</v>
      </c>
      <c r="P175">
        <v>2.4421698589127384E-2</v>
      </c>
      <c r="Q175" t="s">
        <v>166</v>
      </c>
      <c r="S175" t="s">
        <v>219</v>
      </c>
      <c r="T175" t="s">
        <v>177</v>
      </c>
      <c r="U175">
        <v>2.1807979066605868E-2</v>
      </c>
      <c r="V175" t="s">
        <v>166</v>
      </c>
      <c r="AC175" t="s">
        <v>19</v>
      </c>
      <c r="AD175" t="s">
        <v>177</v>
      </c>
      <c r="AE175">
        <v>2.5156576824611501E-2</v>
      </c>
      <c r="AK175">
        <v>2042</v>
      </c>
      <c r="AL175" t="s">
        <v>252</v>
      </c>
      <c r="AM175">
        <v>0.60909999999999997</v>
      </c>
      <c r="AN175" t="s">
        <v>249</v>
      </c>
    </row>
    <row r="176" spans="9:40" x14ac:dyDescent="0.45">
      <c r="I176" t="s">
        <v>178</v>
      </c>
      <c r="J176" t="s">
        <v>267</v>
      </c>
      <c r="K176">
        <v>6.3343856137359732E-3</v>
      </c>
      <c r="L176" t="s">
        <v>166</v>
      </c>
      <c r="N176" t="s">
        <v>202</v>
      </c>
      <c r="O176" t="s">
        <v>267</v>
      </c>
      <c r="P176">
        <v>3.6065694039443402E-3</v>
      </c>
      <c r="Q176" t="s">
        <v>166</v>
      </c>
      <c r="S176" t="s">
        <v>219</v>
      </c>
      <c r="T176" t="s">
        <v>267</v>
      </c>
      <c r="U176">
        <v>2.9299670547870264E-3</v>
      </c>
      <c r="V176" t="s">
        <v>166</v>
      </c>
      <c r="AC176" t="s">
        <v>19</v>
      </c>
      <c r="AD176" t="s">
        <v>267</v>
      </c>
      <c r="AE176">
        <v>3.5080034714156843E-3</v>
      </c>
      <c r="AK176">
        <v>2042</v>
      </c>
      <c r="AL176" t="s">
        <v>254</v>
      </c>
      <c r="AM176">
        <v>0.5101</v>
      </c>
      <c r="AN176" t="s">
        <v>249</v>
      </c>
    </row>
    <row r="177" spans="9:40" x14ac:dyDescent="0.45">
      <c r="I177" t="s">
        <v>178</v>
      </c>
      <c r="J177" t="s">
        <v>268</v>
      </c>
      <c r="K177">
        <v>6.9536956473097251E-3</v>
      </c>
      <c r="L177" t="s">
        <v>166</v>
      </c>
      <c r="N177" t="s">
        <v>202</v>
      </c>
      <c r="O177" t="s">
        <v>268</v>
      </c>
      <c r="P177">
        <v>4.6207086353286962E-3</v>
      </c>
      <c r="Q177" t="s">
        <v>166</v>
      </c>
      <c r="S177" t="s">
        <v>219</v>
      </c>
      <c r="T177" t="s">
        <v>268</v>
      </c>
      <c r="U177">
        <v>4.5185235998018445E-3</v>
      </c>
      <c r="V177" t="s">
        <v>166</v>
      </c>
      <c r="AC177" t="s">
        <v>19</v>
      </c>
      <c r="AD177" t="s">
        <v>268</v>
      </c>
      <c r="AE177">
        <v>6.885363709133484E-3</v>
      </c>
      <c r="AK177">
        <v>2042</v>
      </c>
      <c r="AL177" t="s">
        <v>256</v>
      </c>
      <c r="AM177">
        <v>0.4874</v>
      </c>
      <c r="AN177" t="s">
        <v>249</v>
      </c>
    </row>
    <row r="178" spans="9:40" x14ac:dyDescent="0.45">
      <c r="I178" t="s">
        <v>178</v>
      </c>
      <c r="J178" t="s">
        <v>269</v>
      </c>
      <c r="K178">
        <v>0</v>
      </c>
      <c r="L178" t="s">
        <v>166</v>
      </c>
      <c r="N178" t="s">
        <v>202</v>
      </c>
      <c r="O178" t="s">
        <v>269</v>
      </c>
      <c r="P178">
        <v>1.5165856948186092E-2</v>
      </c>
      <c r="Q178" t="s">
        <v>166</v>
      </c>
      <c r="S178" t="s">
        <v>219</v>
      </c>
      <c r="T178" t="s">
        <v>269</v>
      </c>
      <c r="U178">
        <v>9.498912946933365E-3</v>
      </c>
      <c r="V178" t="s">
        <v>166</v>
      </c>
      <c r="AC178" t="s">
        <v>19</v>
      </c>
      <c r="AD178" t="s">
        <v>269</v>
      </c>
      <c r="AE178">
        <v>1.7280000971087436E-2</v>
      </c>
      <c r="AK178">
        <v>2042</v>
      </c>
      <c r="AL178" t="s">
        <v>257</v>
      </c>
      <c r="AM178">
        <v>0.51690000000000003</v>
      </c>
      <c r="AN178" t="s">
        <v>249</v>
      </c>
    </row>
    <row r="179" spans="9:40" x14ac:dyDescent="0.45">
      <c r="I179" t="s">
        <v>178</v>
      </c>
      <c r="J179" t="s">
        <v>270</v>
      </c>
      <c r="K179">
        <v>3.1505946724701452E-3</v>
      </c>
      <c r="L179" t="s">
        <v>166</v>
      </c>
      <c r="N179" t="s">
        <v>202</v>
      </c>
      <c r="O179" t="s">
        <v>270</v>
      </c>
      <c r="P179">
        <v>1.87730486876415E-2</v>
      </c>
      <c r="Q179" t="s">
        <v>166</v>
      </c>
      <c r="S179" t="s">
        <v>219</v>
      </c>
      <c r="T179" t="s">
        <v>270</v>
      </c>
      <c r="U179">
        <v>2.0823669322351922E-2</v>
      </c>
      <c r="V179" t="s">
        <v>166</v>
      </c>
      <c r="AC179" t="s">
        <v>19</v>
      </c>
      <c r="AD179" t="s">
        <v>270</v>
      </c>
      <c r="AE179">
        <v>2.8535959819631813E-2</v>
      </c>
      <c r="AK179">
        <v>2043</v>
      </c>
      <c r="AL179" t="s">
        <v>154</v>
      </c>
      <c r="AM179">
        <v>0.28447499999999998</v>
      </c>
      <c r="AN179" t="s">
        <v>249</v>
      </c>
    </row>
    <row r="180" spans="9:40" x14ac:dyDescent="0.45">
      <c r="I180" t="s">
        <v>178</v>
      </c>
      <c r="J180" t="s">
        <v>271</v>
      </c>
      <c r="K180">
        <v>5.5905859758240079E-3</v>
      </c>
      <c r="L180" t="s">
        <v>166</v>
      </c>
      <c r="N180" t="s">
        <v>202</v>
      </c>
      <c r="O180" t="s">
        <v>271</v>
      </c>
      <c r="P180">
        <v>2.0855943371286606E-3</v>
      </c>
      <c r="Q180" t="s">
        <v>166</v>
      </c>
      <c r="S180" t="s">
        <v>219</v>
      </c>
      <c r="T180" t="s">
        <v>271</v>
      </c>
      <c r="U180">
        <v>3.1163718972229029E-3</v>
      </c>
      <c r="V180" t="s">
        <v>166</v>
      </c>
      <c r="AC180" t="s">
        <v>19</v>
      </c>
      <c r="AD180" t="s">
        <v>271</v>
      </c>
      <c r="AE180">
        <v>3.5864439569679471E-3</v>
      </c>
      <c r="AK180">
        <v>2043</v>
      </c>
      <c r="AL180" t="s">
        <v>158</v>
      </c>
      <c r="AM180">
        <v>0.37809999999999999</v>
      </c>
      <c r="AN180" t="s">
        <v>249</v>
      </c>
    </row>
    <row r="181" spans="9:40" x14ac:dyDescent="0.45">
      <c r="I181" t="s">
        <v>178</v>
      </c>
      <c r="J181" t="s">
        <v>272</v>
      </c>
      <c r="K181">
        <v>6.4589565336857516E-2</v>
      </c>
      <c r="L181" t="s">
        <v>166</v>
      </c>
      <c r="N181" t="s">
        <v>202</v>
      </c>
      <c r="O181" t="s">
        <v>272</v>
      </c>
      <c r="P181">
        <v>1.7022936767024079E-2</v>
      </c>
      <c r="Q181" t="s">
        <v>166</v>
      </c>
      <c r="S181" t="s">
        <v>219</v>
      </c>
      <c r="T181" t="s">
        <v>272</v>
      </c>
      <c r="U181">
        <v>2.2891234784276984E-2</v>
      </c>
      <c r="V181" t="s">
        <v>166</v>
      </c>
      <c r="AC181" t="s">
        <v>19</v>
      </c>
      <c r="AD181" t="s">
        <v>272</v>
      </c>
      <c r="AE181">
        <v>2.5158588398286292E-2</v>
      </c>
      <c r="AK181">
        <v>2043</v>
      </c>
      <c r="AL181" t="s">
        <v>160</v>
      </c>
      <c r="AM181">
        <v>0.40039999999999998</v>
      </c>
      <c r="AN181" t="s">
        <v>249</v>
      </c>
    </row>
    <row r="182" spans="9:40" x14ac:dyDescent="0.45">
      <c r="I182" t="s">
        <v>178</v>
      </c>
      <c r="J182" t="s">
        <v>273</v>
      </c>
      <c r="K182">
        <v>6.2114811529654411E-3</v>
      </c>
      <c r="L182" t="s">
        <v>166</v>
      </c>
      <c r="N182" t="s">
        <v>202</v>
      </c>
      <c r="O182" t="s">
        <v>273</v>
      </c>
      <c r="P182">
        <v>2.525545724693858E-3</v>
      </c>
      <c r="Q182" t="s">
        <v>166</v>
      </c>
      <c r="S182" t="s">
        <v>219</v>
      </c>
      <c r="T182" t="s">
        <v>273</v>
      </c>
      <c r="U182">
        <v>2.5513638866669127E-3</v>
      </c>
      <c r="V182" t="s">
        <v>166</v>
      </c>
      <c r="AC182" t="s">
        <v>19</v>
      </c>
      <c r="AD182" t="s">
        <v>273</v>
      </c>
      <c r="AE182">
        <v>3.4980594511885279E-3</v>
      </c>
      <c r="AK182">
        <v>2043</v>
      </c>
      <c r="AL182" t="s">
        <v>162</v>
      </c>
      <c r="AM182">
        <v>0.44679999999999997</v>
      </c>
      <c r="AN182" t="s">
        <v>249</v>
      </c>
    </row>
    <row r="183" spans="9:40" x14ac:dyDescent="0.45">
      <c r="I183" t="s">
        <v>178</v>
      </c>
      <c r="J183" t="s">
        <v>274</v>
      </c>
      <c r="K183">
        <v>6.5367593845977907E-3</v>
      </c>
      <c r="L183" t="s">
        <v>166</v>
      </c>
      <c r="N183" t="s">
        <v>202</v>
      </c>
      <c r="O183" t="s">
        <v>274</v>
      </c>
      <c r="P183">
        <v>4.2764215030802258E-3</v>
      </c>
      <c r="Q183" t="s">
        <v>166</v>
      </c>
      <c r="S183" t="s">
        <v>219</v>
      </c>
      <c r="T183" t="s">
        <v>274</v>
      </c>
      <c r="U183">
        <v>3.8096506906692201E-3</v>
      </c>
      <c r="V183" t="s">
        <v>166</v>
      </c>
      <c r="AC183" t="s">
        <v>19</v>
      </c>
      <c r="AD183" t="s">
        <v>274</v>
      </c>
      <c r="AE183">
        <v>6.8772197795890977E-3</v>
      </c>
      <c r="AK183">
        <v>2043</v>
      </c>
      <c r="AL183" t="s">
        <v>252</v>
      </c>
      <c r="AM183">
        <v>0.5907</v>
      </c>
      <c r="AN183" t="s">
        <v>249</v>
      </c>
    </row>
    <row r="184" spans="9:40" x14ac:dyDescent="0.45">
      <c r="I184" t="s">
        <v>178</v>
      </c>
      <c r="J184" t="s">
        <v>275</v>
      </c>
      <c r="K184">
        <v>0</v>
      </c>
      <c r="L184" t="s">
        <v>166</v>
      </c>
      <c r="N184" t="s">
        <v>202</v>
      </c>
      <c r="O184" t="s">
        <v>275</v>
      </c>
      <c r="P184">
        <v>9.9086755896558229E-3</v>
      </c>
      <c r="Q184" t="s">
        <v>166</v>
      </c>
      <c r="S184" t="s">
        <v>219</v>
      </c>
      <c r="T184" t="s">
        <v>275</v>
      </c>
      <c r="U184">
        <v>7.3826791849609949E-3</v>
      </c>
      <c r="V184" t="s">
        <v>166</v>
      </c>
      <c r="AC184" t="s">
        <v>19</v>
      </c>
      <c r="AD184" t="s">
        <v>275</v>
      </c>
      <c r="AE184">
        <v>1.728074281839324E-2</v>
      </c>
      <c r="AK184">
        <v>2043</v>
      </c>
      <c r="AL184" t="s">
        <v>254</v>
      </c>
      <c r="AM184">
        <v>0.57614999999999994</v>
      </c>
      <c r="AN184" t="s">
        <v>249</v>
      </c>
    </row>
    <row r="185" spans="9:40" x14ac:dyDescent="0.45">
      <c r="I185" t="s">
        <v>178</v>
      </c>
      <c r="J185" t="s">
        <v>276</v>
      </c>
      <c r="K185">
        <v>5.6692270184287149E-3</v>
      </c>
      <c r="L185" t="s">
        <v>166</v>
      </c>
      <c r="N185" t="s">
        <v>202</v>
      </c>
      <c r="O185" t="s">
        <v>276</v>
      </c>
      <c r="P185">
        <v>4.9934102762123442E-2</v>
      </c>
      <c r="Q185" t="s">
        <v>166</v>
      </c>
      <c r="S185" t="s">
        <v>219</v>
      </c>
      <c r="T185" t="s">
        <v>276</v>
      </c>
      <c r="U185">
        <v>5.2586644781204103E-2</v>
      </c>
      <c r="V185" t="s">
        <v>166</v>
      </c>
      <c r="AC185" t="s">
        <v>19</v>
      </c>
      <c r="AD185" t="s">
        <v>276</v>
      </c>
      <c r="AE185">
        <v>5.6138692617435475E-2</v>
      </c>
      <c r="AK185">
        <v>2043</v>
      </c>
      <c r="AL185" t="s">
        <v>256</v>
      </c>
      <c r="AM185">
        <v>0.53300000000000003</v>
      </c>
      <c r="AN185" t="s">
        <v>249</v>
      </c>
    </row>
    <row r="186" spans="9:40" x14ac:dyDescent="0.45">
      <c r="I186" t="s">
        <v>178</v>
      </c>
      <c r="J186" t="s">
        <v>277</v>
      </c>
      <c r="K186">
        <v>1.0231283291311233E-2</v>
      </c>
      <c r="L186" t="s">
        <v>166</v>
      </c>
      <c r="N186" t="s">
        <v>202</v>
      </c>
      <c r="O186" t="s">
        <v>277</v>
      </c>
      <c r="P186">
        <v>6.2057713840251039E-3</v>
      </c>
      <c r="Q186" t="s">
        <v>166</v>
      </c>
      <c r="S186" t="s">
        <v>219</v>
      </c>
      <c r="T186" t="s">
        <v>277</v>
      </c>
      <c r="U186">
        <v>6.4074897318605979E-3</v>
      </c>
      <c r="V186" t="s">
        <v>166</v>
      </c>
      <c r="AC186" t="s">
        <v>19</v>
      </c>
      <c r="AD186" t="s">
        <v>277</v>
      </c>
      <c r="AE186">
        <v>7.0435600539814087E-3</v>
      </c>
      <c r="AK186">
        <v>2043</v>
      </c>
      <c r="AL186" t="s">
        <v>257</v>
      </c>
      <c r="AM186">
        <v>0.55049999999999999</v>
      </c>
      <c r="AN186" t="s">
        <v>249</v>
      </c>
    </row>
    <row r="187" spans="9:40" x14ac:dyDescent="0.45">
      <c r="I187" t="s">
        <v>178</v>
      </c>
      <c r="J187" t="s">
        <v>278</v>
      </c>
      <c r="K187">
        <v>0.11251595721954448</v>
      </c>
      <c r="L187" t="s">
        <v>166</v>
      </c>
      <c r="N187" t="s">
        <v>202</v>
      </c>
      <c r="O187" t="s">
        <v>278</v>
      </c>
      <c r="P187">
        <v>4.697359843957407E-2</v>
      </c>
      <c r="Q187" t="s">
        <v>166</v>
      </c>
      <c r="S187" t="s">
        <v>219</v>
      </c>
      <c r="T187" t="s">
        <v>278</v>
      </c>
      <c r="U187">
        <v>4.346509156806793E-2</v>
      </c>
      <c r="V187" t="s">
        <v>166</v>
      </c>
      <c r="AC187" t="s">
        <v>19</v>
      </c>
      <c r="AD187" t="s">
        <v>278</v>
      </c>
      <c r="AE187">
        <v>4.9446062256888412E-2</v>
      </c>
      <c r="AK187">
        <v>2044</v>
      </c>
      <c r="AL187" t="s">
        <v>154</v>
      </c>
      <c r="AM187">
        <v>0.29162500000000002</v>
      </c>
      <c r="AN187" t="s">
        <v>249</v>
      </c>
    </row>
    <row r="188" spans="9:40" x14ac:dyDescent="0.45">
      <c r="I188" t="s">
        <v>178</v>
      </c>
      <c r="J188" t="s">
        <v>279</v>
      </c>
      <c r="K188">
        <v>1.0759512724491486E-2</v>
      </c>
      <c r="L188" t="s">
        <v>166</v>
      </c>
      <c r="N188" t="s">
        <v>202</v>
      </c>
      <c r="O188" t="s">
        <v>279</v>
      </c>
      <c r="P188">
        <v>5.4077025363037439E-3</v>
      </c>
      <c r="Q188" t="s">
        <v>166</v>
      </c>
      <c r="S188" t="s">
        <v>219</v>
      </c>
      <c r="T188" t="s">
        <v>279</v>
      </c>
      <c r="U188">
        <v>5.9612268851671705E-3</v>
      </c>
      <c r="V188" t="s">
        <v>166</v>
      </c>
      <c r="AC188" t="s">
        <v>19</v>
      </c>
      <c r="AD188" t="s">
        <v>279</v>
      </c>
      <c r="AE188">
        <v>6.8619814907741822E-3</v>
      </c>
      <c r="AK188">
        <v>2044</v>
      </c>
      <c r="AL188" t="s">
        <v>158</v>
      </c>
      <c r="AM188">
        <v>0.33529999999999999</v>
      </c>
      <c r="AN188" t="s">
        <v>249</v>
      </c>
    </row>
    <row r="189" spans="9:40" x14ac:dyDescent="0.45">
      <c r="I189" t="s">
        <v>178</v>
      </c>
      <c r="J189" t="s">
        <v>280</v>
      </c>
      <c r="K189">
        <v>7.9262264647960799E-3</v>
      </c>
      <c r="L189" t="s">
        <v>166</v>
      </c>
      <c r="N189" t="s">
        <v>202</v>
      </c>
      <c r="O189" t="s">
        <v>280</v>
      </c>
      <c r="P189">
        <v>1.0008680571349758E-2</v>
      </c>
      <c r="Q189" t="s">
        <v>166</v>
      </c>
      <c r="S189" t="s">
        <v>219</v>
      </c>
      <c r="T189" t="s">
        <v>280</v>
      </c>
      <c r="U189">
        <v>1.1105187034176837E-2</v>
      </c>
      <c r="V189" t="s">
        <v>166</v>
      </c>
      <c r="AC189" t="s">
        <v>19</v>
      </c>
      <c r="AD189" t="s">
        <v>280</v>
      </c>
      <c r="AE189">
        <v>1.3538242333998283E-2</v>
      </c>
      <c r="AK189">
        <v>2044</v>
      </c>
      <c r="AL189" t="s">
        <v>160</v>
      </c>
      <c r="AM189">
        <v>0.43659999999999999</v>
      </c>
      <c r="AN189" t="s">
        <v>249</v>
      </c>
    </row>
    <row r="190" spans="9:40" x14ac:dyDescent="0.45">
      <c r="I190" t="s">
        <v>178</v>
      </c>
      <c r="J190" t="s">
        <v>281</v>
      </c>
      <c r="K190">
        <v>0</v>
      </c>
      <c r="L190" t="s">
        <v>166</v>
      </c>
      <c r="N190" t="s">
        <v>202</v>
      </c>
      <c r="O190" t="s">
        <v>281</v>
      </c>
      <c r="P190">
        <v>2.9369449981924135E-2</v>
      </c>
      <c r="Q190" t="s">
        <v>166</v>
      </c>
      <c r="S190" t="s">
        <v>219</v>
      </c>
      <c r="T190" t="s">
        <v>281</v>
      </c>
      <c r="U190">
        <v>2.6553241577517823E-2</v>
      </c>
      <c r="V190" t="s">
        <v>166</v>
      </c>
      <c r="AC190" t="s">
        <v>19</v>
      </c>
      <c r="AD190" t="s">
        <v>281</v>
      </c>
      <c r="AE190">
        <v>3.4063353078684737E-2</v>
      </c>
      <c r="AK190">
        <v>2044</v>
      </c>
      <c r="AL190" t="s">
        <v>162</v>
      </c>
      <c r="AM190">
        <v>0.5222</v>
      </c>
      <c r="AN190" t="s">
        <v>249</v>
      </c>
    </row>
    <row r="191" spans="9:40" x14ac:dyDescent="0.45">
      <c r="I191" t="s">
        <v>178</v>
      </c>
      <c r="J191" t="s">
        <v>282</v>
      </c>
      <c r="K191">
        <v>2.0831382273489322E-3</v>
      </c>
      <c r="L191" t="s">
        <v>166</v>
      </c>
      <c r="N191" t="s">
        <v>202</v>
      </c>
      <c r="O191" t="s">
        <v>282</v>
      </c>
      <c r="P191">
        <v>2.3823724846561003E-2</v>
      </c>
      <c r="Q191" t="s">
        <v>166</v>
      </c>
      <c r="S191" t="s">
        <v>219</v>
      </c>
      <c r="T191" t="s">
        <v>282</v>
      </c>
      <c r="U191">
        <v>3.4541469857869253E-2</v>
      </c>
      <c r="V191" t="s">
        <v>166</v>
      </c>
      <c r="AC191" t="s">
        <v>19</v>
      </c>
      <c r="AD191" t="s">
        <v>282</v>
      </c>
      <c r="AE191">
        <v>2.7600772763492622E-2</v>
      </c>
      <c r="AK191">
        <v>2044</v>
      </c>
      <c r="AL191" t="s">
        <v>252</v>
      </c>
      <c r="AM191">
        <v>0.63590000000000002</v>
      </c>
      <c r="AN191" t="s">
        <v>249</v>
      </c>
    </row>
    <row r="192" spans="9:40" x14ac:dyDescent="0.45">
      <c r="I192" t="s">
        <v>178</v>
      </c>
      <c r="J192" t="s">
        <v>283</v>
      </c>
      <c r="K192">
        <v>3.9137217618568539E-3</v>
      </c>
      <c r="L192" t="s">
        <v>166</v>
      </c>
      <c r="N192" t="s">
        <v>202</v>
      </c>
      <c r="O192" t="s">
        <v>283</v>
      </c>
      <c r="P192">
        <v>3.1361889376891909E-3</v>
      </c>
      <c r="Q192" t="s">
        <v>166</v>
      </c>
      <c r="S192" t="s">
        <v>219</v>
      </c>
      <c r="T192" t="s">
        <v>283</v>
      </c>
      <c r="U192">
        <v>4.8283287753678574E-3</v>
      </c>
      <c r="V192" t="s">
        <v>166</v>
      </c>
      <c r="AC192" t="s">
        <v>19</v>
      </c>
      <c r="AD192" t="s">
        <v>283</v>
      </c>
      <c r="AE192">
        <v>3.4648061428728207E-3</v>
      </c>
      <c r="AK192">
        <v>2044</v>
      </c>
      <c r="AL192" t="s">
        <v>254</v>
      </c>
      <c r="AM192">
        <v>0.54925000000000002</v>
      </c>
      <c r="AN192" t="s">
        <v>249</v>
      </c>
    </row>
    <row r="193" spans="9:40" x14ac:dyDescent="0.45">
      <c r="I193" t="s">
        <v>178</v>
      </c>
      <c r="J193" t="s">
        <v>284</v>
      </c>
      <c r="K193">
        <v>5.0271441131022332E-2</v>
      </c>
      <c r="L193" t="s">
        <v>166</v>
      </c>
      <c r="N193" t="s">
        <v>202</v>
      </c>
      <c r="O193" t="s">
        <v>284</v>
      </c>
      <c r="P193">
        <v>2.3890438201433186E-2</v>
      </c>
      <c r="Q193" t="s">
        <v>166</v>
      </c>
      <c r="S193" t="s">
        <v>219</v>
      </c>
      <c r="T193" t="s">
        <v>284</v>
      </c>
      <c r="U193">
        <v>3.1982670651118275E-2</v>
      </c>
      <c r="V193" t="s">
        <v>166</v>
      </c>
      <c r="AC193" t="s">
        <v>19</v>
      </c>
      <c r="AD193" t="s">
        <v>284</v>
      </c>
      <c r="AE193">
        <v>2.4287096366786907E-2</v>
      </c>
      <c r="AK193">
        <v>2044</v>
      </c>
      <c r="AL193" t="s">
        <v>256</v>
      </c>
      <c r="AM193">
        <v>0.55820000000000003</v>
      </c>
      <c r="AN193" t="s">
        <v>249</v>
      </c>
    </row>
    <row r="194" spans="9:40" x14ac:dyDescent="0.45">
      <c r="I194" t="s">
        <v>178</v>
      </c>
      <c r="J194" t="s">
        <v>285</v>
      </c>
      <c r="K194">
        <v>4.7232707326665497E-3</v>
      </c>
      <c r="L194" t="s">
        <v>166</v>
      </c>
      <c r="N194" t="s">
        <v>202</v>
      </c>
      <c r="O194" t="s">
        <v>285</v>
      </c>
      <c r="P194">
        <v>3.3606065823526213E-3</v>
      </c>
      <c r="Q194" t="s">
        <v>166</v>
      </c>
      <c r="S194" t="s">
        <v>219</v>
      </c>
      <c r="T194" t="s">
        <v>285</v>
      </c>
      <c r="U194">
        <v>4.4493954450641427E-3</v>
      </c>
      <c r="V194" t="s">
        <v>166</v>
      </c>
      <c r="AC194" t="s">
        <v>19</v>
      </c>
      <c r="AD194" t="s">
        <v>285</v>
      </c>
      <c r="AE194">
        <v>3.3780742104009332E-3</v>
      </c>
      <c r="AK194">
        <v>2044</v>
      </c>
      <c r="AL194" t="s">
        <v>257</v>
      </c>
      <c r="AM194">
        <v>0.51090000000000002</v>
      </c>
      <c r="AN194" t="s">
        <v>249</v>
      </c>
    </row>
    <row r="195" spans="9:40" x14ac:dyDescent="0.45">
      <c r="I195" t="s">
        <v>178</v>
      </c>
      <c r="J195" t="s">
        <v>286</v>
      </c>
      <c r="K195">
        <v>2.6324823755611688E-3</v>
      </c>
      <c r="L195" t="s">
        <v>166</v>
      </c>
      <c r="N195" t="s">
        <v>202</v>
      </c>
      <c r="O195" t="s">
        <v>286</v>
      </c>
      <c r="P195">
        <v>6.159115790150247E-3</v>
      </c>
      <c r="Q195" t="s">
        <v>166</v>
      </c>
      <c r="S195" t="s">
        <v>219</v>
      </c>
      <c r="T195" t="s">
        <v>286</v>
      </c>
      <c r="U195">
        <v>9.0875777272086955E-3</v>
      </c>
      <c r="V195" t="s">
        <v>166</v>
      </c>
      <c r="AC195" t="s">
        <v>19</v>
      </c>
      <c r="AD195" t="s">
        <v>286</v>
      </c>
      <c r="AE195">
        <v>6.6675082892458598E-3</v>
      </c>
      <c r="AK195">
        <v>2045</v>
      </c>
      <c r="AL195" t="s">
        <v>154</v>
      </c>
      <c r="AM195">
        <v>0.28687500000000005</v>
      </c>
      <c r="AN195" t="s">
        <v>249</v>
      </c>
    </row>
    <row r="196" spans="9:40" x14ac:dyDescent="0.45">
      <c r="I196" t="s">
        <v>178</v>
      </c>
      <c r="J196" t="s">
        <v>287</v>
      </c>
      <c r="K196">
        <v>0</v>
      </c>
      <c r="L196" t="s">
        <v>166</v>
      </c>
      <c r="N196" t="s">
        <v>202</v>
      </c>
      <c r="O196" t="s">
        <v>287</v>
      </c>
      <c r="P196">
        <v>1.7087990799833978E-2</v>
      </c>
      <c r="Q196" t="s">
        <v>166</v>
      </c>
      <c r="S196" t="s">
        <v>219</v>
      </c>
      <c r="T196" t="s">
        <v>287</v>
      </c>
      <c r="U196">
        <v>2.4758285312233456E-2</v>
      </c>
      <c r="V196" t="s">
        <v>166</v>
      </c>
      <c r="AC196" t="s">
        <v>19</v>
      </c>
      <c r="AD196" t="s">
        <v>287</v>
      </c>
      <c r="AE196">
        <v>1.6767627601565471E-2</v>
      </c>
      <c r="AK196">
        <v>2045</v>
      </c>
      <c r="AL196" t="s">
        <v>158</v>
      </c>
      <c r="AM196">
        <v>0.3266</v>
      </c>
      <c r="AN196" t="s">
        <v>249</v>
      </c>
    </row>
    <row r="197" spans="9:40" x14ac:dyDescent="0.45">
      <c r="I197" t="s">
        <v>178</v>
      </c>
      <c r="J197" t="s">
        <v>288</v>
      </c>
      <c r="K197">
        <v>1.2613029915392773E-3</v>
      </c>
      <c r="L197" t="s">
        <v>166</v>
      </c>
      <c r="N197" t="s">
        <v>202</v>
      </c>
      <c r="O197" t="s">
        <v>288</v>
      </c>
      <c r="P197">
        <v>2.6078535271939086E-2</v>
      </c>
      <c r="Q197" t="s">
        <v>166</v>
      </c>
      <c r="S197" t="s">
        <v>219</v>
      </c>
      <c r="T197" t="s">
        <v>288</v>
      </c>
      <c r="U197">
        <v>4.2896481391140204E-2</v>
      </c>
      <c r="V197" t="s">
        <v>166</v>
      </c>
      <c r="AC197" t="s">
        <v>19</v>
      </c>
      <c r="AD197" t="s">
        <v>288</v>
      </c>
      <c r="AE197">
        <v>2.8479100457426271E-2</v>
      </c>
      <c r="AK197">
        <v>2045</v>
      </c>
      <c r="AL197" t="s">
        <v>160</v>
      </c>
      <c r="AM197">
        <v>0.4299</v>
      </c>
      <c r="AN197" t="s">
        <v>249</v>
      </c>
    </row>
    <row r="198" spans="9:40" x14ac:dyDescent="0.45">
      <c r="I198" t="s">
        <v>178</v>
      </c>
      <c r="J198" t="s">
        <v>289</v>
      </c>
      <c r="K198">
        <v>2.6859352430666106E-3</v>
      </c>
      <c r="L198" t="s">
        <v>166</v>
      </c>
      <c r="N198" t="s">
        <v>202</v>
      </c>
      <c r="O198" t="s">
        <v>289</v>
      </c>
      <c r="P198">
        <v>3.5299861712303005E-3</v>
      </c>
      <c r="Q198" t="s">
        <v>166</v>
      </c>
      <c r="S198" t="s">
        <v>219</v>
      </c>
      <c r="T198" t="s">
        <v>289</v>
      </c>
      <c r="U198">
        <v>5.9214276428238566E-3</v>
      </c>
      <c r="V198" t="s">
        <v>166</v>
      </c>
      <c r="AC198" t="s">
        <v>19</v>
      </c>
      <c r="AD198" t="s">
        <v>289</v>
      </c>
      <c r="AE198">
        <v>3.5760613906023597E-3</v>
      </c>
      <c r="AK198">
        <v>2045</v>
      </c>
      <c r="AL198" t="s">
        <v>162</v>
      </c>
      <c r="AM198">
        <v>0.49220000000000003</v>
      </c>
      <c r="AN198" t="s">
        <v>249</v>
      </c>
    </row>
    <row r="199" spans="9:40" x14ac:dyDescent="0.45">
      <c r="I199" t="s">
        <v>178</v>
      </c>
      <c r="J199" t="s">
        <v>290</v>
      </c>
      <c r="K199">
        <v>4.144726088659887E-2</v>
      </c>
      <c r="L199" t="s">
        <v>166</v>
      </c>
      <c r="N199" t="s">
        <v>202</v>
      </c>
      <c r="O199" t="s">
        <v>290</v>
      </c>
      <c r="P199">
        <v>2.3770817127238143E-2</v>
      </c>
      <c r="Q199" t="s">
        <v>166</v>
      </c>
      <c r="S199" t="s">
        <v>219</v>
      </c>
      <c r="T199" t="s">
        <v>290</v>
      </c>
      <c r="U199">
        <v>4.2434787061654725E-2</v>
      </c>
      <c r="V199" t="s">
        <v>166</v>
      </c>
      <c r="AC199" t="s">
        <v>19</v>
      </c>
      <c r="AD199" t="s">
        <v>290</v>
      </c>
      <c r="AE199">
        <v>2.5051881435671629E-2</v>
      </c>
      <c r="AK199">
        <v>2045</v>
      </c>
      <c r="AL199" t="s">
        <v>252</v>
      </c>
      <c r="AM199">
        <v>0.58220000000000005</v>
      </c>
      <c r="AN199" t="s">
        <v>249</v>
      </c>
    </row>
    <row r="200" spans="9:40" x14ac:dyDescent="0.45">
      <c r="I200" t="s">
        <v>178</v>
      </c>
      <c r="J200" t="s">
        <v>291</v>
      </c>
      <c r="K200">
        <v>3.7014213416307544E-3</v>
      </c>
      <c r="L200" t="s">
        <v>166</v>
      </c>
      <c r="N200" t="s">
        <v>202</v>
      </c>
      <c r="O200" t="s">
        <v>291</v>
      </c>
      <c r="P200">
        <v>2.7726936685381876E-3</v>
      </c>
      <c r="Q200" t="s">
        <v>166</v>
      </c>
      <c r="S200" t="s">
        <v>219</v>
      </c>
      <c r="T200" t="s">
        <v>291</v>
      </c>
      <c r="U200">
        <v>5.904049177744901E-3</v>
      </c>
      <c r="V200" t="s">
        <v>166</v>
      </c>
      <c r="AC200" t="s">
        <v>19</v>
      </c>
      <c r="AD200" t="s">
        <v>291</v>
      </c>
      <c r="AE200">
        <v>3.4960382146226924E-3</v>
      </c>
      <c r="AK200">
        <v>2045</v>
      </c>
      <c r="AL200" t="s">
        <v>254</v>
      </c>
      <c r="AM200">
        <v>0.53949999999999998</v>
      </c>
      <c r="AN200" t="s">
        <v>249</v>
      </c>
    </row>
    <row r="201" spans="9:40" x14ac:dyDescent="0.45">
      <c r="I201" t="s">
        <v>178</v>
      </c>
      <c r="J201" t="s">
        <v>292</v>
      </c>
      <c r="K201">
        <v>2.0598429588766761E-3</v>
      </c>
      <c r="L201" t="s">
        <v>166</v>
      </c>
      <c r="N201" t="s">
        <v>202</v>
      </c>
      <c r="O201" t="s">
        <v>292</v>
      </c>
      <c r="P201">
        <v>5.3050689470716646E-3</v>
      </c>
      <c r="Q201" t="s">
        <v>166</v>
      </c>
      <c r="S201" t="s">
        <v>219</v>
      </c>
      <c r="T201" t="s">
        <v>292</v>
      </c>
      <c r="U201">
        <v>1.1806763319264568E-2</v>
      </c>
      <c r="V201" t="s">
        <v>166</v>
      </c>
      <c r="AC201" t="s">
        <v>19</v>
      </c>
      <c r="AD201" t="s">
        <v>292</v>
      </c>
      <c r="AE201">
        <v>6.906938370828627E-3</v>
      </c>
      <c r="AK201">
        <v>2045</v>
      </c>
      <c r="AL201" t="s">
        <v>256</v>
      </c>
      <c r="AM201">
        <v>0.50429999999999997</v>
      </c>
      <c r="AN201" t="s">
        <v>249</v>
      </c>
    </row>
    <row r="202" spans="9:40" x14ac:dyDescent="0.45">
      <c r="I202" t="s">
        <v>178</v>
      </c>
      <c r="J202" t="s">
        <v>293</v>
      </c>
      <c r="K202">
        <v>0</v>
      </c>
      <c r="L202" t="s">
        <v>166</v>
      </c>
      <c r="N202" t="s">
        <v>202</v>
      </c>
      <c r="O202" t="s">
        <v>293</v>
      </c>
      <c r="P202">
        <v>1.5196307039394803E-2</v>
      </c>
      <c r="Q202" t="s">
        <v>166</v>
      </c>
      <c r="S202" t="s">
        <v>219</v>
      </c>
      <c r="T202" t="s">
        <v>293</v>
      </c>
      <c r="U202">
        <v>3.2421389437008757E-2</v>
      </c>
      <c r="V202" t="s">
        <v>166</v>
      </c>
      <c r="AC202" t="s">
        <v>19</v>
      </c>
      <c r="AD202" t="s">
        <v>293</v>
      </c>
      <c r="AE202">
        <v>1.7324044434390288E-2</v>
      </c>
      <c r="AK202">
        <v>2045</v>
      </c>
      <c r="AL202" t="s">
        <v>257</v>
      </c>
      <c r="AM202">
        <v>0.52029999999999998</v>
      </c>
      <c r="AN202" t="s">
        <v>249</v>
      </c>
    </row>
    <row r="203" spans="9:40" x14ac:dyDescent="0.45">
      <c r="I203" t="s">
        <v>179</v>
      </c>
      <c r="J203" t="s">
        <v>165</v>
      </c>
      <c r="K203">
        <v>1.2227273172741884E-2</v>
      </c>
      <c r="L203" t="s">
        <v>166</v>
      </c>
      <c r="N203" t="s">
        <v>203</v>
      </c>
      <c r="O203" t="s">
        <v>165</v>
      </c>
      <c r="P203">
        <v>9.8155468231480122E-2</v>
      </c>
      <c r="Q203" t="s">
        <v>166</v>
      </c>
      <c r="S203" t="s">
        <v>220</v>
      </c>
      <c r="T203" t="s">
        <v>165</v>
      </c>
      <c r="U203">
        <v>0.12988035244531942</v>
      </c>
      <c r="V203" t="s">
        <v>166</v>
      </c>
      <c r="AK203">
        <v>2046</v>
      </c>
      <c r="AL203" t="s">
        <v>154</v>
      </c>
      <c r="AM203">
        <v>0.29772500000000002</v>
      </c>
      <c r="AN203" t="s">
        <v>249</v>
      </c>
    </row>
    <row r="204" spans="9:40" x14ac:dyDescent="0.45">
      <c r="I204" t="s">
        <v>179</v>
      </c>
      <c r="J204" t="s">
        <v>167</v>
      </c>
      <c r="K204">
        <v>2.3167986099499296E-2</v>
      </c>
      <c r="L204" t="s">
        <v>166</v>
      </c>
      <c r="N204" t="s">
        <v>203</v>
      </c>
      <c r="O204" t="s">
        <v>167</v>
      </c>
      <c r="P204">
        <v>1.373537731065152E-2</v>
      </c>
      <c r="Q204" t="s">
        <v>166</v>
      </c>
      <c r="S204" t="s">
        <v>220</v>
      </c>
      <c r="T204" t="s">
        <v>167</v>
      </c>
      <c r="U204">
        <v>1.7843897259504117E-2</v>
      </c>
      <c r="V204" t="s">
        <v>166</v>
      </c>
      <c r="AK204">
        <v>2046</v>
      </c>
      <c r="AL204" t="s">
        <v>158</v>
      </c>
      <c r="AM204">
        <v>0.37109999999999999</v>
      </c>
      <c r="AN204" t="s">
        <v>249</v>
      </c>
    </row>
    <row r="205" spans="9:40" x14ac:dyDescent="0.45">
      <c r="I205" t="s">
        <v>179</v>
      </c>
      <c r="J205" t="s">
        <v>168</v>
      </c>
      <c r="K205">
        <v>0.26524601430935696</v>
      </c>
      <c r="L205" t="s">
        <v>166</v>
      </c>
      <c r="N205" t="s">
        <v>203</v>
      </c>
      <c r="O205" t="s">
        <v>168</v>
      </c>
      <c r="P205">
        <v>0.11625625909528774</v>
      </c>
      <c r="Q205" t="s">
        <v>166</v>
      </c>
      <c r="S205" t="s">
        <v>220</v>
      </c>
      <c r="T205" t="s">
        <v>168</v>
      </c>
      <c r="U205">
        <v>0.12075590271057503</v>
      </c>
      <c r="V205" t="s">
        <v>166</v>
      </c>
      <c r="AK205">
        <v>2046</v>
      </c>
      <c r="AL205" t="s">
        <v>160</v>
      </c>
      <c r="AM205">
        <v>0.3952</v>
      </c>
      <c r="AN205" t="s">
        <v>249</v>
      </c>
    </row>
    <row r="206" spans="9:40" x14ac:dyDescent="0.45">
      <c r="I206" t="s">
        <v>179</v>
      </c>
      <c r="J206" t="s">
        <v>258</v>
      </c>
      <c r="K206">
        <v>2.9970450603133698E-2</v>
      </c>
      <c r="L206" t="s">
        <v>166</v>
      </c>
      <c r="N206" t="s">
        <v>203</v>
      </c>
      <c r="O206" t="s">
        <v>258</v>
      </c>
      <c r="P206">
        <v>1.642118488299148E-2</v>
      </c>
      <c r="Q206" t="s">
        <v>166</v>
      </c>
      <c r="S206" t="s">
        <v>220</v>
      </c>
      <c r="T206" t="s">
        <v>258</v>
      </c>
      <c r="U206">
        <v>1.6484370047575754E-2</v>
      </c>
      <c r="V206" t="s">
        <v>166</v>
      </c>
      <c r="AK206">
        <v>2046</v>
      </c>
      <c r="AL206" t="s">
        <v>162</v>
      </c>
      <c r="AM206">
        <v>0.51939999999999997</v>
      </c>
      <c r="AN206" t="s">
        <v>249</v>
      </c>
    </row>
    <row r="207" spans="9:40" x14ac:dyDescent="0.45">
      <c r="I207" t="s">
        <v>179</v>
      </c>
      <c r="J207" t="s">
        <v>259</v>
      </c>
      <c r="K207">
        <v>3.5759131012520359E-2</v>
      </c>
      <c r="L207" t="s">
        <v>166</v>
      </c>
      <c r="N207" t="s">
        <v>203</v>
      </c>
      <c r="O207" t="s">
        <v>259</v>
      </c>
      <c r="P207">
        <v>2.8068801057160968E-2</v>
      </c>
      <c r="Q207" t="s">
        <v>166</v>
      </c>
      <c r="S207" t="s">
        <v>220</v>
      </c>
      <c r="T207" t="s">
        <v>259</v>
      </c>
      <c r="U207">
        <v>3.0830647223349196E-2</v>
      </c>
      <c r="V207" t="s">
        <v>166</v>
      </c>
      <c r="AK207">
        <v>2046</v>
      </c>
      <c r="AL207" t="s">
        <v>252</v>
      </c>
      <c r="AM207">
        <v>0.63900000000000001</v>
      </c>
      <c r="AN207" t="s">
        <v>249</v>
      </c>
    </row>
    <row r="208" spans="9:40" x14ac:dyDescent="0.45">
      <c r="I208" t="s">
        <v>179</v>
      </c>
      <c r="J208" t="s">
        <v>260</v>
      </c>
      <c r="K208">
        <v>0</v>
      </c>
      <c r="L208" t="s">
        <v>166</v>
      </c>
      <c r="N208" t="s">
        <v>203</v>
      </c>
      <c r="O208" t="s">
        <v>260</v>
      </c>
      <c r="P208">
        <v>7.4859249762175784E-2</v>
      </c>
      <c r="Q208" t="s">
        <v>166</v>
      </c>
      <c r="S208" t="s">
        <v>220</v>
      </c>
      <c r="T208" t="s">
        <v>260</v>
      </c>
      <c r="U208">
        <v>8.144165965255741E-2</v>
      </c>
      <c r="V208" t="s">
        <v>166</v>
      </c>
      <c r="AK208">
        <v>2046</v>
      </c>
      <c r="AL208" t="s">
        <v>254</v>
      </c>
      <c r="AM208">
        <v>0.53794999999999993</v>
      </c>
      <c r="AN208" t="s">
        <v>249</v>
      </c>
    </row>
    <row r="209" spans="9:40" x14ac:dyDescent="0.45">
      <c r="I209" t="s">
        <v>179</v>
      </c>
      <c r="J209" t="s">
        <v>346</v>
      </c>
      <c r="K209">
        <v>0</v>
      </c>
      <c r="L209" t="s">
        <v>166</v>
      </c>
      <c r="N209" t="s">
        <v>203</v>
      </c>
      <c r="O209" t="s">
        <v>346</v>
      </c>
      <c r="P209">
        <v>1.3794637767805757E-5</v>
      </c>
      <c r="Q209" t="s">
        <v>166</v>
      </c>
      <c r="S209" t="s">
        <v>220</v>
      </c>
      <c r="T209" t="s">
        <v>346</v>
      </c>
      <c r="U209">
        <v>2.1956875882875535E-4</v>
      </c>
      <c r="V209" t="s">
        <v>166</v>
      </c>
      <c r="AK209">
        <v>2046</v>
      </c>
      <c r="AL209" t="s">
        <v>256</v>
      </c>
      <c r="AM209">
        <v>0.53600000000000003</v>
      </c>
      <c r="AN209" t="s">
        <v>249</v>
      </c>
    </row>
    <row r="210" spans="9:40" x14ac:dyDescent="0.45">
      <c r="I210" t="s">
        <v>179</v>
      </c>
      <c r="J210" t="s">
        <v>347</v>
      </c>
      <c r="K210">
        <v>0</v>
      </c>
      <c r="L210" t="s">
        <v>166</v>
      </c>
      <c r="N210" t="s">
        <v>203</v>
      </c>
      <c r="O210" t="s">
        <v>347</v>
      </c>
      <c r="P210">
        <v>1.8175821047365676E-5</v>
      </c>
      <c r="Q210" t="s">
        <v>166</v>
      </c>
      <c r="S210" t="s">
        <v>220</v>
      </c>
      <c r="T210" t="s">
        <v>347</v>
      </c>
      <c r="U210">
        <v>2.0331045860250436E-4</v>
      </c>
      <c r="V210" t="s">
        <v>166</v>
      </c>
      <c r="AK210">
        <v>2046</v>
      </c>
      <c r="AL210" t="s">
        <v>257</v>
      </c>
      <c r="AM210">
        <v>0.46229999999999999</v>
      </c>
      <c r="AN210" t="s">
        <v>249</v>
      </c>
    </row>
    <row r="211" spans="9:40" x14ac:dyDescent="0.45">
      <c r="I211" t="s">
        <v>179</v>
      </c>
      <c r="J211" t="s">
        <v>348</v>
      </c>
      <c r="K211">
        <v>0</v>
      </c>
      <c r="L211" t="s">
        <v>166</v>
      </c>
      <c r="N211" t="s">
        <v>203</v>
      </c>
      <c r="O211" t="s">
        <v>348</v>
      </c>
      <c r="P211">
        <v>2.3667925959347418E-5</v>
      </c>
      <c r="Q211" t="s">
        <v>166</v>
      </c>
      <c r="S211" t="s">
        <v>220</v>
      </c>
      <c r="T211" t="s">
        <v>348</v>
      </c>
      <c r="U211">
        <v>1.9072209967614551E-4</v>
      </c>
      <c r="V211" t="s">
        <v>166</v>
      </c>
      <c r="AK211">
        <v>2047</v>
      </c>
      <c r="AL211" t="s">
        <v>154</v>
      </c>
      <c r="AM211">
        <v>0.28297499999999998</v>
      </c>
      <c r="AN211" t="s">
        <v>249</v>
      </c>
    </row>
    <row r="212" spans="9:40" x14ac:dyDescent="0.45">
      <c r="I212" t="s">
        <v>179</v>
      </c>
      <c r="J212" t="s">
        <v>349</v>
      </c>
      <c r="K212">
        <v>0</v>
      </c>
      <c r="L212" t="s">
        <v>166</v>
      </c>
      <c r="N212" t="s">
        <v>203</v>
      </c>
      <c r="O212" t="s">
        <v>349</v>
      </c>
      <c r="P212">
        <v>2.3317123303907704E-5</v>
      </c>
      <c r="Q212" t="s">
        <v>166</v>
      </c>
      <c r="S212" t="s">
        <v>220</v>
      </c>
      <c r="T212" t="s">
        <v>349</v>
      </c>
      <c r="U212">
        <v>1.9707922504266071E-4</v>
      </c>
      <c r="V212" t="s">
        <v>166</v>
      </c>
      <c r="AK212">
        <v>2047</v>
      </c>
      <c r="AL212" t="s">
        <v>158</v>
      </c>
      <c r="AM212">
        <v>0.37909999999999999</v>
      </c>
      <c r="AN212" t="s">
        <v>249</v>
      </c>
    </row>
    <row r="213" spans="9:40" x14ac:dyDescent="0.45">
      <c r="I213" t="s">
        <v>179</v>
      </c>
      <c r="J213" t="s">
        <v>350</v>
      </c>
      <c r="K213">
        <v>0</v>
      </c>
      <c r="L213" t="s">
        <v>166</v>
      </c>
      <c r="N213" t="s">
        <v>203</v>
      </c>
      <c r="O213" t="s">
        <v>350</v>
      </c>
      <c r="P213">
        <v>1.97226303055267E-5</v>
      </c>
      <c r="Q213" t="s">
        <v>166</v>
      </c>
      <c r="S213" t="s">
        <v>220</v>
      </c>
      <c r="T213" t="s">
        <v>350</v>
      </c>
      <c r="U213">
        <v>2.1659102544303009E-4</v>
      </c>
      <c r="V213" t="s">
        <v>166</v>
      </c>
      <c r="AK213">
        <v>2047</v>
      </c>
      <c r="AL213" t="s">
        <v>160</v>
      </c>
      <c r="AM213">
        <v>0.39729999999999999</v>
      </c>
      <c r="AN213" t="s">
        <v>249</v>
      </c>
    </row>
    <row r="214" spans="9:40" x14ac:dyDescent="0.45">
      <c r="I214" t="s">
        <v>179</v>
      </c>
      <c r="J214" t="s">
        <v>351</v>
      </c>
      <c r="K214">
        <v>0</v>
      </c>
      <c r="L214" t="s">
        <v>166</v>
      </c>
      <c r="N214" t="s">
        <v>203</v>
      </c>
      <c r="O214" t="s">
        <v>351</v>
      </c>
      <c r="P214">
        <v>1.8949798951950972E-5</v>
      </c>
      <c r="Q214" t="s">
        <v>166</v>
      </c>
      <c r="S214" t="s">
        <v>220</v>
      </c>
      <c r="T214" t="s">
        <v>351</v>
      </c>
      <c r="U214">
        <v>2.2203196158194501E-4</v>
      </c>
      <c r="V214" t="s">
        <v>166</v>
      </c>
      <c r="AK214">
        <v>2047</v>
      </c>
      <c r="AL214" t="s">
        <v>162</v>
      </c>
      <c r="AM214">
        <v>0.46899999999999997</v>
      </c>
      <c r="AN214" t="s">
        <v>249</v>
      </c>
    </row>
    <row r="215" spans="9:40" x14ac:dyDescent="0.45">
      <c r="I215" t="s">
        <v>179</v>
      </c>
      <c r="J215" t="s">
        <v>352</v>
      </c>
      <c r="K215">
        <v>0</v>
      </c>
      <c r="L215" t="s">
        <v>166</v>
      </c>
      <c r="N215" t="s">
        <v>203</v>
      </c>
      <c r="O215" t="s">
        <v>352</v>
      </c>
      <c r="P215">
        <v>1.5200102218814495E-5</v>
      </c>
      <c r="Q215" t="s">
        <v>166</v>
      </c>
      <c r="S215" t="s">
        <v>220</v>
      </c>
      <c r="T215" t="s">
        <v>352</v>
      </c>
      <c r="U215">
        <v>2.4178623954155049E-4</v>
      </c>
      <c r="V215" t="s">
        <v>166</v>
      </c>
      <c r="AK215">
        <v>2047</v>
      </c>
      <c r="AL215" t="s">
        <v>252</v>
      </c>
      <c r="AM215">
        <v>0.61199999999999999</v>
      </c>
      <c r="AN215" t="s">
        <v>249</v>
      </c>
    </row>
    <row r="216" spans="9:40" x14ac:dyDescent="0.45">
      <c r="I216" t="s">
        <v>179</v>
      </c>
      <c r="J216" t="s">
        <v>353</v>
      </c>
      <c r="K216">
        <v>9.2999452250542214E-5</v>
      </c>
      <c r="L216" t="s">
        <v>166</v>
      </c>
      <c r="N216" t="s">
        <v>203</v>
      </c>
      <c r="O216" t="s">
        <v>353</v>
      </c>
      <c r="P216">
        <v>1.5666257402679875E-5</v>
      </c>
      <c r="Q216" t="s">
        <v>166</v>
      </c>
      <c r="S216" t="s">
        <v>220</v>
      </c>
      <c r="T216" t="s">
        <v>353</v>
      </c>
      <c r="U216">
        <v>2.614287944622684E-4</v>
      </c>
      <c r="V216" t="s">
        <v>166</v>
      </c>
      <c r="AK216">
        <v>2047</v>
      </c>
      <c r="AL216" t="s">
        <v>254</v>
      </c>
      <c r="AM216">
        <v>0.52984999999999993</v>
      </c>
      <c r="AN216" t="s">
        <v>249</v>
      </c>
    </row>
    <row r="217" spans="9:40" x14ac:dyDescent="0.45">
      <c r="I217" t="s">
        <v>179</v>
      </c>
      <c r="J217" t="s">
        <v>354</v>
      </c>
      <c r="K217">
        <v>2.1470450802264489E-4</v>
      </c>
      <c r="L217" t="s">
        <v>166</v>
      </c>
      <c r="N217" t="s">
        <v>203</v>
      </c>
      <c r="O217" t="s">
        <v>354</v>
      </c>
      <c r="P217">
        <v>1.5608727710380697E-5</v>
      </c>
      <c r="Q217" t="s">
        <v>166</v>
      </c>
      <c r="S217" t="s">
        <v>220</v>
      </c>
      <c r="T217" t="s">
        <v>354</v>
      </c>
      <c r="U217">
        <v>2.7945366154898067E-4</v>
      </c>
      <c r="V217" t="s">
        <v>166</v>
      </c>
      <c r="AK217">
        <v>2047</v>
      </c>
      <c r="AL217" t="s">
        <v>256</v>
      </c>
      <c r="AM217">
        <v>0.51649999999999996</v>
      </c>
      <c r="AN217" t="s">
        <v>249</v>
      </c>
    </row>
    <row r="218" spans="9:40" x14ac:dyDescent="0.45">
      <c r="I218" t="s">
        <v>179</v>
      </c>
      <c r="J218" t="s">
        <v>355</v>
      </c>
      <c r="K218">
        <v>2.794575780713731E-4</v>
      </c>
      <c r="L218" t="s">
        <v>166</v>
      </c>
      <c r="N218" t="s">
        <v>203</v>
      </c>
      <c r="O218" t="s">
        <v>355</v>
      </c>
      <c r="P218">
        <v>1.3922867580564214E-5</v>
      </c>
      <c r="Q218" t="s">
        <v>166</v>
      </c>
      <c r="S218" t="s">
        <v>220</v>
      </c>
      <c r="T218" t="s">
        <v>355</v>
      </c>
      <c r="U218">
        <v>2.9502276425275075E-4</v>
      </c>
      <c r="V218" t="s">
        <v>166</v>
      </c>
      <c r="AK218">
        <v>2047</v>
      </c>
      <c r="AL218" t="s">
        <v>257</v>
      </c>
      <c r="AM218">
        <v>0.48649999999999999</v>
      </c>
      <c r="AN218" t="s">
        <v>249</v>
      </c>
    </row>
    <row r="219" spans="9:40" x14ac:dyDescent="0.45">
      <c r="I219" t="s">
        <v>179</v>
      </c>
      <c r="J219" t="s">
        <v>356</v>
      </c>
      <c r="K219">
        <v>3.3842466169245857E-4</v>
      </c>
      <c r="L219" t="s">
        <v>166</v>
      </c>
      <c r="N219" t="s">
        <v>203</v>
      </c>
      <c r="O219" t="s">
        <v>356</v>
      </c>
      <c r="P219">
        <v>1.1525270746332913E-5</v>
      </c>
      <c r="Q219" t="s">
        <v>166</v>
      </c>
      <c r="S219" t="s">
        <v>220</v>
      </c>
      <c r="T219" t="s">
        <v>356</v>
      </c>
      <c r="U219">
        <v>3.0737079483077862E-4</v>
      </c>
      <c r="V219" t="s">
        <v>166</v>
      </c>
      <c r="AK219">
        <v>2048</v>
      </c>
      <c r="AL219" t="s">
        <v>154</v>
      </c>
      <c r="AM219">
        <v>0.28400000000000003</v>
      </c>
      <c r="AN219" t="s">
        <v>249</v>
      </c>
    </row>
    <row r="220" spans="9:40" x14ac:dyDescent="0.45">
      <c r="I220" t="s">
        <v>179</v>
      </c>
      <c r="J220" t="s">
        <v>357</v>
      </c>
      <c r="K220">
        <v>2.7398590226919065E-4</v>
      </c>
      <c r="L220" t="s">
        <v>166</v>
      </c>
      <c r="N220" t="s">
        <v>203</v>
      </c>
      <c r="O220" t="s">
        <v>357</v>
      </c>
      <c r="P220">
        <v>1.3576850148750321E-5</v>
      </c>
      <c r="Q220" t="s">
        <v>166</v>
      </c>
      <c r="S220" t="s">
        <v>220</v>
      </c>
      <c r="T220" t="s">
        <v>357</v>
      </c>
      <c r="U220">
        <v>3.095634564683842E-4</v>
      </c>
      <c r="V220" t="s">
        <v>166</v>
      </c>
      <c r="AK220">
        <v>2048</v>
      </c>
      <c r="AL220" t="s">
        <v>158</v>
      </c>
      <c r="AM220">
        <v>0.33510000000000001</v>
      </c>
      <c r="AN220" t="s">
        <v>249</v>
      </c>
    </row>
    <row r="221" spans="9:40" x14ac:dyDescent="0.45">
      <c r="I221" t="s">
        <v>179</v>
      </c>
      <c r="J221" t="s">
        <v>358</v>
      </c>
      <c r="K221">
        <v>3.0113155133333364E-4</v>
      </c>
      <c r="L221" t="s">
        <v>166</v>
      </c>
      <c r="N221" t="s">
        <v>203</v>
      </c>
      <c r="O221" t="s">
        <v>358</v>
      </c>
      <c r="P221">
        <v>1.416150465358219E-5</v>
      </c>
      <c r="Q221" t="s">
        <v>166</v>
      </c>
      <c r="S221" t="s">
        <v>220</v>
      </c>
      <c r="T221" t="s">
        <v>358</v>
      </c>
      <c r="U221">
        <v>3.0020667971908616E-4</v>
      </c>
      <c r="V221" t="s">
        <v>166</v>
      </c>
      <c r="AK221">
        <v>2048</v>
      </c>
      <c r="AL221" t="s">
        <v>160</v>
      </c>
      <c r="AM221">
        <v>0.41839999999999999</v>
      </c>
      <c r="AN221" t="s">
        <v>249</v>
      </c>
    </row>
    <row r="222" spans="9:40" x14ac:dyDescent="0.45">
      <c r="I222" t="s">
        <v>179</v>
      </c>
      <c r="J222" t="s">
        <v>359</v>
      </c>
      <c r="K222">
        <v>2.6733694429960917E-4</v>
      </c>
      <c r="L222" t="s">
        <v>166</v>
      </c>
      <c r="N222" t="s">
        <v>203</v>
      </c>
      <c r="O222" t="s">
        <v>359</v>
      </c>
      <c r="P222">
        <v>1.4857616693972149E-5</v>
      </c>
      <c r="Q222" t="s">
        <v>166</v>
      </c>
      <c r="S222" t="s">
        <v>220</v>
      </c>
      <c r="T222" t="s">
        <v>359</v>
      </c>
      <c r="U222">
        <v>2.7187270969879831E-4</v>
      </c>
      <c r="V222" t="s">
        <v>166</v>
      </c>
      <c r="AK222">
        <v>2048</v>
      </c>
      <c r="AL222" t="s">
        <v>162</v>
      </c>
      <c r="AM222">
        <v>0.50619999999999998</v>
      </c>
      <c r="AN222" t="s">
        <v>249</v>
      </c>
    </row>
    <row r="223" spans="9:40" x14ac:dyDescent="0.45">
      <c r="I223" t="s">
        <v>179</v>
      </c>
      <c r="J223" t="s">
        <v>360</v>
      </c>
      <c r="K223">
        <v>2.7263167051602374E-4</v>
      </c>
      <c r="L223" t="s">
        <v>166</v>
      </c>
      <c r="N223" t="s">
        <v>203</v>
      </c>
      <c r="O223" t="s">
        <v>360</v>
      </c>
      <c r="P223">
        <v>1.8442841328988367E-5</v>
      </c>
      <c r="Q223" t="s">
        <v>166</v>
      </c>
      <c r="S223" t="s">
        <v>220</v>
      </c>
      <c r="T223" t="s">
        <v>360</v>
      </c>
      <c r="U223">
        <v>2.4375807147849622E-4</v>
      </c>
      <c r="V223" t="s">
        <v>166</v>
      </c>
      <c r="AK223">
        <v>2048</v>
      </c>
      <c r="AL223" t="s">
        <v>252</v>
      </c>
      <c r="AM223">
        <v>0.57840000000000003</v>
      </c>
      <c r="AN223" t="s">
        <v>249</v>
      </c>
    </row>
    <row r="224" spans="9:40" x14ac:dyDescent="0.45">
      <c r="I224" t="s">
        <v>179</v>
      </c>
      <c r="J224" t="s">
        <v>361</v>
      </c>
      <c r="K224">
        <v>2.4589931500906283E-4</v>
      </c>
      <c r="L224" t="s">
        <v>166</v>
      </c>
      <c r="N224" t="s">
        <v>203</v>
      </c>
      <c r="O224" t="s">
        <v>361</v>
      </c>
      <c r="P224">
        <v>2.4517518436347704E-5</v>
      </c>
      <c r="Q224" t="s">
        <v>166</v>
      </c>
      <c r="S224" t="s">
        <v>220</v>
      </c>
      <c r="T224" t="s">
        <v>361</v>
      </c>
      <c r="U224">
        <v>2.2673159394098356E-4</v>
      </c>
      <c r="V224" t="s">
        <v>166</v>
      </c>
      <c r="AK224">
        <v>2048</v>
      </c>
      <c r="AL224" t="s">
        <v>254</v>
      </c>
      <c r="AM224">
        <v>0.54919999999999991</v>
      </c>
      <c r="AN224" t="s">
        <v>249</v>
      </c>
    </row>
    <row r="225" spans="9:40" x14ac:dyDescent="0.45">
      <c r="I225" t="s">
        <v>179</v>
      </c>
      <c r="J225" t="s">
        <v>362</v>
      </c>
      <c r="K225">
        <v>2.4454463960658419E-4</v>
      </c>
      <c r="L225" t="s">
        <v>166</v>
      </c>
      <c r="N225" t="s">
        <v>203</v>
      </c>
      <c r="O225" t="s">
        <v>362</v>
      </c>
      <c r="P225">
        <v>3.5979361711718021E-5</v>
      </c>
      <c r="Q225" t="s">
        <v>166</v>
      </c>
      <c r="S225" t="s">
        <v>220</v>
      </c>
      <c r="T225" t="s">
        <v>362</v>
      </c>
      <c r="U225">
        <v>2.1810970111328494E-4</v>
      </c>
      <c r="V225" t="s">
        <v>166</v>
      </c>
      <c r="AK225">
        <v>2048</v>
      </c>
      <c r="AL225" t="s">
        <v>256</v>
      </c>
      <c r="AM225">
        <v>0.53839999999999999</v>
      </c>
      <c r="AN225" t="s">
        <v>249</v>
      </c>
    </row>
    <row r="226" spans="9:40" x14ac:dyDescent="0.45">
      <c r="I226" t="s">
        <v>179</v>
      </c>
      <c r="J226" t="s">
        <v>363</v>
      </c>
      <c r="K226">
        <v>1.8713110884108105E-4</v>
      </c>
      <c r="L226" t="s">
        <v>166</v>
      </c>
      <c r="N226" t="s">
        <v>203</v>
      </c>
      <c r="O226" t="s">
        <v>363</v>
      </c>
      <c r="P226">
        <v>2.6106299609169323E-5</v>
      </c>
      <c r="Q226" t="s">
        <v>166</v>
      </c>
      <c r="S226" t="s">
        <v>220</v>
      </c>
      <c r="T226" t="s">
        <v>363</v>
      </c>
      <c r="U226">
        <v>1.8149493639246813E-4</v>
      </c>
      <c r="V226" t="s">
        <v>166</v>
      </c>
      <c r="AK226">
        <v>2048</v>
      </c>
      <c r="AL226" t="s">
        <v>257</v>
      </c>
      <c r="AM226">
        <v>0.46450000000000002</v>
      </c>
      <c r="AN226" t="s">
        <v>249</v>
      </c>
    </row>
    <row r="227" spans="9:40" x14ac:dyDescent="0.45">
      <c r="I227" t="s">
        <v>179</v>
      </c>
      <c r="J227" t="s">
        <v>364</v>
      </c>
      <c r="K227">
        <v>6.5795971598388918E-5</v>
      </c>
      <c r="L227" t="s">
        <v>166</v>
      </c>
      <c r="N227" t="s">
        <v>203</v>
      </c>
      <c r="O227" t="s">
        <v>364</v>
      </c>
      <c r="P227">
        <v>3.0620701820534795E-5</v>
      </c>
      <c r="Q227" t="s">
        <v>166</v>
      </c>
      <c r="S227" t="s">
        <v>220</v>
      </c>
      <c r="T227" t="s">
        <v>364</v>
      </c>
      <c r="U227">
        <v>1.9837753404840816E-4</v>
      </c>
      <c r="V227" t="s">
        <v>166</v>
      </c>
      <c r="AK227">
        <v>2049</v>
      </c>
      <c r="AL227" t="s">
        <v>154</v>
      </c>
      <c r="AM227">
        <v>0.27817499999999995</v>
      </c>
      <c r="AN227" t="s">
        <v>249</v>
      </c>
    </row>
    <row r="228" spans="9:40" x14ac:dyDescent="0.45">
      <c r="I228" t="s">
        <v>179</v>
      </c>
      <c r="J228" t="s">
        <v>365</v>
      </c>
      <c r="K228">
        <v>0</v>
      </c>
      <c r="L228" t="s">
        <v>166</v>
      </c>
      <c r="N228" t="s">
        <v>203</v>
      </c>
      <c r="O228" t="s">
        <v>365</v>
      </c>
      <c r="P228">
        <v>3.7712274657773976E-5</v>
      </c>
      <c r="Q228" t="s">
        <v>166</v>
      </c>
      <c r="S228" t="s">
        <v>220</v>
      </c>
      <c r="T228" t="s">
        <v>365</v>
      </c>
      <c r="U228">
        <v>2.0262358508568124E-4</v>
      </c>
      <c r="V228" t="s">
        <v>166</v>
      </c>
      <c r="AK228">
        <v>2049</v>
      </c>
      <c r="AL228" t="s">
        <v>158</v>
      </c>
      <c r="AM228">
        <v>0.35460000000000003</v>
      </c>
      <c r="AN228" t="s">
        <v>249</v>
      </c>
    </row>
    <row r="229" spans="9:40" x14ac:dyDescent="0.45">
      <c r="I229" t="s">
        <v>179</v>
      </c>
      <c r="J229" t="s">
        <v>366</v>
      </c>
      <c r="K229">
        <v>0</v>
      </c>
      <c r="L229" t="s">
        <v>166</v>
      </c>
      <c r="N229" t="s">
        <v>203</v>
      </c>
      <c r="O229" t="s">
        <v>366</v>
      </c>
      <c r="P229">
        <v>4.6359646235480379E-5</v>
      </c>
      <c r="Q229" t="s">
        <v>166</v>
      </c>
      <c r="S229" t="s">
        <v>220</v>
      </c>
      <c r="T229" t="s">
        <v>366</v>
      </c>
      <c r="U229">
        <v>2.0524559387157212E-4</v>
      </c>
      <c r="V229" t="s">
        <v>166</v>
      </c>
      <c r="AK229">
        <v>2049</v>
      </c>
      <c r="AL229" t="s">
        <v>160</v>
      </c>
      <c r="AM229">
        <v>0.42009999999999997</v>
      </c>
      <c r="AN229" t="s">
        <v>249</v>
      </c>
    </row>
    <row r="230" spans="9:40" x14ac:dyDescent="0.45">
      <c r="I230" t="s">
        <v>179</v>
      </c>
      <c r="J230" t="s">
        <v>367</v>
      </c>
      <c r="K230">
        <v>0</v>
      </c>
      <c r="L230" t="s">
        <v>166</v>
      </c>
      <c r="N230" t="s">
        <v>203</v>
      </c>
      <c r="O230" t="s">
        <v>367</v>
      </c>
      <c r="P230">
        <v>5.9229278233255654E-5</v>
      </c>
      <c r="Q230" t="s">
        <v>166</v>
      </c>
      <c r="S230" t="s">
        <v>220</v>
      </c>
      <c r="T230" t="s">
        <v>367</v>
      </c>
      <c r="U230">
        <v>2.0113932839316268E-4</v>
      </c>
      <c r="V230" t="s">
        <v>166</v>
      </c>
      <c r="AK230">
        <v>2049</v>
      </c>
      <c r="AL230" t="s">
        <v>162</v>
      </c>
      <c r="AM230">
        <v>0.48110000000000003</v>
      </c>
      <c r="AN230" t="s">
        <v>249</v>
      </c>
    </row>
    <row r="231" spans="9:40" x14ac:dyDescent="0.45">
      <c r="I231" t="s">
        <v>179</v>
      </c>
      <c r="J231" t="s">
        <v>368</v>
      </c>
      <c r="K231">
        <v>0</v>
      </c>
      <c r="L231" t="s">
        <v>166</v>
      </c>
      <c r="N231" t="s">
        <v>203</v>
      </c>
      <c r="O231" t="s">
        <v>368</v>
      </c>
      <c r="P231">
        <v>7.1061859222893684E-5</v>
      </c>
      <c r="Q231" t="s">
        <v>166</v>
      </c>
      <c r="S231" t="s">
        <v>220</v>
      </c>
      <c r="T231" t="s">
        <v>368</v>
      </c>
      <c r="U231">
        <v>1.7415413198358158E-4</v>
      </c>
      <c r="V231" t="s">
        <v>166</v>
      </c>
      <c r="AK231">
        <v>2049</v>
      </c>
      <c r="AL231" t="s">
        <v>252</v>
      </c>
      <c r="AM231">
        <v>0.58340000000000003</v>
      </c>
      <c r="AN231" t="s">
        <v>249</v>
      </c>
    </row>
    <row r="232" spans="9:40" x14ac:dyDescent="0.45">
      <c r="I232" t="s">
        <v>179</v>
      </c>
      <c r="J232" t="s">
        <v>369</v>
      </c>
      <c r="K232">
        <v>0</v>
      </c>
      <c r="L232" t="s">
        <v>166</v>
      </c>
      <c r="N232" t="s">
        <v>203</v>
      </c>
      <c r="O232" t="s">
        <v>369</v>
      </c>
      <c r="P232">
        <v>7.154553351989144E-5</v>
      </c>
      <c r="Q232" t="s">
        <v>166</v>
      </c>
      <c r="S232" t="s">
        <v>220</v>
      </c>
      <c r="T232" t="s">
        <v>369</v>
      </c>
      <c r="U232">
        <v>1.6027410593590056E-4</v>
      </c>
      <c r="V232" t="s">
        <v>166</v>
      </c>
      <c r="AK232">
        <v>2049</v>
      </c>
      <c r="AL232" t="s">
        <v>254</v>
      </c>
      <c r="AM232">
        <v>0.54354999999999998</v>
      </c>
      <c r="AN232" t="s">
        <v>249</v>
      </c>
    </row>
    <row r="233" spans="9:40" x14ac:dyDescent="0.45">
      <c r="I233" t="s">
        <v>179</v>
      </c>
      <c r="J233" t="s">
        <v>370</v>
      </c>
      <c r="K233">
        <v>0</v>
      </c>
      <c r="L233" t="s">
        <v>166</v>
      </c>
      <c r="N233" t="s">
        <v>203</v>
      </c>
      <c r="O233" t="s">
        <v>370</v>
      </c>
      <c r="P233">
        <v>8.0071163557929366E-5</v>
      </c>
      <c r="Q233" t="s">
        <v>166</v>
      </c>
      <c r="S233" t="s">
        <v>220</v>
      </c>
      <c r="T233" t="s">
        <v>370</v>
      </c>
      <c r="U233">
        <v>1.7780401860957535E-4</v>
      </c>
      <c r="V233" t="s">
        <v>166</v>
      </c>
      <c r="AK233">
        <v>2049</v>
      </c>
      <c r="AL233" t="s">
        <v>256</v>
      </c>
      <c r="AM233">
        <v>0.5171</v>
      </c>
      <c r="AN233" t="s">
        <v>249</v>
      </c>
    </row>
    <row r="234" spans="9:40" x14ac:dyDescent="0.45">
      <c r="I234" t="s">
        <v>179</v>
      </c>
      <c r="J234" t="s">
        <v>371</v>
      </c>
      <c r="K234">
        <v>0</v>
      </c>
      <c r="L234" t="s">
        <v>166</v>
      </c>
      <c r="N234" t="s">
        <v>203</v>
      </c>
      <c r="O234" t="s">
        <v>371</v>
      </c>
      <c r="P234">
        <v>7.0590657958668153E-5</v>
      </c>
      <c r="Q234" t="s">
        <v>166</v>
      </c>
      <c r="S234" t="s">
        <v>220</v>
      </c>
      <c r="T234" t="s">
        <v>371</v>
      </c>
      <c r="U234">
        <v>1.5917510008058304E-4</v>
      </c>
      <c r="V234" t="s">
        <v>166</v>
      </c>
      <c r="AK234">
        <v>2049</v>
      </c>
      <c r="AL234" t="s">
        <v>257</v>
      </c>
      <c r="AM234">
        <v>0.46949999999999997</v>
      </c>
      <c r="AN234" t="s">
        <v>249</v>
      </c>
    </row>
    <row r="235" spans="9:40" x14ac:dyDescent="0.45">
      <c r="I235" t="s">
        <v>179</v>
      </c>
      <c r="J235" t="s">
        <v>372</v>
      </c>
      <c r="K235">
        <v>0</v>
      </c>
      <c r="L235" t="s">
        <v>166</v>
      </c>
      <c r="N235" t="s">
        <v>203</v>
      </c>
      <c r="O235" t="s">
        <v>372</v>
      </c>
      <c r="P235">
        <v>5.3636563665752819E-5</v>
      </c>
      <c r="Q235" t="s">
        <v>166</v>
      </c>
      <c r="S235" t="s">
        <v>220</v>
      </c>
      <c r="T235" t="s">
        <v>372</v>
      </c>
      <c r="U235">
        <v>1.4700571265190596E-4</v>
      </c>
      <c r="V235" t="s">
        <v>166</v>
      </c>
      <c r="AK235">
        <v>2050</v>
      </c>
      <c r="AL235" t="s">
        <v>154</v>
      </c>
      <c r="AM235">
        <v>0.29269999999999996</v>
      </c>
      <c r="AN235" t="s">
        <v>249</v>
      </c>
    </row>
    <row r="236" spans="9:40" x14ac:dyDescent="0.45">
      <c r="I236" t="s">
        <v>179</v>
      </c>
      <c r="J236" t="s">
        <v>373</v>
      </c>
      <c r="K236">
        <v>0</v>
      </c>
      <c r="L236" t="s">
        <v>166</v>
      </c>
      <c r="N236" t="s">
        <v>203</v>
      </c>
      <c r="O236" t="s">
        <v>373</v>
      </c>
      <c r="P236">
        <v>3.9153496913659644E-5</v>
      </c>
      <c r="Q236" t="s">
        <v>166</v>
      </c>
      <c r="S236" t="s">
        <v>220</v>
      </c>
      <c r="T236" t="s">
        <v>373</v>
      </c>
      <c r="U236">
        <v>1.3722642828096525E-4</v>
      </c>
      <c r="V236" t="s">
        <v>166</v>
      </c>
      <c r="AK236">
        <v>2050</v>
      </c>
      <c r="AL236" t="s">
        <v>158</v>
      </c>
      <c r="AM236">
        <v>0.32590000000000002</v>
      </c>
      <c r="AN236" t="s">
        <v>249</v>
      </c>
    </row>
    <row r="237" spans="9:40" x14ac:dyDescent="0.45">
      <c r="I237" t="s">
        <v>179</v>
      </c>
      <c r="J237" t="s">
        <v>374</v>
      </c>
      <c r="K237">
        <v>0</v>
      </c>
      <c r="L237" t="s">
        <v>166</v>
      </c>
      <c r="N237" t="s">
        <v>203</v>
      </c>
      <c r="O237" t="s">
        <v>374</v>
      </c>
      <c r="P237">
        <v>2.1495887672677486E-5</v>
      </c>
      <c r="Q237" t="s">
        <v>166</v>
      </c>
      <c r="S237" t="s">
        <v>220</v>
      </c>
      <c r="T237" t="s">
        <v>374</v>
      </c>
      <c r="U237">
        <v>1.2624893397481223E-4</v>
      </c>
      <c r="V237" t="s">
        <v>166</v>
      </c>
      <c r="AK237">
        <v>2050</v>
      </c>
      <c r="AL237" t="s">
        <v>160</v>
      </c>
      <c r="AM237">
        <v>0.39460000000000001</v>
      </c>
      <c r="AN237" t="s">
        <v>249</v>
      </c>
    </row>
    <row r="238" spans="9:40" x14ac:dyDescent="0.45">
      <c r="I238" t="s">
        <v>179</v>
      </c>
      <c r="J238" t="s">
        <v>375</v>
      </c>
      <c r="K238">
        <v>0</v>
      </c>
      <c r="L238" t="s">
        <v>166</v>
      </c>
      <c r="N238" t="s">
        <v>203</v>
      </c>
      <c r="O238" t="s">
        <v>375</v>
      </c>
      <c r="P238">
        <v>9.7823256608820593E-6</v>
      </c>
      <c r="Q238" t="s">
        <v>166</v>
      </c>
      <c r="S238" t="s">
        <v>220</v>
      </c>
      <c r="T238" t="s">
        <v>375</v>
      </c>
      <c r="U238">
        <v>1.3990348721376671E-4</v>
      </c>
      <c r="V238" t="s">
        <v>166</v>
      </c>
      <c r="AK238">
        <v>2050</v>
      </c>
      <c r="AL238" t="s">
        <v>162</v>
      </c>
      <c r="AM238">
        <v>0.4889</v>
      </c>
      <c r="AN238" t="s">
        <v>249</v>
      </c>
    </row>
    <row r="239" spans="9:40" x14ac:dyDescent="0.45">
      <c r="I239" t="s">
        <v>179</v>
      </c>
      <c r="J239" t="s">
        <v>376</v>
      </c>
      <c r="K239">
        <v>0</v>
      </c>
      <c r="L239" t="s">
        <v>166</v>
      </c>
      <c r="N239" t="s">
        <v>203</v>
      </c>
      <c r="O239" t="s">
        <v>376</v>
      </c>
      <c r="P239">
        <v>7.1444183455430981E-7</v>
      </c>
      <c r="Q239" t="s">
        <v>166</v>
      </c>
      <c r="S239" t="s">
        <v>220</v>
      </c>
      <c r="T239" t="s">
        <v>376</v>
      </c>
      <c r="U239">
        <v>1.506789826664386E-4</v>
      </c>
      <c r="V239" t="s">
        <v>166</v>
      </c>
      <c r="AK239">
        <v>2050</v>
      </c>
      <c r="AL239" t="s">
        <v>252</v>
      </c>
      <c r="AM239">
        <v>0.53979999999999995</v>
      </c>
      <c r="AN239" t="s">
        <v>249</v>
      </c>
    </row>
    <row r="240" spans="9:40" x14ac:dyDescent="0.45">
      <c r="I240" t="s">
        <v>179</v>
      </c>
      <c r="J240" t="s">
        <v>377</v>
      </c>
      <c r="K240">
        <v>1.1370357052126958E-4</v>
      </c>
      <c r="L240" t="s">
        <v>166</v>
      </c>
      <c r="N240" t="s">
        <v>203</v>
      </c>
      <c r="O240" t="s">
        <v>377</v>
      </c>
      <c r="P240">
        <v>1.138751061058449E-7</v>
      </c>
      <c r="Q240" t="s">
        <v>166</v>
      </c>
      <c r="S240" t="s">
        <v>220</v>
      </c>
      <c r="T240" t="s">
        <v>377</v>
      </c>
      <c r="U240">
        <v>1.4240061251509688E-4</v>
      </c>
      <c r="V240" t="s">
        <v>166</v>
      </c>
      <c r="AK240">
        <v>2050</v>
      </c>
      <c r="AL240" t="s">
        <v>254</v>
      </c>
      <c r="AM240">
        <v>0.52180000000000004</v>
      </c>
      <c r="AN240" t="s">
        <v>249</v>
      </c>
    </row>
    <row r="241" spans="9:40" x14ac:dyDescent="0.45">
      <c r="I241" t="s">
        <v>179</v>
      </c>
      <c r="J241" t="s">
        <v>378</v>
      </c>
      <c r="K241">
        <v>2.4932556575216707E-4</v>
      </c>
      <c r="L241" t="s">
        <v>166</v>
      </c>
      <c r="N241" t="s">
        <v>203</v>
      </c>
      <c r="O241" t="s">
        <v>378</v>
      </c>
      <c r="P241">
        <v>1.3236609160960252E-6</v>
      </c>
      <c r="Q241" t="s">
        <v>166</v>
      </c>
      <c r="S241" t="s">
        <v>220</v>
      </c>
      <c r="T241" t="s">
        <v>378</v>
      </c>
      <c r="U241">
        <v>1.28993484392583E-4</v>
      </c>
      <c r="V241" t="s">
        <v>166</v>
      </c>
      <c r="AK241">
        <v>2050</v>
      </c>
      <c r="AL241" t="s">
        <v>256</v>
      </c>
      <c r="AM241">
        <v>0.56289999999999996</v>
      </c>
      <c r="AN241" t="s">
        <v>249</v>
      </c>
    </row>
    <row r="242" spans="9:40" x14ac:dyDescent="0.45">
      <c r="I242" t="s">
        <v>179</v>
      </c>
      <c r="J242" t="s">
        <v>379</v>
      </c>
      <c r="K242">
        <v>3.3376427167402308E-4</v>
      </c>
      <c r="L242" t="s">
        <v>166</v>
      </c>
      <c r="N242" t="s">
        <v>203</v>
      </c>
      <c r="O242" t="s">
        <v>379</v>
      </c>
      <c r="P242">
        <v>7.8160278047904383E-6</v>
      </c>
      <c r="Q242" t="s">
        <v>166</v>
      </c>
      <c r="S242" t="s">
        <v>220</v>
      </c>
      <c r="T242" t="s">
        <v>379</v>
      </c>
      <c r="U242">
        <v>1.2456333798433502E-4</v>
      </c>
      <c r="V242" t="s">
        <v>166</v>
      </c>
      <c r="AK242">
        <v>2050</v>
      </c>
      <c r="AL242" t="s">
        <v>257</v>
      </c>
      <c r="AM242">
        <v>0.50970000000000004</v>
      </c>
      <c r="AN242" t="s">
        <v>249</v>
      </c>
    </row>
    <row r="243" spans="9:40" x14ac:dyDescent="0.45">
      <c r="I243" t="s">
        <v>179</v>
      </c>
      <c r="J243" t="s">
        <v>380</v>
      </c>
      <c r="K243">
        <v>3.7376831921369353E-4</v>
      </c>
      <c r="L243" t="s">
        <v>166</v>
      </c>
      <c r="N243" t="s">
        <v>203</v>
      </c>
      <c r="O243" t="s">
        <v>380</v>
      </c>
      <c r="P243">
        <v>4.7252803969552324E-5</v>
      </c>
      <c r="Q243" t="s">
        <v>166</v>
      </c>
      <c r="S243" t="s">
        <v>220</v>
      </c>
      <c r="T243" t="s">
        <v>380</v>
      </c>
      <c r="U243">
        <v>1.1728054149133264E-4</v>
      </c>
      <c r="V243" t="s">
        <v>166</v>
      </c>
    </row>
    <row r="244" spans="9:40" x14ac:dyDescent="0.45">
      <c r="I244" t="s">
        <v>179</v>
      </c>
      <c r="J244" t="s">
        <v>381</v>
      </c>
      <c r="K244">
        <v>4.1716918367323879E-4</v>
      </c>
      <c r="L244" t="s">
        <v>166</v>
      </c>
      <c r="N244" t="s">
        <v>203</v>
      </c>
      <c r="O244" t="s">
        <v>381</v>
      </c>
      <c r="P244">
        <v>1.3226916652379621E-4</v>
      </c>
      <c r="Q244" t="s">
        <v>166</v>
      </c>
      <c r="S244" t="s">
        <v>220</v>
      </c>
      <c r="T244" t="s">
        <v>381</v>
      </c>
      <c r="U244">
        <v>1.0846967266836656E-4</v>
      </c>
      <c r="V244" t="s">
        <v>166</v>
      </c>
    </row>
    <row r="245" spans="9:40" x14ac:dyDescent="0.45">
      <c r="I245" t="s">
        <v>179</v>
      </c>
      <c r="J245" t="s">
        <v>382</v>
      </c>
      <c r="K245">
        <v>4.2293329868219054E-4</v>
      </c>
      <c r="L245" t="s">
        <v>166</v>
      </c>
      <c r="N245" t="s">
        <v>203</v>
      </c>
      <c r="O245" t="s">
        <v>382</v>
      </c>
      <c r="P245">
        <v>2.4556629965109665E-4</v>
      </c>
      <c r="Q245" t="s">
        <v>166</v>
      </c>
      <c r="S245" t="s">
        <v>220</v>
      </c>
      <c r="T245" t="s">
        <v>382</v>
      </c>
      <c r="U245">
        <v>1.0033991046868911E-4</v>
      </c>
      <c r="V245" t="s">
        <v>166</v>
      </c>
    </row>
    <row r="246" spans="9:40" x14ac:dyDescent="0.45">
      <c r="I246" t="s">
        <v>179</v>
      </c>
      <c r="J246" t="s">
        <v>383</v>
      </c>
      <c r="K246">
        <v>4.5031241156972423E-4</v>
      </c>
      <c r="L246" t="s">
        <v>166</v>
      </c>
      <c r="N246" t="s">
        <v>203</v>
      </c>
      <c r="O246" t="s">
        <v>383</v>
      </c>
      <c r="P246">
        <v>3.2119961796319113E-4</v>
      </c>
      <c r="Q246" t="s">
        <v>166</v>
      </c>
      <c r="S246" t="s">
        <v>220</v>
      </c>
      <c r="T246" t="s">
        <v>383</v>
      </c>
      <c r="U246">
        <v>8.8337121425676769E-5</v>
      </c>
      <c r="V246" t="s">
        <v>166</v>
      </c>
    </row>
    <row r="247" spans="9:40" x14ac:dyDescent="0.45">
      <c r="I247" t="s">
        <v>179</v>
      </c>
      <c r="J247" t="s">
        <v>384</v>
      </c>
      <c r="K247">
        <v>4.5541058801028088E-4</v>
      </c>
      <c r="L247" t="s">
        <v>166</v>
      </c>
      <c r="N247" t="s">
        <v>203</v>
      </c>
      <c r="O247" t="s">
        <v>384</v>
      </c>
      <c r="P247">
        <v>4.7263018804633348E-4</v>
      </c>
      <c r="Q247" t="s">
        <v>166</v>
      </c>
      <c r="S247" t="s">
        <v>220</v>
      </c>
      <c r="T247" t="s">
        <v>384</v>
      </c>
      <c r="U247">
        <v>7.7188576710936392E-5</v>
      </c>
      <c r="V247" t="s">
        <v>166</v>
      </c>
    </row>
    <row r="248" spans="9:40" x14ac:dyDescent="0.45">
      <c r="I248" t="s">
        <v>179</v>
      </c>
      <c r="J248" t="s">
        <v>385</v>
      </c>
      <c r="K248">
        <v>4.429806659300388E-4</v>
      </c>
      <c r="L248" t="s">
        <v>166</v>
      </c>
      <c r="N248" t="s">
        <v>203</v>
      </c>
      <c r="O248" t="s">
        <v>385</v>
      </c>
      <c r="P248">
        <v>4.5724658654432572E-4</v>
      </c>
      <c r="Q248" t="s">
        <v>166</v>
      </c>
      <c r="S248" t="s">
        <v>220</v>
      </c>
      <c r="T248" t="s">
        <v>385</v>
      </c>
      <c r="U248">
        <v>7.2581082080427011E-5</v>
      </c>
      <c r="V248" t="s">
        <v>166</v>
      </c>
    </row>
    <row r="249" spans="9:40" x14ac:dyDescent="0.45">
      <c r="I249" t="s">
        <v>179</v>
      </c>
      <c r="J249" t="s">
        <v>386</v>
      </c>
      <c r="K249">
        <v>4.0274534340743425E-4</v>
      </c>
      <c r="L249" t="s">
        <v>166</v>
      </c>
      <c r="N249" t="s">
        <v>203</v>
      </c>
      <c r="O249" t="s">
        <v>386</v>
      </c>
      <c r="P249">
        <v>4.6824217025596157E-4</v>
      </c>
      <c r="Q249" t="s">
        <v>166</v>
      </c>
      <c r="S249" t="s">
        <v>220</v>
      </c>
      <c r="T249" t="s">
        <v>386</v>
      </c>
      <c r="U249">
        <v>7.9511791937002173E-5</v>
      </c>
      <c r="V249" t="s">
        <v>166</v>
      </c>
    </row>
    <row r="250" spans="9:40" x14ac:dyDescent="0.45">
      <c r="I250" t="s">
        <v>179</v>
      </c>
      <c r="J250" t="s">
        <v>387</v>
      </c>
      <c r="K250">
        <v>3.3005322576133884E-4</v>
      </c>
      <c r="L250" t="s">
        <v>166</v>
      </c>
      <c r="N250" t="s">
        <v>203</v>
      </c>
      <c r="O250" t="s">
        <v>387</v>
      </c>
      <c r="P250">
        <v>2.9822411586288519E-4</v>
      </c>
      <c r="Q250" t="s">
        <v>166</v>
      </c>
      <c r="S250" t="s">
        <v>220</v>
      </c>
      <c r="T250" t="s">
        <v>387</v>
      </c>
      <c r="U250">
        <v>8.4113999370528754E-5</v>
      </c>
      <c r="V250" t="s">
        <v>166</v>
      </c>
    </row>
    <row r="251" spans="9:40" x14ac:dyDescent="0.45">
      <c r="I251" t="s">
        <v>179</v>
      </c>
      <c r="J251" t="s">
        <v>388</v>
      </c>
      <c r="K251">
        <v>1.9742603119881862E-4</v>
      </c>
      <c r="L251" t="s">
        <v>166</v>
      </c>
      <c r="N251" t="s">
        <v>203</v>
      </c>
      <c r="O251" t="s">
        <v>388</v>
      </c>
      <c r="P251">
        <v>3.3346055768586179E-4</v>
      </c>
      <c r="Q251" t="s">
        <v>166</v>
      </c>
      <c r="S251" t="s">
        <v>220</v>
      </c>
      <c r="T251" t="s">
        <v>388</v>
      </c>
      <c r="U251">
        <v>9.7194182698624883E-5</v>
      </c>
      <c r="V251" t="s">
        <v>166</v>
      </c>
    </row>
    <row r="252" spans="9:40" x14ac:dyDescent="0.45">
      <c r="I252" t="s">
        <v>179</v>
      </c>
      <c r="J252" t="s">
        <v>389</v>
      </c>
      <c r="K252">
        <v>0</v>
      </c>
      <c r="L252" t="s">
        <v>166</v>
      </c>
      <c r="N252" t="s">
        <v>203</v>
      </c>
      <c r="O252" t="s">
        <v>389</v>
      </c>
      <c r="P252">
        <v>3.5414320345559689E-4</v>
      </c>
      <c r="Q252" t="s">
        <v>166</v>
      </c>
      <c r="S252" t="s">
        <v>220</v>
      </c>
      <c r="T252" t="s">
        <v>389</v>
      </c>
      <c r="U252">
        <v>1.1689863591219323E-4</v>
      </c>
      <c r="V252" t="s">
        <v>166</v>
      </c>
    </row>
    <row r="253" spans="9:40" x14ac:dyDescent="0.45">
      <c r="I253" t="s">
        <v>179</v>
      </c>
      <c r="J253" t="s">
        <v>390</v>
      </c>
      <c r="K253">
        <v>0</v>
      </c>
      <c r="L253" t="s">
        <v>166</v>
      </c>
      <c r="N253" t="s">
        <v>203</v>
      </c>
      <c r="O253" t="s">
        <v>390</v>
      </c>
      <c r="P253">
        <v>3.4857737006371186E-4</v>
      </c>
      <c r="Q253" t="s">
        <v>166</v>
      </c>
      <c r="S253" t="s">
        <v>220</v>
      </c>
      <c r="T253" t="s">
        <v>390</v>
      </c>
      <c r="U253">
        <v>1.2218883708791679E-4</v>
      </c>
      <c r="V253" t="s">
        <v>166</v>
      </c>
    </row>
    <row r="254" spans="9:40" x14ac:dyDescent="0.45">
      <c r="I254" t="s">
        <v>179</v>
      </c>
      <c r="J254" t="s">
        <v>391</v>
      </c>
      <c r="K254">
        <v>0</v>
      </c>
      <c r="L254" t="s">
        <v>166</v>
      </c>
      <c r="N254" t="s">
        <v>203</v>
      </c>
      <c r="O254" t="s">
        <v>391</v>
      </c>
      <c r="P254">
        <v>3.187539859580568E-4</v>
      </c>
      <c r="Q254" t="s">
        <v>166</v>
      </c>
      <c r="S254" t="s">
        <v>220</v>
      </c>
      <c r="T254" t="s">
        <v>391</v>
      </c>
      <c r="U254">
        <v>1.0216225963273301E-4</v>
      </c>
      <c r="V254" t="s">
        <v>166</v>
      </c>
    </row>
    <row r="255" spans="9:40" x14ac:dyDescent="0.45">
      <c r="I255" t="s">
        <v>179</v>
      </c>
      <c r="J255" t="s">
        <v>392</v>
      </c>
      <c r="K255">
        <v>0</v>
      </c>
      <c r="L255" t="s">
        <v>166</v>
      </c>
      <c r="N255" t="s">
        <v>203</v>
      </c>
      <c r="O255" t="s">
        <v>392</v>
      </c>
      <c r="P255">
        <v>2.987934741199828E-4</v>
      </c>
      <c r="Q255" t="s">
        <v>166</v>
      </c>
      <c r="S255" t="s">
        <v>220</v>
      </c>
      <c r="T255" t="s">
        <v>392</v>
      </c>
      <c r="U255">
        <v>7.8067673601302717E-5</v>
      </c>
      <c r="V255" t="s">
        <v>166</v>
      </c>
    </row>
    <row r="256" spans="9:40" x14ac:dyDescent="0.45">
      <c r="I256" t="s">
        <v>179</v>
      </c>
      <c r="J256" t="s">
        <v>393</v>
      </c>
      <c r="K256">
        <v>0</v>
      </c>
      <c r="L256" t="s">
        <v>166</v>
      </c>
      <c r="N256" t="s">
        <v>203</v>
      </c>
      <c r="O256" t="s">
        <v>393</v>
      </c>
      <c r="P256">
        <v>2.7831493145205854E-4</v>
      </c>
      <c r="Q256" t="s">
        <v>166</v>
      </c>
      <c r="S256" t="s">
        <v>220</v>
      </c>
      <c r="T256" t="s">
        <v>393</v>
      </c>
      <c r="U256">
        <v>6.3436044280935114E-5</v>
      </c>
      <c r="V256" t="s">
        <v>166</v>
      </c>
    </row>
    <row r="257" spans="9:22" x14ac:dyDescent="0.45">
      <c r="I257" t="s">
        <v>179</v>
      </c>
      <c r="J257" t="s">
        <v>169</v>
      </c>
      <c r="K257">
        <v>9.1514768268097027E-3</v>
      </c>
      <c r="L257" t="s">
        <v>166</v>
      </c>
      <c r="N257" t="s">
        <v>203</v>
      </c>
      <c r="O257" t="s">
        <v>169</v>
      </c>
      <c r="P257">
        <v>2.5827682787661958E-2</v>
      </c>
      <c r="Q257" t="s">
        <v>166</v>
      </c>
      <c r="S257" t="s">
        <v>220</v>
      </c>
      <c r="T257" t="s">
        <v>169</v>
      </c>
      <c r="U257">
        <v>4.7625112138111126E-3</v>
      </c>
      <c r="V257" t="s">
        <v>166</v>
      </c>
    </row>
    <row r="258" spans="9:22" x14ac:dyDescent="0.45">
      <c r="I258" t="s">
        <v>179</v>
      </c>
      <c r="J258" t="s">
        <v>170</v>
      </c>
      <c r="K258">
        <v>8.4010577415249282E-3</v>
      </c>
      <c r="L258" t="s">
        <v>166</v>
      </c>
      <c r="N258" t="s">
        <v>203</v>
      </c>
      <c r="O258" t="s">
        <v>170</v>
      </c>
      <c r="P258">
        <v>2.4096415674245159E-3</v>
      </c>
      <c r="Q258" t="s">
        <v>166</v>
      </c>
      <c r="S258" t="s">
        <v>220</v>
      </c>
      <c r="T258" t="s">
        <v>170</v>
      </c>
      <c r="U258">
        <v>6.6755050902184967E-4</v>
      </c>
      <c r="V258" t="s">
        <v>166</v>
      </c>
    </row>
    <row r="259" spans="9:22" x14ac:dyDescent="0.45">
      <c r="I259" t="s">
        <v>179</v>
      </c>
      <c r="J259" t="s">
        <v>171</v>
      </c>
      <c r="K259">
        <v>7.3796825907226499E-2</v>
      </c>
      <c r="L259" t="s">
        <v>166</v>
      </c>
      <c r="N259" t="s">
        <v>203</v>
      </c>
      <c r="O259" t="s">
        <v>171</v>
      </c>
      <c r="P259">
        <v>1.8599703096647213E-2</v>
      </c>
      <c r="Q259" t="s">
        <v>166</v>
      </c>
      <c r="S259" t="s">
        <v>220</v>
      </c>
      <c r="T259" t="s">
        <v>171</v>
      </c>
      <c r="U259">
        <v>5.4608698989989058E-3</v>
      </c>
      <c r="V259" t="s">
        <v>166</v>
      </c>
    </row>
    <row r="260" spans="9:22" x14ac:dyDescent="0.45">
      <c r="I260" t="s">
        <v>179</v>
      </c>
      <c r="J260" t="s">
        <v>261</v>
      </c>
      <c r="K260">
        <v>5.8483472586268823E-3</v>
      </c>
      <c r="L260" t="s">
        <v>166</v>
      </c>
      <c r="N260" t="s">
        <v>203</v>
      </c>
      <c r="O260" t="s">
        <v>261</v>
      </c>
      <c r="P260">
        <v>3.2786520988282702E-3</v>
      </c>
      <c r="Q260" t="s">
        <v>166</v>
      </c>
      <c r="S260" t="s">
        <v>220</v>
      </c>
      <c r="T260" t="s">
        <v>261</v>
      </c>
      <c r="U260">
        <v>8.6881739034987918E-4</v>
      </c>
      <c r="V260" t="s">
        <v>166</v>
      </c>
    </row>
    <row r="261" spans="9:22" x14ac:dyDescent="0.45">
      <c r="I261" t="s">
        <v>179</v>
      </c>
      <c r="J261" t="s">
        <v>262</v>
      </c>
      <c r="K261">
        <v>6.1507548213119954E-3</v>
      </c>
      <c r="L261" t="s">
        <v>166</v>
      </c>
      <c r="N261" t="s">
        <v>203</v>
      </c>
      <c r="O261" t="s">
        <v>262</v>
      </c>
      <c r="P261">
        <v>5.5089834123264762E-3</v>
      </c>
      <c r="Q261" t="s">
        <v>166</v>
      </c>
      <c r="S261" t="s">
        <v>220</v>
      </c>
      <c r="T261" t="s">
        <v>262</v>
      </c>
      <c r="U261">
        <v>9.9093139568297382E-4</v>
      </c>
      <c r="V261" t="s">
        <v>166</v>
      </c>
    </row>
    <row r="262" spans="9:22" x14ac:dyDescent="0.45">
      <c r="I262" t="s">
        <v>179</v>
      </c>
      <c r="J262" t="s">
        <v>263</v>
      </c>
      <c r="K262">
        <v>0</v>
      </c>
      <c r="L262" t="s">
        <v>166</v>
      </c>
      <c r="N262" t="s">
        <v>203</v>
      </c>
      <c r="O262" t="s">
        <v>263</v>
      </c>
      <c r="P262">
        <v>2.0893324508706249E-2</v>
      </c>
      <c r="Q262" t="s">
        <v>166</v>
      </c>
      <c r="S262" t="s">
        <v>220</v>
      </c>
      <c r="T262" t="s">
        <v>263</v>
      </c>
      <c r="U262">
        <v>2.1111473649501802E-3</v>
      </c>
      <c r="V262" t="s">
        <v>166</v>
      </c>
    </row>
    <row r="263" spans="9:22" x14ac:dyDescent="0.45">
      <c r="I263" t="s">
        <v>179</v>
      </c>
      <c r="J263" t="s">
        <v>172</v>
      </c>
      <c r="K263">
        <v>5.6000463413937397E-3</v>
      </c>
      <c r="L263" t="s">
        <v>166</v>
      </c>
      <c r="N263" t="s">
        <v>203</v>
      </c>
      <c r="O263" t="s">
        <v>172</v>
      </c>
      <c r="P263">
        <v>3.1736444270349488E-2</v>
      </c>
      <c r="Q263" t="s">
        <v>166</v>
      </c>
      <c r="S263" t="s">
        <v>220</v>
      </c>
      <c r="T263" t="s">
        <v>172</v>
      </c>
      <c r="U263">
        <v>1.4921351604437317E-2</v>
      </c>
      <c r="V263" t="s">
        <v>166</v>
      </c>
    </row>
    <row r="264" spans="9:22" x14ac:dyDescent="0.45">
      <c r="I264" t="s">
        <v>179</v>
      </c>
      <c r="J264" t="s">
        <v>173</v>
      </c>
      <c r="K264">
        <v>5.621163047564175E-3</v>
      </c>
      <c r="L264" t="s">
        <v>166</v>
      </c>
      <c r="N264" t="s">
        <v>203</v>
      </c>
      <c r="O264" t="s">
        <v>173</v>
      </c>
      <c r="P264">
        <v>3.7436366337769956E-3</v>
      </c>
      <c r="Q264" t="s">
        <v>166</v>
      </c>
      <c r="S264" t="s">
        <v>220</v>
      </c>
      <c r="T264" t="s">
        <v>173</v>
      </c>
      <c r="U264">
        <v>1.6190796511104755E-3</v>
      </c>
      <c r="V264" t="s">
        <v>166</v>
      </c>
    </row>
    <row r="265" spans="9:22" x14ac:dyDescent="0.45">
      <c r="I265" t="s">
        <v>179</v>
      </c>
      <c r="J265" t="s">
        <v>174</v>
      </c>
      <c r="K265">
        <v>5.6345431788445727E-2</v>
      </c>
      <c r="L265" t="s">
        <v>166</v>
      </c>
      <c r="N265" t="s">
        <v>203</v>
      </c>
      <c r="O265" t="s">
        <v>174</v>
      </c>
      <c r="P265">
        <v>3.1044785282662208E-2</v>
      </c>
      <c r="Q265" t="s">
        <v>166</v>
      </c>
      <c r="S265" t="s">
        <v>220</v>
      </c>
      <c r="T265" t="s">
        <v>174</v>
      </c>
      <c r="U265">
        <v>1.3067147801016544E-2</v>
      </c>
      <c r="V265" t="s">
        <v>166</v>
      </c>
    </row>
    <row r="266" spans="9:22" x14ac:dyDescent="0.45">
      <c r="I266" t="s">
        <v>179</v>
      </c>
      <c r="J266" t="s">
        <v>264</v>
      </c>
      <c r="K266">
        <v>5.0523787390768116E-3</v>
      </c>
      <c r="L266" t="s">
        <v>166</v>
      </c>
      <c r="N266" t="s">
        <v>203</v>
      </c>
      <c r="O266" t="s">
        <v>264</v>
      </c>
      <c r="P266">
        <v>4.2814249576683568E-3</v>
      </c>
      <c r="Q266" t="s">
        <v>166</v>
      </c>
      <c r="S266" t="s">
        <v>220</v>
      </c>
      <c r="T266" t="s">
        <v>264</v>
      </c>
      <c r="U266">
        <v>2.1457063842187283E-3</v>
      </c>
      <c r="V266" t="s">
        <v>166</v>
      </c>
    </row>
    <row r="267" spans="9:22" x14ac:dyDescent="0.45">
      <c r="I267" t="s">
        <v>179</v>
      </c>
      <c r="J267" t="s">
        <v>265</v>
      </c>
      <c r="K267">
        <v>5.5367971144247054E-3</v>
      </c>
      <c r="L267" t="s">
        <v>166</v>
      </c>
      <c r="N267" t="s">
        <v>203</v>
      </c>
      <c r="O267" t="s">
        <v>265</v>
      </c>
      <c r="P267">
        <v>6.8456644229021018E-3</v>
      </c>
      <c r="Q267" t="s">
        <v>166</v>
      </c>
      <c r="S267" t="s">
        <v>220</v>
      </c>
      <c r="T267" t="s">
        <v>265</v>
      </c>
      <c r="U267">
        <v>3.3593398785894814E-3</v>
      </c>
      <c r="V267" t="s">
        <v>166</v>
      </c>
    </row>
    <row r="268" spans="9:22" x14ac:dyDescent="0.45">
      <c r="I268" t="s">
        <v>179</v>
      </c>
      <c r="J268" t="s">
        <v>266</v>
      </c>
      <c r="K268">
        <v>0</v>
      </c>
      <c r="L268" t="s">
        <v>166</v>
      </c>
      <c r="N268" t="s">
        <v>203</v>
      </c>
      <c r="O268" t="s">
        <v>266</v>
      </c>
      <c r="P268">
        <v>2.106102738272924E-2</v>
      </c>
      <c r="Q268" t="s">
        <v>166</v>
      </c>
      <c r="S268" t="s">
        <v>220</v>
      </c>
      <c r="T268" t="s">
        <v>266</v>
      </c>
      <c r="U268">
        <v>7.0689830514988217E-3</v>
      </c>
      <c r="V268" t="s">
        <v>166</v>
      </c>
    </row>
    <row r="269" spans="9:22" x14ac:dyDescent="0.45">
      <c r="I269" t="s">
        <v>179</v>
      </c>
      <c r="J269" t="s">
        <v>175</v>
      </c>
      <c r="K269">
        <v>3.3382282600645189E-3</v>
      </c>
      <c r="L269" t="s">
        <v>166</v>
      </c>
      <c r="N269" t="s">
        <v>203</v>
      </c>
      <c r="O269" t="s">
        <v>175</v>
      </c>
      <c r="P269">
        <v>2.1019493030549428E-2</v>
      </c>
      <c r="Q269" t="s">
        <v>166</v>
      </c>
      <c r="S269" t="s">
        <v>220</v>
      </c>
      <c r="T269" t="s">
        <v>175</v>
      </c>
      <c r="U269">
        <v>1.9765182497437452E-2</v>
      </c>
      <c r="V269" t="s">
        <v>166</v>
      </c>
    </row>
    <row r="270" spans="9:22" x14ac:dyDescent="0.45">
      <c r="I270" t="s">
        <v>179</v>
      </c>
      <c r="J270" t="s">
        <v>176</v>
      </c>
      <c r="K270">
        <v>5.5114606914809863E-3</v>
      </c>
      <c r="L270" t="s">
        <v>166</v>
      </c>
      <c r="N270" t="s">
        <v>203</v>
      </c>
      <c r="O270" t="s">
        <v>176</v>
      </c>
      <c r="P270">
        <v>2.4169870597682856E-3</v>
      </c>
      <c r="Q270" t="s">
        <v>166</v>
      </c>
      <c r="S270" t="s">
        <v>220</v>
      </c>
      <c r="T270" t="s">
        <v>176</v>
      </c>
      <c r="U270">
        <v>2.73435131286049E-3</v>
      </c>
      <c r="V270" t="s">
        <v>166</v>
      </c>
    </row>
    <row r="271" spans="9:22" x14ac:dyDescent="0.45">
      <c r="I271" t="s">
        <v>179</v>
      </c>
      <c r="J271" t="s">
        <v>177</v>
      </c>
      <c r="K271">
        <v>5.9997467193451344E-2</v>
      </c>
      <c r="L271" t="s">
        <v>166</v>
      </c>
      <c r="N271" t="s">
        <v>203</v>
      </c>
      <c r="O271" t="s">
        <v>177</v>
      </c>
      <c r="P271">
        <v>1.8586148205426953E-2</v>
      </c>
      <c r="Q271" t="s">
        <v>166</v>
      </c>
      <c r="S271" t="s">
        <v>220</v>
      </c>
      <c r="T271" t="s">
        <v>177</v>
      </c>
      <c r="U271">
        <v>2.3327452425321329E-2</v>
      </c>
      <c r="V271" t="s">
        <v>166</v>
      </c>
    </row>
    <row r="272" spans="9:22" x14ac:dyDescent="0.45">
      <c r="I272" t="s">
        <v>179</v>
      </c>
      <c r="J272" t="s">
        <v>267</v>
      </c>
      <c r="K272">
        <v>5.2869720586240362E-3</v>
      </c>
      <c r="L272" t="s">
        <v>166</v>
      </c>
      <c r="N272" t="s">
        <v>203</v>
      </c>
      <c r="O272" t="s">
        <v>267</v>
      </c>
      <c r="P272">
        <v>2.9557305060259231E-3</v>
      </c>
      <c r="Q272" t="s">
        <v>166</v>
      </c>
      <c r="S272" t="s">
        <v>220</v>
      </c>
      <c r="T272" t="s">
        <v>267</v>
      </c>
      <c r="U272">
        <v>3.7184485402051168E-3</v>
      </c>
      <c r="V272" t="s">
        <v>166</v>
      </c>
    </row>
    <row r="273" spans="9:22" x14ac:dyDescent="0.45">
      <c r="I273" t="s">
        <v>179</v>
      </c>
      <c r="J273" t="s">
        <v>268</v>
      </c>
      <c r="K273">
        <v>5.9844226013848799E-3</v>
      </c>
      <c r="L273" t="s">
        <v>166</v>
      </c>
      <c r="N273" t="s">
        <v>203</v>
      </c>
      <c r="O273" t="s">
        <v>268</v>
      </c>
      <c r="P273">
        <v>4.7657341494935042E-3</v>
      </c>
      <c r="Q273" t="s">
        <v>166</v>
      </c>
      <c r="S273" t="s">
        <v>220</v>
      </c>
      <c r="T273" t="s">
        <v>268</v>
      </c>
      <c r="U273">
        <v>6.0235969303608569E-3</v>
      </c>
      <c r="V273" t="s">
        <v>166</v>
      </c>
    </row>
    <row r="274" spans="9:22" x14ac:dyDescent="0.45">
      <c r="I274" t="s">
        <v>179</v>
      </c>
      <c r="J274" t="s">
        <v>269</v>
      </c>
      <c r="K274">
        <v>0</v>
      </c>
      <c r="L274" t="s">
        <v>166</v>
      </c>
      <c r="N274" t="s">
        <v>203</v>
      </c>
      <c r="O274" t="s">
        <v>269</v>
      </c>
      <c r="P274">
        <v>1.4939626846988616E-2</v>
      </c>
      <c r="Q274" t="s">
        <v>166</v>
      </c>
      <c r="S274" t="s">
        <v>220</v>
      </c>
      <c r="T274" t="s">
        <v>269</v>
      </c>
      <c r="U274">
        <v>1.0772549122164004E-2</v>
      </c>
      <c r="V274" t="s">
        <v>166</v>
      </c>
    </row>
    <row r="275" spans="9:22" x14ac:dyDescent="0.45">
      <c r="I275" t="s">
        <v>179</v>
      </c>
      <c r="J275" t="s">
        <v>270</v>
      </c>
      <c r="K275">
        <v>3.1641464849931811E-3</v>
      </c>
      <c r="L275" t="s">
        <v>166</v>
      </c>
      <c r="N275" t="s">
        <v>203</v>
      </c>
      <c r="O275" t="s">
        <v>270</v>
      </c>
      <c r="P275">
        <v>1.6926757051333164E-2</v>
      </c>
      <c r="Q275" t="s">
        <v>166</v>
      </c>
      <c r="S275" t="s">
        <v>220</v>
      </c>
      <c r="T275" t="s">
        <v>270</v>
      </c>
      <c r="U275">
        <v>2.3251154968530363E-2</v>
      </c>
      <c r="V275" t="s">
        <v>166</v>
      </c>
    </row>
    <row r="276" spans="9:22" x14ac:dyDescent="0.45">
      <c r="I276" t="s">
        <v>179</v>
      </c>
      <c r="J276" t="s">
        <v>271</v>
      </c>
      <c r="K276">
        <v>5.2564614513857964E-3</v>
      </c>
      <c r="L276" t="s">
        <v>166</v>
      </c>
      <c r="N276" t="s">
        <v>203</v>
      </c>
      <c r="O276" t="s">
        <v>271</v>
      </c>
      <c r="P276">
        <v>1.7354410694700672E-3</v>
      </c>
      <c r="Q276" t="s">
        <v>166</v>
      </c>
      <c r="S276" t="s">
        <v>220</v>
      </c>
      <c r="T276" t="s">
        <v>271</v>
      </c>
      <c r="U276">
        <v>3.2154982760723935E-3</v>
      </c>
      <c r="V276" t="s">
        <v>166</v>
      </c>
    </row>
    <row r="277" spans="9:22" x14ac:dyDescent="0.45">
      <c r="I277" t="s">
        <v>179</v>
      </c>
      <c r="J277" t="s">
        <v>272</v>
      </c>
      <c r="K277">
        <v>5.7161178049815742E-2</v>
      </c>
      <c r="L277" t="s">
        <v>166</v>
      </c>
      <c r="N277" t="s">
        <v>203</v>
      </c>
      <c r="O277" t="s">
        <v>272</v>
      </c>
      <c r="P277">
        <v>1.4358883469789691E-2</v>
      </c>
      <c r="Q277" t="s">
        <v>166</v>
      </c>
      <c r="S277" t="s">
        <v>220</v>
      </c>
      <c r="T277" t="s">
        <v>272</v>
      </c>
      <c r="U277">
        <v>2.6261721269669452E-2</v>
      </c>
      <c r="V277" t="s">
        <v>166</v>
      </c>
    </row>
    <row r="278" spans="9:22" x14ac:dyDescent="0.45">
      <c r="I278" t="s">
        <v>179</v>
      </c>
      <c r="J278" t="s">
        <v>273</v>
      </c>
      <c r="K278">
        <v>5.6302835248222445E-3</v>
      </c>
      <c r="L278" t="s">
        <v>166</v>
      </c>
      <c r="N278" t="s">
        <v>203</v>
      </c>
      <c r="O278" t="s">
        <v>273</v>
      </c>
      <c r="P278">
        <v>2.1776798600923858E-3</v>
      </c>
      <c r="Q278" t="s">
        <v>166</v>
      </c>
      <c r="S278" t="s">
        <v>220</v>
      </c>
      <c r="T278" t="s">
        <v>273</v>
      </c>
      <c r="U278">
        <v>3.6500231975197107E-3</v>
      </c>
      <c r="V278" t="s">
        <v>166</v>
      </c>
    </row>
    <row r="279" spans="9:22" x14ac:dyDescent="0.45">
      <c r="I279" t="s">
        <v>179</v>
      </c>
      <c r="J279" t="s">
        <v>274</v>
      </c>
      <c r="K279">
        <v>6.2351380310275949E-3</v>
      </c>
      <c r="L279" t="s">
        <v>166</v>
      </c>
      <c r="N279" t="s">
        <v>203</v>
      </c>
      <c r="O279" t="s">
        <v>274</v>
      </c>
      <c r="P279">
        <v>3.7433100926723851E-3</v>
      </c>
      <c r="Q279" t="s">
        <v>166</v>
      </c>
      <c r="S279" t="s">
        <v>220</v>
      </c>
      <c r="T279" t="s">
        <v>274</v>
      </c>
      <c r="U279">
        <v>5.7121538579554829E-3</v>
      </c>
      <c r="V279" t="s">
        <v>166</v>
      </c>
    </row>
    <row r="280" spans="9:22" x14ac:dyDescent="0.45">
      <c r="I280" t="s">
        <v>179</v>
      </c>
      <c r="J280" t="s">
        <v>275</v>
      </c>
      <c r="K280">
        <v>0</v>
      </c>
      <c r="L280" t="s">
        <v>166</v>
      </c>
      <c r="N280" t="s">
        <v>203</v>
      </c>
      <c r="O280" t="s">
        <v>275</v>
      </c>
      <c r="P280">
        <v>1.1830791864707433E-2</v>
      </c>
      <c r="Q280" t="s">
        <v>166</v>
      </c>
      <c r="S280" t="s">
        <v>220</v>
      </c>
      <c r="T280" t="s">
        <v>275</v>
      </c>
      <c r="U280">
        <v>1.0793587365676736E-2</v>
      </c>
      <c r="V280" t="s">
        <v>166</v>
      </c>
    </row>
    <row r="281" spans="9:22" x14ac:dyDescent="0.45">
      <c r="I281" t="s">
        <v>179</v>
      </c>
      <c r="J281" t="s">
        <v>276</v>
      </c>
      <c r="K281">
        <v>6.235514678131885E-3</v>
      </c>
      <c r="L281" t="s">
        <v>166</v>
      </c>
      <c r="N281" t="s">
        <v>203</v>
      </c>
      <c r="O281" t="s">
        <v>276</v>
      </c>
      <c r="P281">
        <v>5.6092216027827463E-2</v>
      </c>
      <c r="Q281" t="s">
        <v>166</v>
      </c>
      <c r="S281" t="s">
        <v>220</v>
      </c>
      <c r="T281" t="s">
        <v>276</v>
      </c>
      <c r="U281">
        <v>4.6168174855055664E-2</v>
      </c>
      <c r="V281" t="s">
        <v>166</v>
      </c>
    </row>
    <row r="282" spans="9:22" x14ac:dyDescent="0.45">
      <c r="I282" t="s">
        <v>179</v>
      </c>
      <c r="J282" t="s">
        <v>277</v>
      </c>
      <c r="K282">
        <v>1.0986468942076435E-2</v>
      </c>
      <c r="L282" t="s">
        <v>166</v>
      </c>
      <c r="N282" t="s">
        <v>203</v>
      </c>
      <c r="O282" t="s">
        <v>277</v>
      </c>
      <c r="P282">
        <v>7.054187095690282E-3</v>
      </c>
      <c r="Q282" t="s">
        <v>166</v>
      </c>
      <c r="S282" t="s">
        <v>220</v>
      </c>
      <c r="T282" t="s">
        <v>277</v>
      </c>
      <c r="U282">
        <v>5.8897394202116248E-3</v>
      </c>
      <c r="V282" t="s">
        <v>166</v>
      </c>
    </row>
    <row r="283" spans="9:22" x14ac:dyDescent="0.45">
      <c r="I283" t="s">
        <v>179</v>
      </c>
      <c r="J283" t="s">
        <v>278</v>
      </c>
      <c r="K283">
        <v>0.11347186271252201</v>
      </c>
      <c r="L283" t="s">
        <v>166</v>
      </c>
      <c r="N283" t="s">
        <v>203</v>
      </c>
      <c r="O283" t="s">
        <v>278</v>
      </c>
      <c r="P283">
        <v>5.1912567499441453E-2</v>
      </c>
      <c r="Q283" t="s">
        <v>166</v>
      </c>
      <c r="S283" t="s">
        <v>220</v>
      </c>
      <c r="T283" t="s">
        <v>278</v>
      </c>
      <c r="U283">
        <v>4.2980508723191375E-2</v>
      </c>
      <c r="V283" t="s">
        <v>166</v>
      </c>
    </row>
    <row r="284" spans="9:22" x14ac:dyDescent="0.45">
      <c r="I284" t="s">
        <v>179</v>
      </c>
      <c r="J284" t="s">
        <v>279</v>
      </c>
      <c r="K284">
        <v>1.0821432775372104E-2</v>
      </c>
      <c r="L284" t="s">
        <v>166</v>
      </c>
      <c r="N284" t="s">
        <v>203</v>
      </c>
      <c r="O284" t="s">
        <v>279</v>
      </c>
      <c r="P284">
        <v>5.9830535608692229E-3</v>
      </c>
      <c r="Q284" t="s">
        <v>166</v>
      </c>
      <c r="S284" t="s">
        <v>220</v>
      </c>
      <c r="T284" t="s">
        <v>279</v>
      </c>
      <c r="U284">
        <v>6.2060321909561582E-3</v>
      </c>
      <c r="V284" t="s">
        <v>166</v>
      </c>
    </row>
    <row r="285" spans="9:22" x14ac:dyDescent="0.45">
      <c r="I285" t="s">
        <v>179</v>
      </c>
      <c r="J285" t="s">
        <v>280</v>
      </c>
      <c r="K285">
        <v>8.6369236172254994E-3</v>
      </c>
      <c r="L285" t="s">
        <v>166</v>
      </c>
      <c r="N285" t="s">
        <v>203</v>
      </c>
      <c r="O285" t="s">
        <v>280</v>
      </c>
      <c r="P285">
        <v>1.09354676532155E-2</v>
      </c>
      <c r="Q285" t="s">
        <v>166</v>
      </c>
      <c r="S285" t="s">
        <v>220</v>
      </c>
      <c r="T285" t="s">
        <v>280</v>
      </c>
      <c r="U285">
        <v>1.1158342922860789E-2</v>
      </c>
      <c r="V285" t="s">
        <v>166</v>
      </c>
    </row>
    <row r="286" spans="9:22" x14ac:dyDescent="0.45">
      <c r="I286" t="s">
        <v>179</v>
      </c>
      <c r="J286" t="s">
        <v>281</v>
      </c>
      <c r="K286">
        <v>0</v>
      </c>
      <c r="L286" t="s">
        <v>166</v>
      </c>
      <c r="N286" t="s">
        <v>203</v>
      </c>
      <c r="O286" t="s">
        <v>281</v>
      </c>
      <c r="P286">
        <v>3.2778315546060866E-2</v>
      </c>
      <c r="Q286" t="s">
        <v>166</v>
      </c>
      <c r="S286" t="s">
        <v>220</v>
      </c>
      <c r="T286" t="s">
        <v>281</v>
      </c>
      <c r="U286">
        <v>2.5713617015437101E-2</v>
      </c>
      <c r="V286" t="s">
        <v>166</v>
      </c>
    </row>
    <row r="287" spans="9:22" x14ac:dyDescent="0.45">
      <c r="I287" t="s">
        <v>179</v>
      </c>
      <c r="J287" t="s">
        <v>282</v>
      </c>
      <c r="K287">
        <v>2.4949532237288777E-3</v>
      </c>
      <c r="L287" t="s">
        <v>166</v>
      </c>
      <c r="N287" t="s">
        <v>203</v>
      </c>
      <c r="O287" t="s">
        <v>282</v>
      </c>
      <c r="P287">
        <v>3.736194628372505E-2</v>
      </c>
      <c r="Q287" t="s">
        <v>166</v>
      </c>
      <c r="S287" t="s">
        <v>220</v>
      </c>
      <c r="T287" t="s">
        <v>282</v>
      </c>
      <c r="U287">
        <v>3.0760931689427794E-2</v>
      </c>
      <c r="V287" t="s">
        <v>166</v>
      </c>
    </row>
    <row r="288" spans="9:22" x14ac:dyDescent="0.45">
      <c r="I288" t="s">
        <v>179</v>
      </c>
      <c r="J288" t="s">
        <v>283</v>
      </c>
      <c r="K288">
        <v>4.8338444834794244E-3</v>
      </c>
      <c r="L288" t="s">
        <v>166</v>
      </c>
      <c r="N288" t="s">
        <v>203</v>
      </c>
      <c r="O288" t="s">
        <v>283</v>
      </c>
      <c r="P288">
        <v>4.3011527088452671E-3</v>
      </c>
      <c r="Q288" t="s">
        <v>166</v>
      </c>
      <c r="S288" t="s">
        <v>220</v>
      </c>
      <c r="T288" t="s">
        <v>283</v>
      </c>
      <c r="U288">
        <v>4.2093584031184959E-3</v>
      </c>
      <c r="V288" t="s">
        <v>166</v>
      </c>
    </row>
    <row r="289" spans="9:22" x14ac:dyDescent="0.45">
      <c r="I289" t="s">
        <v>179</v>
      </c>
      <c r="J289" t="s">
        <v>284</v>
      </c>
      <c r="K289">
        <v>5.2236128261090642E-2</v>
      </c>
      <c r="L289" t="s">
        <v>166</v>
      </c>
      <c r="N289" t="s">
        <v>203</v>
      </c>
      <c r="O289" t="s">
        <v>284</v>
      </c>
      <c r="P289">
        <v>2.7959245451072898E-2</v>
      </c>
      <c r="Q289" t="s">
        <v>166</v>
      </c>
      <c r="S289" t="s">
        <v>220</v>
      </c>
      <c r="T289" t="s">
        <v>284</v>
      </c>
      <c r="U289">
        <v>2.8435121323902673E-2</v>
      </c>
      <c r="V289" t="s">
        <v>166</v>
      </c>
    </row>
    <row r="290" spans="9:22" x14ac:dyDescent="0.45">
      <c r="I290" t="s">
        <v>179</v>
      </c>
      <c r="J290" t="s">
        <v>285</v>
      </c>
      <c r="K290">
        <v>5.582986019034869E-3</v>
      </c>
      <c r="L290" t="s">
        <v>166</v>
      </c>
      <c r="N290" t="s">
        <v>203</v>
      </c>
      <c r="O290" t="s">
        <v>285</v>
      </c>
      <c r="P290">
        <v>3.5119639605081009E-3</v>
      </c>
      <c r="Q290" t="s">
        <v>166</v>
      </c>
      <c r="S290" t="s">
        <v>220</v>
      </c>
      <c r="T290" t="s">
        <v>285</v>
      </c>
      <c r="U290">
        <v>3.9149865374162162E-3</v>
      </c>
      <c r="V290" t="s">
        <v>166</v>
      </c>
    </row>
    <row r="291" spans="9:22" x14ac:dyDescent="0.45">
      <c r="I291" t="s">
        <v>179</v>
      </c>
      <c r="J291" t="s">
        <v>286</v>
      </c>
      <c r="K291">
        <v>3.5445616773004201E-3</v>
      </c>
      <c r="L291" t="s">
        <v>166</v>
      </c>
      <c r="N291" t="s">
        <v>203</v>
      </c>
      <c r="O291" t="s">
        <v>286</v>
      </c>
      <c r="P291">
        <v>6.2158164428262495E-3</v>
      </c>
      <c r="Q291" t="s">
        <v>166</v>
      </c>
      <c r="S291" t="s">
        <v>220</v>
      </c>
      <c r="T291" t="s">
        <v>286</v>
      </c>
      <c r="U291">
        <v>8.0056991029290418E-3</v>
      </c>
      <c r="V291" t="s">
        <v>166</v>
      </c>
    </row>
    <row r="292" spans="9:22" x14ac:dyDescent="0.45">
      <c r="I292" t="s">
        <v>179</v>
      </c>
      <c r="J292" t="s">
        <v>287</v>
      </c>
      <c r="K292">
        <v>0</v>
      </c>
      <c r="L292" t="s">
        <v>166</v>
      </c>
      <c r="N292" t="s">
        <v>203</v>
      </c>
      <c r="O292" t="s">
        <v>287</v>
      </c>
      <c r="P292">
        <v>2.2250478120166492E-2</v>
      </c>
      <c r="Q292" t="s">
        <v>166</v>
      </c>
      <c r="S292" t="s">
        <v>220</v>
      </c>
      <c r="T292" t="s">
        <v>287</v>
      </c>
      <c r="U292">
        <v>2.1560911177973052E-2</v>
      </c>
      <c r="V292" t="s">
        <v>166</v>
      </c>
    </row>
    <row r="293" spans="9:22" x14ac:dyDescent="0.45">
      <c r="I293" t="s">
        <v>179</v>
      </c>
      <c r="J293" t="s">
        <v>288</v>
      </c>
      <c r="K293">
        <v>2.4656610775688555E-3</v>
      </c>
      <c r="L293" t="s">
        <v>166</v>
      </c>
      <c r="N293" t="s">
        <v>203</v>
      </c>
      <c r="O293" t="s">
        <v>288</v>
      </c>
      <c r="P293">
        <v>3.5203946393604947E-2</v>
      </c>
      <c r="Q293" t="s">
        <v>166</v>
      </c>
      <c r="S293" t="s">
        <v>220</v>
      </c>
      <c r="T293" t="s">
        <v>288</v>
      </c>
      <c r="U293">
        <v>5.1720566691903107E-2</v>
      </c>
      <c r="V293" t="s">
        <v>166</v>
      </c>
    </row>
    <row r="294" spans="9:22" x14ac:dyDescent="0.45">
      <c r="I294" t="s">
        <v>179</v>
      </c>
      <c r="J294" t="s">
        <v>289</v>
      </c>
      <c r="K294">
        <v>4.9019862033780849E-3</v>
      </c>
      <c r="L294" t="s">
        <v>166</v>
      </c>
      <c r="N294" t="s">
        <v>203</v>
      </c>
      <c r="O294" t="s">
        <v>289</v>
      </c>
      <c r="P294">
        <v>4.0412465076214189E-3</v>
      </c>
      <c r="Q294" t="s">
        <v>166</v>
      </c>
      <c r="S294" t="s">
        <v>220</v>
      </c>
      <c r="T294" t="s">
        <v>289</v>
      </c>
      <c r="U294">
        <v>6.7793688120040552E-3</v>
      </c>
      <c r="V294" t="s">
        <v>166</v>
      </c>
    </row>
    <row r="295" spans="9:22" x14ac:dyDescent="0.45">
      <c r="I295" t="s">
        <v>179</v>
      </c>
      <c r="J295" t="s">
        <v>290</v>
      </c>
      <c r="K295">
        <v>5.2118191798776269E-2</v>
      </c>
      <c r="L295" t="s">
        <v>166</v>
      </c>
      <c r="N295" t="s">
        <v>203</v>
      </c>
      <c r="O295" t="s">
        <v>290</v>
      </c>
      <c r="P295">
        <v>2.432186137923361E-2</v>
      </c>
      <c r="Q295" t="s">
        <v>166</v>
      </c>
      <c r="S295" t="s">
        <v>220</v>
      </c>
      <c r="T295" t="s">
        <v>290</v>
      </c>
      <c r="U295">
        <v>4.8269026186416118E-2</v>
      </c>
      <c r="V295" t="s">
        <v>166</v>
      </c>
    </row>
    <row r="296" spans="9:22" x14ac:dyDescent="0.45">
      <c r="I296" t="s">
        <v>179</v>
      </c>
      <c r="J296" t="s">
        <v>291</v>
      </c>
      <c r="K296">
        <v>5.5287533883140614E-3</v>
      </c>
      <c r="L296" t="s">
        <v>166</v>
      </c>
      <c r="N296" t="s">
        <v>203</v>
      </c>
      <c r="O296" t="s">
        <v>291</v>
      </c>
      <c r="P296">
        <v>2.7988951302253102E-3</v>
      </c>
      <c r="Q296" t="s">
        <v>166</v>
      </c>
      <c r="S296" t="s">
        <v>220</v>
      </c>
      <c r="T296" t="s">
        <v>291</v>
      </c>
      <c r="U296">
        <v>7.0810799976455856E-3</v>
      </c>
      <c r="V296" t="s">
        <v>166</v>
      </c>
    </row>
    <row r="297" spans="9:22" x14ac:dyDescent="0.45">
      <c r="I297" t="s">
        <v>179</v>
      </c>
      <c r="J297" t="s">
        <v>292</v>
      </c>
      <c r="K297">
        <v>3.7262022323870181E-3</v>
      </c>
      <c r="L297" t="s">
        <v>166</v>
      </c>
      <c r="N297" t="s">
        <v>203</v>
      </c>
      <c r="O297" t="s">
        <v>292</v>
      </c>
      <c r="P297">
        <v>4.8652492168761363E-3</v>
      </c>
      <c r="Q297" t="s">
        <v>166</v>
      </c>
      <c r="S297" t="s">
        <v>220</v>
      </c>
      <c r="T297" t="s">
        <v>292</v>
      </c>
      <c r="U297">
        <v>1.3610165355903481E-2</v>
      </c>
      <c r="V297" t="s">
        <v>166</v>
      </c>
    </row>
    <row r="298" spans="9:22" x14ac:dyDescent="0.45">
      <c r="I298" t="s">
        <v>179</v>
      </c>
      <c r="J298" t="s">
        <v>293</v>
      </c>
      <c r="K298">
        <v>0</v>
      </c>
      <c r="L298" t="s">
        <v>166</v>
      </c>
      <c r="N298" t="s">
        <v>203</v>
      </c>
      <c r="O298" t="s">
        <v>293</v>
      </c>
      <c r="P298">
        <v>1.8915402032532242E-2</v>
      </c>
      <c r="Q298" t="s">
        <v>166</v>
      </c>
      <c r="S298" t="s">
        <v>220</v>
      </c>
      <c r="T298" t="s">
        <v>293</v>
      </c>
      <c r="U298">
        <v>3.576069670762843E-2</v>
      </c>
      <c r="V298" t="s">
        <v>166</v>
      </c>
    </row>
    <row r="299" spans="9:22" x14ac:dyDescent="0.45">
      <c r="I299" t="s">
        <v>180</v>
      </c>
      <c r="J299" t="s">
        <v>165</v>
      </c>
      <c r="K299">
        <v>1.5694936540135328E-2</v>
      </c>
      <c r="L299" t="s">
        <v>166</v>
      </c>
      <c r="N299" t="s">
        <v>204</v>
      </c>
      <c r="O299" t="s">
        <v>165</v>
      </c>
      <c r="P299">
        <v>0.1482972314145844</v>
      </c>
      <c r="Q299" t="s">
        <v>166</v>
      </c>
      <c r="S299" t="s">
        <v>221</v>
      </c>
      <c r="T299" t="s">
        <v>165</v>
      </c>
      <c r="U299">
        <v>0.10132155341659209</v>
      </c>
      <c r="V299" t="s">
        <v>166</v>
      </c>
    </row>
    <row r="300" spans="9:22" x14ac:dyDescent="0.45">
      <c r="I300" t="s">
        <v>180</v>
      </c>
      <c r="J300" t="s">
        <v>167</v>
      </c>
      <c r="K300">
        <v>2.7454160285319232E-2</v>
      </c>
      <c r="L300" t="s">
        <v>166</v>
      </c>
      <c r="N300" t="s">
        <v>204</v>
      </c>
      <c r="O300" t="s">
        <v>167</v>
      </c>
      <c r="P300">
        <v>1.1626213995390395E-2</v>
      </c>
      <c r="Q300" t="s">
        <v>166</v>
      </c>
      <c r="S300" t="s">
        <v>221</v>
      </c>
      <c r="T300" t="s">
        <v>167</v>
      </c>
      <c r="U300">
        <v>1.2682118580470204E-2</v>
      </c>
      <c r="V300" t="s">
        <v>166</v>
      </c>
    </row>
    <row r="301" spans="9:22" x14ac:dyDescent="0.45">
      <c r="I301" t="s">
        <v>180</v>
      </c>
      <c r="J301" t="s">
        <v>168</v>
      </c>
      <c r="K301">
        <v>0.2857347057020721</v>
      </c>
      <c r="L301" t="s">
        <v>166</v>
      </c>
      <c r="N301" t="s">
        <v>204</v>
      </c>
      <c r="O301" t="s">
        <v>168</v>
      </c>
      <c r="P301">
        <v>0.10008435719776018</v>
      </c>
      <c r="Q301" t="s">
        <v>166</v>
      </c>
      <c r="S301" t="s">
        <v>221</v>
      </c>
      <c r="T301" t="s">
        <v>168</v>
      </c>
      <c r="U301">
        <v>9.7406162261816573E-2</v>
      </c>
      <c r="V301" t="s">
        <v>166</v>
      </c>
    </row>
    <row r="302" spans="9:22" x14ac:dyDescent="0.45">
      <c r="I302" t="s">
        <v>180</v>
      </c>
      <c r="J302" t="s">
        <v>258</v>
      </c>
      <c r="K302">
        <v>2.9945387029738486E-2</v>
      </c>
      <c r="L302" t="s">
        <v>166</v>
      </c>
      <c r="N302" t="s">
        <v>204</v>
      </c>
      <c r="O302" t="s">
        <v>258</v>
      </c>
      <c r="P302">
        <v>2.4434454474215061E-2</v>
      </c>
      <c r="Q302" t="s">
        <v>166</v>
      </c>
      <c r="S302" t="s">
        <v>221</v>
      </c>
      <c r="T302" t="s">
        <v>258</v>
      </c>
      <c r="U302">
        <v>1.4325217736157279E-2</v>
      </c>
      <c r="V302" t="s">
        <v>166</v>
      </c>
    </row>
    <row r="303" spans="9:22" x14ac:dyDescent="0.45">
      <c r="I303" t="s">
        <v>180</v>
      </c>
      <c r="J303" t="s">
        <v>259</v>
      </c>
      <c r="K303">
        <v>3.5451930749661853E-2</v>
      </c>
      <c r="L303" t="s">
        <v>166</v>
      </c>
      <c r="N303" t="s">
        <v>204</v>
      </c>
      <c r="O303" t="s">
        <v>259</v>
      </c>
      <c r="P303">
        <v>4.7142764393752812E-2</v>
      </c>
      <c r="Q303" t="s">
        <v>166</v>
      </c>
      <c r="S303" t="s">
        <v>221</v>
      </c>
      <c r="T303" t="s">
        <v>259</v>
      </c>
      <c r="U303">
        <v>2.7353075115915705E-2</v>
      </c>
      <c r="V303" t="s">
        <v>166</v>
      </c>
    </row>
    <row r="304" spans="9:22" x14ac:dyDescent="0.45">
      <c r="I304" t="s">
        <v>180</v>
      </c>
      <c r="J304" t="s">
        <v>260</v>
      </c>
      <c r="K304">
        <v>0</v>
      </c>
      <c r="L304" t="s">
        <v>166</v>
      </c>
      <c r="N304" t="s">
        <v>204</v>
      </c>
      <c r="O304" t="s">
        <v>260</v>
      </c>
      <c r="P304">
        <v>0.13564241712991612</v>
      </c>
      <c r="Q304" t="s">
        <v>166</v>
      </c>
      <c r="S304" t="s">
        <v>221</v>
      </c>
      <c r="T304" t="s">
        <v>260</v>
      </c>
      <c r="U304">
        <v>6.8686331172274004E-2</v>
      </c>
      <c r="V304" t="s">
        <v>166</v>
      </c>
    </row>
    <row r="305" spans="9:22" x14ac:dyDescent="0.45">
      <c r="I305" t="s">
        <v>180</v>
      </c>
      <c r="J305" t="s">
        <v>346</v>
      </c>
      <c r="K305">
        <v>0</v>
      </c>
      <c r="L305" t="s">
        <v>166</v>
      </c>
      <c r="N305" t="s">
        <v>204</v>
      </c>
      <c r="O305" t="s">
        <v>346</v>
      </c>
      <c r="P305">
        <v>2.1986129323343714E-4</v>
      </c>
      <c r="Q305" t="s">
        <v>166</v>
      </c>
      <c r="S305" t="s">
        <v>221</v>
      </c>
      <c r="T305" t="s">
        <v>346</v>
      </c>
      <c r="U305">
        <v>1.973953964475889E-4</v>
      </c>
      <c r="V305" t="s">
        <v>166</v>
      </c>
    </row>
    <row r="306" spans="9:22" x14ac:dyDescent="0.45">
      <c r="I306" t="s">
        <v>180</v>
      </c>
      <c r="J306" t="s">
        <v>347</v>
      </c>
      <c r="K306">
        <v>0</v>
      </c>
      <c r="L306" t="s">
        <v>166</v>
      </c>
      <c r="N306" t="s">
        <v>204</v>
      </c>
      <c r="O306" t="s">
        <v>347</v>
      </c>
      <c r="P306">
        <v>1.7941112261246668E-4</v>
      </c>
      <c r="Q306" t="s">
        <v>166</v>
      </c>
      <c r="S306" t="s">
        <v>221</v>
      </c>
      <c r="T306" t="s">
        <v>347</v>
      </c>
      <c r="U306">
        <v>1.9652747497826264E-4</v>
      </c>
      <c r="V306" t="s">
        <v>166</v>
      </c>
    </row>
    <row r="307" spans="9:22" x14ac:dyDescent="0.45">
      <c r="I307" t="s">
        <v>180</v>
      </c>
      <c r="J307" t="s">
        <v>348</v>
      </c>
      <c r="K307">
        <v>0</v>
      </c>
      <c r="L307" t="s">
        <v>166</v>
      </c>
      <c r="N307" t="s">
        <v>204</v>
      </c>
      <c r="O307" t="s">
        <v>348</v>
      </c>
      <c r="P307">
        <v>1.6453074953910285E-4</v>
      </c>
      <c r="Q307" t="s">
        <v>166</v>
      </c>
      <c r="S307" t="s">
        <v>221</v>
      </c>
      <c r="T307" t="s">
        <v>348</v>
      </c>
      <c r="U307">
        <v>1.9675711736642627E-4</v>
      </c>
      <c r="V307" t="s">
        <v>166</v>
      </c>
    </row>
    <row r="308" spans="9:22" x14ac:dyDescent="0.45">
      <c r="I308" t="s">
        <v>180</v>
      </c>
      <c r="J308" t="s">
        <v>349</v>
      </c>
      <c r="K308">
        <v>0</v>
      </c>
      <c r="L308" t="s">
        <v>166</v>
      </c>
      <c r="N308" t="s">
        <v>204</v>
      </c>
      <c r="O308" t="s">
        <v>349</v>
      </c>
      <c r="P308">
        <v>1.7043924982624323E-4</v>
      </c>
      <c r="Q308" t="s">
        <v>166</v>
      </c>
      <c r="S308" t="s">
        <v>221</v>
      </c>
      <c r="T308" t="s">
        <v>349</v>
      </c>
      <c r="U308">
        <v>2.0112009846718891E-4</v>
      </c>
      <c r="V308" t="s">
        <v>166</v>
      </c>
    </row>
    <row r="309" spans="9:22" x14ac:dyDescent="0.45">
      <c r="I309" t="s">
        <v>180</v>
      </c>
      <c r="J309" t="s">
        <v>350</v>
      </c>
      <c r="K309">
        <v>0</v>
      </c>
      <c r="L309" t="s">
        <v>166</v>
      </c>
      <c r="N309" t="s">
        <v>204</v>
      </c>
      <c r="O309" t="s">
        <v>350</v>
      </c>
      <c r="P309">
        <v>1.7713052758411079E-4</v>
      </c>
      <c r="Q309" t="s">
        <v>166</v>
      </c>
      <c r="S309" t="s">
        <v>221</v>
      </c>
      <c r="T309" t="s">
        <v>350</v>
      </c>
      <c r="U309">
        <v>2.0572108993195299E-4</v>
      </c>
      <c r="V309" t="s">
        <v>166</v>
      </c>
    </row>
    <row r="310" spans="9:22" x14ac:dyDescent="0.45">
      <c r="I310" t="s">
        <v>180</v>
      </c>
      <c r="J310" t="s">
        <v>351</v>
      </c>
      <c r="K310">
        <v>0</v>
      </c>
      <c r="L310" t="s">
        <v>166</v>
      </c>
      <c r="N310" t="s">
        <v>204</v>
      </c>
      <c r="O310" t="s">
        <v>351</v>
      </c>
      <c r="P310">
        <v>1.424781925875839E-4</v>
      </c>
      <c r="Q310" t="s">
        <v>166</v>
      </c>
      <c r="S310" t="s">
        <v>221</v>
      </c>
      <c r="T310" t="s">
        <v>351</v>
      </c>
      <c r="U310">
        <v>1.9871151945534E-4</v>
      </c>
      <c r="V310" t="s">
        <v>166</v>
      </c>
    </row>
    <row r="311" spans="9:22" x14ac:dyDescent="0.45">
      <c r="I311" t="s">
        <v>180</v>
      </c>
      <c r="J311" t="s">
        <v>352</v>
      </c>
      <c r="K311">
        <v>0</v>
      </c>
      <c r="L311" t="s">
        <v>166</v>
      </c>
      <c r="N311" t="s">
        <v>204</v>
      </c>
      <c r="O311" t="s">
        <v>352</v>
      </c>
      <c r="P311">
        <v>1.375291227767242E-4</v>
      </c>
      <c r="Q311" t="s">
        <v>166</v>
      </c>
      <c r="S311" t="s">
        <v>221</v>
      </c>
      <c r="T311" t="s">
        <v>352</v>
      </c>
      <c r="U311">
        <v>1.9816337036826287E-4</v>
      </c>
      <c r="V311" t="s">
        <v>166</v>
      </c>
    </row>
    <row r="312" spans="9:22" x14ac:dyDescent="0.45">
      <c r="I312" t="s">
        <v>180</v>
      </c>
      <c r="J312" t="s">
        <v>353</v>
      </c>
      <c r="K312">
        <v>1.4279356116046849E-4</v>
      </c>
      <c r="L312" t="s">
        <v>166</v>
      </c>
      <c r="N312" t="s">
        <v>204</v>
      </c>
      <c r="O312" t="s">
        <v>353</v>
      </c>
      <c r="P312">
        <v>1.2917715560739688E-4</v>
      </c>
      <c r="Q312" t="s">
        <v>166</v>
      </c>
      <c r="S312" t="s">
        <v>221</v>
      </c>
      <c r="T312" t="s">
        <v>353</v>
      </c>
      <c r="U312">
        <v>2.0129735823689137E-4</v>
      </c>
      <c r="V312" t="s">
        <v>166</v>
      </c>
    </row>
    <row r="313" spans="9:22" x14ac:dyDescent="0.45">
      <c r="I313" t="s">
        <v>180</v>
      </c>
      <c r="J313" t="s">
        <v>354</v>
      </c>
      <c r="K313">
        <v>2.2886899147531471E-4</v>
      </c>
      <c r="L313" t="s">
        <v>166</v>
      </c>
      <c r="N313" t="s">
        <v>204</v>
      </c>
      <c r="O313" t="s">
        <v>354</v>
      </c>
      <c r="P313">
        <v>1.3559246519863609E-4</v>
      </c>
      <c r="Q313" t="s">
        <v>166</v>
      </c>
      <c r="S313" t="s">
        <v>221</v>
      </c>
      <c r="T313" t="s">
        <v>354</v>
      </c>
      <c r="U313">
        <v>2.038767945370622E-4</v>
      </c>
      <c r="V313" t="s">
        <v>166</v>
      </c>
    </row>
    <row r="314" spans="9:22" x14ac:dyDescent="0.45">
      <c r="I314" t="s">
        <v>180</v>
      </c>
      <c r="J314" t="s">
        <v>355</v>
      </c>
      <c r="K314">
        <v>3.2729988676908738E-4</v>
      </c>
      <c r="L314" t="s">
        <v>166</v>
      </c>
      <c r="N314" t="s">
        <v>204</v>
      </c>
      <c r="O314" t="s">
        <v>355</v>
      </c>
      <c r="P314">
        <v>1.1688946322455614E-4</v>
      </c>
      <c r="Q314" t="s">
        <v>166</v>
      </c>
      <c r="S314" t="s">
        <v>221</v>
      </c>
      <c r="T314" t="s">
        <v>355</v>
      </c>
      <c r="U314">
        <v>2.1078456220240913E-4</v>
      </c>
      <c r="V314" t="s">
        <v>166</v>
      </c>
    </row>
    <row r="315" spans="9:22" x14ac:dyDescent="0.45">
      <c r="I315" t="s">
        <v>180</v>
      </c>
      <c r="J315" t="s">
        <v>356</v>
      </c>
      <c r="K315">
        <v>3.8239093288179013E-4</v>
      </c>
      <c r="L315" t="s">
        <v>166</v>
      </c>
      <c r="N315" t="s">
        <v>204</v>
      </c>
      <c r="O315" t="s">
        <v>356</v>
      </c>
      <c r="P315">
        <v>7.6274827806216677E-5</v>
      </c>
      <c r="Q315" t="s">
        <v>166</v>
      </c>
      <c r="S315" t="s">
        <v>221</v>
      </c>
      <c r="T315" t="s">
        <v>356</v>
      </c>
      <c r="U315">
        <v>2.1695027764793043E-4</v>
      </c>
      <c r="V315" t="s">
        <v>166</v>
      </c>
    </row>
    <row r="316" spans="9:22" x14ac:dyDescent="0.45">
      <c r="I316" t="s">
        <v>180</v>
      </c>
      <c r="J316" t="s">
        <v>357</v>
      </c>
      <c r="K316">
        <v>3.9369690556750674E-4</v>
      </c>
      <c r="L316" t="s">
        <v>166</v>
      </c>
      <c r="N316" t="s">
        <v>204</v>
      </c>
      <c r="O316" t="s">
        <v>357</v>
      </c>
      <c r="P316">
        <v>4.8477609086935758E-5</v>
      </c>
      <c r="Q316" t="s">
        <v>166</v>
      </c>
      <c r="S316" t="s">
        <v>221</v>
      </c>
      <c r="T316" t="s">
        <v>357</v>
      </c>
      <c r="U316">
        <v>2.2331334066918345E-4</v>
      </c>
      <c r="V316" t="s">
        <v>166</v>
      </c>
    </row>
    <row r="317" spans="9:22" x14ac:dyDescent="0.45">
      <c r="I317" t="s">
        <v>180</v>
      </c>
      <c r="J317" t="s">
        <v>358</v>
      </c>
      <c r="K317">
        <v>3.6423538872300514E-4</v>
      </c>
      <c r="L317" t="s">
        <v>166</v>
      </c>
      <c r="N317" t="s">
        <v>204</v>
      </c>
      <c r="O317" t="s">
        <v>358</v>
      </c>
      <c r="P317">
        <v>2.8806240992557766E-5</v>
      </c>
      <c r="Q317" t="s">
        <v>166</v>
      </c>
      <c r="S317" t="s">
        <v>221</v>
      </c>
      <c r="T317" t="s">
        <v>358</v>
      </c>
      <c r="U317">
        <v>2.256178020792751E-4</v>
      </c>
      <c r="V317" t="s">
        <v>166</v>
      </c>
    </row>
    <row r="318" spans="9:22" x14ac:dyDescent="0.45">
      <c r="I318" t="s">
        <v>180</v>
      </c>
      <c r="J318" t="s">
        <v>359</v>
      </c>
      <c r="K318">
        <v>3.0785738636648278E-4</v>
      </c>
      <c r="L318" t="s">
        <v>166</v>
      </c>
      <c r="N318" t="s">
        <v>204</v>
      </c>
      <c r="O318" t="s">
        <v>359</v>
      </c>
      <c r="P318">
        <v>2.4810842268246828E-5</v>
      </c>
      <c r="Q318" t="s">
        <v>166</v>
      </c>
      <c r="S318" t="s">
        <v>221</v>
      </c>
      <c r="T318" t="s">
        <v>359</v>
      </c>
      <c r="U318">
        <v>2.2505373705770747E-4</v>
      </c>
      <c r="V318" t="s">
        <v>166</v>
      </c>
    </row>
    <row r="319" spans="9:22" x14ac:dyDescent="0.45">
      <c r="I319" t="s">
        <v>180</v>
      </c>
      <c r="J319" t="s">
        <v>360</v>
      </c>
      <c r="K319">
        <v>2.9611505142899757E-4</v>
      </c>
      <c r="L319" t="s">
        <v>166</v>
      </c>
      <c r="N319" t="s">
        <v>204</v>
      </c>
      <c r="O319" t="s">
        <v>360</v>
      </c>
      <c r="P319">
        <v>4.4695785540615681E-5</v>
      </c>
      <c r="Q319" t="s">
        <v>166</v>
      </c>
      <c r="S319" t="s">
        <v>221</v>
      </c>
      <c r="T319" t="s">
        <v>360</v>
      </c>
      <c r="U319">
        <v>2.2514441253516926E-4</v>
      </c>
      <c r="V319" t="s">
        <v>166</v>
      </c>
    </row>
    <row r="320" spans="9:22" x14ac:dyDescent="0.45">
      <c r="I320" t="s">
        <v>180</v>
      </c>
      <c r="J320" t="s">
        <v>361</v>
      </c>
      <c r="K320">
        <v>2.6201155758396076E-4</v>
      </c>
      <c r="L320" t="s">
        <v>166</v>
      </c>
      <c r="N320" t="s">
        <v>204</v>
      </c>
      <c r="O320" t="s">
        <v>361</v>
      </c>
      <c r="P320">
        <v>8.0225927174918939E-5</v>
      </c>
      <c r="Q320" t="s">
        <v>166</v>
      </c>
      <c r="S320" t="s">
        <v>221</v>
      </c>
      <c r="T320" t="s">
        <v>361</v>
      </c>
      <c r="U320">
        <v>2.256476086657689E-4</v>
      </c>
      <c r="V320" t="s">
        <v>166</v>
      </c>
    </row>
    <row r="321" spans="9:22" x14ac:dyDescent="0.45">
      <c r="I321" t="s">
        <v>180</v>
      </c>
      <c r="J321" t="s">
        <v>362</v>
      </c>
      <c r="K321">
        <v>2.2609478569982053E-4</v>
      </c>
      <c r="L321" t="s">
        <v>166</v>
      </c>
      <c r="N321" t="s">
        <v>204</v>
      </c>
      <c r="O321" t="s">
        <v>362</v>
      </c>
      <c r="P321">
        <v>1.2999845652898333E-4</v>
      </c>
      <c r="Q321" t="s">
        <v>166</v>
      </c>
      <c r="S321" t="s">
        <v>221</v>
      </c>
      <c r="T321" t="s">
        <v>362</v>
      </c>
      <c r="U321">
        <v>2.2585655604160645E-4</v>
      </c>
      <c r="V321" t="s">
        <v>166</v>
      </c>
    </row>
    <row r="322" spans="9:22" x14ac:dyDescent="0.45">
      <c r="I322" t="s">
        <v>180</v>
      </c>
      <c r="J322" t="s">
        <v>363</v>
      </c>
      <c r="K322">
        <v>1.2809276587444628E-4</v>
      </c>
      <c r="L322" t="s">
        <v>166</v>
      </c>
      <c r="N322" t="s">
        <v>204</v>
      </c>
      <c r="O322" t="s">
        <v>363</v>
      </c>
      <c r="P322">
        <v>1.8560861105131719E-4</v>
      </c>
      <c r="Q322" t="s">
        <v>166</v>
      </c>
      <c r="S322" t="s">
        <v>221</v>
      </c>
      <c r="T322" t="s">
        <v>363</v>
      </c>
      <c r="U322">
        <v>2.1342541078785702E-4</v>
      </c>
      <c r="V322" t="s">
        <v>166</v>
      </c>
    </row>
    <row r="323" spans="9:22" x14ac:dyDescent="0.45">
      <c r="I323" t="s">
        <v>180</v>
      </c>
      <c r="J323" t="s">
        <v>364</v>
      </c>
      <c r="K323">
        <v>8.9950940043449052E-5</v>
      </c>
      <c r="L323" t="s">
        <v>166</v>
      </c>
      <c r="N323" t="s">
        <v>204</v>
      </c>
      <c r="O323" t="s">
        <v>364</v>
      </c>
      <c r="P323">
        <v>2.9065473560442893E-4</v>
      </c>
      <c r="Q323" t="s">
        <v>166</v>
      </c>
      <c r="S323" t="s">
        <v>221</v>
      </c>
      <c r="T323" t="s">
        <v>364</v>
      </c>
      <c r="U323">
        <v>2.149884867289977E-4</v>
      </c>
      <c r="V323" t="s">
        <v>166</v>
      </c>
    </row>
    <row r="324" spans="9:22" x14ac:dyDescent="0.45">
      <c r="I324" t="s">
        <v>180</v>
      </c>
      <c r="J324" t="s">
        <v>365</v>
      </c>
      <c r="K324">
        <v>0</v>
      </c>
      <c r="L324" t="s">
        <v>166</v>
      </c>
      <c r="N324" t="s">
        <v>204</v>
      </c>
      <c r="O324" t="s">
        <v>365</v>
      </c>
      <c r="P324">
        <v>3.1321196149170118E-4</v>
      </c>
      <c r="Q324" t="s">
        <v>166</v>
      </c>
      <c r="S324" t="s">
        <v>221</v>
      </c>
      <c r="T324" t="s">
        <v>365</v>
      </c>
      <c r="U324">
        <v>2.1447813605308467E-4</v>
      </c>
      <c r="V324" t="s">
        <v>166</v>
      </c>
    </row>
    <row r="325" spans="9:22" x14ac:dyDescent="0.45">
      <c r="I325" t="s">
        <v>180</v>
      </c>
      <c r="J325" t="s">
        <v>366</v>
      </c>
      <c r="K325">
        <v>0</v>
      </c>
      <c r="L325" t="s">
        <v>166</v>
      </c>
      <c r="N325" t="s">
        <v>204</v>
      </c>
      <c r="O325" t="s">
        <v>366</v>
      </c>
      <c r="P325">
        <v>2.9611615288441983E-4</v>
      </c>
      <c r="Q325" t="s">
        <v>166</v>
      </c>
      <c r="S325" t="s">
        <v>221</v>
      </c>
      <c r="T325" t="s">
        <v>366</v>
      </c>
      <c r="U325">
        <v>2.1197655952546877E-4</v>
      </c>
      <c r="V325" t="s">
        <v>166</v>
      </c>
    </row>
    <row r="326" spans="9:22" x14ac:dyDescent="0.45">
      <c r="I326" t="s">
        <v>180</v>
      </c>
      <c r="J326" t="s">
        <v>367</v>
      </c>
      <c r="K326">
        <v>0</v>
      </c>
      <c r="L326" t="s">
        <v>166</v>
      </c>
      <c r="N326" t="s">
        <v>204</v>
      </c>
      <c r="O326" t="s">
        <v>367</v>
      </c>
      <c r="P326">
        <v>2.6685800684120054E-4</v>
      </c>
      <c r="Q326" t="s">
        <v>166</v>
      </c>
      <c r="S326" t="s">
        <v>221</v>
      </c>
      <c r="T326" t="s">
        <v>367</v>
      </c>
      <c r="U326">
        <v>2.0710982590034554E-4</v>
      </c>
      <c r="V326" t="s">
        <v>166</v>
      </c>
    </row>
    <row r="327" spans="9:22" x14ac:dyDescent="0.45">
      <c r="I327" t="s">
        <v>180</v>
      </c>
      <c r="J327" t="s">
        <v>368</v>
      </c>
      <c r="K327">
        <v>0</v>
      </c>
      <c r="L327" t="s">
        <v>166</v>
      </c>
      <c r="N327" t="s">
        <v>204</v>
      </c>
      <c r="O327" t="s">
        <v>368</v>
      </c>
      <c r="P327">
        <v>1.9231043734764473E-4</v>
      </c>
      <c r="Q327" t="s">
        <v>166</v>
      </c>
      <c r="S327" t="s">
        <v>221</v>
      </c>
      <c r="T327" t="s">
        <v>368</v>
      </c>
      <c r="U327">
        <v>2.0300530837616203E-4</v>
      </c>
      <c r="V327" t="s">
        <v>166</v>
      </c>
    </row>
    <row r="328" spans="9:22" x14ac:dyDescent="0.45">
      <c r="I328" t="s">
        <v>180</v>
      </c>
      <c r="J328" t="s">
        <v>369</v>
      </c>
      <c r="K328">
        <v>0</v>
      </c>
      <c r="L328" t="s">
        <v>166</v>
      </c>
      <c r="N328" t="s">
        <v>204</v>
      </c>
      <c r="O328" t="s">
        <v>369</v>
      </c>
      <c r="P328">
        <v>1.2080552908608226E-4</v>
      </c>
      <c r="Q328" t="s">
        <v>166</v>
      </c>
      <c r="S328" t="s">
        <v>221</v>
      </c>
      <c r="T328" t="s">
        <v>369</v>
      </c>
      <c r="U328">
        <v>1.9936529042830742E-4</v>
      </c>
      <c r="V328" t="s">
        <v>166</v>
      </c>
    </row>
    <row r="329" spans="9:22" x14ac:dyDescent="0.45">
      <c r="I329" t="s">
        <v>180</v>
      </c>
      <c r="J329" t="s">
        <v>370</v>
      </c>
      <c r="K329">
        <v>0</v>
      </c>
      <c r="L329" t="s">
        <v>166</v>
      </c>
      <c r="N329" t="s">
        <v>204</v>
      </c>
      <c r="O329" t="s">
        <v>370</v>
      </c>
      <c r="P329">
        <v>4.7720959198316033E-4</v>
      </c>
      <c r="Q329" t="s">
        <v>166</v>
      </c>
      <c r="S329" t="s">
        <v>221</v>
      </c>
      <c r="T329" t="s">
        <v>370</v>
      </c>
      <c r="U329">
        <v>7.191318903955624E-5</v>
      </c>
      <c r="V329" t="s">
        <v>166</v>
      </c>
    </row>
    <row r="330" spans="9:22" x14ac:dyDescent="0.45">
      <c r="I330" t="s">
        <v>180</v>
      </c>
      <c r="J330" t="s">
        <v>371</v>
      </c>
      <c r="K330">
        <v>0</v>
      </c>
      <c r="L330" t="s">
        <v>166</v>
      </c>
      <c r="N330" t="s">
        <v>204</v>
      </c>
      <c r="O330" t="s">
        <v>371</v>
      </c>
      <c r="P330">
        <v>4.7404629862098411E-4</v>
      </c>
      <c r="Q330" t="s">
        <v>166</v>
      </c>
      <c r="S330" t="s">
        <v>221</v>
      </c>
      <c r="T330" t="s">
        <v>371</v>
      </c>
      <c r="U330">
        <v>6.3122499137228128E-5</v>
      </c>
      <c r="V330" t="s">
        <v>166</v>
      </c>
    </row>
    <row r="331" spans="9:22" x14ac:dyDescent="0.45">
      <c r="I331" t="s">
        <v>180</v>
      </c>
      <c r="J331" t="s">
        <v>372</v>
      </c>
      <c r="K331">
        <v>0</v>
      </c>
      <c r="L331" t="s">
        <v>166</v>
      </c>
      <c r="N331" t="s">
        <v>204</v>
      </c>
      <c r="O331" t="s">
        <v>372</v>
      </c>
      <c r="P331">
        <v>4.6380288651422778E-4</v>
      </c>
      <c r="Q331" t="s">
        <v>166</v>
      </c>
      <c r="S331" t="s">
        <v>221</v>
      </c>
      <c r="T331" t="s">
        <v>372</v>
      </c>
      <c r="U331">
        <v>5.936730836161481E-5</v>
      </c>
      <c r="V331" t="s">
        <v>166</v>
      </c>
    </row>
    <row r="332" spans="9:22" x14ac:dyDescent="0.45">
      <c r="I332" t="s">
        <v>180</v>
      </c>
      <c r="J332" t="s">
        <v>373</v>
      </c>
      <c r="K332">
        <v>0</v>
      </c>
      <c r="L332" t="s">
        <v>166</v>
      </c>
      <c r="N332" t="s">
        <v>204</v>
      </c>
      <c r="O332" t="s">
        <v>373</v>
      </c>
      <c r="P332">
        <v>4.3665493361349546E-4</v>
      </c>
      <c r="Q332" t="s">
        <v>166</v>
      </c>
      <c r="S332" t="s">
        <v>221</v>
      </c>
      <c r="T332" t="s">
        <v>373</v>
      </c>
      <c r="U332">
        <v>5.7628162278973717E-5</v>
      </c>
      <c r="V332" t="s">
        <v>166</v>
      </c>
    </row>
    <row r="333" spans="9:22" x14ac:dyDescent="0.45">
      <c r="I333" t="s">
        <v>180</v>
      </c>
      <c r="J333" t="s">
        <v>374</v>
      </c>
      <c r="K333">
        <v>0</v>
      </c>
      <c r="L333" t="s">
        <v>166</v>
      </c>
      <c r="N333" t="s">
        <v>204</v>
      </c>
      <c r="O333" t="s">
        <v>374</v>
      </c>
      <c r="P333">
        <v>4.1069589811656678E-4</v>
      </c>
      <c r="Q333" t="s">
        <v>166</v>
      </c>
      <c r="S333" t="s">
        <v>221</v>
      </c>
      <c r="T333" t="s">
        <v>374</v>
      </c>
      <c r="U333">
        <v>5.8033313647790924E-5</v>
      </c>
      <c r="V333" t="s">
        <v>166</v>
      </c>
    </row>
    <row r="334" spans="9:22" x14ac:dyDescent="0.45">
      <c r="I334" t="s">
        <v>180</v>
      </c>
      <c r="J334" t="s">
        <v>375</v>
      </c>
      <c r="K334">
        <v>0</v>
      </c>
      <c r="L334" t="s">
        <v>166</v>
      </c>
      <c r="N334" t="s">
        <v>204</v>
      </c>
      <c r="O334" t="s">
        <v>375</v>
      </c>
      <c r="P334">
        <v>4.030347887721764E-4</v>
      </c>
      <c r="Q334" t="s">
        <v>166</v>
      </c>
      <c r="S334" t="s">
        <v>221</v>
      </c>
      <c r="T334" t="s">
        <v>375</v>
      </c>
      <c r="U334">
        <v>5.4871841469209386E-5</v>
      </c>
      <c r="V334" t="s">
        <v>166</v>
      </c>
    </row>
    <row r="335" spans="9:22" x14ac:dyDescent="0.45">
      <c r="I335" t="s">
        <v>180</v>
      </c>
      <c r="J335" t="s">
        <v>376</v>
      </c>
      <c r="K335">
        <v>0</v>
      </c>
      <c r="L335" t="s">
        <v>166</v>
      </c>
      <c r="N335" t="s">
        <v>204</v>
      </c>
      <c r="O335" t="s">
        <v>376</v>
      </c>
      <c r="P335">
        <v>3.8209428902400918E-4</v>
      </c>
      <c r="Q335" t="s">
        <v>166</v>
      </c>
      <c r="S335" t="s">
        <v>221</v>
      </c>
      <c r="T335" t="s">
        <v>376</v>
      </c>
      <c r="U335">
        <v>5.3107289852108933E-5</v>
      </c>
      <c r="V335" t="s">
        <v>166</v>
      </c>
    </row>
    <row r="336" spans="9:22" x14ac:dyDescent="0.45">
      <c r="I336" t="s">
        <v>180</v>
      </c>
      <c r="J336" t="s">
        <v>377</v>
      </c>
      <c r="K336">
        <v>1.3961710886123554E-4</v>
      </c>
      <c r="L336" t="s">
        <v>166</v>
      </c>
      <c r="N336" t="s">
        <v>204</v>
      </c>
      <c r="O336" t="s">
        <v>377</v>
      </c>
      <c r="P336">
        <v>3.2574063306688801E-4</v>
      </c>
      <c r="Q336" t="s">
        <v>166</v>
      </c>
      <c r="S336" t="s">
        <v>221</v>
      </c>
      <c r="T336" t="s">
        <v>377</v>
      </c>
      <c r="U336">
        <v>5.8766389291949519E-5</v>
      </c>
      <c r="V336" t="s">
        <v>166</v>
      </c>
    </row>
    <row r="337" spans="9:22" x14ac:dyDescent="0.45">
      <c r="I337" t="s">
        <v>180</v>
      </c>
      <c r="J337" t="s">
        <v>378</v>
      </c>
      <c r="K337">
        <v>2.8518783147387565E-4</v>
      </c>
      <c r="L337" t="s">
        <v>166</v>
      </c>
      <c r="N337" t="s">
        <v>204</v>
      </c>
      <c r="O337" t="s">
        <v>378</v>
      </c>
      <c r="P337">
        <v>2.8457064536154469E-4</v>
      </c>
      <c r="Q337" t="s">
        <v>166</v>
      </c>
      <c r="S337" t="s">
        <v>221</v>
      </c>
      <c r="T337" t="s">
        <v>378</v>
      </c>
      <c r="U337">
        <v>6.3729918325330681E-5</v>
      </c>
      <c r="V337" t="s">
        <v>166</v>
      </c>
    </row>
    <row r="338" spans="9:22" x14ac:dyDescent="0.45">
      <c r="I338" t="s">
        <v>180</v>
      </c>
      <c r="J338" t="s">
        <v>379</v>
      </c>
      <c r="K338">
        <v>3.7754922335731997E-4</v>
      </c>
      <c r="L338" t="s">
        <v>166</v>
      </c>
      <c r="N338" t="s">
        <v>204</v>
      </c>
      <c r="O338" t="s">
        <v>379</v>
      </c>
      <c r="P338">
        <v>2.6370135544680494E-4</v>
      </c>
      <c r="Q338" t="s">
        <v>166</v>
      </c>
      <c r="S338" t="s">
        <v>221</v>
      </c>
      <c r="T338" t="s">
        <v>379</v>
      </c>
      <c r="U338">
        <v>7.0618249697322437E-5</v>
      </c>
      <c r="V338" t="s">
        <v>166</v>
      </c>
    </row>
    <row r="339" spans="9:22" x14ac:dyDescent="0.45">
      <c r="I339" t="s">
        <v>180</v>
      </c>
      <c r="J339" t="s">
        <v>380</v>
      </c>
      <c r="K339">
        <v>4.2756549362722599E-4</v>
      </c>
      <c r="L339" t="s">
        <v>166</v>
      </c>
      <c r="N339" t="s">
        <v>204</v>
      </c>
      <c r="O339" t="s">
        <v>380</v>
      </c>
      <c r="P339">
        <v>2.2521808107945292E-4</v>
      </c>
      <c r="Q339" t="s">
        <v>166</v>
      </c>
      <c r="S339" t="s">
        <v>221</v>
      </c>
      <c r="T339" t="s">
        <v>380</v>
      </c>
      <c r="U339">
        <v>7.6509203462215523E-5</v>
      </c>
      <c r="V339" t="s">
        <v>166</v>
      </c>
    </row>
    <row r="340" spans="9:22" x14ac:dyDescent="0.45">
      <c r="I340" t="s">
        <v>180</v>
      </c>
      <c r="J340" t="s">
        <v>381</v>
      </c>
      <c r="K340">
        <v>4.4428877355123472E-4</v>
      </c>
      <c r="L340" t="s">
        <v>166</v>
      </c>
      <c r="N340" t="s">
        <v>204</v>
      </c>
      <c r="O340" t="s">
        <v>381</v>
      </c>
      <c r="P340">
        <v>1.7344973157870926E-4</v>
      </c>
      <c r="Q340" t="s">
        <v>166</v>
      </c>
      <c r="S340" t="s">
        <v>221</v>
      </c>
      <c r="T340" t="s">
        <v>381</v>
      </c>
      <c r="U340">
        <v>7.9042996962875082E-5</v>
      </c>
      <c r="V340" t="s">
        <v>166</v>
      </c>
    </row>
    <row r="341" spans="9:22" x14ac:dyDescent="0.45">
      <c r="I341" t="s">
        <v>180</v>
      </c>
      <c r="J341" t="s">
        <v>382</v>
      </c>
      <c r="K341">
        <v>4.3116947649406915E-4</v>
      </c>
      <c r="L341" t="s">
        <v>166</v>
      </c>
      <c r="N341" t="s">
        <v>204</v>
      </c>
      <c r="O341" t="s">
        <v>382</v>
      </c>
      <c r="P341">
        <v>1.1235245142961084E-4</v>
      </c>
      <c r="Q341" t="s">
        <v>166</v>
      </c>
      <c r="S341" t="s">
        <v>221</v>
      </c>
      <c r="T341" t="s">
        <v>382</v>
      </c>
      <c r="U341">
        <v>7.4368957233710066E-5</v>
      </c>
      <c r="V341" t="s">
        <v>166</v>
      </c>
    </row>
    <row r="342" spans="9:22" x14ac:dyDescent="0.45">
      <c r="I342" t="s">
        <v>180</v>
      </c>
      <c r="J342" t="s">
        <v>383</v>
      </c>
      <c r="K342">
        <v>4.2836020817974864E-4</v>
      </c>
      <c r="L342" t="s">
        <v>166</v>
      </c>
      <c r="N342" t="s">
        <v>204</v>
      </c>
      <c r="O342" t="s">
        <v>383</v>
      </c>
      <c r="P342">
        <v>9.3334477527949093E-5</v>
      </c>
      <c r="Q342" t="s">
        <v>166</v>
      </c>
      <c r="S342" t="s">
        <v>221</v>
      </c>
      <c r="T342" t="s">
        <v>383</v>
      </c>
      <c r="U342">
        <v>7.2113786367530248E-5</v>
      </c>
      <c r="V342" t="s">
        <v>166</v>
      </c>
    </row>
    <row r="343" spans="9:22" x14ac:dyDescent="0.45">
      <c r="I343" t="s">
        <v>180</v>
      </c>
      <c r="J343" t="s">
        <v>384</v>
      </c>
      <c r="K343">
        <v>4.3332718490468407E-4</v>
      </c>
      <c r="L343" t="s">
        <v>166</v>
      </c>
      <c r="N343" t="s">
        <v>204</v>
      </c>
      <c r="O343" t="s">
        <v>384</v>
      </c>
      <c r="P343">
        <v>1.1995383133638666E-4</v>
      </c>
      <c r="Q343" t="s">
        <v>166</v>
      </c>
      <c r="S343" t="s">
        <v>221</v>
      </c>
      <c r="T343" t="s">
        <v>384</v>
      </c>
      <c r="U343">
        <v>7.6831266413751408E-5</v>
      </c>
      <c r="V343" t="s">
        <v>166</v>
      </c>
    </row>
    <row r="344" spans="9:22" x14ac:dyDescent="0.45">
      <c r="I344" t="s">
        <v>180</v>
      </c>
      <c r="J344" t="s">
        <v>385</v>
      </c>
      <c r="K344">
        <v>4.206889620081028E-4</v>
      </c>
      <c r="L344" t="s">
        <v>166</v>
      </c>
      <c r="N344" t="s">
        <v>204</v>
      </c>
      <c r="O344" t="s">
        <v>385</v>
      </c>
      <c r="P344">
        <v>1.893823897151165E-4</v>
      </c>
      <c r="Q344" t="s">
        <v>166</v>
      </c>
      <c r="S344" t="s">
        <v>221</v>
      </c>
      <c r="T344" t="s">
        <v>385</v>
      </c>
      <c r="U344">
        <v>7.7668872210910229E-5</v>
      </c>
      <c r="V344" t="s">
        <v>166</v>
      </c>
    </row>
    <row r="345" spans="9:22" x14ac:dyDescent="0.45">
      <c r="I345" t="s">
        <v>180</v>
      </c>
      <c r="J345" t="s">
        <v>386</v>
      </c>
      <c r="K345">
        <v>3.8251861868293267E-4</v>
      </c>
      <c r="L345" t="s">
        <v>166</v>
      </c>
      <c r="N345" t="s">
        <v>204</v>
      </c>
      <c r="O345" t="s">
        <v>386</v>
      </c>
      <c r="P345">
        <v>2.9085128592288184E-4</v>
      </c>
      <c r="Q345" t="s">
        <v>166</v>
      </c>
      <c r="S345" t="s">
        <v>221</v>
      </c>
      <c r="T345" t="s">
        <v>386</v>
      </c>
      <c r="U345">
        <v>7.0012931118582675E-5</v>
      </c>
      <c r="V345" t="s">
        <v>166</v>
      </c>
    </row>
    <row r="346" spans="9:22" x14ac:dyDescent="0.45">
      <c r="I346" t="s">
        <v>180</v>
      </c>
      <c r="J346" t="s">
        <v>387</v>
      </c>
      <c r="K346">
        <v>3.1762990807999834E-4</v>
      </c>
      <c r="L346" t="s">
        <v>166</v>
      </c>
      <c r="N346" t="s">
        <v>204</v>
      </c>
      <c r="O346" t="s">
        <v>387</v>
      </c>
      <c r="P346">
        <v>2.3423842915145602E-4</v>
      </c>
      <c r="Q346" t="s">
        <v>166</v>
      </c>
      <c r="S346" t="s">
        <v>221</v>
      </c>
      <c r="T346" t="s">
        <v>387</v>
      </c>
      <c r="U346">
        <v>5.754273044409424E-5</v>
      </c>
      <c r="V346" t="s">
        <v>166</v>
      </c>
    </row>
    <row r="347" spans="9:22" x14ac:dyDescent="0.45">
      <c r="I347" t="s">
        <v>180</v>
      </c>
      <c r="J347" t="s">
        <v>388</v>
      </c>
      <c r="K347">
        <v>1.9412556083481497E-4</v>
      </c>
      <c r="L347" t="s">
        <v>166</v>
      </c>
      <c r="N347" t="s">
        <v>204</v>
      </c>
      <c r="O347" t="s">
        <v>388</v>
      </c>
      <c r="P347">
        <v>2.4653888588264294E-4</v>
      </c>
      <c r="Q347" t="s">
        <v>166</v>
      </c>
      <c r="S347" t="s">
        <v>221</v>
      </c>
      <c r="T347" t="s">
        <v>388</v>
      </c>
      <c r="U347">
        <v>7.1133275535905817E-5</v>
      </c>
      <c r="V347" t="s">
        <v>166</v>
      </c>
    </row>
    <row r="348" spans="9:22" x14ac:dyDescent="0.45">
      <c r="I348" t="s">
        <v>180</v>
      </c>
      <c r="J348" t="s">
        <v>389</v>
      </c>
      <c r="K348">
        <v>0</v>
      </c>
      <c r="L348" t="s">
        <v>166</v>
      </c>
      <c r="N348" t="s">
        <v>204</v>
      </c>
      <c r="O348" t="s">
        <v>389</v>
      </c>
      <c r="P348">
        <v>2.5796369583741611E-4</v>
      </c>
      <c r="Q348" t="s">
        <v>166</v>
      </c>
      <c r="S348" t="s">
        <v>221</v>
      </c>
      <c r="T348" t="s">
        <v>389</v>
      </c>
      <c r="U348">
        <v>7.7608293871772775E-5</v>
      </c>
      <c r="V348" t="s">
        <v>166</v>
      </c>
    </row>
    <row r="349" spans="9:22" x14ac:dyDescent="0.45">
      <c r="I349" t="s">
        <v>180</v>
      </c>
      <c r="J349" t="s">
        <v>390</v>
      </c>
      <c r="K349">
        <v>0</v>
      </c>
      <c r="L349" t="s">
        <v>166</v>
      </c>
      <c r="N349" t="s">
        <v>204</v>
      </c>
      <c r="O349" t="s">
        <v>390</v>
      </c>
      <c r="P349">
        <v>3.050596441660271E-4</v>
      </c>
      <c r="Q349" t="s">
        <v>166</v>
      </c>
      <c r="S349" t="s">
        <v>221</v>
      </c>
      <c r="T349" t="s">
        <v>390</v>
      </c>
      <c r="U349">
        <v>8.4832302230862844E-5</v>
      </c>
      <c r="V349" t="s">
        <v>166</v>
      </c>
    </row>
    <row r="350" spans="9:22" x14ac:dyDescent="0.45">
      <c r="I350" t="s">
        <v>180</v>
      </c>
      <c r="J350" t="s">
        <v>391</v>
      </c>
      <c r="K350">
        <v>0</v>
      </c>
      <c r="L350" t="s">
        <v>166</v>
      </c>
      <c r="N350" t="s">
        <v>204</v>
      </c>
      <c r="O350" t="s">
        <v>391</v>
      </c>
      <c r="P350">
        <v>3.4533741015906348E-4</v>
      </c>
      <c r="Q350" t="s">
        <v>166</v>
      </c>
      <c r="S350" t="s">
        <v>221</v>
      </c>
      <c r="T350" t="s">
        <v>391</v>
      </c>
      <c r="U350">
        <v>9.3423106740713724E-5</v>
      </c>
      <c r="V350" t="s">
        <v>166</v>
      </c>
    </row>
    <row r="351" spans="9:22" x14ac:dyDescent="0.45">
      <c r="I351" t="s">
        <v>180</v>
      </c>
      <c r="J351" t="s">
        <v>392</v>
      </c>
      <c r="K351">
        <v>0</v>
      </c>
      <c r="L351" t="s">
        <v>166</v>
      </c>
      <c r="N351" t="s">
        <v>204</v>
      </c>
      <c r="O351" t="s">
        <v>392</v>
      </c>
      <c r="P351">
        <v>3.5433801128954736E-4</v>
      </c>
      <c r="Q351" t="s">
        <v>166</v>
      </c>
      <c r="S351" t="s">
        <v>221</v>
      </c>
      <c r="T351" t="s">
        <v>392</v>
      </c>
      <c r="U351">
        <v>8.9972264149356588E-5</v>
      </c>
      <c r="V351" t="s">
        <v>166</v>
      </c>
    </row>
    <row r="352" spans="9:22" x14ac:dyDescent="0.45">
      <c r="I352" t="s">
        <v>180</v>
      </c>
      <c r="J352" t="s">
        <v>393</v>
      </c>
      <c r="K352">
        <v>0</v>
      </c>
      <c r="L352" t="s">
        <v>166</v>
      </c>
      <c r="N352" t="s">
        <v>204</v>
      </c>
      <c r="O352" t="s">
        <v>393</v>
      </c>
      <c r="P352">
        <v>3.4948608044878585E-4</v>
      </c>
      <c r="Q352" t="s">
        <v>166</v>
      </c>
      <c r="S352" t="s">
        <v>221</v>
      </c>
      <c r="T352" t="s">
        <v>393</v>
      </c>
      <c r="U352">
        <v>9.4927899942714718E-5</v>
      </c>
      <c r="V352" t="s">
        <v>166</v>
      </c>
    </row>
    <row r="353" spans="9:22" x14ac:dyDescent="0.45">
      <c r="I353" t="s">
        <v>180</v>
      </c>
      <c r="J353" t="s">
        <v>169</v>
      </c>
      <c r="K353">
        <v>4.0085945968096389E-3</v>
      </c>
      <c r="L353" t="s">
        <v>166</v>
      </c>
      <c r="N353" t="s">
        <v>204</v>
      </c>
      <c r="O353" t="s">
        <v>169</v>
      </c>
      <c r="P353">
        <v>5.7777783851181317E-3</v>
      </c>
      <c r="Q353" t="s">
        <v>166</v>
      </c>
      <c r="S353" t="s">
        <v>221</v>
      </c>
      <c r="T353" t="s">
        <v>169</v>
      </c>
      <c r="U353">
        <v>1.3262544649350588E-2</v>
      </c>
      <c r="V353" t="s">
        <v>166</v>
      </c>
    </row>
    <row r="354" spans="9:22" x14ac:dyDescent="0.45">
      <c r="I354" t="s">
        <v>180</v>
      </c>
      <c r="J354" t="s">
        <v>170</v>
      </c>
      <c r="K354">
        <v>5.6276579461285196E-3</v>
      </c>
      <c r="L354" t="s">
        <v>166</v>
      </c>
      <c r="N354" t="s">
        <v>204</v>
      </c>
      <c r="O354" t="s">
        <v>170</v>
      </c>
      <c r="P354">
        <v>6.0741073365637324E-4</v>
      </c>
      <c r="Q354" t="s">
        <v>166</v>
      </c>
      <c r="S354" t="s">
        <v>221</v>
      </c>
      <c r="T354" t="s">
        <v>170</v>
      </c>
      <c r="U354">
        <v>1.458775411702839E-3</v>
      </c>
      <c r="V354" t="s">
        <v>166</v>
      </c>
    </row>
    <row r="355" spans="9:22" x14ac:dyDescent="0.45">
      <c r="I355" t="s">
        <v>180</v>
      </c>
      <c r="J355" t="s">
        <v>171</v>
      </c>
      <c r="K355">
        <v>6.7740039031167903E-2</v>
      </c>
      <c r="L355" t="s">
        <v>166</v>
      </c>
      <c r="N355" t="s">
        <v>204</v>
      </c>
      <c r="O355" t="s">
        <v>171</v>
      </c>
      <c r="P355">
        <v>9.5162322031695952E-3</v>
      </c>
      <c r="Q355" t="s">
        <v>166</v>
      </c>
      <c r="S355" t="s">
        <v>221</v>
      </c>
      <c r="T355" t="s">
        <v>171</v>
      </c>
      <c r="U355">
        <v>1.2733280664090737E-2</v>
      </c>
      <c r="V355" t="s">
        <v>166</v>
      </c>
    </row>
    <row r="356" spans="9:22" x14ac:dyDescent="0.45">
      <c r="I356" t="s">
        <v>180</v>
      </c>
      <c r="J356" t="s">
        <v>261</v>
      </c>
      <c r="K356">
        <v>6.7432320824422276E-3</v>
      </c>
      <c r="L356" t="s">
        <v>166</v>
      </c>
      <c r="N356" t="s">
        <v>204</v>
      </c>
      <c r="O356" t="s">
        <v>261</v>
      </c>
      <c r="P356">
        <v>2.1194201840341979E-3</v>
      </c>
      <c r="Q356" t="s">
        <v>166</v>
      </c>
      <c r="S356" t="s">
        <v>221</v>
      </c>
      <c r="T356" t="s">
        <v>261</v>
      </c>
      <c r="U356">
        <v>2.087788977048081E-3</v>
      </c>
      <c r="V356" t="s">
        <v>166</v>
      </c>
    </row>
    <row r="357" spans="9:22" x14ac:dyDescent="0.45">
      <c r="I357" t="s">
        <v>180</v>
      </c>
      <c r="J357" t="s">
        <v>262</v>
      </c>
      <c r="K357">
        <v>6.6294387012860376E-3</v>
      </c>
      <c r="L357" t="s">
        <v>166</v>
      </c>
      <c r="N357" t="s">
        <v>204</v>
      </c>
      <c r="O357" t="s">
        <v>262</v>
      </c>
      <c r="P357">
        <v>2.7535260541396264E-3</v>
      </c>
      <c r="Q357" t="s">
        <v>166</v>
      </c>
      <c r="S357" t="s">
        <v>221</v>
      </c>
      <c r="T357" t="s">
        <v>262</v>
      </c>
      <c r="U357">
        <v>3.5456920814588163E-3</v>
      </c>
      <c r="V357" t="s">
        <v>166</v>
      </c>
    </row>
    <row r="358" spans="9:22" x14ac:dyDescent="0.45">
      <c r="I358" t="s">
        <v>180</v>
      </c>
      <c r="J358" t="s">
        <v>263</v>
      </c>
      <c r="K358">
        <v>0</v>
      </c>
      <c r="L358" t="s">
        <v>166</v>
      </c>
      <c r="N358" t="s">
        <v>204</v>
      </c>
      <c r="O358" t="s">
        <v>263</v>
      </c>
      <c r="P358">
        <v>5.3319624747220178E-3</v>
      </c>
      <c r="Q358" t="s">
        <v>166</v>
      </c>
      <c r="S358" t="s">
        <v>221</v>
      </c>
      <c r="T358" t="s">
        <v>263</v>
      </c>
      <c r="U358">
        <v>8.8190476154246886E-3</v>
      </c>
      <c r="V358" t="s">
        <v>166</v>
      </c>
    </row>
    <row r="359" spans="9:22" x14ac:dyDescent="0.45">
      <c r="I359" t="s">
        <v>180</v>
      </c>
      <c r="J359" t="s">
        <v>172</v>
      </c>
      <c r="K359">
        <v>2.3220254938868239E-3</v>
      </c>
      <c r="L359" t="s">
        <v>166</v>
      </c>
      <c r="N359" t="s">
        <v>204</v>
      </c>
      <c r="O359" t="s">
        <v>172</v>
      </c>
      <c r="P359">
        <v>2.1678276730868876E-2</v>
      </c>
      <c r="Q359" t="s">
        <v>166</v>
      </c>
      <c r="S359" t="s">
        <v>221</v>
      </c>
      <c r="T359" t="s">
        <v>172</v>
      </c>
      <c r="U359">
        <v>2.5064169862765193E-2</v>
      </c>
      <c r="V359" t="s">
        <v>166</v>
      </c>
    </row>
    <row r="360" spans="9:22" x14ac:dyDescent="0.45">
      <c r="I360" t="s">
        <v>180</v>
      </c>
      <c r="J360" t="s">
        <v>173</v>
      </c>
      <c r="K360">
        <v>3.6820868599656935E-3</v>
      </c>
      <c r="L360" t="s">
        <v>166</v>
      </c>
      <c r="N360" t="s">
        <v>204</v>
      </c>
      <c r="O360" t="s">
        <v>173</v>
      </c>
      <c r="P360">
        <v>2.9926447287388185E-3</v>
      </c>
      <c r="Q360" t="s">
        <v>166</v>
      </c>
      <c r="S360" t="s">
        <v>221</v>
      </c>
      <c r="T360" t="s">
        <v>173</v>
      </c>
      <c r="U360">
        <v>2.8041449227787702E-3</v>
      </c>
      <c r="V360" t="s">
        <v>166</v>
      </c>
    </row>
    <row r="361" spans="9:22" x14ac:dyDescent="0.45">
      <c r="I361" t="s">
        <v>180</v>
      </c>
      <c r="J361" t="s">
        <v>174</v>
      </c>
      <c r="K361">
        <v>4.8951287782224046E-2</v>
      </c>
      <c r="L361" t="s">
        <v>166</v>
      </c>
      <c r="N361" t="s">
        <v>204</v>
      </c>
      <c r="O361" t="s">
        <v>174</v>
      </c>
      <c r="P361">
        <v>2.0778744882124563E-2</v>
      </c>
      <c r="Q361" t="s">
        <v>166</v>
      </c>
      <c r="S361" t="s">
        <v>221</v>
      </c>
      <c r="T361" t="s">
        <v>174</v>
      </c>
      <c r="U361">
        <v>1.9889616097278143E-2</v>
      </c>
      <c r="V361" t="s">
        <v>166</v>
      </c>
    </row>
    <row r="362" spans="9:22" x14ac:dyDescent="0.45">
      <c r="I362" t="s">
        <v>180</v>
      </c>
      <c r="J362" t="s">
        <v>264</v>
      </c>
      <c r="K362">
        <v>4.8380325434641174E-3</v>
      </c>
      <c r="L362" t="s">
        <v>166</v>
      </c>
      <c r="N362" t="s">
        <v>204</v>
      </c>
      <c r="O362" t="s">
        <v>264</v>
      </c>
      <c r="P362">
        <v>2.8571233261090109E-3</v>
      </c>
      <c r="Q362" t="s">
        <v>166</v>
      </c>
      <c r="S362" t="s">
        <v>221</v>
      </c>
      <c r="T362" t="s">
        <v>264</v>
      </c>
      <c r="U362">
        <v>3.0319445451704556E-3</v>
      </c>
      <c r="V362" t="s">
        <v>166</v>
      </c>
    </row>
    <row r="363" spans="9:22" x14ac:dyDescent="0.45">
      <c r="I363" t="s">
        <v>180</v>
      </c>
      <c r="J363" t="s">
        <v>265</v>
      </c>
      <c r="K363">
        <v>4.8693903078080511E-3</v>
      </c>
      <c r="L363" t="s">
        <v>166</v>
      </c>
      <c r="N363" t="s">
        <v>204</v>
      </c>
      <c r="O363" t="s">
        <v>265</v>
      </c>
      <c r="P363">
        <v>4.7048362478173244E-3</v>
      </c>
      <c r="Q363" t="s">
        <v>166</v>
      </c>
      <c r="S363" t="s">
        <v>221</v>
      </c>
      <c r="T363" t="s">
        <v>265</v>
      </c>
      <c r="U363">
        <v>5.8305039481271852E-3</v>
      </c>
      <c r="V363" t="s">
        <v>166</v>
      </c>
    </row>
    <row r="364" spans="9:22" x14ac:dyDescent="0.45">
      <c r="I364" t="s">
        <v>180</v>
      </c>
      <c r="J364" t="s">
        <v>266</v>
      </c>
      <c r="K364">
        <v>0</v>
      </c>
      <c r="L364" t="s">
        <v>166</v>
      </c>
      <c r="N364" t="s">
        <v>204</v>
      </c>
      <c r="O364" t="s">
        <v>266</v>
      </c>
      <c r="P364">
        <v>1.1277782953430777E-2</v>
      </c>
      <c r="Q364" t="s">
        <v>166</v>
      </c>
      <c r="S364" t="s">
        <v>221</v>
      </c>
      <c r="T364" t="s">
        <v>266</v>
      </c>
      <c r="U364">
        <v>1.5074906664871109E-2</v>
      </c>
      <c r="V364" t="s">
        <v>166</v>
      </c>
    </row>
    <row r="365" spans="9:22" x14ac:dyDescent="0.45">
      <c r="I365" t="s">
        <v>180</v>
      </c>
      <c r="J365" t="s">
        <v>175</v>
      </c>
      <c r="K365">
        <v>1.5203666817713189E-3</v>
      </c>
      <c r="L365" t="s">
        <v>166</v>
      </c>
      <c r="N365" t="s">
        <v>204</v>
      </c>
      <c r="O365" t="s">
        <v>175</v>
      </c>
      <c r="P365">
        <v>2.8582472642002307E-2</v>
      </c>
      <c r="Q365" t="s">
        <v>166</v>
      </c>
      <c r="S365" t="s">
        <v>221</v>
      </c>
      <c r="T365" t="s">
        <v>175</v>
      </c>
      <c r="U365">
        <v>2.1418649230458321E-2</v>
      </c>
      <c r="V365" t="s">
        <v>166</v>
      </c>
    </row>
    <row r="366" spans="9:22" x14ac:dyDescent="0.45">
      <c r="I366" t="s">
        <v>180</v>
      </c>
      <c r="J366" t="s">
        <v>176</v>
      </c>
      <c r="K366">
        <v>3.0823166715633569E-3</v>
      </c>
      <c r="L366" t="s">
        <v>166</v>
      </c>
      <c r="N366" t="s">
        <v>204</v>
      </c>
      <c r="O366" t="s">
        <v>176</v>
      </c>
      <c r="P366">
        <v>3.143287861473101E-3</v>
      </c>
      <c r="Q366" t="s">
        <v>166</v>
      </c>
      <c r="S366" t="s">
        <v>221</v>
      </c>
      <c r="T366" t="s">
        <v>176</v>
      </c>
      <c r="U366">
        <v>2.2149564056813831E-3</v>
      </c>
      <c r="V366" t="s">
        <v>166</v>
      </c>
    </row>
    <row r="367" spans="9:22" x14ac:dyDescent="0.45">
      <c r="I367" t="s">
        <v>180</v>
      </c>
      <c r="J367" t="s">
        <v>177</v>
      </c>
      <c r="K367">
        <v>4.8982955973247568E-2</v>
      </c>
      <c r="L367" t="s">
        <v>166</v>
      </c>
      <c r="N367" t="s">
        <v>204</v>
      </c>
      <c r="O367" t="s">
        <v>177</v>
      </c>
      <c r="P367">
        <v>2.8132824535298577E-2</v>
      </c>
      <c r="Q367" t="s">
        <v>166</v>
      </c>
      <c r="S367" t="s">
        <v>221</v>
      </c>
      <c r="T367" t="s">
        <v>177</v>
      </c>
      <c r="U367">
        <v>1.6248296110207713E-2</v>
      </c>
      <c r="V367" t="s">
        <v>166</v>
      </c>
    </row>
    <row r="368" spans="9:22" x14ac:dyDescent="0.45">
      <c r="I368" t="s">
        <v>180</v>
      </c>
      <c r="J368" t="s">
        <v>267</v>
      </c>
      <c r="K368">
        <v>5.2592410569257111E-3</v>
      </c>
      <c r="L368" t="s">
        <v>166</v>
      </c>
      <c r="N368" t="s">
        <v>204</v>
      </c>
      <c r="O368" t="s">
        <v>267</v>
      </c>
      <c r="P368">
        <v>4.8232897046349595E-3</v>
      </c>
      <c r="Q368" t="s">
        <v>166</v>
      </c>
      <c r="S368" t="s">
        <v>221</v>
      </c>
      <c r="T368" t="s">
        <v>267</v>
      </c>
      <c r="U368">
        <v>2.4850022475897912E-3</v>
      </c>
      <c r="V368" t="s">
        <v>166</v>
      </c>
    </row>
    <row r="369" spans="9:22" x14ac:dyDescent="0.45">
      <c r="I369" t="s">
        <v>180</v>
      </c>
      <c r="J369" t="s">
        <v>268</v>
      </c>
      <c r="K369">
        <v>5.2674158842912523E-3</v>
      </c>
      <c r="L369" t="s">
        <v>166</v>
      </c>
      <c r="N369" t="s">
        <v>204</v>
      </c>
      <c r="O369" t="s">
        <v>268</v>
      </c>
      <c r="P369">
        <v>8.7133065824097425E-3</v>
      </c>
      <c r="Q369" t="s">
        <v>166</v>
      </c>
      <c r="S369" t="s">
        <v>221</v>
      </c>
      <c r="T369" t="s">
        <v>268</v>
      </c>
      <c r="U369">
        <v>4.7444784194146262E-3</v>
      </c>
      <c r="V369" t="s">
        <v>166</v>
      </c>
    </row>
    <row r="370" spans="9:22" x14ac:dyDescent="0.45">
      <c r="I370" t="s">
        <v>180</v>
      </c>
      <c r="J370" t="s">
        <v>269</v>
      </c>
      <c r="K370">
        <v>0</v>
      </c>
      <c r="L370" t="s">
        <v>166</v>
      </c>
      <c r="N370" t="s">
        <v>204</v>
      </c>
      <c r="O370" t="s">
        <v>269</v>
      </c>
      <c r="P370">
        <v>1.9253428447609137E-2</v>
      </c>
      <c r="Q370" t="s">
        <v>166</v>
      </c>
      <c r="S370" t="s">
        <v>221</v>
      </c>
      <c r="T370" t="s">
        <v>269</v>
      </c>
      <c r="U370">
        <v>1.3722409604875424E-2</v>
      </c>
      <c r="V370" t="s">
        <v>166</v>
      </c>
    </row>
    <row r="371" spans="9:22" x14ac:dyDescent="0.45">
      <c r="I371" t="s">
        <v>180</v>
      </c>
      <c r="J371" t="s">
        <v>270</v>
      </c>
      <c r="K371">
        <v>1.4863108160235949E-3</v>
      </c>
      <c r="L371" t="s">
        <v>166</v>
      </c>
      <c r="N371" t="s">
        <v>204</v>
      </c>
      <c r="O371" t="s">
        <v>270</v>
      </c>
      <c r="P371">
        <v>3.999094295406453E-2</v>
      </c>
      <c r="Q371" t="s">
        <v>166</v>
      </c>
      <c r="S371" t="s">
        <v>221</v>
      </c>
      <c r="T371" t="s">
        <v>270</v>
      </c>
      <c r="U371">
        <v>3.5547393629233676E-2</v>
      </c>
      <c r="V371" t="s">
        <v>166</v>
      </c>
    </row>
    <row r="372" spans="9:22" x14ac:dyDescent="0.45">
      <c r="I372" t="s">
        <v>180</v>
      </c>
      <c r="J372" t="s">
        <v>271</v>
      </c>
      <c r="K372">
        <v>3.1838752603303862E-3</v>
      </c>
      <c r="L372" t="s">
        <v>166</v>
      </c>
      <c r="N372" t="s">
        <v>204</v>
      </c>
      <c r="O372" t="s">
        <v>271</v>
      </c>
      <c r="P372">
        <v>4.4988117102978892E-3</v>
      </c>
      <c r="Q372" t="s">
        <v>166</v>
      </c>
      <c r="S372" t="s">
        <v>221</v>
      </c>
      <c r="T372" t="s">
        <v>271</v>
      </c>
      <c r="U372">
        <v>3.9906572608779146E-3</v>
      </c>
      <c r="V372" t="s">
        <v>166</v>
      </c>
    </row>
    <row r="373" spans="9:22" x14ac:dyDescent="0.45">
      <c r="I373" t="s">
        <v>180</v>
      </c>
      <c r="J373" t="s">
        <v>272</v>
      </c>
      <c r="K373">
        <v>4.8780401946300248E-2</v>
      </c>
      <c r="L373" t="s">
        <v>166</v>
      </c>
      <c r="N373" t="s">
        <v>204</v>
      </c>
      <c r="O373" t="s">
        <v>272</v>
      </c>
      <c r="P373">
        <v>3.6903291285438809E-2</v>
      </c>
      <c r="Q373" t="s">
        <v>166</v>
      </c>
      <c r="S373" t="s">
        <v>221</v>
      </c>
      <c r="T373" t="s">
        <v>272</v>
      </c>
      <c r="U373">
        <v>2.9793515961360064E-2</v>
      </c>
      <c r="V373" t="s">
        <v>166</v>
      </c>
    </row>
    <row r="374" spans="9:22" x14ac:dyDescent="0.45">
      <c r="I374" t="s">
        <v>180</v>
      </c>
      <c r="J374" t="s">
        <v>273</v>
      </c>
      <c r="K374">
        <v>5.4445217526715491E-3</v>
      </c>
      <c r="L374" t="s">
        <v>166</v>
      </c>
      <c r="N374" t="s">
        <v>204</v>
      </c>
      <c r="O374" t="s">
        <v>273</v>
      </c>
      <c r="P374">
        <v>4.9153446863349007E-3</v>
      </c>
      <c r="Q374" t="s">
        <v>166</v>
      </c>
      <c r="S374" t="s">
        <v>221</v>
      </c>
      <c r="T374" t="s">
        <v>273</v>
      </c>
      <c r="U374">
        <v>4.5444943793612825E-3</v>
      </c>
      <c r="V374" t="s">
        <v>166</v>
      </c>
    </row>
    <row r="375" spans="9:22" x14ac:dyDescent="0.45">
      <c r="I375" t="s">
        <v>180</v>
      </c>
      <c r="J375" t="s">
        <v>274</v>
      </c>
      <c r="K375">
        <v>5.322649391884076E-3</v>
      </c>
      <c r="L375" t="s">
        <v>166</v>
      </c>
      <c r="N375" t="s">
        <v>204</v>
      </c>
      <c r="O375" t="s">
        <v>274</v>
      </c>
      <c r="P375">
        <v>9.0043647879652945E-3</v>
      </c>
      <c r="Q375" t="s">
        <v>166</v>
      </c>
      <c r="S375" t="s">
        <v>221</v>
      </c>
      <c r="T375" t="s">
        <v>274</v>
      </c>
      <c r="U375">
        <v>8.843940539398621E-3</v>
      </c>
      <c r="V375" t="s">
        <v>166</v>
      </c>
    </row>
    <row r="376" spans="9:22" x14ac:dyDescent="0.45">
      <c r="I376" t="s">
        <v>180</v>
      </c>
      <c r="J376" t="s">
        <v>275</v>
      </c>
      <c r="K376">
        <v>0</v>
      </c>
      <c r="L376" t="s">
        <v>166</v>
      </c>
      <c r="N376" t="s">
        <v>204</v>
      </c>
      <c r="O376" t="s">
        <v>275</v>
      </c>
      <c r="P376">
        <v>2.2592755598497861E-2</v>
      </c>
      <c r="Q376" t="s">
        <v>166</v>
      </c>
      <c r="S376" t="s">
        <v>221</v>
      </c>
      <c r="T376" t="s">
        <v>275</v>
      </c>
      <c r="U376">
        <v>2.2252831873417655E-2</v>
      </c>
      <c r="V376" t="s">
        <v>166</v>
      </c>
    </row>
    <row r="377" spans="9:22" x14ac:dyDescent="0.45">
      <c r="I377" t="s">
        <v>180</v>
      </c>
      <c r="J377" t="s">
        <v>276</v>
      </c>
      <c r="K377">
        <v>5.0483707629748941E-3</v>
      </c>
      <c r="L377" t="s">
        <v>166</v>
      </c>
      <c r="N377" t="s">
        <v>204</v>
      </c>
      <c r="O377" t="s">
        <v>276</v>
      </c>
      <c r="P377">
        <v>3.1941533141033041E-2</v>
      </c>
      <c r="Q377" t="s">
        <v>166</v>
      </c>
      <c r="S377" t="s">
        <v>221</v>
      </c>
      <c r="T377" t="s">
        <v>276</v>
      </c>
      <c r="U377">
        <v>4.3730648042575246E-2</v>
      </c>
      <c r="V377" t="s">
        <v>166</v>
      </c>
    </row>
    <row r="378" spans="9:22" x14ac:dyDescent="0.45">
      <c r="I378" t="s">
        <v>180</v>
      </c>
      <c r="J378" t="s">
        <v>277</v>
      </c>
      <c r="K378">
        <v>9.2852582943102769E-3</v>
      </c>
      <c r="L378" t="s">
        <v>166</v>
      </c>
      <c r="N378" t="s">
        <v>204</v>
      </c>
      <c r="O378" t="s">
        <v>277</v>
      </c>
      <c r="P378">
        <v>3.3620282026688483E-3</v>
      </c>
      <c r="Q378" t="s">
        <v>166</v>
      </c>
      <c r="S378" t="s">
        <v>221</v>
      </c>
      <c r="T378" t="s">
        <v>277</v>
      </c>
      <c r="U378">
        <v>5.2384825428804663E-3</v>
      </c>
      <c r="V378" t="s">
        <v>166</v>
      </c>
    </row>
    <row r="379" spans="9:22" x14ac:dyDescent="0.45">
      <c r="I379" t="s">
        <v>180</v>
      </c>
      <c r="J379" t="s">
        <v>278</v>
      </c>
      <c r="K379">
        <v>0.10483331883786995</v>
      </c>
      <c r="L379" t="s">
        <v>166</v>
      </c>
      <c r="N379" t="s">
        <v>204</v>
      </c>
      <c r="O379" t="s">
        <v>278</v>
      </c>
      <c r="P379">
        <v>3.7112027125340355E-2</v>
      </c>
      <c r="Q379" t="s">
        <v>166</v>
      </c>
      <c r="S379" t="s">
        <v>221</v>
      </c>
      <c r="T379" t="s">
        <v>278</v>
      </c>
      <c r="U379">
        <v>4.057055931560901E-2</v>
      </c>
      <c r="V379" t="s">
        <v>166</v>
      </c>
    </row>
    <row r="380" spans="9:22" x14ac:dyDescent="0.45">
      <c r="I380" t="s">
        <v>180</v>
      </c>
      <c r="J380" t="s">
        <v>279</v>
      </c>
      <c r="K380">
        <v>1.0217906176313735E-2</v>
      </c>
      <c r="L380" t="s">
        <v>166</v>
      </c>
      <c r="N380" t="s">
        <v>204</v>
      </c>
      <c r="O380" t="s">
        <v>279</v>
      </c>
      <c r="P380">
        <v>5.7861297807169599E-3</v>
      </c>
      <c r="Q380" t="s">
        <v>166</v>
      </c>
      <c r="S380" t="s">
        <v>221</v>
      </c>
      <c r="T380" t="s">
        <v>279</v>
      </c>
      <c r="U380">
        <v>6.0423958993313324E-3</v>
      </c>
      <c r="V380" t="s">
        <v>166</v>
      </c>
    </row>
    <row r="381" spans="9:22" x14ac:dyDescent="0.45">
      <c r="I381" t="s">
        <v>180</v>
      </c>
      <c r="J381" t="s">
        <v>280</v>
      </c>
      <c r="K381">
        <v>7.3414317781319658E-3</v>
      </c>
      <c r="L381" t="s">
        <v>166</v>
      </c>
      <c r="N381" t="s">
        <v>204</v>
      </c>
      <c r="O381" t="s">
        <v>280</v>
      </c>
      <c r="P381">
        <v>9.5089057979626471E-3</v>
      </c>
      <c r="Q381" t="s">
        <v>166</v>
      </c>
      <c r="S381" t="s">
        <v>221</v>
      </c>
      <c r="T381" t="s">
        <v>280</v>
      </c>
      <c r="U381">
        <v>1.1889280999854965E-2</v>
      </c>
      <c r="V381" t="s">
        <v>166</v>
      </c>
    </row>
    <row r="382" spans="9:22" x14ac:dyDescent="0.45">
      <c r="I382" t="s">
        <v>180</v>
      </c>
      <c r="J382" t="s">
        <v>281</v>
      </c>
      <c r="K382">
        <v>0</v>
      </c>
      <c r="L382" t="s">
        <v>166</v>
      </c>
      <c r="N382" t="s">
        <v>204</v>
      </c>
      <c r="O382" t="s">
        <v>281</v>
      </c>
      <c r="P382">
        <v>2.02273105121933E-2</v>
      </c>
      <c r="Q382" t="s">
        <v>166</v>
      </c>
      <c r="S382" t="s">
        <v>221</v>
      </c>
      <c r="T382" t="s">
        <v>281</v>
      </c>
      <c r="U382">
        <v>3.0013878759610965E-2</v>
      </c>
      <c r="V382" t="s">
        <v>166</v>
      </c>
    </row>
    <row r="383" spans="9:22" x14ac:dyDescent="0.45">
      <c r="I383" t="s">
        <v>180</v>
      </c>
      <c r="J383" t="s">
        <v>282</v>
      </c>
      <c r="K383">
        <v>4.1071195096201172E-3</v>
      </c>
      <c r="L383" t="s">
        <v>166</v>
      </c>
      <c r="N383" t="s">
        <v>204</v>
      </c>
      <c r="O383" t="s">
        <v>282</v>
      </c>
      <c r="P383">
        <v>2.0341412992913695E-2</v>
      </c>
      <c r="Q383" t="s">
        <v>166</v>
      </c>
      <c r="S383" t="s">
        <v>221</v>
      </c>
      <c r="T383" t="s">
        <v>282</v>
      </c>
      <c r="U383">
        <v>3.3099675427711493E-2</v>
      </c>
      <c r="V383" t="s">
        <v>166</v>
      </c>
    </row>
    <row r="384" spans="9:22" x14ac:dyDescent="0.45">
      <c r="I384" t="s">
        <v>180</v>
      </c>
      <c r="J384" t="s">
        <v>283</v>
      </c>
      <c r="K384">
        <v>7.1281556908616298E-3</v>
      </c>
      <c r="L384" t="s">
        <v>166</v>
      </c>
      <c r="N384" t="s">
        <v>204</v>
      </c>
      <c r="O384" t="s">
        <v>283</v>
      </c>
      <c r="P384">
        <v>2.2579123300268235E-3</v>
      </c>
      <c r="Q384" t="s">
        <v>166</v>
      </c>
      <c r="S384" t="s">
        <v>221</v>
      </c>
      <c r="T384" t="s">
        <v>283</v>
      </c>
      <c r="U384">
        <v>4.452198209183229E-3</v>
      </c>
      <c r="V384" t="s">
        <v>166</v>
      </c>
    </row>
    <row r="385" spans="9:22" x14ac:dyDescent="0.45">
      <c r="I385" t="s">
        <v>180</v>
      </c>
      <c r="J385" t="s">
        <v>284</v>
      </c>
      <c r="K385">
        <v>6.1299434907044599E-2</v>
      </c>
      <c r="L385" t="s">
        <v>166</v>
      </c>
      <c r="N385" t="s">
        <v>204</v>
      </c>
      <c r="O385" t="s">
        <v>284</v>
      </c>
      <c r="P385">
        <v>2.0867719113220419E-2</v>
      </c>
      <c r="Q385" t="s">
        <v>166</v>
      </c>
      <c r="S385" t="s">
        <v>221</v>
      </c>
      <c r="T385" t="s">
        <v>284</v>
      </c>
      <c r="U385">
        <v>3.1864031940747446E-2</v>
      </c>
      <c r="V385" t="s">
        <v>166</v>
      </c>
    </row>
    <row r="386" spans="9:22" x14ac:dyDescent="0.45">
      <c r="I386" t="s">
        <v>180</v>
      </c>
      <c r="J386" t="s">
        <v>285</v>
      </c>
      <c r="K386">
        <v>5.9675104636635577E-3</v>
      </c>
      <c r="L386" t="s">
        <v>166</v>
      </c>
      <c r="N386" t="s">
        <v>204</v>
      </c>
      <c r="O386" t="s">
        <v>285</v>
      </c>
      <c r="P386">
        <v>3.2549831580450462E-3</v>
      </c>
      <c r="Q386" t="s">
        <v>166</v>
      </c>
      <c r="S386" t="s">
        <v>221</v>
      </c>
      <c r="T386" t="s">
        <v>285</v>
      </c>
      <c r="U386">
        <v>4.4025270939703808E-3</v>
      </c>
      <c r="V386" t="s">
        <v>166</v>
      </c>
    </row>
    <row r="387" spans="9:22" x14ac:dyDescent="0.45">
      <c r="I387" t="s">
        <v>180</v>
      </c>
      <c r="J387" t="s">
        <v>286</v>
      </c>
      <c r="K387">
        <v>3.9524004621037294E-3</v>
      </c>
      <c r="L387" t="s">
        <v>166</v>
      </c>
      <c r="N387" t="s">
        <v>204</v>
      </c>
      <c r="O387" t="s">
        <v>286</v>
      </c>
      <c r="P387">
        <v>6.1122205962206855E-3</v>
      </c>
      <c r="Q387" t="s">
        <v>166</v>
      </c>
      <c r="S387" t="s">
        <v>221</v>
      </c>
      <c r="T387" t="s">
        <v>286</v>
      </c>
      <c r="U387">
        <v>8.4868594597546747E-3</v>
      </c>
      <c r="V387" t="s">
        <v>166</v>
      </c>
    </row>
    <row r="388" spans="9:22" x14ac:dyDescent="0.45">
      <c r="I388" t="s">
        <v>180</v>
      </c>
      <c r="J388" t="s">
        <v>287</v>
      </c>
      <c r="K388">
        <v>0</v>
      </c>
      <c r="L388" t="s">
        <v>166</v>
      </c>
      <c r="N388" t="s">
        <v>204</v>
      </c>
      <c r="O388" t="s">
        <v>287</v>
      </c>
      <c r="P388">
        <v>1.7466223240317075E-2</v>
      </c>
      <c r="Q388" t="s">
        <v>166</v>
      </c>
      <c r="S388" t="s">
        <v>221</v>
      </c>
      <c r="T388" t="s">
        <v>287</v>
      </c>
      <c r="U388">
        <v>2.1271465126578321E-2</v>
      </c>
      <c r="V388" t="s">
        <v>166</v>
      </c>
    </row>
    <row r="389" spans="9:22" x14ac:dyDescent="0.45">
      <c r="I389" t="s">
        <v>180</v>
      </c>
      <c r="J389" t="s">
        <v>288</v>
      </c>
      <c r="K389">
        <v>4.0335667514228846E-3</v>
      </c>
      <c r="L389" t="s">
        <v>166</v>
      </c>
      <c r="N389" t="s">
        <v>204</v>
      </c>
      <c r="O389" t="s">
        <v>288</v>
      </c>
      <c r="P389">
        <v>1.2336567425081043E-2</v>
      </c>
      <c r="Q389" t="s">
        <v>166</v>
      </c>
      <c r="S389" t="s">
        <v>221</v>
      </c>
      <c r="T389" t="s">
        <v>288</v>
      </c>
      <c r="U389">
        <v>4.8996467406082121E-2</v>
      </c>
      <c r="V389" t="s">
        <v>166</v>
      </c>
    </row>
    <row r="390" spans="9:22" x14ac:dyDescent="0.45">
      <c r="I390" t="s">
        <v>180</v>
      </c>
      <c r="J390" t="s">
        <v>289</v>
      </c>
      <c r="K390">
        <v>7.434343869002988E-3</v>
      </c>
      <c r="L390" t="s">
        <v>166</v>
      </c>
      <c r="N390" t="s">
        <v>204</v>
      </c>
      <c r="O390" t="s">
        <v>289</v>
      </c>
      <c r="P390">
        <v>1.214570001410813E-3</v>
      </c>
      <c r="Q390" t="s">
        <v>166</v>
      </c>
      <c r="S390" t="s">
        <v>221</v>
      </c>
      <c r="T390" t="s">
        <v>289</v>
      </c>
      <c r="U390">
        <v>6.1479638604127499E-3</v>
      </c>
      <c r="V390" t="s">
        <v>166</v>
      </c>
    </row>
    <row r="391" spans="9:22" x14ac:dyDescent="0.45">
      <c r="I391" t="s">
        <v>180</v>
      </c>
      <c r="J391" t="s">
        <v>290</v>
      </c>
      <c r="K391">
        <v>7.1621859339201649E-2</v>
      </c>
      <c r="L391" t="s">
        <v>166</v>
      </c>
      <c r="N391" t="s">
        <v>204</v>
      </c>
      <c r="O391" t="s">
        <v>290</v>
      </c>
      <c r="P391">
        <v>6.2539593464152488E-3</v>
      </c>
      <c r="Q391" t="s">
        <v>166</v>
      </c>
      <c r="S391" t="s">
        <v>221</v>
      </c>
      <c r="T391" t="s">
        <v>290</v>
      </c>
      <c r="U391">
        <v>4.5436184180652137E-2</v>
      </c>
      <c r="V391" t="s">
        <v>166</v>
      </c>
    </row>
    <row r="392" spans="9:22" x14ac:dyDescent="0.45">
      <c r="I392" t="s">
        <v>180</v>
      </c>
      <c r="J392" t="s">
        <v>291</v>
      </c>
      <c r="K392">
        <v>7.2601275299623031E-3</v>
      </c>
      <c r="L392" t="s">
        <v>166</v>
      </c>
      <c r="N392" t="s">
        <v>204</v>
      </c>
      <c r="O392" t="s">
        <v>291</v>
      </c>
      <c r="P392">
        <v>1.8814115225275567E-3</v>
      </c>
      <c r="Q392" t="s">
        <v>166</v>
      </c>
      <c r="S392" t="s">
        <v>221</v>
      </c>
      <c r="T392" t="s">
        <v>291</v>
      </c>
      <c r="U392">
        <v>6.4740956957865083E-3</v>
      </c>
      <c r="V392" t="s">
        <v>166</v>
      </c>
    </row>
    <row r="393" spans="9:22" x14ac:dyDescent="0.45">
      <c r="I393" t="s">
        <v>180</v>
      </c>
      <c r="J393" t="s">
        <v>292</v>
      </c>
      <c r="K393">
        <v>5.0147980367659488E-3</v>
      </c>
      <c r="L393" t="s">
        <v>166</v>
      </c>
      <c r="N393" t="s">
        <v>204</v>
      </c>
      <c r="O393" t="s">
        <v>292</v>
      </c>
      <c r="P393">
        <v>4.5383804494952672E-3</v>
      </c>
      <c r="Q393" t="s">
        <v>166</v>
      </c>
      <c r="S393" t="s">
        <v>221</v>
      </c>
      <c r="T393" t="s">
        <v>292</v>
      </c>
      <c r="U393">
        <v>1.2563152353663896E-2</v>
      </c>
      <c r="V393" t="s">
        <v>166</v>
      </c>
    </row>
    <row r="394" spans="9:22" x14ac:dyDescent="0.45">
      <c r="I394" t="s">
        <v>180</v>
      </c>
      <c r="J394" t="s">
        <v>293</v>
      </c>
      <c r="K394">
        <v>0</v>
      </c>
      <c r="L394" t="s">
        <v>166</v>
      </c>
      <c r="N394" t="s">
        <v>204</v>
      </c>
      <c r="O394" t="s">
        <v>293</v>
      </c>
      <c r="P394">
        <v>1.6468456766895755E-2</v>
      </c>
      <c r="Q394" t="s">
        <v>166</v>
      </c>
      <c r="S394" t="s">
        <v>221</v>
      </c>
      <c r="T394" t="s">
        <v>293</v>
      </c>
      <c r="U394">
        <v>3.1387200718150203E-2</v>
      </c>
      <c r="V394" t="s">
        <v>166</v>
      </c>
    </row>
    <row r="395" spans="9:22" x14ac:dyDescent="0.45">
      <c r="I395" t="s">
        <v>181</v>
      </c>
      <c r="J395" t="s">
        <v>165</v>
      </c>
      <c r="K395">
        <v>1.2686987652128254E-2</v>
      </c>
      <c r="L395" t="s">
        <v>166</v>
      </c>
      <c r="N395" t="s">
        <v>205</v>
      </c>
      <c r="O395" t="s">
        <v>165</v>
      </c>
      <c r="P395">
        <v>0.12349826384910405</v>
      </c>
      <c r="Q395" t="s">
        <v>166</v>
      </c>
      <c r="S395" t="s">
        <v>222</v>
      </c>
      <c r="T395" t="s">
        <v>165</v>
      </c>
      <c r="U395">
        <v>0.11082948754678022</v>
      </c>
      <c r="V395" t="s">
        <v>166</v>
      </c>
    </row>
    <row r="396" spans="9:22" x14ac:dyDescent="0.45">
      <c r="I396" t="s">
        <v>181</v>
      </c>
      <c r="J396" t="s">
        <v>167</v>
      </c>
      <c r="K396">
        <v>2.4075739250618039E-2</v>
      </c>
      <c r="L396" t="s">
        <v>166</v>
      </c>
      <c r="N396" t="s">
        <v>205</v>
      </c>
      <c r="O396" t="s">
        <v>167</v>
      </c>
      <c r="P396">
        <v>1.506611635249297E-2</v>
      </c>
      <c r="Q396" t="s">
        <v>166</v>
      </c>
      <c r="S396" t="s">
        <v>222</v>
      </c>
      <c r="T396" t="s">
        <v>167</v>
      </c>
      <c r="U396">
        <v>1.389105461436309E-2</v>
      </c>
      <c r="V396" t="s">
        <v>166</v>
      </c>
    </row>
    <row r="397" spans="9:22" x14ac:dyDescent="0.45">
      <c r="I397" t="s">
        <v>181</v>
      </c>
      <c r="J397" t="s">
        <v>168</v>
      </c>
      <c r="K397">
        <v>0.27750109550615981</v>
      </c>
      <c r="L397" t="s">
        <v>166</v>
      </c>
      <c r="N397" t="s">
        <v>205</v>
      </c>
      <c r="O397" t="s">
        <v>168</v>
      </c>
      <c r="P397">
        <v>0.11493875617430413</v>
      </c>
      <c r="Q397" t="s">
        <v>166</v>
      </c>
      <c r="S397" t="s">
        <v>222</v>
      </c>
      <c r="T397" t="s">
        <v>168</v>
      </c>
      <c r="U397">
        <v>9.6408031104751782E-2</v>
      </c>
      <c r="V397" t="s">
        <v>166</v>
      </c>
    </row>
    <row r="398" spans="9:22" x14ac:dyDescent="0.45">
      <c r="I398" t="s">
        <v>181</v>
      </c>
      <c r="J398" t="s">
        <v>258</v>
      </c>
      <c r="K398">
        <v>2.908322239073944E-2</v>
      </c>
      <c r="L398" t="s">
        <v>166</v>
      </c>
      <c r="N398" t="s">
        <v>205</v>
      </c>
      <c r="O398" t="s">
        <v>258</v>
      </c>
      <c r="P398">
        <v>1.7523492454704977E-2</v>
      </c>
      <c r="Q398" t="s">
        <v>166</v>
      </c>
      <c r="S398" t="s">
        <v>222</v>
      </c>
      <c r="T398" t="s">
        <v>258</v>
      </c>
      <c r="U398">
        <v>1.3932163885795124E-2</v>
      </c>
      <c r="V398" t="s">
        <v>166</v>
      </c>
    </row>
    <row r="399" spans="9:22" x14ac:dyDescent="0.45">
      <c r="I399" t="s">
        <v>181</v>
      </c>
      <c r="J399" t="s">
        <v>259</v>
      </c>
      <c r="K399">
        <v>3.3108761312283047E-2</v>
      </c>
      <c r="L399" t="s">
        <v>166</v>
      </c>
      <c r="N399" t="s">
        <v>205</v>
      </c>
      <c r="O399" t="s">
        <v>259</v>
      </c>
      <c r="P399">
        <v>3.2230197702266775E-2</v>
      </c>
      <c r="Q399" t="s">
        <v>166</v>
      </c>
      <c r="S399" t="s">
        <v>222</v>
      </c>
      <c r="T399" t="s">
        <v>259</v>
      </c>
      <c r="U399">
        <v>2.7454314249203315E-2</v>
      </c>
      <c r="V399" t="s">
        <v>166</v>
      </c>
    </row>
    <row r="400" spans="9:22" x14ac:dyDescent="0.45">
      <c r="I400" t="s">
        <v>181</v>
      </c>
      <c r="J400" t="s">
        <v>260</v>
      </c>
      <c r="K400">
        <v>0</v>
      </c>
      <c r="L400" t="s">
        <v>166</v>
      </c>
      <c r="N400" t="s">
        <v>205</v>
      </c>
      <c r="O400" t="s">
        <v>260</v>
      </c>
      <c r="P400">
        <v>8.2828282420502941E-2</v>
      </c>
      <c r="Q400" t="s">
        <v>166</v>
      </c>
      <c r="S400" t="s">
        <v>222</v>
      </c>
      <c r="T400" t="s">
        <v>260</v>
      </c>
      <c r="U400">
        <v>7.1904611997497161E-2</v>
      </c>
      <c r="V400" t="s">
        <v>166</v>
      </c>
    </row>
    <row r="401" spans="9:22" x14ac:dyDescent="0.45">
      <c r="I401" t="s">
        <v>181</v>
      </c>
      <c r="J401" t="s">
        <v>346</v>
      </c>
      <c r="K401">
        <v>0</v>
      </c>
      <c r="L401" t="s">
        <v>166</v>
      </c>
      <c r="N401" t="s">
        <v>205</v>
      </c>
      <c r="O401" t="s">
        <v>346</v>
      </c>
      <c r="P401">
        <v>2.1826004396220626E-4</v>
      </c>
      <c r="Q401" t="s">
        <v>166</v>
      </c>
      <c r="S401" t="s">
        <v>222</v>
      </c>
      <c r="T401" t="s">
        <v>346</v>
      </c>
      <c r="U401">
        <v>2.0772083440974198E-4</v>
      </c>
      <c r="V401" t="s">
        <v>166</v>
      </c>
    </row>
    <row r="402" spans="9:22" x14ac:dyDescent="0.45">
      <c r="I402" t="s">
        <v>181</v>
      </c>
      <c r="J402" t="s">
        <v>347</v>
      </c>
      <c r="K402">
        <v>0</v>
      </c>
      <c r="L402" t="s">
        <v>166</v>
      </c>
      <c r="N402" t="s">
        <v>205</v>
      </c>
      <c r="O402" t="s">
        <v>347</v>
      </c>
      <c r="P402">
        <v>2.0672696696871128E-4</v>
      </c>
      <c r="Q402" t="s">
        <v>166</v>
      </c>
      <c r="S402" t="s">
        <v>222</v>
      </c>
      <c r="T402" t="s">
        <v>347</v>
      </c>
      <c r="U402">
        <v>2.0669750505598717E-4</v>
      </c>
      <c r="V402" t="s">
        <v>166</v>
      </c>
    </row>
    <row r="403" spans="9:22" x14ac:dyDescent="0.45">
      <c r="I403" t="s">
        <v>181</v>
      </c>
      <c r="J403" t="s">
        <v>348</v>
      </c>
      <c r="K403">
        <v>0</v>
      </c>
      <c r="L403" t="s">
        <v>166</v>
      </c>
      <c r="N403" t="s">
        <v>205</v>
      </c>
      <c r="O403" t="s">
        <v>348</v>
      </c>
      <c r="P403">
        <v>1.9902163297476821E-4</v>
      </c>
      <c r="Q403" t="s">
        <v>166</v>
      </c>
      <c r="S403" t="s">
        <v>222</v>
      </c>
      <c r="T403" t="s">
        <v>348</v>
      </c>
      <c r="U403">
        <v>2.0536608714277895E-4</v>
      </c>
      <c r="V403" t="s">
        <v>166</v>
      </c>
    </row>
    <row r="404" spans="9:22" x14ac:dyDescent="0.45">
      <c r="I404" t="s">
        <v>181</v>
      </c>
      <c r="J404" t="s">
        <v>349</v>
      </c>
      <c r="K404">
        <v>0</v>
      </c>
      <c r="L404" t="s">
        <v>166</v>
      </c>
      <c r="N404" t="s">
        <v>205</v>
      </c>
      <c r="O404" t="s">
        <v>349</v>
      </c>
      <c r="P404">
        <v>2.0848874849259684E-4</v>
      </c>
      <c r="Q404" t="s">
        <v>166</v>
      </c>
      <c r="S404" t="s">
        <v>222</v>
      </c>
      <c r="T404" t="s">
        <v>349</v>
      </c>
      <c r="U404">
        <v>2.0515359755252159E-4</v>
      </c>
      <c r="V404" t="s">
        <v>166</v>
      </c>
    </row>
    <row r="405" spans="9:22" x14ac:dyDescent="0.45">
      <c r="I405" t="s">
        <v>181</v>
      </c>
      <c r="J405" t="s">
        <v>350</v>
      </c>
      <c r="K405">
        <v>0</v>
      </c>
      <c r="L405" t="s">
        <v>166</v>
      </c>
      <c r="N405" t="s">
        <v>205</v>
      </c>
      <c r="O405" t="s">
        <v>350</v>
      </c>
      <c r="P405">
        <v>2.2142122384703007E-4</v>
      </c>
      <c r="Q405" t="s">
        <v>166</v>
      </c>
      <c r="S405" t="s">
        <v>222</v>
      </c>
      <c r="T405" t="s">
        <v>350</v>
      </c>
      <c r="U405">
        <v>2.0567470167287026E-4</v>
      </c>
      <c r="V405" t="s">
        <v>166</v>
      </c>
    </row>
    <row r="406" spans="9:22" x14ac:dyDescent="0.45">
      <c r="I406" t="s">
        <v>181</v>
      </c>
      <c r="J406" t="s">
        <v>351</v>
      </c>
      <c r="K406">
        <v>0</v>
      </c>
      <c r="L406" t="s">
        <v>166</v>
      </c>
      <c r="N406" t="s">
        <v>205</v>
      </c>
      <c r="O406" t="s">
        <v>351</v>
      </c>
      <c r="P406">
        <v>2.2692590444736135E-4</v>
      </c>
      <c r="Q406" t="s">
        <v>166</v>
      </c>
      <c r="S406" t="s">
        <v>222</v>
      </c>
      <c r="T406" t="s">
        <v>351</v>
      </c>
      <c r="U406">
        <v>2.0640684734770832E-4</v>
      </c>
      <c r="V406" t="s">
        <v>166</v>
      </c>
    </row>
    <row r="407" spans="9:22" x14ac:dyDescent="0.45">
      <c r="I407" t="s">
        <v>181</v>
      </c>
      <c r="J407" t="s">
        <v>352</v>
      </c>
      <c r="K407">
        <v>0</v>
      </c>
      <c r="L407" t="s">
        <v>166</v>
      </c>
      <c r="N407" t="s">
        <v>205</v>
      </c>
      <c r="O407" t="s">
        <v>352</v>
      </c>
      <c r="P407">
        <v>2.339118020926171E-4</v>
      </c>
      <c r="Q407" t="s">
        <v>166</v>
      </c>
      <c r="S407" t="s">
        <v>222</v>
      </c>
      <c r="T407" t="s">
        <v>352</v>
      </c>
      <c r="U407">
        <v>2.0660008358818006E-4</v>
      </c>
      <c r="V407" t="s">
        <v>166</v>
      </c>
    </row>
    <row r="408" spans="9:22" x14ac:dyDescent="0.45">
      <c r="I408" t="s">
        <v>181</v>
      </c>
      <c r="J408" t="s">
        <v>353</v>
      </c>
      <c r="K408">
        <v>6.6309273802646928E-5</v>
      </c>
      <c r="L408" t="s">
        <v>166</v>
      </c>
      <c r="N408" t="s">
        <v>205</v>
      </c>
      <c r="O408" t="s">
        <v>353</v>
      </c>
      <c r="P408">
        <v>2.3372560437817769E-4</v>
      </c>
      <c r="Q408" t="s">
        <v>166</v>
      </c>
      <c r="S408" t="s">
        <v>222</v>
      </c>
      <c r="T408" t="s">
        <v>353</v>
      </c>
      <c r="U408">
        <v>2.0557508055445636E-4</v>
      </c>
      <c r="V408" t="s">
        <v>166</v>
      </c>
    </row>
    <row r="409" spans="9:22" x14ac:dyDescent="0.45">
      <c r="I409" t="s">
        <v>181</v>
      </c>
      <c r="J409" t="s">
        <v>354</v>
      </c>
      <c r="K409">
        <v>1.2062742735892296E-4</v>
      </c>
      <c r="L409" t="s">
        <v>166</v>
      </c>
      <c r="N409" t="s">
        <v>205</v>
      </c>
      <c r="O409" t="s">
        <v>354</v>
      </c>
      <c r="P409">
        <v>2.4266519579546267E-4</v>
      </c>
      <c r="Q409" t="s">
        <v>166</v>
      </c>
      <c r="S409" t="s">
        <v>222</v>
      </c>
      <c r="T409" t="s">
        <v>354</v>
      </c>
      <c r="U409">
        <v>2.0479905797098899E-4</v>
      </c>
      <c r="V409" t="s">
        <v>166</v>
      </c>
    </row>
    <row r="410" spans="9:22" x14ac:dyDescent="0.45">
      <c r="I410" t="s">
        <v>181</v>
      </c>
      <c r="J410" t="s">
        <v>355</v>
      </c>
      <c r="K410">
        <v>1.8299019779485564E-4</v>
      </c>
      <c r="L410" t="s">
        <v>166</v>
      </c>
      <c r="N410" t="s">
        <v>205</v>
      </c>
      <c r="O410" t="s">
        <v>355</v>
      </c>
      <c r="P410">
        <v>2.4164770091322484E-4</v>
      </c>
      <c r="Q410" t="s">
        <v>166</v>
      </c>
      <c r="S410" t="s">
        <v>222</v>
      </c>
      <c r="T410" t="s">
        <v>355</v>
      </c>
      <c r="U410">
        <v>2.0536506456535257E-4</v>
      </c>
      <c r="V410" t="s">
        <v>166</v>
      </c>
    </row>
    <row r="411" spans="9:22" x14ac:dyDescent="0.45">
      <c r="I411" t="s">
        <v>181</v>
      </c>
      <c r="J411" t="s">
        <v>356</v>
      </c>
      <c r="K411">
        <v>3.0069725664052301E-4</v>
      </c>
      <c r="L411" t="s">
        <v>166</v>
      </c>
      <c r="N411" t="s">
        <v>205</v>
      </c>
      <c r="O411" t="s">
        <v>356</v>
      </c>
      <c r="P411">
        <v>2.3124093943922299E-4</v>
      </c>
      <c r="Q411" t="s">
        <v>166</v>
      </c>
      <c r="S411" t="s">
        <v>222</v>
      </c>
      <c r="T411" t="s">
        <v>356</v>
      </c>
      <c r="U411">
        <v>2.0657766468621571E-4</v>
      </c>
      <c r="V411" t="s">
        <v>166</v>
      </c>
    </row>
    <row r="412" spans="9:22" x14ac:dyDescent="0.45">
      <c r="I412" t="s">
        <v>181</v>
      </c>
      <c r="J412" t="s">
        <v>357</v>
      </c>
      <c r="K412">
        <v>3.0884501904678756E-4</v>
      </c>
      <c r="L412" t="s">
        <v>166</v>
      </c>
      <c r="N412" t="s">
        <v>205</v>
      </c>
      <c r="O412" t="s">
        <v>357</v>
      </c>
      <c r="P412">
        <v>2.2076856103971524E-4</v>
      </c>
      <c r="Q412" t="s">
        <v>166</v>
      </c>
      <c r="S412" t="s">
        <v>222</v>
      </c>
      <c r="T412" t="s">
        <v>357</v>
      </c>
      <c r="U412">
        <v>2.0815683087848608E-4</v>
      </c>
      <c r="V412" t="s">
        <v>166</v>
      </c>
    </row>
    <row r="413" spans="9:22" x14ac:dyDescent="0.45">
      <c r="I413" t="s">
        <v>181</v>
      </c>
      <c r="J413" t="s">
        <v>358</v>
      </c>
      <c r="K413">
        <v>3.2423795450980871E-4</v>
      </c>
      <c r="L413" t="s">
        <v>166</v>
      </c>
      <c r="N413" t="s">
        <v>205</v>
      </c>
      <c r="O413" t="s">
        <v>358</v>
      </c>
      <c r="P413">
        <v>2.0785307301950825E-4</v>
      </c>
      <c r="Q413" t="s">
        <v>166</v>
      </c>
      <c r="S413" t="s">
        <v>222</v>
      </c>
      <c r="T413" t="s">
        <v>358</v>
      </c>
      <c r="U413">
        <v>2.0831395547126413E-4</v>
      </c>
      <c r="V413" t="s">
        <v>166</v>
      </c>
    </row>
    <row r="414" spans="9:22" x14ac:dyDescent="0.45">
      <c r="I414" t="s">
        <v>181</v>
      </c>
      <c r="J414" t="s">
        <v>359</v>
      </c>
      <c r="K414">
        <v>3.1490312471645304E-4</v>
      </c>
      <c r="L414" t="s">
        <v>166</v>
      </c>
      <c r="N414" t="s">
        <v>205</v>
      </c>
      <c r="O414" t="s">
        <v>359</v>
      </c>
      <c r="P414">
        <v>1.9834964423866378E-4</v>
      </c>
      <c r="Q414" t="s">
        <v>166</v>
      </c>
      <c r="S414" t="s">
        <v>222</v>
      </c>
      <c r="T414" t="s">
        <v>359</v>
      </c>
      <c r="U414">
        <v>2.0808671346855253E-4</v>
      </c>
      <c r="V414" t="s">
        <v>166</v>
      </c>
    </row>
    <row r="415" spans="9:22" x14ac:dyDescent="0.45">
      <c r="I415" t="s">
        <v>181</v>
      </c>
      <c r="J415" t="s">
        <v>360</v>
      </c>
      <c r="K415">
        <v>2.9252829877107484E-4</v>
      </c>
      <c r="L415" t="s">
        <v>166</v>
      </c>
      <c r="N415" t="s">
        <v>205</v>
      </c>
      <c r="O415" t="s">
        <v>360</v>
      </c>
      <c r="P415">
        <v>1.9709534066942265E-4</v>
      </c>
      <c r="Q415" t="s">
        <v>166</v>
      </c>
      <c r="S415" t="s">
        <v>222</v>
      </c>
      <c r="T415" t="s">
        <v>360</v>
      </c>
      <c r="U415">
        <v>2.083318190640084E-4</v>
      </c>
      <c r="V415" t="s">
        <v>166</v>
      </c>
    </row>
    <row r="416" spans="9:22" x14ac:dyDescent="0.45">
      <c r="I416" t="s">
        <v>181</v>
      </c>
      <c r="J416" t="s">
        <v>361</v>
      </c>
      <c r="K416">
        <v>2.4678339193589995E-4</v>
      </c>
      <c r="L416" t="s">
        <v>166</v>
      </c>
      <c r="N416" t="s">
        <v>205</v>
      </c>
      <c r="O416" t="s">
        <v>361</v>
      </c>
      <c r="P416">
        <v>1.9729627539149416E-4</v>
      </c>
      <c r="Q416" t="s">
        <v>166</v>
      </c>
      <c r="S416" t="s">
        <v>222</v>
      </c>
      <c r="T416" t="s">
        <v>361</v>
      </c>
      <c r="U416">
        <v>2.0883120942183201E-4</v>
      </c>
      <c r="V416" t="s">
        <v>166</v>
      </c>
    </row>
    <row r="417" spans="9:22" x14ac:dyDescent="0.45">
      <c r="I417" t="s">
        <v>181</v>
      </c>
      <c r="J417" t="s">
        <v>362</v>
      </c>
      <c r="K417">
        <v>2.3313786572342279E-4</v>
      </c>
      <c r="L417" t="s">
        <v>166</v>
      </c>
      <c r="N417" t="s">
        <v>205</v>
      </c>
      <c r="O417" t="s">
        <v>362</v>
      </c>
      <c r="P417">
        <v>2.0031845951142568E-4</v>
      </c>
      <c r="Q417" t="s">
        <v>166</v>
      </c>
      <c r="S417" t="s">
        <v>222</v>
      </c>
      <c r="T417" t="s">
        <v>362</v>
      </c>
      <c r="U417">
        <v>2.0896073158854124E-4</v>
      </c>
      <c r="V417" t="s">
        <v>166</v>
      </c>
    </row>
    <row r="418" spans="9:22" x14ac:dyDescent="0.45">
      <c r="I418" t="s">
        <v>181</v>
      </c>
      <c r="J418" t="s">
        <v>363</v>
      </c>
      <c r="K418">
        <v>1.5380028900777466E-4</v>
      </c>
      <c r="L418" t="s">
        <v>166</v>
      </c>
      <c r="N418" t="s">
        <v>205</v>
      </c>
      <c r="O418" t="s">
        <v>363</v>
      </c>
      <c r="P418">
        <v>1.8338412867253791E-4</v>
      </c>
      <c r="Q418" t="s">
        <v>166</v>
      </c>
      <c r="S418" t="s">
        <v>222</v>
      </c>
      <c r="T418" t="s">
        <v>363</v>
      </c>
      <c r="U418">
        <v>2.0648321498862324E-4</v>
      </c>
      <c r="V418" t="s">
        <v>166</v>
      </c>
    </row>
    <row r="419" spans="9:22" x14ac:dyDescent="0.45">
      <c r="I419" t="s">
        <v>181</v>
      </c>
      <c r="J419" t="s">
        <v>364</v>
      </c>
      <c r="K419">
        <v>4.5789082229516258E-5</v>
      </c>
      <c r="L419" t="s">
        <v>166</v>
      </c>
      <c r="N419" t="s">
        <v>205</v>
      </c>
      <c r="O419" t="s">
        <v>364</v>
      </c>
      <c r="P419">
        <v>1.8773206907446251E-4</v>
      </c>
      <c r="Q419" t="s">
        <v>166</v>
      </c>
      <c r="S419" t="s">
        <v>222</v>
      </c>
      <c r="T419" t="s">
        <v>364</v>
      </c>
      <c r="U419">
        <v>2.0678128172985853E-4</v>
      </c>
      <c r="V419" t="s">
        <v>166</v>
      </c>
    </row>
    <row r="420" spans="9:22" x14ac:dyDescent="0.45">
      <c r="I420" t="s">
        <v>181</v>
      </c>
      <c r="J420" t="s">
        <v>365</v>
      </c>
      <c r="K420">
        <v>0</v>
      </c>
      <c r="L420" t="s">
        <v>166</v>
      </c>
      <c r="N420" t="s">
        <v>205</v>
      </c>
      <c r="O420" t="s">
        <v>365</v>
      </c>
      <c r="P420">
        <v>1.9040277582364475E-4</v>
      </c>
      <c r="Q420" t="s">
        <v>166</v>
      </c>
      <c r="S420" t="s">
        <v>222</v>
      </c>
      <c r="T420" t="s">
        <v>365</v>
      </c>
      <c r="U420">
        <v>2.0621108019203447E-4</v>
      </c>
      <c r="V420" t="s">
        <v>166</v>
      </c>
    </row>
    <row r="421" spans="9:22" x14ac:dyDescent="0.45">
      <c r="I421" t="s">
        <v>181</v>
      </c>
      <c r="J421" t="s">
        <v>366</v>
      </c>
      <c r="K421">
        <v>0</v>
      </c>
      <c r="L421" t="s">
        <v>166</v>
      </c>
      <c r="N421" t="s">
        <v>205</v>
      </c>
      <c r="O421" t="s">
        <v>366</v>
      </c>
      <c r="P421">
        <v>1.9699044014256074E-4</v>
      </c>
      <c r="Q421" t="s">
        <v>166</v>
      </c>
      <c r="S421" t="s">
        <v>222</v>
      </c>
      <c r="T421" t="s">
        <v>366</v>
      </c>
      <c r="U421">
        <v>2.0655783063657667E-4</v>
      </c>
      <c r="V421" t="s">
        <v>166</v>
      </c>
    </row>
    <row r="422" spans="9:22" x14ac:dyDescent="0.45">
      <c r="I422" t="s">
        <v>181</v>
      </c>
      <c r="J422" t="s">
        <v>367</v>
      </c>
      <c r="K422">
        <v>0</v>
      </c>
      <c r="L422" t="s">
        <v>166</v>
      </c>
      <c r="N422" t="s">
        <v>205</v>
      </c>
      <c r="O422" t="s">
        <v>367</v>
      </c>
      <c r="P422">
        <v>1.9752872734580621E-4</v>
      </c>
      <c r="Q422" t="s">
        <v>166</v>
      </c>
      <c r="S422" t="s">
        <v>222</v>
      </c>
      <c r="T422" t="s">
        <v>367</v>
      </c>
      <c r="U422">
        <v>2.0694155653656367E-4</v>
      </c>
      <c r="V422" t="s">
        <v>166</v>
      </c>
    </row>
    <row r="423" spans="9:22" x14ac:dyDescent="0.45">
      <c r="I423" t="s">
        <v>181</v>
      </c>
      <c r="J423" t="s">
        <v>368</v>
      </c>
      <c r="K423">
        <v>0</v>
      </c>
      <c r="L423" t="s">
        <v>166</v>
      </c>
      <c r="N423" t="s">
        <v>205</v>
      </c>
      <c r="O423" t="s">
        <v>368</v>
      </c>
      <c r="P423">
        <v>1.7922558591735238E-4</v>
      </c>
      <c r="Q423" t="s">
        <v>166</v>
      </c>
      <c r="S423" t="s">
        <v>222</v>
      </c>
      <c r="T423" t="s">
        <v>368</v>
      </c>
      <c r="U423">
        <v>2.0618643133754833E-4</v>
      </c>
      <c r="V423" t="s">
        <v>166</v>
      </c>
    </row>
    <row r="424" spans="9:22" x14ac:dyDescent="0.45">
      <c r="I424" t="s">
        <v>181</v>
      </c>
      <c r="J424" t="s">
        <v>369</v>
      </c>
      <c r="K424">
        <v>0</v>
      </c>
      <c r="L424" t="s">
        <v>166</v>
      </c>
      <c r="N424" t="s">
        <v>205</v>
      </c>
      <c r="O424" t="s">
        <v>369</v>
      </c>
      <c r="P424">
        <v>1.634937366925536E-4</v>
      </c>
      <c r="Q424" t="s">
        <v>166</v>
      </c>
      <c r="S424" t="s">
        <v>222</v>
      </c>
      <c r="T424" t="s">
        <v>369</v>
      </c>
      <c r="U424">
        <v>2.0418666884450449E-4</v>
      </c>
      <c r="V424" t="s">
        <v>166</v>
      </c>
    </row>
    <row r="425" spans="9:22" x14ac:dyDescent="0.45">
      <c r="I425" t="s">
        <v>181</v>
      </c>
      <c r="J425" t="s">
        <v>370</v>
      </c>
      <c r="K425">
        <v>0</v>
      </c>
      <c r="L425" t="s">
        <v>166</v>
      </c>
      <c r="N425" t="s">
        <v>205</v>
      </c>
      <c r="O425" t="s">
        <v>370</v>
      </c>
      <c r="P425">
        <v>2.0376300007698839E-4</v>
      </c>
      <c r="Q425" t="s">
        <v>166</v>
      </c>
      <c r="S425" t="s">
        <v>222</v>
      </c>
      <c r="T425" t="s">
        <v>370</v>
      </c>
      <c r="U425">
        <v>1.4868501208662206E-4</v>
      </c>
      <c r="V425" t="s">
        <v>166</v>
      </c>
    </row>
    <row r="426" spans="9:22" x14ac:dyDescent="0.45">
      <c r="I426" t="s">
        <v>181</v>
      </c>
      <c r="J426" t="s">
        <v>371</v>
      </c>
      <c r="K426">
        <v>0</v>
      </c>
      <c r="L426" t="s">
        <v>166</v>
      </c>
      <c r="N426" t="s">
        <v>205</v>
      </c>
      <c r="O426" t="s">
        <v>371</v>
      </c>
      <c r="P426">
        <v>2.0109931599197919E-4</v>
      </c>
      <c r="Q426" t="s">
        <v>166</v>
      </c>
      <c r="S426" t="s">
        <v>222</v>
      </c>
      <c r="T426" t="s">
        <v>371</v>
      </c>
      <c r="U426">
        <v>1.3036701212361238E-4</v>
      </c>
      <c r="V426" t="s">
        <v>166</v>
      </c>
    </row>
    <row r="427" spans="9:22" x14ac:dyDescent="0.45">
      <c r="I427" t="s">
        <v>181</v>
      </c>
      <c r="J427" t="s">
        <v>372</v>
      </c>
      <c r="K427">
        <v>0</v>
      </c>
      <c r="L427" t="s">
        <v>166</v>
      </c>
      <c r="N427" t="s">
        <v>205</v>
      </c>
      <c r="O427" t="s">
        <v>372</v>
      </c>
      <c r="P427">
        <v>1.8900676464537715E-4</v>
      </c>
      <c r="Q427" t="s">
        <v>166</v>
      </c>
      <c r="S427" t="s">
        <v>222</v>
      </c>
      <c r="T427" t="s">
        <v>372</v>
      </c>
      <c r="U427">
        <v>1.1863897475054609E-4</v>
      </c>
      <c r="V427" t="s">
        <v>166</v>
      </c>
    </row>
    <row r="428" spans="9:22" x14ac:dyDescent="0.45">
      <c r="I428" t="s">
        <v>181</v>
      </c>
      <c r="J428" t="s">
        <v>373</v>
      </c>
      <c r="K428">
        <v>0</v>
      </c>
      <c r="L428" t="s">
        <v>166</v>
      </c>
      <c r="N428" t="s">
        <v>205</v>
      </c>
      <c r="O428" t="s">
        <v>373</v>
      </c>
      <c r="P428">
        <v>1.7947007522291027E-4</v>
      </c>
      <c r="Q428" t="s">
        <v>166</v>
      </c>
      <c r="S428" t="s">
        <v>222</v>
      </c>
      <c r="T428" t="s">
        <v>373</v>
      </c>
      <c r="U428">
        <v>1.1849459052040629E-4</v>
      </c>
      <c r="V428" t="s">
        <v>166</v>
      </c>
    </row>
    <row r="429" spans="9:22" x14ac:dyDescent="0.45">
      <c r="I429" t="s">
        <v>181</v>
      </c>
      <c r="J429" t="s">
        <v>374</v>
      </c>
      <c r="K429">
        <v>0</v>
      </c>
      <c r="L429" t="s">
        <v>166</v>
      </c>
      <c r="N429" t="s">
        <v>205</v>
      </c>
      <c r="O429" t="s">
        <v>374</v>
      </c>
      <c r="P429">
        <v>1.7503623166354473E-4</v>
      </c>
      <c r="Q429" t="s">
        <v>166</v>
      </c>
      <c r="S429" t="s">
        <v>222</v>
      </c>
      <c r="T429" t="s">
        <v>374</v>
      </c>
      <c r="U429">
        <v>1.2472688200378462E-4</v>
      </c>
      <c r="V429" t="s">
        <v>166</v>
      </c>
    </row>
    <row r="430" spans="9:22" x14ac:dyDescent="0.45">
      <c r="I430" t="s">
        <v>181</v>
      </c>
      <c r="J430" t="s">
        <v>375</v>
      </c>
      <c r="K430">
        <v>0</v>
      </c>
      <c r="L430" t="s">
        <v>166</v>
      </c>
      <c r="N430" t="s">
        <v>205</v>
      </c>
      <c r="O430" t="s">
        <v>375</v>
      </c>
      <c r="P430">
        <v>1.7728894811101258E-4</v>
      </c>
      <c r="Q430" t="s">
        <v>166</v>
      </c>
      <c r="S430" t="s">
        <v>222</v>
      </c>
      <c r="T430" t="s">
        <v>375</v>
      </c>
      <c r="U430">
        <v>1.232850722930685E-4</v>
      </c>
      <c r="V430" t="s">
        <v>166</v>
      </c>
    </row>
    <row r="431" spans="9:22" x14ac:dyDescent="0.45">
      <c r="I431" t="s">
        <v>181</v>
      </c>
      <c r="J431" t="s">
        <v>376</v>
      </c>
      <c r="K431">
        <v>0</v>
      </c>
      <c r="L431" t="s">
        <v>166</v>
      </c>
      <c r="N431" t="s">
        <v>205</v>
      </c>
      <c r="O431" t="s">
        <v>376</v>
      </c>
      <c r="P431">
        <v>1.7847834008783911E-4</v>
      </c>
      <c r="Q431" t="s">
        <v>166</v>
      </c>
      <c r="S431" t="s">
        <v>222</v>
      </c>
      <c r="T431" t="s">
        <v>376</v>
      </c>
      <c r="U431">
        <v>1.2724919953631305E-4</v>
      </c>
      <c r="V431" t="s">
        <v>166</v>
      </c>
    </row>
    <row r="432" spans="9:22" x14ac:dyDescent="0.45">
      <c r="I432" t="s">
        <v>181</v>
      </c>
      <c r="J432" t="s">
        <v>377</v>
      </c>
      <c r="K432">
        <v>1.6167078253728634E-4</v>
      </c>
      <c r="L432" t="s">
        <v>166</v>
      </c>
      <c r="N432" t="s">
        <v>205</v>
      </c>
      <c r="O432" t="s">
        <v>377</v>
      </c>
      <c r="P432">
        <v>1.7765518026371317E-4</v>
      </c>
      <c r="Q432" t="s">
        <v>166</v>
      </c>
      <c r="S432" t="s">
        <v>222</v>
      </c>
      <c r="T432" t="s">
        <v>377</v>
      </c>
      <c r="U432">
        <v>1.4152918712976285E-4</v>
      </c>
      <c r="V432" t="s">
        <v>166</v>
      </c>
    </row>
    <row r="433" spans="9:22" x14ac:dyDescent="0.45">
      <c r="I433" t="s">
        <v>181</v>
      </c>
      <c r="J433" t="s">
        <v>378</v>
      </c>
      <c r="K433">
        <v>2.994093677500697E-4</v>
      </c>
      <c r="L433" t="s">
        <v>166</v>
      </c>
      <c r="N433" t="s">
        <v>205</v>
      </c>
      <c r="O433" t="s">
        <v>378</v>
      </c>
      <c r="P433">
        <v>1.9612808254077313E-4</v>
      </c>
      <c r="Q433" t="s">
        <v>166</v>
      </c>
      <c r="S433" t="s">
        <v>222</v>
      </c>
      <c r="T433" t="s">
        <v>378</v>
      </c>
      <c r="U433">
        <v>1.5764369470792525E-4</v>
      </c>
      <c r="V433" t="s">
        <v>166</v>
      </c>
    </row>
    <row r="434" spans="9:22" x14ac:dyDescent="0.45">
      <c r="I434" t="s">
        <v>181</v>
      </c>
      <c r="J434" t="s">
        <v>379</v>
      </c>
      <c r="K434">
        <v>3.9728750567096833E-4</v>
      </c>
      <c r="L434" t="s">
        <v>166</v>
      </c>
      <c r="N434" t="s">
        <v>205</v>
      </c>
      <c r="O434" t="s">
        <v>379</v>
      </c>
      <c r="P434">
        <v>2.0028771425008939E-4</v>
      </c>
      <c r="Q434" t="s">
        <v>166</v>
      </c>
      <c r="S434" t="s">
        <v>222</v>
      </c>
      <c r="T434" t="s">
        <v>379</v>
      </c>
      <c r="U434">
        <v>1.5816303787078212E-4</v>
      </c>
      <c r="V434" t="s">
        <v>166</v>
      </c>
    </row>
    <row r="435" spans="9:22" x14ac:dyDescent="0.45">
      <c r="I435" t="s">
        <v>181</v>
      </c>
      <c r="J435" t="s">
        <v>380</v>
      </c>
      <c r="K435">
        <v>4.3884670700775031E-4</v>
      </c>
      <c r="L435" t="s">
        <v>166</v>
      </c>
      <c r="N435" t="s">
        <v>205</v>
      </c>
      <c r="O435" t="s">
        <v>380</v>
      </c>
      <c r="P435">
        <v>1.9532154543113367E-4</v>
      </c>
      <c r="Q435" t="s">
        <v>166</v>
      </c>
      <c r="S435" t="s">
        <v>222</v>
      </c>
      <c r="T435" t="s">
        <v>380</v>
      </c>
      <c r="U435">
        <v>1.5675907456369183E-4</v>
      </c>
      <c r="V435" t="s">
        <v>166</v>
      </c>
    </row>
    <row r="436" spans="9:22" x14ac:dyDescent="0.45">
      <c r="I436" t="s">
        <v>181</v>
      </c>
      <c r="J436" t="s">
        <v>381</v>
      </c>
      <c r="K436">
        <v>4.5855458688865856E-4</v>
      </c>
      <c r="L436" t="s">
        <v>166</v>
      </c>
      <c r="N436" t="s">
        <v>205</v>
      </c>
      <c r="O436" t="s">
        <v>381</v>
      </c>
      <c r="P436">
        <v>1.8669652074815096E-4</v>
      </c>
      <c r="Q436" t="s">
        <v>166</v>
      </c>
      <c r="S436" t="s">
        <v>222</v>
      </c>
      <c r="T436" t="s">
        <v>381</v>
      </c>
      <c r="U436">
        <v>1.5620963787100578E-4</v>
      </c>
      <c r="V436" t="s">
        <v>166</v>
      </c>
    </row>
    <row r="437" spans="9:22" x14ac:dyDescent="0.45">
      <c r="I437" t="s">
        <v>181</v>
      </c>
      <c r="J437" t="s">
        <v>382</v>
      </c>
      <c r="K437">
        <v>4.4558284864297114E-4</v>
      </c>
      <c r="L437" t="s">
        <v>166</v>
      </c>
      <c r="N437" t="s">
        <v>205</v>
      </c>
      <c r="O437" t="s">
        <v>382</v>
      </c>
      <c r="P437">
        <v>1.7970750430915141E-4</v>
      </c>
      <c r="Q437" t="s">
        <v>166</v>
      </c>
      <c r="S437" t="s">
        <v>222</v>
      </c>
      <c r="T437" t="s">
        <v>382</v>
      </c>
      <c r="U437">
        <v>1.6548827226561219E-4</v>
      </c>
      <c r="V437" t="s">
        <v>166</v>
      </c>
    </row>
    <row r="438" spans="9:22" x14ac:dyDescent="0.45">
      <c r="I438" t="s">
        <v>181</v>
      </c>
      <c r="J438" t="s">
        <v>383</v>
      </c>
      <c r="K438">
        <v>4.5566527630850067E-4</v>
      </c>
      <c r="L438" t="s">
        <v>166</v>
      </c>
      <c r="N438" t="s">
        <v>205</v>
      </c>
      <c r="O438" t="s">
        <v>383</v>
      </c>
      <c r="P438">
        <v>1.7142924338893288E-4</v>
      </c>
      <c r="Q438" t="s">
        <v>166</v>
      </c>
      <c r="S438" t="s">
        <v>222</v>
      </c>
      <c r="T438" t="s">
        <v>383</v>
      </c>
      <c r="U438">
        <v>1.705557526737737E-4</v>
      </c>
      <c r="V438" t="s">
        <v>166</v>
      </c>
    </row>
    <row r="439" spans="9:22" x14ac:dyDescent="0.45">
      <c r="I439" t="s">
        <v>181</v>
      </c>
      <c r="J439" t="s">
        <v>384</v>
      </c>
      <c r="K439">
        <v>4.5539123506319463E-4</v>
      </c>
      <c r="L439" t="s">
        <v>166</v>
      </c>
      <c r="N439" t="s">
        <v>205</v>
      </c>
      <c r="O439" t="s">
        <v>384</v>
      </c>
      <c r="P439">
        <v>1.7180612123810643E-4</v>
      </c>
      <c r="Q439" t="s">
        <v>166</v>
      </c>
      <c r="S439" t="s">
        <v>222</v>
      </c>
      <c r="T439" t="s">
        <v>384</v>
      </c>
      <c r="U439">
        <v>1.6998709728605481E-4</v>
      </c>
      <c r="V439" t="s">
        <v>166</v>
      </c>
    </row>
    <row r="440" spans="9:22" x14ac:dyDescent="0.45">
      <c r="I440" t="s">
        <v>181</v>
      </c>
      <c r="J440" t="s">
        <v>385</v>
      </c>
      <c r="K440">
        <v>4.4479957909617423E-4</v>
      </c>
      <c r="L440" t="s">
        <v>166</v>
      </c>
      <c r="N440" t="s">
        <v>205</v>
      </c>
      <c r="O440" t="s">
        <v>385</v>
      </c>
      <c r="P440">
        <v>1.7427462535856989E-4</v>
      </c>
      <c r="Q440" t="s">
        <v>166</v>
      </c>
      <c r="S440" t="s">
        <v>222</v>
      </c>
      <c r="T440" t="s">
        <v>385</v>
      </c>
      <c r="U440">
        <v>1.5964017774726031E-4</v>
      </c>
      <c r="V440" t="s">
        <v>166</v>
      </c>
    </row>
    <row r="441" spans="9:22" x14ac:dyDescent="0.45">
      <c r="I441" t="s">
        <v>181</v>
      </c>
      <c r="J441" t="s">
        <v>386</v>
      </c>
      <c r="K441">
        <v>4.0631538966164337E-4</v>
      </c>
      <c r="L441" t="s">
        <v>166</v>
      </c>
      <c r="N441" t="s">
        <v>205</v>
      </c>
      <c r="O441" t="s">
        <v>386</v>
      </c>
      <c r="P441">
        <v>1.7864870345269925E-4</v>
      </c>
      <c r="Q441" t="s">
        <v>166</v>
      </c>
      <c r="S441" t="s">
        <v>222</v>
      </c>
      <c r="T441" t="s">
        <v>386</v>
      </c>
      <c r="U441">
        <v>1.517906598583079E-4</v>
      </c>
      <c r="V441" t="s">
        <v>166</v>
      </c>
    </row>
    <row r="442" spans="9:22" x14ac:dyDescent="0.45">
      <c r="I442" t="s">
        <v>181</v>
      </c>
      <c r="J442" t="s">
        <v>387</v>
      </c>
      <c r="K442">
        <v>3.3300919685820719E-4</v>
      </c>
      <c r="L442" t="s">
        <v>166</v>
      </c>
      <c r="N442" t="s">
        <v>205</v>
      </c>
      <c r="O442" t="s">
        <v>387</v>
      </c>
      <c r="P442">
        <v>1.4845971464572171E-4</v>
      </c>
      <c r="Q442" t="s">
        <v>166</v>
      </c>
      <c r="S442" t="s">
        <v>222</v>
      </c>
      <c r="T442" t="s">
        <v>387</v>
      </c>
      <c r="U442">
        <v>1.2331430465044015E-4</v>
      </c>
      <c r="V442" t="s">
        <v>166</v>
      </c>
    </row>
    <row r="443" spans="9:22" x14ac:dyDescent="0.45">
      <c r="I443" t="s">
        <v>181</v>
      </c>
      <c r="J443" t="s">
        <v>388</v>
      </c>
      <c r="K443">
        <v>1.9791623297660244E-4</v>
      </c>
      <c r="L443" t="s">
        <v>166</v>
      </c>
      <c r="N443" t="s">
        <v>205</v>
      </c>
      <c r="O443" t="s">
        <v>388</v>
      </c>
      <c r="P443">
        <v>1.4802900707965323E-4</v>
      </c>
      <c r="Q443" t="s">
        <v>166</v>
      </c>
      <c r="S443" t="s">
        <v>222</v>
      </c>
      <c r="T443" t="s">
        <v>388</v>
      </c>
      <c r="U443">
        <v>1.3619017260863359E-4</v>
      </c>
      <c r="V443" t="s">
        <v>166</v>
      </c>
    </row>
    <row r="444" spans="9:22" x14ac:dyDescent="0.45">
      <c r="I444" t="s">
        <v>181</v>
      </c>
      <c r="J444" t="s">
        <v>389</v>
      </c>
      <c r="K444">
        <v>0</v>
      </c>
      <c r="L444" t="s">
        <v>166</v>
      </c>
      <c r="N444" t="s">
        <v>205</v>
      </c>
      <c r="O444" t="s">
        <v>389</v>
      </c>
      <c r="P444">
        <v>1.5127623049353194E-4</v>
      </c>
      <c r="Q444" t="s">
        <v>166</v>
      </c>
      <c r="S444" t="s">
        <v>222</v>
      </c>
      <c r="T444" t="s">
        <v>389</v>
      </c>
      <c r="U444">
        <v>1.4240477584807288E-4</v>
      </c>
      <c r="V444" t="s">
        <v>166</v>
      </c>
    </row>
    <row r="445" spans="9:22" x14ac:dyDescent="0.45">
      <c r="I445" t="s">
        <v>181</v>
      </c>
      <c r="J445" t="s">
        <v>390</v>
      </c>
      <c r="K445">
        <v>0</v>
      </c>
      <c r="L445" t="s">
        <v>166</v>
      </c>
      <c r="N445" t="s">
        <v>205</v>
      </c>
      <c r="O445" t="s">
        <v>390</v>
      </c>
      <c r="P445">
        <v>1.5445404722063991E-4</v>
      </c>
      <c r="Q445" t="s">
        <v>166</v>
      </c>
      <c r="S445" t="s">
        <v>222</v>
      </c>
      <c r="T445" t="s">
        <v>390</v>
      </c>
      <c r="U445">
        <v>1.362575416055816E-4</v>
      </c>
      <c r="V445" t="s">
        <v>166</v>
      </c>
    </row>
    <row r="446" spans="9:22" x14ac:dyDescent="0.45">
      <c r="I446" t="s">
        <v>181</v>
      </c>
      <c r="J446" t="s">
        <v>391</v>
      </c>
      <c r="K446">
        <v>0</v>
      </c>
      <c r="L446" t="s">
        <v>166</v>
      </c>
      <c r="N446" t="s">
        <v>205</v>
      </c>
      <c r="O446" t="s">
        <v>391</v>
      </c>
      <c r="P446">
        <v>1.5429203352351555E-4</v>
      </c>
      <c r="Q446" t="s">
        <v>166</v>
      </c>
      <c r="S446" t="s">
        <v>222</v>
      </c>
      <c r="T446" t="s">
        <v>391</v>
      </c>
      <c r="U446">
        <v>1.3390684240231139E-4</v>
      </c>
      <c r="V446" t="s">
        <v>166</v>
      </c>
    </row>
    <row r="447" spans="9:22" x14ac:dyDescent="0.45">
      <c r="I447" t="s">
        <v>181</v>
      </c>
      <c r="J447" t="s">
        <v>392</v>
      </c>
      <c r="K447">
        <v>0</v>
      </c>
      <c r="L447" t="s">
        <v>166</v>
      </c>
      <c r="N447" t="s">
        <v>205</v>
      </c>
      <c r="O447" t="s">
        <v>392</v>
      </c>
      <c r="P447">
        <v>1.4982338338439397E-4</v>
      </c>
      <c r="Q447" t="s">
        <v>166</v>
      </c>
      <c r="S447" t="s">
        <v>222</v>
      </c>
      <c r="T447" t="s">
        <v>392</v>
      </c>
      <c r="U447">
        <v>1.3609071820604288E-4</v>
      </c>
      <c r="V447" t="s">
        <v>166</v>
      </c>
    </row>
    <row r="448" spans="9:22" x14ac:dyDescent="0.45">
      <c r="I448" t="s">
        <v>181</v>
      </c>
      <c r="J448" t="s">
        <v>393</v>
      </c>
      <c r="K448">
        <v>0</v>
      </c>
      <c r="L448" t="s">
        <v>166</v>
      </c>
      <c r="N448" t="s">
        <v>205</v>
      </c>
      <c r="O448" t="s">
        <v>393</v>
      </c>
      <c r="P448">
        <v>1.4286769802402961E-4</v>
      </c>
      <c r="Q448" t="s">
        <v>166</v>
      </c>
      <c r="S448" t="s">
        <v>222</v>
      </c>
      <c r="T448" t="s">
        <v>393</v>
      </c>
      <c r="U448">
        <v>1.4176456055506114E-4</v>
      </c>
      <c r="V448" t="s">
        <v>166</v>
      </c>
    </row>
    <row r="449" spans="9:22" x14ac:dyDescent="0.45">
      <c r="I449" t="s">
        <v>181</v>
      </c>
      <c r="J449" t="s">
        <v>169</v>
      </c>
      <c r="K449">
        <v>7.1319614252425972E-3</v>
      </c>
      <c r="L449" t="s">
        <v>166</v>
      </c>
      <c r="N449" t="s">
        <v>205</v>
      </c>
      <c r="O449" t="s">
        <v>169</v>
      </c>
      <c r="P449">
        <v>7.4596775880332814E-3</v>
      </c>
      <c r="Q449" t="s">
        <v>166</v>
      </c>
      <c r="S449" t="s">
        <v>222</v>
      </c>
      <c r="T449" t="s">
        <v>169</v>
      </c>
      <c r="U449">
        <v>6.6306905483527667E-3</v>
      </c>
      <c r="V449" t="s">
        <v>166</v>
      </c>
    </row>
    <row r="450" spans="9:22" x14ac:dyDescent="0.45">
      <c r="I450" t="s">
        <v>181</v>
      </c>
      <c r="J450" t="s">
        <v>170</v>
      </c>
      <c r="K450">
        <v>7.2676225741733699E-3</v>
      </c>
      <c r="L450" t="s">
        <v>166</v>
      </c>
      <c r="N450" t="s">
        <v>205</v>
      </c>
      <c r="O450" t="s">
        <v>170</v>
      </c>
      <c r="P450">
        <v>8.8106554489666923E-4</v>
      </c>
      <c r="Q450" t="s">
        <v>166</v>
      </c>
      <c r="S450" t="s">
        <v>222</v>
      </c>
      <c r="T450" t="s">
        <v>170</v>
      </c>
      <c r="U450">
        <v>7.4744215660537685E-4</v>
      </c>
      <c r="V450" t="s">
        <v>166</v>
      </c>
    </row>
    <row r="451" spans="9:22" x14ac:dyDescent="0.45">
      <c r="I451" t="s">
        <v>181</v>
      </c>
      <c r="J451" t="s">
        <v>171</v>
      </c>
      <c r="K451">
        <v>7.4457186977449713E-2</v>
      </c>
      <c r="L451" t="s">
        <v>166</v>
      </c>
      <c r="N451" t="s">
        <v>205</v>
      </c>
      <c r="O451" t="s">
        <v>171</v>
      </c>
      <c r="P451">
        <v>1.0064444609754367E-2</v>
      </c>
      <c r="Q451" t="s">
        <v>166</v>
      </c>
      <c r="S451" t="s">
        <v>222</v>
      </c>
      <c r="T451" t="s">
        <v>171</v>
      </c>
      <c r="U451">
        <v>5.9236408978614614E-3</v>
      </c>
      <c r="V451" t="s">
        <v>166</v>
      </c>
    </row>
    <row r="452" spans="9:22" x14ac:dyDescent="0.45">
      <c r="I452" t="s">
        <v>181</v>
      </c>
      <c r="J452" t="s">
        <v>261</v>
      </c>
      <c r="K452">
        <v>6.1463669195069692E-3</v>
      </c>
      <c r="L452" t="s">
        <v>166</v>
      </c>
      <c r="N452" t="s">
        <v>205</v>
      </c>
      <c r="O452" t="s">
        <v>261</v>
      </c>
      <c r="P452">
        <v>1.70546855074676E-3</v>
      </c>
      <c r="Q452" t="s">
        <v>166</v>
      </c>
      <c r="S452" t="s">
        <v>222</v>
      </c>
      <c r="T452" t="s">
        <v>261</v>
      </c>
      <c r="U452">
        <v>1.0340393565658186E-3</v>
      </c>
      <c r="V452" t="s">
        <v>166</v>
      </c>
    </row>
    <row r="453" spans="9:22" x14ac:dyDescent="0.45">
      <c r="I453" t="s">
        <v>181</v>
      </c>
      <c r="J453" t="s">
        <v>262</v>
      </c>
      <c r="K453">
        <v>6.5419133816254022E-3</v>
      </c>
      <c r="L453" t="s">
        <v>166</v>
      </c>
      <c r="N453" t="s">
        <v>205</v>
      </c>
      <c r="O453" t="s">
        <v>262</v>
      </c>
      <c r="P453">
        <v>2.5399857176907768E-3</v>
      </c>
      <c r="Q453" t="s">
        <v>166</v>
      </c>
      <c r="S453" t="s">
        <v>222</v>
      </c>
      <c r="T453" t="s">
        <v>262</v>
      </c>
      <c r="U453">
        <v>1.7630014738257847E-3</v>
      </c>
      <c r="V453" t="s">
        <v>166</v>
      </c>
    </row>
    <row r="454" spans="9:22" x14ac:dyDescent="0.45">
      <c r="I454" t="s">
        <v>181</v>
      </c>
      <c r="J454" t="s">
        <v>263</v>
      </c>
      <c r="K454">
        <v>0</v>
      </c>
      <c r="L454" t="s">
        <v>166</v>
      </c>
      <c r="N454" t="s">
        <v>205</v>
      </c>
      <c r="O454" t="s">
        <v>263</v>
      </c>
      <c r="P454">
        <v>5.1759271850416047E-3</v>
      </c>
      <c r="Q454" t="s">
        <v>166</v>
      </c>
      <c r="S454" t="s">
        <v>222</v>
      </c>
      <c r="T454" t="s">
        <v>263</v>
      </c>
      <c r="U454">
        <v>4.1953557500569554E-3</v>
      </c>
      <c r="V454" t="s">
        <v>166</v>
      </c>
    </row>
    <row r="455" spans="9:22" x14ac:dyDescent="0.45">
      <c r="I455" t="s">
        <v>181</v>
      </c>
      <c r="J455" t="s">
        <v>172</v>
      </c>
      <c r="K455">
        <v>4.7047702782923567E-3</v>
      </c>
      <c r="L455" t="s">
        <v>166</v>
      </c>
      <c r="N455" t="s">
        <v>205</v>
      </c>
      <c r="O455" t="s">
        <v>172</v>
      </c>
      <c r="P455">
        <v>2.2114030553565357E-2</v>
      </c>
      <c r="Q455" t="s">
        <v>166</v>
      </c>
      <c r="S455" t="s">
        <v>222</v>
      </c>
      <c r="T455" t="s">
        <v>172</v>
      </c>
      <c r="U455">
        <v>2.293808693660699E-2</v>
      </c>
      <c r="V455" t="s">
        <v>166</v>
      </c>
    </row>
    <row r="456" spans="9:22" x14ac:dyDescent="0.45">
      <c r="I456" t="s">
        <v>181</v>
      </c>
      <c r="J456" t="s">
        <v>173</v>
      </c>
      <c r="K456">
        <v>5.1255525641799192E-3</v>
      </c>
      <c r="L456" t="s">
        <v>166</v>
      </c>
      <c r="N456" t="s">
        <v>205</v>
      </c>
      <c r="O456" t="s">
        <v>173</v>
      </c>
      <c r="P456">
        <v>2.5972817652378907E-3</v>
      </c>
      <c r="Q456" t="s">
        <v>166</v>
      </c>
      <c r="S456" t="s">
        <v>222</v>
      </c>
      <c r="T456" t="s">
        <v>173</v>
      </c>
      <c r="U456">
        <v>2.8143493364903454E-3</v>
      </c>
      <c r="V456" t="s">
        <v>166</v>
      </c>
    </row>
    <row r="457" spans="9:22" x14ac:dyDescent="0.45">
      <c r="I457" t="s">
        <v>181</v>
      </c>
      <c r="J457" t="s">
        <v>174</v>
      </c>
      <c r="K457">
        <v>5.784205065663766E-2</v>
      </c>
      <c r="L457" t="s">
        <v>166</v>
      </c>
      <c r="N457" t="s">
        <v>205</v>
      </c>
      <c r="O457" t="s">
        <v>174</v>
      </c>
      <c r="P457">
        <v>2.2759546166155123E-2</v>
      </c>
      <c r="Q457" t="s">
        <v>166</v>
      </c>
      <c r="S457" t="s">
        <v>222</v>
      </c>
      <c r="T457" t="s">
        <v>174</v>
      </c>
      <c r="U457">
        <v>1.9756083998562754E-2</v>
      </c>
      <c r="V457" t="s">
        <v>166</v>
      </c>
    </row>
    <row r="458" spans="9:22" x14ac:dyDescent="0.45">
      <c r="I458" t="s">
        <v>181</v>
      </c>
      <c r="J458" t="s">
        <v>264</v>
      </c>
      <c r="K458">
        <v>5.1450550903558521E-3</v>
      </c>
      <c r="L458" t="s">
        <v>166</v>
      </c>
      <c r="N458" t="s">
        <v>205</v>
      </c>
      <c r="O458" t="s">
        <v>264</v>
      </c>
      <c r="P458">
        <v>3.466495324913949E-3</v>
      </c>
      <c r="Q458" t="s">
        <v>166</v>
      </c>
      <c r="S458" t="s">
        <v>222</v>
      </c>
      <c r="T458" t="s">
        <v>264</v>
      </c>
      <c r="U458">
        <v>2.9407237903694653E-3</v>
      </c>
      <c r="V458" t="s">
        <v>166</v>
      </c>
    </row>
    <row r="459" spans="9:22" x14ac:dyDescent="0.45">
      <c r="I459" t="s">
        <v>181</v>
      </c>
      <c r="J459" t="s">
        <v>265</v>
      </c>
      <c r="K459">
        <v>5.2789622052905648E-3</v>
      </c>
      <c r="L459" t="s">
        <v>166</v>
      </c>
      <c r="N459" t="s">
        <v>205</v>
      </c>
      <c r="O459" t="s">
        <v>265</v>
      </c>
      <c r="P459">
        <v>5.6877988666070526E-3</v>
      </c>
      <c r="Q459" t="s">
        <v>166</v>
      </c>
      <c r="S459" t="s">
        <v>222</v>
      </c>
      <c r="T459" t="s">
        <v>265</v>
      </c>
      <c r="U459">
        <v>5.5887337706699569E-3</v>
      </c>
      <c r="V459" t="s">
        <v>166</v>
      </c>
    </row>
    <row r="460" spans="9:22" x14ac:dyDescent="0.45">
      <c r="I460" t="s">
        <v>181</v>
      </c>
      <c r="J460" t="s">
        <v>266</v>
      </c>
      <c r="K460">
        <v>0</v>
      </c>
      <c r="L460" t="s">
        <v>166</v>
      </c>
      <c r="N460" t="s">
        <v>205</v>
      </c>
      <c r="O460" t="s">
        <v>266</v>
      </c>
      <c r="P460">
        <v>1.2248011351004241E-2</v>
      </c>
      <c r="Q460" t="s">
        <v>166</v>
      </c>
      <c r="S460" t="s">
        <v>222</v>
      </c>
      <c r="T460" t="s">
        <v>266</v>
      </c>
      <c r="U460">
        <v>1.335789932089451E-2</v>
      </c>
      <c r="V460" t="s">
        <v>166</v>
      </c>
    </row>
    <row r="461" spans="9:22" x14ac:dyDescent="0.45">
      <c r="I461" t="s">
        <v>181</v>
      </c>
      <c r="J461" t="s">
        <v>175</v>
      </c>
      <c r="K461">
        <v>2.8889165249450354E-3</v>
      </c>
      <c r="L461" t="s">
        <v>166</v>
      </c>
      <c r="N461" t="s">
        <v>205</v>
      </c>
      <c r="O461" t="s">
        <v>175</v>
      </c>
      <c r="P461">
        <v>2.6399203935224311E-2</v>
      </c>
      <c r="Q461" t="s">
        <v>166</v>
      </c>
      <c r="S461" t="s">
        <v>222</v>
      </c>
      <c r="T461" t="s">
        <v>175</v>
      </c>
      <c r="U461">
        <v>2.6883646269666262E-2</v>
      </c>
      <c r="V461" t="s">
        <v>166</v>
      </c>
    </row>
    <row r="462" spans="9:22" x14ac:dyDescent="0.45">
      <c r="I462" t="s">
        <v>181</v>
      </c>
      <c r="J462" t="s">
        <v>176</v>
      </c>
      <c r="K462">
        <v>4.678784646061065E-3</v>
      </c>
      <c r="L462" t="s">
        <v>166</v>
      </c>
      <c r="N462" t="s">
        <v>205</v>
      </c>
      <c r="O462" t="s">
        <v>176</v>
      </c>
      <c r="P462">
        <v>3.1623669544584487E-3</v>
      </c>
      <c r="Q462" t="s">
        <v>166</v>
      </c>
      <c r="S462" t="s">
        <v>222</v>
      </c>
      <c r="T462" t="s">
        <v>176</v>
      </c>
      <c r="U462">
        <v>3.1356773293841514E-3</v>
      </c>
      <c r="V462" t="s">
        <v>166</v>
      </c>
    </row>
    <row r="463" spans="9:22" x14ac:dyDescent="0.45">
      <c r="I463" t="s">
        <v>181</v>
      </c>
      <c r="J463" t="s">
        <v>177</v>
      </c>
      <c r="K463">
        <v>5.784781698085411E-2</v>
      </c>
      <c r="L463" t="s">
        <v>166</v>
      </c>
      <c r="N463" t="s">
        <v>205</v>
      </c>
      <c r="O463" t="s">
        <v>177</v>
      </c>
      <c r="P463">
        <v>2.7206353625034624E-2</v>
      </c>
      <c r="Q463" t="s">
        <v>166</v>
      </c>
      <c r="S463" t="s">
        <v>222</v>
      </c>
      <c r="T463" t="s">
        <v>177</v>
      </c>
      <c r="U463">
        <v>2.2941405902773753E-2</v>
      </c>
      <c r="V463" t="s">
        <v>166</v>
      </c>
    </row>
    <row r="464" spans="9:22" x14ac:dyDescent="0.45">
      <c r="I464" t="s">
        <v>181</v>
      </c>
      <c r="J464" t="s">
        <v>267</v>
      </c>
      <c r="K464">
        <v>5.3356703590871548E-3</v>
      </c>
      <c r="L464" t="s">
        <v>166</v>
      </c>
      <c r="N464" t="s">
        <v>205</v>
      </c>
      <c r="O464" t="s">
        <v>267</v>
      </c>
      <c r="P464">
        <v>4.2459579916550912E-3</v>
      </c>
      <c r="Q464" t="s">
        <v>166</v>
      </c>
      <c r="S464" t="s">
        <v>222</v>
      </c>
      <c r="T464" t="s">
        <v>267</v>
      </c>
      <c r="U464">
        <v>3.4825836847407988E-3</v>
      </c>
      <c r="V464" t="s">
        <v>166</v>
      </c>
    </row>
    <row r="465" spans="9:22" x14ac:dyDescent="0.45">
      <c r="I465" t="s">
        <v>181</v>
      </c>
      <c r="J465" t="s">
        <v>268</v>
      </c>
      <c r="K465">
        <v>5.6454969140057373E-3</v>
      </c>
      <c r="L465" t="s">
        <v>166</v>
      </c>
      <c r="N465" t="s">
        <v>205</v>
      </c>
      <c r="O465" t="s">
        <v>268</v>
      </c>
      <c r="P465">
        <v>7.6085862882390842E-3</v>
      </c>
      <c r="Q465" t="s">
        <v>166</v>
      </c>
      <c r="S465" t="s">
        <v>222</v>
      </c>
      <c r="T465" t="s">
        <v>268</v>
      </c>
      <c r="U465">
        <v>6.8106708834513889E-3</v>
      </c>
      <c r="V465" t="s">
        <v>166</v>
      </c>
    </row>
    <row r="466" spans="9:22" x14ac:dyDescent="0.45">
      <c r="I466" t="s">
        <v>181</v>
      </c>
      <c r="J466" t="s">
        <v>269</v>
      </c>
      <c r="K466">
        <v>0</v>
      </c>
      <c r="L466" t="s">
        <v>166</v>
      </c>
      <c r="N466" t="s">
        <v>205</v>
      </c>
      <c r="O466" t="s">
        <v>269</v>
      </c>
      <c r="P466">
        <v>1.5929756379134286E-2</v>
      </c>
      <c r="Q466" t="s">
        <v>166</v>
      </c>
      <c r="S466" t="s">
        <v>222</v>
      </c>
      <c r="T466" t="s">
        <v>269</v>
      </c>
      <c r="U466">
        <v>1.6744398676287305E-2</v>
      </c>
      <c r="V466" t="s">
        <v>166</v>
      </c>
    </row>
    <row r="467" spans="9:22" x14ac:dyDescent="0.45">
      <c r="I467" t="s">
        <v>181</v>
      </c>
      <c r="J467" t="s">
        <v>270</v>
      </c>
      <c r="K467">
        <v>2.0829739523536071E-3</v>
      </c>
      <c r="L467" t="s">
        <v>166</v>
      </c>
      <c r="N467" t="s">
        <v>205</v>
      </c>
      <c r="O467" t="s">
        <v>270</v>
      </c>
      <c r="P467">
        <v>3.3076607969398944E-2</v>
      </c>
      <c r="Q467" t="s">
        <v>166</v>
      </c>
      <c r="S467" t="s">
        <v>222</v>
      </c>
      <c r="T467" t="s">
        <v>270</v>
      </c>
      <c r="U467">
        <v>3.5384681626512864E-2</v>
      </c>
      <c r="V467" t="s">
        <v>166</v>
      </c>
    </row>
    <row r="468" spans="9:22" x14ac:dyDescent="0.45">
      <c r="I468" t="s">
        <v>181</v>
      </c>
      <c r="J468" t="s">
        <v>271</v>
      </c>
      <c r="K468">
        <v>4.0002715326748145E-3</v>
      </c>
      <c r="L468" t="s">
        <v>166</v>
      </c>
      <c r="N468" t="s">
        <v>205</v>
      </c>
      <c r="O468" t="s">
        <v>271</v>
      </c>
      <c r="P468">
        <v>4.0213224912644127E-3</v>
      </c>
      <c r="Q468" t="s">
        <v>166</v>
      </c>
      <c r="S468" t="s">
        <v>222</v>
      </c>
      <c r="T468" t="s">
        <v>271</v>
      </c>
      <c r="U468">
        <v>4.0911555159243041E-3</v>
      </c>
      <c r="V468" t="s">
        <v>166</v>
      </c>
    </row>
    <row r="469" spans="9:22" x14ac:dyDescent="0.45">
      <c r="I469" t="s">
        <v>181</v>
      </c>
      <c r="J469" t="s">
        <v>272</v>
      </c>
      <c r="K469">
        <v>5.4161007958934769E-2</v>
      </c>
      <c r="L469" t="s">
        <v>166</v>
      </c>
      <c r="N469" t="s">
        <v>205</v>
      </c>
      <c r="O469" t="s">
        <v>272</v>
      </c>
      <c r="P469">
        <v>3.4218541596121504E-2</v>
      </c>
      <c r="Q469" t="s">
        <v>166</v>
      </c>
      <c r="S469" t="s">
        <v>222</v>
      </c>
      <c r="T469" t="s">
        <v>272</v>
      </c>
      <c r="U469">
        <v>2.9988474777350935E-2</v>
      </c>
      <c r="V469" t="s">
        <v>166</v>
      </c>
    </row>
    <row r="470" spans="9:22" x14ac:dyDescent="0.45">
      <c r="I470" t="s">
        <v>181</v>
      </c>
      <c r="J470" t="s">
        <v>273</v>
      </c>
      <c r="K470">
        <v>5.3095833343929973E-3</v>
      </c>
      <c r="L470" t="s">
        <v>166</v>
      </c>
      <c r="N470" t="s">
        <v>205</v>
      </c>
      <c r="O470" t="s">
        <v>273</v>
      </c>
      <c r="P470">
        <v>5.1155539835355378E-3</v>
      </c>
      <c r="Q470" t="s">
        <v>166</v>
      </c>
      <c r="S470" t="s">
        <v>222</v>
      </c>
      <c r="T470" t="s">
        <v>273</v>
      </c>
      <c r="U470">
        <v>4.4306252935944089E-3</v>
      </c>
      <c r="V470" t="s">
        <v>166</v>
      </c>
    </row>
    <row r="471" spans="9:22" x14ac:dyDescent="0.45">
      <c r="I471" t="s">
        <v>181</v>
      </c>
      <c r="J471" t="s">
        <v>274</v>
      </c>
      <c r="K471">
        <v>5.5390283245100817E-3</v>
      </c>
      <c r="L471" t="s">
        <v>166</v>
      </c>
      <c r="N471" t="s">
        <v>205</v>
      </c>
      <c r="O471" t="s">
        <v>274</v>
      </c>
      <c r="P471">
        <v>8.546217844726341E-3</v>
      </c>
      <c r="Q471" t="s">
        <v>166</v>
      </c>
      <c r="S471" t="s">
        <v>222</v>
      </c>
      <c r="T471" t="s">
        <v>274</v>
      </c>
      <c r="U471">
        <v>8.4094214721658796E-3</v>
      </c>
      <c r="V471" t="s">
        <v>166</v>
      </c>
    </row>
    <row r="472" spans="9:22" x14ac:dyDescent="0.45">
      <c r="I472" t="s">
        <v>181</v>
      </c>
      <c r="J472" t="s">
        <v>275</v>
      </c>
      <c r="K472">
        <v>0</v>
      </c>
      <c r="L472" t="s">
        <v>166</v>
      </c>
      <c r="N472" t="s">
        <v>205</v>
      </c>
      <c r="O472" t="s">
        <v>275</v>
      </c>
      <c r="P472">
        <v>1.8363033352535581E-2</v>
      </c>
      <c r="Q472" t="s">
        <v>166</v>
      </c>
      <c r="S472" t="s">
        <v>222</v>
      </c>
      <c r="T472" t="s">
        <v>275</v>
      </c>
      <c r="U472">
        <v>2.0721210481648367E-2</v>
      </c>
      <c r="V472" t="s">
        <v>166</v>
      </c>
    </row>
    <row r="473" spans="9:22" x14ac:dyDescent="0.45">
      <c r="I473" t="s">
        <v>181</v>
      </c>
      <c r="J473" t="s">
        <v>276</v>
      </c>
      <c r="K473">
        <v>5.0738056899622052E-3</v>
      </c>
      <c r="L473" t="s">
        <v>166</v>
      </c>
      <c r="N473" t="s">
        <v>205</v>
      </c>
      <c r="O473" t="s">
        <v>276</v>
      </c>
      <c r="P473">
        <v>4.1355927860402375E-2</v>
      </c>
      <c r="Q473" t="s">
        <v>166</v>
      </c>
      <c r="S473" t="s">
        <v>222</v>
      </c>
      <c r="T473" t="s">
        <v>276</v>
      </c>
      <c r="U473">
        <v>4.8176400293345238E-2</v>
      </c>
      <c r="V473" t="s">
        <v>166</v>
      </c>
    </row>
    <row r="474" spans="9:22" x14ac:dyDescent="0.45">
      <c r="I474" t="s">
        <v>181</v>
      </c>
      <c r="J474" t="s">
        <v>277</v>
      </c>
      <c r="K474">
        <v>9.8927956174423674E-3</v>
      </c>
      <c r="L474" t="s">
        <v>166</v>
      </c>
      <c r="N474" t="s">
        <v>205</v>
      </c>
      <c r="O474" t="s">
        <v>277</v>
      </c>
      <c r="P474">
        <v>4.9334435261548801E-3</v>
      </c>
      <c r="Q474" t="s">
        <v>166</v>
      </c>
      <c r="S474" t="s">
        <v>222</v>
      </c>
      <c r="T474" t="s">
        <v>277</v>
      </c>
      <c r="U474">
        <v>5.8043384645879784E-3</v>
      </c>
      <c r="V474" t="s">
        <v>166</v>
      </c>
    </row>
    <row r="475" spans="9:22" x14ac:dyDescent="0.45">
      <c r="I475" t="s">
        <v>181</v>
      </c>
      <c r="J475" t="s">
        <v>278</v>
      </c>
      <c r="K475">
        <v>0.10744841703359916</v>
      </c>
      <c r="L475" t="s">
        <v>166</v>
      </c>
      <c r="N475" t="s">
        <v>205</v>
      </c>
      <c r="O475" t="s">
        <v>278</v>
      </c>
      <c r="P475">
        <v>4.3378809940874632E-2</v>
      </c>
      <c r="Q475" t="s">
        <v>166</v>
      </c>
      <c r="S475" t="s">
        <v>222</v>
      </c>
      <c r="T475" t="s">
        <v>278</v>
      </c>
      <c r="U475">
        <v>4.3301693251404517E-2</v>
      </c>
      <c r="V475" t="s">
        <v>166</v>
      </c>
    </row>
    <row r="476" spans="9:22" x14ac:dyDescent="0.45">
      <c r="I476" t="s">
        <v>181</v>
      </c>
      <c r="J476" t="s">
        <v>279</v>
      </c>
      <c r="K476">
        <v>1.017018640253076E-2</v>
      </c>
      <c r="L476" t="s">
        <v>166</v>
      </c>
      <c r="N476" t="s">
        <v>205</v>
      </c>
      <c r="O476" t="s">
        <v>279</v>
      </c>
      <c r="P476">
        <v>6.6486617080353553E-3</v>
      </c>
      <c r="Q476" t="s">
        <v>166</v>
      </c>
      <c r="S476" t="s">
        <v>222</v>
      </c>
      <c r="T476" t="s">
        <v>279</v>
      </c>
      <c r="U476">
        <v>6.5431256316318904E-3</v>
      </c>
      <c r="V476" t="s">
        <v>166</v>
      </c>
    </row>
    <row r="477" spans="9:22" x14ac:dyDescent="0.45">
      <c r="I477" t="s">
        <v>181</v>
      </c>
      <c r="J477" t="s">
        <v>280</v>
      </c>
      <c r="K477">
        <v>7.525358643936904E-3</v>
      </c>
      <c r="L477" t="s">
        <v>166</v>
      </c>
      <c r="N477" t="s">
        <v>205</v>
      </c>
      <c r="O477" t="s">
        <v>280</v>
      </c>
      <c r="P477">
        <v>1.1815071397173601E-2</v>
      </c>
      <c r="Q477" t="s">
        <v>166</v>
      </c>
      <c r="S477" t="s">
        <v>222</v>
      </c>
      <c r="T477" t="s">
        <v>280</v>
      </c>
      <c r="U477">
        <v>1.3023671947123401E-2</v>
      </c>
      <c r="V477" t="s">
        <v>166</v>
      </c>
    </row>
    <row r="478" spans="9:22" x14ac:dyDescent="0.45">
      <c r="I478" t="s">
        <v>181</v>
      </c>
      <c r="J478" t="s">
        <v>281</v>
      </c>
      <c r="K478">
        <v>0</v>
      </c>
      <c r="L478" t="s">
        <v>166</v>
      </c>
      <c r="N478" t="s">
        <v>205</v>
      </c>
      <c r="O478" t="s">
        <v>281</v>
      </c>
      <c r="P478">
        <v>2.6349557121798289E-2</v>
      </c>
      <c r="Q478" t="s">
        <v>166</v>
      </c>
      <c r="S478" t="s">
        <v>222</v>
      </c>
      <c r="T478" t="s">
        <v>281</v>
      </c>
      <c r="U478">
        <v>3.1802526665142231E-2</v>
      </c>
      <c r="V478" t="s">
        <v>166</v>
      </c>
    </row>
    <row r="479" spans="9:22" x14ac:dyDescent="0.45">
      <c r="I479" t="s">
        <v>181</v>
      </c>
      <c r="J479" t="s">
        <v>282</v>
      </c>
      <c r="K479">
        <v>2.6072905217553325E-3</v>
      </c>
      <c r="L479" t="s">
        <v>166</v>
      </c>
      <c r="N479" t="s">
        <v>205</v>
      </c>
      <c r="O479" t="s">
        <v>282</v>
      </c>
      <c r="P479">
        <v>2.8744610973857224E-2</v>
      </c>
      <c r="Q479" t="s">
        <v>166</v>
      </c>
      <c r="S479" t="s">
        <v>222</v>
      </c>
      <c r="T479" t="s">
        <v>282</v>
      </c>
      <c r="U479">
        <v>3.1044982108371522E-2</v>
      </c>
      <c r="V479" t="s">
        <v>166</v>
      </c>
    </row>
    <row r="480" spans="9:22" x14ac:dyDescent="0.45">
      <c r="I480" t="s">
        <v>181</v>
      </c>
      <c r="J480" t="s">
        <v>283</v>
      </c>
      <c r="K480">
        <v>4.9023399905613035E-3</v>
      </c>
      <c r="L480" t="s">
        <v>166</v>
      </c>
      <c r="N480" t="s">
        <v>205</v>
      </c>
      <c r="O480" t="s">
        <v>283</v>
      </c>
      <c r="P480">
        <v>3.4313396811103958E-3</v>
      </c>
      <c r="Q480" t="s">
        <v>166</v>
      </c>
      <c r="S480" t="s">
        <v>222</v>
      </c>
      <c r="T480" t="s">
        <v>283</v>
      </c>
      <c r="U480">
        <v>3.976033882905637E-3</v>
      </c>
      <c r="V480" t="s">
        <v>166</v>
      </c>
    </row>
    <row r="481" spans="9:22" x14ac:dyDescent="0.45">
      <c r="I481" t="s">
        <v>181</v>
      </c>
      <c r="J481" t="s">
        <v>284</v>
      </c>
      <c r="K481">
        <v>5.6822114934663284E-2</v>
      </c>
      <c r="L481" t="s">
        <v>166</v>
      </c>
      <c r="N481" t="s">
        <v>205</v>
      </c>
      <c r="O481" t="s">
        <v>284</v>
      </c>
      <c r="P481">
        <v>2.6614898725226727E-2</v>
      </c>
      <c r="Q481" t="s">
        <v>166</v>
      </c>
      <c r="S481" t="s">
        <v>222</v>
      </c>
      <c r="T481" t="s">
        <v>284</v>
      </c>
      <c r="U481">
        <v>2.6925227793548234E-2</v>
      </c>
      <c r="V481" t="s">
        <v>166</v>
      </c>
    </row>
    <row r="482" spans="9:22" x14ac:dyDescent="0.45">
      <c r="I482" t="s">
        <v>181</v>
      </c>
      <c r="J482" t="s">
        <v>285</v>
      </c>
      <c r="K482">
        <v>5.7003428194793183E-3</v>
      </c>
      <c r="L482" t="s">
        <v>166</v>
      </c>
      <c r="N482" t="s">
        <v>205</v>
      </c>
      <c r="O482" t="s">
        <v>285</v>
      </c>
      <c r="P482">
        <v>4.0220496130176243E-3</v>
      </c>
      <c r="Q482" t="s">
        <v>166</v>
      </c>
      <c r="S482" t="s">
        <v>222</v>
      </c>
      <c r="T482" t="s">
        <v>285</v>
      </c>
      <c r="U482">
        <v>3.9135000697138808E-3</v>
      </c>
      <c r="V482" t="s">
        <v>166</v>
      </c>
    </row>
    <row r="483" spans="9:22" x14ac:dyDescent="0.45">
      <c r="I483" t="s">
        <v>181</v>
      </c>
      <c r="J483" t="s">
        <v>286</v>
      </c>
      <c r="K483">
        <v>3.5409013088103024E-3</v>
      </c>
      <c r="L483" t="s">
        <v>166</v>
      </c>
      <c r="N483" t="s">
        <v>205</v>
      </c>
      <c r="O483" t="s">
        <v>286</v>
      </c>
      <c r="P483">
        <v>7.7691528458936855E-3</v>
      </c>
      <c r="Q483" t="s">
        <v>166</v>
      </c>
      <c r="S483" t="s">
        <v>222</v>
      </c>
      <c r="T483" t="s">
        <v>286</v>
      </c>
      <c r="U483">
        <v>7.7425034785191917E-3</v>
      </c>
      <c r="V483" t="s">
        <v>166</v>
      </c>
    </row>
    <row r="484" spans="9:22" x14ac:dyDescent="0.45">
      <c r="I484" t="s">
        <v>181</v>
      </c>
      <c r="J484" t="s">
        <v>287</v>
      </c>
      <c r="K484">
        <v>0</v>
      </c>
      <c r="L484" t="s">
        <v>166</v>
      </c>
      <c r="N484" t="s">
        <v>205</v>
      </c>
      <c r="O484" t="s">
        <v>287</v>
      </c>
      <c r="P484">
        <v>2.0219393943781971E-2</v>
      </c>
      <c r="Q484" t="s">
        <v>166</v>
      </c>
      <c r="S484" t="s">
        <v>222</v>
      </c>
      <c r="T484" t="s">
        <v>287</v>
      </c>
      <c r="U484">
        <v>2.0321450681258391E-2</v>
      </c>
      <c r="V484" t="s">
        <v>166</v>
      </c>
    </row>
    <row r="485" spans="9:22" x14ac:dyDescent="0.45">
      <c r="I485" t="s">
        <v>181</v>
      </c>
      <c r="J485" t="s">
        <v>288</v>
      </c>
      <c r="K485">
        <v>2.2262711466790922E-3</v>
      </c>
      <c r="L485" t="s">
        <v>166</v>
      </c>
      <c r="N485" t="s">
        <v>205</v>
      </c>
      <c r="O485" t="s">
        <v>288</v>
      </c>
      <c r="P485">
        <v>2.9153441679409361E-2</v>
      </c>
      <c r="Q485" t="s">
        <v>166</v>
      </c>
      <c r="S485" t="s">
        <v>222</v>
      </c>
      <c r="T485" t="s">
        <v>288</v>
      </c>
      <c r="U485">
        <v>4.7939646942566375E-2</v>
      </c>
      <c r="V485" t="s">
        <v>166</v>
      </c>
    </row>
    <row r="486" spans="9:22" x14ac:dyDescent="0.45">
      <c r="I486" t="s">
        <v>181</v>
      </c>
      <c r="J486" t="s">
        <v>289</v>
      </c>
      <c r="K486">
        <v>4.7025186732771269E-3</v>
      </c>
      <c r="L486" t="s">
        <v>166</v>
      </c>
      <c r="N486" t="s">
        <v>205</v>
      </c>
      <c r="O486" t="s">
        <v>289</v>
      </c>
      <c r="P486">
        <v>3.601070516592174E-3</v>
      </c>
      <c r="Q486" t="s">
        <v>166</v>
      </c>
      <c r="S486" t="s">
        <v>222</v>
      </c>
      <c r="T486" t="s">
        <v>289</v>
      </c>
      <c r="U486">
        <v>5.9530916412529082E-3</v>
      </c>
      <c r="V486" t="s">
        <v>166</v>
      </c>
    </row>
    <row r="487" spans="9:22" x14ac:dyDescent="0.45">
      <c r="I487" t="s">
        <v>181</v>
      </c>
      <c r="J487" t="s">
        <v>290</v>
      </c>
      <c r="K487">
        <v>5.8729778757737834E-2</v>
      </c>
      <c r="L487" t="s">
        <v>166</v>
      </c>
      <c r="N487" t="s">
        <v>205</v>
      </c>
      <c r="O487" t="s">
        <v>290</v>
      </c>
      <c r="P487">
        <v>2.6894336433000675E-2</v>
      </c>
      <c r="Q487" t="s">
        <v>166</v>
      </c>
      <c r="S487" t="s">
        <v>222</v>
      </c>
      <c r="T487" t="s">
        <v>290</v>
      </c>
      <c r="U487">
        <v>4.1677299081561592E-2</v>
      </c>
      <c r="V487" t="s">
        <v>166</v>
      </c>
    </row>
    <row r="488" spans="9:22" x14ac:dyDescent="0.45">
      <c r="I488" t="s">
        <v>181</v>
      </c>
      <c r="J488" t="s">
        <v>291</v>
      </c>
      <c r="K488">
        <v>5.9958799323197986E-3</v>
      </c>
      <c r="L488" t="s">
        <v>166</v>
      </c>
      <c r="N488" t="s">
        <v>205</v>
      </c>
      <c r="O488" t="s">
        <v>291</v>
      </c>
      <c r="P488">
        <v>4.3691353706072104E-3</v>
      </c>
      <c r="Q488" t="s">
        <v>166</v>
      </c>
      <c r="S488" t="s">
        <v>222</v>
      </c>
      <c r="T488" t="s">
        <v>291</v>
      </c>
      <c r="U488">
        <v>6.0079080605866487E-3</v>
      </c>
      <c r="V488" t="s">
        <v>166</v>
      </c>
    </row>
    <row r="489" spans="9:22" x14ac:dyDescent="0.45">
      <c r="I489" t="s">
        <v>181</v>
      </c>
      <c r="J489" t="s">
        <v>292</v>
      </c>
      <c r="K489">
        <v>3.9901019247449293E-3</v>
      </c>
      <c r="L489" t="s">
        <v>166</v>
      </c>
      <c r="N489" t="s">
        <v>205</v>
      </c>
      <c r="O489" t="s">
        <v>292</v>
      </c>
      <c r="P489">
        <v>8.5993199339670784E-3</v>
      </c>
      <c r="Q489" t="s">
        <v>166</v>
      </c>
      <c r="S489" t="s">
        <v>222</v>
      </c>
      <c r="T489" t="s">
        <v>292</v>
      </c>
      <c r="U489">
        <v>1.1900608271071422E-2</v>
      </c>
      <c r="V489" t="s">
        <v>166</v>
      </c>
    </row>
    <row r="490" spans="9:22" x14ac:dyDescent="0.45">
      <c r="I490" t="s">
        <v>181</v>
      </c>
      <c r="J490" t="s">
        <v>293</v>
      </c>
      <c r="K490">
        <v>0</v>
      </c>
      <c r="L490" t="s">
        <v>166</v>
      </c>
      <c r="N490" t="s">
        <v>205</v>
      </c>
      <c r="O490" t="s">
        <v>293</v>
      </c>
      <c r="P490">
        <v>2.225165952874205E-2</v>
      </c>
      <c r="Q490" t="s">
        <v>166</v>
      </c>
      <c r="S490" t="s">
        <v>222</v>
      </c>
      <c r="T490" t="s">
        <v>293</v>
      </c>
      <c r="U490">
        <v>3.0423220986784644E-2</v>
      </c>
      <c r="V490" t="s">
        <v>166</v>
      </c>
    </row>
    <row r="491" spans="9:22" x14ac:dyDescent="0.45">
      <c r="I491" t="s">
        <v>182</v>
      </c>
      <c r="J491" t="s">
        <v>165</v>
      </c>
      <c r="K491">
        <v>1.4377084982098193E-2</v>
      </c>
      <c r="L491" t="s">
        <v>166</v>
      </c>
      <c r="N491" t="s">
        <v>206</v>
      </c>
      <c r="O491" t="s">
        <v>165</v>
      </c>
      <c r="P491">
        <v>6.8018868675199753E-2</v>
      </c>
      <c r="Q491" t="s">
        <v>166</v>
      </c>
      <c r="S491" t="s">
        <v>223</v>
      </c>
      <c r="T491" t="s">
        <v>165</v>
      </c>
      <c r="U491">
        <v>0.12653146858498227</v>
      </c>
      <c r="V491" t="s">
        <v>166</v>
      </c>
    </row>
    <row r="492" spans="9:22" x14ac:dyDescent="0.45">
      <c r="I492" t="s">
        <v>182</v>
      </c>
      <c r="J492" t="s">
        <v>167</v>
      </c>
      <c r="K492">
        <v>2.4312022059924727E-2</v>
      </c>
      <c r="L492" t="s">
        <v>166</v>
      </c>
      <c r="N492" t="s">
        <v>206</v>
      </c>
      <c r="O492" t="s">
        <v>167</v>
      </c>
      <c r="P492">
        <v>4.6557553728434299E-3</v>
      </c>
      <c r="Q492" t="s">
        <v>166</v>
      </c>
      <c r="S492" t="s">
        <v>223</v>
      </c>
      <c r="T492" t="s">
        <v>167</v>
      </c>
      <c r="U492">
        <v>1.5949505947176264E-2</v>
      </c>
      <c r="V492" t="s">
        <v>166</v>
      </c>
    </row>
    <row r="493" spans="9:22" x14ac:dyDescent="0.45">
      <c r="I493" t="s">
        <v>182</v>
      </c>
      <c r="J493" t="s">
        <v>168</v>
      </c>
      <c r="K493">
        <v>0.26950635841755421</v>
      </c>
      <c r="L493" t="s">
        <v>166</v>
      </c>
      <c r="N493" t="s">
        <v>206</v>
      </c>
      <c r="O493" t="s">
        <v>168</v>
      </c>
      <c r="P493">
        <v>3.4102534877972178E-2</v>
      </c>
      <c r="Q493" t="s">
        <v>166</v>
      </c>
      <c r="S493" t="s">
        <v>223</v>
      </c>
      <c r="T493" t="s">
        <v>168</v>
      </c>
      <c r="U493">
        <v>0.10775879748352206</v>
      </c>
      <c r="V493" t="s">
        <v>166</v>
      </c>
    </row>
    <row r="494" spans="9:22" x14ac:dyDescent="0.45">
      <c r="I494" t="s">
        <v>182</v>
      </c>
      <c r="J494" t="s">
        <v>258</v>
      </c>
      <c r="K494">
        <v>3.1904426909790798E-2</v>
      </c>
      <c r="L494" t="s">
        <v>166</v>
      </c>
      <c r="N494" t="s">
        <v>206</v>
      </c>
      <c r="O494" t="s">
        <v>258</v>
      </c>
      <c r="P494">
        <v>6.5392190088742466E-3</v>
      </c>
      <c r="Q494" t="s">
        <v>166</v>
      </c>
      <c r="S494" t="s">
        <v>223</v>
      </c>
      <c r="T494" t="s">
        <v>258</v>
      </c>
      <c r="U494">
        <v>1.4947649915812718E-2</v>
      </c>
      <c r="V494" t="s">
        <v>166</v>
      </c>
    </row>
    <row r="495" spans="9:22" x14ac:dyDescent="0.45">
      <c r="I495" t="s">
        <v>182</v>
      </c>
      <c r="J495" t="s">
        <v>259</v>
      </c>
      <c r="K495">
        <v>4.0678747010869667E-2</v>
      </c>
      <c r="L495" t="s">
        <v>166</v>
      </c>
      <c r="N495" t="s">
        <v>206</v>
      </c>
      <c r="O495" t="s">
        <v>259</v>
      </c>
      <c r="P495">
        <v>1.8375584183966742E-2</v>
      </c>
      <c r="Q495" t="s">
        <v>166</v>
      </c>
      <c r="S495" t="s">
        <v>223</v>
      </c>
      <c r="T495" t="s">
        <v>259</v>
      </c>
      <c r="U495">
        <v>2.878599808685994E-2</v>
      </c>
      <c r="V495" t="s">
        <v>166</v>
      </c>
    </row>
    <row r="496" spans="9:22" x14ac:dyDescent="0.45">
      <c r="I496" t="s">
        <v>182</v>
      </c>
      <c r="J496" t="s">
        <v>260</v>
      </c>
      <c r="K496">
        <v>0</v>
      </c>
      <c r="L496" t="s">
        <v>166</v>
      </c>
      <c r="N496" t="s">
        <v>206</v>
      </c>
      <c r="O496" t="s">
        <v>260</v>
      </c>
      <c r="P496">
        <v>8.5963053646263804E-2</v>
      </c>
      <c r="Q496" t="s">
        <v>166</v>
      </c>
      <c r="S496" t="s">
        <v>223</v>
      </c>
      <c r="T496" t="s">
        <v>260</v>
      </c>
      <c r="U496">
        <v>8.1937267820213808E-2</v>
      </c>
      <c r="V496" t="s">
        <v>166</v>
      </c>
    </row>
    <row r="497" spans="9:22" x14ac:dyDescent="0.45">
      <c r="I497" t="s">
        <v>182</v>
      </c>
      <c r="J497" t="s">
        <v>346</v>
      </c>
      <c r="K497">
        <v>0</v>
      </c>
      <c r="L497" t="s">
        <v>166</v>
      </c>
      <c r="N497" t="s">
        <v>206</v>
      </c>
      <c r="O497" t="s">
        <v>346</v>
      </c>
      <c r="P497">
        <v>7.0325731092411804E-5</v>
      </c>
      <c r="Q497" t="s">
        <v>166</v>
      </c>
      <c r="S497" t="s">
        <v>223</v>
      </c>
      <c r="T497" t="s">
        <v>346</v>
      </c>
      <c r="U497">
        <v>2.574055438246936E-4</v>
      </c>
      <c r="V497" t="s">
        <v>166</v>
      </c>
    </row>
    <row r="498" spans="9:22" x14ac:dyDescent="0.45">
      <c r="I498" t="s">
        <v>182</v>
      </c>
      <c r="J498" t="s">
        <v>347</v>
      </c>
      <c r="K498">
        <v>0</v>
      </c>
      <c r="L498" t="s">
        <v>166</v>
      </c>
      <c r="N498" t="s">
        <v>206</v>
      </c>
      <c r="O498" t="s">
        <v>347</v>
      </c>
      <c r="P498">
        <v>7.5034447637204512E-5</v>
      </c>
      <c r="Q498" t="s">
        <v>166</v>
      </c>
      <c r="S498" t="s">
        <v>223</v>
      </c>
      <c r="T498" t="s">
        <v>347</v>
      </c>
      <c r="U498">
        <v>2.5864008440624136E-4</v>
      </c>
      <c r="V498" t="s">
        <v>166</v>
      </c>
    </row>
    <row r="499" spans="9:22" x14ac:dyDescent="0.45">
      <c r="I499" t="s">
        <v>182</v>
      </c>
      <c r="J499" t="s">
        <v>348</v>
      </c>
      <c r="K499">
        <v>0</v>
      </c>
      <c r="L499" t="s">
        <v>166</v>
      </c>
      <c r="N499" t="s">
        <v>206</v>
      </c>
      <c r="O499" t="s">
        <v>348</v>
      </c>
      <c r="P499">
        <v>7.8083450792275298E-5</v>
      </c>
      <c r="Q499" t="s">
        <v>166</v>
      </c>
      <c r="S499" t="s">
        <v>223</v>
      </c>
      <c r="T499" t="s">
        <v>348</v>
      </c>
      <c r="U499">
        <v>2.5868439855937151E-4</v>
      </c>
      <c r="V499" t="s">
        <v>166</v>
      </c>
    </row>
    <row r="500" spans="9:22" x14ac:dyDescent="0.45">
      <c r="I500" t="s">
        <v>182</v>
      </c>
      <c r="J500" t="s">
        <v>349</v>
      </c>
      <c r="K500">
        <v>0</v>
      </c>
      <c r="L500" t="s">
        <v>166</v>
      </c>
      <c r="N500" t="s">
        <v>206</v>
      </c>
      <c r="O500" t="s">
        <v>349</v>
      </c>
      <c r="P500">
        <v>6.752400164400977E-5</v>
      </c>
      <c r="Q500" t="s">
        <v>166</v>
      </c>
      <c r="S500" t="s">
        <v>223</v>
      </c>
      <c r="T500" t="s">
        <v>349</v>
      </c>
      <c r="U500">
        <v>2.5883512701143946E-4</v>
      </c>
      <c r="V500" t="s">
        <v>166</v>
      </c>
    </row>
    <row r="501" spans="9:22" x14ac:dyDescent="0.45">
      <c r="I501" t="s">
        <v>182</v>
      </c>
      <c r="J501" t="s">
        <v>350</v>
      </c>
      <c r="K501">
        <v>0</v>
      </c>
      <c r="L501" t="s">
        <v>166</v>
      </c>
      <c r="N501" t="s">
        <v>206</v>
      </c>
      <c r="O501" t="s">
        <v>350</v>
      </c>
      <c r="P501">
        <v>5.6854168264745746E-5</v>
      </c>
      <c r="Q501" t="s">
        <v>166</v>
      </c>
      <c r="S501" t="s">
        <v>223</v>
      </c>
      <c r="T501" t="s">
        <v>350</v>
      </c>
      <c r="U501">
        <v>2.5580012649054182E-4</v>
      </c>
      <c r="V501" t="s">
        <v>166</v>
      </c>
    </row>
    <row r="502" spans="9:22" x14ac:dyDescent="0.45">
      <c r="I502" t="s">
        <v>182</v>
      </c>
      <c r="J502" t="s">
        <v>351</v>
      </c>
      <c r="K502">
        <v>0</v>
      </c>
      <c r="L502" t="s">
        <v>166</v>
      </c>
      <c r="N502" t="s">
        <v>206</v>
      </c>
      <c r="O502" t="s">
        <v>351</v>
      </c>
      <c r="P502">
        <v>4.6984606800864861E-5</v>
      </c>
      <c r="Q502" t="s">
        <v>166</v>
      </c>
      <c r="S502" t="s">
        <v>223</v>
      </c>
      <c r="T502" t="s">
        <v>351</v>
      </c>
      <c r="U502">
        <v>2.5235905510661986E-4</v>
      </c>
      <c r="V502" t="s">
        <v>166</v>
      </c>
    </row>
    <row r="503" spans="9:22" x14ac:dyDescent="0.45">
      <c r="I503" t="s">
        <v>182</v>
      </c>
      <c r="J503" t="s">
        <v>352</v>
      </c>
      <c r="K503">
        <v>0</v>
      </c>
      <c r="L503" t="s">
        <v>166</v>
      </c>
      <c r="N503" t="s">
        <v>206</v>
      </c>
      <c r="O503" t="s">
        <v>352</v>
      </c>
      <c r="P503">
        <v>4.9128852431072799E-5</v>
      </c>
      <c r="Q503" t="s">
        <v>166</v>
      </c>
      <c r="S503" t="s">
        <v>223</v>
      </c>
      <c r="T503" t="s">
        <v>352</v>
      </c>
      <c r="U503">
        <v>2.5003228564367442E-4</v>
      </c>
      <c r="V503" t="s">
        <v>166</v>
      </c>
    </row>
    <row r="504" spans="9:22" x14ac:dyDescent="0.45">
      <c r="I504" t="s">
        <v>182</v>
      </c>
      <c r="J504" t="s">
        <v>353</v>
      </c>
      <c r="K504">
        <v>1.2083530345223104E-4</v>
      </c>
      <c r="L504" t="s">
        <v>166</v>
      </c>
      <c r="N504" t="s">
        <v>206</v>
      </c>
      <c r="O504" t="s">
        <v>353</v>
      </c>
      <c r="P504">
        <v>4.6552114097437401E-5</v>
      </c>
      <c r="Q504" t="s">
        <v>166</v>
      </c>
      <c r="S504" t="s">
        <v>223</v>
      </c>
      <c r="T504" t="s">
        <v>353</v>
      </c>
      <c r="U504">
        <v>2.4604768519290312E-4</v>
      </c>
      <c r="V504" t="s">
        <v>166</v>
      </c>
    </row>
    <row r="505" spans="9:22" x14ac:dyDescent="0.45">
      <c r="I505" t="s">
        <v>182</v>
      </c>
      <c r="J505" t="s">
        <v>354</v>
      </c>
      <c r="K505">
        <v>1.8493295509790738E-4</v>
      </c>
      <c r="L505" t="s">
        <v>166</v>
      </c>
      <c r="N505" t="s">
        <v>206</v>
      </c>
      <c r="O505" t="s">
        <v>354</v>
      </c>
      <c r="P505">
        <v>5.8119758362533216E-5</v>
      </c>
      <c r="Q505" t="s">
        <v>166</v>
      </c>
      <c r="S505" t="s">
        <v>223</v>
      </c>
      <c r="T505" t="s">
        <v>354</v>
      </c>
      <c r="U505">
        <v>2.4464522103864668E-4</v>
      </c>
      <c r="V505" t="s">
        <v>166</v>
      </c>
    </row>
    <row r="506" spans="9:22" x14ac:dyDescent="0.45">
      <c r="I506" t="s">
        <v>182</v>
      </c>
      <c r="J506" t="s">
        <v>355</v>
      </c>
      <c r="K506">
        <v>2.2985093177418318E-4</v>
      </c>
      <c r="L506" t="s">
        <v>166</v>
      </c>
      <c r="N506" t="s">
        <v>206</v>
      </c>
      <c r="O506" t="s">
        <v>355</v>
      </c>
      <c r="P506">
        <v>3.4501342876970903E-5</v>
      </c>
      <c r="Q506" t="s">
        <v>166</v>
      </c>
      <c r="S506" t="s">
        <v>223</v>
      </c>
      <c r="T506" t="s">
        <v>355</v>
      </c>
      <c r="U506">
        <v>2.4518048586575584E-4</v>
      </c>
      <c r="V506" t="s">
        <v>166</v>
      </c>
    </row>
    <row r="507" spans="9:22" x14ac:dyDescent="0.45">
      <c r="I507" t="s">
        <v>182</v>
      </c>
      <c r="J507" t="s">
        <v>356</v>
      </c>
      <c r="K507">
        <v>3.0110377810939131E-4</v>
      </c>
      <c r="L507" t="s">
        <v>166</v>
      </c>
      <c r="N507" t="s">
        <v>206</v>
      </c>
      <c r="O507" t="s">
        <v>356</v>
      </c>
      <c r="P507">
        <v>9.5314178013639679E-6</v>
      </c>
      <c r="Q507" t="s">
        <v>166</v>
      </c>
      <c r="S507" t="s">
        <v>223</v>
      </c>
      <c r="T507" t="s">
        <v>356</v>
      </c>
      <c r="U507">
        <v>2.4200485033693862E-4</v>
      </c>
      <c r="V507" t="s">
        <v>166</v>
      </c>
    </row>
    <row r="508" spans="9:22" x14ac:dyDescent="0.45">
      <c r="I508" t="s">
        <v>182</v>
      </c>
      <c r="J508" t="s">
        <v>357</v>
      </c>
      <c r="K508">
        <v>3.4563436534489669E-4</v>
      </c>
      <c r="L508" t="s">
        <v>166</v>
      </c>
      <c r="N508" t="s">
        <v>206</v>
      </c>
      <c r="O508" t="s">
        <v>357</v>
      </c>
      <c r="P508">
        <v>1.4554443716730873E-6</v>
      </c>
      <c r="Q508" t="s">
        <v>166</v>
      </c>
      <c r="S508" t="s">
        <v>223</v>
      </c>
      <c r="T508" t="s">
        <v>357</v>
      </c>
      <c r="U508">
        <v>2.4082983404871434E-4</v>
      </c>
      <c r="V508" t="s">
        <v>166</v>
      </c>
    </row>
    <row r="509" spans="9:22" x14ac:dyDescent="0.45">
      <c r="I509" t="s">
        <v>182</v>
      </c>
      <c r="J509" t="s">
        <v>358</v>
      </c>
      <c r="K509">
        <v>3.502072255683999E-4</v>
      </c>
      <c r="L509" t="s">
        <v>166</v>
      </c>
      <c r="N509" t="s">
        <v>206</v>
      </c>
      <c r="O509" t="s">
        <v>358</v>
      </c>
      <c r="P509">
        <v>3.0051862428600833E-7</v>
      </c>
      <c r="Q509" t="s">
        <v>166</v>
      </c>
      <c r="S509" t="s">
        <v>223</v>
      </c>
      <c r="T509" t="s">
        <v>358</v>
      </c>
      <c r="U509">
        <v>2.3904587518823613E-4</v>
      </c>
      <c r="V509" t="s">
        <v>166</v>
      </c>
    </row>
    <row r="510" spans="9:22" x14ac:dyDescent="0.45">
      <c r="I510" t="s">
        <v>182</v>
      </c>
      <c r="J510" t="s">
        <v>359</v>
      </c>
      <c r="K510">
        <v>3.4943808485130614E-4</v>
      </c>
      <c r="L510" t="s">
        <v>166</v>
      </c>
      <c r="N510" t="s">
        <v>206</v>
      </c>
      <c r="O510" t="s">
        <v>359</v>
      </c>
      <c r="P510">
        <v>2.757134559722356E-7</v>
      </c>
      <c r="Q510" t="s">
        <v>166</v>
      </c>
      <c r="S510" t="s">
        <v>223</v>
      </c>
      <c r="T510" t="s">
        <v>359</v>
      </c>
      <c r="U510">
        <v>2.4047023152386627E-4</v>
      </c>
      <c r="V510" t="s">
        <v>166</v>
      </c>
    </row>
    <row r="511" spans="9:22" x14ac:dyDescent="0.45">
      <c r="I511" t="s">
        <v>182</v>
      </c>
      <c r="J511" t="s">
        <v>360</v>
      </c>
      <c r="K511">
        <v>3.0556442245304458E-4</v>
      </c>
      <c r="L511" t="s">
        <v>166</v>
      </c>
      <c r="N511" t="s">
        <v>206</v>
      </c>
      <c r="O511" t="s">
        <v>360</v>
      </c>
      <c r="P511">
        <v>5.5787809816365772E-7</v>
      </c>
      <c r="Q511" t="s">
        <v>166</v>
      </c>
      <c r="S511" t="s">
        <v>223</v>
      </c>
      <c r="T511" t="s">
        <v>360</v>
      </c>
      <c r="U511">
        <v>2.3943538144808254E-4</v>
      </c>
      <c r="V511" t="s">
        <v>166</v>
      </c>
    </row>
    <row r="512" spans="9:22" x14ac:dyDescent="0.45">
      <c r="I512" t="s">
        <v>182</v>
      </c>
      <c r="J512" t="s">
        <v>361</v>
      </c>
      <c r="K512">
        <v>3.1161717965853526E-4</v>
      </c>
      <c r="L512" t="s">
        <v>166</v>
      </c>
      <c r="N512" t="s">
        <v>206</v>
      </c>
      <c r="O512" t="s">
        <v>361</v>
      </c>
      <c r="P512">
        <v>4.5518145782884558E-7</v>
      </c>
      <c r="Q512" t="s">
        <v>166</v>
      </c>
      <c r="S512" t="s">
        <v>223</v>
      </c>
      <c r="T512" t="s">
        <v>361</v>
      </c>
      <c r="U512">
        <v>2.4211668348785075E-4</v>
      </c>
      <c r="V512" t="s">
        <v>166</v>
      </c>
    </row>
    <row r="513" spans="9:22" x14ac:dyDescent="0.45">
      <c r="I513" t="s">
        <v>182</v>
      </c>
      <c r="J513" t="s">
        <v>362</v>
      </c>
      <c r="K513">
        <v>3.0123424612320645E-4</v>
      </c>
      <c r="L513" t="s">
        <v>166</v>
      </c>
      <c r="N513" t="s">
        <v>206</v>
      </c>
      <c r="O513" t="s">
        <v>362</v>
      </c>
      <c r="P513">
        <v>3.8887753786631916E-8</v>
      </c>
      <c r="Q513" t="s">
        <v>166</v>
      </c>
      <c r="S513" t="s">
        <v>223</v>
      </c>
      <c r="T513" t="s">
        <v>362</v>
      </c>
      <c r="U513">
        <v>2.4527286633890702E-4</v>
      </c>
      <c r="V513" t="s">
        <v>166</v>
      </c>
    </row>
    <row r="514" spans="9:22" x14ac:dyDescent="0.45">
      <c r="I514" t="s">
        <v>182</v>
      </c>
      <c r="J514" t="s">
        <v>363</v>
      </c>
      <c r="K514">
        <v>2.1561427172417724E-4</v>
      </c>
      <c r="L514" t="s">
        <v>166</v>
      </c>
      <c r="N514" t="s">
        <v>206</v>
      </c>
      <c r="O514" t="s">
        <v>363</v>
      </c>
      <c r="P514">
        <v>1.5085325650667745E-6</v>
      </c>
      <c r="Q514" t="s">
        <v>166</v>
      </c>
      <c r="S514" t="s">
        <v>223</v>
      </c>
      <c r="T514" t="s">
        <v>363</v>
      </c>
      <c r="U514">
        <v>2.1633951884715276E-4</v>
      </c>
      <c r="V514" t="s">
        <v>166</v>
      </c>
    </row>
    <row r="515" spans="9:22" x14ac:dyDescent="0.45">
      <c r="I515" t="s">
        <v>182</v>
      </c>
      <c r="J515" t="s">
        <v>364</v>
      </c>
      <c r="K515">
        <v>1.1428958355164229E-4</v>
      </c>
      <c r="L515" t="s">
        <v>166</v>
      </c>
      <c r="N515" t="s">
        <v>206</v>
      </c>
      <c r="O515" t="s">
        <v>364</v>
      </c>
      <c r="P515">
        <v>7.7946909910850905E-6</v>
      </c>
      <c r="Q515" t="s">
        <v>166</v>
      </c>
      <c r="S515" t="s">
        <v>223</v>
      </c>
      <c r="T515" t="s">
        <v>364</v>
      </c>
      <c r="U515">
        <v>2.1312036602779682E-4</v>
      </c>
      <c r="V515" t="s">
        <v>166</v>
      </c>
    </row>
    <row r="516" spans="9:22" x14ac:dyDescent="0.45">
      <c r="I516" t="s">
        <v>182</v>
      </c>
      <c r="J516" t="s">
        <v>365</v>
      </c>
      <c r="K516">
        <v>0</v>
      </c>
      <c r="L516" t="s">
        <v>166</v>
      </c>
      <c r="N516" t="s">
        <v>206</v>
      </c>
      <c r="O516" t="s">
        <v>365</v>
      </c>
      <c r="P516">
        <v>7.3806395263392618E-5</v>
      </c>
      <c r="Q516" t="s">
        <v>166</v>
      </c>
      <c r="S516" t="s">
        <v>223</v>
      </c>
      <c r="T516" t="s">
        <v>365</v>
      </c>
      <c r="U516">
        <v>2.0527242518056724E-4</v>
      </c>
      <c r="V516" t="s">
        <v>166</v>
      </c>
    </row>
    <row r="517" spans="9:22" x14ac:dyDescent="0.45">
      <c r="I517" t="s">
        <v>182</v>
      </c>
      <c r="J517" t="s">
        <v>366</v>
      </c>
      <c r="K517">
        <v>0</v>
      </c>
      <c r="L517" t="s">
        <v>166</v>
      </c>
      <c r="N517" t="s">
        <v>206</v>
      </c>
      <c r="O517" t="s">
        <v>366</v>
      </c>
      <c r="P517">
        <v>1.3895302317958429E-4</v>
      </c>
      <c r="Q517" t="s">
        <v>166</v>
      </c>
      <c r="S517" t="s">
        <v>223</v>
      </c>
      <c r="T517" t="s">
        <v>366</v>
      </c>
      <c r="U517">
        <v>2.1178503821434397E-4</v>
      </c>
      <c r="V517" t="s">
        <v>166</v>
      </c>
    </row>
    <row r="518" spans="9:22" x14ac:dyDescent="0.45">
      <c r="I518" t="s">
        <v>182</v>
      </c>
      <c r="J518" t="s">
        <v>367</v>
      </c>
      <c r="K518">
        <v>0</v>
      </c>
      <c r="L518" t="s">
        <v>166</v>
      </c>
      <c r="N518" t="s">
        <v>206</v>
      </c>
      <c r="O518" t="s">
        <v>367</v>
      </c>
      <c r="P518">
        <v>1.5184977991793128E-4</v>
      </c>
      <c r="Q518" t="s">
        <v>166</v>
      </c>
      <c r="S518" t="s">
        <v>223</v>
      </c>
      <c r="T518" t="s">
        <v>367</v>
      </c>
      <c r="U518">
        <v>2.1630396355073363E-4</v>
      </c>
      <c r="V518" t="s">
        <v>166</v>
      </c>
    </row>
    <row r="519" spans="9:22" x14ac:dyDescent="0.45">
      <c r="I519" t="s">
        <v>182</v>
      </c>
      <c r="J519" t="s">
        <v>368</v>
      </c>
      <c r="K519">
        <v>0</v>
      </c>
      <c r="L519" t="s">
        <v>166</v>
      </c>
      <c r="N519" t="s">
        <v>206</v>
      </c>
      <c r="O519" t="s">
        <v>368</v>
      </c>
      <c r="P519">
        <v>1.3766842243273042E-4</v>
      </c>
      <c r="Q519" t="s">
        <v>166</v>
      </c>
      <c r="S519" t="s">
        <v>223</v>
      </c>
      <c r="T519" t="s">
        <v>368</v>
      </c>
      <c r="U519">
        <v>2.1331019669424379E-4</v>
      </c>
      <c r="V519" t="s">
        <v>166</v>
      </c>
    </row>
    <row r="520" spans="9:22" x14ac:dyDescent="0.45">
      <c r="I520" t="s">
        <v>182</v>
      </c>
      <c r="J520" t="s">
        <v>369</v>
      </c>
      <c r="K520">
        <v>0</v>
      </c>
      <c r="L520" t="s">
        <v>166</v>
      </c>
      <c r="N520" t="s">
        <v>206</v>
      </c>
      <c r="O520" t="s">
        <v>369</v>
      </c>
      <c r="P520">
        <v>1.0462112612671268E-4</v>
      </c>
      <c r="Q520" t="s">
        <v>166</v>
      </c>
      <c r="S520" t="s">
        <v>223</v>
      </c>
      <c r="T520" t="s">
        <v>369</v>
      </c>
      <c r="U520">
        <v>2.048234644777611E-4</v>
      </c>
      <c r="V520" t="s">
        <v>166</v>
      </c>
    </row>
    <row r="521" spans="9:22" x14ac:dyDescent="0.45">
      <c r="I521" t="s">
        <v>182</v>
      </c>
      <c r="J521" t="s">
        <v>370</v>
      </c>
      <c r="K521">
        <v>0</v>
      </c>
      <c r="L521" t="s">
        <v>166</v>
      </c>
      <c r="N521" t="s">
        <v>206</v>
      </c>
      <c r="O521" t="s">
        <v>370</v>
      </c>
      <c r="P521">
        <v>1.5299399804732553E-4</v>
      </c>
      <c r="Q521" t="s">
        <v>166</v>
      </c>
      <c r="S521" t="s">
        <v>223</v>
      </c>
      <c r="T521" t="s">
        <v>370</v>
      </c>
      <c r="U521">
        <v>1.4695564649424599E-4</v>
      </c>
      <c r="V521" t="s">
        <v>166</v>
      </c>
    </row>
    <row r="522" spans="9:22" x14ac:dyDescent="0.45">
      <c r="I522" t="s">
        <v>182</v>
      </c>
      <c r="J522" t="s">
        <v>371</v>
      </c>
      <c r="K522">
        <v>0</v>
      </c>
      <c r="L522" t="s">
        <v>166</v>
      </c>
      <c r="N522" t="s">
        <v>206</v>
      </c>
      <c r="O522" t="s">
        <v>371</v>
      </c>
      <c r="P522">
        <v>1.4659072310114758E-4</v>
      </c>
      <c r="Q522" t="s">
        <v>166</v>
      </c>
      <c r="S522" t="s">
        <v>223</v>
      </c>
      <c r="T522" t="s">
        <v>371</v>
      </c>
      <c r="U522">
        <v>1.3921901690625889E-4</v>
      </c>
      <c r="V522" t="s">
        <v>166</v>
      </c>
    </row>
    <row r="523" spans="9:22" x14ac:dyDescent="0.45">
      <c r="I523" t="s">
        <v>182</v>
      </c>
      <c r="J523" t="s">
        <v>372</v>
      </c>
      <c r="K523">
        <v>0</v>
      </c>
      <c r="L523" t="s">
        <v>166</v>
      </c>
      <c r="N523" t="s">
        <v>206</v>
      </c>
      <c r="O523" t="s">
        <v>372</v>
      </c>
      <c r="P523">
        <v>1.5096902726924007E-4</v>
      </c>
      <c r="Q523" t="s">
        <v>166</v>
      </c>
      <c r="S523" t="s">
        <v>223</v>
      </c>
      <c r="T523" t="s">
        <v>372</v>
      </c>
      <c r="U523">
        <v>1.4534717604371502E-4</v>
      </c>
      <c r="V523" t="s">
        <v>166</v>
      </c>
    </row>
    <row r="524" spans="9:22" x14ac:dyDescent="0.45">
      <c r="I524" t="s">
        <v>182</v>
      </c>
      <c r="J524" t="s">
        <v>373</v>
      </c>
      <c r="K524">
        <v>0</v>
      </c>
      <c r="L524" t="s">
        <v>166</v>
      </c>
      <c r="N524" t="s">
        <v>206</v>
      </c>
      <c r="O524" t="s">
        <v>373</v>
      </c>
      <c r="P524">
        <v>1.1760709647737924E-4</v>
      </c>
      <c r="Q524" t="s">
        <v>166</v>
      </c>
      <c r="S524" t="s">
        <v>223</v>
      </c>
      <c r="T524" t="s">
        <v>373</v>
      </c>
      <c r="U524">
        <v>1.5564704002144947E-4</v>
      </c>
      <c r="V524" t="s">
        <v>166</v>
      </c>
    </row>
    <row r="525" spans="9:22" x14ac:dyDescent="0.45">
      <c r="I525" t="s">
        <v>182</v>
      </c>
      <c r="J525" t="s">
        <v>374</v>
      </c>
      <c r="K525">
        <v>0</v>
      </c>
      <c r="L525" t="s">
        <v>166</v>
      </c>
      <c r="N525" t="s">
        <v>206</v>
      </c>
      <c r="O525" t="s">
        <v>374</v>
      </c>
      <c r="P525">
        <v>6.7191221595720114E-5</v>
      </c>
      <c r="Q525" t="s">
        <v>166</v>
      </c>
      <c r="S525" t="s">
        <v>223</v>
      </c>
      <c r="T525" t="s">
        <v>374</v>
      </c>
      <c r="U525">
        <v>1.6628277549319919E-4</v>
      </c>
      <c r="V525" t="s">
        <v>166</v>
      </c>
    </row>
    <row r="526" spans="9:22" x14ac:dyDescent="0.45">
      <c r="I526" t="s">
        <v>182</v>
      </c>
      <c r="J526" t="s">
        <v>375</v>
      </c>
      <c r="K526">
        <v>0</v>
      </c>
      <c r="L526" t="s">
        <v>166</v>
      </c>
      <c r="N526" t="s">
        <v>206</v>
      </c>
      <c r="O526" t="s">
        <v>375</v>
      </c>
      <c r="P526">
        <v>2.4854827076756559E-5</v>
      </c>
      <c r="Q526" t="s">
        <v>166</v>
      </c>
      <c r="S526" t="s">
        <v>223</v>
      </c>
      <c r="T526" t="s">
        <v>375</v>
      </c>
      <c r="U526">
        <v>1.506917071918992E-4</v>
      </c>
      <c r="V526" t="s">
        <v>166</v>
      </c>
    </row>
    <row r="527" spans="9:22" x14ac:dyDescent="0.45">
      <c r="I527" t="s">
        <v>182</v>
      </c>
      <c r="J527" t="s">
        <v>376</v>
      </c>
      <c r="K527">
        <v>0</v>
      </c>
      <c r="L527" t="s">
        <v>166</v>
      </c>
      <c r="N527" t="s">
        <v>206</v>
      </c>
      <c r="O527" t="s">
        <v>376</v>
      </c>
      <c r="P527">
        <v>9.9191254442732257E-6</v>
      </c>
      <c r="Q527" t="s">
        <v>166</v>
      </c>
      <c r="S527" t="s">
        <v>223</v>
      </c>
      <c r="T527" t="s">
        <v>376</v>
      </c>
      <c r="U527">
        <v>1.5434407775066371E-4</v>
      </c>
      <c r="V527" t="s">
        <v>166</v>
      </c>
    </row>
    <row r="528" spans="9:22" x14ac:dyDescent="0.45">
      <c r="I528" t="s">
        <v>182</v>
      </c>
      <c r="J528" t="s">
        <v>377</v>
      </c>
      <c r="K528">
        <v>1.3968267928376988E-4</v>
      </c>
      <c r="L528" t="s">
        <v>166</v>
      </c>
      <c r="N528" t="s">
        <v>206</v>
      </c>
      <c r="O528" t="s">
        <v>377</v>
      </c>
      <c r="P528">
        <v>1.3149607377502112E-6</v>
      </c>
      <c r="Q528" t="s">
        <v>166</v>
      </c>
      <c r="S528" t="s">
        <v>223</v>
      </c>
      <c r="T528" t="s">
        <v>377</v>
      </c>
      <c r="U528">
        <v>1.7871848761138602E-4</v>
      </c>
      <c r="V528" t="s">
        <v>166</v>
      </c>
    </row>
    <row r="529" spans="9:22" x14ac:dyDescent="0.45">
      <c r="I529" t="s">
        <v>182</v>
      </c>
      <c r="J529" t="s">
        <v>378</v>
      </c>
      <c r="K529">
        <v>2.2930531620495994E-4</v>
      </c>
      <c r="L529" t="s">
        <v>166</v>
      </c>
      <c r="N529" t="s">
        <v>206</v>
      </c>
      <c r="O529" t="s">
        <v>378</v>
      </c>
      <c r="P529">
        <v>2.3043965388099938E-5</v>
      </c>
      <c r="Q529" t="s">
        <v>166</v>
      </c>
      <c r="S529" t="s">
        <v>223</v>
      </c>
      <c r="T529" t="s">
        <v>378</v>
      </c>
      <c r="U529">
        <v>2.00124925140884E-4</v>
      </c>
      <c r="V529" t="s">
        <v>166</v>
      </c>
    </row>
    <row r="530" spans="9:22" x14ac:dyDescent="0.45">
      <c r="I530" t="s">
        <v>182</v>
      </c>
      <c r="J530" t="s">
        <v>379</v>
      </c>
      <c r="K530">
        <v>3.0698360813163927E-4</v>
      </c>
      <c r="L530" t="s">
        <v>166</v>
      </c>
      <c r="N530" t="s">
        <v>206</v>
      </c>
      <c r="O530" t="s">
        <v>379</v>
      </c>
      <c r="P530">
        <v>6.0366475479069486E-5</v>
      </c>
      <c r="Q530" t="s">
        <v>166</v>
      </c>
      <c r="S530" t="s">
        <v>223</v>
      </c>
      <c r="T530" t="s">
        <v>379</v>
      </c>
      <c r="U530">
        <v>2.0251214258325151E-4</v>
      </c>
      <c r="V530" t="s">
        <v>166</v>
      </c>
    </row>
    <row r="531" spans="9:22" x14ac:dyDescent="0.45">
      <c r="I531" t="s">
        <v>182</v>
      </c>
      <c r="J531" t="s">
        <v>380</v>
      </c>
      <c r="K531">
        <v>3.4166251744549591E-4</v>
      </c>
      <c r="L531" t="s">
        <v>166</v>
      </c>
      <c r="N531" t="s">
        <v>206</v>
      </c>
      <c r="O531" t="s">
        <v>380</v>
      </c>
      <c r="P531">
        <v>4.1529206352977405E-5</v>
      </c>
      <c r="Q531" t="s">
        <v>166</v>
      </c>
      <c r="S531" t="s">
        <v>223</v>
      </c>
      <c r="T531" t="s">
        <v>380</v>
      </c>
      <c r="U531">
        <v>2.0098490776207783E-4</v>
      </c>
      <c r="V531" t="s">
        <v>166</v>
      </c>
    </row>
    <row r="532" spans="9:22" x14ac:dyDescent="0.45">
      <c r="I532" t="s">
        <v>182</v>
      </c>
      <c r="J532" t="s">
        <v>381</v>
      </c>
      <c r="K532">
        <v>3.7929899333423824E-4</v>
      </c>
      <c r="L532" t="s">
        <v>166</v>
      </c>
      <c r="N532" t="s">
        <v>206</v>
      </c>
      <c r="O532" t="s">
        <v>381</v>
      </c>
      <c r="P532">
        <v>2.2520077852098674E-5</v>
      </c>
      <c r="Q532" t="s">
        <v>166</v>
      </c>
      <c r="S532" t="s">
        <v>223</v>
      </c>
      <c r="T532" t="s">
        <v>381</v>
      </c>
      <c r="U532">
        <v>1.9679111308580977E-4</v>
      </c>
      <c r="V532" t="s">
        <v>166</v>
      </c>
    </row>
    <row r="533" spans="9:22" x14ac:dyDescent="0.45">
      <c r="I533" t="s">
        <v>182</v>
      </c>
      <c r="J533" t="s">
        <v>382</v>
      </c>
      <c r="K533">
        <v>3.987903064325834E-4</v>
      </c>
      <c r="L533" t="s">
        <v>166</v>
      </c>
      <c r="N533" t="s">
        <v>206</v>
      </c>
      <c r="O533" t="s">
        <v>382</v>
      </c>
      <c r="P533">
        <v>3.4307919117228912E-6</v>
      </c>
      <c r="Q533" t="s">
        <v>166</v>
      </c>
      <c r="S533" t="s">
        <v>223</v>
      </c>
      <c r="T533" t="s">
        <v>382</v>
      </c>
      <c r="U533">
        <v>2.0855964525056368E-4</v>
      </c>
      <c r="V533" t="s">
        <v>166</v>
      </c>
    </row>
    <row r="534" spans="9:22" x14ac:dyDescent="0.45">
      <c r="I534" t="s">
        <v>182</v>
      </c>
      <c r="J534" t="s">
        <v>383</v>
      </c>
      <c r="K534">
        <v>3.9208131803877583E-4</v>
      </c>
      <c r="L534" t="s">
        <v>166</v>
      </c>
      <c r="N534" t="s">
        <v>206</v>
      </c>
      <c r="O534" t="s">
        <v>383</v>
      </c>
      <c r="P534">
        <v>3.100752151440183E-7</v>
      </c>
      <c r="Q534" t="s">
        <v>166</v>
      </c>
      <c r="S534" t="s">
        <v>223</v>
      </c>
      <c r="T534" t="s">
        <v>383</v>
      </c>
      <c r="U534">
        <v>2.1333113263944392E-4</v>
      </c>
      <c r="V534" t="s">
        <v>166</v>
      </c>
    </row>
    <row r="535" spans="9:22" x14ac:dyDescent="0.45">
      <c r="I535" t="s">
        <v>182</v>
      </c>
      <c r="J535" t="s">
        <v>384</v>
      </c>
      <c r="K535">
        <v>3.8162090668275854E-4</v>
      </c>
      <c r="L535" t="s">
        <v>166</v>
      </c>
      <c r="N535" t="s">
        <v>206</v>
      </c>
      <c r="O535" t="s">
        <v>384</v>
      </c>
      <c r="P535">
        <v>2.0663770443062092E-7</v>
      </c>
      <c r="Q535" t="s">
        <v>166</v>
      </c>
      <c r="S535" t="s">
        <v>223</v>
      </c>
      <c r="T535" t="s">
        <v>384</v>
      </c>
      <c r="U535">
        <v>2.1016924034905727E-4</v>
      </c>
      <c r="V535" t="s">
        <v>166</v>
      </c>
    </row>
    <row r="536" spans="9:22" x14ac:dyDescent="0.45">
      <c r="I536" t="s">
        <v>182</v>
      </c>
      <c r="J536" t="s">
        <v>385</v>
      </c>
      <c r="K536">
        <v>3.7689367282648696E-4</v>
      </c>
      <c r="L536" t="s">
        <v>166</v>
      </c>
      <c r="N536" t="s">
        <v>206</v>
      </c>
      <c r="O536" t="s">
        <v>385</v>
      </c>
      <c r="P536">
        <v>1.2378166274085536E-7</v>
      </c>
      <c r="Q536" t="s">
        <v>166</v>
      </c>
      <c r="S536" t="s">
        <v>223</v>
      </c>
      <c r="T536" t="s">
        <v>385</v>
      </c>
      <c r="U536">
        <v>2.0138654930187993E-4</v>
      </c>
      <c r="V536" t="s">
        <v>166</v>
      </c>
    </row>
    <row r="537" spans="9:22" x14ac:dyDescent="0.45">
      <c r="I537" t="s">
        <v>182</v>
      </c>
      <c r="J537" t="s">
        <v>386</v>
      </c>
      <c r="K537">
        <v>3.336019798414707E-4</v>
      </c>
      <c r="L537" t="s">
        <v>166</v>
      </c>
      <c r="N537" t="s">
        <v>206</v>
      </c>
      <c r="O537" t="s">
        <v>386</v>
      </c>
      <c r="P537">
        <v>1.2350043373456635E-6</v>
      </c>
      <c r="Q537" t="s">
        <v>166</v>
      </c>
      <c r="S537" t="s">
        <v>223</v>
      </c>
      <c r="T537" t="s">
        <v>386</v>
      </c>
      <c r="U537">
        <v>2.1004048239450977E-4</v>
      </c>
      <c r="V537" t="s">
        <v>166</v>
      </c>
    </row>
    <row r="538" spans="9:22" x14ac:dyDescent="0.45">
      <c r="I538" t="s">
        <v>182</v>
      </c>
      <c r="J538" t="s">
        <v>387</v>
      </c>
      <c r="K538">
        <v>2.8102698747399388E-4</v>
      </c>
      <c r="L538" t="s">
        <v>166</v>
      </c>
      <c r="N538" t="s">
        <v>206</v>
      </c>
      <c r="O538" t="s">
        <v>387</v>
      </c>
      <c r="P538">
        <v>4.9255730810339092E-6</v>
      </c>
      <c r="Q538" t="s">
        <v>166</v>
      </c>
      <c r="S538" t="s">
        <v>223</v>
      </c>
      <c r="T538" t="s">
        <v>387</v>
      </c>
      <c r="U538">
        <v>1.7554682854209724E-4</v>
      </c>
      <c r="V538" t="s">
        <v>166</v>
      </c>
    </row>
    <row r="539" spans="9:22" x14ac:dyDescent="0.45">
      <c r="I539" t="s">
        <v>182</v>
      </c>
      <c r="J539" t="s">
        <v>388</v>
      </c>
      <c r="K539">
        <v>1.9340916564632426E-4</v>
      </c>
      <c r="L539" t="s">
        <v>166</v>
      </c>
      <c r="N539" t="s">
        <v>206</v>
      </c>
      <c r="O539" t="s">
        <v>388</v>
      </c>
      <c r="P539">
        <v>4.8545183068544146E-5</v>
      </c>
      <c r="Q539" t="s">
        <v>166</v>
      </c>
      <c r="S539" t="s">
        <v>223</v>
      </c>
      <c r="T539" t="s">
        <v>388</v>
      </c>
      <c r="U539">
        <v>1.8742969072573743E-4</v>
      </c>
      <c r="V539" t="s">
        <v>166</v>
      </c>
    </row>
    <row r="540" spans="9:22" x14ac:dyDescent="0.45">
      <c r="I540" t="s">
        <v>182</v>
      </c>
      <c r="J540" t="s">
        <v>389</v>
      </c>
      <c r="K540">
        <v>0</v>
      </c>
      <c r="L540" t="s">
        <v>166</v>
      </c>
      <c r="N540" t="s">
        <v>206</v>
      </c>
      <c r="O540" t="s">
        <v>389</v>
      </c>
      <c r="P540">
        <v>1.3770671585335863E-4</v>
      </c>
      <c r="Q540" t="s">
        <v>166</v>
      </c>
      <c r="S540" t="s">
        <v>223</v>
      </c>
      <c r="T540" t="s">
        <v>389</v>
      </c>
      <c r="U540">
        <v>1.7102475924265636E-4</v>
      </c>
      <c r="V540" t="s">
        <v>166</v>
      </c>
    </row>
    <row r="541" spans="9:22" x14ac:dyDescent="0.45">
      <c r="I541" t="s">
        <v>182</v>
      </c>
      <c r="J541" t="s">
        <v>390</v>
      </c>
      <c r="K541">
        <v>0</v>
      </c>
      <c r="L541" t="s">
        <v>166</v>
      </c>
      <c r="N541" t="s">
        <v>206</v>
      </c>
      <c r="O541" t="s">
        <v>390</v>
      </c>
      <c r="P541">
        <v>2.371874261767853E-4</v>
      </c>
      <c r="Q541" t="s">
        <v>166</v>
      </c>
      <c r="S541" t="s">
        <v>223</v>
      </c>
      <c r="T541" t="s">
        <v>390</v>
      </c>
      <c r="U541">
        <v>1.5676096187463204E-4</v>
      </c>
      <c r="V541" t="s">
        <v>166</v>
      </c>
    </row>
    <row r="542" spans="9:22" x14ac:dyDescent="0.45">
      <c r="I542" t="s">
        <v>182</v>
      </c>
      <c r="J542" t="s">
        <v>391</v>
      </c>
      <c r="K542">
        <v>0</v>
      </c>
      <c r="L542" t="s">
        <v>166</v>
      </c>
      <c r="N542" t="s">
        <v>206</v>
      </c>
      <c r="O542" t="s">
        <v>391</v>
      </c>
      <c r="P542">
        <v>2.8516622777000034E-4</v>
      </c>
      <c r="Q542" t="s">
        <v>166</v>
      </c>
      <c r="S542" t="s">
        <v>223</v>
      </c>
      <c r="T542" t="s">
        <v>391</v>
      </c>
      <c r="U542">
        <v>1.6109609482307735E-4</v>
      </c>
      <c r="V542" t="s">
        <v>166</v>
      </c>
    </row>
    <row r="543" spans="9:22" x14ac:dyDescent="0.45">
      <c r="I543" t="s">
        <v>182</v>
      </c>
      <c r="J543" t="s">
        <v>392</v>
      </c>
      <c r="K543">
        <v>0</v>
      </c>
      <c r="L543" t="s">
        <v>166</v>
      </c>
      <c r="N543" t="s">
        <v>206</v>
      </c>
      <c r="O543" t="s">
        <v>392</v>
      </c>
      <c r="P543">
        <v>3.2791096322804788E-4</v>
      </c>
      <c r="Q543" t="s">
        <v>166</v>
      </c>
      <c r="S543" t="s">
        <v>223</v>
      </c>
      <c r="T543" t="s">
        <v>392</v>
      </c>
      <c r="U543">
        <v>1.562221308739948E-4</v>
      </c>
      <c r="V543" t="s">
        <v>166</v>
      </c>
    </row>
    <row r="544" spans="9:22" x14ac:dyDescent="0.45">
      <c r="I544" t="s">
        <v>182</v>
      </c>
      <c r="J544" t="s">
        <v>393</v>
      </c>
      <c r="K544">
        <v>0</v>
      </c>
      <c r="L544" t="s">
        <v>166</v>
      </c>
      <c r="N544" t="s">
        <v>206</v>
      </c>
      <c r="O544" t="s">
        <v>393</v>
      </c>
      <c r="P544">
        <v>2.5527166851948928E-4</v>
      </c>
      <c r="Q544" t="s">
        <v>166</v>
      </c>
      <c r="S544" t="s">
        <v>223</v>
      </c>
      <c r="T544" t="s">
        <v>393</v>
      </c>
      <c r="U544">
        <v>1.4114651679333592E-4</v>
      </c>
      <c r="V544" t="s">
        <v>166</v>
      </c>
    </row>
    <row r="545" spans="9:22" x14ac:dyDescent="0.45">
      <c r="I545" t="s">
        <v>182</v>
      </c>
      <c r="J545" t="s">
        <v>169</v>
      </c>
      <c r="K545">
        <v>3.3345635947120106E-3</v>
      </c>
      <c r="L545" t="s">
        <v>166</v>
      </c>
      <c r="N545" t="s">
        <v>206</v>
      </c>
      <c r="O545" t="s">
        <v>169</v>
      </c>
      <c r="P545">
        <v>1.225874433207157E-2</v>
      </c>
      <c r="Q545" t="s">
        <v>166</v>
      </c>
      <c r="S545" t="s">
        <v>223</v>
      </c>
      <c r="T545" t="s">
        <v>169</v>
      </c>
      <c r="U545">
        <v>3.4093456215644607E-3</v>
      </c>
      <c r="V545" t="s">
        <v>166</v>
      </c>
    </row>
    <row r="546" spans="9:22" x14ac:dyDescent="0.45">
      <c r="I546" t="s">
        <v>182</v>
      </c>
      <c r="J546" t="s">
        <v>170</v>
      </c>
      <c r="K546">
        <v>5.658868336708354E-3</v>
      </c>
      <c r="L546" t="s">
        <v>166</v>
      </c>
      <c r="N546" t="s">
        <v>206</v>
      </c>
      <c r="O546" t="s">
        <v>170</v>
      </c>
      <c r="P546">
        <v>1.0560478238747205E-3</v>
      </c>
      <c r="Q546" t="s">
        <v>166</v>
      </c>
      <c r="S546" t="s">
        <v>223</v>
      </c>
      <c r="T546" t="s">
        <v>170</v>
      </c>
      <c r="U546">
        <v>4.4805346119402591E-4</v>
      </c>
      <c r="V546" t="s">
        <v>166</v>
      </c>
    </row>
    <row r="547" spans="9:22" x14ac:dyDescent="0.45">
      <c r="I547" t="s">
        <v>182</v>
      </c>
      <c r="J547" t="s">
        <v>171</v>
      </c>
      <c r="K547">
        <v>6.1112366691894335E-2</v>
      </c>
      <c r="L547" t="s">
        <v>166</v>
      </c>
      <c r="N547" t="s">
        <v>206</v>
      </c>
      <c r="O547" t="s">
        <v>171</v>
      </c>
      <c r="P547">
        <v>1.4971103479779322E-2</v>
      </c>
      <c r="Q547" t="s">
        <v>166</v>
      </c>
      <c r="S547" t="s">
        <v>223</v>
      </c>
      <c r="T547" t="s">
        <v>171</v>
      </c>
      <c r="U547">
        <v>3.0526152302251981E-3</v>
      </c>
      <c r="V547" t="s">
        <v>166</v>
      </c>
    </row>
    <row r="548" spans="9:22" x14ac:dyDescent="0.45">
      <c r="I548" t="s">
        <v>182</v>
      </c>
      <c r="J548" t="s">
        <v>261</v>
      </c>
      <c r="K548">
        <v>5.3152474091043896E-3</v>
      </c>
      <c r="L548" t="s">
        <v>166</v>
      </c>
      <c r="N548" t="s">
        <v>206</v>
      </c>
      <c r="O548" t="s">
        <v>261</v>
      </c>
      <c r="P548">
        <v>3.0702610017832696E-3</v>
      </c>
      <c r="Q548" t="s">
        <v>166</v>
      </c>
      <c r="S548" t="s">
        <v>223</v>
      </c>
      <c r="T548" t="s">
        <v>261</v>
      </c>
      <c r="U548">
        <v>4.6475578313198094E-4</v>
      </c>
      <c r="V548" t="s">
        <v>166</v>
      </c>
    </row>
    <row r="549" spans="9:22" x14ac:dyDescent="0.45">
      <c r="I549" t="s">
        <v>182</v>
      </c>
      <c r="J549" t="s">
        <v>262</v>
      </c>
      <c r="K549">
        <v>5.5404917236099244E-3</v>
      </c>
      <c r="L549" t="s">
        <v>166</v>
      </c>
      <c r="N549" t="s">
        <v>206</v>
      </c>
      <c r="O549" t="s">
        <v>262</v>
      </c>
      <c r="P549">
        <v>4.3203386154468263E-3</v>
      </c>
      <c r="Q549" t="s">
        <v>166</v>
      </c>
      <c r="S549" t="s">
        <v>223</v>
      </c>
      <c r="T549" t="s">
        <v>262</v>
      </c>
      <c r="U549">
        <v>6.4448365027778762E-4</v>
      </c>
      <c r="V549" t="s">
        <v>166</v>
      </c>
    </row>
    <row r="550" spans="9:22" x14ac:dyDescent="0.45">
      <c r="I550" t="s">
        <v>182</v>
      </c>
      <c r="J550" t="s">
        <v>263</v>
      </c>
      <c r="K550">
        <v>0</v>
      </c>
      <c r="L550" t="s">
        <v>166</v>
      </c>
      <c r="N550" t="s">
        <v>206</v>
      </c>
      <c r="O550" t="s">
        <v>263</v>
      </c>
      <c r="P550">
        <v>1.2119232587478426E-2</v>
      </c>
      <c r="Q550" t="s">
        <v>166</v>
      </c>
      <c r="S550" t="s">
        <v>223</v>
      </c>
      <c r="T550" t="s">
        <v>263</v>
      </c>
      <c r="U550">
        <v>1.8773578057876853E-3</v>
      </c>
      <c r="V550" t="s">
        <v>166</v>
      </c>
    </row>
    <row r="551" spans="9:22" x14ac:dyDescent="0.45">
      <c r="I551" t="s">
        <v>182</v>
      </c>
      <c r="J551" t="s">
        <v>172</v>
      </c>
      <c r="K551">
        <v>2.5597635074110022E-3</v>
      </c>
      <c r="L551" t="s">
        <v>166</v>
      </c>
      <c r="N551" t="s">
        <v>206</v>
      </c>
      <c r="O551" t="s">
        <v>172</v>
      </c>
      <c r="P551">
        <v>3.3681759721488229E-2</v>
      </c>
      <c r="Q551" t="s">
        <v>166</v>
      </c>
      <c r="S551" t="s">
        <v>223</v>
      </c>
      <c r="T551" t="s">
        <v>172</v>
      </c>
      <c r="U551">
        <v>1.8999528493212358E-2</v>
      </c>
      <c r="V551" t="s">
        <v>166</v>
      </c>
    </row>
    <row r="552" spans="9:22" x14ac:dyDescent="0.45">
      <c r="I552" t="s">
        <v>182</v>
      </c>
      <c r="J552" t="s">
        <v>173</v>
      </c>
      <c r="K552">
        <v>4.2982584089002324E-3</v>
      </c>
      <c r="L552" t="s">
        <v>166</v>
      </c>
      <c r="N552" t="s">
        <v>206</v>
      </c>
      <c r="O552" t="s">
        <v>173</v>
      </c>
      <c r="P552">
        <v>3.4436998548562996E-3</v>
      </c>
      <c r="Q552" t="s">
        <v>166</v>
      </c>
      <c r="S552" t="s">
        <v>223</v>
      </c>
      <c r="T552" t="s">
        <v>173</v>
      </c>
      <c r="U552">
        <v>2.4408711133112751E-3</v>
      </c>
      <c r="V552" t="s">
        <v>166</v>
      </c>
    </row>
    <row r="553" spans="9:22" x14ac:dyDescent="0.45">
      <c r="I553" t="s">
        <v>182</v>
      </c>
      <c r="J553" t="s">
        <v>174</v>
      </c>
      <c r="K553">
        <v>5.0064801480177522E-2</v>
      </c>
      <c r="L553" t="s">
        <v>166</v>
      </c>
      <c r="N553" t="s">
        <v>206</v>
      </c>
      <c r="O553" t="s">
        <v>174</v>
      </c>
      <c r="P553">
        <v>3.7681752020576345E-2</v>
      </c>
      <c r="Q553" t="s">
        <v>166</v>
      </c>
      <c r="S553" t="s">
        <v>223</v>
      </c>
      <c r="T553" t="s">
        <v>174</v>
      </c>
      <c r="U553">
        <v>1.5697010104673451E-2</v>
      </c>
      <c r="V553" t="s">
        <v>166</v>
      </c>
    </row>
    <row r="554" spans="9:22" x14ac:dyDescent="0.45">
      <c r="I554" t="s">
        <v>182</v>
      </c>
      <c r="J554" t="s">
        <v>264</v>
      </c>
      <c r="K554">
        <v>4.3719694103198778E-3</v>
      </c>
      <c r="L554" t="s">
        <v>166</v>
      </c>
      <c r="N554" t="s">
        <v>206</v>
      </c>
      <c r="O554" t="s">
        <v>264</v>
      </c>
      <c r="P554">
        <v>4.8581132228073072E-3</v>
      </c>
      <c r="Q554" t="s">
        <v>166</v>
      </c>
      <c r="S554" t="s">
        <v>223</v>
      </c>
      <c r="T554" t="s">
        <v>264</v>
      </c>
      <c r="U554">
        <v>1.9752886075702488E-3</v>
      </c>
      <c r="V554" t="s">
        <v>166</v>
      </c>
    </row>
    <row r="555" spans="9:22" x14ac:dyDescent="0.45">
      <c r="I555" t="s">
        <v>182</v>
      </c>
      <c r="J555" t="s">
        <v>265</v>
      </c>
      <c r="K555">
        <v>4.648664879540786E-3</v>
      </c>
      <c r="L555" t="s">
        <v>166</v>
      </c>
      <c r="N555" t="s">
        <v>206</v>
      </c>
      <c r="O555" t="s">
        <v>265</v>
      </c>
      <c r="P555">
        <v>7.3321490525187112E-3</v>
      </c>
      <c r="Q555" t="s">
        <v>166</v>
      </c>
      <c r="S555" t="s">
        <v>223</v>
      </c>
      <c r="T555" t="s">
        <v>265</v>
      </c>
      <c r="U555">
        <v>3.7533465517586594E-3</v>
      </c>
      <c r="V555" t="s">
        <v>166</v>
      </c>
    </row>
    <row r="556" spans="9:22" x14ac:dyDescent="0.45">
      <c r="I556" t="s">
        <v>182</v>
      </c>
      <c r="J556" t="s">
        <v>266</v>
      </c>
      <c r="K556">
        <v>0</v>
      </c>
      <c r="L556" t="s">
        <v>166</v>
      </c>
      <c r="N556" t="s">
        <v>206</v>
      </c>
      <c r="O556" t="s">
        <v>266</v>
      </c>
      <c r="P556">
        <v>2.2156697525980689E-2</v>
      </c>
      <c r="Q556" t="s">
        <v>166</v>
      </c>
      <c r="S556" t="s">
        <v>223</v>
      </c>
      <c r="T556" t="s">
        <v>266</v>
      </c>
      <c r="U556">
        <v>9.3961082826920783E-3</v>
      </c>
      <c r="V556" t="s">
        <v>166</v>
      </c>
    </row>
    <row r="557" spans="9:22" x14ac:dyDescent="0.45">
      <c r="I557" t="s">
        <v>182</v>
      </c>
      <c r="J557" t="s">
        <v>175</v>
      </c>
      <c r="K557">
        <v>2.6027641980749545E-3</v>
      </c>
      <c r="L557" t="s">
        <v>166</v>
      </c>
      <c r="N557" t="s">
        <v>206</v>
      </c>
      <c r="O557" t="s">
        <v>175</v>
      </c>
      <c r="P557">
        <v>4.0311752674595816E-2</v>
      </c>
      <c r="Q557" t="s">
        <v>166</v>
      </c>
      <c r="S557" t="s">
        <v>223</v>
      </c>
      <c r="T557" t="s">
        <v>175</v>
      </c>
      <c r="U557">
        <v>2.5217922791758798E-2</v>
      </c>
      <c r="V557" t="s">
        <v>166</v>
      </c>
    </row>
    <row r="558" spans="9:22" x14ac:dyDescent="0.45">
      <c r="I558" t="s">
        <v>182</v>
      </c>
      <c r="J558" t="s">
        <v>176</v>
      </c>
      <c r="K558">
        <v>4.5108469124351003E-3</v>
      </c>
      <c r="L558" t="s">
        <v>166</v>
      </c>
      <c r="N558" t="s">
        <v>206</v>
      </c>
      <c r="O558" t="s">
        <v>176</v>
      </c>
      <c r="P558">
        <v>4.1653165526478143E-3</v>
      </c>
      <c r="Q558" t="s">
        <v>166</v>
      </c>
      <c r="S558" t="s">
        <v>223</v>
      </c>
      <c r="T558" t="s">
        <v>176</v>
      </c>
      <c r="U558">
        <v>2.8551700205984324E-3</v>
      </c>
      <c r="V558" t="s">
        <v>166</v>
      </c>
    </row>
    <row r="559" spans="9:22" x14ac:dyDescent="0.45">
      <c r="I559" t="s">
        <v>182</v>
      </c>
      <c r="J559" t="s">
        <v>177</v>
      </c>
      <c r="K559">
        <v>5.2390763501670164E-2</v>
      </c>
      <c r="L559" t="s">
        <v>166</v>
      </c>
      <c r="N559" t="s">
        <v>206</v>
      </c>
      <c r="O559" t="s">
        <v>177</v>
      </c>
      <c r="P559">
        <v>4.0308260294454973E-2</v>
      </c>
      <c r="Q559" t="s">
        <v>166</v>
      </c>
      <c r="S559" t="s">
        <v>223</v>
      </c>
      <c r="T559" t="s">
        <v>177</v>
      </c>
      <c r="U559">
        <v>2.1546484732057145E-2</v>
      </c>
      <c r="V559" t="s">
        <v>166</v>
      </c>
    </row>
    <row r="560" spans="9:22" x14ac:dyDescent="0.45">
      <c r="I560" t="s">
        <v>182</v>
      </c>
      <c r="J560" t="s">
        <v>267</v>
      </c>
      <c r="K560">
        <v>4.3713162331836496E-3</v>
      </c>
      <c r="L560" t="s">
        <v>166</v>
      </c>
      <c r="N560" t="s">
        <v>206</v>
      </c>
      <c r="O560" t="s">
        <v>267</v>
      </c>
      <c r="P560">
        <v>7.6198336581944576E-3</v>
      </c>
      <c r="Q560" t="s">
        <v>166</v>
      </c>
      <c r="S560" t="s">
        <v>223</v>
      </c>
      <c r="T560" t="s">
        <v>267</v>
      </c>
      <c r="U560">
        <v>3.4744364390308824E-3</v>
      </c>
      <c r="V560" t="s">
        <v>166</v>
      </c>
    </row>
    <row r="561" spans="9:22" x14ac:dyDescent="0.45">
      <c r="I561" t="s">
        <v>182</v>
      </c>
      <c r="J561" t="s">
        <v>268</v>
      </c>
      <c r="K561">
        <v>4.7237038122817897E-3</v>
      </c>
      <c r="L561" t="s">
        <v>166</v>
      </c>
      <c r="N561" t="s">
        <v>206</v>
      </c>
      <c r="O561" t="s">
        <v>268</v>
      </c>
      <c r="P561">
        <v>1.4019983117613441E-2</v>
      </c>
      <c r="Q561" t="s">
        <v>166</v>
      </c>
      <c r="S561" t="s">
        <v>223</v>
      </c>
      <c r="T561" t="s">
        <v>268</v>
      </c>
      <c r="U561">
        <v>6.7979180389356585E-3</v>
      </c>
      <c r="V561" t="s">
        <v>166</v>
      </c>
    </row>
    <row r="562" spans="9:22" x14ac:dyDescent="0.45">
      <c r="I562" t="s">
        <v>182</v>
      </c>
      <c r="J562" t="s">
        <v>269</v>
      </c>
      <c r="K562">
        <v>0</v>
      </c>
      <c r="L562" t="s">
        <v>166</v>
      </c>
      <c r="N562" t="s">
        <v>206</v>
      </c>
      <c r="O562" t="s">
        <v>269</v>
      </c>
      <c r="P562">
        <v>2.941502813987603E-2</v>
      </c>
      <c r="Q562" t="s">
        <v>166</v>
      </c>
      <c r="S562" t="s">
        <v>223</v>
      </c>
      <c r="T562" t="s">
        <v>269</v>
      </c>
      <c r="U562">
        <v>1.5481154781660766E-2</v>
      </c>
      <c r="V562" t="s">
        <v>166</v>
      </c>
    </row>
    <row r="563" spans="9:22" x14ac:dyDescent="0.45">
      <c r="I563" t="s">
        <v>182</v>
      </c>
      <c r="J563" t="s">
        <v>270</v>
      </c>
      <c r="K563">
        <v>3.1194012874452975E-3</v>
      </c>
      <c r="L563" t="s">
        <v>166</v>
      </c>
      <c r="N563" t="s">
        <v>206</v>
      </c>
      <c r="O563" t="s">
        <v>270</v>
      </c>
      <c r="P563">
        <v>5.4286029969198214E-2</v>
      </c>
      <c r="Q563" t="s">
        <v>166</v>
      </c>
      <c r="S563" t="s">
        <v>223</v>
      </c>
      <c r="T563" t="s">
        <v>270</v>
      </c>
      <c r="U563">
        <v>3.2724412513283146E-2</v>
      </c>
      <c r="V563" t="s">
        <v>166</v>
      </c>
    </row>
    <row r="564" spans="9:22" x14ac:dyDescent="0.45">
      <c r="I564" t="s">
        <v>182</v>
      </c>
      <c r="J564" t="s">
        <v>271</v>
      </c>
      <c r="K564">
        <v>5.3284575606480878E-3</v>
      </c>
      <c r="L564" t="s">
        <v>166</v>
      </c>
      <c r="N564" t="s">
        <v>206</v>
      </c>
      <c r="O564" t="s">
        <v>271</v>
      </c>
      <c r="P564">
        <v>5.9626796152396997E-3</v>
      </c>
      <c r="Q564" t="s">
        <v>166</v>
      </c>
      <c r="S564" t="s">
        <v>223</v>
      </c>
      <c r="T564" t="s">
        <v>271</v>
      </c>
      <c r="U564">
        <v>3.946606943955668E-3</v>
      </c>
      <c r="V564" t="s">
        <v>166</v>
      </c>
    </row>
    <row r="565" spans="9:22" x14ac:dyDescent="0.45">
      <c r="I565" t="s">
        <v>182</v>
      </c>
      <c r="J565" t="s">
        <v>272</v>
      </c>
      <c r="K565">
        <v>5.9135778604540855E-2</v>
      </c>
      <c r="L565" t="s">
        <v>166</v>
      </c>
      <c r="N565" t="s">
        <v>206</v>
      </c>
      <c r="O565" t="s">
        <v>272</v>
      </c>
      <c r="P565">
        <v>5.7500509902996794E-2</v>
      </c>
      <c r="Q565" t="s">
        <v>166</v>
      </c>
      <c r="S565" t="s">
        <v>223</v>
      </c>
      <c r="T565" t="s">
        <v>272</v>
      </c>
      <c r="U565">
        <v>2.9048002757356743E-2</v>
      </c>
      <c r="V565" t="s">
        <v>166</v>
      </c>
    </row>
    <row r="566" spans="9:22" x14ac:dyDescent="0.45">
      <c r="I566" t="s">
        <v>182</v>
      </c>
      <c r="J566" t="s">
        <v>273</v>
      </c>
      <c r="K566">
        <v>5.9171707662312523E-3</v>
      </c>
      <c r="L566" t="s">
        <v>166</v>
      </c>
      <c r="N566" t="s">
        <v>206</v>
      </c>
      <c r="O566" t="s">
        <v>273</v>
      </c>
      <c r="P566">
        <v>8.8377151091856877E-3</v>
      </c>
      <c r="Q566" t="s">
        <v>166</v>
      </c>
      <c r="S566" t="s">
        <v>223</v>
      </c>
      <c r="T566" t="s">
        <v>273</v>
      </c>
      <c r="U566">
        <v>4.1814898773747588E-3</v>
      </c>
      <c r="V566" t="s">
        <v>166</v>
      </c>
    </row>
    <row r="567" spans="9:22" x14ac:dyDescent="0.45">
      <c r="I567" t="s">
        <v>182</v>
      </c>
      <c r="J567" t="s">
        <v>274</v>
      </c>
      <c r="K567">
        <v>7.0377294216734266E-3</v>
      </c>
      <c r="L567" t="s">
        <v>166</v>
      </c>
      <c r="N567" t="s">
        <v>206</v>
      </c>
      <c r="O567" t="s">
        <v>274</v>
      </c>
      <c r="P567">
        <v>1.311408447474699E-2</v>
      </c>
      <c r="Q567" t="s">
        <v>166</v>
      </c>
      <c r="S567" t="s">
        <v>223</v>
      </c>
      <c r="T567" t="s">
        <v>274</v>
      </c>
      <c r="U567">
        <v>7.8445916858556047E-3</v>
      </c>
      <c r="V567" t="s">
        <v>166</v>
      </c>
    </row>
    <row r="568" spans="9:22" x14ac:dyDescent="0.45">
      <c r="I568" t="s">
        <v>182</v>
      </c>
      <c r="J568" t="s">
        <v>275</v>
      </c>
      <c r="K568">
        <v>0</v>
      </c>
      <c r="L568" t="s">
        <v>166</v>
      </c>
      <c r="N568" t="s">
        <v>206</v>
      </c>
      <c r="O568" t="s">
        <v>275</v>
      </c>
      <c r="P568">
        <v>3.4325737751098859E-2</v>
      </c>
      <c r="Q568" t="s">
        <v>166</v>
      </c>
      <c r="S568" t="s">
        <v>223</v>
      </c>
      <c r="T568" t="s">
        <v>275</v>
      </c>
      <c r="U568">
        <v>1.8215511323286832E-2</v>
      </c>
      <c r="V568" t="s">
        <v>166</v>
      </c>
    </row>
    <row r="569" spans="9:22" x14ac:dyDescent="0.45">
      <c r="I569" t="s">
        <v>182</v>
      </c>
      <c r="J569" t="s">
        <v>276</v>
      </c>
      <c r="K569">
        <v>5.977064825235222E-3</v>
      </c>
      <c r="L569" t="s">
        <v>166</v>
      </c>
      <c r="N569" t="s">
        <v>206</v>
      </c>
      <c r="O569" t="s">
        <v>276</v>
      </c>
      <c r="P569">
        <v>4.7861591057637778E-2</v>
      </c>
      <c r="Q569" t="s">
        <v>166</v>
      </c>
      <c r="S569" t="s">
        <v>223</v>
      </c>
      <c r="T569" t="s">
        <v>276</v>
      </c>
      <c r="U569">
        <v>4.6327694677800645E-2</v>
      </c>
      <c r="V569" t="s">
        <v>166</v>
      </c>
    </row>
    <row r="570" spans="9:22" x14ac:dyDescent="0.45">
      <c r="I570" t="s">
        <v>182</v>
      </c>
      <c r="J570" t="s">
        <v>277</v>
      </c>
      <c r="K570">
        <v>1.1196608305267848E-2</v>
      </c>
      <c r="L570" t="s">
        <v>166</v>
      </c>
      <c r="N570" t="s">
        <v>206</v>
      </c>
      <c r="O570" t="s">
        <v>277</v>
      </c>
      <c r="P570">
        <v>4.4144803619863057E-3</v>
      </c>
      <c r="Q570" t="s">
        <v>166</v>
      </c>
      <c r="S570" t="s">
        <v>223</v>
      </c>
      <c r="T570" t="s">
        <v>277</v>
      </c>
      <c r="U570">
        <v>5.9035275199561489E-3</v>
      </c>
      <c r="V570" t="s">
        <v>166</v>
      </c>
    </row>
    <row r="571" spans="9:22" x14ac:dyDescent="0.45">
      <c r="I571" t="s">
        <v>182</v>
      </c>
      <c r="J571" t="s">
        <v>278</v>
      </c>
      <c r="K571">
        <v>0.1197908082107814</v>
      </c>
      <c r="L571" t="s">
        <v>166</v>
      </c>
      <c r="N571" t="s">
        <v>206</v>
      </c>
      <c r="O571" t="s">
        <v>278</v>
      </c>
      <c r="P571">
        <v>5.2991392861627615E-2</v>
      </c>
      <c r="Q571" t="s">
        <v>166</v>
      </c>
      <c r="S571" t="s">
        <v>223</v>
      </c>
      <c r="T571" t="s">
        <v>278</v>
      </c>
      <c r="U571">
        <v>4.4878278066268033E-2</v>
      </c>
      <c r="V571" t="s">
        <v>166</v>
      </c>
    </row>
    <row r="572" spans="9:22" x14ac:dyDescent="0.45">
      <c r="I572" t="s">
        <v>182</v>
      </c>
      <c r="J572" t="s">
        <v>279</v>
      </c>
      <c r="K572">
        <v>1.0991338377137784E-2</v>
      </c>
      <c r="L572" t="s">
        <v>166</v>
      </c>
      <c r="N572" t="s">
        <v>206</v>
      </c>
      <c r="O572" t="s">
        <v>279</v>
      </c>
      <c r="P572">
        <v>8.4638914586721153E-3</v>
      </c>
      <c r="Q572" t="s">
        <v>166</v>
      </c>
      <c r="S572" t="s">
        <v>223</v>
      </c>
      <c r="T572" t="s">
        <v>279</v>
      </c>
      <c r="U572">
        <v>6.5445405402044165E-3</v>
      </c>
      <c r="V572" t="s">
        <v>166</v>
      </c>
    </row>
    <row r="573" spans="9:22" x14ac:dyDescent="0.45">
      <c r="I573" t="s">
        <v>182</v>
      </c>
      <c r="J573" t="s">
        <v>280</v>
      </c>
      <c r="K573">
        <v>1.0445002396207942E-2</v>
      </c>
      <c r="L573" t="s">
        <v>166</v>
      </c>
      <c r="N573" t="s">
        <v>206</v>
      </c>
      <c r="O573" t="s">
        <v>280</v>
      </c>
      <c r="P573">
        <v>1.2549027659844893E-2</v>
      </c>
      <c r="Q573" t="s">
        <v>166</v>
      </c>
      <c r="S573" t="s">
        <v>223</v>
      </c>
      <c r="T573" t="s">
        <v>280</v>
      </c>
      <c r="U573">
        <v>1.2783912888474604E-2</v>
      </c>
      <c r="V573" t="s">
        <v>166</v>
      </c>
    </row>
    <row r="574" spans="9:22" x14ac:dyDescent="0.45">
      <c r="I574" t="s">
        <v>182</v>
      </c>
      <c r="J574" t="s">
        <v>281</v>
      </c>
      <c r="K574">
        <v>0</v>
      </c>
      <c r="L574" t="s">
        <v>166</v>
      </c>
      <c r="N574" t="s">
        <v>206</v>
      </c>
      <c r="O574" t="s">
        <v>281</v>
      </c>
      <c r="P574">
        <v>3.0642305359372148E-2</v>
      </c>
      <c r="Q574" t="s">
        <v>166</v>
      </c>
      <c r="S574" t="s">
        <v>223</v>
      </c>
      <c r="T574" t="s">
        <v>281</v>
      </c>
      <c r="U574">
        <v>2.9218701449945015E-2</v>
      </c>
      <c r="V574" t="s">
        <v>166</v>
      </c>
    </row>
    <row r="575" spans="9:22" x14ac:dyDescent="0.45">
      <c r="I575" t="s">
        <v>182</v>
      </c>
      <c r="J575" t="s">
        <v>282</v>
      </c>
      <c r="K575">
        <v>3.3670970683397539E-3</v>
      </c>
      <c r="L575" t="s">
        <v>166</v>
      </c>
      <c r="N575" t="s">
        <v>206</v>
      </c>
      <c r="O575" t="s">
        <v>282</v>
      </c>
      <c r="P575">
        <v>1.7412620263869933E-2</v>
      </c>
      <c r="Q575" t="s">
        <v>166</v>
      </c>
      <c r="S575" t="s">
        <v>223</v>
      </c>
      <c r="T575" t="s">
        <v>282</v>
      </c>
      <c r="U575">
        <v>2.3551916885513165E-2</v>
      </c>
      <c r="V575" t="s">
        <v>166</v>
      </c>
    </row>
    <row r="576" spans="9:22" x14ac:dyDescent="0.45">
      <c r="I576" t="s">
        <v>182</v>
      </c>
      <c r="J576" t="s">
        <v>283</v>
      </c>
      <c r="K576">
        <v>6.0097979066266963E-3</v>
      </c>
      <c r="L576" t="s">
        <v>166</v>
      </c>
      <c r="N576" t="s">
        <v>206</v>
      </c>
      <c r="O576" t="s">
        <v>283</v>
      </c>
      <c r="P576">
        <v>1.8707674647891481E-3</v>
      </c>
      <c r="Q576" t="s">
        <v>166</v>
      </c>
      <c r="S576" t="s">
        <v>223</v>
      </c>
      <c r="T576" t="s">
        <v>283</v>
      </c>
      <c r="U576">
        <v>3.2193657759623621E-3</v>
      </c>
      <c r="V576" t="s">
        <v>166</v>
      </c>
    </row>
    <row r="577" spans="9:22" x14ac:dyDescent="0.45">
      <c r="I577" t="s">
        <v>182</v>
      </c>
      <c r="J577" t="s">
        <v>284</v>
      </c>
      <c r="K577">
        <v>5.8900227192093702E-2</v>
      </c>
      <c r="L577" t="s">
        <v>166</v>
      </c>
      <c r="N577" t="s">
        <v>206</v>
      </c>
      <c r="O577" t="s">
        <v>284</v>
      </c>
      <c r="P577">
        <v>1.4724013481268772E-2</v>
      </c>
      <c r="Q577" t="s">
        <v>166</v>
      </c>
      <c r="S577" t="s">
        <v>223</v>
      </c>
      <c r="T577" t="s">
        <v>284</v>
      </c>
      <c r="U577">
        <v>2.021986217839809E-2</v>
      </c>
      <c r="V577" t="s">
        <v>166</v>
      </c>
    </row>
    <row r="578" spans="9:22" x14ac:dyDescent="0.45">
      <c r="I578" t="s">
        <v>182</v>
      </c>
      <c r="J578" t="s">
        <v>285</v>
      </c>
      <c r="K578">
        <v>6.020298766390127E-3</v>
      </c>
      <c r="L578" t="s">
        <v>166</v>
      </c>
      <c r="N578" t="s">
        <v>206</v>
      </c>
      <c r="O578" t="s">
        <v>285</v>
      </c>
      <c r="P578">
        <v>1.3727749161348472E-3</v>
      </c>
      <c r="Q578" t="s">
        <v>166</v>
      </c>
      <c r="S578" t="s">
        <v>223</v>
      </c>
      <c r="T578" t="s">
        <v>285</v>
      </c>
      <c r="U578">
        <v>2.8362295595792983E-3</v>
      </c>
      <c r="V578" t="s">
        <v>166</v>
      </c>
    </row>
    <row r="579" spans="9:22" x14ac:dyDescent="0.45">
      <c r="I579" t="s">
        <v>182</v>
      </c>
      <c r="J579" t="s">
        <v>286</v>
      </c>
      <c r="K579">
        <v>4.1186527142928727E-3</v>
      </c>
      <c r="L579" t="s">
        <v>166</v>
      </c>
      <c r="N579" t="s">
        <v>206</v>
      </c>
      <c r="O579" t="s">
        <v>286</v>
      </c>
      <c r="P579">
        <v>2.7767210291800137E-3</v>
      </c>
      <c r="Q579" t="s">
        <v>166</v>
      </c>
      <c r="S579" t="s">
        <v>223</v>
      </c>
      <c r="T579" t="s">
        <v>286</v>
      </c>
      <c r="U579">
        <v>5.1840637571354117E-3</v>
      </c>
      <c r="V579" t="s">
        <v>166</v>
      </c>
    </row>
    <row r="580" spans="9:22" x14ac:dyDescent="0.45">
      <c r="I580" t="s">
        <v>182</v>
      </c>
      <c r="J580" t="s">
        <v>287</v>
      </c>
      <c r="K580">
        <v>0</v>
      </c>
      <c r="L580" t="s">
        <v>166</v>
      </c>
      <c r="N580" t="s">
        <v>206</v>
      </c>
      <c r="O580" t="s">
        <v>287</v>
      </c>
      <c r="P580">
        <v>8.311153657082045E-3</v>
      </c>
      <c r="Q580" t="s">
        <v>166</v>
      </c>
      <c r="S580" t="s">
        <v>223</v>
      </c>
      <c r="T580" t="s">
        <v>287</v>
      </c>
      <c r="U580">
        <v>1.4959241518137443E-2</v>
      </c>
      <c r="V580" t="s">
        <v>166</v>
      </c>
    </row>
    <row r="581" spans="9:22" x14ac:dyDescent="0.45">
      <c r="I581" t="s">
        <v>182</v>
      </c>
      <c r="J581" t="s">
        <v>288</v>
      </c>
      <c r="K581">
        <v>2.8401210336990836E-3</v>
      </c>
      <c r="L581" t="s">
        <v>166</v>
      </c>
      <c r="N581" t="s">
        <v>206</v>
      </c>
      <c r="O581" t="s">
        <v>288</v>
      </c>
      <c r="P581">
        <v>4.8805200183722183E-2</v>
      </c>
      <c r="Q581" t="s">
        <v>166</v>
      </c>
      <c r="S581" t="s">
        <v>223</v>
      </c>
      <c r="T581" t="s">
        <v>288</v>
      </c>
      <c r="U581">
        <v>5.512031299221621E-2</v>
      </c>
      <c r="V581" t="s">
        <v>166</v>
      </c>
    </row>
    <row r="582" spans="9:22" x14ac:dyDescent="0.45">
      <c r="I582" t="s">
        <v>182</v>
      </c>
      <c r="J582" t="s">
        <v>289</v>
      </c>
      <c r="K582">
        <v>5.3769906370229065E-3</v>
      </c>
      <c r="L582" t="s">
        <v>166</v>
      </c>
      <c r="N582" t="s">
        <v>206</v>
      </c>
      <c r="O582" t="s">
        <v>289</v>
      </c>
      <c r="P582">
        <v>5.4266058729234134E-3</v>
      </c>
      <c r="Q582" t="s">
        <v>166</v>
      </c>
      <c r="S582" t="s">
        <v>223</v>
      </c>
      <c r="T582" t="s">
        <v>289</v>
      </c>
      <c r="U582">
        <v>6.8581851491648681E-3</v>
      </c>
      <c r="V582" t="s">
        <v>166</v>
      </c>
    </row>
    <row r="583" spans="9:22" x14ac:dyDescent="0.45">
      <c r="I583" t="s">
        <v>182</v>
      </c>
      <c r="J583" t="s">
        <v>290</v>
      </c>
      <c r="K583">
        <v>5.983833564436964E-2</v>
      </c>
      <c r="L583" t="s">
        <v>166</v>
      </c>
      <c r="N583" t="s">
        <v>206</v>
      </c>
      <c r="O583" t="s">
        <v>290</v>
      </c>
      <c r="P583">
        <v>2.3311357733644535E-2</v>
      </c>
      <c r="Q583" t="s">
        <v>166</v>
      </c>
      <c r="S583" t="s">
        <v>223</v>
      </c>
      <c r="T583" t="s">
        <v>290</v>
      </c>
      <c r="U583">
        <v>4.7431816763843303E-2</v>
      </c>
      <c r="V583" t="s">
        <v>166</v>
      </c>
    </row>
    <row r="584" spans="9:22" x14ac:dyDescent="0.45">
      <c r="I584" t="s">
        <v>182</v>
      </c>
      <c r="J584" t="s">
        <v>291</v>
      </c>
      <c r="K584">
        <v>5.9362260672073362E-3</v>
      </c>
      <c r="L584" t="s">
        <v>166</v>
      </c>
      <c r="N584" t="s">
        <v>206</v>
      </c>
      <c r="O584" t="s">
        <v>291</v>
      </c>
      <c r="P584">
        <v>2.2793403412799591E-3</v>
      </c>
      <c r="Q584" t="s">
        <v>166</v>
      </c>
      <c r="S584" t="s">
        <v>223</v>
      </c>
      <c r="T584" t="s">
        <v>291</v>
      </c>
      <c r="U584">
        <v>6.8402537861518217E-3</v>
      </c>
      <c r="V584" t="s">
        <v>166</v>
      </c>
    </row>
    <row r="585" spans="9:22" x14ac:dyDescent="0.45">
      <c r="I585" t="s">
        <v>182</v>
      </c>
      <c r="J585" t="s">
        <v>292</v>
      </c>
      <c r="K585">
        <v>5.4851839354770164E-3</v>
      </c>
      <c r="L585" t="s">
        <v>166</v>
      </c>
      <c r="N585" t="s">
        <v>206</v>
      </c>
      <c r="O585" t="s">
        <v>292</v>
      </c>
      <c r="P585">
        <v>4.788596098759256E-3</v>
      </c>
      <c r="Q585" t="s">
        <v>166</v>
      </c>
      <c r="S585" t="s">
        <v>223</v>
      </c>
      <c r="T585" t="s">
        <v>292</v>
      </c>
      <c r="U585">
        <v>1.3392937258991723E-2</v>
      </c>
      <c r="V585" t="s">
        <v>166</v>
      </c>
    </row>
    <row r="586" spans="9:22" x14ac:dyDescent="0.45">
      <c r="I586" t="s">
        <v>182</v>
      </c>
      <c r="J586" t="s">
        <v>293</v>
      </c>
      <c r="K586">
        <v>0</v>
      </c>
      <c r="L586" t="s">
        <v>166</v>
      </c>
      <c r="N586" t="s">
        <v>206</v>
      </c>
      <c r="O586" t="s">
        <v>293</v>
      </c>
      <c r="P586">
        <v>2.4193467695181829E-2</v>
      </c>
      <c r="Q586" t="s">
        <v>166</v>
      </c>
      <c r="S586" t="s">
        <v>223</v>
      </c>
      <c r="T586" t="s">
        <v>293</v>
      </c>
      <c r="U586">
        <v>3.5397911025740705E-2</v>
      </c>
      <c r="V586" t="s">
        <v>166</v>
      </c>
    </row>
    <row r="587" spans="9:22" x14ac:dyDescent="0.45">
      <c r="I587" t="s">
        <v>183</v>
      </c>
      <c r="J587" t="s">
        <v>165</v>
      </c>
      <c r="K587">
        <v>1.1410051164317642E-2</v>
      </c>
      <c r="L587" t="s">
        <v>166</v>
      </c>
      <c r="N587" t="s">
        <v>207</v>
      </c>
      <c r="O587" t="s">
        <v>165</v>
      </c>
      <c r="P587">
        <v>5.5876609796337712E-2</v>
      </c>
      <c r="Q587" t="s">
        <v>166</v>
      </c>
      <c r="S587" t="s">
        <v>224</v>
      </c>
      <c r="T587" t="s">
        <v>165</v>
      </c>
      <c r="U587">
        <v>0.12023956417290906</v>
      </c>
      <c r="V587" t="s">
        <v>166</v>
      </c>
    </row>
    <row r="588" spans="9:22" x14ac:dyDescent="0.45">
      <c r="I588" t="s">
        <v>183</v>
      </c>
      <c r="J588" t="s">
        <v>167</v>
      </c>
      <c r="K588">
        <v>2.3543609004982598E-2</v>
      </c>
      <c r="L588" t="s">
        <v>166</v>
      </c>
      <c r="N588" t="s">
        <v>207</v>
      </c>
      <c r="O588" t="s">
        <v>167</v>
      </c>
      <c r="P588">
        <v>8.4511225931115617E-3</v>
      </c>
      <c r="Q588" t="s">
        <v>166</v>
      </c>
      <c r="S588" t="s">
        <v>224</v>
      </c>
      <c r="T588" t="s">
        <v>167</v>
      </c>
      <c r="U588">
        <v>1.5306210723825828E-2</v>
      </c>
      <c r="V588" t="s">
        <v>166</v>
      </c>
    </row>
    <row r="589" spans="9:22" x14ac:dyDescent="0.45">
      <c r="I589" t="s">
        <v>183</v>
      </c>
      <c r="J589" t="s">
        <v>168</v>
      </c>
      <c r="K589">
        <v>0.27207045051559614</v>
      </c>
      <c r="L589" t="s">
        <v>166</v>
      </c>
      <c r="N589" t="s">
        <v>207</v>
      </c>
      <c r="O589" t="s">
        <v>168</v>
      </c>
      <c r="P589">
        <v>4.4707783629777668E-2</v>
      </c>
      <c r="Q589" t="s">
        <v>166</v>
      </c>
      <c r="S589" t="s">
        <v>224</v>
      </c>
      <c r="T589" t="s">
        <v>168</v>
      </c>
      <c r="U589">
        <v>0.10186437625660136</v>
      </c>
      <c r="V589" t="s">
        <v>166</v>
      </c>
    </row>
    <row r="590" spans="9:22" x14ac:dyDescent="0.45">
      <c r="I590" t="s">
        <v>183</v>
      </c>
      <c r="J590" t="s">
        <v>258</v>
      </c>
      <c r="K590">
        <v>3.0934880518452359E-2</v>
      </c>
      <c r="L590" t="s">
        <v>166</v>
      </c>
      <c r="N590" t="s">
        <v>207</v>
      </c>
      <c r="O590" t="s">
        <v>258</v>
      </c>
      <c r="P590">
        <v>5.4559644529450814E-3</v>
      </c>
      <c r="Q590" t="s">
        <v>166</v>
      </c>
      <c r="S590" t="s">
        <v>224</v>
      </c>
      <c r="T590" t="s">
        <v>258</v>
      </c>
      <c r="U590">
        <v>1.4277380687446339E-2</v>
      </c>
      <c r="V590" t="s">
        <v>166</v>
      </c>
    </row>
    <row r="591" spans="9:22" x14ac:dyDescent="0.45">
      <c r="I591" t="s">
        <v>183</v>
      </c>
      <c r="J591" t="s">
        <v>259</v>
      </c>
      <c r="K591">
        <v>3.8578350818748559E-2</v>
      </c>
      <c r="L591" t="s">
        <v>166</v>
      </c>
      <c r="N591" t="s">
        <v>207</v>
      </c>
      <c r="O591" t="s">
        <v>259</v>
      </c>
      <c r="P591">
        <v>9.4329141236451919E-3</v>
      </c>
      <c r="Q591" t="s">
        <v>166</v>
      </c>
      <c r="S591" t="s">
        <v>224</v>
      </c>
      <c r="T591" t="s">
        <v>259</v>
      </c>
      <c r="U591">
        <v>2.6381519667403968E-2</v>
      </c>
      <c r="V591" t="s">
        <v>166</v>
      </c>
    </row>
    <row r="592" spans="9:22" x14ac:dyDescent="0.45">
      <c r="I592" t="s">
        <v>183</v>
      </c>
      <c r="J592" t="s">
        <v>260</v>
      </c>
      <c r="K592">
        <v>0</v>
      </c>
      <c r="L592" t="s">
        <v>166</v>
      </c>
      <c r="N592" t="s">
        <v>207</v>
      </c>
      <c r="O592" t="s">
        <v>260</v>
      </c>
      <c r="P592">
        <v>2.8154807240074534E-2</v>
      </c>
      <c r="Q592" t="s">
        <v>166</v>
      </c>
      <c r="S592" t="s">
        <v>224</v>
      </c>
      <c r="T592" t="s">
        <v>260</v>
      </c>
      <c r="U592">
        <v>7.8581881435628526E-2</v>
      </c>
      <c r="V592" t="s">
        <v>166</v>
      </c>
    </row>
    <row r="593" spans="9:22" x14ac:dyDescent="0.45">
      <c r="I593" t="s">
        <v>183</v>
      </c>
      <c r="J593" t="s">
        <v>346</v>
      </c>
      <c r="K593">
        <v>0</v>
      </c>
      <c r="L593" t="s">
        <v>166</v>
      </c>
      <c r="N593" t="s">
        <v>207</v>
      </c>
      <c r="O593" t="s">
        <v>346</v>
      </c>
      <c r="P593">
        <v>5.8567617147917551E-5</v>
      </c>
      <c r="Q593" t="s">
        <v>166</v>
      </c>
      <c r="S593" t="s">
        <v>224</v>
      </c>
      <c r="T593" t="s">
        <v>346</v>
      </c>
      <c r="U593">
        <v>2.5670539088281475E-4</v>
      </c>
      <c r="V593" t="s">
        <v>166</v>
      </c>
    </row>
    <row r="594" spans="9:22" x14ac:dyDescent="0.45">
      <c r="I594" t="s">
        <v>183</v>
      </c>
      <c r="J594" t="s">
        <v>347</v>
      </c>
      <c r="K594">
        <v>0</v>
      </c>
      <c r="L594" t="s">
        <v>166</v>
      </c>
      <c r="N594" t="s">
        <v>207</v>
      </c>
      <c r="O594" t="s">
        <v>347</v>
      </c>
      <c r="P594">
        <v>6.9056193571725595E-5</v>
      </c>
      <c r="Q594" t="s">
        <v>166</v>
      </c>
      <c r="S594" t="s">
        <v>224</v>
      </c>
      <c r="T594" t="s">
        <v>347</v>
      </c>
      <c r="U594">
        <v>2.6198534445116394E-4</v>
      </c>
      <c r="V594" t="s">
        <v>166</v>
      </c>
    </row>
    <row r="595" spans="9:22" x14ac:dyDescent="0.45">
      <c r="I595" t="s">
        <v>183</v>
      </c>
      <c r="J595" t="s">
        <v>348</v>
      </c>
      <c r="K595">
        <v>0</v>
      </c>
      <c r="L595" t="s">
        <v>166</v>
      </c>
      <c r="N595" t="s">
        <v>207</v>
      </c>
      <c r="O595" t="s">
        <v>348</v>
      </c>
      <c r="P595">
        <v>7.7295027751911837E-5</v>
      </c>
      <c r="Q595" t="s">
        <v>166</v>
      </c>
      <c r="S595" t="s">
        <v>224</v>
      </c>
      <c r="T595" t="s">
        <v>348</v>
      </c>
      <c r="U595">
        <v>2.5821733026182227E-4</v>
      </c>
      <c r="V595" t="s">
        <v>166</v>
      </c>
    </row>
    <row r="596" spans="9:22" x14ac:dyDescent="0.45">
      <c r="I596" t="s">
        <v>183</v>
      </c>
      <c r="J596" t="s">
        <v>349</v>
      </c>
      <c r="K596">
        <v>0</v>
      </c>
      <c r="L596" t="s">
        <v>166</v>
      </c>
      <c r="N596" t="s">
        <v>207</v>
      </c>
      <c r="O596" t="s">
        <v>349</v>
      </c>
      <c r="P596">
        <v>8.1525595731407607E-5</v>
      </c>
      <c r="Q596" t="s">
        <v>166</v>
      </c>
      <c r="S596" t="s">
        <v>224</v>
      </c>
      <c r="T596" t="s">
        <v>349</v>
      </c>
      <c r="U596">
        <v>2.5121666782252825E-4</v>
      </c>
      <c r="V596" t="s">
        <v>166</v>
      </c>
    </row>
    <row r="597" spans="9:22" x14ac:dyDescent="0.45">
      <c r="I597" t="s">
        <v>183</v>
      </c>
      <c r="J597" t="s">
        <v>350</v>
      </c>
      <c r="K597">
        <v>0</v>
      </c>
      <c r="L597" t="s">
        <v>166</v>
      </c>
      <c r="N597" t="s">
        <v>207</v>
      </c>
      <c r="O597" t="s">
        <v>350</v>
      </c>
      <c r="P597">
        <v>8.0122894948942756E-5</v>
      </c>
      <c r="Q597" t="s">
        <v>166</v>
      </c>
      <c r="S597" t="s">
        <v>224</v>
      </c>
      <c r="T597" t="s">
        <v>350</v>
      </c>
      <c r="U597">
        <v>2.5064103431198485E-4</v>
      </c>
      <c r="V597" t="s">
        <v>166</v>
      </c>
    </row>
    <row r="598" spans="9:22" x14ac:dyDescent="0.45">
      <c r="I598" t="s">
        <v>183</v>
      </c>
      <c r="J598" t="s">
        <v>351</v>
      </c>
      <c r="K598">
        <v>0</v>
      </c>
      <c r="L598" t="s">
        <v>166</v>
      </c>
      <c r="N598" t="s">
        <v>207</v>
      </c>
      <c r="O598" t="s">
        <v>351</v>
      </c>
      <c r="P598">
        <v>9.9210636102805555E-5</v>
      </c>
      <c r="Q598" t="s">
        <v>166</v>
      </c>
      <c r="S598" t="s">
        <v>224</v>
      </c>
      <c r="T598" t="s">
        <v>351</v>
      </c>
      <c r="U598">
        <v>2.2690533712713126E-4</v>
      </c>
      <c r="V598" t="s">
        <v>166</v>
      </c>
    </row>
    <row r="599" spans="9:22" x14ac:dyDescent="0.45">
      <c r="I599" t="s">
        <v>183</v>
      </c>
      <c r="J599" t="s">
        <v>352</v>
      </c>
      <c r="K599">
        <v>0</v>
      </c>
      <c r="L599" t="s">
        <v>166</v>
      </c>
      <c r="N599" t="s">
        <v>207</v>
      </c>
      <c r="O599" t="s">
        <v>352</v>
      </c>
      <c r="P599">
        <v>1.254902439036418E-4</v>
      </c>
      <c r="Q599" t="s">
        <v>166</v>
      </c>
      <c r="S599" t="s">
        <v>224</v>
      </c>
      <c r="T599" t="s">
        <v>352</v>
      </c>
      <c r="U599">
        <v>2.0820864951043207E-4</v>
      </c>
      <c r="V599" t="s">
        <v>166</v>
      </c>
    </row>
    <row r="600" spans="9:22" x14ac:dyDescent="0.45">
      <c r="I600" t="s">
        <v>183</v>
      </c>
      <c r="J600" t="s">
        <v>353</v>
      </c>
      <c r="K600">
        <v>4.5528053256054225E-5</v>
      </c>
      <c r="L600" t="s">
        <v>166</v>
      </c>
      <c r="N600" t="s">
        <v>207</v>
      </c>
      <c r="O600" t="s">
        <v>353</v>
      </c>
      <c r="P600">
        <v>1.4305597690400282E-4</v>
      </c>
      <c r="Q600" t="s">
        <v>166</v>
      </c>
      <c r="S600" t="s">
        <v>224</v>
      </c>
      <c r="T600" t="s">
        <v>353</v>
      </c>
      <c r="U600">
        <v>1.8927165357895679E-4</v>
      </c>
      <c r="V600" t="s">
        <v>166</v>
      </c>
    </row>
    <row r="601" spans="9:22" x14ac:dyDescent="0.45">
      <c r="I601" t="s">
        <v>183</v>
      </c>
      <c r="J601" t="s">
        <v>354</v>
      </c>
      <c r="K601">
        <v>1.2835010425273159E-4</v>
      </c>
      <c r="L601" t="s">
        <v>166</v>
      </c>
      <c r="N601" t="s">
        <v>207</v>
      </c>
      <c r="O601" t="s">
        <v>354</v>
      </c>
      <c r="P601">
        <v>1.544135857791833E-4</v>
      </c>
      <c r="Q601" t="s">
        <v>166</v>
      </c>
      <c r="S601" t="s">
        <v>224</v>
      </c>
      <c r="T601" t="s">
        <v>354</v>
      </c>
      <c r="U601">
        <v>1.7477008443271048E-4</v>
      </c>
      <c r="V601" t="s">
        <v>166</v>
      </c>
    </row>
    <row r="602" spans="9:22" x14ac:dyDescent="0.45">
      <c r="I602" t="s">
        <v>183</v>
      </c>
      <c r="J602" t="s">
        <v>355</v>
      </c>
      <c r="K602">
        <v>1.9352839166190895E-4</v>
      </c>
      <c r="L602" t="s">
        <v>166</v>
      </c>
      <c r="N602" t="s">
        <v>207</v>
      </c>
      <c r="O602" t="s">
        <v>355</v>
      </c>
      <c r="P602">
        <v>1.7062499281622444E-4</v>
      </c>
      <c r="Q602" t="s">
        <v>166</v>
      </c>
      <c r="S602" t="s">
        <v>224</v>
      </c>
      <c r="T602" t="s">
        <v>355</v>
      </c>
      <c r="U602">
        <v>1.7223579975453361E-4</v>
      </c>
      <c r="V602" t="s">
        <v>166</v>
      </c>
    </row>
    <row r="603" spans="9:22" x14ac:dyDescent="0.45">
      <c r="I603" t="s">
        <v>183</v>
      </c>
      <c r="J603" t="s">
        <v>356</v>
      </c>
      <c r="K603">
        <v>2.5465032027822656E-4</v>
      </c>
      <c r="L603" t="s">
        <v>166</v>
      </c>
      <c r="N603" t="s">
        <v>207</v>
      </c>
      <c r="O603" t="s">
        <v>356</v>
      </c>
      <c r="P603">
        <v>1.5397636639450277E-4</v>
      </c>
      <c r="Q603" t="s">
        <v>166</v>
      </c>
      <c r="S603" t="s">
        <v>224</v>
      </c>
      <c r="T603" t="s">
        <v>356</v>
      </c>
      <c r="U603">
        <v>1.7831602979517588E-4</v>
      </c>
      <c r="V603" t="s">
        <v>166</v>
      </c>
    </row>
    <row r="604" spans="9:22" x14ac:dyDescent="0.45">
      <c r="I604" t="s">
        <v>183</v>
      </c>
      <c r="J604" t="s">
        <v>357</v>
      </c>
      <c r="K604">
        <v>2.8201735606039934E-4</v>
      </c>
      <c r="L604" t="s">
        <v>166</v>
      </c>
      <c r="N604" t="s">
        <v>207</v>
      </c>
      <c r="O604" t="s">
        <v>357</v>
      </c>
      <c r="P604">
        <v>1.1655846309820948E-4</v>
      </c>
      <c r="Q604" t="s">
        <v>166</v>
      </c>
      <c r="S604" t="s">
        <v>224</v>
      </c>
      <c r="T604" t="s">
        <v>357</v>
      </c>
      <c r="U604">
        <v>1.9232060397809901E-4</v>
      </c>
      <c r="V604" t="s">
        <v>166</v>
      </c>
    </row>
    <row r="605" spans="9:22" x14ac:dyDescent="0.45">
      <c r="I605" t="s">
        <v>183</v>
      </c>
      <c r="J605" t="s">
        <v>358</v>
      </c>
      <c r="K605">
        <v>3.0273611865522183E-4</v>
      </c>
      <c r="L605" t="s">
        <v>166</v>
      </c>
      <c r="N605" t="s">
        <v>207</v>
      </c>
      <c r="O605" t="s">
        <v>358</v>
      </c>
      <c r="P605">
        <v>8.373925405400386E-5</v>
      </c>
      <c r="Q605" t="s">
        <v>166</v>
      </c>
      <c r="S605" t="s">
        <v>224</v>
      </c>
      <c r="T605" t="s">
        <v>358</v>
      </c>
      <c r="U605">
        <v>1.8669083150878654E-4</v>
      </c>
      <c r="V605" t="s">
        <v>166</v>
      </c>
    </row>
    <row r="606" spans="9:22" x14ac:dyDescent="0.45">
      <c r="I606" t="s">
        <v>183</v>
      </c>
      <c r="J606" t="s">
        <v>359</v>
      </c>
      <c r="K606">
        <v>3.3554477474269964E-4</v>
      </c>
      <c r="L606" t="s">
        <v>166</v>
      </c>
      <c r="N606" t="s">
        <v>207</v>
      </c>
      <c r="O606" t="s">
        <v>359</v>
      </c>
      <c r="P606">
        <v>5.4602471329298158E-5</v>
      </c>
      <c r="Q606" t="s">
        <v>166</v>
      </c>
      <c r="S606" t="s">
        <v>224</v>
      </c>
      <c r="T606" t="s">
        <v>359</v>
      </c>
      <c r="U606">
        <v>1.8042257545054839E-4</v>
      </c>
      <c r="V606" t="s">
        <v>166</v>
      </c>
    </row>
    <row r="607" spans="9:22" x14ac:dyDescent="0.45">
      <c r="I607" t="s">
        <v>183</v>
      </c>
      <c r="J607" t="s">
        <v>360</v>
      </c>
      <c r="K607">
        <v>3.3464955386344948E-4</v>
      </c>
      <c r="L607" t="s">
        <v>166</v>
      </c>
      <c r="N607" t="s">
        <v>207</v>
      </c>
      <c r="O607" t="s">
        <v>360</v>
      </c>
      <c r="P607">
        <v>3.3782209249617771E-5</v>
      </c>
      <c r="Q607" t="s">
        <v>166</v>
      </c>
      <c r="S607" t="s">
        <v>224</v>
      </c>
      <c r="T607" t="s">
        <v>360</v>
      </c>
      <c r="U607">
        <v>1.7487082778957461E-4</v>
      </c>
      <c r="V607" t="s">
        <v>166</v>
      </c>
    </row>
    <row r="608" spans="9:22" x14ac:dyDescent="0.45">
      <c r="I608" t="s">
        <v>183</v>
      </c>
      <c r="J608" t="s">
        <v>361</v>
      </c>
      <c r="K608">
        <v>3.1921859657196367E-4</v>
      </c>
      <c r="L608" t="s">
        <v>166</v>
      </c>
      <c r="N608" t="s">
        <v>207</v>
      </c>
      <c r="O608" t="s">
        <v>361</v>
      </c>
      <c r="P608">
        <v>2.3213064013755115E-5</v>
      </c>
      <c r="Q608" t="s">
        <v>166</v>
      </c>
      <c r="S608" t="s">
        <v>224</v>
      </c>
      <c r="T608" t="s">
        <v>361</v>
      </c>
      <c r="U608">
        <v>1.7226676402631096E-4</v>
      </c>
      <c r="V608" t="s">
        <v>166</v>
      </c>
    </row>
    <row r="609" spans="9:22" x14ac:dyDescent="0.45">
      <c r="I609" t="s">
        <v>183</v>
      </c>
      <c r="J609" t="s">
        <v>362</v>
      </c>
      <c r="K609">
        <v>3.0317284373461629E-4</v>
      </c>
      <c r="L609" t="s">
        <v>166</v>
      </c>
      <c r="N609" t="s">
        <v>207</v>
      </c>
      <c r="O609" t="s">
        <v>362</v>
      </c>
      <c r="P609">
        <v>1.7944277525353362E-5</v>
      </c>
      <c r="Q609" t="s">
        <v>166</v>
      </c>
      <c r="S609" t="s">
        <v>224</v>
      </c>
      <c r="T609" t="s">
        <v>362</v>
      </c>
      <c r="U609">
        <v>1.750476222145894E-4</v>
      </c>
      <c r="V609" t="s">
        <v>166</v>
      </c>
    </row>
    <row r="610" spans="9:22" x14ac:dyDescent="0.45">
      <c r="I610" t="s">
        <v>183</v>
      </c>
      <c r="J610" t="s">
        <v>363</v>
      </c>
      <c r="K610">
        <v>2.2321643887145658E-4</v>
      </c>
      <c r="L610" t="s">
        <v>166</v>
      </c>
      <c r="N610" t="s">
        <v>207</v>
      </c>
      <c r="O610" t="s">
        <v>363</v>
      </c>
      <c r="P610">
        <v>1.8216598720915869E-5</v>
      </c>
      <c r="Q610" t="s">
        <v>166</v>
      </c>
      <c r="S610" t="s">
        <v>224</v>
      </c>
      <c r="T610" t="s">
        <v>363</v>
      </c>
      <c r="U610">
        <v>1.4656095917937195E-4</v>
      </c>
      <c r="V610" t="s">
        <v>166</v>
      </c>
    </row>
    <row r="611" spans="9:22" x14ac:dyDescent="0.45">
      <c r="I611" t="s">
        <v>183</v>
      </c>
      <c r="J611" t="s">
        <v>364</v>
      </c>
      <c r="K611">
        <v>1.3494656266923289E-4</v>
      </c>
      <c r="L611" t="s">
        <v>166</v>
      </c>
      <c r="N611" t="s">
        <v>207</v>
      </c>
      <c r="O611" t="s">
        <v>364</v>
      </c>
      <c r="P611">
        <v>1.9177260370844086E-5</v>
      </c>
      <c r="Q611" t="s">
        <v>166</v>
      </c>
      <c r="S611" t="s">
        <v>224</v>
      </c>
      <c r="T611" t="s">
        <v>364</v>
      </c>
      <c r="U611">
        <v>1.4413199368685712E-4</v>
      </c>
      <c r="V611" t="s">
        <v>166</v>
      </c>
    </row>
    <row r="612" spans="9:22" x14ac:dyDescent="0.45">
      <c r="I612" t="s">
        <v>183</v>
      </c>
      <c r="J612" t="s">
        <v>365</v>
      </c>
      <c r="K612">
        <v>0</v>
      </c>
      <c r="L612" t="s">
        <v>166</v>
      </c>
      <c r="N612" t="s">
        <v>207</v>
      </c>
      <c r="O612" t="s">
        <v>365</v>
      </c>
      <c r="P612">
        <v>2.8894223241668608E-5</v>
      </c>
      <c r="Q612" t="s">
        <v>166</v>
      </c>
      <c r="S612" t="s">
        <v>224</v>
      </c>
      <c r="T612" t="s">
        <v>365</v>
      </c>
      <c r="U612">
        <v>1.2870500114347218E-4</v>
      </c>
      <c r="V612" t="s">
        <v>166</v>
      </c>
    </row>
    <row r="613" spans="9:22" x14ac:dyDescent="0.45">
      <c r="I613" t="s">
        <v>183</v>
      </c>
      <c r="J613" t="s">
        <v>366</v>
      </c>
      <c r="K613">
        <v>0</v>
      </c>
      <c r="L613" t="s">
        <v>166</v>
      </c>
      <c r="N613" t="s">
        <v>207</v>
      </c>
      <c r="O613" t="s">
        <v>366</v>
      </c>
      <c r="P613">
        <v>3.8054380491786907E-5</v>
      </c>
      <c r="Q613" t="s">
        <v>166</v>
      </c>
      <c r="S613" t="s">
        <v>224</v>
      </c>
      <c r="T613" t="s">
        <v>366</v>
      </c>
      <c r="U613">
        <v>1.2356388728883112E-4</v>
      </c>
      <c r="V613" t="s">
        <v>166</v>
      </c>
    </row>
    <row r="614" spans="9:22" x14ac:dyDescent="0.45">
      <c r="I614" t="s">
        <v>183</v>
      </c>
      <c r="J614" t="s">
        <v>367</v>
      </c>
      <c r="K614">
        <v>0</v>
      </c>
      <c r="L614" t="s">
        <v>166</v>
      </c>
      <c r="N614" t="s">
        <v>207</v>
      </c>
      <c r="O614" t="s">
        <v>367</v>
      </c>
      <c r="P614">
        <v>4.1487352629195928E-5</v>
      </c>
      <c r="Q614" t="s">
        <v>166</v>
      </c>
      <c r="S614" t="s">
        <v>224</v>
      </c>
      <c r="T614" t="s">
        <v>367</v>
      </c>
      <c r="U614">
        <v>1.18390865370116E-4</v>
      </c>
      <c r="V614" t="s">
        <v>166</v>
      </c>
    </row>
    <row r="615" spans="9:22" x14ac:dyDescent="0.45">
      <c r="I615" t="s">
        <v>183</v>
      </c>
      <c r="J615" t="s">
        <v>368</v>
      </c>
      <c r="K615">
        <v>0</v>
      </c>
      <c r="L615" t="s">
        <v>166</v>
      </c>
      <c r="N615" t="s">
        <v>207</v>
      </c>
      <c r="O615" t="s">
        <v>368</v>
      </c>
      <c r="P615">
        <v>4.1229524891386467E-5</v>
      </c>
      <c r="Q615" t="s">
        <v>166</v>
      </c>
      <c r="S615" t="s">
        <v>224</v>
      </c>
      <c r="T615" t="s">
        <v>368</v>
      </c>
      <c r="U615">
        <v>1.1626755645309556E-4</v>
      </c>
      <c r="V615" t="s">
        <v>166</v>
      </c>
    </row>
    <row r="616" spans="9:22" x14ac:dyDescent="0.45">
      <c r="I616" t="s">
        <v>183</v>
      </c>
      <c r="J616" t="s">
        <v>369</v>
      </c>
      <c r="K616">
        <v>0</v>
      </c>
      <c r="L616" t="s">
        <v>166</v>
      </c>
      <c r="N616" t="s">
        <v>207</v>
      </c>
      <c r="O616" t="s">
        <v>369</v>
      </c>
      <c r="P616">
        <v>4.0141714193011724E-5</v>
      </c>
      <c r="Q616" t="s">
        <v>166</v>
      </c>
      <c r="S616" t="s">
        <v>224</v>
      </c>
      <c r="T616" t="s">
        <v>369</v>
      </c>
      <c r="U616">
        <v>1.1048510853237074E-4</v>
      </c>
      <c r="V616" t="s">
        <v>166</v>
      </c>
    </row>
    <row r="617" spans="9:22" x14ac:dyDescent="0.45">
      <c r="I617" t="s">
        <v>183</v>
      </c>
      <c r="J617" t="s">
        <v>370</v>
      </c>
      <c r="K617">
        <v>0</v>
      </c>
      <c r="L617" t="s">
        <v>166</v>
      </c>
      <c r="N617" t="s">
        <v>207</v>
      </c>
      <c r="O617" t="s">
        <v>370</v>
      </c>
      <c r="P617">
        <v>3.2868081301239352E-5</v>
      </c>
      <c r="Q617" t="s">
        <v>166</v>
      </c>
      <c r="S617" t="s">
        <v>224</v>
      </c>
      <c r="T617" t="s">
        <v>370</v>
      </c>
      <c r="U617">
        <v>1.1628698199945123E-4</v>
      </c>
      <c r="V617" t="s">
        <v>166</v>
      </c>
    </row>
    <row r="618" spans="9:22" x14ac:dyDescent="0.45">
      <c r="I618" t="s">
        <v>183</v>
      </c>
      <c r="J618" t="s">
        <v>371</v>
      </c>
      <c r="K618">
        <v>0</v>
      </c>
      <c r="L618" t="s">
        <v>166</v>
      </c>
      <c r="N618" t="s">
        <v>207</v>
      </c>
      <c r="O618" t="s">
        <v>371</v>
      </c>
      <c r="P618">
        <v>2.656921575930951E-5</v>
      </c>
      <c r="Q618" t="s">
        <v>166</v>
      </c>
      <c r="S618" t="s">
        <v>224</v>
      </c>
      <c r="T618" t="s">
        <v>371</v>
      </c>
      <c r="U618">
        <v>1.1568920843825884E-4</v>
      </c>
      <c r="V618" t="s">
        <v>166</v>
      </c>
    </row>
    <row r="619" spans="9:22" x14ac:dyDescent="0.45">
      <c r="I619" t="s">
        <v>183</v>
      </c>
      <c r="J619" t="s">
        <v>372</v>
      </c>
      <c r="K619">
        <v>0</v>
      </c>
      <c r="L619" t="s">
        <v>166</v>
      </c>
      <c r="N619" t="s">
        <v>207</v>
      </c>
      <c r="O619" t="s">
        <v>372</v>
      </c>
      <c r="P619">
        <v>3.0574490044094044E-5</v>
      </c>
      <c r="Q619" t="s">
        <v>166</v>
      </c>
      <c r="S619" t="s">
        <v>224</v>
      </c>
      <c r="T619" t="s">
        <v>372</v>
      </c>
      <c r="U619">
        <v>1.2393502102465385E-4</v>
      </c>
      <c r="V619" t="s">
        <v>166</v>
      </c>
    </row>
    <row r="620" spans="9:22" x14ac:dyDescent="0.45">
      <c r="I620" t="s">
        <v>183</v>
      </c>
      <c r="J620" t="s">
        <v>373</v>
      </c>
      <c r="K620">
        <v>0</v>
      </c>
      <c r="L620" t="s">
        <v>166</v>
      </c>
      <c r="N620" t="s">
        <v>207</v>
      </c>
      <c r="O620" t="s">
        <v>373</v>
      </c>
      <c r="P620">
        <v>4.1126185576916355E-5</v>
      </c>
      <c r="Q620" t="s">
        <v>166</v>
      </c>
      <c r="S620" t="s">
        <v>224</v>
      </c>
      <c r="T620" t="s">
        <v>373</v>
      </c>
      <c r="U620">
        <v>1.2972961950842701E-4</v>
      </c>
      <c r="V620" t="s">
        <v>166</v>
      </c>
    </row>
    <row r="621" spans="9:22" x14ac:dyDescent="0.45">
      <c r="I621" t="s">
        <v>183</v>
      </c>
      <c r="J621" t="s">
        <v>374</v>
      </c>
      <c r="K621">
        <v>0</v>
      </c>
      <c r="L621" t="s">
        <v>166</v>
      </c>
      <c r="N621" t="s">
        <v>207</v>
      </c>
      <c r="O621" t="s">
        <v>374</v>
      </c>
      <c r="P621">
        <v>4.5755561642484878E-5</v>
      </c>
      <c r="Q621" t="s">
        <v>166</v>
      </c>
      <c r="S621" t="s">
        <v>224</v>
      </c>
      <c r="T621" t="s">
        <v>374</v>
      </c>
      <c r="U621">
        <v>1.3244101083432474E-4</v>
      </c>
      <c r="V621" t="s">
        <v>166</v>
      </c>
    </row>
    <row r="622" spans="9:22" x14ac:dyDescent="0.45">
      <c r="I622" t="s">
        <v>183</v>
      </c>
      <c r="J622" t="s">
        <v>375</v>
      </c>
      <c r="K622">
        <v>0</v>
      </c>
      <c r="L622" t="s">
        <v>166</v>
      </c>
      <c r="N622" t="s">
        <v>207</v>
      </c>
      <c r="O622" t="s">
        <v>375</v>
      </c>
      <c r="P622">
        <v>4.4811623923856504E-5</v>
      </c>
      <c r="Q622" t="s">
        <v>166</v>
      </c>
      <c r="S622" t="s">
        <v>224</v>
      </c>
      <c r="T622" t="s">
        <v>375</v>
      </c>
      <c r="U622">
        <v>1.2655703862250367E-4</v>
      </c>
      <c r="V622" t="s">
        <v>166</v>
      </c>
    </row>
    <row r="623" spans="9:22" x14ac:dyDescent="0.45">
      <c r="I623" t="s">
        <v>183</v>
      </c>
      <c r="J623" t="s">
        <v>376</v>
      </c>
      <c r="K623">
        <v>0</v>
      </c>
      <c r="L623" t="s">
        <v>166</v>
      </c>
      <c r="N623" t="s">
        <v>207</v>
      </c>
      <c r="O623" t="s">
        <v>376</v>
      </c>
      <c r="P623">
        <v>4.7658172127668466E-5</v>
      </c>
      <c r="Q623" t="s">
        <v>166</v>
      </c>
      <c r="S623" t="s">
        <v>224</v>
      </c>
      <c r="T623" t="s">
        <v>376</v>
      </c>
      <c r="U623">
        <v>1.514189179895501E-4</v>
      </c>
      <c r="V623" t="s">
        <v>166</v>
      </c>
    </row>
    <row r="624" spans="9:22" x14ac:dyDescent="0.45">
      <c r="I624" t="s">
        <v>183</v>
      </c>
      <c r="J624" t="s">
        <v>377</v>
      </c>
      <c r="K624">
        <v>1.1965636572952489E-4</v>
      </c>
      <c r="L624" t="s">
        <v>166</v>
      </c>
      <c r="N624" t="s">
        <v>207</v>
      </c>
      <c r="O624" t="s">
        <v>377</v>
      </c>
      <c r="P624">
        <v>5.0045605134133198E-5</v>
      </c>
      <c r="Q624" t="s">
        <v>166</v>
      </c>
      <c r="S624" t="s">
        <v>224</v>
      </c>
      <c r="T624" t="s">
        <v>377</v>
      </c>
      <c r="U624">
        <v>1.9139376088150314E-4</v>
      </c>
      <c r="V624" t="s">
        <v>166</v>
      </c>
    </row>
    <row r="625" spans="9:22" x14ac:dyDescent="0.45">
      <c r="I625" t="s">
        <v>183</v>
      </c>
      <c r="J625" t="s">
        <v>378</v>
      </c>
      <c r="K625">
        <v>2.3902695278267376E-4</v>
      </c>
      <c r="L625" t="s">
        <v>166</v>
      </c>
      <c r="N625" t="s">
        <v>207</v>
      </c>
      <c r="O625" t="s">
        <v>378</v>
      </c>
      <c r="P625">
        <v>6.0828114460670306E-5</v>
      </c>
      <c r="Q625" t="s">
        <v>166</v>
      </c>
      <c r="S625" t="s">
        <v>224</v>
      </c>
      <c r="T625" t="s">
        <v>378</v>
      </c>
      <c r="U625">
        <v>2.1590372935827095E-4</v>
      </c>
      <c r="V625" t="s">
        <v>166</v>
      </c>
    </row>
    <row r="626" spans="9:22" x14ac:dyDescent="0.45">
      <c r="I626" t="s">
        <v>183</v>
      </c>
      <c r="J626" t="s">
        <v>379</v>
      </c>
      <c r="K626">
        <v>3.2703965143433356E-4</v>
      </c>
      <c r="L626" t="s">
        <v>166</v>
      </c>
      <c r="N626" t="s">
        <v>207</v>
      </c>
      <c r="O626" t="s">
        <v>379</v>
      </c>
      <c r="P626">
        <v>7.0318049424954851E-5</v>
      </c>
      <c r="Q626" t="s">
        <v>166</v>
      </c>
      <c r="S626" t="s">
        <v>224</v>
      </c>
      <c r="T626" t="s">
        <v>379</v>
      </c>
      <c r="U626">
        <v>2.1492897887203451E-4</v>
      </c>
      <c r="V626" t="s">
        <v>166</v>
      </c>
    </row>
    <row r="627" spans="9:22" x14ac:dyDescent="0.45">
      <c r="I627" t="s">
        <v>183</v>
      </c>
      <c r="J627" t="s">
        <v>380</v>
      </c>
      <c r="K627">
        <v>3.5506810756021008E-4</v>
      </c>
      <c r="L627" t="s">
        <v>166</v>
      </c>
      <c r="N627" t="s">
        <v>207</v>
      </c>
      <c r="O627" t="s">
        <v>380</v>
      </c>
      <c r="P627">
        <v>6.151232862683667E-5</v>
      </c>
      <c r="Q627" t="s">
        <v>166</v>
      </c>
      <c r="S627" t="s">
        <v>224</v>
      </c>
      <c r="T627" t="s">
        <v>380</v>
      </c>
      <c r="U627">
        <v>2.2286889633257604E-4</v>
      </c>
      <c r="V627" t="s">
        <v>166</v>
      </c>
    </row>
    <row r="628" spans="9:22" x14ac:dyDescent="0.45">
      <c r="I628" t="s">
        <v>183</v>
      </c>
      <c r="J628" t="s">
        <v>381</v>
      </c>
      <c r="K628">
        <v>4.0519661441826564E-4</v>
      </c>
      <c r="L628" t="s">
        <v>166</v>
      </c>
      <c r="N628" t="s">
        <v>207</v>
      </c>
      <c r="O628" t="s">
        <v>381</v>
      </c>
      <c r="P628">
        <v>4.0792632755074619E-5</v>
      </c>
      <c r="Q628" t="s">
        <v>166</v>
      </c>
      <c r="S628" t="s">
        <v>224</v>
      </c>
      <c r="T628" t="s">
        <v>381</v>
      </c>
      <c r="U628">
        <v>2.3075272207213646E-4</v>
      </c>
      <c r="V628" t="s">
        <v>166</v>
      </c>
    </row>
    <row r="629" spans="9:22" x14ac:dyDescent="0.45">
      <c r="I629" t="s">
        <v>183</v>
      </c>
      <c r="J629" t="s">
        <v>382</v>
      </c>
      <c r="K629">
        <v>4.1382420617233135E-4</v>
      </c>
      <c r="L629" t="s">
        <v>166</v>
      </c>
      <c r="N629" t="s">
        <v>207</v>
      </c>
      <c r="O629" t="s">
        <v>382</v>
      </c>
      <c r="P629">
        <v>1.6969335410885386E-5</v>
      </c>
      <c r="Q629" t="s">
        <v>166</v>
      </c>
      <c r="S629" t="s">
        <v>224</v>
      </c>
      <c r="T629" t="s">
        <v>382</v>
      </c>
      <c r="U629">
        <v>2.2486196176805926E-4</v>
      </c>
      <c r="V629" t="s">
        <v>166</v>
      </c>
    </row>
    <row r="630" spans="9:22" x14ac:dyDescent="0.45">
      <c r="I630" t="s">
        <v>183</v>
      </c>
      <c r="J630" t="s">
        <v>383</v>
      </c>
      <c r="K630">
        <v>4.1068389223777049E-4</v>
      </c>
      <c r="L630" t="s">
        <v>166</v>
      </c>
      <c r="N630" t="s">
        <v>207</v>
      </c>
      <c r="O630" t="s">
        <v>383</v>
      </c>
      <c r="P630">
        <v>7.7289653567366867E-6</v>
      </c>
      <c r="Q630" t="s">
        <v>166</v>
      </c>
      <c r="S630" t="s">
        <v>224</v>
      </c>
      <c r="T630" t="s">
        <v>383</v>
      </c>
      <c r="U630">
        <v>1.9921764051300544E-4</v>
      </c>
      <c r="V630" t="s">
        <v>166</v>
      </c>
    </row>
    <row r="631" spans="9:22" x14ac:dyDescent="0.45">
      <c r="I631" t="s">
        <v>183</v>
      </c>
      <c r="J631" t="s">
        <v>384</v>
      </c>
      <c r="K631">
        <v>3.8722914124808842E-4</v>
      </c>
      <c r="L631" t="s">
        <v>166</v>
      </c>
      <c r="N631" t="s">
        <v>207</v>
      </c>
      <c r="O631" t="s">
        <v>384</v>
      </c>
      <c r="P631">
        <v>1.0959597503753188E-5</v>
      </c>
      <c r="Q631" t="s">
        <v>166</v>
      </c>
      <c r="S631" t="s">
        <v>224</v>
      </c>
      <c r="T631" t="s">
        <v>384</v>
      </c>
      <c r="U631">
        <v>1.7064386221502084E-4</v>
      </c>
      <c r="V631" t="s">
        <v>166</v>
      </c>
    </row>
    <row r="632" spans="9:22" x14ac:dyDescent="0.45">
      <c r="I632" t="s">
        <v>183</v>
      </c>
      <c r="J632" t="s">
        <v>385</v>
      </c>
      <c r="K632">
        <v>3.7777446775530806E-4</v>
      </c>
      <c r="L632" t="s">
        <v>166</v>
      </c>
      <c r="N632" t="s">
        <v>207</v>
      </c>
      <c r="O632" t="s">
        <v>385</v>
      </c>
      <c r="P632">
        <v>2.952737447968064E-5</v>
      </c>
      <c r="Q632" t="s">
        <v>166</v>
      </c>
      <c r="S632" t="s">
        <v>224</v>
      </c>
      <c r="T632" t="s">
        <v>385</v>
      </c>
      <c r="U632">
        <v>1.7165732091766381E-4</v>
      </c>
      <c r="V632" t="s">
        <v>166</v>
      </c>
    </row>
    <row r="633" spans="9:22" x14ac:dyDescent="0.45">
      <c r="I633" t="s">
        <v>183</v>
      </c>
      <c r="J633" t="s">
        <v>386</v>
      </c>
      <c r="K633">
        <v>3.2301843435157305E-4</v>
      </c>
      <c r="L633" t="s">
        <v>166</v>
      </c>
      <c r="N633" t="s">
        <v>207</v>
      </c>
      <c r="O633" t="s">
        <v>386</v>
      </c>
      <c r="P633">
        <v>4.7294899494311939E-5</v>
      </c>
      <c r="Q633" t="s">
        <v>166</v>
      </c>
      <c r="S633" t="s">
        <v>224</v>
      </c>
      <c r="T633" t="s">
        <v>386</v>
      </c>
      <c r="U633">
        <v>1.7786411100623051E-4</v>
      </c>
      <c r="V633" t="s">
        <v>166</v>
      </c>
    </row>
    <row r="634" spans="9:22" x14ac:dyDescent="0.45">
      <c r="I634" t="s">
        <v>183</v>
      </c>
      <c r="J634" t="s">
        <v>387</v>
      </c>
      <c r="K634">
        <v>2.8610595855800937E-4</v>
      </c>
      <c r="L634" t="s">
        <v>166</v>
      </c>
      <c r="N634" t="s">
        <v>207</v>
      </c>
      <c r="O634" t="s">
        <v>387</v>
      </c>
      <c r="P634">
        <v>5.2739708687463339E-5</v>
      </c>
      <c r="Q634" t="s">
        <v>166</v>
      </c>
      <c r="S634" t="s">
        <v>224</v>
      </c>
      <c r="T634" t="s">
        <v>387</v>
      </c>
      <c r="U634">
        <v>1.4797170113773969E-4</v>
      </c>
      <c r="V634" t="s">
        <v>166</v>
      </c>
    </row>
    <row r="635" spans="9:22" x14ac:dyDescent="0.45">
      <c r="I635" t="s">
        <v>183</v>
      </c>
      <c r="J635" t="s">
        <v>388</v>
      </c>
      <c r="K635">
        <v>1.8313719915820885E-4</v>
      </c>
      <c r="L635" t="s">
        <v>166</v>
      </c>
      <c r="N635" t="s">
        <v>207</v>
      </c>
      <c r="O635" t="s">
        <v>388</v>
      </c>
      <c r="P635">
        <v>4.9609525884913631E-5</v>
      </c>
      <c r="Q635" t="s">
        <v>166</v>
      </c>
      <c r="S635" t="s">
        <v>224</v>
      </c>
      <c r="T635" t="s">
        <v>388</v>
      </c>
      <c r="U635">
        <v>1.4659070499222317E-4</v>
      </c>
      <c r="V635" t="s">
        <v>166</v>
      </c>
    </row>
    <row r="636" spans="9:22" x14ac:dyDescent="0.45">
      <c r="I636" t="s">
        <v>183</v>
      </c>
      <c r="J636" t="s">
        <v>389</v>
      </c>
      <c r="K636">
        <v>0</v>
      </c>
      <c r="L636" t="s">
        <v>166</v>
      </c>
      <c r="N636" t="s">
        <v>207</v>
      </c>
      <c r="O636" t="s">
        <v>389</v>
      </c>
      <c r="P636">
        <v>4.9364916364774369E-5</v>
      </c>
      <c r="Q636" t="s">
        <v>166</v>
      </c>
      <c r="S636" t="s">
        <v>224</v>
      </c>
      <c r="T636" t="s">
        <v>389</v>
      </c>
      <c r="U636">
        <v>1.5379410824778951E-4</v>
      </c>
      <c r="V636" t="s">
        <v>166</v>
      </c>
    </row>
    <row r="637" spans="9:22" x14ac:dyDescent="0.45">
      <c r="I637" t="s">
        <v>183</v>
      </c>
      <c r="J637" t="s">
        <v>390</v>
      </c>
      <c r="K637">
        <v>0</v>
      </c>
      <c r="L637" t="s">
        <v>166</v>
      </c>
      <c r="N637" t="s">
        <v>207</v>
      </c>
      <c r="O637" t="s">
        <v>390</v>
      </c>
      <c r="P637">
        <v>4.6352997841159885E-5</v>
      </c>
      <c r="Q637" t="s">
        <v>166</v>
      </c>
      <c r="S637" t="s">
        <v>224</v>
      </c>
      <c r="T637" t="s">
        <v>390</v>
      </c>
      <c r="U637">
        <v>1.6313208300495704E-4</v>
      </c>
      <c r="V637" t="s">
        <v>166</v>
      </c>
    </row>
    <row r="638" spans="9:22" x14ac:dyDescent="0.45">
      <c r="I638" t="s">
        <v>183</v>
      </c>
      <c r="J638" t="s">
        <v>391</v>
      </c>
      <c r="K638">
        <v>0</v>
      </c>
      <c r="L638" t="s">
        <v>166</v>
      </c>
      <c r="N638" t="s">
        <v>207</v>
      </c>
      <c r="O638" t="s">
        <v>391</v>
      </c>
      <c r="P638">
        <v>6.347615957445734E-5</v>
      </c>
      <c r="Q638" t="s">
        <v>166</v>
      </c>
      <c r="S638" t="s">
        <v>224</v>
      </c>
      <c r="T638" t="s">
        <v>391</v>
      </c>
      <c r="U638">
        <v>1.8355215452823157E-4</v>
      </c>
      <c r="V638" t="s">
        <v>166</v>
      </c>
    </row>
    <row r="639" spans="9:22" x14ac:dyDescent="0.45">
      <c r="I639" t="s">
        <v>183</v>
      </c>
      <c r="J639" t="s">
        <v>392</v>
      </c>
      <c r="K639">
        <v>0</v>
      </c>
      <c r="L639" t="s">
        <v>166</v>
      </c>
      <c r="N639" t="s">
        <v>207</v>
      </c>
      <c r="O639" t="s">
        <v>392</v>
      </c>
      <c r="P639">
        <v>7.963628010108788E-5</v>
      </c>
      <c r="Q639" t="s">
        <v>166</v>
      </c>
      <c r="S639" t="s">
        <v>224</v>
      </c>
      <c r="T639" t="s">
        <v>392</v>
      </c>
      <c r="U639">
        <v>1.8629898195540726E-4</v>
      </c>
      <c r="V639" t="s">
        <v>166</v>
      </c>
    </row>
    <row r="640" spans="9:22" x14ac:dyDescent="0.45">
      <c r="I640" t="s">
        <v>183</v>
      </c>
      <c r="J640" t="s">
        <v>393</v>
      </c>
      <c r="K640">
        <v>0</v>
      </c>
      <c r="L640" t="s">
        <v>166</v>
      </c>
      <c r="N640" t="s">
        <v>207</v>
      </c>
      <c r="O640" t="s">
        <v>393</v>
      </c>
      <c r="P640">
        <v>6.6788362612332452E-5</v>
      </c>
      <c r="Q640" t="s">
        <v>166</v>
      </c>
      <c r="S640" t="s">
        <v>224</v>
      </c>
      <c r="T640" t="s">
        <v>393</v>
      </c>
      <c r="U640">
        <v>1.8592130554238219E-4</v>
      </c>
      <c r="V640" t="s">
        <v>166</v>
      </c>
    </row>
    <row r="641" spans="9:22" x14ac:dyDescent="0.45">
      <c r="I641" t="s">
        <v>183</v>
      </c>
      <c r="J641" t="s">
        <v>169</v>
      </c>
      <c r="K641">
        <v>3.3136344746285463E-3</v>
      </c>
      <c r="L641" t="s">
        <v>166</v>
      </c>
      <c r="N641" t="s">
        <v>207</v>
      </c>
      <c r="O641" t="s">
        <v>169</v>
      </c>
      <c r="P641">
        <v>1.3933978887540917E-2</v>
      </c>
      <c r="Q641" t="s">
        <v>166</v>
      </c>
      <c r="S641" t="s">
        <v>224</v>
      </c>
      <c r="T641" t="s">
        <v>169</v>
      </c>
      <c r="U641">
        <v>3.1583874637677724E-3</v>
      </c>
      <c r="V641" t="s">
        <v>166</v>
      </c>
    </row>
    <row r="642" spans="9:22" x14ac:dyDescent="0.45">
      <c r="I642" t="s">
        <v>183</v>
      </c>
      <c r="J642" t="s">
        <v>170</v>
      </c>
      <c r="K642">
        <v>5.6787535979562842E-3</v>
      </c>
      <c r="L642" t="s">
        <v>166</v>
      </c>
      <c r="N642" t="s">
        <v>207</v>
      </c>
      <c r="O642" t="s">
        <v>170</v>
      </c>
      <c r="P642">
        <v>1.8274738753427063E-3</v>
      </c>
      <c r="Q642" t="s">
        <v>166</v>
      </c>
      <c r="S642" t="s">
        <v>224</v>
      </c>
      <c r="T642" t="s">
        <v>170</v>
      </c>
      <c r="U642">
        <v>4.3631806859858384E-4</v>
      </c>
      <c r="V642" t="s">
        <v>166</v>
      </c>
    </row>
    <row r="643" spans="9:22" x14ac:dyDescent="0.45">
      <c r="I643" t="s">
        <v>183</v>
      </c>
      <c r="J643" t="s">
        <v>171</v>
      </c>
      <c r="K643">
        <v>6.1202834213782552E-2</v>
      </c>
      <c r="L643" t="s">
        <v>166</v>
      </c>
      <c r="N643" t="s">
        <v>207</v>
      </c>
      <c r="O643" t="s">
        <v>171</v>
      </c>
      <c r="P643">
        <v>1.3582230257284198E-2</v>
      </c>
      <c r="Q643" t="s">
        <v>166</v>
      </c>
      <c r="S643" t="s">
        <v>224</v>
      </c>
      <c r="T643" t="s">
        <v>171</v>
      </c>
      <c r="U643">
        <v>3.1050185825042282E-3</v>
      </c>
      <c r="V643" t="s">
        <v>166</v>
      </c>
    </row>
    <row r="644" spans="9:22" x14ac:dyDescent="0.45">
      <c r="I644" t="s">
        <v>183</v>
      </c>
      <c r="J644" t="s">
        <v>261</v>
      </c>
      <c r="K644">
        <v>5.7893895310958555E-3</v>
      </c>
      <c r="L644" t="s">
        <v>166</v>
      </c>
      <c r="N644" t="s">
        <v>207</v>
      </c>
      <c r="O644" t="s">
        <v>261</v>
      </c>
      <c r="P644">
        <v>2.1277903312026782E-3</v>
      </c>
      <c r="Q644" t="s">
        <v>166</v>
      </c>
      <c r="S644" t="s">
        <v>224</v>
      </c>
      <c r="T644" t="s">
        <v>261</v>
      </c>
      <c r="U644">
        <v>3.7584208894269298E-4</v>
      </c>
      <c r="V644" t="s">
        <v>166</v>
      </c>
    </row>
    <row r="645" spans="9:22" x14ac:dyDescent="0.45">
      <c r="I645" t="s">
        <v>183</v>
      </c>
      <c r="J645" t="s">
        <v>262</v>
      </c>
      <c r="K645">
        <v>6.1168762539940838E-3</v>
      </c>
      <c r="L645" t="s">
        <v>166</v>
      </c>
      <c r="N645" t="s">
        <v>207</v>
      </c>
      <c r="O645" t="s">
        <v>262</v>
      </c>
      <c r="P645">
        <v>2.7705909042226627E-3</v>
      </c>
      <c r="Q645" t="s">
        <v>166</v>
      </c>
      <c r="S645" t="s">
        <v>224</v>
      </c>
      <c r="T645" t="s">
        <v>262</v>
      </c>
      <c r="U645">
        <v>6.3460718260555007E-4</v>
      </c>
      <c r="V645" t="s">
        <v>166</v>
      </c>
    </row>
    <row r="646" spans="9:22" x14ac:dyDescent="0.45">
      <c r="I646" t="s">
        <v>183</v>
      </c>
      <c r="J646" t="s">
        <v>263</v>
      </c>
      <c r="K646">
        <v>0</v>
      </c>
      <c r="L646" t="s">
        <v>166</v>
      </c>
      <c r="N646" t="s">
        <v>207</v>
      </c>
      <c r="O646" t="s">
        <v>263</v>
      </c>
      <c r="P646">
        <v>7.0131354982978017E-3</v>
      </c>
      <c r="Q646" t="s">
        <v>166</v>
      </c>
      <c r="S646" t="s">
        <v>224</v>
      </c>
      <c r="T646" t="s">
        <v>263</v>
      </c>
      <c r="U646">
        <v>1.7856208458300088E-3</v>
      </c>
      <c r="V646" t="s">
        <v>166</v>
      </c>
    </row>
    <row r="647" spans="9:22" x14ac:dyDescent="0.45">
      <c r="I647" t="s">
        <v>183</v>
      </c>
      <c r="J647" t="s">
        <v>172</v>
      </c>
      <c r="K647">
        <v>2.375200546958528E-3</v>
      </c>
      <c r="L647" t="s">
        <v>166</v>
      </c>
      <c r="N647" t="s">
        <v>207</v>
      </c>
      <c r="O647" t="s">
        <v>172</v>
      </c>
      <c r="P647">
        <v>4.300694481237529E-2</v>
      </c>
      <c r="Q647" t="s">
        <v>166</v>
      </c>
      <c r="S647" t="s">
        <v>224</v>
      </c>
      <c r="T647" t="s">
        <v>172</v>
      </c>
      <c r="U647">
        <v>2.2001864765562755E-2</v>
      </c>
      <c r="V647" t="s">
        <v>166</v>
      </c>
    </row>
    <row r="648" spans="9:22" x14ac:dyDescent="0.45">
      <c r="I648" t="s">
        <v>183</v>
      </c>
      <c r="J648" t="s">
        <v>173</v>
      </c>
      <c r="K648">
        <v>4.1025999177442844E-3</v>
      </c>
      <c r="L648" t="s">
        <v>166</v>
      </c>
      <c r="N648" t="s">
        <v>207</v>
      </c>
      <c r="O648" t="s">
        <v>173</v>
      </c>
      <c r="P648">
        <v>5.040239454736967E-3</v>
      </c>
      <c r="Q648" t="s">
        <v>166</v>
      </c>
      <c r="S648" t="s">
        <v>224</v>
      </c>
      <c r="T648" t="s">
        <v>173</v>
      </c>
      <c r="U648">
        <v>2.9964687617244092E-3</v>
      </c>
      <c r="V648" t="s">
        <v>166</v>
      </c>
    </row>
    <row r="649" spans="9:22" x14ac:dyDescent="0.45">
      <c r="I649" t="s">
        <v>183</v>
      </c>
      <c r="J649" t="s">
        <v>174</v>
      </c>
      <c r="K649">
        <v>4.9699997303096238E-2</v>
      </c>
      <c r="L649" t="s">
        <v>166</v>
      </c>
      <c r="N649" t="s">
        <v>207</v>
      </c>
      <c r="O649" t="s">
        <v>174</v>
      </c>
      <c r="P649">
        <v>4.2200363829346769E-2</v>
      </c>
      <c r="Q649" t="s">
        <v>166</v>
      </c>
      <c r="S649" t="s">
        <v>224</v>
      </c>
      <c r="T649" t="s">
        <v>174</v>
      </c>
      <c r="U649">
        <v>1.8994022845664458E-2</v>
      </c>
      <c r="V649" t="s">
        <v>166</v>
      </c>
    </row>
    <row r="650" spans="9:22" x14ac:dyDescent="0.45">
      <c r="I650" t="s">
        <v>183</v>
      </c>
      <c r="J650" t="s">
        <v>264</v>
      </c>
      <c r="K650">
        <v>4.6860215652134206E-3</v>
      </c>
      <c r="L650" t="s">
        <v>166</v>
      </c>
      <c r="N650" t="s">
        <v>207</v>
      </c>
      <c r="O650" t="s">
        <v>264</v>
      </c>
      <c r="P650">
        <v>6.6005383054070213E-3</v>
      </c>
      <c r="Q650" t="s">
        <v>166</v>
      </c>
      <c r="S650" t="s">
        <v>224</v>
      </c>
      <c r="T650" t="s">
        <v>264</v>
      </c>
      <c r="U650">
        <v>2.3099800306889753E-3</v>
      </c>
      <c r="V650" t="s">
        <v>166</v>
      </c>
    </row>
    <row r="651" spans="9:22" x14ac:dyDescent="0.45">
      <c r="I651" t="s">
        <v>183</v>
      </c>
      <c r="J651" t="s">
        <v>265</v>
      </c>
      <c r="K651">
        <v>4.8119885468310601E-3</v>
      </c>
      <c r="L651" t="s">
        <v>166</v>
      </c>
      <c r="N651" t="s">
        <v>207</v>
      </c>
      <c r="O651" t="s">
        <v>265</v>
      </c>
      <c r="P651">
        <v>1.1464139365999826E-2</v>
      </c>
      <c r="Q651" t="s">
        <v>166</v>
      </c>
      <c r="S651" t="s">
        <v>224</v>
      </c>
      <c r="T651" t="s">
        <v>265</v>
      </c>
      <c r="U651">
        <v>4.4241876928989721E-3</v>
      </c>
      <c r="V651" t="s">
        <v>166</v>
      </c>
    </row>
    <row r="652" spans="9:22" x14ac:dyDescent="0.45">
      <c r="I652" t="s">
        <v>183</v>
      </c>
      <c r="J652" t="s">
        <v>266</v>
      </c>
      <c r="K652">
        <v>0</v>
      </c>
      <c r="L652" t="s">
        <v>166</v>
      </c>
      <c r="N652" t="s">
        <v>207</v>
      </c>
      <c r="O652" t="s">
        <v>266</v>
      </c>
      <c r="P652">
        <v>2.4341104482987225E-2</v>
      </c>
      <c r="Q652" t="s">
        <v>166</v>
      </c>
      <c r="S652" t="s">
        <v>224</v>
      </c>
      <c r="T652" t="s">
        <v>266</v>
      </c>
      <c r="U652">
        <v>1.0252143903038581E-2</v>
      </c>
      <c r="V652" t="s">
        <v>166</v>
      </c>
    </row>
    <row r="653" spans="9:22" x14ac:dyDescent="0.45">
      <c r="I653" t="s">
        <v>183</v>
      </c>
      <c r="J653" t="s">
        <v>175</v>
      </c>
      <c r="K653">
        <v>2.1082209171993703E-3</v>
      </c>
      <c r="L653" t="s">
        <v>166</v>
      </c>
      <c r="N653" t="s">
        <v>207</v>
      </c>
      <c r="O653" t="s">
        <v>175</v>
      </c>
      <c r="P653">
        <v>5.7494750353561712E-2</v>
      </c>
      <c r="Q653" t="s">
        <v>166</v>
      </c>
      <c r="S653" t="s">
        <v>224</v>
      </c>
      <c r="T653" t="s">
        <v>175</v>
      </c>
      <c r="U653">
        <v>2.6874127780957012E-2</v>
      </c>
      <c r="V653" t="s">
        <v>166</v>
      </c>
    </row>
    <row r="654" spans="9:22" x14ac:dyDescent="0.45">
      <c r="I654" t="s">
        <v>183</v>
      </c>
      <c r="J654" t="s">
        <v>176</v>
      </c>
      <c r="K654">
        <v>3.9631973100358606E-3</v>
      </c>
      <c r="L654" t="s">
        <v>166</v>
      </c>
      <c r="N654" t="s">
        <v>207</v>
      </c>
      <c r="O654" t="s">
        <v>176</v>
      </c>
      <c r="P654">
        <v>6.9514194018371958E-3</v>
      </c>
      <c r="Q654" t="s">
        <v>166</v>
      </c>
      <c r="S654" t="s">
        <v>224</v>
      </c>
      <c r="T654" t="s">
        <v>176</v>
      </c>
      <c r="U654">
        <v>3.2893065579988599E-3</v>
      </c>
      <c r="V654" t="s">
        <v>166</v>
      </c>
    </row>
    <row r="655" spans="9:22" x14ac:dyDescent="0.45">
      <c r="I655" t="s">
        <v>183</v>
      </c>
      <c r="J655" t="s">
        <v>177</v>
      </c>
      <c r="K655">
        <v>5.0268598427870292E-2</v>
      </c>
      <c r="L655" t="s">
        <v>166</v>
      </c>
      <c r="N655" t="s">
        <v>207</v>
      </c>
      <c r="O655" t="s">
        <v>177</v>
      </c>
      <c r="P655">
        <v>4.9894576347987871E-2</v>
      </c>
      <c r="Q655" t="s">
        <v>166</v>
      </c>
      <c r="S655" t="s">
        <v>224</v>
      </c>
      <c r="T655" t="s">
        <v>177</v>
      </c>
      <c r="U655">
        <v>2.375619265530746E-2</v>
      </c>
      <c r="V655" t="s">
        <v>166</v>
      </c>
    </row>
    <row r="656" spans="9:22" x14ac:dyDescent="0.45">
      <c r="I656" t="s">
        <v>183</v>
      </c>
      <c r="J656" t="s">
        <v>267</v>
      </c>
      <c r="K656">
        <v>4.2998460415518717E-3</v>
      </c>
      <c r="L656" t="s">
        <v>166</v>
      </c>
      <c r="N656" t="s">
        <v>207</v>
      </c>
      <c r="O656" t="s">
        <v>267</v>
      </c>
      <c r="P656">
        <v>7.5858268144890547E-3</v>
      </c>
      <c r="Q656" t="s">
        <v>166</v>
      </c>
      <c r="S656" t="s">
        <v>224</v>
      </c>
      <c r="T656" t="s">
        <v>267</v>
      </c>
      <c r="U656">
        <v>3.3865380983182855E-3</v>
      </c>
      <c r="V656" t="s">
        <v>166</v>
      </c>
    </row>
    <row r="657" spans="9:22" x14ac:dyDescent="0.45">
      <c r="I657" t="s">
        <v>183</v>
      </c>
      <c r="J657" t="s">
        <v>268</v>
      </c>
      <c r="K657">
        <v>4.3897100177898527E-3</v>
      </c>
      <c r="L657" t="s">
        <v>166</v>
      </c>
      <c r="N657" t="s">
        <v>207</v>
      </c>
      <c r="O657" t="s">
        <v>268</v>
      </c>
      <c r="P657">
        <v>1.4049537789472478E-2</v>
      </c>
      <c r="Q657" t="s">
        <v>166</v>
      </c>
      <c r="S657" t="s">
        <v>224</v>
      </c>
      <c r="T657" t="s">
        <v>268</v>
      </c>
      <c r="U657">
        <v>6.6308401981227784E-3</v>
      </c>
      <c r="V657" t="s">
        <v>166</v>
      </c>
    </row>
    <row r="658" spans="9:22" x14ac:dyDescent="0.45">
      <c r="I658" t="s">
        <v>183</v>
      </c>
      <c r="J658" t="s">
        <v>269</v>
      </c>
      <c r="K658">
        <v>0</v>
      </c>
      <c r="L658" t="s">
        <v>166</v>
      </c>
      <c r="N658" t="s">
        <v>207</v>
      </c>
      <c r="O658" t="s">
        <v>269</v>
      </c>
      <c r="P658">
        <v>3.2301258316700686E-2</v>
      </c>
      <c r="Q658" t="s">
        <v>166</v>
      </c>
      <c r="S658" t="s">
        <v>224</v>
      </c>
      <c r="T658" t="s">
        <v>269</v>
      </c>
      <c r="U658">
        <v>1.6017623679618093E-2</v>
      </c>
      <c r="V658" t="s">
        <v>166</v>
      </c>
    </row>
    <row r="659" spans="9:22" x14ac:dyDescent="0.45">
      <c r="I659" t="s">
        <v>183</v>
      </c>
      <c r="J659" t="s">
        <v>270</v>
      </c>
      <c r="K659">
        <v>2.7469203560438657E-3</v>
      </c>
      <c r="L659" t="s">
        <v>166</v>
      </c>
      <c r="N659" t="s">
        <v>207</v>
      </c>
      <c r="O659" t="s">
        <v>270</v>
      </c>
      <c r="P659">
        <v>5.1427167917223696E-2</v>
      </c>
      <c r="Q659" t="s">
        <v>166</v>
      </c>
      <c r="S659" t="s">
        <v>224</v>
      </c>
      <c r="T659" t="s">
        <v>270</v>
      </c>
      <c r="U659">
        <v>3.5919686516553272E-2</v>
      </c>
      <c r="V659" t="s">
        <v>166</v>
      </c>
    </row>
    <row r="660" spans="9:22" x14ac:dyDescent="0.45">
      <c r="I660" t="s">
        <v>183</v>
      </c>
      <c r="J660" t="s">
        <v>271</v>
      </c>
      <c r="K660">
        <v>4.8482072314410124E-3</v>
      </c>
      <c r="L660" t="s">
        <v>166</v>
      </c>
      <c r="N660" t="s">
        <v>207</v>
      </c>
      <c r="O660" t="s">
        <v>271</v>
      </c>
      <c r="P660">
        <v>6.3992965186038617E-3</v>
      </c>
      <c r="Q660" t="s">
        <v>166</v>
      </c>
      <c r="S660" t="s">
        <v>224</v>
      </c>
      <c r="T660" t="s">
        <v>271</v>
      </c>
      <c r="U660">
        <v>4.427526766692994E-3</v>
      </c>
      <c r="V660" t="s">
        <v>166</v>
      </c>
    </row>
    <row r="661" spans="9:22" x14ac:dyDescent="0.45">
      <c r="I661" t="s">
        <v>183</v>
      </c>
      <c r="J661" t="s">
        <v>272</v>
      </c>
      <c r="K661">
        <v>5.7371259108043388E-2</v>
      </c>
      <c r="L661" t="s">
        <v>166</v>
      </c>
      <c r="N661" t="s">
        <v>207</v>
      </c>
      <c r="O661" t="s">
        <v>272</v>
      </c>
      <c r="P661">
        <v>5.0723285627236193E-2</v>
      </c>
      <c r="Q661" t="s">
        <v>166</v>
      </c>
      <c r="S661" t="s">
        <v>224</v>
      </c>
      <c r="T661" t="s">
        <v>272</v>
      </c>
      <c r="U661">
        <v>3.2331047938560883E-2</v>
      </c>
      <c r="V661" t="s">
        <v>166</v>
      </c>
    </row>
    <row r="662" spans="9:22" x14ac:dyDescent="0.45">
      <c r="I662" t="s">
        <v>183</v>
      </c>
      <c r="J662" t="s">
        <v>273</v>
      </c>
      <c r="K662">
        <v>5.3009317016106047E-3</v>
      </c>
      <c r="L662" t="s">
        <v>166</v>
      </c>
      <c r="N662" t="s">
        <v>207</v>
      </c>
      <c r="O662" t="s">
        <v>273</v>
      </c>
      <c r="P662">
        <v>8.0981252103541779E-3</v>
      </c>
      <c r="Q662" t="s">
        <v>166</v>
      </c>
      <c r="S662" t="s">
        <v>224</v>
      </c>
      <c r="T662" t="s">
        <v>273</v>
      </c>
      <c r="U662">
        <v>4.4899623136758545E-3</v>
      </c>
      <c r="V662" t="s">
        <v>166</v>
      </c>
    </row>
    <row r="663" spans="9:22" x14ac:dyDescent="0.45">
      <c r="I663" t="s">
        <v>183</v>
      </c>
      <c r="J663" t="s">
        <v>274</v>
      </c>
      <c r="K663">
        <v>5.8902024627890516E-3</v>
      </c>
      <c r="L663" t="s">
        <v>166</v>
      </c>
      <c r="N663" t="s">
        <v>207</v>
      </c>
      <c r="O663" t="s">
        <v>274</v>
      </c>
      <c r="P663">
        <v>1.2291410075095485E-2</v>
      </c>
      <c r="Q663" t="s">
        <v>166</v>
      </c>
      <c r="S663" t="s">
        <v>224</v>
      </c>
      <c r="T663" t="s">
        <v>274</v>
      </c>
      <c r="U663">
        <v>8.2504436037314118E-3</v>
      </c>
      <c r="V663" t="s">
        <v>166</v>
      </c>
    </row>
    <row r="664" spans="9:22" x14ac:dyDescent="0.45">
      <c r="I664" t="s">
        <v>183</v>
      </c>
      <c r="J664" t="s">
        <v>275</v>
      </c>
      <c r="K664">
        <v>0</v>
      </c>
      <c r="L664" t="s">
        <v>166</v>
      </c>
      <c r="N664" t="s">
        <v>207</v>
      </c>
      <c r="O664" t="s">
        <v>275</v>
      </c>
      <c r="P664">
        <v>2.5513038958830413E-2</v>
      </c>
      <c r="Q664" t="s">
        <v>166</v>
      </c>
      <c r="S664" t="s">
        <v>224</v>
      </c>
      <c r="T664" t="s">
        <v>275</v>
      </c>
      <c r="U664">
        <v>2.0446943337126797E-2</v>
      </c>
      <c r="V664" t="s">
        <v>166</v>
      </c>
    </row>
    <row r="665" spans="9:22" x14ac:dyDescent="0.45">
      <c r="I665" t="s">
        <v>183</v>
      </c>
      <c r="J665" t="s">
        <v>276</v>
      </c>
      <c r="K665">
        <v>5.0791816084505862E-3</v>
      </c>
      <c r="L665" t="s">
        <v>166</v>
      </c>
      <c r="N665" t="s">
        <v>207</v>
      </c>
      <c r="O665" t="s">
        <v>276</v>
      </c>
      <c r="P665">
        <v>6.9380375639704631E-2</v>
      </c>
      <c r="Q665" t="s">
        <v>166</v>
      </c>
      <c r="S665" t="s">
        <v>224</v>
      </c>
      <c r="T665" t="s">
        <v>276</v>
      </c>
      <c r="U665">
        <v>5.1391446754974424E-2</v>
      </c>
      <c r="V665" t="s">
        <v>166</v>
      </c>
    </row>
    <row r="666" spans="9:22" x14ac:dyDescent="0.45">
      <c r="I666" t="s">
        <v>183</v>
      </c>
      <c r="J666" t="s">
        <v>277</v>
      </c>
      <c r="K666">
        <v>9.9621627709312217E-3</v>
      </c>
      <c r="L666" t="s">
        <v>166</v>
      </c>
      <c r="N666" t="s">
        <v>207</v>
      </c>
      <c r="O666" t="s">
        <v>277</v>
      </c>
      <c r="P666">
        <v>8.1253574243960493E-3</v>
      </c>
      <c r="Q666" t="s">
        <v>166</v>
      </c>
      <c r="S666" t="s">
        <v>224</v>
      </c>
      <c r="T666" t="s">
        <v>277</v>
      </c>
      <c r="U666">
        <v>6.4504365988412625E-3</v>
      </c>
      <c r="V666" t="s">
        <v>166</v>
      </c>
    </row>
    <row r="667" spans="9:22" x14ac:dyDescent="0.45">
      <c r="I667" t="s">
        <v>183</v>
      </c>
      <c r="J667" t="s">
        <v>278</v>
      </c>
      <c r="K667">
        <v>0.11555299687700171</v>
      </c>
      <c r="L667" t="s">
        <v>166</v>
      </c>
      <c r="N667" t="s">
        <v>207</v>
      </c>
      <c r="O667" t="s">
        <v>278</v>
      </c>
      <c r="P667">
        <v>6.1920766911969835E-2</v>
      </c>
      <c r="Q667" t="s">
        <v>166</v>
      </c>
      <c r="S667" t="s">
        <v>224</v>
      </c>
      <c r="T667" t="s">
        <v>278</v>
      </c>
      <c r="U667">
        <v>4.7727897192761395E-2</v>
      </c>
      <c r="V667" t="s">
        <v>166</v>
      </c>
    </row>
    <row r="668" spans="9:22" x14ac:dyDescent="0.45">
      <c r="I668" t="s">
        <v>183</v>
      </c>
      <c r="J668" t="s">
        <v>279</v>
      </c>
      <c r="K668">
        <v>1.0380930764362185E-2</v>
      </c>
      <c r="L668" t="s">
        <v>166</v>
      </c>
      <c r="N668" t="s">
        <v>207</v>
      </c>
      <c r="O668" t="s">
        <v>279</v>
      </c>
      <c r="P668">
        <v>9.772418259709174E-3</v>
      </c>
      <c r="Q668" t="s">
        <v>166</v>
      </c>
      <c r="S668" t="s">
        <v>224</v>
      </c>
      <c r="T668" t="s">
        <v>279</v>
      </c>
      <c r="U668">
        <v>6.7983774837286279E-3</v>
      </c>
      <c r="V668" t="s">
        <v>166</v>
      </c>
    </row>
    <row r="669" spans="9:22" x14ac:dyDescent="0.45">
      <c r="I669" t="s">
        <v>183</v>
      </c>
      <c r="J669" t="s">
        <v>280</v>
      </c>
      <c r="K669">
        <v>9.460809105722192E-3</v>
      </c>
      <c r="L669" t="s">
        <v>166</v>
      </c>
      <c r="N669" t="s">
        <v>207</v>
      </c>
      <c r="O669" t="s">
        <v>280</v>
      </c>
      <c r="P669">
        <v>1.5947795286857008E-2</v>
      </c>
      <c r="Q669" t="s">
        <v>166</v>
      </c>
      <c r="S669" t="s">
        <v>224</v>
      </c>
      <c r="T669" t="s">
        <v>280</v>
      </c>
      <c r="U669">
        <v>1.2981802825831862E-2</v>
      </c>
      <c r="V669" t="s">
        <v>166</v>
      </c>
    </row>
    <row r="670" spans="9:22" x14ac:dyDescent="0.45">
      <c r="I670" t="s">
        <v>183</v>
      </c>
      <c r="J670" t="s">
        <v>281</v>
      </c>
      <c r="K670">
        <v>0</v>
      </c>
      <c r="L670" t="s">
        <v>166</v>
      </c>
      <c r="N670" t="s">
        <v>207</v>
      </c>
      <c r="O670" t="s">
        <v>281</v>
      </c>
      <c r="P670">
        <v>3.4680965866789572E-2</v>
      </c>
      <c r="Q670" t="s">
        <v>166</v>
      </c>
      <c r="S670" t="s">
        <v>224</v>
      </c>
      <c r="T670" t="s">
        <v>281</v>
      </c>
      <c r="U670">
        <v>3.051770038073166E-2</v>
      </c>
      <c r="V670" t="s">
        <v>166</v>
      </c>
    </row>
    <row r="671" spans="9:22" x14ac:dyDescent="0.45">
      <c r="I671" t="s">
        <v>183</v>
      </c>
      <c r="J671" t="s">
        <v>282</v>
      </c>
      <c r="K671">
        <v>3.4649779530708824E-3</v>
      </c>
      <c r="L671" t="s">
        <v>166</v>
      </c>
      <c r="N671" t="s">
        <v>207</v>
      </c>
      <c r="O671" t="s">
        <v>282</v>
      </c>
      <c r="P671">
        <v>1.9679106269688381E-2</v>
      </c>
      <c r="Q671" t="s">
        <v>166</v>
      </c>
      <c r="S671" t="s">
        <v>224</v>
      </c>
      <c r="T671" t="s">
        <v>282</v>
      </c>
      <c r="U671">
        <v>2.063288271114842E-2</v>
      </c>
      <c r="V671" t="s">
        <v>166</v>
      </c>
    </row>
    <row r="672" spans="9:22" x14ac:dyDescent="0.45">
      <c r="I672" t="s">
        <v>183</v>
      </c>
      <c r="J672" t="s">
        <v>283</v>
      </c>
      <c r="K672">
        <v>6.2191669919903379E-3</v>
      </c>
      <c r="L672" t="s">
        <v>166</v>
      </c>
      <c r="N672" t="s">
        <v>207</v>
      </c>
      <c r="O672" t="s">
        <v>283</v>
      </c>
      <c r="P672">
        <v>3.4709184930011541E-3</v>
      </c>
      <c r="Q672" t="s">
        <v>166</v>
      </c>
      <c r="S672" t="s">
        <v>224</v>
      </c>
      <c r="T672" t="s">
        <v>283</v>
      </c>
      <c r="U672">
        <v>2.7966640561671134E-3</v>
      </c>
      <c r="V672" t="s">
        <v>166</v>
      </c>
    </row>
    <row r="673" spans="9:22" x14ac:dyDescent="0.45">
      <c r="I673" t="s">
        <v>183</v>
      </c>
      <c r="J673" t="s">
        <v>284</v>
      </c>
      <c r="K673">
        <v>6.1597057900645631E-2</v>
      </c>
      <c r="L673" t="s">
        <v>166</v>
      </c>
      <c r="N673" t="s">
        <v>207</v>
      </c>
      <c r="O673" t="s">
        <v>284</v>
      </c>
      <c r="P673">
        <v>1.7714714803116743E-2</v>
      </c>
      <c r="Q673" t="s">
        <v>166</v>
      </c>
      <c r="S673" t="s">
        <v>224</v>
      </c>
      <c r="T673" t="s">
        <v>284</v>
      </c>
      <c r="U673">
        <v>1.8514310623605288E-2</v>
      </c>
      <c r="V673" t="s">
        <v>166</v>
      </c>
    </row>
    <row r="674" spans="9:22" x14ac:dyDescent="0.45">
      <c r="I674" t="s">
        <v>183</v>
      </c>
      <c r="J674" t="s">
        <v>285</v>
      </c>
      <c r="K674">
        <v>6.0899204401584622E-3</v>
      </c>
      <c r="L674" t="s">
        <v>166</v>
      </c>
      <c r="N674" t="s">
        <v>207</v>
      </c>
      <c r="O674" t="s">
        <v>285</v>
      </c>
      <c r="P674">
        <v>1.7380081357079424E-3</v>
      </c>
      <c r="Q674" t="s">
        <v>166</v>
      </c>
      <c r="S674" t="s">
        <v>224</v>
      </c>
      <c r="T674" t="s">
        <v>285</v>
      </c>
      <c r="U674">
        <v>2.4577700257483008E-3</v>
      </c>
      <c r="V674" t="s">
        <v>166</v>
      </c>
    </row>
    <row r="675" spans="9:22" x14ac:dyDescent="0.45">
      <c r="I675" t="s">
        <v>183</v>
      </c>
      <c r="J675" t="s">
        <v>286</v>
      </c>
      <c r="K675">
        <v>5.305928488799262E-3</v>
      </c>
      <c r="L675" t="s">
        <v>166</v>
      </c>
      <c r="N675" t="s">
        <v>207</v>
      </c>
      <c r="O675" t="s">
        <v>286</v>
      </c>
      <c r="P675">
        <v>3.1358075155061057E-3</v>
      </c>
      <c r="Q675" t="s">
        <v>166</v>
      </c>
      <c r="S675" t="s">
        <v>224</v>
      </c>
      <c r="T675" t="s">
        <v>286</v>
      </c>
      <c r="U675">
        <v>4.6274039753691218E-3</v>
      </c>
      <c r="V675" t="s">
        <v>166</v>
      </c>
    </row>
    <row r="676" spans="9:22" x14ac:dyDescent="0.45">
      <c r="I676" t="s">
        <v>183</v>
      </c>
      <c r="J676" t="s">
        <v>287</v>
      </c>
      <c r="K676">
        <v>0</v>
      </c>
      <c r="L676" t="s">
        <v>166</v>
      </c>
      <c r="N676" t="s">
        <v>207</v>
      </c>
      <c r="O676" t="s">
        <v>287</v>
      </c>
      <c r="P676">
        <v>9.2341633087096916E-3</v>
      </c>
      <c r="Q676" t="s">
        <v>166</v>
      </c>
      <c r="S676" t="s">
        <v>224</v>
      </c>
      <c r="T676" t="s">
        <v>287</v>
      </c>
      <c r="U676">
        <v>1.3650029806707889E-2</v>
      </c>
      <c r="V676" t="s">
        <v>166</v>
      </c>
    </row>
    <row r="677" spans="9:22" x14ac:dyDescent="0.45">
      <c r="I677" t="s">
        <v>183</v>
      </c>
      <c r="J677" t="s">
        <v>288</v>
      </c>
      <c r="K677">
        <v>3.2335991406817425E-3</v>
      </c>
      <c r="L677" t="s">
        <v>166</v>
      </c>
      <c r="N677" t="s">
        <v>207</v>
      </c>
      <c r="O677" t="s">
        <v>288</v>
      </c>
      <c r="P677">
        <v>3.3976225304164942E-2</v>
      </c>
      <c r="Q677" t="s">
        <v>166</v>
      </c>
      <c r="S677" t="s">
        <v>224</v>
      </c>
      <c r="T677" t="s">
        <v>288</v>
      </c>
      <c r="U677">
        <v>5.2388364137944357E-2</v>
      </c>
      <c r="V677" t="s">
        <v>166</v>
      </c>
    </row>
    <row r="678" spans="9:22" x14ac:dyDescent="0.45">
      <c r="I678" t="s">
        <v>183</v>
      </c>
      <c r="J678" t="s">
        <v>289</v>
      </c>
      <c r="K678">
        <v>6.2409292864774694E-3</v>
      </c>
      <c r="L678" t="s">
        <v>166</v>
      </c>
      <c r="N678" t="s">
        <v>207</v>
      </c>
      <c r="O678" t="s">
        <v>289</v>
      </c>
      <c r="P678">
        <v>6.9434439708905291E-3</v>
      </c>
      <c r="Q678" t="s">
        <v>166</v>
      </c>
      <c r="S678" t="s">
        <v>224</v>
      </c>
      <c r="T678" t="s">
        <v>289</v>
      </c>
      <c r="U678">
        <v>6.7433177013252925E-3</v>
      </c>
      <c r="V678" t="s">
        <v>166</v>
      </c>
    </row>
    <row r="679" spans="9:22" x14ac:dyDescent="0.45">
      <c r="I679" t="s">
        <v>183</v>
      </c>
      <c r="J679" t="s">
        <v>290</v>
      </c>
      <c r="K679">
        <v>6.9826246080102475E-2</v>
      </c>
      <c r="L679" t="s">
        <v>166</v>
      </c>
      <c r="N679" t="s">
        <v>207</v>
      </c>
      <c r="O679" t="s">
        <v>290</v>
      </c>
      <c r="P679">
        <v>3.3072075080172833E-2</v>
      </c>
      <c r="Q679" t="s">
        <v>166</v>
      </c>
      <c r="S679" t="s">
        <v>224</v>
      </c>
      <c r="T679" t="s">
        <v>290</v>
      </c>
      <c r="U679">
        <v>4.6071665185266383E-2</v>
      </c>
      <c r="V679" t="s">
        <v>166</v>
      </c>
    </row>
    <row r="680" spans="9:22" x14ac:dyDescent="0.45">
      <c r="I680" t="s">
        <v>183</v>
      </c>
      <c r="J680" t="s">
        <v>291</v>
      </c>
      <c r="K680">
        <v>7.4425686639749879E-3</v>
      </c>
      <c r="L680" t="s">
        <v>166</v>
      </c>
      <c r="N680" t="s">
        <v>207</v>
      </c>
      <c r="O680" t="s">
        <v>291</v>
      </c>
      <c r="P680">
        <v>1.9972006613259963E-3</v>
      </c>
      <c r="Q680" t="s">
        <v>166</v>
      </c>
      <c r="S680" t="s">
        <v>224</v>
      </c>
      <c r="T680" t="s">
        <v>291</v>
      </c>
      <c r="U680">
        <v>6.6308499192978395E-3</v>
      </c>
      <c r="V680" t="s">
        <v>166</v>
      </c>
    </row>
    <row r="681" spans="9:22" x14ac:dyDescent="0.45">
      <c r="I681" t="s">
        <v>183</v>
      </c>
      <c r="J681" t="s">
        <v>292</v>
      </c>
      <c r="K681">
        <v>7.9564722738327629E-3</v>
      </c>
      <c r="L681" t="s">
        <v>166</v>
      </c>
      <c r="N681" t="s">
        <v>207</v>
      </c>
      <c r="O681" t="s">
        <v>292</v>
      </c>
      <c r="P681">
        <v>3.395203372080974E-3</v>
      </c>
      <c r="Q681" t="s">
        <v>166</v>
      </c>
      <c r="S681" t="s">
        <v>224</v>
      </c>
      <c r="T681" t="s">
        <v>292</v>
      </c>
      <c r="U681">
        <v>1.3052981363117959E-2</v>
      </c>
      <c r="V681" t="s">
        <v>166</v>
      </c>
    </row>
    <row r="682" spans="9:22" x14ac:dyDescent="0.45">
      <c r="I682" t="s">
        <v>183</v>
      </c>
      <c r="J682" t="s">
        <v>293</v>
      </c>
      <c r="K682">
        <v>0</v>
      </c>
      <c r="L682" t="s">
        <v>166</v>
      </c>
      <c r="N682" t="s">
        <v>207</v>
      </c>
      <c r="O682" t="s">
        <v>293</v>
      </c>
      <c r="P682">
        <v>1.4254340415232004E-2</v>
      </c>
      <c r="Q682" t="s">
        <v>166</v>
      </c>
      <c r="S682" t="s">
        <v>224</v>
      </c>
      <c r="T682" t="s">
        <v>293</v>
      </c>
      <c r="U682">
        <v>3.5138854894813901E-2</v>
      </c>
      <c r="V682" t="s">
        <v>166</v>
      </c>
    </row>
    <row r="683" spans="9:22" x14ac:dyDescent="0.45">
      <c r="I683" t="s">
        <v>184</v>
      </c>
      <c r="J683" t="s">
        <v>165</v>
      </c>
      <c r="K683">
        <v>1.6194940212304044E-2</v>
      </c>
      <c r="L683" t="s">
        <v>166</v>
      </c>
      <c r="N683" t="s">
        <v>208</v>
      </c>
      <c r="O683" t="s">
        <v>165</v>
      </c>
      <c r="P683">
        <v>9.6611219514370947E-2</v>
      </c>
      <c r="Q683" t="s">
        <v>166</v>
      </c>
      <c r="S683" t="s">
        <v>225</v>
      </c>
      <c r="T683" t="s">
        <v>165</v>
      </c>
      <c r="U683">
        <v>0.14142179221219328</v>
      </c>
      <c r="V683" t="s">
        <v>166</v>
      </c>
    </row>
    <row r="684" spans="9:22" x14ac:dyDescent="0.45">
      <c r="I684" t="s">
        <v>184</v>
      </c>
      <c r="J684" t="s">
        <v>167</v>
      </c>
      <c r="K684">
        <v>2.7064975781655475E-2</v>
      </c>
      <c r="L684" t="s">
        <v>166</v>
      </c>
      <c r="N684" t="s">
        <v>208</v>
      </c>
      <c r="O684" t="s">
        <v>167</v>
      </c>
      <c r="P684">
        <v>1.2492541680937268E-2</v>
      </c>
      <c r="Q684" t="s">
        <v>166</v>
      </c>
      <c r="S684" t="s">
        <v>225</v>
      </c>
      <c r="T684" t="s">
        <v>167</v>
      </c>
      <c r="U684">
        <v>1.8557747908973205E-2</v>
      </c>
      <c r="V684" t="s">
        <v>166</v>
      </c>
    </row>
    <row r="685" spans="9:22" x14ac:dyDescent="0.45">
      <c r="I685" t="s">
        <v>184</v>
      </c>
      <c r="J685" t="s">
        <v>168</v>
      </c>
      <c r="K685">
        <v>0.27292601805068523</v>
      </c>
      <c r="L685" t="s">
        <v>166</v>
      </c>
      <c r="N685" t="s">
        <v>208</v>
      </c>
      <c r="O685" t="s">
        <v>168</v>
      </c>
      <c r="P685">
        <v>9.1609570809706928E-2</v>
      </c>
      <c r="Q685" t="s">
        <v>166</v>
      </c>
      <c r="S685" t="s">
        <v>225</v>
      </c>
      <c r="T685" t="s">
        <v>168</v>
      </c>
      <c r="U685">
        <v>0.12567179388474384</v>
      </c>
      <c r="V685" t="s">
        <v>166</v>
      </c>
    </row>
    <row r="686" spans="9:22" x14ac:dyDescent="0.45">
      <c r="I686" t="s">
        <v>184</v>
      </c>
      <c r="J686" t="s">
        <v>258</v>
      </c>
      <c r="K686">
        <v>2.9088665191560337E-2</v>
      </c>
      <c r="L686" t="s">
        <v>166</v>
      </c>
      <c r="N686" t="s">
        <v>208</v>
      </c>
      <c r="O686" t="s">
        <v>258</v>
      </c>
      <c r="P686">
        <v>1.1855455221841041E-2</v>
      </c>
      <c r="Q686" t="s">
        <v>166</v>
      </c>
      <c r="S686" t="s">
        <v>225</v>
      </c>
      <c r="T686" t="s">
        <v>258</v>
      </c>
      <c r="U686">
        <v>1.7883425823728209E-2</v>
      </c>
      <c r="V686" t="s">
        <v>166</v>
      </c>
    </row>
    <row r="687" spans="9:22" x14ac:dyDescent="0.45">
      <c r="I687" t="s">
        <v>184</v>
      </c>
      <c r="J687" t="s">
        <v>259</v>
      </c>
      <c r="K687">
        <v>3.5240898762739503E-2</v>
      </c>
      <c r="L687" t="s">
        <v>166</v>
      </c>
      <c r="N687" t="s">
        <v>208</v>
      </c>
      <c r="O687" t="s">
        <v>259</v>
      </c>
      <c r="P687">
        <v>2.1527491085145317E-2</v>
      </c>
      <c r="Q687" t="s">
        <v>166</v>
      </c>
      <c r="S687" t="s">
        <v>225</v>
      </c>
      <c r="T687" t="s">
        <v>259</v>
      </c>
      <c r="U687">
        <v>3.3683130737278279E-2</v>
      </c>
      <c r="V687" t="s">
        <v>166</v>
      </c>
    </row>
    <row r="688" spans="9:22" x14ac:dyDescent="0.45">
      <c r="I688" t="s">
        <v>184</v>
      </c>
      <c r="J688" t="s">
        <v>260</v>
      </c>
      <c r="K688">
        <v>0</v>
      </c>
      <c r="L688" t="s">
        <v>166</v>
      </c>
      <c r="N688" t="s">
        <v>208</v>
      </c>
      <c r="O688" t="s">
        <v>260</v>
      </c>
      <c r="P688">
        <v>6.3781662586431503E-2</v>
      </c>
      <c r="Q688" t="s">
        <v>166</v>
      </c>
      <c r="S688" t="s">
        <v>225</v>
      </c>
      <c r="T688" t="s">
        <v>260</v>
      </c>
      <c r="U688">
        <v>9.4301838178555239E-2</v>
      </c>
      <c r="V688" t="s">
        <v>166</v>
      </c>
    </row>
    <row r="689" spans="9:22" x14ac:dyDescent="0.45">
      <c r="I689" t="s">
        <v>184</v>
      </c>
      <c r="J689" t="s">
        <v>346</v>
      </c>
      <c r="K689">
        <v>0</v>
      </c>
      <c r="L689" t="s">
        <v>166</v>
      </c>
      <c r="N689" t="s">
        <v>208</v>
      </c>
      <c r="O689" t="s">
        <v>346</v>
      </c>
      <c r="P689">
        <v>1.5038352935594376E-4</v>
      </c>
      <c r="Q689" t="s">
        <v>166</v>
      </c>
      <c r="S689" t="s">
        <v>225</v>
      </c>
      <c r="T689" t="s">
        <v>346</v>
      </c>
      <c r="U689">
        <v>2.6819382770739726E-4</v>
      </c>
      <c r="V689" t="s">
        <v>166</v>
      </c>
    </row>
    <row r="690" spans="9:22" x14ac:dyDescent="0.45">
      <c r="I690" t="s">
        <v>184</v>
      </c>
      <c r="J690" t="s">
        <v>347</v>
      </c>
      <c r="K690">
        <v>0</v>
      </c>
      <c r="L690" t="s">
        <v>166</v>
      </c>
      <c r="N690" t="s">
        <v>208</v>
      </c>
      <c r="O690" t="s">
        <v>347</v>
      </c>
      <c r="P690">
        <v>1.5293302434307989E-4</v>
      </c>
      <c r="Q690" t="s">
        <v>166</v>
      </c>
      <c r="S690" t="s">
        <v>225</v>
      </c>
      <c r="T690" t="s">
        <v>347</v>
      </c>
      <c r="U690">
        <v>2.4950938988977441E-4</v>
      </c>
      <c r="V690" t="s">
        <v>166</v>
      </c>
    </row>
    <row r="691" spans="9:22" x14ac:dyDescent="0.45">
      <c r="I691" t="s">
        <v>184</v>
      </c>
      <c r="J691" t="s">
        <v>348</v>
      </c>
      <c r="K691">
        <v>0</v>
      </c>
      <c r="L691" t="s">
        <v>166</v>
      </c>
      <c r="N691" t="s">
        <v>208</v>
      </c>
      <c r="O691" t="s">
        <v>348</v>
      </c>
      <c r="P691">
        <v>1.501077912815447E-4</v>
      </c>
      <c r="Q691" t="s">
        <v>166</v>
      </c>
      <c r="S691" t="s">
        <v>225</v>
      </c>
      <c r="T691" t="s">
        <v>348</v>
      </c>
      <c r="U691">
        <v>2.3633857936636134E-4</v>
      </c>
      <c r="V691" t="s">
        <v>166</v>
      </c>
    </row>
    <row r="692" spans="9:22" x14ac:dyDescent="0.45">
      <c r="I692" t="s">
        <v>184</v>
      </c>
      <c r="J692" t="s">
        <v>349</v>
      </c>
      <c r="K692">
        <v>0</v>
      </c>
      <c r="L692" t="s">
        <v>166</v>
      </c>
      <c r="N692" t="s">
        <v>208</v>
      </c>
      <c r="O692" t="s">
        <v>349</v>
      </c>
      <c r="P692">
        <v>1.5238852602553516E-4</v>
      </c>
      <c r="Q692" t="s">
        <v>166</v>
      </c>
      <c r="S692" t="s">
        <v>225</v>
      </c>
      <c r="T692" t="s">
        <v>349</v>
      </c>
      <c r="U692">
        <v>2.4200484568818206E-4</v>
      </c>
      <c r="V692" t="s">
        <v>166</v>
      </c>
    </row>
    <row r="693" spans="9:22" x14ac:dyDescent="0.45">
      <c r="I693" t="s">
        <v>184</v>
      </c>
      <c r="J693" t="s">
        <v>350</v>
      </c>
      <c r="K693">
        <v>0</v>
      </c>
      <c r="L693" t="s">
        <v>166</v>
      </c>
      <c r="N693" t="s">
        <v>208</v>
      </c>
      <c r="O693" t="s">
        <v>350</v>
      </c>
      <c r="P693">
        <v>1.6647568647394612E-4</v>
      </c>
      <c r="Q693" t="s">
        <v>166</v>
      </c>
      <c r="S693" t="s">
        <v>225</v>
      </c>
      <c r="T693" t="s">
        <v>350</v>
      </c>
      <c r="U693">
        <v>2.6069708398157506E-4</v>
      </c>
      <c r="V693" t="s">
        <v>166</v>
      </c>
    </row>
    <row r="694" spans="9:22" x14ac:dyDescent="0.45">
      <c r="I694" t="s">
        <v>184</v>
      </c>
      <c r="J694" t="s">
        <v>351</v>
      </c>
      <c r="K694">
        <v>0</v>
      </c>
      <c r="L694" t="s">
        <v>166</v>
      </c>
      <c r="N694" t="s">
        <v>208</v>
      </c>
      <c r="O694" t="s">
        <v>351</v>
      </c>
      <c r="P694">
        <v>1.8646508164527254E-4</v>
      </c>
      <c r="Q694" t="s">
        <v>166</v>
      </c>
      <c r="S694" t="s">
        <v>225</v>
      </c>
      <c r="T694" t="s">
        <v>351</v>
      </c>
      <c r="U694">
        <v>2.7161480417982803E-4</v>
      </c>
      <c r="V694" t="s">
        <v>166</v>
      </c>
    </row>
    <row r="695" spans="9:22" x14ac:dyDescent="0.45">
      <c r="I695" t="s">
        <v>184</v>
      </c>
      <c r="J695" t="s">
        <v>352</v>
      </c>
      <c r="K695">
        <v>0</v>
      </c>
      <c r="L695" t="s">
        <v>166</v>
      </c>
      <c r="N695" t="s">
        <v>208</v>
      </c>
      <c r="O695" t="s">
        <v>352</v>
      </c>
      <c r="P695">
        <v>2.0966373638921156E-4</v>
      </c>
      <c r="Q695" t="s">
        <v>166</v>
      </c>
      <c r="S695" t="s">
        <v>225</v>
      </c>
      <c r="T695" t="s">
        <v>352</v>
      </c>
      <c r="U695">
        <v>2.7619228043258717E-4</v>
      </c>
      <c r="V695" t="s">
        <v>166</v>
      </c>
    </row>
    <row r="696" spans="9:22" x14ac:dyDescent="0.45">
      <c r="I696" t="s">
        <v>184</v>
      </c>
      <c r="J696" t="s">
        <v>353</v>
      </c>
      <c r="K696">
        <v>1.243688707679688E-4</v>
      </c>
      <c r="L696" t="s">
        <v>166</v>
      </c>
      <c r="N696" t="s">
        <v>208</v>
      </c>
      <c r="O696" t="s">
        <v>353</v>
      </c>
      <c r="P696">
        <v>2.1069000832065542E-4</v>
      </c>
      <c r="Q696" t="s">
        <v>166</v>
      </c>
      <c r="S696" t="s">
        <v>225</v>
      </c>
      <c r="T696" t="s">
        <v>353</v>
      </c>
      <c r="U696">
        <v>3.0115140520388725E-4</v>
      </c>
      <c r="V696" t="s">
        <v>166</v>
      </c>
    </row>
    <row r="697" spans="9:22" x14ac:dyDescent="0.45">
      <c r="I697" t="s">
        <v>184</v>
      </c>
      <c r="J697" t="s">
        <v>354</v>
      </c>
      <c r="K697">
        <v>1.9069652873665707E-4</v>
      </c>
      <c r="L697" t="s">
        <v>166</v>
      </c>
      <c r="N697" t="s">
        <v>208</v>
      </c>
      <c r="O697" t="s">
        <v>354</v>
      </c>
      <c r="P697">
        <v>2.2018612075125381E-4</v>
      </c>
      <c r="Q697" t="s">
        <v>166</v>
      </c>
      <c r="S697" t="s">
        <v>225</v>
      </c>
      <c r="T697" t="s">
        <v>354</v>
      </c>
      <c r="U697">
        <v>3.2076044328844318E-4</v>
      </c>
      <c r="V697" t="s">
        <v>166</v>
      </c>
    </row>
    <row r="698" spans="9:22" x14ac:dyDescent="0.45">
      <c r="I698" t="s">
        <v>184</v>
      </c>
      <c r="J698" t="s">
        <v>355</v>
      </c>
      <c r="K698">
        <v>2.7582524923095049E-4</v>
      </c>
      <c r="L698" t="s">
        <v>166</v>
      </c>
      <c r="N698" t="s">
        <v>208</v>
      </c>
      <c r="O698" t="s">
        <v>355</v>
      </c>
      <c r="P698">
        <v>2.5635836985105011E-4</v>
      </c>
      <c r="Q698" t="s">
        <v>166</v>
      </c>
      <c r="S698" t="s">
        <v>225</v>
      </c>
      <c r="T698" t="s">
        <v>355</v>
      </c>
      <c r="U698">
        <v>3.3013998434610307E-4</v>
      </c>
      <c r="V698" t="s">
        <v>166</v>
      </c>
    </row>
    <row r="699" spans="9:22" x14ac:dyDescent="0.45">
      <c r="I699" t="s">
        <v>184</v>
      </c>
      <c r="J699" t="s">
        <v>356</v>
      </c>
      <c r="K699">
        <v>3.0142744929198811E-4</v>
      </c>
      <c r="L699" t="s">
        <v>166</v>
      </c>
      <c r="N699" t="s">
        <v>208</v>
      </c>
      <c r="O699" t="s">
        <v>356</v>
      </c>
      <c r="P699">
        <v>2.0408140700682611E-4</v>
      </c>
      <c r="Q699" t="s">
        <v>166</v>
      </c>
      <c r="S699" t="s">
        <v>225</v>
      </c>
      <c r="T699" t="s">
        <v>356</v>
      </c>
      <c r="U699">
        <v>3.364756595037418E-4</v>
      </c>
      <c r="V699" t="s">
        <v>166</v>
      </c>
    </row>
    <row r="700" spans="9:22" x14ac:dyDescent="0.45">
      <c r="I700" t="s">
        <v>184</v>
      </c>
      <c r="J700" t="s">
        <v>357</v>
      </c>
      <c r="K700">
        <v>3.3288440921982706E-4</v>
      </c>
      <c r="L700" t="s">
        <v>166</v>
      </c>
      <c r="N700" t="s">
        <v>208</v>
      </c>
      <c r="O700" t="s">
        <v>357</v>
      </c>
      <c r="P700">
        <v>1.6942226286614952E-4</v>
      </c>
      <c r="Q700" t="s">
        <v>166</v>
      </c>
      <c r="S700" t="s">
        <v>225</v>
      </c>
      <c r="T700" t="s">
        <v>357</v>
      </c>
      <c r="U700">
        <v>3.3519680553393221E-4</v>
      </c>
      <c r="V700" t="s">
        <v>166</v>
      </c>
    </row>
    <row r="701" spans="9:22" x14ac:dyDescent="0.45">
      <c r="I701" t="s">
        <v>184</v>
      </c>
      <c r="J701" t="s">
        <v>358</v>
      </c>
      <c r="K701">
        <v>3.1699838757993004E-4</v>
      </c>
      <c r="L701" t="s">
        <v>166</v>
      </c>
      <c r="N701" t="s">
        <v>208</v>
      </c>
      <c r="O701" t="s">
        <v>358</v>
      </c>
      <c r="P701">
        <v>1.4271579589749571E-4</v>
      </c>
      <c r="Q701" t="s">
        <v>166</v>
      </c>
      <c r="S701" t="s">
        <v>225</v>
      </c>
      <c r="T701" t="s">
        <v>358</v>
      </c>
      <c r="U701">
        <v>3.3035562455794275E-4</v>
      </c>
      <c r="V701" t="s">
        <v>166</v>
      </c>
    </row>
    <row r="702" spans="9:22" x14ac:dyDescent="0.45">
      <c r="I702" t="s">
        <v>184</v>
      </c>
      <c r="J702" t="s">
        <v>359</v>
      </c>
      <c r="K702">
        <v>3.1267819031942205E-4</v>
      </c>
      <c r="L702" t="s">
        <v>166</v>
      </c>
      <c r="N702" t="s">
        <v>208</v>
      </c>
      <c r="O702" t="s">
        <v>359</v>
      </c>
      <c r="P702">
        <v>1.1855924415699706E-4</v>
      </c>
      <c r="Q702" t="s">
        <v>166</v>
      </c>
      <c r="S702" t="s">
        <v>225</v>
      </c>
      <c r="T702" t="s">
        <v>359</v>
      </c>
      <c r="U702">
        <v>3.1568338855291492E-4</v>
      </c>
      <c r="V702" t="s">
        <v>166</v>
      </c>
    </row>
    <row r="703" spans="9:22" x14ac:dyDescent="0.45">
      <c r="I703" t="s">
        <v>184</v>
      </c>
      <c r="J703" t="s">
        <v>360</v>
      </c>
      <c r="K703">
        <v>3.3686303177200437E-4</v>
      </c>
      <c r="L703" t="s">
        <v>166</v>
      </c>
      <c r="N703" t="s">
        <v>208</v>
      </c>
      <c r="O703" t="s">
        <v>360</v>
      </c>
      <c r="P703">
        <v>9.862373042826031E-5</v>
      </c>
      <c r="Q703" t="s">
        <v>166</v>
      </c>
      <c r="S703" t="s">
        <v>225</v>
      </c>
      <c r="T703" t="s">
        <v>360</v>
      </c>
      <c r="U703">
        <v>2.9611410525481852E-4</v>
      </c>
      <c r="V703" t="s">
        <v>166</v>
      </c>
    </row>
    <row r="704" spans="9:22" x14ac:dyDescent="0.45">
      <c r="I704" t="s">
        <v>184</v>
      </c>
      <c r="J704" t="s">
        <v>361</v>
      </c>
      <c r="K704">
        <v>3.3857345802171967E-4</v>
      </c>
      <c r="L704" t="s">
        <v>166</v>
      </c>
      <c r="N704" t="s">
        <v>208</v>
      </c>
      <c r="O704" t="s">
        <v>361</v>
      </c>
      <c r="P704">
        <v>8.7554738202095598E-5</v>
      </c>
      <c r="Q704" t="s">
        <v>166</v>
      </c>
      <c r="S704" t="s">
        <v>225</v>
      </c>
      <c r="T704" t="s">
        <v>361</v>
      </c>
      <c r="U704">
        <v>2.8662597200587687E-4</v>
      </c>
      <c r="V704" t="s">
        <v>166</v>
      </c>
    </row>
    <row r="705" spans="9:22" x14ac:dyDescent="0.45">
      <c r="I705" t="s">
        <v>184</v>
      </c>
      <c r="J705" t="s">
        <v>362</v>
      </c>
      <c r="K705">
        <v>3.2475728251624109E-4</v>
      </c>
      <c r="L705" t="s">
        <v>166</v>
      </c>
      <c r="N705" t="s">
        <v>208</v>
      </c>
      <c r="O705" t="s">
        <v>362</v>
      </c>
      <c r="P705">
        <v>7.8280418829990562E-5</v>
      </c>
      <c r="Q705" t="s">
        <v>166</v>
      </c>
      <c r="S705" t="s">
        <v>225</v>
      </c>
      <c r="T705" t="s">
        <v>362</v>
      </c>
      <c r="U705">
        <v>2.8477328061017262E-4</v>
      </c>
      <c r="V705" t="s">
        <v>166</v>
      </c>
    </row>
    <row r="706" spans="9:22" x14ac:dyDescent="0.45">
      <c r="I706" t="s">
        <v>184</v>
      </c>
      <c r="J706" t="s">
        <v>363</v>
      </c>
      <c r="K706">
        <v>2.4895275474435294E-4</v>
      </c>
      <c r="L706" t="s">
        <v>166</v>
      </c>
      <c r="N706" t="s">
        <v>208</v>
      </c>
      <c r="O706" t="s">
        <v>363</v>
      </c>
      <c r="P706">
        <v>6.8870906879243328E-5</v>
      </c>
      <c r="Q706" t="s">
        <v>166</v>
      </c>
      <c r="S706" t="s">
        <v>225</v>
      </c>
      <c r="T706" t="s">
        <v>363</v>
      </c>
      <c r="U706">
        <v>2.2361308157844094E-4</v>
      </c>
      <c r="V706" t="s">
        <v>166</v>
      </c>
    </row>
    <row r="707" spans="9:22" x14ac:dyDescent="0.45">
      <c r="I707" t="s">
        <v>184</v>
      </c>
      <c r="J707" t="s">
        <v>364</v>
      </c>
      <c r="K707">
        <v>1.3138609519127377E-4</v>
      </c>
      <c r="L707" t="s">
        <v>166</v>
      </c>
      <c r="N707" t="s">
        <v>208</v>
      </c>
      <c r="O707" t="s">
        <v>364</v>
      </c>
      <c r="P707">
        <v>8.5246289022675588E-5</v>
      </c>
      <c r="Q707" t="s">
        <v>166</v>
      </c>
      <c r="S707" t="s">
        <v>225</v>
      </c>
      <c r="T707" t="s">
        <v>364</v>
      </c>
      <c r="U707">
        <v>2.3127052850010465E-4</v>
      </c>
      <c r="V707" t="s">
        <v>166</v>
      </c>
    </row>
    <row r="708" spans="9:22" x14ac:dyDescent="0.45">
      <c r="I708" t="s">
        <v>184</v>
      </c>
      <c r="J708" t="s">
        <v>365</v>
      </c>
      <c r="K708">
        <v>0</v>
      </c>
      <c r="L708" t="s">
        <v>166</v>
      </c>
      <c r="N708" t="s">
        <v>208</v>
      </c>
      <c r="O708" t="s">
        <v>365</v>
      </c>
      <c r="P708">
        <v>1.1488839099439212E-4</v>
      </c>
      <c r="Q708" t="s">
        <v>166</v>
      </c>
      <c r="S708" t="s">
        <v>225</v>
      </c>
      <c r="T708" t="s">
        <v>365</v>
      </c>
      <c r="U708">
        <v>2.2221785601146248E-4</v>
      </c>
      <c r="V708" t="s">
        <v>166</v>
      </c>
    </row>
    <row r="709" spans="9:22" x14ac:dyDescent="0.45">
      <c r="I709" t="s">
        <v>184</v>
      </c>
      <c r="J709" t="s">
        <v>366</v>
      </c>
      <c r="K709">
        <v>0</v>
      </c>
      <c r="L709" t="s">
        <v>166</v>
      </c>
      <c r="N709" t="s">
        <v>208</v>
      </c>
      <c r="O709" t="s">
        <v>366</v>
      </c>
      <c r="P709">
        <v>1.3141284017291059E-4</v>
      </c>
      <c r="Q709" t="s">
        <v>166</v>
      </c>
      <c r="S709" t="s">
        <v>225</v>
      </c>
      <c r="T709" t="s">
        <v>366</v>
      </c>
      <c r="U709">
        <v>2.2913264637848202E-4</v>
      </c>
      <c r="V709" t="s">
        <v>166</v>
      </c>
    </row>
    <row r="710" spans="9:22" x14ac:dyDescent="0.45">
      <c r="I710" t="s">
        <v>184</v>
      </c>
      <c r="J710" t="s">
        <v>367</v>
      </c>
      <c r="K710">
        <v>0</v>
      </c>
      <c r="L710" t="s">
        <v>166</v>
      </c>
      <c r="N710" t="s">
        <v>208</v>
      </c>
      <c r="O710" t="s">
        <v>367</v>
      </c>
      <c r="P710">
        <v>1.3518418264922181E-4</v>
      </c>
      <c r="Q710" t="s">
        <v>166</v>
      </c>
      <c r="S710" t="s">
        <v>225</v>
      </c>
      <c r="T710" t="s">
        <v>367</v>
      </c>
      <c r="U710">
        <v>2.1844241322766677E-4</v>
      </c>
      <c r="V710" t="s">
        <v>166</v>
      </c>
    </row>
    <row r="711" spans="9:22" x14ac:dyDescent="0.45">
      <c r="I711" t="s">
        <v>184</v>
      </c>
      <c r="J711" t="s">
        <v>368</v>
      </c>
      <c r="K711">
        <v>0</v>
      </c>
      <c r="L711" t="s">
        <v>166</v>
      </c>
      <c r="N711" t="s">
        <v>208</v>
      </c>
      <c r="O711" t="s">
        <v>368</v>
      </c>
      <c r="P711">
        <v>1.2551557061852347E-4</v>
      </c>
      <c r="Q711" t="s">
        <v>166</v>
      </c>
      <c r="S711" t="s">
        <v>225</v>
      </c>
      <c r="T711" t="s">
        <v>368</v>
      </c>
      <c r="U711">
        <v>1.9078042660083372E-4</v>
      </c>
      <c r="V711" t="s">
        <v>166</v>
      </c>
    </row>
    <row r="712" spans="9:22" x14ac:dyDescent="0.45">
      <c r="I712" t="s">
        <v>184</v>
      </c>
      <c r="J712" t="s">
        <v>369</v>
      </c>
      <c r="K712">
        <v>0</v>
      </c>
      <c r="L712" t="s">
        <v>166</v>
      </c>
      <c r="N712" t="s">
        <v>208</v>
      </c>
      <c r="O712" t="s">
        <v>369</v>
      </c>
      <c r="P712">
        <v>1.2044443685445352E-4</v>
      </c>
      <c r="Q712" t="s">
        <v>166</v>
      </c>
      <c r="S712" t="s">
        <v>225</v>
      </c>
      <c r="T712" t="s">
        <v>369</v>
      </c>
      <c r="U712">
        <v>1.7884122094310296E-4</v>
      </c>
      <c r="V712" t="s">
        <v>166</v>
      </c>
    </row>
    <row r="713" spans="9:22" x14ac:dyDescent="0.45">
      <c r="I713" t="s">
        <v>184</v>
      </c>
      <c r="J713" t="s">
        <v>370</v>
      </c>
      <c r="K713">
        <v>0</v>
      </c>
      <c r="L713" t="s">
        <v>166</v>
      </c>
      <c r="N713" t="s">
        <v>208</v>
      </c>
      <c r="O713" t="s">
        <v>370</v>
      </c>
      <c r="P713">
        <v>1.1273376358316299E-4</v>
      </c>
      <c r="Q713" t="s">
        <v>166</v>
      </c>
      <c r="S713" t="s">
        <v>225</v>
      </c>
      <c r="T713" t="s">
        <v>370</v>
      </c>
      <c r="U713">
        <v>1.9958797457623204E-4</v>
      </c>
      <c r="V713" t="s">
        <v>166</v>
      </c>
    </row>
    <row r="714" spans="9:22" x14ac:dyDescent="0.45">
      <c r="I714" t="s">
        <v>184</v>
      </c>
      <c r="J714" t="s">
        <v>371</v>
      </c>
      <c r="K714">
        <v>0</v>
      </c>
      <c r="L714" t="s">
        <v>166</v>
      </c>
      <c r="N714" t="s">
        <v>208</v>
      </c>
      <c r="O714" t="s">
        <v>371</v>
      </c>
      <c r="P714">
        <v>1.0412404464554161E-4</v>
      </c>
      <c r="Q714" t="s">
        <v>166</v>
      </c>
      <c r="S714" t="s">
        <v>225</v>
      </c>
      <c r="T714" t="s">
        <v>371</v>
      </c>
      <c r="U714">
        <v>1.951705612590468E-4</v>
      </c>
      <c r="V714" t="s">
        <v>166</v>
      </c>
    </row>
    <row r="715" spans="9:22" x14ac:dyDescent="0.45">
      <c r="I715" t="s">
        <v>184</v>
      </c>
      <c r="J715" t="s">
        <v>372</v>
      </c>
      <c r="K715">
        <v>0</v>
      </c>
      <c r="L715" t="s">
        <v>166</v>
      </c>
      <c r="N715" t="s">
        <v>208</v>
      </c>
      <c r="O715" t="s">
        <v>372</v>
      </c>
      <c r="P715">
        <v>9.8905076918204718E-5</v>
      </c>
      <c r="Q715" t="s">
        <v>166</v>
      </c>
      <c r="S715" t="s">
        <v>225</v>
      </c>
      <c r="T715" t="s">
        <v>372</v>
      </c>
      <c r="U715">
        <v>1.7575268337630299E-4</v>
      </c>
      <c r="V715" t="s">
        <v>166</v>
      </c>
    </row>
    <row r="716" spans="9:22" x14ac:dyDescent="0.45">
      <c r="I716" t="s">
        <v>184</v>
      </c>
      <c r="J716" t="s">
        <v>373</v>
      </c>
      <c r="K716">
        <v>0</v>
      </c>
      <c r="L716" t="s">
        <v>166</v>
      </c>
      <c r="N716" t="s">
        <v>208</v>
      </c>
      <c r="O716" t="s">
        <v>373</v>
      </c>
      <c r="P716">
        <v>9.850370101224214E-5</v>
      </c>
      <c r="Q716" t="s">
        <v>166</v>
      </c>
      <c r="S716" t="s">
        <v>225</v>
      </c>
      <c r="T716" t="s">
        <v>373</v>
      </c>
      <c r="U716">
        <v>1.5133908212331684E-4</v>
      </c>
      <c r="V716" t="s">
        <v>166</v>
      </c>
    </row>
    <row r="717" spans="9:22" x14ac:dyDescent="0.45">
      <c r="I717" t="s">
        <v>184</v>
      </c>
      <c r="J717" t="s">
        <v>374</v>
      </c>
      <c r="K717">
        <v>0</v>
      </c>
      <c r="L717" t="s">
        <v>166</v>
      </c>
      <c r="N717" t="s">
        <v>208</v>
      </c>
      <c r="O717" t="s">
        <v>374</v>
      </c>
      <c r="P717">
        <v>9.859557770714513E-5</v>
      </c>
      <c r="Q717" t="s">
        <v>166</v>
      </c>
      <c r="S717" t="s">
        <v>225</v>
      </c>
      <c r="T717" t="s">
        <v>374</v>
      </c>
      <c r="U717">
        <v>1.3784938998587443E-4</v>
      </c>
      <c r="V717" t="s">
        <v>166</v>
      </c>
    </row>
    <row r="718" spans="9:22" x14ac:dyDescent="0.45">
      <c r="I718" t="s">
        <v>184</v>
      </c>
      <c r="J718" t="s">
        <v>375</v>
      </c>
      <c r="K718">
        <v>0</v>
      </c>
      <c r="L718" t="s">
        <v>166</v>
      </c>
      <c r="N718" t="s">
        <v>208</v>
      </c>
      <c r="O718" t="s">
        <v>375</v>
      </c>
      <c r="P718">
        <v>9.3648371221525452E-5</v>
      </c>
      <c r="Q718" t="s">
        <v>166</v>
      </c>
      <c r="S718" t="s">
        <v>225</v>
      </c>
      <c r="T718" t="s">
        <v>375</v>
      </c>
      <c r="U718">
        <v>1.5283566898484745E-4</v>
      </c>
      <c r="V718" t="s">
        <v>166</v>
      </c>
    </row>
    <row r="719" spans="9:22" x14ac:dyDescent="0.45">
      <c r="I719" t="s">
        <v>184</v>
      </c>
      <c r="J719" t="s">
        <v>376</v>
      </c>
      <c r="K719">
        <v>0</v>
      </c>
      <c r="L719" t="s">
        <v>166</v>
      </c>
      <c r="N719" t="s">
        <v>208</v>
      </c>
      <c r="O719" t="s">
        <v>376</v>
      </c>
      <c r="P719">
        <v>8.8108053500663037E-5</v>
      </c>
      <c r="Q719" t="s">
        <v>166</v>
      </c>
      <c r="S719" t="s">
        <v>225</v>
      </c>
      <c r="T719" t="s">
        <v>376</v>
      </c>
      <c r="U719">
        <v>1.7570967040719183E-4</v>
      </c>
      <c r="V719" t="s">
        <v>166</v>
      </c>
    </row>
    <row r="720" spans="9:22" x14ac:dyDescent="0.45">
      <c r="I720" t="s">
        <v>184</v>
      </c>
      <c r="J720" t="s">
        <v>377</v>
      </c>
      <c r="K720">
        <v>1.7262224595335281E-4</v>
      </c>
      <c r="L720" t="s">
        <v>166</v>
      </c>
      <c r="N720" t="s">
        <v>208</v>
      </c>
      <c r="O720" t="s">
        <v>377</v>
      </c>
      <c r="P720">
        <v>7.6461186442035569E-5</v>
      </c>
      <c r="Q720" t="s">
        <v>166</v>
      </c>
      <c r="S720" t="s">
        <v>225</v>
      </c>
      <c r="T720" t="s">
        <v>377</v>
      </c>
      <c r="U720">
        <v>1.6763274604049178E-4</v>
      </c>
      <c r="V720" t="s">
        <v>166</v>
      </c>
    </row>
    <row r="721" spans="9:22" x14ac:dyDescent="0.45">
      <c r="I721" t="s">
        <v>184</v>
      </c>
      <c r="J721" t="s">
        <v>378</v>
      </c>
      <c r="K721">
        <v>2.8365218651155735E-4</v>
      </c>
      <c r="L721" t="s">
        <v>166</v>
      </c>
      <c r="N721" t="s">
        <v>208</v>
      </c>
      <c r="O721" t="s">
        <v>378</v>
      </c>
      <c r="P721">
        <v>1.0994747583589533E-4</v>
      </c>
      <c r="Q721" t="s">
        <v>166</v>
      </c>
      <c r="S721" t="s">
        <v>225</v>
      </c>
      <c r="T721" t="s">
        <v>378</v>
      </c>
      <c r="U721">
        <v>1.5943459503024929E-4</v>
      </c>
      <c r="V721" t="s">
        <v>166</v>
      </c>
    </row>
    <row r="722" spans="9:22" x14ac:dyDescent="0.45">
      <c r="I722" t="s">
        <v>184</v>
      </c>
      <c r="J722" t="s">
        <v>379</v>
      </c>
      <c r="K722">
        <v>3.6441096263148138E-4</v>
      </c>
      <c r="L722" t="s">
        <v>166</v>
      </c>
      <c r="N722" t="s">
        <v>208</v>
      </c>
      <c r="O722" t="s">
        <v>379</v>
      </c>
      <c r="P722">
        <v>1.5988430488433569E-4</v>
      </c>
      <c r="Q722" t="s">
        <v>166</v>
      </c>
      <c r="S722" t="s">
        <v>225</v>
      </c>
      <c r="T722" t="s">
        <v>379</v>
      </c>
      <c r="U722">
        <v>1.521883963073421E-4</v>
      </c>
      <c r="V722" t="s">
        <v>166</v>
      </c>
    </row>
    <row r="723" spans="9:22" x14ac:dyDescent="0.45">
      <c r="I723" t="s">
        <v>184</v>
      </c>
      <c r="J723" t="s">
        <v>380</v>
      </c>
      <c r="K723">
        <v>3.9976535754417282E-4</v>
      </c>
      <c r="L723" t="s">
        <v>166</v>
      </c>
      <c r="N723" t="s">
        <v>208</v>
      </c>
      <c r="O723" t="s">
        <v>380</v>
      </c>
      <c r="P723">
        <v>1.3912019120943957E-4</v>
      </c>
      <c r="Q723" t="s">
        <v>166</v>
      </c>
      <c r="S723" t="s">
        <v>225</v>
      </c>
      <c r="T723" t="s">
        <v>380</v>
      </c>
      <c r="U723">
        <v>1.4062032553870414E-4</v>
      </c>
      <c r="V723" t="s">
        <v>166</v>
      </c>
    </row>
    <row r="724" spans="9:22" x14ac:dyDescent="0.45">
      <c r="I724" t="s">
        <v>184</v>
      </c>
      <c r="J724" t="s">
        <v>381</v>
      </c>
      <c r="K724">
        <v>4.1531969077962235E-4</v>
      </c>
      <c r="L724" t="s">
        <v>166</v>
      </c>
      <c r="N724" t="s">
        <v>208</v>
      </c>
      <c r="O724" t="s">
        <v>381</v>
      </c>
      <c r="P724">
        <v>1.0693781283477713E-4</v>
      </c>
      <c r="Q724" t="s">
        <v>166</v>
      </c>
      <c r="S724" t="s">
        <v>225</v>
      </c>
      <c r="T724" t="s">
        <v>381</v>
      </c>
      <c r="U724">
        <v>1.2762049180179956E-4</v>
      </c>
      <c r="V724" t="s">
        <v>166</v>
      </c>
    </row>
    <row r="725" spans="9:22" x14ac:dyDescent="0.45">
      <c r="I725" t="s">
        <v>184</v>
      </c>
      <c r="J725" t="s">
        <v>382</v>
      </c>
      <c r="K725">
        <v>4.1089916191528646E-4</v>
      </c>
      <c r="L725" t="s">
        <v>166</v>
      </c>
      <c r="N725" t="s">
        <v>208</v>
      </c>
      <c r="O725" t="s">
        <v>382</v>
      </c>
      <c r="P725">
        <v>7.928221023912608E-5</v>
      </c>
      <c r="Q725" t="s">
        <v>166</v>
      </c>
      <c r="S725" t="s">
        <v>225</v>
      </c>
      <c r="T725" t="s">
        <v>382</v>
      </c>
      <c r="U725">
        <v>1.0223774966015854E-4</v>
      </c>
      <c r="V725" t="s">
        <v>166</v>
      </c>
    </row>
    <row r="726" spans="9:22" x14ac:dyDescent="0.45">
      <c r="I726" t="s">
        <v>184</v>
      </c>
      <c r="J726" t="s">
        <v>383</v>
      </c>
      <c r="K726">
        <v>4.0707380105773521E-4</v>
      </c>
      <c r="L726" t="s">
        <v>166</v>
      </c>
      <c r="N726" t="s">
        <v>208</v>
      </c>
      <c r="O726" t="s">
        <v>383</v>
      </c>
      <c r="P726">
        <v>6.136095710107905E-5</v>
      </c>
      <c r="Q726" t="s">
        <v>166</v>
      </c>
      <c r="S726" t="s">
        <v>225</v>
      </c>
      <c r="T726" t="s">
        <v>383</v>
      </c>
      <c r="U726">
        <v>8.2862164294446748E-5</v>
      </c>
      <c r="V726" t="s">
        <v>166</v>
      </c>
    </row>
    <row r="727" spans="9:22" x14ac:dyDescent="0.45">
      <c r="I727" t="s">
        <v>184</v>
      </c>
      <c r="J727" t="s">
        <v>384</v>
      </c>
      <c r="K727">
        <v>4.0986289436173657E-4</v>
      </c>
      <c r="L727" t="s">
        <v>166</v>
      </c>
      <c r="N727" t="s">
        <v>208</v>
      </c>
      <c r="O727" t="s">
        <v>384</v>
      </c>
      <c r="P727">
        <v>4.3490790017119274E-5</v>
      </c>
      <c r="Q727" t="s">
        <v>166</v>
      </c>
      <c r="S727" t="s">
        <v>225</v>
      </c>
      <c r="T727" t="s">
        <v>384</v>
      </c>
      <c r="U727">
        <v>6.796367363956805E-5</v>
      </c>
      <c r="V727" t="s">
        <v>166</v>
      </c>
    </row>
    <row r="728" spans="9:22" x14ac:dyDescent="0.45">
      <c r="I728" t="s">
        <v>184</v>
      </c>
      <c r="J728" t="s">
        <v>385</v>
      </c>
      <c r="K728">
        <v>3.9464958983498707E-4</v>
      </c>
      <c r="L728" t="s">
        <v>166</v>
      </c>
      <c r="N728" t="s">
        <v>208</v>
      </c>
      <c r="O728" t="s">
        <v>385</v>
      </c>
      <c r="P728">
        <v>3.1902990496317717E-5</v>
      </c>
      <c r="Q728" t="s">
        <v>166</v>
      </c>
      <c r="S728" t="s">
        <v>225</v>
      </c>
      <c r="T728" t="s">
        <v>385</v>
      </c>
      <c r="U728">
        <v>6.2588991878560166E-5</v>
      </c>
      <c r="V728" t="s">
        <v>166</v>
      </c>
    </row>
    <row r="729" spans="9:22" x14ac:dyDescent="0.45">
      <c r="I729" t="s">
        <v>184</v>
      </c>
      <c r="J729" t="s">
        <v>386</v>
      </c>
      <c r="K729">
        <v>3.6026441494752903E-4</v>
      </c>
      <c r="L729" t="s">
        <v>166</v>
      </c>
      <c r="N729" t="s">
        <v>208</v>
      </c>
      <c r="O729" t="s">
        <v>386</v>
      </c>
      <c r="P729">
        <v>3.6352439720861313E-5</v>
      </c>
      <c r="Q729" t="s">
        <v>166</v>
      </c>
      <c r="S729" t="s">
        <v>225</v>
      </c>
      <c r="T729" t="s">
        <v>386</v>
      </c>
      <c r="U729">
        <v>6.74232985426067E-5</v>
      </c>
      <c r="V729" t="s">
        <v>166</v>
      </c>
    </row>
    <row r="730" spans="9:22" x14ac:dyDescent="0.45">
      <c r="I730" t="s">
        <v>184</v>
      </c>
      <c r="J730" t="s">
        <v>387</v>
      </c>
      <c r="K730">
        <v>2.9454281278863784E-4</v>
      </c>
      <c r="L730" t="s">
        <v>166</v>
      </c>
      <c r="N730" t="s">
        <v>208</v>
      </c>
      <c r="O730" t="s">
        <v>387</v>
      </c>
      <c r="P730">
        <v>4.6583747423685726E-5</v>
      </c>
      <c r="Q730" t="s">
        <v>166</v>
      </c>
      <c r="S730" t="s">
        <v>225</v>
      </c>
      <c r="T730" t="s">
        <v>387</v>
      </c>
      <c r="U730">
        <v>7.9202892009432523E-5</v>
      </c>
      <c r="V730" t="s">
        <v>166</v>
      </c>
    </row>
    <row r="731" spans="9:22" x14ac:dyDescent="0.45">
      <c r="I731" t="s">
        <v>184</v>
      </c>
      <c r="J731" t="s">
        <v>388</v>
      </c>
      <c r="K731">
        <v>1.9106599610995291E-4</v>
      </c>
      <c r="L731" t="s">
        <v>166</v>
      </c>
      <c r="N731" t="s">
        <v>208</v>
      </c>
      <c r="O731" t="s">
        <v>388</v>
      </c>
      <c r="P731">
        <v>7.4998903628467845E-5</v>
      </c>
      <c r="Q731" t="s">
        <v>166</v>
      </c>
      <c r="S731" t="s">
        <v>225</v>
      </c>
      <c r="T731" t="s">
        <v>388</v>
      </c>
      <c r="U731">
        <v>9.6580019479123054E-5</v>
      </c>
      <c r="V731" t="s">
        <v>166</v>
      </c>
    </row>
    <row r="732" spans="9:22" x14ac:dyDescent="0.45">
      <c r="I732" t="s">
        <v>184</v>
      </c>
      <c r="J732" t="s">
        <v>389</v>
      </c>
      <c r="K732">
        <v>0</v>
      </c>
      <c r="L732" t="s">
        <v>166</v>
      </c>
      <c r="N732" t="s">
        <v>208</v>
      </c>
      <c r="O732" t="s">
        <v>389</v>
      </c>
      <c r="P732">
        <v>1.0921415564768298E-4</v>
      </c>
      <c r="Q732" t="s">
        <v>166</v>
      </c>
      <c r="S732" t="s">
        <v>225</v>
      </c>
      <c r="T732" t="s">
        <v>389</v>
      </c>
      <c r="U732">
        <v>1.257584791957009E-4</v>
      </c>
      <c r="V732" t="s">
        <v>166</v>
      </c>
    </row>
    <row r="733" spans="9:22" x14ac:dyDescent="0.45">
      <c r="I733" t="s">
        <v>184</v>
      </c>
      <c r="J733" t="s">
        <v>390</v>
      </c>
      <c r="K733">
        <v>0</v>
      </c>
      <c r="L733" t="s">
        <v>166</v>
      </c>
      <c r="N733" t="s">
        <v>208</v>
      </c>
      <c r="O733" t="s">
        <v>390</v>
      </c>
      <c r="P733">
        <v>1.1854957986469055E-4</v>
      </c>
      <c r="Q733" t="s">
        <v>166</v>
      </c>
      <c r="S733" t="s">
        <v>225</v>
      </c>
      <c r="T733" t="s">
        <v>390</v>
      </c>
      <c r="U733">
        <v>1.5785342391663761E-4</v>
      </c>
      <c r="V733" t="s">
        <v>166</v>
      </c>
    </row>
    <row r="734" spans="9:22" x14ac:dyDescent="0.45">
      <c r="I734" t="s">
        <v>184</v>
      </c>
      <c r="J734" t="s">
        <v>391</v>
      </c>
      <c r="K734">
        <v>0</v>
      </c>
      <c r="L734" t="s">
        <v>166</v>
      </c>
      <c r="N734" t="s">
        <v>208</v>
      </c>
      <c r="O734" t="s">
        <v>391</v>
      </c>
      <c r="P734">
        <v>1.1884431887618901E-4</v>
      </c>
      <c r="Q734" t="s">
        <v>166</v>
      </c>
      <c r="S734" t="s">
        <v>225</v>
      </c>
      <c r="T734" t="s">
        <v>391</v>
      </c>
      <c r="U734">
        <v>1.4966288066056032E-4</v>
      </c>
      <c r="V734" t="s">
        <v>166</v>
      </c>
    </row>
    <row r="735" spans="9:22" x14ac:dyDescent="0.45">
      <c r="I735" t="s">
        <v>184</v>
      </c>
      <c r="J735" t="s">
        <v>392</v>
      </c>
      <c r="K735">
        <v>0</v>
      </c>
      <c r="L735" t="s">
        <v>166</v>
      </c>
      <c r="N735" t="s">
        <v>208</v>
      </c>
      <c r="O735" t="s">
        <v>392</v>
      </c>
      <c r="P735">
        <v>1.0954731303546899E-4</v>
      </c>
      <c r="Q735" t="s">
        <v>166</v>
      </c>
      <c r="S735" t="s">
        <v>225</v>
      </c>
      <c r="T735" t="s">
        <v>392</v>
      </c>
      <c r="U735">
        <v>1.2145586773117657E-4</v>
      </c>
      <c r="V735" t="s">
        <v>166</v>
      </c>
    </row>
    <row r="736" spans="9:22" x14ac:dyDescent="0.45">
      <c r="I736" t="s">
        <v>184</v>
      </c>
      <c r="J736" t="s">
        <v>393</v>
      </c>
      <c r="K736">
        <v>0</v>
      </c>
      <c r="L736" t="s">
        <v>166</v>
      </c>
      <c r="N736" t="s">
        <v>208</v>
      </c>
      <c r="O736" t="s">
        <v>393</v>
      </c>
      <c r="P736">
        <v>8.7467024422929724E-5</v>
      </c>
      <c r="Q736" t="s">
        <v>166</v>
      </c>
      <c r="S736" t="s">
        <v>225</v>
      </c>
      <c r="T736" t="s">
        <v>393</v>
      </c>
      <c r="U736">
        <v>1.1626223310880765E-4</v>
      </c>
      <c r="V736" t="s">
        <v>166</v>
      </c>
    </row>
    <row r="737" spans="9:22" x14ac:dyDescent="0.45">
      <c r="I737" t="s">
        <v>184</v>
      </c>
      <c r="J737" t="s">
        <v>169</v>
      </c>
      <c r="K737">
        <v>4.1674790841354043E-3</v>
      </c>
      <c r="L737" t="s">
        <v>166</v>
      </c>
      <c r="N737" t="s">
        <v>208</v>
      </c>
      <c r="O737" t="s">
        <v>169</v>
      </c>
      <c r="P737">
        <v>1.0453966204570274E-2</v>
      </c>
      <c r="Q737" t="s">
        <v>166</v>
      </c>
      <c r="S737" t="s">
        <v>225</v>
      </c>
      <c r="T737" t="s">
        <v>169</v>
      </c>
      <c r="U737">
        <v>2.8310997961627656E-3</v>
      </c>
      <c r="V737" t="s">
        <v>166</v>
      </c>
    </row>
    <row r="738" spans="9:22" x14ac:dyDescent="0.45">
      <c r="I738" t="s">
        <v>184</v>
      </c>
      <c r="J738" t="s">
        <v>170</v>
      </c>
      <c r="K738">
        <v>6.6658539595327313E-3</v>
      </c>
      <c r="L738" t="s">
        <v>166</v>
      </c>
      <c r="N738" t="s">
        <v>208</v>
      </c>
      <c r="O738" t="s">
        <v>170</v>
      </c>
      <c r="P738">
        <v>1.2231004165857518E-3</v>
      </c>
      <c r="Q738" t="s">
        <v>166</v>
      </c>
      <c r="S738" t="s">
        <v>225</v>
      </c>
      <c r="T738" t="s">
        <v>170</v>
      </c>
      <c r="U738">
        <v>4.5168363727410646E-4</v>
      </c>
      <c r="V738" t="s">
        <v>166</v>
      </c>
    </row>
    <row r="739" spans="9:22" x14ac:dyDescent="0.45">
      <c r="I739" t="s">
        <v>184</v>
      </c>
      <c r="J739" t="s">
        <v>171</v>
      </c>
      <c r="K739">
        <v>6.5223844770848319E-2</v>
      </c>
      <c r="L739" t="s">
        <v>166</v>
      </c>
      <c r="N739" t="s">
        <v>208</v>
      </c>
      <c r="O739" t="s">
        <v>171</v>
      </c>
      <c r="P739">
        <v>1.1942773078025378E-2</v>
      </c>
      <c r="Q739" t="s">
        <v>166</v>
      </c>
      <c r="S739" t="s">
        <v>225</v>
      </c>
      <c r="T739" t="s">
        <v>171</v>
      </c>
      <c r="U739">
        <v>3.2116501757350146E-3</v>
      </c>
      <c r="V739" t="s">
        <v>166</v>
      </c>
    </row>
    <row r="740" spans="9:22" x14ac:dyDescent="0.45">
      <c r="I740" t="s">
        <v>184</v>
      </c>
      <c r="J740" t="s">
        <v>261</v>
      </c>
      <c r="K740">
        <v>5.4775665260774365E-3</v>
      </c>
      <c r="L740" t="s">
        <v>166</v>
      </c>
      <c r="N740" t="s">
        <v>208</v>
      </c>
      <c r="O740" t="s">
        <v>261</v>
      </c>
      <c r="P740">
        <v>1.6137050129326985E-3</v>
      </c>
      <c r="Q740" t="s">
        <v>166</v>
      </c>
      <c r="S740" t="s">
        <v>225</v>
      </c>
      <c r="T740" t="s">
        <v>261</v>
      </c>
      <c r="U740">
        <v>4.6596912912970904E-4</v>
      </c>
      <c r="V740" t="s">
        <v>166</v>
      </c>
    </row>
    <row r="741" spans="9:22" x14ac:dyDescent="0.45">
      <c r="I741" t="s">
        <v>184</v>
      </c>
      <c r="J741" t="s">
        <v>262</v>
      </c>
      <c r="K741">
        <v>4.5745152782803852E-3</v>
      </c>
      <c r="L741" t="s">
        <v>166</v>
      </c>
      <c r="N741" t="s">
        <v>208</v>
      </c>
      <c r="O741" t="s">
        <v>262</v>
      </c>
      <c r="P741">
        <v>1.8525383217773625E-3</v>
      </c>
      <c r="Q741" t="s">
        <v>166</v>
      </c>
      <c r="S741" t="s">
        <v>225</v>
      </c>
      <c r="T741" t="s">
        <v>262</v>
      </c>
      <c r="U741">
        <v>7.2232061420522285E-4</v>
      </c>
      <c r="V741" t="s">
        <v>166</v>
      </c>
    </row>
    <row r="742" spans="9:22" x14ac:dyDescent="0.45">
      <c r="I742" t="s">
        <v>184</v>
      </c>
      <c r="J742" t="s">
        <v>263</v>
      </c>
      <c r="K742">
        <v>0</v>
      </c>
      <c r="L742" t="s">
        <v>166</v>
      </c>
      <c r="N742" t="s">
        <v>208</v>
      </c>
      <c r="O742" t="s">
        <v>263</v>
      </c>
      <c r="P742">
        <v>5.4798919356346355E-3</v>
      </c>
      <c r="Q742" t="s">
        <v>166</v>
      </c>
      <c r="S742" t="s">
        <v>225</v>
      </c>
      <c r="T742" t="s">
        <v>263</v>
      </c>
      <c r="U742">
        <v>1.2461959175634743E-3</v>
      </c>
      <c r="V742" t="s">
        <v>166</v>
      </c>
    </row>
    <row r="743" spans="9:22" x14ac:dyDescent="0.45">
      <c r="I743" t="s">
        <v>184</v>
      </c>
      <c r="J743" t="s">
        <v>172</v>
      </c>
      <c r="K743">
        <v>2.5930939668482702E-3</v>
      </c>
      <c r="L743" t="s">
        <v>166</v>
      </c>
      <c r="N743" t="s">
        <v>208</v>
      </c>
      <c r="O743" t="s">
        <v>172</v>
      </c>
      <c r="P743">
        <v>3.2761177933551003E-2</v>
      </c>
      <c r="Q743" t="s">
        <v>166</v>
      </c>
      <c r="S743" t="s">
        <v>225</v>
      </c>
      <c r="T743" t="s">
        <v>172</v>
      </c>
      <c r="U743">
        <v>9.6749645655119058E-3</v>
      </c>
      <c r="V743" t="s">
        <v>166</v>
      </c>
    </row>
    <row r="744" spans="9:22" x14ac:dyDescent="0.45">
      <c r="I744" t="s">
        <v>184</v>
      </c>
      <c r="J744" t="s">
        <v>173</v>
      </c>
      <c r="K744">
        <v>4.4278235255586921E-3</v>
      </c>
      <c r="L744" t="s">
        <v>166</v>
      </c>
      <c r="N744" t="s">
        <v>208</v>
      </c>
      <c r="O744" t="s">
        <v>173</v>
      </c>
      <c r="P744">
        <v>3.8362636086174255E-3</v>
      </c>
      <c r="Q744" t="s">
        <v>166</v>
      </c>
      <c r="S744" t="s">
        <v>225</v>
      </c>
      <c r="T744" t="s">
        <v>173</v>
      </c>
      <c r="U744">
        <v>1.2108334991910057E-3</v>
      </c>
      <c r="V744" t="s">
        <v>166</v>
      </c>
    </row>
    <row r="745" spans="9:22" x14ac:dyDescent="0.45">
      <c r="I745" t="s">
        <v>184</v>
      </c>
      <c r="J745" t="s">
        <v>174</v>
      </c>
      <c r="K745">
        <v>4.8968581444409714E-2</v>
      </c>
      <c r="L745" t="s">
        <v>166</v>
      </c>
      <c r="N745" t="s">
        <v>208</v>
      </c>
      <c r="O745" t="s">
        <v>174</v>
      </c>
      <c r="P745">
        <v>3.661610012790311E-2</v>
      </c>
      <c r="Q745" t="s">
        <v>166</v>
      </c>
      <c r="S745" t="s">
        <v>225</v>
      </c>
      <c r="T745" t="s">
        <v>174</v>
      </c>
      <c r="U745">
        <v>9.1821704101519488E-3</v>
      </c>
      <c r="V745" t="s">
        <v>166</v>
      </c>
    </row>
    <row r="746" spans="9:22" x14ac:dyDescent="0.45">
      <c r="I746" t="s">
        <v>184</v>
      </c>
      <c r="J746" t="s">
        <v>264</v>
      </c>
      <c r="K746">
        <v>4.040970757938237E-3</v>
      </c>
      <c r="L746" t="s">
        <v>166</v>
      </c>
      <c r="N746" t="s">
        <v>208</v>
      </c>
      <c r="O746" t="s">
        <v>264</v>
      </c>
      <c r="P746">
        <v>5.1193977011234548E-3</v>
      </c>
      <c r="Q746" t="s">
        <v>166</v>
      </c>
      <c r="S746" t="s">
        <v>225</v>
      </c>
      <c r="T746" t="s">
        <v>264</v>
      </c>
      <c r="U746">
        <v>1.4489315068854961E-3</v>
      </c>
      <c r="V746" t="s">
        <v>166</v>
      </c>
    </row>
    <row r="747" spans="9:22" x14ac:dyDescent="0.45">
      <c r="I747" t="s">
        <v>184</v>
      </c>
      <c r="J747" t="s">
        <v>265</v>
      </c>
      <c r="K747">
        <v>3.796173251250898E-3</v>
      </c>
      <c r="L747" t="s">
        <v>166</v>
      </c>
      <c r="N747" t="s">
        <v>208</v>
      </c>
      <c r="O747" t="s">
        <v>265</v>
      </c>
      <c r="P747">
        <v>7.935397711547441E-3</v>
      </c>
      <c r="Q747" t="s">
        <v>166</v>
      </c>
      <c r="S747" t="s">
        <v>225</v>
      </c>
      <c r="T747" t="s">
        <v>265</v>
      </c>
      <c r="U747">
        <v>2.3937550388371796E-3</v>
      </c>
      <c r="V747" t="s">
        <v>166</v>
      </c>
    </row>
    <row r="748" spans="9:22" x14ac:dyDescent="0.45">
      <c r="I748" t="s">
        <v>184</v>
      </c>
      <c r="J748" t="s">
        <v>266</v>
      </c>
      <c r="K748">
        <v>0</v>
      </c>
      <c r="L748" t="s">
        <v>166</v>
      </c>
      <c r="N748" t="s">
        <v>208</v>
      </c>
      <c r="O748" t="s">
        <v>266</v>
      </c>
      <c r="P748">
        <v>1.7463950679193548E-2</v>
      </c>
      <c r="Q748" t="s">
        <v>166</v>
      </c>
      <c r="S748" t="s">
        <v>225</v>
      </c>
      <c r="T748" t="s">
        <v>266</v>
      </c>
      <c r="U748">
        <v>4.6040288014919878E-3</v>
      </c>
      <c r="V748" t="s">
        <v>166</v>
      </c>
    </row>
    <row r="749" spans="9:22" x14ac:dyDescent="0.45">
      <c r="I749" t="s">
        <v>184</v>
      </c>
      <c r="J749" t="s">
        <v>175</v>
      </c>
      <c r="K749">
        <v>2.4606435818946329E-3</v>
      </c>
      <c r="L749" t="s">
        <v>166</v>
      </c>
      <c r="N749" t="s">
        <v>208</v>
      </c>
      <c r="O749" t="s">
        <v>175</v>
      </c>
      <c r="P749">
        <v>3.9737109602483035E-2</v>
      </c>
      <c r="Q749" t="s">
        <v>166</v>
      </c>
      <c r="S749" t="s">
        <v>225</v>
      </c>
      <c r="T749" t="s">
        <v>175</v>
      </c>
      <c r="U749">
        <v>1.6405249846311202E-2</v>
      </c>
      <c r="V749" t="s">
        <v>166</v>
      </c>
    </row>
    <row r="750" spans="9:22" x14ac:dyDescent="0.45">
      <c r="I750" t="s">
        <v>184</v>
      </c>
      <c r="J750" t="s">
        <v>176</v>
      </c>
      <c r="K750">
        <v>4.3629070613602772E-3</v>
      </c>
      <c r="L750" t="s">
        <v>166</v>
      </c>
      <c r="N750" t="s">
        <v>208</v>
      </c>
      <c r="O750" t="s">
        <v>176</v>
      </c>
      <c r="P750">
        <v>5.4432876104044264E-3</v>
      </c>
      <c r="Q750" t="s">
        <v>166</v>
      </c>
      <c r="S750" t="s">
        <v>225</v>
      </c>
      <c r="T750" t="s">
        <v>176</v>
      </c>
      <c r="U750">
        <v>2.2754811880117327E-3</v>
      </c>
      <c r="V750" t="s">
        <v>166</v>
      </c>
    </row>
    <row r="751" spans="9:22" x14ac:dyDescent="0.45">
      <c r="I751" t="s">
        <v>184</v>
      </c>
      <c r="J751" t="s">
        <v>177</v>
      </c>
      <c r="K751">
        <v>5.3110887974935642E-2</v>
      </c>
      <c r="L751" t="s">
        <v>166</v>
      </c>
      <c r="N751" t="s">
        <v>208</v>
      </c>
      <c r="O751" t="s">
        <v>177</v>
      </c>
      <c r="P751">
        <v>4.4441502604934228E-2</v>
      </c>
      <c r="Q751" t="s">
        <v>166</v>
      </c>
      <c r="S751" t="s">
        <v>225</v>
      </c>
      <c r="T751" t="s">
        <v>177</v>
      </c>
      <c r="U751">
        <v>1.8320258814916866E-2</v>
      </c>
      <c r="V751" t="s">
        <v>166</v>
      </c>
    </row>
    <row r="752" spans="9:22" x14ac:dyDescent="0.45">
      <c r="I752" t="s">
        <v>184</v>
      </c>
      <c r="J752" t="s">
        <v>267</v>
      </c>
      <c r="K752">
        <v>4.6935277494725217E-3</v>
      </c>
      <c r="L752" t="s">
        <v>166</v>
      </c>
      <c r="N752" t="s">
        <v>208</v>
      </c>
      <c r="O752" t="s">
        <v>267</v>
      </c>
      <c r="P752">
        <v>6.5574159947960325E-3</v>
      </c>
      <c r="Q752" t="s">
        <v>166</v>
      </c>
      <c r="S752" t="s">
        <v>225</v>
      </c>
      <c r="T752" t="s">
        <v>267</v>
      </c>
      <c r="U752">
        <v>2.7747884117774436E-3</v>
      </c>
      <c r="V752" t="s">
        <v>166</v>
      </c>
    </row>
    <row r="753" spans="9:22" x14ac:dyDescent="0.45">
      <c r="I753" t="s">
        <v>184</v>
      </c>
      <c r="J753" t="s">
        <v>268</v>
      </c>
      <c r="K753">
        <v>3.9636486258451571E-3</v>
      </c>
      <c r="L753" t="s">
        <v>166</v>
      </c>
      <c r="N753" t="s">
        <v>208</v>
      </c>
      <c r="O753" t="s">
        <v>268</v>
      </c>
      <c r="P753">
        <v>1.150004082600682E-2</v>
      </c>
      <c r="Q753" t="s">
        <v>166</v>
      </c>
      <c r="S753" t="s">
        <v>225</v>
      </c>
      <c r="T753" t="s">
        <v>268</v>
      </c>
      <c r="U753">
        <v>5.0981035722390683E-3</v>
      </c>
      <c r="V753" t="s">
        <v>166</v>
      </c>
    </row>
    <row r="754" spans="9:22" x14ac:dyDescent="0.45">
      <c r="I754" t="s">
        <v>184</v>
      </c>
      <c r="J754" t="s">
        <v>269</v>
      </c>
      <c r="K754">
        <v>0</v>
      </c>
      <c r="L754" t="s">
        <v>166</v>
      </c>
      <c r="N754" t="s">
        <v>208</v>
      </c>
      <c r="O754" t="s">
        <v>269</v>
      </c>
      <c r="P754">
        <v>2.3621357600034545E-2</v>
      </c>
      <c r="Q754" t="s">
        <v>166</v>
      </c>
      <c r="S754" t="s">
        <v>225</v>
      </c>
      <c r="T754" t="s">
        <v>269</v>
      </c>
      <c r="U754">
        <v>8.9701070426568778E-3</v>
      </c>
      <c r="V754" t="s">
        <v>166</v>
      </c>
    </row>
    <row r="755" spans="9:22" x14ac:dyDescent="0.45">
      <c r="I755" t="s">
        <v>184</v>
      </c>
      <c r="J755" t="s">
        <v>270</v>
      </c>
      <c r="K755">
        <v>2.926900575829994E-3</v>
      </c>
      <c r="L755" t="s">
        <v>166</v>
      </c>
      <c r="N755" t="s">
        <v>208</v>
      </c>
      <c r="O755" t="s">
        <v>270</v>
      </c>
      <c r="P755">
        <v>3.9872317295485626E-2</v>
      </c>
      <c r="Q755" t="s">
        <v>166</v>
      </c>
      <c r="S755" t="s">
        <v>225</v>
      </c>
      <c r="T755" t="s">
        <v>270</v>
      </c>
      <c r="U755">
        <v>2.2921709969477955E-2</v>
      </c>
      <c r="V755" t="s">
        <v>166</v>
      </c>
    </row>
    <row r="756" spans="9:22" x14ac:dyDescent="0.45">
      <c r="I756" t="s">
        <v>184</v>
      </c>
      <c r="J756" t="s">
        <v>271</v>
      </c>
      <c r="K756">
        <v>5.1340341886956138E-3</v>
      </c>
      <c r="L756" t="s">
        <v>166</v>
      </c>
      <c r="N756" t="s">
        <v>208</v>
      </c>
      <c r="O756" t="s">
        <v>271</v>
      </c>
      <c r="P756">
        <v>5.3463404926094634E-3</v>
      </c>
      <c r="Q756" t="s">
        <v>166</v>
      </c>
      <c r="S756" t="s">
        <v>225</v>
      </c>
      <c r="T756" t="s">
        <v>271</v>
      </c>
      <c r="U756">
        <v>3.2570237319616575E-3</v>
      </c>
      <c r="V756" t="s">
        <v>166</v>
      </c>
    </row>
    <row r="757" spans="9:22" x14ac:dyDescent="0.45">
      <c r="I757" t="s">
        <v>184</v>
      </c>
      <c r="J757" t="s">
        <v>272</v>
      </c>
      <c r="K757">
        <v>5.5895065287001833E-2</v>
      </c>
      <c r="L757" t="s">
        <v>166</v>
      </c>
      <c r="N757" t="s">
        <v>208</v>
      </c>
      <c r="O757" t="s">
        <v>272</v>
      </c>
      <c r="P757">
        <v>4.8097353075481158E-2</v>
      </c>
      <c r="Q757" t="s">
        <v>166</v>
      </c>
      <c r="S757" t="s">
        <v>225</v>
      </c>
      <c r="T757" t="s">
        <v>272</v>
      </c>
      <c r="U757">
        <v>2.7010980223831766E-2</v>
      </c>
      <c r="V757" t="s">
        <v>166</v>
      </c>
    </row>
    <row r="758" spans="9:22" x14ac:dyDescent="0.45">
      <c r="I758" t="s">
        <v>184</v>
      </c>
      <c r="J758" t="s">
        <v>273</v>
      </c>
      <c r="K758">
        <v>4.91642601434526E-3</v>
      </c>
      <c r="L758" t="s">
        <v>166</v>
      </c>
      <c r="N758" t="s">
        <v>208</v>
      </c>
      <c r="O758" t="s">
        <v>273</v>
      </c>
      <c r="P758">
        <v>7.1204096269883149E-3</v>
      </c>
      <c r="Q758" t="s">
        <v>166</v>
      </c>
      <c r="S758" t="s">
        <v>225</v>
      </c>
      <c r="T758" t="s">
        <v>273</v>
      </c>
      <c r="U758">
        <v>3.6893726288965141E-3</v>
      </c>
      <c r="V758" t="s">
        <v>166</v>
      </c>
    </row>
    <row r="759" spans="9:22" x14ac:dyDescent="0.45">
      <c r="I759" t="s">
        <v>184</v>
      </c>
      <c r="J759" t="s">
        <v>274</v>
      </c>
      <c r="K759">
        <v>4.764293120038795E-3</v>
      </c>
      <c r="L759" t="s">
        <v>166</v>
      </c>
      <c r="N759" t="s">
        <v>208</v>
      </c>
      <c r="O759" t="s">
        <v>274</v>
      </c>
      <c r="P759">
        <v>1.0096412721278744E-2</v>
      </c>
      <c r="Q759" t="s">
        <v>166</v>
      </c>
      <c r="S759" t="s">
        <v>225</v>
      </c>
      <c r="T759" t="s">
        <v>274</v>
      </c>
      <c r="U759">
        <v>6.0298123909183999E-3</v>
      </c>
      <c r="V759" t="s">
        <v>166</v>
      </c>
    </row>
    <row r="760" spans="9:22" x14ac:dyDescent="0.45">
      <c r="I760" t="s">
        <v>184</v>
      </c>
      <c r="J760" t="s">
        <v>275</v>
      </c>
      <c r="K760">
        <v>0</v>
      </c>
      <c r="L760" t="s">
        <v>166</v>
      </c>
      <c r="N760" t="s">
        <v>208</v>
      </c>
      <c r="O760" t="s">
        <v>275</v>
      </c>
      <c r="P760">
        <v>2.0084076634563956E-2</v>
      </c>
      <c r="Q760" t="s">
        <v>166</v>
      </c>
      <c r="S760" t="s">
        <v>225</v>
      </c>
      <c r="T760" t="s">
        <v>275</v>
      </c>
      <c r="U760">
        <v>1.0942258953003749E-2</v>
      </c>
      <c r="V760" t="s">
        <v>166</v>
      </c>
    </row>
    <row r="761" spans="9:22" x14ac:dyDescent="0.45">
      <c r="I761" t="s">
        <v>184</v>
      </c>
      <c r="J761" t="s">
        <v>276</v>
      </c>
      <c r="K761">
        <v>5.7405760475262371E-3</v>
      </c>
      <c r="L761" t="s">
        <v>166</v>
      </c>
      <c r="N761" t="s">
        <v>208</v>
      </c>
      <c r="O761" t="s">
        <v>276</v>
      </c>
      <c r="P761">
        <v>5.5877944544340877E-2</v>
      </c>
      <c r="Q761" t="s">
        <v>166</v>
      </c>
      <c r="S761" t="s">
        <v>225</v>
      </c>
      <c r="T761" t="s">
        <v>276</v>
      </c>
      <c r="U761">
        <v>4.0798094509976492E-2</v>
      </c>
      <c r="V761" t="s">
        <v>166</v>
      </c>
    </row>
    <row r="762" spans="9:22" x14ac:dyDescent="0.45">
      <c r="I762" t="s">
        <v>184</v>
      </c>
      <c r="J762" t="s">
        <v>277</v>
      </c>
      <c r="K762">
        <v>1.0871393937442516E-2</v>
      </c>
      <c r="L762" t="s">
        <v>166</v>
      </c>
      <c r="N762" t="s">
        <v>208</v>
      </c>
      <c r="O762" t="s">
        <v>277</v>
      </c>
      <c r="P762">
        <v>6.8284232988837139E-3</v>
      </c>
      <c r="Q762" t="s">
        <v>166</v>
      </c>
      <c r="S762" t="s">
        <v>225</v>
      </c>
      <c r="T762" t="s">
        <v>277</v>
      </c>
      <c r="U762">
        <v>5.3405472517711137E-3</v>
      </c>
      <c r="V762" t="s">
        <v>166</v>
      </c>
    </row>
    <row r="763" spans="9:22" x14ac:dyDescent="0.45">
      <c r="I763" t="s">
        <v>184</v>
      </c>
      <c r="J763" t="s">
        <v>278</v>
      </c>
      <c r="K763">
        <v>0.11470986861366191</v>
      </c>
      <c r="L763" t="s">
        <v>166</v>
      </c>
      <c r="N763" t="s">
        <v>208</v>
      </c>
      <c r="O763" t="s">
        <v>278</v>
      </c>
      <c r="P763">
        <v>6.0801460168166316E-2</v>
      </c>
      <c r="Q763" t="s">
        <v>166</v>
      </c>
      <c r="S763" t="s">
        <v>225</v>
      </c>
      <c r="T763" t="s">
        <v>278</v>
      </c>
      <c r="U763">
        <v>4.0455986419280519E-2</v>
      </c>
      <c r="V763" t="s">
        <v>166</v>
      </c>
    </row>
    <row r="764" spans="9:22" x14ac:dyDescent="0.45">
      <c r="I764" t="s">
        <v>184</v>
      </c>
      <c r="J764" t="s">
        <v>279</v>
      </c>
      <c r="K764">
        <v>9.7861013845606248E-3</v>
      </c>
      <c r="L764" t="s">
        <v>166</v>
      </c>
      <c r="N764" t="s">
        <v>208</v>
      </c>
      <c r="O764" t="s">
        <v>279</v>
      </c>
      <c r="P764">
        <v>8.8254909775577935E-3</v>
      </c>
      <c r="Q764" t="s">
        <v>166</v>
      </c>
      <c r="S764" t="s">
        <v>225</v>
      </c>
      <c r="T764" t="s">
        <v>279</v>
      </c>
      <c r="U764">
        <v>5.911583045146232E-3</v>
      </c>
      <c r="V764" t="s">
        <v>166</v>
      </c>
    </row>
    <row r="765" spans="9:22" x14ac:dyDescent="0.45">
      <c r="I765" t="s">
        <v>184</v>
      </c>
      <c r="J765" t="s">
        <v>280</v>
      </c>
      <c r="K765">
        <v>6.9875017297798886E-3</v>
      </c>
      <c r="L765" t="s">
        <v>166</v>
      </c>
      <c r="N765" t="s">
        <v>208</v>
      </c>
      <c r="O765" t="s">
        <v>280</v>
      </c>
      <c r="P765">
        <v>1.3569590060073198E-2</v>
      </c>
      <c r="Q765" t="s">
        <v>166</v>
      </c>
      <c r="S765" t="s">
        <v>225</v>
      </c>
      <c r="T765" t="s">
        <v>280</v>
      </c>
      <c r="U765">
        <v>1.0673878377861424E-2</v>
      </c>
      <c r="V765" t="s">
        <v>166</v>
      </c>
    </row>
    <row r="766" spans="9:22" x14ac:dyDescent="0.45">
      <c r="I766" t="s">
        <v>184</v>
      </c>
      <c r="J766" t="s">
        <v>281</v>
      </c>
      <c r="K766">
        <v>0</v>
      </c>
      <c r="L766" t="s">
        <v>166</v>
      </c>
      <c r="N766" t="s">
        <v>208</v>
      </c>
      <c r="O766" t="s">
        <v>281</v>
      </c>
      <c r="P766">
        <v>2.9210826238005926E-2</v>
      </c>
      <c r="Q766" t="s">
        <v>166</v>
      </c>
      <c r="S766" t="s">
        <v>225</v>
      </c>
      <c r="T766" t="s">
        <v>281</v>
      </c>
      <c r="U766">
        <v>2.3524478929391929E-2</v>
      </c>
      <c r="V766" t="s">
        <v>166</v>
      </c>
    </row>
    <row r="767" spans="9:22" x14ac:dyDescent="0.45">
      <c r="I767" t="s">
        <v>184</v>
      </c>
      <c r="J767" t="s">
        <v>282</v>
      </c>
      <c r="K767">
        <v>3.9807982253513303E-3</v>
      </c>
      <c r="L767" t="s">
        <v>166</v>
      </c>
      <c r="N767" t="s">
        <v>208</v>
      </c>
      <c r="O767" t="s">
        <v>282</v>
      </c>
      <c r="P767">
        <v>1.9520631150415527E-2</v>
      </c>
      <c r="Q767" t="s">
        <v>166</v>
      </c>
      <c r="S767" t="s">
        <v>225</v>
      </c>
      <c r="T767" t="s">
        <v>282</v>
      </c>
      <c r="U767">
        <v>1.9420024740957303E-2</v>
      </c>
      <c r="V767" t="s">
        <v>166</v>
      </c>
    </row>
    <row r="768" spans="9:22" x14ac:dyDescent="0.45">
      <c r="I768" t="s">
        <v>184</v>
      </c>
      <c r="J768" t="s">
        <v>283</v>
      </c>
      <c r="K768">
        <v>6.9899535299162187E-3</v>
      </c>
      <c r="L768" t="s">
        <v>166</v>
      </c>
      <c r="N768" t="s">
        <v>208</v>
      </c>
      <c r="O768" t="s">
        <v>283</v>
      </c>
      <c r="P768">
        <v>2.5731034504858788E-3</v>
      </c>
      <c r="Q768" t="s">
        <v>166</v>
      </c>
      <c r="S768" t="s">
        <v>225</v>
      </c>
      <c r="T768" t="s">
        <v>283</v>
      </c>
      <c r="U768">
        <v>2.796802811393986E-3</v>
      </c>
      <c r="V768" t="s">
        <v>166</v>
      </c>
    </row>
    <row r="769" spans="9:22" x14ac:dyDescent="0.45">
      <c r="I769" t="s">
        <v>184</v>
      </c>
      <c r="J769" t="s">
        <v>284</v>
      </c>
      <c r="K769">
        <v>6.1730382994086661E-2</v>
      </c>
      <c r="L769" t="s">
        <v>166</v>
      </c>
      <c r="N769" t="s">
        <v>208</v>
      </c>
      <c r="O769" t="s">
        <v>284</v>
      </c>
      <c r="P769">
        <v>1.8071381454030207E-2</v>
      </c>
      <c r="Q769" t="s">
        <v>166</v>
      </c>
      <c r="S769" t="s">
        <v>225</v>
      </c>
      <c r="T769" t="s">
        <v>284</v>
      </c>
      <c r="U769">
        <v>1.8361640540411096E-2</v>
      </c>
      <c r="V769" t="s">
        <v>166</v>
      </c>
    </row>
    <row r="770" spans="9:22" x14ac:dyDescent="0.45">
      <c r="I770" t="s">
        <v>184</v>
      </c>
      <c r="J770" t="s">
        <v>285</v>
      </c>
      <c r="K770">
        <v>5.967620664739528E-3</v>
      </c>
      <c r="L770" t="s">
        <v>166</v>
      </c>
      <c r="N770" t="s">
        <v>208</v>
      </c>
      <c r="O770" t="s">
        <v>285</v>
      </c>
      <c r="P770">
        <v>2.4288916606529476E-3</v>
      </c>
      <c r="Q770" t="s">
        <v>166</v>
      </c>
      <c r="S770" t="s">
        <v>225</v>
      </c>
      <c r="T770" t="s">
        <v>285</v>
      </c>
      <c r="U770">
        <v>2.6197522116511475E-3</v>
      </c>
      <c r="V770" t="s">
        <v>166</v>
      </c>
    </row>
    <row r="771" spans="9:22" x14ac:dyDescent="0.45">
      <c r="I771" t="s">
        <v>184</v>
      </c>
      <c r="J771" t="s">
        <v>286</v>
      </c>
      <c r="K771">
        <v>3.4315389185665046E-3</v>
      </c>
      <c r="L771" t="s">
        <v>166</v>
      </c>
      <c r="N771" t="s">
        <v>208</v>
      </c>
      <c r="O771" t="s">
        <v>286</v>
      </c>
      <c r="P771">
        <v>4.2977640961035478E-3</v>
      </c>
      <c r="Q771" t="s">
        <v>166</v>
      </c>
      <c r="S771" t="s">
        <v>225</v>
      </c>
      <c r="T771" t="s">
        <v>286</v>
      </c>
      <c r="U771">
        <v>5.2135788846969415E-3</v>
      </c>
      <c r="V771" t="s">
        <v>166</v>
      </c>
    </row>
    <row r="772" spans="9:22" x14ac:dyDescent="0.45">
      <c r="I772" t="s">
        <v>184</v>
      </c>
      <c r="J772" t="s">
        <v>287</v>
      </c>
      <c r="K772">
        <v>0</v>
      </c>
      <c r="L772" t="s">
        <v>166</v>
      </c>
      <c r="N772" t="s">
        <v>208</v>
      </c>
      <c r="O772" t="s">
        <v>287</v>
      </c>
      <c r="P772">
        <v>1.3168212085227535E-2</v>
      </c>
      <c r="Q772" t="s">
        <v>166</v>
      </c>
      <c r="S772" t="s">
        <v>225</v>
      </c>
      <c r="T772" t="s">
        <v>287</v>
      </c>
      <c r="U772">
        <v>1.5618011408574413E-2</v>
      </c>
      <c r="V772" t="s">
        <v>166</v>
      </c>
    </row>
    <row r="773" spans="9:22" x14ac:dyDescent="0.45">
      <c r="I773" t="s">
        <v>184</v>
      </c>
      <c r="J773" t="s">
        <v>288</v>
      </c>
      <c r="K773">
        <v>3.627204252674294E-3</v>
      </c>
      <c r="L773" t="s">
        <v>166</v>
      </c>
      <c r="N773" t="s">
        <v>208</v>
      </c>
      <c r="O773" t="s">
        <v>288</v>
      </c>
      <c r="P773">
        <v>2.4190141989930632E-2</v>
      </c>
      <c r="Q773" t="s">
        <v>166</v>
      </c>
      <c r="S773" t="s">
        <v>225</v>
      </c>
      <c r="T773" t="s">
        <v>288</v>
      </c>
      <c r="U773">
        <v>6.6252249160943036E-2</v>
      </c>
      <c r="V773" t="s">
        <v>166</v>
      </c>
    </row>
    <row r="774" spans="9:22" x14ac:dyDescent="0.45">
      <c r="I774" t="s">
        <v>184</v>
      </c>
      <c r="J774" t="s">
        <v>289</v>
      </c>
      <c r="K774">
        <v>6.6823327897983439E-3</v>
      </c>
      <c r="L774" t="s">
        <v>166</v>
      </c>
      <c r="N774" t="s">
        <v>208</v>
      </c>
      <c r="O774" t="s">
        <v>289</v>
      </c>
      <c r="P774">
        <v>3.8214756395555925E-3</v>
      </c>
      <c r="Q774" t="s">
        <v>166</v>
      </c>
      <c r="S774" t="s">
        <v>225</v>
      </c>
      <c r="T774" t="s">
        <v>289</v>
      </c>
      <c r="U774">
        <v>8.4812207555050936E-3</v>
      </c>
      <c r="V774" t="s">
        <v>166</v>
      </c>
    </row>
    <row r="775" spans="9:22" x14ac:dyDescent="0.45">
      <c r="I775" t="s">
        <v>184</v>
      </c>
      <c r="J775" t="s">
        <v>290</v>
      </c>
      <c r="K775">
        <v>6.7053518460726283E-2</v>
      </c>
      <c r="L775" t="s">
        <v>166</v>
      </c>
      <c r="N775" t="s">
        <v>208</v>
      </c>
      <c r="O775" t="s">
        <v>290</v>
      </c>
      <c r="P775">
        <v>1.9649694788709045E-2</v>
      </c>
      <c r="Q775" t="s">
        <v>166</v>
      </c>
      <c r="S775" t="s">
        <v>225</v>
      </c>
      <c r="T775" t="s">
        <v>290</v>
      </c>
      <c r="U775">
        <v>5.9919813621654446E-2</v>
      </c>
      <c r="V775" t="s">
        <v>166</v>
      </c>
    </row>
    <row r="776" spans="9:22" x14ac:dyDescent="0.45">
      <c r="I776" t="s">
        <v>184</v>
      </c>
      <c r="J776" t="s">
        <v>291</v>
      </c>
      <c r="K776">
        <v>7.0377052471725819E-3</v>
      </c>
      <c r="L776" t="s">
        <v>166</v>
      </c>
      <c r="N776" t="s">
        <v>208</v>
      </c>
      <c r="O776" t="s">
        <v>291</v>
      </c>
      <c r="P776">
        <v>1.680404192047593E-3</v>
      </c>
      <c r="Q776" t="s">
        <v>166</v>
      </c>
      <c r="S776" t="s">
        <v>225</v>
      </c>
      <c r="T776" t="s">
        <v>291</v>
      </c>
      <c r="U776">
        <v>8.7141572088228602E-3</v>
      </c>
      <c r="V776" t="s">
        <v>166</v>
      </c>
    </row>
    <row r="777" spans="9:22" x14ac:dyDescent="0.45">
      <c r="I777" t="s">
        <v>184</v>
      </c>
      <c r="J777" t="s">
        <v>292</v>
      </c>
      <c r="K777">
        <v>5.3842276389218808E-3</v>
      </c>
      <c r="L777" t="s">
        <v>166</v>
      </c>
      <c r="N777" t="s">
        <v>208</v>
      </c>
      <c r="O777" t="s">
        <v>292</v>
      </c>
      <c r="P777">
        <v>3.1578379317734741E-3</v>
      </c>
      <c r="Q777" t="s">
        <v>166</v>
      </c>
      <c r="S777" t="s">
        <v>225</v>
      </c>
      <c r="T777" t="s">
        <v>292</v>
      </c>
      <c r="U777">
        <v>1.6391988707106075E-2</v>
      </c>
      <c r="V777" t="s">
        <v>166</v>
      </c>
    </row>
    <row r="778" spans="9:22" x14ac:dyDescent="0.45">
      <c r="I778" t="s">
        <v>184</v>
      </c>
      <c r="J778" t="s">
        <v>293</v>
      </c>
      <c r="K778">
        <v>0</v>
      </c>
      <c r="L778" t="s">
        <v>166</v>
      </c>
      <c r="N778" t="s">
        <v>208</v>
      </c>
      <c r="O778" t="s">
        <v>293</v>
      </c>
      <c r="P778">
        <v>1.0491882479794228E-2</v>
      </c>
      <c r="Q778" t="s">
        <v>166</v>
      </c>
      <c r="S778" t="s">
        <v>225</v>
      </c>
      <c r="T778" t="s">
        <v>293</v>
      </c>
      <c r="U778">
        <v>4.3245993890353218E-2</v>
      </c>
      <c r="V778" t="s">
        <v>166</v>
      </c>
    </row>
    <row r="779" spans="9:22" x14ac:dyDescent="0.45">
      <c r="I779" t="s">
        <v>185</v>
      </c>
      <c r="J779" t="s">
        <v>165</v>
      </c>
      <c r="K779">
        <v>1.7217302442085157E-2</v>
      </c>
      <c r="L779" t="s">
        <v>166</v>
      </c>
      <c r="N779" t="s">
        <v>209</v>
      </c>
      <c r="O779" t="s">
        <v>165</v>
      </c>
      <c r="P779">
        <v>4.9190460131388718E-2</v>
      </c>
      <c r="Q779" t="s">
        <v>166</v>
      </c>
      <c r="S779" t="s">
        <v>226</v>
      </c>
      <c r="T779" t="s">
        <v>165</v>
      </c>
      <c r="U779">
        <v>0.13124093697323519</v>
      </c>
      <c r="V779" t="s">
        <v>166</v>
      </c>
    </row>
    <row r="780" spans="9:22" x14ac:dyDescent="0.45">
      <c r="I780" t="s">
        <v>185</v>
      </c>
      <c r="J780" t="s">
        <v>167</v>
      </c>
      <c r="K780">
        <v>2.9586336887706212E-2</v>
      </c>
      <c r="L780" t="s">
        <v>166</v>
      </c>
      <c r="N780" t="s">
        <v>209</v>
      </c>
      <c r="O780" t="s">
        <v>167</v>
      </c>
      <c r="P780">
        <v>9.3022661513126326E-3</v>
      </c>
      <c r="Q780" t="s">
        <v>166</v>
      </c>
      <c r="S780" t="s">
        <v>226</v>
      </c>
      <c r="T780" t="s">
        <v>167</v>
      </c>
      <c r="U780">
        <v>1.7040468056620961E-2</v>
      </c>
      <c r="V780" t="s">
        <v>166</v>
      </c>
    </row>
    <row r="781" spans="9:22" x14ac:dyDescent="0.45">
      <c r="I781" t="s">
        <v>185</v>
      </c>
      <c r="J781" t="s">
        <v>168</v>
      </c>
      <c r="K781">
        <v>0.27827391233057797</v>
      </c>
      <c r="L781" t="s">
        <v>166</v>
      </c>
      <c r="N781" t="s">
        <v>209</v>
      </c>
      <c r="O781" t="s">
        <v>168</v>
      </c>
      <c r="P781">
        <v>0.1245180248710302</v>
      </c>
      <c r="Q781" t="s">
        <v>166</v>
      </c>
      <c r="S781" t="s">
        <v>226</v>
      </c>
      <c r="T781" t="s">
        <v>168</v>
      </c>
      <c r="U781">
        <v>0.11448101972994083</v>
      </c>
      <c r="V781" t="s">
        <v>166</v>
      </c>
    </row>
    <row r="782" spans="9:22" x14ac:dyDescent="0.45">
      <c r="I782" t="s">
        <v>185</v>
      </c>
      <c r="J782" t="s">
        <v>258</v>
      </c>
      <c r="K782">
        <v>2.8186289966151506E-2</v>
      </c>
      <c r="L782" t="s">
        <v>166</v>
      </c>
      <c r="N782" t="s">
        <v>209</v>
      </c>
      <c r="O782" t="s">
        <v>258</v>
      </c>
      <c r="P782">
        <v>1.8815833779768691E-2</v>
      </c>
      <c r="Q782" t="s">
        <v>166</v>
      </c>
      <c r="S782" t="s">
        <v>226</v>
      </c>
      <c r="T782" t="s">
        <v>258</v>
      </c>
      <c r="U782">
        <v>1.5842641914625526E-2</v>
      </c>
      <c r="V782" t="s">
        <v>166</v>
      </c>
    </row>
    <row r="783" spans="9:22" x14ac:dyDescent="0.45">
      <c r="I783" t="s">
        <v>185</v>
      </c>
      <c r="J783" t="s">
        <v>259</v>
      </c>
      <c r="K783">
        <v>3.4447506588262448E-2</v>
      </c>
      <c r="L783" t="s">
        <v>166</v>
      </c>
      <c r="N783" t="s">
        <v>209</v>
      </c>
      <c r="O783" t="s">
        <v>259</v>
      </c>
      <c r="P783">
        <v>2.3398202710254629E-2</v>
      </c>
      <c r="Q783" t="s">
        <v>166</v>
      </c>
      <c r="S783" t="s">
        <v>226</v>
      </c>
      <c r="T783" t="s">
        <v>259</v>
      </c>
      <c r="U783">
        <v>3.0649937180222211E-2</v>
      </c>
      <c r="V783" t="s">
        <v>166</v>
      </c>
    </row>
    <row r="784" spans="9:22" x14ac:dyDescent="0.45">
      <c r="I784" t="s">
        <v>185</v>
      </c>
      <c r="J784" t="s">
        <v>260</v>
      </c>
      <c r="K784">
        <v>0</v>
      </c>
      <c r="L784" t="s">
        <v>166</v>
      </c>
      <c r="N784" t="s">
        <v>209</v>
      </c>
      <c r="O784" t="s">
        <v>260</v>
      </c>
      <c r="P784">
        <v>3.8819069060524229E-2</v>
      </c>
      <c r="Q784" t="s">
        <v>166</v>
      </c>
      <c r="S784" t="s">
        <v>226</v>
      </c>
      <c r="T784" t="s">
        <v>260</v>
      </c>
      <c r="U784">
        <v>8.3047065753805868E-2</v>
      </c>
      <c r="V784" t="s">
        <v>166</v>
      </c>
    </row>
    <row r="785" spans="9:22" x14ac:dyDescent="0.45">
      <c r="I785" t="s">
        <v>185</v>
      </c>
      <c r="J785" t="s">
        <v>346</v>
      </c>
      <c r="K785">
        <v>0</v>
      </c>
      <c r="L785" t="s">
        <v>166</v>
      </c>
      <c r="N785" t="s">
        <v>209</v>
      </c>
      <c r="O785" t="s">
        <v>346</v>
      </c>
      <c r="P785">
        <v>4.7562965215462986E-5</v>
      </c>
      <c r="Q785" t="s">
        <v>166</v>
      </c>
      <c r="S785" t="s">
        <v>226</v>
      </c>
      <c r="T785" t="s">
        <v>346</v>
      </c>
      <c r="U785">
        <v>2.5588434732755469E-4</v>
      </c>
      <c r="V785" t="s">
        <v>166</v>
      </c>
    </row>
    <row r="786" spans="9:22" x14ac:dyDescent="0.45">
      <c r="I786" t="s">
        <v>185</v>
      </c>
      <c r="J786" t="s">
        <v>347</v>
      </c>
      <c r="K786">
        <v>0</v>
      </c>
      <c r="L786" t="s">
        <v>166</v>
      </c>
      <c r="N786" t="s">
        <v>209</v>
      </c>
      <c r="O786" t="s">
        <v>347</v>
      </c>
      <c r="P786">
        <v>5.1489770857284561E-5</v>
      </c>
      <c r="Q786" t="s">
        <v>166</v>
      </c>
      <c r="S786" t="s">
        <v>226</v>
      </c>
      <c r="T786" t="s">
        <v>347</v>
      </c>
      <c r="U786">
        <v>2.5477172884255439E-4</v>
      </c>
      <c r="V786" t="s">
        <v>166</v>
      </c>
    </row>
    <row r="787" spans="9:22" x14ac:dyDescent="0.45">
      <c r="I787" t="s">
        <v>185</v>
      </c>
      <c r="J787" t="s">
        <v>348</v>
      </c>
      <c r="K787">
        <v>0</v>
      </c>
      <c r="L787" t="s">
        <v>166</v>
      </c>
      <c r="N787" t="s">
        <v>209</v>
      </c>
      <c r="O787" t="s">
        <v>348</v>
      </c>
      <c r="P787">
        <v>5.3851625195056197E-5</v>
      </c>
      <c r="Q787" t="s">
        <v>166</v>
      </c>
      <c r="S787" t="s">
        <v>226</v>
      </c>
      <c r="T787" t="s">
        <v>348</v>
      </c>
      <c r="U787">
        <v>2.5102771242184083E-4</v>
      </c>
      <c r="V787" t="s">
        <v>166</v>
      </c>
    </row>
    <row r="788" spans="9:22" x14ac:dyDescent="0.45">
      <c r="I788" t="s">
        <v>185</v>
      </c>
      <c r="J788" t="s">
        <v>349</v>
      </c>
      <c r="K788">
        <v>0</v>
      </c>
      <c r="L788" t="s">
        <v>166</v>
      </c>
      <c r="N788" t="s">
        <v>209</v>
      </c>
      <c r="O788" t="s">
        <v>349</v>
      </c>
      <c r="P788">
        <v>5.8247273413016098E-5</v>
      </c>
      <c r="Q788" t="s">
        <v>166</v>
      </c>
      <c r="S788" t="s">
        <v>226</v>
      </c>
      <c r="T788" t="s">
        <v>349</v>
      </c>
      <c r="U788">
        <v>2.4930883285734283E-4</v>
      </c>
      <c r="V788" t="s">
        <v>166</v>
      </c>
    </row>
    <row r="789" spans="9:22" x14ac:dyDescent="0.45">
      <c r="I789" t="s">
        <v>185</v>
      </c>
      <c r="J789" t="s">
        <v>350</v>
      </c>
      <c r="K789">
        <v>0</v>
      </c>
      <c r="L789" t="s">
        <v>166</v>
      </c>
      <c r="N789" t="s">
        <v>209</v>
      </c>
      <c r="O789" t="s">
        <v>350</v>
      </c>
      <c r="P789">
        <v>6.2971531825276747E-5</v>
      </c>
      <c r="Q789" t="s">
        <v>166</v>
      </c>
      <c r="S789" t="s">
        <v>226</v>
      </c>
      <c r="T789" t="s">
        <v>350</v>
      </c>
      <c r="U789">
        <v>2.510887255939126E-4</v>
      </c>
      <c r="V789" t="s">
        <v>166</v>
      </c>
    </row>
    <row r="790" spans="9:22" x14ac:dyDescent="0.45">
      <c r="I790" t="s">
        <v>185</v>
      </c>
      <c r="J790" t="s">
        <v>351</v>
      </c>
      <c r="K790">
        <v>0</v>
      </c>
      <c r="L790" t="s">
        <v>166</v>
      </c>
      <c r="N790" t="s">
        <v>209</v>
      </c>
      <c r="O790" t="s">
        <v>351</v>
      </c>
      <c r="P790">
        <v>4.6614951816425797E-5</v>
      </c>
      <c r="Q790" t="s">
        <v>166</v>
      </c>
      <c r="S790" t="s">
        <v>226</v>
      </c>
      <c r="T790" t="s">
        <v>351</v>
      </c>
      <c r="U790">
        <v>2.4747564426897762E-4</v>
      </c>
      <c r="V790" t="s">
        <v>166</v>
      </c>
    </row>
    <row r="791" spans="9:22" x14ac:dyDescent="0.45">
      <c r="I791" t="s">
        <v>185</v>
      </c>
      <c r="J791" t="s">
        <v>352</v>
      </c>
      <c r="K791">
        <v>0</v>
      </c>
      <c r="L791" t="s">
        <v>166</v>
      </c>
      <c r="N791" t="s">
        <v>209</v>
      </c>
      <c r="O791" t="s">
        <v>352</v>
      </c>
      <c r="P791">
        <v>5.1227469871070555E-5</v>
      </c>
      <c r="Q791" t="s">
        <v>166</v>
      </c>
      <c r="S791" t="s">
        <v>226</v>
      </c>
      <c r="T791" t="s">
        <v>352</v>
      </c>
      <c r="U791">
        <v>2.5050099087381688E-4</v>
      </c>
      <c r="V791" t="s">
        <v>166</v>
      </c>
    </row>
    <row r="792" spans="9:22" x14ac:dyDescent="0.45">
      <c r="I792" t="s">
        <v>185</v>
      </c>
      <c r="J792" t="s">
        <v>353</v>
      </c>
      <c r="K792">
        <v>1.047832423072568E-4</v>
      </c>
      <c r="L792" t="s">
        <v>166</v>
      </c>
      <c r="N792" t="s">
        <v>209</v>
      </c>
      <c r="O792" t="s">
        <v>353</v>
      </c>
      <c r="P792">
        <v>5.8731433927808017E-5</v>
      </c>
      <c r="Q792" t="s">
        <v>166</v>
      </c>
      <c r="S792" t="s">
        <v>226</v>
      </c>
      <c r="T792" t="s">
        <v>353</v>
      </c>
      <c r="U792">
        <v>2.5908460429313119E-4</v>
      </c>
      <c r="V792" t="s">
        <v>166</v>
      </c>
    </row>
    <row r="793" spans="9:22" x14ac:dyDescent="0.45">
      <c r="I793" t="s">
        <v>185</v>
      </c>
      <c r="J793" t="s">
        <v>354</v>
      </c>
      <c r="K793">
        <v>2.1824949601073694E-4</v>
      </c>
      <c r="L793" t="s">
        <v>166</v>
      </c>
      <c r="N793" t="s">
        <v>209</v>
      </c>
      <c r="O793" t="s">
        <v>354</v>
      </c>
      <c r="P793">
        <v>7.5201730302987382E-5</v>
      </c>
      <c r="Q793" t="s">
        <v>166</v>
      </c>
      <c r="S793" t="s">
        <v>226</v>
      </c>
      <c r="T793" t="s">
        <v>354</v>
      </c>
      <c r="U793">
        <v>2.6466251966923476E-4</v>
      </c>
      <c r="V793" t="s">
        <v>166</v>
      </c>
    </row>
    <row r="794" spans="9:22" x14ac:dyDescent="0.45">
      <c r="I794" t="s">
        <v>185</v>
      </c>
      <c r="J794" t="s">
        <v>355</v>
      </c>
      <c r="K794">
        <v>3.3684248279249122E-4</v>
      </c>
      <c r="L794" t="s">
        <v>166</v>
      </c>
      <c r="N794" t="s">
        <v>209</v>
      </c>
      <c r="O794" t="s">
        <v>355</v>
      </c>
      <c r="P794">
        <v>1.8347100587762702E-4</v>
      </c>
      <c r="Q794" t="s">
        <v>166</v>
      </c>
      <c r="S794" t="s">
        <v>226</v>
      </c>
      <c r="T794" t="s">
        <v>355</v>
      </c>
      <c r="U794">
        <v>2.6472085509495841E-4</v>
      </c>
      <c r="V794" t="s">
        <v>166</v>
      </c>
    </row>
    <row r="795" spans="9:22" x14ac:dyDescent="0.45">
      <c r="I795" t="s">
        <v>185</v>
      </c>
      <c r="J795" t="s">
        <v>356</v>
      </c>
      <c r="K795">
        <v>3.8242208851237591E-4</v>
      </c>
      <c r="L795" t="s">
        <v>166</v>
      </c>
      <c r="N795" t="s">
        <v>209</v>
      </c>
      <c r="O795" t="s">
        <v>356</v>
      </c>
      <c r="P795">
        <v>2.1853498491594819E-4</v>
      </c>
      <c r="Q795" t="s">
        <v>166</v>
      </c>
      <c r="S795" t="s">
        <v>226</v>
      </c>
      <c r="T795" t="s">
        <v>356</v>
      </c>
      <c r="U795">
        <v>2.622418397577697E-4</v>
      </c>
      <c r="V795" t="s">
        <v>166</v>
      </c>
    </row>
    <row r="796" spans="9:22" x14ac:dyDescent="0.45">
      <c r="I796" t="s">
        <v>185</v>
      </c>
      <c r="J796" t="s">
        <v>357</v>
      </c>
      <c r="K796">
        <v>3.9038423796121689E-4</v>
      </c>
      <c r="L796" t="s">
        <v>166</v>
      </c>
      <c r="N796" t="s">
        <v>209</v>
      </c>
      <c r="O796" t="s">
        <v>357</v>
      </c>
      <c r="P796">
        <v>2.1908058469989904E-4</v>
      </c>
      <c r="Q796" t="s">
        <v>166</v>
      </c>
      <c r="S796" t="s">
        <v>226</v>
      </c>
      <c r="T796" t="s">
        <v>357</v>
      </c>
      <c r="U796">
        <v>2.5978830185905229E-4</v>
      </c>
      <c r="V796" t="s">
        <v>166</v>
      </c>
    </row>
    <row r="797" spans="9:22" x14ac:dyDescent="0.45">
      <c r="I797" t="s">
        <v>185</v>
      </c>
      <c r="J797" t="s">
        <v>358</v>
      </c>
      <c r="K797">
        <v>3.8235286562186995E-4</v>
      </c>
      <c r="L797" t="s">
        <v>166</v>
      </c>
      <c r="N797" t="s">
        <v>209</v>
      </c>
      <c r="O797" t="s">
        <v>358</v>
      </c>
      <c r="P797">
        <v>2.1204850300468177E-4</v>
      </c>
      <c r="Q797" t="s">
        <v>166</v>
      </c>
      <c r="S797" t="s">
        <v>226</v>
      </c>
      <c r="T797" t="s">
        <v>358</v>
      </c>
      <c r="U797">
        <v>2.5889046198815678E-4</v>
      </c>
      <c r="V797" t="s">
        <v>166</v>
      </c>
    </row>
    <row r="798" spans="9:22" x14ac:dyDescent="0.45">
      <c r="I798" t="s">
        <v>185</v>
      </c>
      <c r="J798" t="s">
        <v>359</v>
      </c>
      <c r="K798">
        <v>3.7610244662736011E-4</v>
      </c>
      <c r="L798" t="s">
        <v>166</v>
      </c>
      <c r="N798" t="s">
        <v>209</v>
      </c>
      <c r="O798" t="s">
        <v>359</v>
      </c>
      <c r="P798">
        <v>2.1533415536421679E-4</v>
      </c>
      <c r="Q798" t="s">
        <v>166</v>
      </c>
      <c r="S798" t="s">
        <v>226</v>
      </c>
      <c r="T798" t="s">
        <v>359</v>
      </c>
      <c r="U798">
        <v>2.6155917370151408E-4</v>
      </c>
      <c r="V798" t="s">
        <v>166</v>
      </c>
    </row>
    <row r="799" spans="9:22" x14ac:dyDescent="0.45">
      <c r="I799" t="s">
        <v>185</v>
      </c>
      <c r="J799" t="s">
        <v>360</v>
      </c>
      <c r="K799">
        <v>3.6168291564570119E-4</v>
      </c>
      <c r="L799" t="s">
        <v>166</v>
      </c>
      <c r="N799" t="s">
        <v>209</v>
      </c>
      <c r="O799" t="s">
        <v>360</v>
      </c>
      <c r="P799">
        <v>1.9356150969609972E-4</v>
      </c>
      <c r="Q799" t="s">
        <v>166</v>
      </c>
      <c r="S799" t="s">
        <v>226</v>
      </c>
      <c r="T799" t="s">
        <v>360</v>
      </c>
      <c r="U799">
        <v>2.6302623164638184E-4</v>
      </c>
      <c r="V799" t="s">
        <v>166</v>
      </c>
    </row>
    <row r="800" spans="9:22" x14ac:dyDescent="0.45">
      <c r="I800" t="s">
        <v>185</v>
      </c>
      <c r="J800" t="s">
        <v>361</v>
      </c>
      <c r="K800">
        <v>3.3325602335912397E-4</v>
      </c>
      <c r="L800" t="s">
        <v>166</v>
      </c>
      <c r="N800" t="s">
        <v>209</v>
      </c>
      <c r="O800" t="s">
        <v>361</v>
      </c>
      <c r="P800">
        <v>1.7929895003796468E-4</v>
      </c>
      <c r="Q800" t="s">
        <v>166</v>
      </c>
      <c r="S800" t="s">
        <v>226</v>
      </c>
      <c r="T800" t="s">
        <v>361</v>
      </c>
      <c r="U800">
        <v>2.6154177830765228E-4</v>
      </c>
      <c r="V800" t="s">
        <v>166</v>
      </c>
    </row>
    <row r="801" spans="9:22" x14ac:dyDescent="0.45">
      <c r="I801" t="s">
        <v>185</v>
      </c>
      <c r="J801" t="s">
        <v>362</v>
      </c>
      <c r="K801">
        <v>2.9491279713519605E-4</v>
      </c>
      <c r="L801" t="s">
        <v>166</v>
      </c>
      <c r="N801" t="s">
        <v>209</v>
      </c>
      <c r="O801" t="s">
        <v>362</v>
      </c>
      <c r="P801">
        <v>1.6995840190766332E-4</v>
      </c>
      <c r="Q801" t="s">
        <v>166</v>
      </c>
      <c r="S801" t="s">
        <v>226</v>
      </c>
      <c r="T801" t="s">
        <v>362</v>
      </c>
      <c r="U801">
        <v>2.5997039314786007E-4</v>
      </c>
      <c r="V801" t="s">
        <v>166</v>
      </c>
    </row>
    <row r="802" spans="9:22" x14ac:dyDescent="0.45">
      <c r="I802" t="s">
        <v>185</v>
      </c>
      <c r="J802" t="s">
        <v>363</v>
      </c>
      <c r="K802">
        <v>1.9812045050392475E-4</v>
      </c>
      <c r="L802" t="s">
        <v>166</v>
      </c>
      <c r="N802" t="s">
        <v>209</v>
      </c>
      <c r="O802" t="s">
        <v>363</v>
      </c>
      <c r="P802">
        <v>9.7748760289670508E-5</v>
      </c>
      <c r="Q802" t="s">
        <v>166</v>
      </c>
      <c r="S802" t="s">
        <v>226</v>
      </c>
      <c r="T802" t="s">
        <v>363</v>
      </c>
      <c r="U802">
        <v>2.3998623173070933E-4</v>
      </c>
      <c r="V802" t="s">
        <v>166</v>
      </c>
    </row>
    <row r="803" spans="9:22" x14ac:dyDescent="0.45">
      <c r="I803" t="s">
        <v>185</v>
      </c>
      <c r="J803" t="s">
        <v>364</v>
      </c>
      <c r="K803">
        <v>1.431773870223872E-4</v>
      </c>
      <c r="L803" t="s">
        <v>166</v>
      </c>
      <c r="N803" t="s">
        <v>209</v>
      </c>
      <c r="O803" t="s">
        <v>364</v>
      </c>
      <c r="P803">
        <v>1.0433383239833604E-4</v>
      </c>
      <c r="Q803" t="s">
        <v>166</v>
      </c>
      <c r="S803" t="s">
        <v>226</v>
      </c>
      <c r="T803" t="s">
        <v>364</v>
      </c>
      <c r="U803">
        <v>2.4089664767393563E-4</v>
      </c>
      <c r="V803" t="s">
        <v>166</v>
      </c>
    </row>
    <row r="804" spans="9:22" x14ac:dyDescent="0.45">
      <c r="I804" t="s">
        <v>185</v>
      </c>
      <c r="J804" t="s">
        <v>365</v>
      </c>
      <c r="K804">
        <v>0</v>
      </c>
      <c r="L804" t="s">
        <v>166</v>
      </c>
      <c r="N804" t="s">
        <v>209</v>
      </c>
      <c r="O804" t="s">
        <v>365</v>
      </c>
      <c r="P804">
        <v>7.9777564564025052E-5</v>
      </c>
      <c r="Q804" t="s">
        <v>166</v>
      </c>
      <c r="S804" t="s">
        <v>226</v>
      </c>
      <c r="T804" t="s">
        <v>365</v>
      </c>
      <c r="U804">
        <v>2.3976975172245908E-4</v>
      </c>
      <c r="V804" t="s">
        <v>166</v>
      </c>
    </row>
    <row r="805" spans="9:22" x14ac:dyDescent="0.45">
      <c r="I805" t="s">
        <v>185</v>
      </c>
      <c r="J805" t="s">
        <v>366</v>
      </c>
      <c r="K805">
        <v>0</v>
      </c>
      <c r="L805" t="s">
        <v>166</v>
      </c>
      <c r="N805" t="s">
        <v>209</v>
      </c>
      <c r="O805" t="s">
        <v>366</v>
      </c>
      <c r="P805">
        <v>6.1489883111997003E-5</v>
      </c>
      <c r="Q805" t="s">
        <v>166</v>
      </c>
      <c r="S805" t="s">
        <v>226</v>
      </c>
      <c r="T805" t="s">
        <v>366</v>
      </c>
      <c r="U805">
        <v>2.4713942517467298E-4</v>
      </c>
      <c r="V805" t="s">
        <v>166</v>
      </c>
    </row>
    <row r="806" spans="9:22" x14ac:dyDescent="0.45">
      <c r="I806" t="s">
        <v>185</v>
      </c>
      <c r="J806" t="s">
        <v>367</v>
      </c>
      <c r="K806">
        <v>0</v>
      </c>
      <c r="L806" t="s">
        <v>166</v>
      </c>
      <c r="N806" t="s">
        <v>209</v>
      </c>
      <c r="O806" t="s">
        <v>367</v>
      </c>
      <c r="P806">
        <v>4.2311625035665994E-5</v>
      </c>
      <c r="Q806" t="s">
        <v>166</v>
      </c>
      <c r="S806" t="s">
        <v>226</v>
      </c>
      <c r="T806" t="s">
        <v>367</v>
      </c>
      <c r="U806">
        <v>2.4410396139727043E-4</v>
      </c>
      <c r="V806" t="s">
        <v>166</v>
      </c>
    </row>
    <row r="807" spans="9:22" x14ac:dyDescent="0.45">
      <c r="I807" t="s">
        <v>185</v>
      </c>
      <c r="J807" t="s">
        <v>368</v>
      </c>
      <c r="K807">
        <v>0</v>
      </c>
      <c r="L807" t="s">
        <v>166</v>
      </c>
      <c r="N807" t="s">
        <v>209</v>
      </c>
      <c r="O807" t="s">
        <v>368</v>
      </c>
      <c r="P807">
        <v>3.06967266013486E-5</v>
      </c>
      <c r="Q807" t="s">
        <v>166</v>
      </c>
      <c r="S807" t="s">
        <v>226</v>
      </c>
      <c r="T807" t="s">
        <v>368</v>
      </c>
      <c r="U807">
        <v>2.3163945750417808E-4</v>
      </c>
      <c r="V807" t="s">
        <v>166</v>
      </c>
    </row>
    <row r="808" spans="9:22" x14ac:dyDescent="0.45">
      <c r="I808" t="s">
        <v>185</v>
      </c>
      <c r="J808" t="s">
        <v>369</v>
      </c>
      <c r="K808">
        <v>0</v>
      </c>
      <c r="L808" t="s">
        <v>166</v>
      </c>
      <c r="N808" t="s">
        <v>209</v>
      </c>
      <c r="O808" t="s">
        <v>369</v>
      </c>
      <c r="P808">
        <v>3.232688861294099E-5</v>
      </c>
      <c r="Q808" t="s">
        <v>166</v>
      </c>
      <c r="S808" t="s">
        <v>226</v>
      </c>
      <c r="T808" t="s">
        <v>369</v>
      </c>
      <c r="U808">
        <v>2.2878935494264694E-4</v>
      </c>
      <c r="V808" t="s">
        <v>166</v>
      </c>
    </row>
    <row r="809" spans="9:22" x14ac:dyDescent="0.45">
      <c r="I809" t="s">
        <v>185</v>
      </c>
      <c r="J809" t="s">
        <v>370</v>
      </c>
      <c r="K809">
        <v>0</v>
      </c>
      <c r="L809" t="s">
        <v>166</v>
      </c>
      <c r="N809" t="s">
        <v>209</v>
      </c>
      <c r="O809" t="s">
        <v>370</v>
      </c>
      <c r="P809">
        <v>9.2800822621268276E-6</v>
      </c>
      <c r="Q809" t="s">
        <v>166</v>
      </c>
      <c r="S809" t="s">
        <v>226</v>
      </c>
      <c r="T809" t="s">
        <v>370</v>
      </c>
      <c r="U809">
        <v>2.1582010847616669E-4</v>
      </c>
      <c r="V809" t="s">
        <v>166</v>
      </c>
    </row>
    <row r="810" spans="9:22" x14ac:dyDescent="0.45">
      <c r="I810" t="s">
        <v>185</v>
      </c>
      <c r="J810" t="s">
        <v>371</v>
      </c>
      <c r="K810">
        <v>0</v>
      </c>
      <c r="L810" t="s">
        <v>166</v>
      </c>
      <c r="N810" t="s">
        <v>209</v>
      </c>
      <c r="O810" t="s">
        <v>371</v>
      </c>
      <c r="P810">
        <v>9.0607925493852963E-6</v>
      </c>
      <c r="Q810" t="s">
        <v>166</v>
      </c>
      <c r="S810" t="s">
        <v>226</v>
      </c>
      <c r="T810" t="s">
        <v>371</v>
      </c>
      <c r="U810">
        <v>2.1031060730936562E-4</v>
      </c>
      <c r="V810" t="s">
        <v>166</v>
      </c>
    </row>
    <row r="811" spans="9:22" x14ac:dyDescent="0.45">
      <c r="I811" t="s">
        <v>185</v>
      </c>
      <c r="J811" t="s">
        <v>372</v>
      </c>
      <c r="K811">
        <v>0</v>
      </c>
      <c r="L811" t="s">
        <v>166</v>
      </c>
      <c r="N811" t="s">
        <v>209</v>
      </c>
      <c r="O811" t="s">
        <v>372</v>
      </c>
      <c r="P811">
        <v>1.0024159811335265E-5</v>
      </c>
      <c r="Q811" t="s">
        <v>166</v>
      </c>
      <c r="S811" t="s">
        <v>226</v>
      </c>
      <c r="T811" t="s">
        <v>372</v>
      </c>
      <c r="U811">
        <v>1.9382658537234361E-4</v>
      </c>
      <c r="V811" t="s">
        <v>166</v>
      </c>
    </row>
    <row r="812" spans="9:22" x14ac:dyDescent="0.45">
      <c r="I812" t="s">
        <v>185</v>
      </c>
      <c r="J812" t="s">
        <v>373</v>
      </c>
      <c r="K812">
        <v>0</v>
      </c>
      <c r="L812" t="s">
        <v>166</v>
      </c>
      <c r="N812" t="s">
        <v>209</v>
      </c>
      <c r="O812" t="s">
        <v>373</v>
      </c>
      <c r="P812">
        <v>8.1070590588670316E-6</v>
      </c>
      <c r="Q812" t="s">
        <v>166</v>
      </c>
      <c r="S812" t="s">
        <v>226</v>
      </c>
      <c r="T812" t="s">
        <v>373</v>
      </c>
      <c r="U812">
        <v>1.7960363671150716E-4</v>
      </c>
      <c r="V812" t="s">
        <v>166</v>
      </c>
    </row>
    <row r="813" spans="9:22" x14ac:dyDescent="0.45">
      <c r="I813" t="s">
        <v>185</v>
      </c>
      <c r="J813" t="s">
        <v>374</v>
      </c>
      <c r="K813">
        <v>0</v>
      </c>
      <c r="L813" t="s">
        <v>166</v>
      </c>
      <c r="N813" t="s">
        <v>209</v>
      </c>
      <c r="O813" t="s">
        <v>374</v>
      </c>
      <c r="P813">
        <v>7.0232781141703046E-6</v>
      </c>
      <c r="Q813" t="s">
        <v>166</v>
      </c>
      <c r="S813" t="s">
        <v>226</v>
      </c>
      <c r="T813" t="s">
        <v>374</v>
      </c>
      <c r="U813">
        <v>1.8548613178469907E-4</v>
      </c>
      <c r="V813" t="s">
        <v>166</v>
      </c>
    </row>
    <row r="814" spans="9:22" x14ac:dyDescent="0.45">
      <c r="I814" t="s">
        <v>185</v>
      </c>
      <c r="J814" t="s">
        <v>375</v>
      </c>
      <c r="K814">
        <v>0</v>
      </c>
      <c r="L814" t="s">
        <v>166</v>
      </c>
      <c r="N814" t="s">
        <v>209</v>
      </c>
      <c r="O814" t="s">
        <v>375</v>
      </c>
      <c r="P814">
        <v>3.53878599380492E-6</v>
      </c>
      <c r="Q814" t="s">
        <v>166</v>
      </c>
      <c r="S814" t="s">
        <v>226</v>
      </c>
      <c r="T814" t="s">
        <v>375</v>
      </c>
      <c r="U814">
        <v>1.950505883748927E-4</v>
      </c>
      <c r="V814" t="s">
        <v>166</v>
      </c>
    </row>
    <row r="815" spans="9:22" x14ac:dyDescent="0.45">
      <c r="I815" t="s">
        <v>185</v>
      </c>
      <c r="J815" t="s">
        <v>376</v>
      </c>
      <c r="K815">
        <v>0</v>
      </c>
      <c r="L815" t="s">
        <v>166</v>
      </c>
      <c r="N815" t="s">
        <v>209</v>
      </c>
      <c r="O815" t="s">
        <v>376</v>
      </c>
      <c r="P815">
        <v>1.9290828876403537E-6</v>
      </c>
      <c r="Q815" t="s">
        <v>166</v>
      </c>
      <c r="S815" t="s">
        <v>226</v>
      </c>
      <c r="T815" t="s">
        <v>376</v>
      </c>
      <c r="U815">
        <v>2.1117743483705769E-4</v>
      </c>
      <c r="V815" t="s">
        <v>166</v>
      </c>
    </row>
    <row r="816" spans="9:22" x14ac:dyDescent="0.45">
      <c r="I816" t="s">
        <v>185</v>
      </c>
      <c r="J816" t="s">
        <v>377</v>
      </c>
      <c r="K816">
        <v>1.8566933504263509E-4</v>
      </c>
      <c r="L816" t="s">
        <v>166</v>
      </c>
      <c r="N816" t="s">
        <v>209</v>
      </c>
      <c r="O816" t="s">
        <v>377</v>
      </c>
      <c r="P816">
        <v>2.4741704275032253E-7</v>
      </c>
      <c r="Q816" t="s">
        <v>166</v>
      </c>
      <c r="S816" t="s">
        <v>226</v>
      </c>
      <c r="T816" t="s">
        <v>377</v>
      </c>
      <c r="U816">
        <v>2.0690566414664026E-4</v>
      </c>
      <c r="V816" t="s">
        <v>166</v>
      </c>
    </row>
    <row r="817" spans="9:22" x14ac:dyDescent="0.45">
      <c r="I817" t="s">
        <v>185</v>
      </c>
      <c r="J817" t="s">
        <v>378</v>
      </c>
      <c r="K817">
        <v>3.1833038073708029E-4</v>
      </c>
      <c r="L817" t="s">
        <v>166</v>
      </c>
      <c r="N817" t="s">
        <v>209</v>
      </c>
      <c r="O817" t="s">
        <v>378</v>
      </c>
      <c r="P817">
        <v>1.3451782787126753E-7</v>
      </c>
      <c r="Q817" t="s">
        <v>166</v>
      </c>
      <c r="S817" t="s">
        <v>226</v>
      </c>
      <c r="T817" t="s">
        <v>378</v>
      </c>
      <c r="U817">
        <v>1.9557382969298732E-4</v>
      </c>
      <c r="V817" t="s">
        <v>166</v>
      </c>
    </row>
    <row r="818" spans="9:22" x14ac:dyDescent="0.45">
      <c r="I818" t="s">
        <v>185</v>
      </c>
      <c r="J818" t="s">
        <v>379</v>
      </c>
      <c r="K818">
        <v>3.9004036018808354E-4</v>
      </c>
      <c r="L818" t="s">
        <v>166</v>
      </c>
      <c r="N818" t="s">
        <v>209</v>
      </c>
      <c r="O818" t="s">
        <v>379</v>
      </c>
      <c r="P818">
        <v>9.2834630922409149E-7</v>
      </c>
      <c r="Q818" t="s">
        <v>166</v>
      </c>
      <c r="S818" t="s">
        <v>226</v>
      </c>
      <c r="T818" t="s">
        <v>379</v>
      </c>
      <c r="U818">
        <v>1.9046784100181294E-4</v>
      </c>
      <c r="V818" t="s">
        <v>166</v>
      </c>
    </row>
    <row r="819" spans="9:22" x14ac:dyDescent="0.45">
      <c r="I819" t="s">
        <v>185</v>
      </c>
      <c r="J819" t="s">
        <v>380</v>
      </c>
      <c r="K819">
        <v>4.2270596197149627E-4</v>
      </c>
      <c r="L819" t="s">
        <v>166</v>
      </c>
      <c r="N819" t="s">
        <v>209</v>
      </c>
      <c r="O819" t="s">
        <v>380</v>
      </c>
      <c r="P819">
        <v>8.595882417955212E-6</v>
      </c>
      <c r="Q819" t="s">
        <v>166</v>
      </c>
      <c r="S819" t="s">
        <v>226</v>
      </c>
      <c r="T819" t="s">
        <v>380</v>
      </c>
      <c r="U819">
        <v>1.940183924356476E-4</v>
      </c>
      <c r="V819" t="s">
        <v>166</v>
      </c>
    </row>
    <row r="820" spans="9:22" x14ac:dyDescent="0.45">
      <c r="I820" t="s">
        <v>185</v>
      </c>
      <c r="J820" t="s">
        <v>381</v>
      </c>
      <c r="K820">
        <v>4.3666697134360277E-4</v>
      </c>
      <c r="L820" t="s">
        <v>166</v>
      </c>
      <c r="N820" t="s">
        <v>209</v>
      </c>
      <c r="O820" t="s">
        <v>381</v>
      </c>
      <c r="P820">
        <v>1.768451482706866E-5</v>
      </c>
      <c r="Q820" t="s">
        <v>166</v>
      </c>
      <c r="S820" t="s">
        <v>226</v>
      </c>
      <c r="T820" t="s">
        <v>381</v>
      </c>
      <c r="U820">
        <v>1.8762681677313544E-4</v>
      </c>
      <c r="V820" t="s">
        <v>166</v>
      </c>
    </row>
    <row r="821" spans="9:22" x14ac:dyDescent="0.45">
      <c r="I821" t="s">
        <v>185</v>
      </c>
      <c r="J821" t="s">
        <v>382</v>
      </c>
      <c r="K821">
        <v>4.2710021401750801E-4</v>
      </c>
      <c r="L821" t="s">
        <v>166</v>
      </c>
      <c r="N821" t="s">
        <v>209</v>
      </c>
      <c r="O821" t="s">
        <v>382</v>
      </c>
      <c r="P821">
        <v>1.9662649074943979E-5</v>
      </c>
      <c r="Q821" t="s">
        <v>166</v>
      </c>
      <c r="S821" t="s">
        <v>226</v>
      </c>
      <c r="T821" t="s">
        <v>382</v>
      </c>
      <c r="U821">
        <v>1.696375195146364E-4</v>
      </c>
      <c r="V821" t="s">
        <v>166</v>
      </c>
    </row>
    <row r="822" spans="9:22" x14ac:dyDescent="0.45">
      <c r="I822" t="s">
        <v>185</v>
      </c>
      <c r="J822" t="s">
        <v>383</v>
      </c>
      <c r="K822">
        <v>4.259552524109411E-4</v>
      </c>
      <c r="L822" t="s">
        <v>166</v>
      </c>
      <c r="N822" t="s">
        <v>209</v>
      </c>
      <c r="O822" t="s">
        <v>383</v>
      </c>
      <c r="P822">
        <v>2.0723442489423593E-5</v>
      </c>
      <c r="Q822" t="s">
        <v>166</v>
      </c>
      <c r="S822" t="s">
        <v>226</v>
      </c>
      <c r="T822" t="s">
        <v>383</v>
      </c>
      <c r="U822">
        <v>1.4586912572407774E-4</v>
      </c>
      <c r="V822" t="s">
        <v>166</v>
      </c>
    </row>
    <row r="823" spans="9:22" x14ac:dyDescent="0.45">
      <c r="I823" t="s">
        <v>185</v>
      </c>
      <c r="J823" t="s">
        <v>384</v>
      </c>
      <c r="K823">
        <v>4.2807039815665886E-4</v>
      </c>
      <c r="L823" t="s">
        <v>166</v>
      </c>
      <c r="N823" t="s">
        <v>209</v>
      </c>
      <c r="O823" t="s">
        <v>384</v>
      </c>
      <c r="P823">
        <v>2.8637728050668612E-5</v>
      </c>
      <c r="Q823" t="s">
        <v>166</v>
      </c>
      <c r="S823" t="s">
        <v>226</v>
      </c>
      <c r="T823" t="s">
        <v>384</v>
      </c>
      <c r="U823">
        <v>1.3588629020296891E-4</v>
      </c>
      <c r="V823" t="s">
        <v>166</v>
      </c>
    </row>
    <row r="824" spans="9:22" x14ac:dyDescent="0.45">
      <c r="I824" t="s">
        <v>185</v>
      </c>
      <c r="J824" t="s">
        <v>385</v>
      </c>
      <c r="K824">
        <v>4.0922741681873916E-4</v>
      </c>
      <c r="L824" t="s">
        <v>166</v>
      </c>
      <c r="N824" t="s">
        <v>209</v>
      </c>
      <c r="O824" t="s">
        <v>385</v>
      </c>
      <c r="P824">
        <v>4.1192663859691592E-5</v>
      </c>
      <c r="Q824" t="s">
        <v>166</v>
      </c>
      <c r="S824" t="s">
        <v>226</v>
      </c>
      <c r="T824" t="s">
        <v>385</v>
      </c>
      <c r="U824">
        <v>1.3521883933313513E-4</v>
      </c>
      <c r="V824" t="s">
        <v>166</v>
      </c>
    </row>
    <row r="825" spans="9:22" x14ac:dyDescent="0.45">
      <c r="I825" t="s">
        <v>185</v>
      </c>
      <c r="J825" t="s">
        <v>386</v>
      </c>
      <c r="K825">
        <v>3.7359269077991744E-4</v>
      </c>
      <c r="L825" t="s">
        <v>166</v>
      </c>
      <c r="N825" t="s">
        <v>209</v>
      </c>
      <c r="O825" t="s">
        <v>386</v>
      </c>
      <c r="P825">
        <v>6.7695094377871263E-5</v>
      </c>
      <c r="Q825" t="s">
        <v>166</v>
      </c>
      <c r="S825" t="s">
        <v>226</v>
      </c>
      <c r="T825" t="s">
        <v>386</v>
      </c>
      <c r="U825">
        <v>1.4157017675309755E-4</v>
      </c>
      <c r="V825" t="s">
        <v>166</v>
      </c>
    </row>
    <row r="826" spans="9:22" x14ac:dyDescent="0.45">
      <c r="I826" t="s">
        <v>185</v>
      </c>
      <c r="J826" t="s">
        <v>387</v>
      </c>
      <c r="K826">
        <v>3.1628751370279011E-4</v>
      </c>
      <c r="L826" t="s">
        <v>166</v>
      </c>
      <c r="N826" t="s">
        <v>209</v>
      </c>
      <c r="O826" t="s">
        <v>387</v>
      </c>
      <c r="P826">
        <v>6.4808432817259972E-5</v>
      </c>
      <c r="Q826" t="s">
        <v>166</v>
      </c>
      <c r="S826" t="s">
        <v>226</v>
      </c>
      <c r="T826" t="s">
        <v>387</v>
      </c>
      <c r="U826">
        <v>1.2884149843728494E-4</v>
      </c>
      <c r="V826" t="s">
        <v>166</v>
      </c>
    </row>
    <row r="827" spans="9:22" x14ac:dyDescent="0.45">
      <c r="I827" t="s">
        <v>185</v>
      </c>
      <c r="J827" t="s">
        <v>388</v>
      </c>
      <c r="K827">
        <v>1.9390755219428799E-4</v>
      </c>
      <c r="L827" t="s">
        <v>166</v>
      </c>
      <c r="N827" t="s">
        <v>209</v>
      </c>
      <c r="O827" t="s">
        <v>388</v>
      </c>
      <c r="P827">
        <v>6.3975040116413646E-5</v>
      </c>
      <c r="Q827" t="s">
        <v>166</v>
      </c>
      <c r="S827" t="s">
        <v>226</v>
      </c>
      <c r="T827" t="s">
        <v>388</v>
      </c>
      <c r="U827">
        <v>1.3284935822924836E-4</v>
      </c>
      <c r="V827" t="s">
        <v>166</v>
      </c>
    </row>
    <row r="828" spans="9:22" x14ac:dyDescent="0.45">
      <c r="I828" t="s">
        <v>185</v>
      </c>
      <c r="J828" t="s">
        <v>389</v>
      </c>
      <c r="K828">
        <v>0</v>
      </c>
      <c r="L828" t="s">
        <v>166</v>
      </c>
      <c r="N828" t="s">
        <v>209</v>
      </c>
      <c r="O828" t="s">
        <v>389</v>
      </c>
      <c r="P828">
        <v>5.6216217442888455E-5</v>
      </c>
      <c r="Q828" t="s">
        <v>166</v>
      </c>
      <c r="S828" t="s">
        <v>226</v>
      </c>
      <c r="T828" t="s">
        <v>389</v>
      </c>
      <c r="U828">
        <v>1.3233767111001674E-4</v>
      </c>
      <c r="V828" t="s">
        <v>166</v>
      </c>
    </row>
    <row r="829" spans="9:22" x14ac:dyDescent="0.45">
      <c r="I829" t="s">
        <v>185</v>
      </c>
      <c r="J829" t="s">
        <v>390</v>
      </c>
      <c r="K829">
        <v>0</v>
      </c>
      <c r="L829" t="s">
        <v>166</v>
      </c>
      <c r="N829" t="s">
        <v>209</v>
      </c>
      <c r="O829" t="s">
        <v>390</v>
      </c>
      <c r="P829">
        <v>4.4118050207837603E-5</v>
      </c>
      <c r="Q829" t="s">
        <v>166</v>
      </c>
      <c r="S829" t="s">
        <v>226</v>
      </c>
      <c r="T829" t="s">
        <v>390</v>
      </c>
      <c r="U829">
        <v>1.3587271198598174E-4</v>
      </c>
      <c r="V829" t="s">
        <v>166</v>
      </c>
    </row>
    <row r="830" spans="9:22" x14ac:dyDescent="0.45">
      <c r="I830" t="s">
        <v>185</v>
      </c>
      <c r="J830" t="s">
        <v>391</v>
      </c>
      <c r="K830">
        <v>0</v>
      </c>
      <c r="L830" t="s">
        <v>166</v>
      </c>
      <c r="N830" t="s">
        <v>209</v>
      </c>
      <c r="O830" t="s">
        <v>391</v>
      </c>
      <c r="P830">
        <v>3.6451044501225039E-5</v>
      </c>
      <c r="Q830" t="s">
        <v>166</v>
      </c>
      <c r="S830" t="s">
        <v>226</v>
      </c>
      <c r="T830" t="s">
        <v>391</v>
      </c>
      <c r="U830">
        <v>1.294385001644905E-4</v>
      </c>
      <c r="V830" t="s">
        <v>166</v>
      </c>
    </row>
    <row r="831" spans="9:22" x14ac:dyDescent="0.45">
      <c r="I831" t="s">
        <v>185</v>
      </c>
      <c r="J831" t="s">
        <v>392</v>
      </c>
      <c r="K831">
        <v>0</v>
      </c>
      <c r="L831" t="s">
        <v>166</v>
      </c>
      <c r="N831" t="s">
        <v>209</v>
      </c>
      <c r="O831" t="s">
        <v>392</v>
      </c>
      <c r="P831">
        <v>2.6659693658587282E-5</v>
      </c>
      <c r="Q831" t="s">
        <v>166</v>
      </c>
      <c r="S831" t="s">
        <v>226</v>
      </c>
      <c r="T831" t="s">
        <v>392</v>
      </c>
      <c r="U831">
        <v>1.2202085272628166E-4</v>
      </c>
      <c r="V831" t="s">
        <v>166</v>
      </c>
    </row>
    <row r="832" spans="9:22" x14ac:dyDescent="0.45">
      <c r="I832" t="s">
        <v>185</v>
      </c>
      <c r="J832" t="s">
        <v>393</v>
      </c>
      <c r="K832">
        <v>0</v>
      </c>
      <c r="L832" t="s">
        <v>166</v>
      </c>
      <c r="N832" t="s">
        <v>209</v>
      </c>
      <c r="O832" t="s">
        <v>393</v>
      </c>
      <c r="P832">
        <v>2.6739844662369856E-5</v>
      </c>
      <c r="Q832" t="s">
        <v>166</v>
      </c>
      <c r="S832" t="s">
        <v>226</v>
      </c>
      <c r="T832" t="s">
        <v>393</v>
      </c>
      <c r="U832">
        <v>1.0662802534804876E-4</v>
      </c>
      <c r="V832" t="s">
        <v>166</v>
      </c>
    </row>
    <row r="833" spans="9:22" x14ac:dyDescent="0.45">
      <c r="I833" t="s">
        <v>185</v>
      </c>
      <c r="J833" t="s">
        <v>169</v>
      </c>
      <c r="K833">
        <v>5.3543111716319817E-3</v>
      </c>
      <c r="L833" t="s">
        <v>166</v>
      </c>
      <c r="N833" t="s">
        <v>209</v>
      </c>
      <c r="O833" t="s">
        <v>169</v>
      </c>
      <c r="P833">
        <v>6.9422043104408306E-3</v>
      </c>
      <c r="Q833" t="s">
        <v>166</v>
      </c>
      <c r="S833" t="s">
        <v>226</v>
      </c>
      <c r="T833" t="s">
        <v>169</v>
      </c>
      <c r="U833">
        <v>3.708639898753553E-3</v>
      </c>
      <c r="V833" t="s">
        <v>166</v>
      </c>
    </row>
    <row r="834" spans="9:22" x14ac:dyDescent="0.45">
      <c r="I834" t="s">
        <v>185</v>
      </c>
      <c r="J834" t="s">
        <v>170</v>
      </c>
      <c r="K834">
        <v>7.3782042890148496E-3</v>
      </c>
      <c r="L834" t="s">
        <v>166</v>
      </c>
      <c r="N834" t="s">
        <v>209</v>
      </c>
      <c r="O834" t="s">
        <v>170</v>
      </c>
      <c r="P834">
        <v>1.3125316825081414E-3</v>
      </c>
      <c r="Q834" t="s">
        <v>166</v>
      </c>
      <c r="S834" t="s">
        <v>226</v>
      </c>
      <c r="T834" t="s">
        <v>170</v>
      </c>
      <c r="U834">
        <v>4.4601422943520386E-4</v>
      </c>
      <c r="V834" t="s">
        <v>166</v>
      </c>
    </row>
    <row r="835" spans="9:22" x14ac:dyDescent="0.45">
      <c r="I835" t="s">
        <v>185</v>
      </c>
      <c r="J835" t="s">
        <v>171</v>
      </c>
      <c r="K835">
        <v>6.7175985957236728E-2</v>
      </c>
      <c r="L835" t="s">
        <v>166</v>
      </c>
      <c r="N835" t="s">
        <v>209</v>
      </c>
      <c r="O835" t="s">
        <v>171</v>
      </c>
      <c r="P835">
        <v>9.1605387580102667E-3</v>
      </c>
      <c r="Q835" t="s">
        <v>166</v>
      </c>
      <c r="S835" t="s">
        <v>226</v>
      </c>
      <c r="T835" t="s">
        <v>171</v>
      </c>
      <c r="U835">
        <v>3.4119354289151617E-3</v>
      </c>
      <c r="V835" t="s">
        <v>166</v>
      </c>
    </row>
    <row r="836" spans="9:22" x14ac:dyDescent="0.45">
      <c r="I836" t="s">
        <v>185</v>
      </c>
      <c r="J836" t="s">
        <v>261</v>
      </c>
      <c r="K836">
        <v>4.631264719321038E-3</v>
      </c>
      <c r="L836" t="s">
        <v>166</v>
      </c>
      <c r="N836" t="s">
        <v>209</v>
      </c>
      <c r="O836" t="s">
        <v>261</v>
      </c>
      <c r="P836">
        <v>8.6729012275208492E-4</v>
      </c>
      <c r="Q836" t="s">
        <v>166</v>
      </c>
      <c r="S836" t="s">
        <v>226</v>
      </c>
      <c r="T836" t="s">
        <v>261</v>
      </c>
      <c r="U836">
        <v>5.9352497149710748E-4</v>
      </c>
      <c r="V836" t="s">
        <v>166</v>
      </c>
    </row>
    <row r="837" spans="9:22" x14ac:dyDescent="0.45">
      <c r="I837" t="s">
        <v>185</v>
      </c>
      <c r="J837" t="s">
        <v>262</v>
      </c>
      <c r="K837">
        <v>4.3195212969903002E-3</v>
      </c>
      <c r="L837" t="s">
        <v>166</v>
      </c>
      <c r="N837" t="s">
        <v>209</v>
      </c>
      <c r="O837" t="s">
        <v>262</v>
      </c>
      <c r="P837">
        <v>9.9938702609816987E-4</v>
      </c>
      <c r="Q837" t="s">
        <v>166</v>
      </c>
      <c r="S837" t="s">
        <v>226</v>
      </c>
      <c r="T837" t="s">
        <v>262</v>
      </c>
      <c r="U837">
        <v>9.6216959523270289E-4</v>
      </c>
      <c r="V837" t="s">
        <v>166</v>
      </c>
    </row>
    <row r="838" spans="9:22" x14ac:dyDescent="0.45">
      <c r="I838" t="s">
        <v>185</v>
      </c>
      <c r="J838" t="s">
        <v>263</v>
      </c>
      <c r="K838">
        <v>0</v>
      </c>
      <c r="L838" t="s">
        <v>166</v>
      </c>
      <c r="N838" t="s">
        <v>209</v>
      </c>
      <c r="O838" t="s">
        <v>263</v>
      </c>
      <c r="P838">
        <v>2.4620260810912331E-3</v>
      </c>
      <c r="Q838" t="s">
        <v>166</v>
      </c>
      <c r="S838" t="s">
        <v>226</v>
      </c>
      <c r="T838" t="s">
        <v>263</v>
      </c>
      <c r="U838">
        <v>2.2005686887796743E-3</v>
      </c>
      <c r="V838" t="s">
        <v>166</v>
      </c>
    </row>
    <row r="839" spans="9:22" x14ac:dyDescent="0.45">
      <c r="I839" t="s">
        <v>185</v>
      </c>
      <c r="J839" t="s">
        <v>172</v>
      </c>
      <c r="K839">
        <v>2.8928430536748822E-3</v>
      </c>
      <c r="L839" t="s">
        <v>166</v>
      </c>
      <c r="N839" t="s">
        <v>209</v>
      </c>
      <c r="O839" t="s">
        <v>172</v>
      </c>
      <c r="P839">
        <v>2.2103324398789148E-2</v>
      </c>
      <c r="Q839" t="s">
        <v>166</v>
      </c>
      <c r="S839" t="s">
        <v>226</v>
      </c>
      <c r="T839" t="s">
        <v>172</v>
      </c>
      <c r="U839">
        <v>1.5504388740279727E-2</v>
      </c>
      <c r="V839" t="s">
        <v>166</v>
      </c>
    </row>
    <row r="840" spans="9:22" x14ac:dyDescent="0.45">
      <c r="I840" t="s">
        <v>185</v>
      </c>
      <c r="J840" t="s">
        <v>173</v>
      </c>
      <c r="K840">
        <v>4.5432251786947792E-3</v>
      </c>
      <c r="L840" t="s">
        <v>166</v>
      </c>
      <c r="N840" t="s">
        <v>209</v>
      </c>
      <c r="O840" t="s">
        <v>173</v>
      </c>
      <c r="P840">
        <v>3.4510537757490136E-3</v>
      </c>
      <c r="Q840" t="s">
        <v>166</v>
      </c>
      <c r="S840" t="s">
        <v>226</v>
      </c>
      <c r="T840" t="s">
        <v>173</v>
      </c>
      <c r="U840">
        <v>1.9356152913608867E-3</v>
      </c>
      <c r="V840" t="s">
        <v>166</v>
      </c>
    </row>
    <row r="841" spans="9:22" x14ac:dyDescent="0.45">
      <c r="I841" t="s">
        <v>185</v>
      </c>
      <c r="J841" t="s">
        <v>174</v>
      </c>
      <c r="K841">
        <v>5.0374638140802439E-2</v>
      </c>
      <c r="L841" t="s">
        <v>166</v>
      </c>
      <c r="N841" t="s">
        <v>209</v>
      </c>
      <c r="O841" t="s">
        <v>174</v>
      </c>
      <c r="P841">
        <v>2.796933472453238E-2</v>
      </c>
      <c r="Q841" t="s">
        <v>166</v>
      </c>
      <c r="S841" t="s">
        <v>226</v>
      </c>
      <c r="T841" t="s">
        <v>174</v>
      </c>
      <c r="U841">
        <v>1.2806218975564993E-2</v>
      </c>
      <c r="V841" t="s">
        <v>166</v>
      </c>
    </row>
    <row r="842" spans="9:22" x14ac:dyDescent="0.45">
      <c r="I842" t="s">
        <v>185</v>
      </c>
      <c r="J842" t="s">
        <v>264</v>
      </c>
      <c r="K842">
        <v>3.8709043726416056E-3</v>
      </c>
      <c r="L842" t="s">
        <v>166</v>
      </c>
      <c r="N842" t="s">
        <v>209</v>
      </c>
      <c r="O842" t="s">
        <v>264</v>
      </c>
      <c r="P842">
        <v>2.5075098485781242E-3</v>
      </c>
      <c r="Q842" t="s">
        <v>166</v>
      </c>
      <c r="S842" t="s">
        <v>226</v>
      </c>
      <c r="T842" t="s">
        <v>264</v>
      </c>
      <c r="U842">
        <v>1.9933348681680494E-3</v>
      </c>
      <c r="V842" t="s">
        <v>166</v>
      </c>
    </row>
    <row r="843" spans="9:22" x14ac:dyDescent="0.45">
      <c r="I843" t="s">
        <v>185</v>
      </c>
      <c r="J843" t="s">
        <v>265</v>
      </c>
      <c r="K843">
        <v>3.64465978583146E-3</v>
      </c>
      <c r="L843" t="s">
        <v>166</v>
      </c>
      <c r="N843" t="s">
        <v>209</v>
      </c>
      <c r="O843" t="s">
        <v>265</v>
      </c>
      <c r="P843">
        <v>3.4303539993285406E-3</v>
      </c>
      <c r="Q843" t="s">
        <v>166</v>
      </c>
      <c r="S843" t="s">
        <v>226</v>
      </c>
      <c r="T843" t="s">
        <v>265</v>
      </c>
      <c r="U843">
        <v>3.6909750269481251E-3</v>
      </c>
      <c r="V843" t="s">
        <v>166</v>
      </c>
    </row>
    <row r="844" spans="9:22" x14ac:dyDescent="0.45">
      <c r="I844" t="s">
        <v>185</v>
      </c>
      <c r="J844" t="s">
        <v>266</v>
      </c>
      <c r="K844">
        <v>0</v>
      </c>
      <c r="L844" t="s">
        <v>166</v>
      </c>
      <c r="N844" t="s">
        <v>209</v>
      </c>
      <c r="O844" t="s">
        <v>266</v>
      </c>
      <c r="P844">
        <v>8.7296036707367845E-3</v>
      </c>
      <c r="Q844" t="s">
        <v>166</v>
      </c>
      <c r="S844" t="s">
        <v>226</v>
      </c>
      <c r="T844" t="s">
        <v>266</v>
      </c>
      <c r="U844">
        <v>8.1903877994082101E-3</v>
      </c>
      <c r="V844" t="s">
        <v>166</v>
      </c>
    </row>
    <row r="845" spans="9:22" x14ac:dyDescent="0.45">
      <c r="I845" t="s">
        <v>185</v>
      </c>
      <c r="J845" t="s">
        <v>175</v>
      </c>
      <c r="K845">
        <v>2.2701922629393633E-3</v>
      </c>
      <c r="L845" t="s">
        <v>166</v>
      </c>
      <c r="N845" t="s">
        <v>209</v>
      </c>
      <c r="O845" t="s">
        <v>175</v>
      </c>
      <c r="P845">
        <v>1.7867394551628737E-2</v>
      </c>
      <c r="Q845" t="s">
        <v>166</v>
      </c>
      <c r="S845" t="s">
        <v>226</v>
      </c>
      <c r="T845" t="s">
        <v>175</v>
      </c>
      <c r="U845">
        <v>2.1096371206496503E-2</v>
      </c>
      <c r="V845" t="s">
        <v>166</v>
      </c>
    </row>
    <row r="846" spans="9:22" x14ac:dyDescent="0.45">
      <c r="I846" t="s">
        <v>185</v>
      </c>
      <c r="J846" t="s">
        <v>176</v>
      </c>
      <c r="K846">
        <v>4.239311953919047E-3</v>
      </c>
      <c r="L846" t="s">
        <v>166</v>
      </c>
      <c r="N846" t="s">
        <v>209</v>
      </c>
      <c r="O846" t="s">
        <v>176</v>
      </c>
      <c r="P846">
        <v>2.6836185458738171E-3</v>
      </c>
      <c r="Q846" t="s">
        <v>166</v>
      </c>
      <c r="S846" t="s">
        <v>226</v>
      </c>
      <c r="T846" t="s">
        <v>176</v>
      </c>
      <c r="U846">
        <v>2.6340715620372392E-3</v>
      </c>
      <c r="V846" t="s">
        <v>166</v>
      </c>
    </row>
    <row r="847" spans="9:22" x14ac:dyDescent="0.45">
      <c r="I847" t="s">
        <v>185</v>
      </c>
      <c r="J847" t="s">
        <v>177</v>
      </c>
      <c r="K847">
        <v>5.0779018503564803E-2</v>
      </c>
      <c r="L847" t="s">
        <v>166</v>
      </c>
      <c r="N847" t="s">
        <v>209</v>
      </c>
      <c r="O847" t="s">
        <v>177</v>
      </c>
      <c r="P847">
        <v>2.7388695038544408E-2</v>
      </c>
      <c r="Q847" t="s">
        <v>166</v>
      </c>
      <c r="S847" t="s">
        <v>226</v>
      </c>
      <c r="T847" t="s">
        <v>177</v>
      </c>
      <c r="U847">
        <v>2.0912700261262514E-2</v>
      </c>
      <c r="V847" t="s">
        <v>166</v>
      </c>
    </row>
    <row r="848" spans="9:22" x14ac:dyDescent="0.45">
      <c r="I848" t="s">
        <v>185</v>
      </c>
      <c r="J848" t="s">
        <v>267</v>
      </c>
      <c r="K848">
        <v>4.2365773506400917E-3</v>
      </c>
      <c r="L848" t="s">
        <v>166</v>
      </c>
      <c r="N848" t="s">
        <v>209</v>
      </c>
      <c r="O848" t="s">
        <v>267</v>
      </c>
      <c r="P848">
        <v>2.0347079113581484E-3</v>
      </c>
      <c r="Q848" t="s">
        <v>166</v>
      </c>
      <c r="S848" t="s">
        <v>226</v>
      </c>
      <c r="T848" t="s">
        <v>267</v>
      </c>
      <c r="U848">
        <v>3.4359208721757508E-3</v>
      </c>
      <c r="V848" t="s">
        <v>166</v>
      </c>
    </row>
    <row r="849" spans="9:22" x14ac:dyDescent="0.45">
      <c r="I849" t="s">
        <v>185</v>
      </c>
      <c r="J849" t="s">
        <v>268</v>
      </c>
      <c r="K849">
        <v>3.9772314410591331E-3</v>
      </c>
      <c r="L849" t="s">
        <v>166</v>
      </c>
      <c r="N849" t="s">
        <v>209</v>
      </c>
      <c r="O849" t="s">
        <v>268</v>
      </c>
      <c r="P849">
        <v>2.6906932314754769E-3</v>
      </c>
      <c r="Q849" t="s">
        <v>166</v>
      </c>
      <c r="S849" t="s">
        <v>226</v>
      </c>
      <c r="T849" t="s">
        <v>268</v>
      </c>
      <c r="U849">
        <v>6.6400002841240343E-3</v>
      </c>
      <c r="V849" t="s">
        <v>166</v>
      </c>
    </row>
    <row r="850" spans="9:22" x14ac:dyDescent="0.45">
      <c r="I850" t="s">
        <v>185</v>
      </c>
      <c r="J850" t="s">
        <v>269</v>
      </c>
      <c r="K850">
        <v>0</v>
      </c>
      <c r="L850" t="s">
        <v>166</v>
      </c>
      <c r="N850" t="s">
        <v>209</v>
      </c>
      <c r="O850" t="s">
        <v>269</v>
      </c>
      <c r="P850">
        <v>6.9392030804137873E-3</v>
      </c>
      <c r="Q850" t="s">
        <v>166</v>
      </c>
      <c r="S850" t="s">
        <v>226</v>
      </c>
      <c r="T850" t="s">
        <v>269</v>
      </c>
      <c r="U850">
        <v>1.3668596770280246E-2</v>
      </c>
      <c r="V850" t="s">
        <v>166</v>
      </c>
    </row>
    <row r="851" spans="9:22" x14ac:dyDescent="0.45">
      <c r="I851" t="s">
        <v>185</v>
      </c>
      <c r="J851" t="s">
        <v>270</v>
      </c>
      <c r="K851">
        <v>1.9973284794116719E-3</v>
      </c>
      <c r="L851" t="s">
        <v>166</v>
      </c>
      <c r="N851" t="s">
        <v>209</v>
      </c>
      <c r="O851" t="s">
        <v>270</v>
      </c>
      <c r="P851">
        <v>6.3054785339174968E-2</v>
      </c>
      <c r="Q851" t="s">
        <v>166</v>
      </c>
      <c r="S851" t="s">
        <v>226</v>
      </c>
      <c r="T851" t="s">
        <v>270</v>
      </c>
      <c r="U851">
        <v>2.7654154770435039E-2</v>
      </c>
      <c r="V851" t="s">
        <v>166</v>
      </c>
    </row>
    <row r="852" spans="9:22" x14ac:dyDescent="0.45">
      <c r="I852" t="s">
        <v>185</v>
      </c>
      <c r="J852" t="s">
        <v>271</v>
      </c>
      <c r="K852">
        <v>4.2060720110585403E-3</v>
      </c>
      <c r="L852" t="s">
        <v>166</v>
      </c>
      <c r="N852" t="s">
        <v>209</v>
      </c>
      <c r="O852" t="s">
        <v>271</v>
      </c>
      <c r="P852">
        <v>8.0397699668712918E-3</v>
      </c>
      <c r="Q852" t="s">
        <v>166</v>
      </c>
      <c r="S852" t="s">
        <v>226</v>
      </c>
      <c r="T852" t="s">
        <v>271</v>
      </c>
      <c r="U852">
        <v>3.2815790932800805E-3</v>
      </c>
      <c r="V852" t="s">
        <v>166</v>
      </c>
    </row>
    <row r="853" spans="9:22" x14ac:dyDescent="0.45">
      <c r="I853" t="s">
        <v>185</v>
      </c>
      <c r="J853" t="s">
        <v>272</v>
      </c>
      <c r="K853">
        <v>5.2573170344264078E-2</v>
      </c>
      <c r="L853" t="s">
        <v>166</v>
      </c>
      <c r="N853" t="s">
        <v>209</v>
      </c>
      <c r="O853" t="s">
        <v>272</v>
      </c>
      <c r="P853">
        <v>6.3509194125820637E-2</v>
      </c>
      <c r="Q853" t="s">
        <v>166</v>
      </c>
      <c r="S853" t="s">
        <v>226</v>
      </c>
      <c r="T853" t="s">
        <v>272</v>
      </c>
      <c r="U853">
        <v>2.6434425748043881E-2</v>
      </c>
      <c r="V853" t="s">
        <v>166</v>
      </c>
    </row>
    <row r="854" spans="9:22" x14ac:dyDescent="0.45">
      <c r="I854" t="s">
        <v>185</v>
      </c>
      <c r="J854" t="s">
        <v>273</v>
      </c>
      <c r="K854">
        <v>5.1680823913344909E-3</v>
      </c>
      <c r="L854" t="s">
        <v>166</v>
      </c>
      <c r="N854" t="s">
        <v>209</v>
      </c>
      <c r="O854" t="s">
        <v>273</v>
      </c>
      <c r="P854">
        <v>4.7601371580043867E-3</v>
      </c>
      <c r="Q854" t="s">
        <v>166</v>
      </c>
      <c r="S854" t="s">
        <v>226</v>
      </c>
      <c r="T854" t="s">
        <v>273</v>
      </c>
      <c r="U854">
        <v>4.0222847515858509E-3</v>
      </c>
      <c r="V854" t="s">
        <v>166</v>
      </c>
    </row>
    <row r="855" spans="9:22" x14ac:dyDescent="0.45">
      <c r="I855" t="s">
        <v>185</v>
      </c>
      <c r="J855" t="s">
        <v>274</v>
      </c>
      <c r="K855">
        <v>5.4427791234687196E-3</v>
      </c>
      <c r="L855" t="s">
        <v>166</v>
      </c>
      <c r="N855" t="s">
        <v>209</v>
      </c>
      <c r="O855" t="s">
        <v>274</v>
      </c>
      <c r="P855">
        <v>8.1758783434759535E-3</v>
      </c>
      <c r="Q855" t="s">
        <v>166</v>
      </c>
      <c r="S855" t="s">
        <v>226</v>
      </c>
      <c r="T855" t="s">
        <v>274</v>
      </c>
      <c r="U855">
        <v>7.2378673228552706E-3</v>
      </c>
      <c r="V855" t="s">
        <v>166</v>
      </c>
    </row>
    <row r="856" spans="9:22" x14ac:dyDescent="0.45">
      <c r="I856" t="s">
        <v>185</v>
      </c>
      <c r="J856" t="s">
        <v>275</v>
      </c>
      <c r="K856">
        <v>0</v>
      </c>
      <c r="L856" t="s">
        <v>166</v>
      </c>
      <c r="N856" t="s">
        <v>209</v>
      </c>
      <c r="O856" t="s">
        <v>275</v>
      </c>
      <c r="P856">
        <v>2.6788881765213456E-2</v>
      </c>
      <c r="Q856" t="s">
        <v>166</v>
      </c>
      <c r="S856" t="s">
        <v>226</v>
      </c>
      <c r="T856" t="s">
        <v>275</v>
      </c>
      <c r="U856">
        <v>1.5414646431257565E-2</v>
      </c>
      <c r="V856" t="s">
        <v>166</v>
      </c>
    </row>
    <row r="857" spans="9:22" x14ac:dyDescent="0.45">
      <c r="I857" t="s">
        <v>185</v>
      </c>
      <c r="J857" t="s">
        <v>276</v>
      </c>
      <c r="K857">
        <v>6.6542010465522701E-3</v>
      </c>
      <c r="L857" t="s">
        <v>166</v>
      </c>
      <c r="N857" t="s">
        <v>209</v>
      </c>
      <c r="O857" t="s">
        <v>276</v>
      </c>
      <c r="P857">
        <v>4.0811089750846123E-2</v>
      </c>
      <c r="Q857" t="s">
        <v>166</v>
      </c>
      <c r="S857" t="s">
        <v>226</v>
      </c>
      <c r="T857" t="s">
        <v>276</v>
      </c>
      <c r="U857">
        <v>4.3404144087246688E-2</v>
      </c>
      <c r="V857" t="s">
        <v>166</v>
      </c>
    </row>
    <row r="858" spans="9:22" x14ac:dyDescent="0.45">
      <c r="I858" t="s">
        <v>185</v>
      </c>
      <c r="J858" t="s">
        <v>277</v>
      </c>
      <c r="K858">
        <v>1.1572792927178308E-2</v>
      </c>
      <c r="L858" t="s">
        <v>166</v>
      </c>
      <c r="N858" t="s">
        <v>209</v>
      </c>
      <c r="O858" t="s">
        <v>277</v>
      </c>
      <c r="P858">
        <v>6.2791596188303172E-3</v>
      </c>
      <c r="Q858" t="s">
        <v>166</v>
      </c>
      <c r="S858" t="s">
        <v>226</v>
      </c>
      <c r="T858" t="s">
        <v>277</v>
      </c>
      <c r="U858">
        <v>5.7213350099248389E-3</v>
      </c>
      <c r="V858" t="s">
        <v>166</v>
      </c>
    </row>
    <row r="859" spans="9:22" x14ac:dyDescent="0.45">
      <c r="I859" t="s">
        <v>185</v>
      </c>
      <c r="J859" t="s">
        <v>278</v>
      </c>
      <c r="K859">
        <v>0.11304656168536671</v>
      </c>
      <c r="L859" t="s">
        <v>166</v>
      </c>
      <c r="N859" t="s">
        <v>209</v>
      </c>
      <c r="O859" t="s">
        <v>278</v>
      </c>
      <c r="P859">
        <v>5.9390688068769661E-2</v>
      </c>
      <c r="Q859" t="s">
        <v>166</v>
      </c>
      <c r="S859" t="s">
        <v>226</v>
      </c>
      <c r="T859" t="s">
        <v>278</v>
      </c>
      <c r="U859">
        <v>4.324291534344487E-2</v>
      </c>
      <c r="V859" t="s">
        <v>166</v>
      </c>
    </row>
    <row r="860" spans="9:22" x14ac:dyDescent="0.45">
      <c r="I860" t="s">
        <v>185</v>
      </c>
      <c r="J860" t="s">
        <v>279</v>
      </c>
      <c r="K860">
        <v>9.434595121608878E-3</v>
      </c>
      <c r="L860" t="s">
        <v>166</v>
      </c>
      <c r="N860" t="s">
        <v>209</v>
      </c>
      <c r="O860" t="s">
        <v>279</v>
      </c>
      <c r="P860">
        <v>6.3862696012795886E-3</v>
      </c>
      <c r="Q860" t="s">
        <v>166</v>
      </c>
      <c r="S860" t="s">
        <v>226</v>
      </c>
      <c r="T860" t="s">
        <v>279</v>
      </c>
      <c r="U860">
        <v>6.3972536290684712E-3</v>
      </c>
      <c r="V860" t="s">
        <v>166</v>
      </c>
    </row>
    <row r="861" spans="9:22" x14ac:dyDescent="0.45">
      <c r="I861" t="s">
        <v>185</v>
      </c>
      <c r="J861" t="s">
        <v>280</v>
      </c>
      <c r="K861">
        <v>7.1997762074662739E-3</v>
      </c>
      <c r="L861" t="s">
        <v>166</v>
      </c>
      <c r="N861" t="s">
        <v>209</v>
      </c>
      <c r="O861" t="s">
        <v>280</v>
      </c>
      <c r="P861">
        <v>9.9542069318427004E-3</v>
      </c>
      <c r="Q861" t="s">
        <v>166</v>
      </c>
      <c r="S861" t="s">
        <v>226</v>
      </c>
      <c r="T861" t="s">
        <v>280</v>
      </c>
      <c r="U861">
        <v>1.1710182285031878E-2</v>
      </c>
      <c r="V861" t="s">
        <v>166</v>
      </c>
    </row>
    <row r="862" spans="9:22" x14ac:dyDescent="0.45">
      <c r="I862" t="s">
        <v>185</v>
      </c>
      <c r="J862" t="s">
        <v>281</v>
      </c>
      <c r="K862">
        <v>0</v>
      </c>
      <c r="L862" t="s">
        <v>166</v>
      </c>
      <c r="N862" t="s">
        <v>209</v>
      </c>
      <c r="O862" t="s">
        <v>281</v>
      </c>
      <c r="P862">
        <v>2.022044237933221E-2</v>
      </c>
      <c r="Q862" t="s">
        <v>166</v>
      </c>
      <c r="S862" t="s">
        <v>226</v>
      </c>
      <c r="T862" t="s">
        <v>281</v>
      </c>
      <c r="U862">
        <v>2.6954194940607364E-2</v>
      </c>
      <c r="V862" t="s">
        <v>166</v>
      </c>
    </row>
    <row r="863" spans="9:22" x14ac:dyDescent="0.45">
      <c r="I863" t="s">
        <v>185</v>
      </c>
      <c r="J863" t="s">
        <v>282</v>
      </c>
      <c r="K863">
        <v>3.8559108460169953E-3</v>
      </c>
      <c r="L863" t="s">
        <v>166</v>
      </c>
      <c r="N863" t="s">
        <v>209</v>
      </c>
      <c r="O863" t="s">
        <v>282</v>
      </c>
      <c r="P863">
        <v>3.1243844705767385E-2</v>
      </c>
      <c r="Q863" t="s">
        <v>166</v>
      </c>
      <c r="S863" t="s">
        <v>226</v>
      </c>
      <c r="T863" t="s">
        <v>282</v>
      </c>
      <c r="U863">
        <v>2.8574621428664144E-2</v>
      </c>
      <c r="V863" t="s">
        <v>166</v>
      </c>
    </row>
    <row r="864" spans="9:22" x14ac:dyDescent="0.45">
      <c r="I864" t="s">
        <v>185</v>
      </c>
      <c r="J864" t="s">
        <v>283</v>
      </c>
      <c r="K864">
        <v>6.7864314508378765E-3</v>
      </c>
      <c r="L864" t="s">
        <v>166</v>
      </c>
      <c r="N864" t="s">
        <v>209</v>
      </c>
      <c r="O864" t="s">
        <v>283</v>
      </c>
      <c r="P864">
        <v>5.3437390659435815E-3</v>
      </c>
      <c r="Q864" t="s">
        <v>166</v>
      </c>
      <c r="S864" t="s">
        <v>226</v>
      </c>
      <c r="T864" t="s">
        <v>283</v>
      </c>
      <c r="U864">
        <v>3.7572924259830194E-3</v>
      </c>
      <c r="V864" t="s">
        <v>166</v>
      </c>
    </row>
    <row r="865" spans="9:22" x14ac:dyDescent="0.45">
      <c r="I865" t="s">
        <v>185</v>
      </c>
      <c r="J865" t="s">
        <v>284</v>
      </c>
      <c r="K865">
        <v>5.7736075535821794E-2</v>
      </c>
      <c r="L865" t="s">
        <v>166</v>
      </c>
      <c r="N865" t="s">
        <v>209</v>
      </c>
      <c r="O865" t="s">
        <v>284</v>
      </c>
      <c r="P865">
        <v>5.2074553055195823E-2</v>
      </c>
      <c r="Q865" t="s">
        <v>166</v>
      </c>
      <c r="S865" t="s">
        <v>226</v>
      </c>
      <c r="T865" t="s">
        <v>284</v>
      </c>
      <c r="U865">
        <v>2.3788637131606359E-2</v>
      </c>
      <c r="V865" t="s">
        <v>166</v>
      </c>
    </row>
    <row r="866" spans="9:22" x14ac:dyDescent="0.45">
      <c r="I866" t="s">
        <v>185</v>
      </c>
      <c r="J866" t="s">
        <v>285</v>
      </c>
      <c r="K866">
        <v>5.9093632010941812E-3</v>
      </c>
      <c r="L866" t="s">
        <v>166</v>
      </c>
      <c r="N866" t="s">
        <v>209</v>
      </c>
      <c r="O866" t="s">
        <v>285</v>
      </c>
      <c r="P866">
        <v>5.6893155010772955E-3</v>
      </c>
      <c r="Q866" t="s">
        <v>166</v>
      </c>
      <c r="S866" t="s">
        <v>226</v>
      </c>
      <c r="T866" t="s">
        <v>285</v>
      </c>
      <c r="U866">
        <v>3.240600375278345E-3</v>
      </c>
      <c r="V866" t="s">
        <v>166</v>
      </c>
    </row>
    <row r="867" spans="9:22" x14ac:dyDescent="0.45">
      <c r="I867" t="s">
        <v>185</v>
      </c>
      <c r="J867" t="s">
        <v>286</v>
      </c>
      <c r="K867">
        <v>3.6905350934774372E-3</v>
      </c>
      <c r="L867" t="s">
        <v>166</v>
      </c>
      <c r="N867" t="s">
        <v>209</v>
      </c>
      <c r="O867" t="s">
        <v>286</v>
      </c>
      <c r="P867">
        <v>7.6588029712200524E-3</v>
      </c>
      <c r="Q867" t="s">
        <v>166</v>
      </c>
      <c r="S867" t="s">
        <v>226</v>
      </c>
      <c r="T867" t="s">
        <v>286</v>
      </c>
      <c r="U867">
        <v>6.1105504541552527E-3</v>
      </c>
      <c r="V867" t="s">
        <v>166</v>
      </c>
    </row>
    <row r="868" spans="9:22" x14ac:dyDescent="0.45">
      <c r="I868" t="s">
        <v>185</v>
      </c>
      <c r="J868" t="s">
        <v>287</v>
      </c>
      <c r="K868">
        <v>0</v>
      </c>
      <c r="L868" t="s">
        <v>166</v>
      </c>
      <c r="N868" t="s">
        <v>209</v>
      </c>
      <c r="O868" t="s">
        <v>287</v>
      </c>
      <c r="P868">
        <v>1.7418452414193725E-2</v>
      </c>
      <c r="Q868" t="s">
        <v>166</v>
      </c>
      <c r="S868" t="s">
        <v>226</v>
      </c>
      <c r="T868" t="s">
        <v>287</v>
      </c>
      <c r="U868">
        <v>1.7801939889977761E-2</v>
      </c>
      <c r="V868" t="s">
        <v>166</v>
      </c>
    </row>
    <row r="869" spans="9:22" x14ac:dyDescent="0.45">
      <c r="I869" t="s">
        <v>185</v>
      </c>
      <c r="J869" t="s">
        <v>288</v>
      </c>
      <c r="K869">
        <v>3.7925210040707503E-3</v>
      </c>
      <c r="L869" t="s">
        <v>166</v>
      </c>
      <c r="N869" t="s">
        <v>209</v>
      </c>
      <c r="O869" t="s">
        <v>288</v>
      </c>
      <c r="P869">
        <v>3.4009676030230453E-2</v>
      </c>
      <c r="Q869" t="s">
        <v>166</v>
      </c>
      <c r="S869" t="s">
        <v>226</v>
      </c>
      <c r="T869" t="s">
        <v>288</v>
      </c>
      <c r="U869">
        <v>5.6466954673031117E-2</v>
      </c>
      <c r="V869" t="s">
        <v>166</v>
      </c>
    </row>
    <row r="870" spans="9:22" x14ac:dyDescent="0.45">
      <c r="I870" t="s">
        <v>185</v>
      </c>
      <c r="J870" t="s">
        <v>289</v>
      </c>
      <c r="K870">
        <v>6.9169981785704091E-3</v>
      </c>
      <c r="L870" t="s">
        <v>166</v>
      </c>
      <c r="N870" t="s">
        <v>209</v>
      </c>
      <c r="O870" t="s">
        <v>289</v>
      </c>
      <c r="P870">
        <v>5.8625161393570146E-3</v>
      </c>
      <c r="Q870" t="s">
        <v>166</v>
      </c>
      <c r="S870" t="s">
        <v>226</v>
      </c>
      <c r="T870" t="s">
        <v>289</v>
      </c>
      <c r="U870">
        <v>7.169661544244775E-3</v>
      </c>
      <c r="V870" t="s">
        <v>166</v>
      </c>
    </row>
    <row r="871" spans="9:22" x14ac:dyDescent="0.45">
      <c r="I871" t="s">
        <v>185</v>
      </c>
      <c r="J871" t="s">
        <v>290</v>
      </c>
      <c r="K871">
        <v>6.7007857047586258E-2</v>
      </c>
      <c r="L871" t="s">
        <v>166</v>
      </c>
      <c r="N871" t="s">
        <v>209</v>
      </c>
      <c r="O871" t="s">
        <v>290</v>
      </c>
      <c r="P871">
        <v>6.8256428556303608E-2</v>
      </c>
      <c r="Q871" t="s">
        <v>166</v>
      </c>
      <c r="S871" t="s">
        <v>226</v>
      </c>
      <c r="T871" t="s">
        <v>290</v>
      </c>
      <c r="U871">
        <v>4.9033330464806894E-2</v>
      </c>
      <c r="V871" t="s">
        <v>166</v>
      </c>
    </row>
    <row r="872" spans="9:22" x14ac:dyDescent="0.45">
      <c r="I872" t="s">
        <v>185</v>
      </c>
      <c r="J872" t="s">
        <v>291</v>
      </c>
      <c r="K872">
        <v>6.9561518786315762E-3</v>
      </c>
      <c r="L872" t="s">
        <v>166</v>
      </c>
      <c r="N872" t="s">
        <v>209</v>
      </c>
      <c r="O872" t="s">
        <v>291</v>
      </c>
      <c r="P872">
        <v>7.95547023031439E-3</v>
      </c>
      <c r="Q872" t="s">
        <v>166</v>
      </c>
      <c r="S872" t="s">
        <v>226</v>
      </c>
      <c r="T872" t="s">
        <v>291</v>
      </c>
      <c r="U872">
        <v>7.029949545370168E-3</v>
      </c>
      <c r="V872" t="s">
        <v>166</v>
      </c>
    </row>
    <row r="873" spans="9:22" x14ac:dyDescent="0.45">
      <c r="I873" t="s">
        <v>185</v>
      </c>
      <c r="J873" t="s">
        <v>292</v>
      </c>
      <c r="K873">
        <v>4.8037182525734025E-3</v>
      </c>
      <c r="L873" t="s">
        <v>166</v>
      </c>
      <c r="N873" t="s">
        <v>209</v>
      </c>
      <c r="O873" t="s">
        <v>292</v>
      </c>
      <c r="P873">
        <v>9.10033706317241E-3</v>
      </c>
      <c r="Q873" t="s">
        <v>166</v>
      </c>
      <c r="S873" t="s">
        <v>226</v>
      </c>
      <c r="T873" t="s">
        <v>292</v>
      </c>
      <c r="U873">
        <v>1.3656708434147305E-2</v>
      </c>
      <c r="V873" t="s">
        <v>166</v>
      </c>
    </row>
    <row r="874" spans="9:22" x14ac:dyDescent="0.45">
      <c r="I874" t="s">
        <v>185</v>
      </c>
      <c r="J874" t="s">
        <v>293</v>
      </c>
      <c r="K874">
        <v>0</v>
      </c>
      <c r="L874" t="s">
        <v>166</v>
      </c>
      <c r="N874" t="s">
        <v>209</v>
      </c>
      <c r="O874" t="s">
        <v>293</v>
      </c>
      <c r="P874">
        <v>2.1313727806669524E-2</v>
      </c>
      <c r="Q874" t="s">
        <v>166</v>
      </c>
      <c r="S874" t="s">
        <v>226</v>
      </c>
      <c r="T874" t="s">
        <v>293</v>
      </c>
      <c r="U874">
        <v>3.5731358962537721E-2</v>
      </c>
      <c r="V874" t="s">
        <v>166</v>
      </c>
    </row>
    <row r="875" spans="9:22" x14ac:dyDescent="0.45">
      <c r="I875" t="s">
        <v>186</v>
      </c>
      <c r="J875" t="s">
        <v>165</v>
      </c>
      <c r="K875">
        <v>1.5411270241180009E-2</v>
      </c>
      <c r="L875" t="s">
        <v>166</v>
      </c>
      <c r="N875" t="s">
        <v>210</v>
      </c>
      <c r="O875" t="s">
        <v>165</v>
      </c>
      <c r="P875">
        <v>0.13573470928851819</v>
      </c>
      <c r="Q875" t="s">
        <v>166</v>
      </c>
      <c r="S875" t="s">
        <v>227</v>
      </c>
      <c r="T875" t="s">
        <v>165</v>
      </c>
      <c r="U875">
        <v>0.10604100917300097</v>
      </c>
      <c r="V875" t="s">
        <v>166</v>
      </c>
    </row>
    <row r="876" spans="9:22" x14ac:dyDescent="0.45">
      <c r="I876" t="s">
        <v>186</v>
      </c>
      <c r="J876" t="s">
        <v>167</v>
      </c>
      <c r="K876">
        <v>2.6073633610255949E-2</v>
      </c>
      <c r="L876" t="s">
        <v>166</v>
      </c>
      <c r="N876" t="s">
        <v>210</v>
      </c>
      <c r="O876" t="s">
        <v>167</v>
      </c>
      <c r="P876">
        <v>1.2822746487561798E-2</v>
      </c>
      <c r="Q876" t="s">
        <v>166</v>
      </c>
      <c r="S876" t="s">
        <v>227</v>
      </c>
      <c r="T876" t="s">
        <v>167</v>
      </c>
      <c r="U876">
        <v>1.3579787383605426E-2</v>
      </c>
      <c r="V876" t="s">
        <v>166</v>
      </c>
    </row>
    <row r="877" spans="9:22" x14ac:dyDescent="0.45">
      <c r="I877" t="s">
        <v>186</v>
      </c>
      <c r="J877" t="s">
        <v>168</v>
      </c>
      <c r="K877">
        <v>0.26282417142046638</v>
      </c>
      <c r="L877" t="s">
        <v>166</v>
      </c>
      <c r="N877" t="s">
        <v>210</v>
      </c>
      <c r="O877" t="s">
        <v>168</v>
      </c>
      <c r="P877">
        <v>7.1291814477861065E-2</v>
      </c>
      <c r="Q877" t="s">
        <v>166</v>
      </c>
      <c r="S877" t="s">
        <v>227</v>
      </c>
      <c r="T877" t="s">
        <v>168</v>
      </c>
      <c r="U877">
        <v>0.1072717267482647</v>
      </c>
      <c r="V877" t="s">
        <v>166</v>
      </c>
    </row>
    <row r="878" spans="9:22" x14ac:dyDescent="0.45">
      <c r="I878" t="s">
        <v>186</v>
      </c>
      <c r="J878" t="s">
        <v>258</v>
      </c>
      <c r="K878">
        <v>3.1161719700913068E-2</v>
      </c>
      <c r="L878" t="s">
        <v>166</v>
      </c>
      <c r="N878" t="s">
        <v>210</v>
      </c>
      <c r="O878" t="s">
        <v>258</v>
      </c>
      <c r="P878">
        <v>1.0985824674766363E-2</v>
      </c>
      <c r="Q878" t="s">
        <v>166</v>
      </c>
      <c r="S878" t="s">
        <v>227</v>
      </c>
      <c r="T878" t="s">
        <v>258</v>
      </c>
      <c r="U878">
        <v>1.6664974129390064E-2</v>
      </c>
      <c r="V878" t="s">
        <v>166</v>
      </c>
    </row>
    <row r="879" spans="9:22" x14ac:dyDescent="0.45">
      <c r="I879" t="s">
        <v>186</v>
      </c>
      <c r="J879" t="s">
        <v>259</v>
      </c>
      <c r="K879">
        <v>3.7904904331013511E-2</v>
      </c>
      <c r="L879" t="s">
        <v>166</v>
      </c>
      <c r="N879" t="s">
        <v>210</v>
      </c>
      <c r="O879" t="s">
        <v>259</v>
      </c>
      <c r="P879">
        <v>2.6262489492630419E-2</v>
      </c>
      <c r="Q879" t="s">
        <v>166</v>
      </c>
      <c r="S879" t="s">
        <v>227</v>
      </c>
      <c r="T879" t="s">
        <v>259</v>
      </c>
      <c r="U879">
        <v>3.0520194076848958E-2</v>
      </c>
      <c r="V879" t="s">
        <v>166</v>
      </c>
    </row>
    <row r="880" spans="9:22" x14ac:dyDescent="0.45">
      <c r="I880" t="s">
        <v>186</v>
      </c>
      <c r="J880" t="s">
        <v>260</v>
      </c>
      <c r="K880">
        <v>0</v>
      </c>
      <c r="L880" t="s">
        <v>166</v>
      </c>
      <c r="N880" t="s">
        <v>210</v>
      </c>
      <c r="O880" t="s">
        <v>260</v>
      </c>
      <c r="P880">
        <v>0.1087094647260811</v>
      </c>
      <c r="Q880" t="s">
        <v>166</v>
      </c>
      <c r="S880" t="s">
        <v>227</v>
      </c>
      <c r="T880" t="s">
        <v>260</v>
      </c>
      <c r="U880">
        <v>7.4099558170318769E-2</v>
      </c>
      <c r="V880" t="s">
        <v>166</v>
      </c>
    </row>
    <row r="881" spans="9:22" x14ac:dyDescent="0.45">
      <c r="I881" t="s">
        <v>186</v>
      </c>
      <c r="J881" t="s">
        <v>346</v>
      </c>
      <c r="K881">
        <v>0</v>
      </c>
      <c r="L881" t="s">
        <v>166</v>
      </c>
      <c r="N881" t="s">
        <v>210</v>
      </c>
      <c r="O881" t="s">
        <v>346</v>
      </c>
      <c r="P881">
        <v>9.4333738744302215E-5</v>
      </c>
      <c r="Q881" t="s">
        <v>166</v>
      </c>
      <c r="S881" t="s">
        <v>227</v>
      </c>
      <c r="T881" t="s">
        <v>346</v>
      </c>
      <c r="U881">
        <v>1.5205086558899391E-4</v>
      </c>
      <c r="V881" t="s">
        <v>166</v>
      </c>
    </row>
    <row r="882" spans="9:22" x14ac:dyDescent="0.45">
      <c r="I882" t="s">
        <v>186</v>
      </c>
      <c r="J882" t="s">
        <v>347</v>
      </c>
      <c r="K882">
        <v>0</v>
      </c>
      <c r="L882" t="s">
        <v>166</v>
      </c>
      <c r="N882" t="s">
        <v>210</v>
      </c>
      <c r="O882" t="s">
        <v>347</v>
      </c>
      <c r="P882">
        <v>7.534819155071226E-5</v>
      </c>
      <c r="Q882" t="s">
        <v>166</v>
      </c>
      <c r="S882" t="s">
        <v>227</v>
      </c>
      <c r="T882" t="s">
        <v>347</v>
      </c>
      <c r="U882">
        <v>1.5786246743283456E-4</v>
      </c>
      <c r="V882" t="s">
        <v>166</v>
      </c>
    </row>
    <row r="883" spans="9:22" x14ac:dyDescent="0.45">
      <c r="I883" t="s">
        <v>186</v>
      </c>
      <c r="J883" t="s">
        <v>348</v>
      </c>
      <c r="K883">
        <v>0</v>
      </c>
      <c r="L883" t="s">
        <v>166</v>
      </c>
      <c r="N883" t="s">
        <v>210</v>
      </c>
      <c r="O883" t="s">
        <v>348</v>
      </c>
      <c r="P883">
        <v>6.774000811017777E-5</v>
      </c>
      <c r="Q883" t="s">
        <v>166</v>
      </c>
      <c r="S883" t="s">
        <v>227</v>
      </c>
      <c r="T883" t="s">
        <v>348</v>
      </c>
      <c r="U883">
        <v>1.6456603228014567E-4</v>
      </c>
      <c r="V883" t="s">
        <v>166</v>
      </c>
    </row>
    <row r="884" spans="9:22" x14ac:dyDescent="0.45">
      <c r="I884" t="s">
        <v>186</v>
      </c>
      <c r="J884" t="s">
        <v>349</v>
      </c>
      <c r="K884">
        <v>0</v>
      </c>
      <c r="L884" t="s">
        <v>166</v>
      </c>
      <c r="N884" t="s">
        <v>210</v>
      </c>
      <c r="O884" t="s">
        <v>349</v>
      </c>
      <c r="P884">
        <v>6.6480878705035818E-5</v>
      </c>
      <c r="Q884" t="s">
        <v>166</v>
      </c>
      <c r="S884" t="s">
        <v>227</v>
      </c>
      <c r="T884" t="s">
        <v>349</v>
      </c>
      <c r="U884">
        <v>1.7702844195959129E-4</v>
      </c>
      <c r="V884" t="s">
        <v>166</v>
      </c>
    </row>
    <row r="885" spans="9:22" x14ac:dyDescent="0.45">
      <c r="I885" t="s">
        <v>186</v>
      </c>
      <c r="J885" t="s">
        <v>350</v>
      </c>
      <c r="K885">
        <v>0</v>
      </c>
      <c r="L885" t="s">
        <v>166</v>
      </c>
      <c r="N885" t="s">
        <v>210</v>
      </c>
      <c r="O885" t="s">
        <v>350</v>
      </c>
      <c r="P885">
        <v>7.1533629706821024E-5</v>
      </c>
      <c r="Q885" t="s">
        <v>166</v>
      </c>
      <c r="S885" t="s">
        <v>227</v>
      </c>
      <c r="T885" t="s">
        <v>350</v>
      </c>
      <c r="U885">
        <v>1.8725155089452538E-4</v>
      </c>
      <c r="V885" t="s">
        <v>166</v>
      </c>
    </row>
    <row r="886" spans="9:22" x14ac:dyDescent="0.45">
      <c r="I886" t="s">
        <v>186</v>
      </c>
      <c r="J886" t="s">
        <v>351</v>
      </c>
      <c r="K886">
        <v>0</v>
      </c>
      <c r="L886" t="s">
        <v>166</v>
      </c>
      <c r="N886" t="s">
        <v>210</v>
      </c>
      <c r="O886" t="s">
        <v>351</v>
      </c>
      <c r="P886">
        <v>7.640627191688659E-5</v>
      </c>
      <c r="Q886" t="s">
        <v>166</v>
      </c>
      <c r="S886" t="s">
        <v>227</v>
      </c>
      <c r="T886" t="s">
        <v>351</v>
      </c>
      <c r="U886">
        <v>1.6160953720615706E-4</v>
      </c>
      <c r="V886" t="s">
        <v>166</v>
      </c>
    </row>
    <row r="887" spans="9:22" x14ac:dyDescent="0.45">
      <c r="I887" t="s">
        <v>186</v>
      </c>
      <c r="J887" t="s">
        <v>352</v>
      </c>
      <c r="K887">
        <v>0</v>
      </c>
      <c r="L887" t="s">
        <v>166</v>
      </c>
      <c r="N887" t="s">
        <v>210</v>
      </c>
      <c r="O887" t="s">
        <v>352</v>
      </c>
      <c r="P887">
        <v>9.1995283445392445E-5</v>
      </c>
      <c r="Q887" t="s">
        <v>166</v>
      </c>
      <c r="S887" t="s">
        <v>227</v>
      </c>
      <c r="T887" t="s">
        <v>352</v>
      </c>
      <c r="U887">
        <v>1.6908956976215305E-4</v>
      </c>
      <c r="V887" t="s">
        <v>166</v>
      </c>
    </row>
    <row r="888" spans="9:22" x14ac:dyDescent="0.45">
      <c r="I888" t="s">
        <v>186</v>
      </c>
      <c r="J888" t="s">
        <v>353</v>
      </c>
      <c r="K888">
        <v>8.594118991098632E-5</v>
      </c>
      <c r="L888" t="s">
        <v>166</v>
      </c>
      <c r="N888" t="s">
        <v>210</v>
      </c>
      <c r="O888" t="s">
        <v>353</v>
      </c>
      <c r="P888">
        <v>1.0028181677774898E-4</v>
      </c>
      <c r="Q888" t="s">
        <v>166</v>
      </c>
      <c r="S888" t="s">
        <v>227</v>
      </c>
      <c r="T888" t="s">
        <v>353</v>
      </c>
      <c r="U888">
        <v>1.8114686102378418E-4</v>
      </c>
      <c r="V888" t="s">
        <v>166</v>
      </c>
    </row>
    <row r="889" spans="9:22" x14ac:dyDescent="0.45">
      <c r="I889" t="s">
        <v>186</v>
      </c>
      <c r="J889" t="s">
        <v>354</v>
      </c>
      <c r="K889">
        <v>1.9660130002520298E-4</v>
      </c>
      <c r="L889" t="s">
        <v>166</v>
      </c>
      <c r="N889" t="s">
        <v>210</v>
      </c>
      <c r="O889" t="s">
        <v>354</v>
      </c>
      <c r="P889">
        <v>8.0346598374678277E-5</v>
      </c>
      <c r="Q889" t="s">
        <v>166</v>
      </c>
      <c r="S889" t="s">
        <v>227</v>
      </c>
      <c r="T889" t="s">
        <v>354</v>
      </c>
      <c r="U889">
        <v>1.8825838227070954E-4</v>
      </c>
      <c r="V889" t="s">
        <v>166</v>
      </c>
    </row>
    <row r="890" spans="9:22" x14ac:dyDescent="0.45">
      <c r="I890" t="s">
        <v>186</v>
      </c>
      <c r="J890" t="s">
        <v>355</v>
      </c>
      <c r="K890">
        <v>2.958388043991194E-4</v>
      </c>
      <c r="L890" t="s">
        <v>166</v>
      </c>
      <c r="N890" t="s">
        <v>210</v>
      </c>
      <c r="O890" t="s">
        <v>355</v>
      </c>
      <c r="P890">
        <v>9.2743073992172418E-5</v>
      </c>
      <c r="Q890" t="s">
        <v>166</v>
      </c>
      <c r="S890" t="s">
        <v>227</v>
      </c>
      <c r="T890" t="s">
        <v>355</v>
      </c>
      <c r="U890">
        <v>1.9921942778527079E-4</v>
      </c>
      <c r="V890" t="s">
        <v>166</v>
      </c>
    </row>
    <row r="891" spans="9:22" x14ac:dyDescent="0.45">
      <c r="I891" t="s">
        <v>186</v>
      </c>
      <c r="J891" t="s">
        <v>356</v>
      </c>
      <c r="K891">
        <v>3.3505343338473753E-4</v>
      </c>
      <c r="L891" t="s">
        <v>166</v>
      </c>
      <c r="N891" t="s">
        <v>210</v>
      </c>
      <c r="O891" t="s">
        <v>356</v>
      </c>
      <c r="P891">
        <v>1.0211535356786419E-4</v>
      </c>
      <c r="Q891" t="s">
        <v>166</v>
      </c>
      <c r="S891" t="s">
        <v>227</v>
      </c>
      <c r="T891" t="s">
        <v>356</v>
      </c>
      <c r="U891">
        <v>2.087588777441332E-4</v>
      </c>
      <c r="V891" t="s">
        <v>166</v>
      </c>
    </row>
    <row r="892" spans="9:22" x14ac:dyDescent="0.45">
      <c r="I892" t="s">
        <v>186</v>
      </c>
      <c r="J892" t="s">
        <v>357</v>
      </c>
      <c r="K892">
        <v>3.3805807441814349E-4</v>
      </c>
      <c r="L892" t="s">
        <v>166</v>
      </c>
      <c r="N892" t="s">
        <v>210</v>
      </c>
      <c r="O892" t="s">
        <v>357</v>
      </c>
      <c r="P892">
        <v>9.5502979950812521E-5</v>
      </c>
      <c r="Q892" t="s">
        <v>166</v>
      </c>
      <c r="S892" t="s">
        <v>227</v>
      </c>
      <c r="T892" t="s">
        <v>357</v>
      </c>
      <c r="U892">
        <v>2.218253753717175E-4</v>
      </c>
      <c r="V892" t="s">
        <v>166</v>
      </c>
    </row>
    <row r="893" spans="9:22" x14ac:dyDescent="0.45">
      <c r="I893" t="s">
        <v>186</v>
      </c>
      <c r="J893" t="s">
        <v>358</v>
      </c>
      <c r="K893">
        <v>3.2862780157459929E-4</v>
      </c>
      <c r="L893" t="s">
        <v>166</v>
      </c>
      <c r="N893" t="s">
        <v>210</v>
      </c>
      <c r="O893" t="s">
        <v>358</v>
      </c>
      <c r="P893">
        <v>7.659198450921486E-5</v>
      </c>
      <c r="Q893" t="s">
        <v>166</v>
      </c>
      <c r="S893" t="s">
        <v>227</v>
      </c>
      <c r="T893" t="s">
        <v>358</v>
      </c>
      <c r="U893">
        <v>2.267595879935619E-4</v>
      </c>
      <c r="V893" t="s">
        <v>166</v>
      </c>
    </row>
    <row r="894" spans="9:22" x14ac:dyDescent="0.45">
      <c r="I894" t="s">
        <v>186</v>
      </c>
      <c r="J894" t="s">
        <v>359</v>
      </c>
      <c r="K894">
        <v>3.1860701102413418E-4</v>
      </c>
      <c r="L894" t="s">
        <v>166</v>
      </c>
      <c r="N894" t="s">
        <v>210</v>
      </c>
      <c r="O894" t="s">
        <v>359</v>
      </c>
      <c r="P894">
        <v>7.8778316022050092E-5</v>
      </c>
      <c r="Q894" t="s">
        <v>166</v>
      </c>
      <c r="S894" t="s">
        <v>227</v>
      </c>
      <c r="T894" t="s">
        <v>359</v>
      </c>
      <c r="U894">
        <v>2.3425710370040035E-4</v>
      </c>
      <c r="V894" t="s">
        <v>166</v>
      </c>
    </row>
    <row r="895" spans="9:22" x14ac:dyDescent="0.45">
      <c r="I895" t="s">
        <v>186</v>
      </c>
      <c r="J895" t="s">
        <v>360</v>
      </c>
      <c r="K895">
        <v>3.394774574044376E-4</v>
      </c>
      <c r="L895" t="s">
        <v>166</v>
      </c>
      <c r="N895" t="s">
        <v>210</v>
      </c>
      <c r="O895" t="s">
        <v>360</v>
      </c>
      <c r="P895">
        <v>8.0789685164970443E-5</v>
      </c>
      <c r="Q895" t="s">
        <v>166</v>
      </c>
      <c r="S895" t="s">
        <v>227</v>
      </c>
      <c r="T895" t="s">
        <v>360</v>
      </c>
      <c r="U895">
        <v>2.2958380837503854E-4</v>
      </c>
      <c r="V895" t="s">
        <v>166</v>
      </c>
    </row>
    <row r="896" spans="9:22" x14ac:dyDescent="0.45">
      <c r="I896" t="s">
        <v>186</v>
      </c>
      <c r="J896" t="s">
        <v>361</v>
      </c>
      <c r="K896">
        <v>3.3510521550103567E-4</v>
      </c>
      <c r="L896" t="s">
        <v>166</v>
      </c>
      <c r="N896" t="s">
        <v>210</v>
      </c>
      <c r="O896" t="s">
        <v>361</v>
      </c>
      <c r="P896">
        <v>8.7142036771248915E-5</v>
      </c>
      <c r="Q896" t="s">
        <v>166</v>
      </c>
      <c r="S896" t="s">
        <v>227</v>
      </c>
      <c r="T896" t="s">
        <v>361</v>
      </c>
      <c r="U896">
        <v>2.2246452269480878E-4</v>
      </c>
      <c r="V896" t="s">
        <v>166</v>
      </c>
    </row>
    <row r="897" spans="9:22" x14ac:dyDescent="0.45">
      <c r="I897" t="s">
        <v>186</v>
      </c>
      <c r="J897" t="s">
        <v>362</v>
      </c>
      <c r="K897">
        <v>3.0359507255907229E-4</v>
      </c>
      <c r="L897" t="s">
        <v>166</v>
      </c>
      <c r="N897" t="s">
        <v>210</v>
      </c>
      <c r="O897" t="s">
        <v>362</v>
      </c>
      <c r="P897">
        <v>1.0070367855303191E-4</v>
      </c>
      <c r="Q897" t="s">
        <v>166</v>
      </c>
      <c r="S897" t="s">
        <v>227</v>
      </c>
      <c r="T897" t="s">
        <v>362</v>
      </c>
      <c r="U897">
        <v>2.1152430435712215E-4</v>
      </c>
      <c r="V897" t="s">
        <v>166</v>
      </c>
    </row>
    <row r="898" spans="9:22" x14ac:dyDescent="0.45">
      <c r="I898" t="s">
        <v>186</v>
      </c>
      <c r="J898" t="s">
        <v>363</v>
      </c>
      <c r="K898">
        <v>2.2226167054131439E-4</v>
      </c>
      <c r="L898" t="s">
        <v>166</v>
      </c>
      <c r="N898" t="s">
        <v>210</v>
      </c>
      <c r="O898" t="s">
        <v>363</v>
      </c>
      <c r="P898">
        <v>8.0072008457891073E-5</v>
      </c>
      <c r="Q898" t="s">
        <v>166</v>
      </c>
      <c r="S898" t="s">
        <v>227</v>
      </c>
      <c r="T898" t="s">
        <v>363</v>
      </c>
      <c r="U898">
        <v>1.7046546881394571E-4</v>
      </c>
      <c r="V898" t="s">
        <v>166</v>
      </c>
    </row>
    <row r="899" spans="9:22" x14ac:dyDescent="0.45">
      <c r="I899" t="s">
        <v>186</v>
      </c>
      <c r="J899" t="s">
        <v>364</v>
      </c>
      <c r="K899">
        <v>1.7658197773699817E-4</v>
      </c>
      <c r="L899" t="s">
        <v>166</v>
      </c>
      <c r="N899" t="s">
        <v>210</v>
      </c>
      <c r="O899" t="s">
        <v>364</v>
      </c>
      <c r="P899">
        <v>1.5807645603453253E-4</v>
      </c>
      <c r="Q899" t="s">
        <v>166</v>
      </c>
      <c r="S899" t="s">
        <v>227</v>
      </c>
      <c r="T899" t="s">
        <v>364</v>
      </c>
      <c r="U899">
        <v>1.7102757639468421E-4</v>
      </c>
      <c r="V899" t="s">
        <v>166</v>
      </c>
    </row>
    <row r="900" spans="9:22" x14ac:dyDescent="0.45">
      <c r="I900" t="s">
        <v>186</v>
      </c>
      <c r="J900" t="s">
        <v>365</v>
      </c>
      <c r="K900">
        <v>0</v>
      </c>
      <c r="L900" t="s">
        <v>166</v>
      </c>
      <c r="N900" t="s">
        <v>210</v>
      </c>
      <c r="O900" t="s">
        <v>365</v>
      </c>
      <c r="P900">
        <v>2.8277312134832635E-4</v>
      </c>
      <c r="Q900" t="s">
        <v>166</v>
      </c>
      <c r="S900" t="s">
        <v>227</v>
      </c>
      <c r="T900" t="s">
        <v>365</v>
      </c>
      <c r="U900">
        <v>1.7646534974873195E-4</v>
      </c>
      <c r="V900" t="s">
        <v>166</v>
      </c>
    </row>
    <row r="901" spans="9:22" x14ac:dyDescent="0.45">
      <c r="I901" t="s">
        <v>186</v>
      </c>
      <c r="J901" t="s">
        <v>366</v>
      </c>
      <c r="K901">
        <v>0</v>
      </c>
      <c r="L901" t="s">
        <v>166</v>
      </c>
      <c r="N901" t="s">
        <v>210</v>
      </c>
      <c r="O901" t="s">
        <v>366</v>
      </c>
      <c r="P901">
        <v>3.3249076439899133E-4</v>
      </c>
      <c r="Q901" t="s">
        <v>166</v>
      </c>
      <c r="S901" t="s">
        <v>227</v>
      </c>
      <c r="T901" t="s">
        <v>366</v>
      </c>
      <c r="U901">
        <v>1.7411597272851085E-4</v>
      </c>
      <c r="V901" t="s">
        <v>166</v>
      </c>
    </row>
    <row r="902" spans="9:22" x14ac:dyDescent="0.45">
      <c r="I902" t="s">
        <v>186</v>
      </c>
      <c r="J902" t="s">
        <v>367</v>
      </c>
      <c r="K902">
        <v>0</v>
      </c>
      <c r="L902" t="s">
        <v>166</v>
      </c>
      <c r="N902" t="s">
        <v>210</v>
      </c>
      <c r="O902" t="s">
        <v>367</v>
      </c>
      <c r="P902">
        <v>2.7326192982061006E-4</v>
      </c>
      <c r="Q902" t="s">
        <v>166</v>
      </c>
      <c r="S902" t="s">
        <v>227</v>
      </c>
      <c r="T902" t="s">
        <v>367</v>
      </c>
      <c r="U902">
        <v>1.6599773298652085E-4</v>
      </c>
      <c r="V902" t="s">
        <v>166</v>
      </c>
    </row>
    <row r="903" spans="9:22" x14ac:dyDescent="0.45">
      <c r="I903" t="s">
        <v>186</v>
      </c>
      <c r="J903" t="s">
        <v>368</v>
      </c>
      <c r="K903">
        <v>0</v>
      </c>
      <c r="L903" t="s">
        <v>166</v>
      </c>
      <c r="N903" t="s">
        <v>210</v>
      </c>
      <c r="O903" t="s">
        <v>368</v>
      </c>
      <c r="P903">
        <v>2.4614525886432014E-4</v>
      </c>
      <c r="Q903" t="s">
        <v>166</v>
      </c>
      <c r="S903" t="s">
        <v>227</v>
      </c>
      <c r="T903" t="s">
        <v>368</v>
      </c>
      <c r="U903">
        <v>1.6325373660615753E-4</v>
      </c>
      <c r="V903" t="s">
        <v>166</v>
      </c>
    </row>
    <row r="904" spans="9:22" x14ac:dyDescent="0.45">
      <c r="I904" t="s">
        <v>186</v>
      </c>
      <c r="J904" t="s">
        <v>369</v>
      </c>
      <c r="K904">
        <v>0</v>
      </c>
      <c r="L904" t="s">
        <v>166</v>
      </c>
      <c r="N904" t="s">
        <v>210</v>
      </c>
      <c r="O904" t="s">
        <v>369</v>
      </c>
      <c r="P904">
        <v>2.5850750968455969E-4</v>
      </c>
      <c r="Q904" t="s">
        <v>166</v>
      </c>
      <c r="S904" t="s">
        <v>227</v>
      </c>
      <c r="T904" t="s">
        <v>369</v>
      </c>
      <c r="U904">
        <v>1.6304449605106813E-4</v>
      </c>
      <c r="V904" t="s">
        <v>166</v>
      </c>
    </row>
    <row r="905" spans="9:22" x14ac:dyDescent="0.45">
      <c r="I905" t="s">
        <v>186</v>
      </c>
      <c r="J905" t="s">
        <v>370</v>
      </c>
      <c r="K905">
        <v>0</v>
      </c>
      <c r="L905" t="s">
        <v>166</v>
      </c>
      <c r="N905" t="s">
        <v>210</v>
      </c>
      <c r="O905" t="s">
        <v>370</v>
      </c>
      <c r="P905">
        <v>5.2947894439511775E-5</v>
      </c>
      <c r="Q905" t="s">
        <v>166</v>
      </c>
      <c r="S905" t="s">
        <v>227</v>
      </c>
      <c r="T905" t="s">
        <v>370</v>
      </c>
      <c r="U905">
        <v>1.2535282537459116E-5</v>
      </c>
      <c r="V905" t="s">
        <v>166</v>
      </c>
    </row>
    <row r="906" spans="9:22" x14ac:dyDescent="0.45">
      <c r="I906" t="s">
        <v>186</v>
      </c>
      <c r="J906" t="s">
        <v>371</v>
      </c>
      <c r="K906">
        <v>0</v>
      </c>
      <c r="L906" t="s">
        <v>166</v>
      </c>
      <c r="N906" t="s">
        <v>210</v>
      </c>
      <c r="O906" t="s">
        <v>371</v>
      </c>
      <c r="P906">
        <v>2.7718398375389546E-5</v>
      </c>
      <c r="Q906" t="s">
        <v>166</v>
      </c>
      <c r="S906" t="s">
        <v>227</v>
      </c>
      <c r="T906" t="s">
        <v>371</v>
      </c>
      <c r="U906">
        <v>1.2567147036389134E-5</v>
      </c>
      <c r="V906" t="s">
        <v>166</v>
      </c>
    </row>
    <row r="907" spans="9:22" x14ac:dyDescent="0.45">
      <c r="I907" t="s">
        <v>186</v>
      </c>
      <c r="J907" t="s">
        <v>372</v>
      </c>
      <c r="K907">
        <v>0</v>
      </c>
      <c r="L907" t="s">
        <v>166</v>
      </c>
      <c r="N907" t="s">
        <v>210</v>
      </c>
      <c r="O907" t="s">
        <v>372</v>
      </c>
      <c r="P907">
        <v>2.37272209249077E-5</v>
      </c>
      <c r="Q907" t="s">
        <v>166</v>
      </c>
      <c r="S907" t="s">
        <v>227</v>
      </c>
      <c r="T907" t="s">
        <v>372</v>
      </c>
      <c r="U907">
        <v>1.3713463725276932E-5</v>
      </c>
      <c r="V907" t="s">
        <v>166</v>
      </c>
    </row>
    <row r="908" spans="9:22" x14ac:dyDescent="0.45">
      <c r="I908" t="s">
        <v>186</v>
      </c>
      <c r="J908" t="s">
        <v>373</v>
      </c>
      <c r="K908">
        <v>0</v>
      </c>
      <c r="L908" t="s">
        <v>166</v>
      </c>
      <c r="N908" t="s">
        <v>210</v>
      </c>
      <c r="O908" t="s">
        <v>373</v>
      </c>
      <c r="P908">
        <v>2.2425339816734887E-5</v>
      </c>
      <c r="Q908" t="s">
        <v>166</v>
      </c>
      <c r="S908" t="s">
        <v>227</v>
      </c>
      <c r="T908" t="s">
        <v>373</v>
      </c>
      <c r="U908">
        <v>1.3255049261553683E-5</v>
      </c>
      <c r="V908" t="s">
        <v>166</v>
      </c>
    </row>
    <row r="909" spans="9:22" x14ac:dyDescent="0.45">
      <c r="I909" t="s">
        <v>186</v>
      </c>
      <c r="J909" t="s">
        <v>374</v>
      </c>
      <c r="K909">
        <v>0</v>
      </c>
      <c r="L909" t="s">
        <v>166</v>
      </c>
      <c r="N909" t="s">
        <v>210</v>
      </c>
      <c r="O909" t="s">
        <v>374</v>
      </c>
      <c r="P909">
        <v>2.329613916185717E-5</v>
      </c>
      <c r="Q909" t="s">
        <v>166</v>
      </c>
      <c r="S909" t="s">
        <v>227</v>
      </c>
      <c r="T909" t="s">
        <v>374</v>
      </c>
      <c r="U909">
        <v>1.3723108186479515E-5</v>
      </c>
      <c r="V909" t="s">
        <v>166</v>
      </c>
    </row>
    <row r="910" spans="9:22" x14ac:dyDescent="0.45">
      <c r="I910" t="s">
        <v>186</v>
      </c>
      <c r="J910" t="s">
        <v>375</v>
      </c>
      <c r="K910">
        <v>0</v>
      </c>
      <c r="L910" t="s">
        <v>166</v>
      </c>
      <c r="N910" t="s">
        <v>210</v>
      </c>
      <c r="O910" t="s">
        <v>375</v>
      </c>
      <c r="P910">
        <v>1.5250880307490888E-5</v>
      </c>
      <c r="Q910" t="s">
        <v>166</v>
      </c>
      <c r="S910" t="s">
        <v>227</v>
      </c>
      <c r="T910" t="s">
        <v>375</v>
      </c>
      <c r="U910">
        <v>1.2042196445279454E-5</v>
      </c>
      <c r="V910" t="s">
        <v>166</v>
      </c>
    </row>
    <row r="911" spans="9:22" x14ac:dyDescent="0.45">
      <c r="I911" t="s">
        <v>186</v>
      </c>
      <c r="J911" t="s">
        <v>376</v>
      </c>
      <c r="K911">
        <v>0</v>
      </c>
      <c r="L911" t="s">
        <v>166</v>
      </c>
      <c r="N911" t="s">
        <v>210</v>
      </c>
      <c r="O911" t="s">
        <v>376</v>
      </c>
      <c r="P911">
        <v>1.0594614458596015E-5</v>
      </c>
      <c r="Q911" t="s">
        <v>166</v>
      </c>
      <c r="S911" t="s">
        <v>227</v>
      </c>
      <c r="T911" t="s">
        <v>376</v>
      </c>
      <c r="U911">
        <v>1.145590674632292E-5</v>
      </c>
      <c r="V911" t="s">
        <v>166</v>
      </c>
    </row>
    <row r="912" spans="9:22" x14ac:dyDescent="0.45">
      <c r="I912" t="s">
        <v>186</v>
      </c>
      <c r="J912" t="s">
        <v>377</v>
      </c>
      <c r="K912">
        <v>1.3661797599974886E-4</v>
      </c>
      <c r="L912" t="s">
        <v>166</v>
      </c>
      <c r="N912" t="s">
        <v>210</v>
      </c>
      <c r="O912" t="s">
        <v>377</v>
      </c>
      <c r="P912">
        <v>7.8018452101036761E-7</v>
      </c>
      <c r="Q912" t="s">
        <v>166</v>
      </c>
      <c r="S912" t="s">
        <v>227</v>
      </c>
      <c r="T912" t="s">
        <v>377</v>
      </c>
      <c r="U912">
        <v>1.2935810650088808E-5</v>
      </c>
      <c r="V912" t="s">
        <v>166</v>
      </c>
    </row>
    <row r="913" spans="9:22" x14ac:dyDescent="0.45">
      <c r="I913" t="s">
        <v>186</v>
      </c>
      <c r="J913" t="s">
        <v>378</v>
      </c>
      <c r="K913">
        <v>2.6410076899320654E-4</v>
      </c>
      <c r="L913" t="s">
        <v>166</v>
      </c>
      <c r="N913" t="s">
        <v>210</v>
      </c>
      <c r="O913" t="s">
        <v>378</v>
      </c>
      <c r="P913">
        <v>7.7379589981414579E-7</v>
      </c>
      <c r="Q913" t="s">
        <v>166</v>
      </c>
      <c r="S913" t="s">
        <v>227</v>
      </c>
      <c r="T913" t="s">
        <v>378</v>
      </c>
      <c r="U913">
        <v>1.513297336086061E-5</v>
      </c>
      <c r="V913" t="s">
        <v>166</v>
      </c>
    </row>
    <row r="914" spans="9:22" x14ac:dyDescent="0.45">
      <c r="I914" t="s">
        <v>186</v>
      </c>
      <c r="J914" t="s">
        <v>379</v>
      </c>
      <c r="K914">
        <v>3.1512970530049632E-4</v>
      </c>
      <c r="L914" t="s">
        <v>166</v>
      </c>
      <c r="N914" t="s">
        <v>210</v>
      </c>
      <c r="O914" t="s">
        <v>379</v>
      </c>
      <c r="P914">
        <v>1.4837843213217824E-6</v>
      </c>
      <c r="Q914" t="s">
        <v>166</v>
      </c>
      <c r="S914" t="s">
        <v>227</v>
      </c>
      <c r="T914" t="s">
        <v>379</v>
      </c>
      <c r="U914">
        <v>1.7994110623603181E-5</v>
      </c>
      <c r="V914" t="s">
        <v>166</v>
      </c>
    </row>
    <row r="915" spans="9:22" x14ac:dyDescent="0.45">
      <c r="I915" t="s">
        <v>186</v>
      </c>
      <c r="J915" t="s">
        <v>380</v>
      </c>
      <c r="K915">
        <v>3.5186846709728818E-4</v>
      </c>
      <c r="L915" t="s">
        <v>166</v>
      </c>
      <c r="N915" t="s">
        <v>210</v>
      </c>
      <c r="O915" t="s">
        <v>380</v>
      </c>
      <c r="P915">
        <v>3.3994817608373871E-6</v>
      </c>
      <c r="Q915" t="s">
        <v>166</v>
      </c>
      <c r="S915" t="s">
        <v>227</v>
      </c>
      <c r="T915" t="s">
        <v>380</v>
      </c>
      <c r="U915">
        <v>1.9242527846624503E-5</v>
      </c>
      <c r="V915" t="s">
        <v>166</v>
      </c>
    </row>
    <row r="916" spans="9:22" x14ac:dyDescent="0.45">
      <c r="I916" t="s">
        <v>186</v>
      </c>
      <c r="J916" t="s">
        <v>381</v>
      </c>
      <c r="K916">
        <v>3.8679215475665682E-4</v>
      </c>
      <c r="L916" t="s">
        <v>166</v>
      </c>
      <c r="N916" t="s">
        <v>210</v>
      </c>
      <c r="O916" t="s">
        <v>381</v>
      </c>
      <c r="P916">
        <v>1.4758643538899258E-5</v>
      </c>
      <c r="Q916" t="s">
        <v>166</v>
      </c>
      <c r="S916" t="s">
        <v>227</v>
      </c>
      <c r="T916" t="s">
        <v>381</v>
      </c>
      <c r="U916">
        <v>1.7059765098647845E-5</v>
      </c>
      <c r="V916" t="s">
        <v>166</v>
      </c>
    </row>
    <row r="917" spans="9:22" x14ac:dyDescent="0.45">
      <c r="I917" t="s">
        <v>186</v>
      </c>
      <c r="J917" t="s">
        <v>382</v>
      </c>
      <c r="K917">
        <v>3.7936452330527236E-4</v>
      </c>
      <c r="L917" t="s">
        <v>166</v>
      </c>
      <c r="N917" t="s">
        <v>210</v>
      </c>
      <c r="O917" t="s">
        <v>382</v>
      </c>
      <c r="P917">
        <v>3.5899566658679083E-5</v>
      </c>
      <c r="Q917" t="s">
        <v>166</v>
      </c>
      <c r="S917" t="s">
        <v>227</v>
      </c>
      <c r="T917" t="s">
        <v>382</v>
      </c>
      <c r="U917">
        <v>1.5661737215711615E-5</v>
      </c>
      <c r="V917" t="s">
        <v>166</v>
      </c>
    </row>
    <row r="918" spans="9:22" x14ac:dyDescent="0.45">
      <c r="I918" t="s">
        <v>186</v>
      </c>
      <c r="J918" t="s">
        <v>383</v>
      </c>
      <c r="K918">
        <v>3.8699096545871545E-4</v>
      </c>
      <c r="L918" t="s">
        <v>166</v>
      </c>
      <c r="N918" t="s">
        <v>210</v>
      </c>
      <c r="O918" t="s">
        <v>383</v>
      </c>
      <c r="P918">
        <v>6.160725198648846E-5</v>
      </c>
      <c r="Q918" t="s">
        <v>166</v>
      </c>
      <c r="S918" t="s">
        <v>227</v>
      </c>
      <c r="T918" t="s">
        <v>383</v>
      </c>
      <c r="U918">
        <v>1.4303900858648214E-5</v>
      </c>
      <c r="V918" t="s">
        <v>166</v>
      </c>
    </row>
    <row r="919" spans="9:22" x14ac:dyDescent="0.45">
      <c r="I919" t="s">
        <v>186</v>
      </c>
      <c r="J919" t="s">
        <v>384</v>
      </c>
      <c r="K919">
        <v>3.7728996098033274E-4</v>
      </c>
      <c r="L919" t="s">
        <v>166</v>
      </c>
      <c r="N919" t="s">
        <v>210</v>
      </c>
      <c r="O919" t="s">
        <v>384</v>
      </c>
      <c r="P919">
        <v>7.2873167353144057E-5</v>
      </c>
      <c r="Q919" t="s">
        <v>166</v>
      </c>
      <c r="S919" t="s">
        <v>227</v>
      </c>
      <c r="T919" t="s">
        <v>384</v>
      </c>
      <c r="U919">
        <v>1.4471657882145041E-5</v>
      </c>
      <c r="V919" t="s">
        <v>166</v>
      </c>
    </row>
    <row r="920" spans="9:22" x14ac:dyDescent="0.45">
      <c r="I920" t="s">
        <v>186</v>
      </c>
      <c r="J920" t="s">
        <v>385</v>
      </c>
      <c r="K920">
        <v>3.5618724247921861E-4</v>
      </c>
      <c r="L920" t="s">
        <v>166</v>
      </c>
      <c r="N920" t="s">
        <v>210</v>
      </c>
      <c r="O920" t="s">
        <v>385</v>
      </c>
      <c r="P920">
        <v>8.1686164688937702E-5</v>
      </c>
      <c r="Q920" t="s">
        <v>166</v>
      </c>
      <c r="S920" t="s">
        <v>227</v>
      </c>
      <c r="T920" t="s">
        <v>385</v>
      </c>
      <c r="U920">
        <v>1.764668239725631E-5</v>
      </c>
      <c r="V920" t="s">
        <v>166</v>
      </c>
    </row>
    <row r="921" spans="9:22" x14ac:dyDescent="0.45">
      <c r="I921" t="s">
        <v>186</v>
      </c>
      <c r="J921" t="s">
        <v>386</v>
      </c>
      <c r="K921">
        <v>3.155857513871572E-4</v>
      </c>
      <c r="L921" t="s">
        <v>166</v>
      </c>
      <c r="N921" t="s">
        <v>210</v>
      </c>
      <c r="O921" t="s">
        <v>386</v>
      </c>
      <c r="P921">
        <v>9.4724421375893308E-5</v>
      </c>
      <c r="Q921" t="s">
        <v>166</v>
      </c>
      <c r="S921" t="s">
        <v>227</v>
      </c>
      <c r="T921" t="s">
        <v>386</v>
      </c>
      <c r="U921">
        <v>1.8561936832502586E-5</v>
      </c>
      <c r="V921" t="s">
        <v>166</v>
      </c>
    </row>
    <row r="922" spans="9:22" x14ac:dyDescent="0.45">
      <c r="I922" t="s">
        <v>186</v>
      </c>
      <c r="J922" t="s">
        <v>387</v>
      </c>
      <c r="K922">
        <v>2.4950785301092215E-4</v>
      </c>
      <c r="L922" t="s">
        <v>166</v>
      </c>
      <c r="N922" t="s">
        <v>210</v>
      </c>
      <c r="O922" t="s">
        <v>387</v>
      </c>
      <c r="P922">
        <v>6.1992102156467176E-5</v>
      </c>
      <c r="Q922" t="s">
        <v>166</v>
      </c>
      <c r="S922" t="s">
        <v>227</v>
      </c>
      <c r="T922" t="s">
        <v>387</v>
      </c>
      <c r="U922">
        <v>1.4430189379542927E-5</v>
      </c>
      <c r="V922" t="s">
        <v>166</v>
      </c>
    </row>
    <row r="923" spans="9:22" x14ac:dyDescent="0.45">
      <c r="I923" t="s">
        <v>186</v>
      </c>
      <c r="J923" t="s">
        <v>388</v>
      </c>
      <c r="K923">
        <v>1.4025863616649086E-4</v>
      </c>
      <c r="L923" t="s">
        <v>166</v>
      </c>
      <c r="N923" t="s">
        <v>210</v>
      </c>
      <c r="O923" t="s">
        <v>388</v>
      </c>
      <c r="P923">
        <v>9.1714232732471597E-5</v>
      </c>
      <c r="Q923" t="s">
        <v>166</v>
      </c>
      <c r="S923" t="s">
        <v>227</v>
      </c>
      <c r="T923" t="s">
        <v>388</v>
      </c>
      <c r="U923">
        <v>2.5822659774768525E-5</v>
      </c>
      <c r="V923" t="s">
        <v>166</v>
      </c>
    </row>
    <row r="924" spans="9:22" x14ac:dyDescent="0.45">
      <c r="I924" t="s">
        <v>186</v>
      </c>
      <c r="J924" t="s">
        <v>389</v>
      </c>
      <c r="K924">
        <v>0</v>
      </c>
      <c r="L924" t="s">
        <v>166</v>
      </c>
      <c r="N924" t="s">
        <v>210</v>
      </c>
      <c r="O924" t="s">
        <v>389</v>
      </c>
      <c r="P924">
        <v>1.378581713563698E-4</v>
      </c>
      <c r="Q924" t="s">
        <v>166</v>
      </c>
      <c r="S924" t="s">
        <v>227</v>
      </c>
      <c r="T924" t="s">
        <v>389</v>
      </c>
      <c r="U924">
        <v>3.0992307962318147E-5</v>
      </c>
      <c r="V924" t="s">
        <v>166</v>
      </c>
    </row>
    <row r="925" spans="9:22" x14ac:dyDescent="0.45">
      <c r="I925" t="s">
        <v>186</v>
      </c>
      <c r="J925" t="s">
        <v>390</v>
      </c>
      <c r="K925">
        <v>0</v>
      </c>
      <c r="L925" t="s">
        <v>166</v>
      </c>
      <c r="N925" t="s">
        <v>210</v>
      </c>
      <c r="O925" t="s">
        <v>390</v>
      </c>
      <c r="P925">
        <v>1.6986325208174323E-4</v>
      </c>
      <c r="Q925" t="s">
        <v>166</v>
      </c>
      <c r="S925" t="s">
        <v>227</v>
      </c>
      <c r="T925" t="s">
        <v>390</v>
      </c>
      <c r="U925">
        <v>3.0621320376715612E-5</v>
      </c>
      <c r="V925" t="s">
        <v>166</v>
      </c>
    </row>
    <row r="926" spans="9:22" x14ac:dyDescent="0.45">
      <c r="I926" t="s">
        <v>186</v>
      </c>
      <c r="J926" t="s">
        <v>391</v>
      </c>
      <c r="K926">
        <v>0</v>
      </c>
      <c r="L926" t="s">
        <v>166</v>
      </c>
      <c r="N926" t="s">
        <v>210</v>
      </c>
      <c r="O926" t="s">
        <v>391</v>
      </c>
      <c r="P926">
        <v>1.8127994478454206E-4</v>
      </c>
      <c r="Q926" t="s">
        <v>166</v>
      </c>
      <c r="S926" t="s">
        <v>227</v>
      </c>
      <c r="T926" t="s">
        <v>391</v>
      </c>
      <c r="U926">
        <v>3.5927239645437477E-5</v>
      </c>
      <c r="V926" t="s">
        <v>166</v>
      </c>
    </row>
    <row r="927" spans="9:22" x14ac:dyDescent="0.45">
      <c r="I927" t="s">
        <v>186</v>
      </c>
      <c r="J927" t="s">
        <v>392</v>
      </c>
      <c r="K927">
        <v>0</v>
      </c>
      <c r="L927" t="s">
        <v>166</v>
      </c>
      <c r="N927" t="s">
        <v>210</v>
      </c>
      <c r="O927" t="s">
        <v>392</v>
      </c>
      <c r="P927">
        <v>1.748092105907594E-4</v>
      </c>
      <c r="Q927" t="s">
        <v>166</v>
      </c>
      <c r="S927" t="s">
        <v>227</v>
      </c>
      <c r="T927" t="s">
        <v>392</v>
      </c>
      <c r="U927">
        <v>4.1733461076571537E-5</v>
      </c>
      <c r="V927" t="s">
        <v>166</v>
      </c>
    </row>
    <row r="928" spans="9:22" x14ac:dyDescent="0.45">
      <c r="I928" t="s">
        <v>186</v>
      </c>
      <c r="J928" t="s">
        <v>393</v>
      </c>
      <c r="K928">
        <v>0</v>
      </c>
      <c r="L928" t="s">
        <v>166</v>
      </c>
      <c r="N928" t="s">
        <v>210</v>
      </c>
      <c r="O928" t="s">
        <v>393</v>
      </c>
      <c r="P928">
        <v>1.8751397153839467E-4</v>
      </c>
      <c r="Q928" t="s">
        <v>166</v>
      </c>
      <c r="S928" t="s">
        <v>227</v>
      </c>
      <c r="T928" t="s">
        <v>393</v>
      </c>
      <c r="U928">
        <v>5.4126463994027272E-5</v>
      </c>
      <c r="V928" t="s">
        <v>166</v>
      </c>
    </row>
    <row r="929" spans="9:22" x14ac:dyDescent="0.45">
      <c r="I929" t="s">
        <v>186</v>
      </c>
      <c r="J929" t="s">
        <v>169</v>
      </c>
      <c r="K929">
        <v>5.4114467950065409E-3</v>
      </c>
      <c r="L929" t="s">
        <v>166</v>
      </c>
      <c r="N929" t="s">
        <v>210</v>
      </c>
      <c r="O929" t="s">
        <v>169</v>
      </c>
      <c r="P929">
        <v>9.6472926656591563E-3</v>
      </c>
      <c r="Q929" t="s">
        <v>166</v>
      </c>
      <c r="S929" t="s">
        <v>227</v>
      </c>
      <c r="T929" t="s">
        <v>169</v>
      </c>
      <c r="U929">
        <v>1.175590338970655E-2</v>
      </c>
      <c r="V929" t="s">
        <v>166</v>
      </c>
    </row>
    <row r="930" spans="9:22" x14ac:dyDescent="0.45">
      <c r="I930" t="s">
        <v>186</v>
      </c>
      <c r="J930" t="s">
        <v>170</v>
      </c>
      <c r="K930">
        <v>6.4014640854563078E-3</v>
      </c>
      <c r="L930" t="s">
        <v>166</v>
      </c>
      <c r="N930" t="s">
        <v>210</v>
      </c>
      <c r="O930" t="s">
        <v>170</v>
      </c>
      <c r="P930">
        <v>7.982544010093674E-4</v>
      </c>
      <c r="Q930" t="s">
        <v>166</v>
      </c>
      <c r="S930" t="s">
        <v>227</v>
      </c>
      <c r="T930" t="s">
        <v>170</v>
      </c>
      <c r="U930">
        <v>9.6513264780933737E-4</v>
      </c>
      <c r="V930" t="s">
        <v>166</v>
      </c>
    </row>
    <row r="931" spans="9:22" x14ac:dyDescent="0.45">
      <c r="I931" t="s">
        <v>186</v>
      </c>
      <c r="J931" t="s">
        <v>171</v>
      </c>
      <c r="K931">
        <v>6.3965930922143074E-2</v>
      </c>
      <c r="L931" t="s">
        <v>166</v>
      </c>
      <c r="N931" t="s">
        <v>210</v>
      </c>
      <c r="O931" t="s">
        <v>171</v>
      </c>
      <c r="P931">
        <v>4.6479029055853825E-3</v>
      </c>
      <c r="Q931" t="s">
        <v>166</v>
      </c>
      <c r="S931" t="s">
        <v>227</v>
      </c>
      <c r="T931" t="s">
        <v>171</v>
      </c>
      <c r="U931">
        <v>1.4020324856542228E-2</v>
      </c>
      <c r="V931" t="s">
        <v>166</v>
      </c>
    </row>
    <row r="932" spans="9:22" x14ac:dyDescent="0.45">
      <c r="I932" t="s">
        <v>186</v>
      </c>
      <c r="J932" t="s">
        <v>261</v>
      </c>
      <c r="K932">
        <v>5.6724364191733673E-3</v>
      </c>
      <c r="L932" t="s">
        <v>166</v>
      </c>
      <c r="N932" t="s">
        <v>210</v>
      </c>
      <c r="O932" t="s">
        <v>261</v>
      </c>
      <c r="P932">
        <v>9.4961260344654508E-4</v>
      </c>
      <c r="Q932" t="s">
        <v>166</v>
      </c>
      <c r="S932" t="s">
        <v>227</v>
      </c>
      <c r="T932" t="s">
        <v>261</v>
      </c>
      <c r="U932">
        <v>3.6708584026507087E-3</v>
      </c>
      <c r="V932" t="s">
        <v>166</v>
      </c>
    </row>
    <row r="933" spans="9:22" x14ac:dyDescent="0.45">
      <c r="I933" t="s">
        <v>186</v>
      </c>
      <c r="J933" t="s">
        <v>262</v>
      </c>
      <c r="K933">
        <v>5.9224721043674936E-3</v>
      </c>
      <c r="L933" t="s">
        <v>166</v>
      </c>
      <c r="N933" t="s">
        <v>210</v>
      </c>
      <c r="O933" t="s">
        <v>262</v>
      </c>
      <c r="P933">
        <v>2.3694501992630574E-3</v>
      </c>
      <c r="Q933" t="s">
        <v>166</v>
      </c>
      <c r="S933" t="s">
        <v>227</v>
      </c>
      <c r="T933" t="s">
        <v>262</v>
      </c>
      <c r="U933">
        <v>6.2846187387712018E-3</v>
      </c>
      <c r="V933" t="s">
        <v>166</v>
      </c>
    </row>
    <row r="934" spans="9:22" x14ac:dyDescent="0.45">
      <c r="I934" t="s">
        <v>186</v>
      </c>
      <c r="J934" t="s">
        <v>263</v>
      </c>
      <c r="K934">
        <v>0</v>
      </c>
      <c r="L934" t="s">
        <v>166</v>
      </c>
      <c r="N934" t="s">
        <v>210</v>
      </c>
      <c r="O934" t="s">
        <v>263</v>
      </c>
      <c r="P934">
        <v>7.1844215111273382E-3</v>
      </c>
      <c r="Q934" t="s">
        <v>166</v>
      </c>
      <c r="S934" t="s">
        <v>227</v>
      </c>
      <c r="T934" t="s">
        <v>263</v>
      </c>
      <c r="U934">
        <v>1.2367574156044749E-2</v>
      </c>
      <c r="V934" t="s">
        <v>166</v>
      </c>
    </row>
    <row r="935" spans="9:22" x14ac:dyDescent="0.45">
      <c r="I935" t="s">
        <v>186</v>
      </c>
      <c r="J935" t="s">
        <v>172</v>
      </c>
      <c r="K935">
        <v>3.5172137959714736E-3</v>
      </c>
      <c r="L935" t="s">
        <v>166</v>
      </c>
      <c r="N935" t="s">
        <v>210</v>
      </c>
      <c r="O935" t="s">
        <v>172</v>
      </c>
      <c r="P935">
        <v>1.8733130711965987E-2</v>
      </c>
      <c r="Q935" t="s">
        <v>166</v>
      </c>
      <c r="S935" t="s">
        <v>227</v>
      </c>
      <c r="T935" t="s">
        <v>172</v>
      </c>
      <c r="U935">
        <v>1.1036692718524766E-2</v>
      </c>
      <c r="V935" t="s">
        <v>166</v>
      </c>
    </row>
    <row r="936" spans="9:22" x14ac:dyDescent="0.45">
      <c r="I936" t="s">
        <v>186</v>
      </c>
      <c r="J936" t="s">
        <v>173</v>
      </c>
      <c r="K936">
        <v>4.6924002835867229E-3</v>
      </c>
      <c r="L936" t="s">
        <v>166</v>
      </c>
      <c r="N936" t="s">
        <v>210</v>
      </c>
      <c r="O936" t="s">
        <v>173</v>
      </c>
      <c r="P936">
        <v>2.1461044954933098E-3</v>
      </c>
      <c r="Q936" t="s">
        <v>166</v>
      </c>
      <c r="S936" t="s">
        <v>227</v>
      </c>
      <c r="T936" t="s">
        <v>173</v>
      </c>
      <c r="U936">
        <v>1.3118562033410193E-3</v>
      </c>
      <c r="V936" t="s">
        <v>166</v>
      </c>
    </row>
    <row r="937" spans="9:22" x14ac:dyDescent="0.45">
      <c r="I937" t="s">
        <v>186</v>
      </c>
      <c r="J937" t="s">
        <v>174</v>
      </c>
      <c r="K937">
        <v>5.1070997634860157E-2</v>
      </c>
      <c r="L937" t="s">
        <v>166</v>
      </c>
      <c r="N937" t="s">
        <v>210</v>
      </c>
      <c r="O937" t="s">
        <v>174</v>
      </c>
      <c r="P937">
        <v>1.061576875495812E-2</v>
      </c>
      <c r="Q937" t="s">
        <v>166</v>
      </c>
      <c r="S937" t="s">
        <v>227</v>
      </c>
      <c r="T937" t="s">
        <v>174</v>
      </c>
      <c r="U937">
        <v>9.7957083221946253E-3</v>
      </c>
      <c r="V937" t="s">
        <v>166</v>
      </c>
    </row>
    <row r="938" spans="9:22" x14ac:dyDescent="0.45">
      <c r="I938" t="s">
        <v>186</v>
      </c>
      <c r="J938" t="s">
        <v>264</v>
      </c>
      <c r="K938">
        <v>4.720706612476931E-3</v>
      </c>
      <c r="L938" t="s">
        <v>166</v>
      </c>
      <c r="N938" t="s">
        <v>210</v>
      </c>
      <c r="O938" t="s">
        <v>264</v>
      </c>
      <c r="P938">
        <v>1.5832575127676964E-3</v>
      </c>
      <c r="Q938" t="s">
        <v>166</v>
      </c>
      <c r="S938" t="s">
        <v>227</v>
      </c>
      <c r="T938" t="s">
        <v>264</v>
      </c>
      <c r="U938">
        <v>2.0216855395252379E-3</v>
      </c>
      <c r="V938" t="s">
        <v>166</v>
      </c>
    </row>
    <row r="939" spans="9:22" x14ac:dyDescent="0.45">
      <c r="I939" t="s">
        <v>186</v>
      </c>
      <c r="J939" t="s">
        <v>265</v>
      </c>
      <c r="K939">
        <v>5.3260360364831309E-3</v>
      </c>
      <c r="L939" t="s">
        <v>166</v>
      </c>
      <c r="N939" t="s">
        <v>210</v>
      </c>
      <c r="O939" t="s">
        <v>265</v>
      </c>
      <c r="P939">
        <v>2.6461615164994653E-3</v>
      </c>
      <c r="Q939" t="s">
        <v>166</v>
      </c>
      <c r="S939" t="s">
        <v>227</v>
      </c>
      <c r="T939" t="s">
        <v>265</v>
      </c>
      <c r="U939">
        <v>3.6010545642305007E-3</v>
      </c>
      <c r="V939" t="s">
        <v>166</v>
      </c>
    </row>
    <row r="940" spans="9:22" x14ac:dyDescent="0.45">
      <c r="I940" t="s">
        <v>186</v>
      </c>
      <c r="J940" t="s">
        <v>266</v>
      </c>
      <c r="K940">
        <v>0</v>
      </c>
      <c r="L940" t="s">
        <v>166</v>
      </c>
      <c r="N940" t="s">
        <v>210</v>
      </c>
      <c r="O940" t="s">
        <v>266</v>
      </c>
      <c r="P940">
        <v>7.9479291894679806E-3</v>
      </c>
      <c r="Q940" t="s">
        <v>166</v>
      </c>
      <c r="S940" t="s">
        <v>227</v>
      </c>
      <c r="T940" t="s">
        <v>266</v>
      </c>
      <c r="U940">
        <v>9.1391076127000353E-3</v>
      </c>
      <c r="V940" t="s">
        <v>166</v>
      </c>
    </row>
    <row r="941" spans="9:22" x14ac:dyDescent="0.45">
      <c r="I941" t="s">
        <v>186</v>
      </c>
      <c r="J941" t="s">
        <v>175</v>
      </c>
      <c r="K941">
        <v>2.8109158349056435E-3</v>
      </c>
      <c r="L941" t="s">
        <v>166</v>
      </c>
      <c r="N941" t="s">
        <v>210</v>
      </c>
      <c r="O941" t="s">
        <v>175</v>
      </c>
      <c r="P941">
        <v>1.6879988278759347E-2</v>
      </c>
      <c r="Q941" t="s">
        <v>166</v>
      </c>
      <c r="S941" t="s">
        <v>227</v>
      </c>
      <c r="T941" t="s">
        <v>175</v>
      </c>
      <c r="U941">
        <v>1.1582078668929458E-2</v>
      </c>
      <c r="V941" t="s">
        <v>166</v>
      </c>
    </row>
    <row r="942" spans="9:22" x14ac:dyDescent="0.45">
      <c r="I942" t="s">
        <v>186</v>
      </c>
      <c r="J942" t="s">
        <v>176</v>
      </c>
      <c r="K942">
        <v>4.6824125974598294E-3</v>
      </c>
      <c r="L942" t="s">
        <v>166</v>
      </c>
      <c r="N942" t="s">
        <v>210</v>
      </c>
      <c r="O942" t="s">
        <v>176</v>
      </c>
      <c r="P942">
        <v>1.5790540027637054E-3</v>
      </c>
      <c r="Q942" t="s">
        <v>166</v>
      </c>
      <c r="S942" t="s">
        <v>227</v>
      </c>
      <c r="T942" t="s">
        <v>176</v>
      </c>
      <c r="U942">
        <v>1.2399440003126826E-3</v>
      </c>
      <c r="V942" t="s">
        <v>166</v>
      </c>
    </row>
    <row r="943" spans="9:22" x14ac:dyDescent="0.45">
      <c r="I943" t="s">
        <v>186</v>
      </c>
      <c r="J943" t="s">
        <v>177</v>
      </c>
      <c r="K943">
        <v>5.5398677902945621E-2</v>
      </c>
      <c r="L943" t="s">
        <v>166</v>
      </c>
      <c r="N943" t="s">
        <v>210</v>
      </c>
      <c r="O943" t="s">
        <v>177</v>
      </c>
      <c r="P943">
        <v>1.0512805656907355E-2</v>
      </c>
      <c r="Q943" t="s">
        <v>166</v>
      </c>
      <c r="S943" t="s">
        <v>227</v>
      </c>
      <c r="T943" t="s">
        <v>177</v>
      </c>
      <c r="U943">
        <v>1.0247115611750427E-2</v>
      </c>
      <c r="V943" t="s">
        <v>166</v>
      </c>
    </row>
    <row r="944" spans="9:22" x14ac:dyDescent="0.45">
      <c r="I944" t="s">
        <v>186</v>
      </c>
      <c r="J944" t="s">
        <v>267</v>
      </c>
      <c r="K944">
        <v>4.9993520463245174E-3</v>
      </c>
      <c r="L944" t="s">
        <v>166</v>
      </c>
      <c r="N944" t="s">
        <v>210</v>
      </c>
      <c r="O944" t="s">
        <v>267</v>
      </c>
      <c r="P944">
        <v>1.4416746766367351E-3</v>
      </c>
      <c r="Q944" t="s">
        <v>166</v>
      </c>
      <c r="S944" t="s">
        <v>227</v>
      </c>
      <c r="T944" t="s">
        <v>267</v>
      </c>
      <c r="U944">
        <v>2.0617246401473028E-3</v>
      </c>
      <c r="V944" t="s">
        <v>166</v>
      </c>
    </row>
    <row r="945" spans="9:22" x14ac:dyDescent="0.45">
      <c r="I945" t="s">
        <v>186</v>
      </c>
      <c r="J945" t="s">
        <v>268</v>
      </c>
      <c r="K945">
        <v>5.49378884658136E-3</v>
      </c>
      <c r="L945" t="s">
        <v>166</v>
      </c>
      <c r="N945" t="s">
        <v>210</v>
      </c>
      <c r="O945" t="s">
        <v>268</v>
      </c>
      <c r="P945">
        <v>3.685736536319931E-3</v>
      </c>
      <c r="Q945" t="s">
        <v>166</v>
      </c>
      <c r="S945" t="s">
        <v>227</v>
      </c>
      <c r="T945" t="s">
        <v>268</v>
      </c>
      <c r="U945">
        <v>3.7200833459938697E-3</v>
      </c>
      <c r="V945" t="s">
        <v>166</v>
      </c>
    </row>
    <row r="946" spans="9:22" x14ac:dyDescent="0.45">
      <c r="I946" t="s">
        <v>186</v>
      </c>
      <c r="J946" t="s">
        <v>269</v>
      </c>
      <c r="K946">
        <v>0</v>
      </c>
      <c r="L946" t="s">
        <v>166</v>
      </c>
      <c r="N946" t="s">
        <v>210</v>
      </c>
      <c r="O946" t="s">
        <v>269</v>
      </c>
      <c r="P946">
        <v>9.9127027024733354E-3</v>
      </c>
      <c r="Q946" t="s">
        <v>166</v>
      </c>
      <c r="S946" t="s">
        <v>227</v>
      </c>
      <c r="T946" t="s">
        <v>269</v>
      </c>
      <c r="U946">
        <v>1.0012013742785809E-2</v>
      </c>
      <c r="V946" t="s">
        <v>166</v>
      </c>
    </row>
    <row r="947" spans="9:22" x14ac:dyDescent="0.45">
      <c r="I947" t="s">
        <v>186</v>
      </c>
      <c r="J947" t="s">
        <v>270</v>
      </c>
      <c r="K947">
        <v>3.2738660281145943E-3</v>
      </c>
      <c r="L947" t="s">
        <v>166</v>
      </c>
      <c r="N947" t="s">
        <v>210</v>
      </c>
      <c r="O947" t="s">
        <v>270</v>
      </c>
      <c r="P947">
        <v>2.9800002403128113E-2</v>
      </c>
      <c r="Q947" t="s">
        <v>166</v>
      </c>
      <c r="S947" t="s">
        <v>227</v>
      </c>
      <c r="T947" t="s">
        <v>270</v>
      </c>
      <c r="U947">
        <v>2.3766460408840905E-2</v>
      </c>
      <c r="V947" t="s">
        <v>166</v>
      </c>
    </row>
    <row r="948" spans="9:22" x14ac:dyDescent="0.45">
      <c r="I948" t="s">
        <v>186</v>
      </c>
      <c r="J948" t="s">
        <v>271</v>
      </c>
      <c r="K948">
        <v>5.3131962749658887E-3</v>
      </c>
      <c r="L948" t="s">
        <v>166</v>
      </c>
      <c r="N948" t="s">
        <v>210</v>
      </c>
      <c r="O948" t="s">
        <v>271</v>
      </c>
      <c r="P948">
        <v>2.9584489176882754E-3</v>
      </c>
      <c r="Q948" t="s">
        <v>166</v>
      </c>
      <c r="S948" t="s">
        <v>227</v>
      </c>
      <c r="T948" t="s">
        <v>271</v>
      </c>
      <c r="U948">
        <v>2.4179141486303448E-3</v>
      </c>
      <c r="V948" t="s">
        <v>166</v>
      </c>
    </row>
    <row r="949" spans="9:22" x14ac:dyDescent="0.45">
      <c r="I949" t="s">
        <v>186</v>
      </c>
      <c r="J949" t="s">
        <v>272</v>
      </c>
      <c r="K949">
        <v>5.6789814718211332E-2</v>
      </c>
      <c r="L949" t="s">
        <v>166</v>
      </c>
      <c r="N949" t="s">
        <v>210</v>
      </c>
      <c r="O949" t="s">
        <v>272</v>
      </c>
      <c r="P949">
        <v>2.1218480505288281E-2</v>
      </c>
      <c r="Q949" t="s">
        <v>166</v>
      </c>
      <c r="S949" t="s">
        <v>227</v>
      </c>
      <c r="T949" t="s">
        <v>272</v>
      </c>
      <c r="U949">
        <v>1.9162055412798907E-2</v>
      </c>
      <c r="V949" t="s">
        <v>166</v>
      </c>
    </row>
    <row r="950" spans="9:22" x14ac:dyDescent="0.45">
      <c r="I950" t="s">
        <v>186</v>
      </c>
      <c r="J950" t="s">
        <v>273</v>
      </c>
      <c r="K950">
        <v>5.6424966676691815E-3</v>
      </c>
      <c r="L950" t="s">
        <v>166</v>
      </c>
      <c r="N950" t="s">
        <v>210</v>
      </c>
      <c r="O950" t="s">
        <v>273</v>
      </c>
      <c r="P950">
        <v>2.7516939875561973E-3</v>
      </c>
      <c r="Q950" t="s">
        <v>166</v>
      </c>
      <c r="S950" t="s">
        <v>227</v>
      </c>
      <c r="T950" t="s">
        <v>273</v>
      </c>
      <c r="U950">
        <v>3.3263240225268153E-3</v>
      </c>
      <c r="V950" t="s">
        <v>166</v>
      </c>
    </row>
    <row r="951" spans="9:22" x14ac:dyDescent="0.45">
      <c r="I951" t="s">
        <v>186</v>
      </c>
      <c r="J951" t="s">
        <v>274</v>
      </c>
      <c r="K951">
        <v>6.4657305892887968E-3</v>
      </c>
      <c r="L951" t="s">
        <v>166</v>
      </c>
      <c r="N951" t="s">
        <v>210</v>
      </c>
      <c r="O951" t="s">
        <v>274</v>
      </c>
      <c r="P951">
        <v>4.3696774048560087E-3</v>
      </c>
      <c r="Q951" t="s">
        <v>166</v>
      </c>
      <c r="S951" t="s">
        <v>227</v>
      </c>
      <c r="T951" t="s">
        <v>274</v>
      </c>
      <c r="U951">
        <v>6.6648125657638533E-3</v>
      </c>
      <c r="V951" t="s">
        <v>166</v>
      </c>
    </row>
    <row r="952" spans="9:22" x14ac:dyDescent="0.45">
      <c r="I952" t="s">
        <v>186</v>
      </c>
      <c r="J952" t="s">
        <v>275</v>
      </c>
      <c r="K952">
        <v>0</v>
      </c>
      <c r="L952" t="s">
        <v>166</v>
      </c>
      <c r="N952" t="s">
        <v>210</v>
      </c>
      <c r="O952" t="s">
        <v>275</v>
      </c>
      <c r="P952">
        <v>1.4580576560610483E-2</v>
      </c>
      <c r="Q952" t="s">
        <v>166</v>
      </c>
      <c r="S952" t="s">
        <v>227</v>
      </c>
      <c r="T952" t="s">
        <v>275</v>
      </c>
      <c r="U952">
        <v>1.6892476334226445E-2</v>
      </c>
      <c r="V952" t="s">
        <v>166</v>
      </c>
    </row>
    <row r="953" spans="9:22" x14ac:dyDescent="0.45">
      <c r="I953" t="s">
        <v>186</v>
      </c>
      <c r="J953" t="s">
        <v>276</v>
      </c>
      <c r="K953">
        <v>7.2610352723875941E-3</v>
      </c>
      <c r="L953" t="s">
        <v>166</v>
      </c>
      <c r="N953" t="s">
        <v>210</v>
      </c>
      <c r="O953" t="s">
        <v>276</v>
      </c>
      <c r="P953">
        <v>4.1148285526245408E-2</v>
      </c>
      <c r="Q953" t="s">
        <v>166</v>
      </c>
      <c r="S953" t="s">
        <v>227</v>
      </c>
      <c r="T953" t="s">
        <v>276</v>
      </c>
      <c r="U953">
        <v>3.8084643515665269E-2</v>
      </c>
      <c r="V953" t="s">
        <v>166</v>
      </c>
    </row>
    <row r="954" spans="9:22" x14ac:dyDescent="0.45">
      <c r="I954" t="s">
        <v>186</v>
      </c>
      <c r="J954" t="s">
        <v>277</v>
      </c>
      <c r="K954">
        <v>1.1874929318696202E-2</v>
      </c>
      <c r="L954" t="s">
        <v>166</v>
      </c>
      <c r="N954" t="s">
        <v>210</v>
      </c>
      <c r="O954" t="s">
        <v>277</v>
      </c>
      <c r="P954">
        <v>4.667324807135405E-3</v>
      </c>
      <c r="Q954" t="s">
        <v>166</v>
      </c>
      <c r="S954" t="s">
        <v>227</v>
      </c>
      <c r="T954" t="s">
        <v>277</v>
      </c>
      <c r="U954">
        <v>5.1545032951340764E-3</v>
      </c>
      <c r="V954" t="s">
        <v>166</v>
      </c>
    </row>
    <row r="955" spans="9:22" x14ac:dyDescent="0.45">
      <c r="I955" t="s">
        <v>186</v>
      </c>
      <c r="J955" t="s">
        <v>278</v>
      </c>
      <c r="K955">
        <v>0.11785828806056894</v>
      </c>
      <c r="L955" t="s">
        <v>166</v>
      </c>
      <c r="N955" t="s">
        <v>210</v>
      </c>
      <c r="O955" t="s">
        <v>278</v>
      </c>
      <c r="P955">
        <v>3.436890316363049E-2</v>
      </c>
      <c r="Q955" t="s">
        <v>166</v>
      </c>
      <c r="S955" t="s">
        <v>227</v>
      </c>
      <c r="T955" t="s">
        <v>278</v>
      </c>
      <c r="U955">
        <v>3.9109134917192638E-2</v>
      </c>
      <c r="V955" t="s">
        <v>166</v>
      </c>
    </row>
    <row r="956" spans="9:22" x14ac:dyDescent="0.45">
      <c r="I956" t="s">
        <v>186</v>
      </c>
      <c r="J956" t="s">
        <v>279</v>
      </c>
      <c r="K956">
        <v>1.1069152459416837E-2</v>
      </c>
      <c r="L956" t="s">
        <v>166</v>
      </c>
      <c r="N956" t="s">
        <v>210</v>
      </c>
      <c r="O956" t="s">
        <v>279</v>
      </c>
      <c r="P956">
        <v>4.4779148017727224E-3</v>
      </c>
      <c r="Q956" t="s">
        <v>166</v>
      </c>
      <c r="S956" t="s">
        <v>227</v>
      </c>
      <c r="T956" t="s">
        <v>279</v>
      </c>
      <c r="U956">
        <v>6.1692252342108768E-3</v>
      </c>
      <c r="V956" t="s">
        <v>166</v>
      </c>
    </row>
    <row r="957" spans="9:22" x14ac:dyDescent="0.45">
      <c r="I957" t="s">
        <v>186</v>
      </c>
      <c r="J957" t="s">
        <v>280</v>
      </c>
      <c r="K957">
        <v>8.8283522295748238E-3</v>
      </c>
      <c r="L957" t="s">
        <v>166</v>
      </c>
      <c r="N957" t="s">
        <v>210</v>
      </c>
      <c r="O957" t="s">
        <v>280</v>
      </c>
      <c r="P957">
        <v>8.3408847126601009E-3</v>
      </c>
      <c r="Q957" t="s">
        <v>166</v>
      </c>
      <c r="S957" t="s">
        <v>227</v>
      </c>
      <c r="T957" t="s">
        <v>280</v>
      </c>
      <c r="U957">
        <v>1.1522692569571292E-2</v>
      </c>
      <c r="V957" t="s">
        <v>166</v>
      </c>
    </row>
    <row r="958" spans="9:22" x14ac:dyDescent="0.45">
      <c r="I958" t="s">
        <v>186</v>
      </c>
      <c r="J958" t="s">
        <v>281</v>
      </c>
      <c r="K958">
        <v>0</v>
      </c>
      <c r="L958" t="s">
        <v>166</v>
      </c>
      <c r="N958" t="s">
        <v>210</v>
      </c>
      <c r="O958" t="s">
        <v>281</v>
      </c>
      <c r="P958">
        <v>2.4487633549797508E-2</v>
      </c>
      <c r="Q958" t="s">
        <v>166</v>
      </c>
      <c r="S958" t="s">
        <v>227</v>
      </c>
      <c r="T958" t="s">
        <v>281</v>
      </c>
      <c r="U958">
        <v>2.6018569013646922E-2</v>
      </c>
      <c r="V958" t="s">
        <v>166</v>
      </c>
    </row>
    <row r="959" spans="9:22" x14ac:dyDescent="0.45">
      <c r="I959" t="s">
        <v>186</v>
      </c>
      <c r="J959" t="s">
        <v>282</v>
      </c>
      <c r="K959">
        <v>3.5785936870012507E-3</v>
      </c>
      <c r="L959" t="s">
        <v>166</v>
      </c>
      <c r="N959" t="s">
        <v>210</v>
      </c>
      <c r="O959" t="s">
        <v>282</v>
      </c>
      <c r="P959">
        <v>4.7781828459361603E-2</v>
      </c>
      <c r="Q959" t="s">
        <v>166</v>
      </c>
      <c r="S959" t="s">
        <v>227</v>
      </c>
      <c r="T959" t="s">
        <v>282</v>
      </c>
      <c r="U959">
        <v>4.154381075607045E-2</v>
      </c>
      <c r="V959" t="s">
        <v>166</v>
      </c>
    </row>
    <row r="960" spans="9:22" x14ac:dyDescent="0.45">
      <c r="I960" t="s">
        <v>186</v>
      </c>
      <c r="J960" t="s">
        <v>283</v>
      </c>
      <c r="K960">
        <v>6.0510409221285885E-3</v>
      </c>
      <c r="L960" t="s">
        <v>166</v>
      </c>
      <c r="N960" t="s">
        <v>210</v>
      </c>
      <c r="O960" t="s">
        <v>283</v>
      </c>
      <c r="P960">
        <v>6.3873060782112523E-3</v>
      </c>
      <c r="Q960" t="s">
        <v>166</v>
      </c>
      <c r="S960" t="s">
        <v>227</v>
      </c>
      <c r="T960" t="s">
        <v>283</v>
      </c>
      <c r="U960">
        <v>5.6044287499226854E-3</v>
      </c>
      <c r="V960" t="s">
        <v>166</v>
      </c>
    </row>
    <row r="961" spans="9:22" x14ac:dyDescent="0.45">
      <c r="I961" t="s">
        <v>186</v>
      </c>
      <c r="J961" t="s">
        <v>284</v>
      </c>
      <c r="K961">
        <v>5.6756797606197902E-2</v>
      </c>
      <c r="L961" t="s">
        <v>166</v>
      </c>
      <c r="N961" t="s">
        <v>210</v>
      </c>
      <c r="O961" t="s">
        <v>284</v>
      </c>
      <c r="P961">
        <v>3.9361679015975218E-2</v>
      </c>
      <c r="Q961" t="s">
        <v>166</v>
      </c>
      <c r="S961" t="s">
        <v>227</v>
      </c>
      <c r="T961" t="s">
        <v>284</v>
      </c>
      <c r="U961">
        <v>3.9135824720890409E-2</v>
      </c>
      <c r="V961" t="s">
        <v>166</v>
      </c>
    </row>
    <row r="962" spans="9:22" x14ac:dyDescent="0.45">
      <c r="I962" t="s">
        <v>186</v>
      </c>
      <c r="J962" t="s">
        <v>285</v>
      </c>
      <c r="K962">
        <v>5.9064503135574193E-3</v>
      </c>
      <c r="L962" t="s">
        <v>166</v>
      </c>
      <c r="N962" t="s">
        <v>210</v>
      </c>
      <c r="O962" t="s">
        <v>285</v>
      </c>
      <c r="P962">
        <v>3.8154660782650945E-3</v>
      </c>
      <c r="Q962" t="s">
        <v>166</v>
      </c>
      <c r="S962" t="s">
        <v>227</v>
      </c>
      <c r="T962" t="s">
        <v>285</v>
      </c>
      <c r="U962">
        <v>5.5685957220897413E-3</v>
      </c>
      <c r="V962" t="s">
        <v>166</v>
      </c>
    </row>
    <row r="963" spans="9:22" x14ac:dyDescent="0.45">
      <c r="I963" t="s">
        <v>186</v>
      </c>
      <c r="J963" t="s">
        <v>286</v>
      </c>
      <c r="K963">
        <v>3.5863568982990135E-3</v>
      </c>
      <c r="L963" t="s">
        <v>166</v>
      </c>
      <c r="N963" t="s">
        <v>210</v>
      </c>
      <c r="O963" t="s">
        <v>286</v>
      </c>
      <c r="P963">
        <v>9.1396739956817845E-3</v>
      </c>
      <c r="Q963" t="s">
        <v>166</v>
      </c>
      <c r="S963" t="s">
        <v>227</v>
      </c>
      <c r="T963" t="s">
        <v>286</v>
      </c>
      <c r="U963">
        <v>1.0670375497637719E-2</v>
      </c>
      <c r="V963" t="s">
        <v>166</v>
      </c>
    </row>
    <row r="964" spans="9:22" x14ac:dyDescent="0.45">
      <c r="I964" t="s">
        <v>186</v>
      </c>
      <c r="J964" t="s">
        <v>287</v>
      </c>
      <c r="K964">
        <v>0</v>
      </c>
      <c r="L964" t="s">
        <v>166</v>
      </c>
      <c r="N964" t="s">
        <v>210</v>
      </c>
      <c r="O964" t="s">
        <v>287</v>
      </c>
      <c r="P964">
        <v>2.9881592903682187E-2</v>
      </c>
      <c r="Q964" t="s">
        <v>166</v>
      </c>
      <c r="S964" t="s">
        <v>227</v>
      </c>
      <c r="T964" t="s">
        <v>287</v>
      </c>
      <c r="U964">
        <v>2.6524806150654091E-2</v>
      </c>
      <c r="V964" t="s">
        <v>166</v>
      </c>
    </row>
    <row r="965" spans="9:22" x14ac:dyDescent="0.45">
      <c r="I965" t="s">
        <v>186</v>
      </c>
      <c r="J965" t="s">
        <v>288</v>
      </c>
      <c r="K965">
        <v>3.2404622858450459E-3</v>
      </c>
      <c r="L965" t="s">
        <v>166</v>
      </c>
      <c r="N965" t="s">
        <v>210</v>
      </c>
      <c r="O965" t="s">
        <v>288</v>
      </c>
      <c r="P965">
        <v>7.2981976290707407E-2</v>
      </c>
      <c r="Q965" t="s">
        <v>166</v>
      </c>
      <c r="S965" t="s">
        <v>227</v>
      </c>
      <c r="T965" t="s">
        <v>288</v>
      </c>
      <c r="U965">
        <v>6.3652661239986932E-2</v>
      </c>
      <c r="V965" t="s">
        <v>166</v>
      </c>
    </row>
    <row r="966" spans="9:22" x14ac:dyDescent="0.45">
      <c r="I966" t="s">
        <v>186</v>
      </c>
      <c r="J966" t="s">
        <v>289</v>
      </c>
      <c r="K966">
        <v>5.7922312891567542E-3</v>
      </c>
      <c r="L966" t="s">
        <v>166</v>
      </c>
      <c r="N966" t="s">
        <v>210</v>
      </c>
      <c r="O966" t="s">
        <v>289</v>
      </c>
      <c r="P966">
        <v>8.5918433997094965E-3</v>
      </c>
      <c r="Q966" t="s">
        <v>166</v>
      </c>
      <c r="S966" t="s">
        <v>227</v>
      </c>
      <c r="T966" t="s">
        <v>289</v>
      </c>
      <c r="U966">
        <v>8.1430964601012564E-3</v>
      </c>
      <c r="V966" t="s">
        <v>166</v>
      </c>
    </row>
    <row r="967" spans="9:22" x14ac:dyDescent="0.45">
      <c r="I967" t="s">
        <v>186</v>
      </c>
      <c r="J967" t="s">
        <v>290</v>
      </c>
      <c r="K967">
        <v>5.9863999816263898E-2</v>
      </c>
      <c r="L967" t="s">
        <v>166</v>
      </c>
      <c r="N967" t="s">
        <v>210</v>
      </c>
      <c r="O967" t="s">
        <v>290</v>
      </c>
      <c r="P967">
        <v>3.9547744411972077E-2</v>
      </c>
      <c r="Q967" t="s">
        <v>166</v>
      </c>
      <c r="S967" t="s">
        <v>227</v>
      </c>
      <c r="T967" t="s">
        <v>290</v>
      </c>
      <c r="U967">
        <v>5.8450759661908713E-2</v>
      </c>
      <c r="V967" t="s">
        <v>166</v>
      </c>
    </row>
    <row r="968" spans="9:22" x14ac:dyDescent="0.45">
      <c r="I968" t="s">
        <v>186</v>
      </c>
      <c r="J968" t="s">
        <v>291</v>
      </c>
      <c r="K968">
        <v>6.3747050863762374E-3</v>
      </c>
      <c r="L968" t="s">
        <v>166</v>
      </c>
      <c r="N968" t="s">
        <v>210</v>
      </c>
      <c r="O968" t="s">
        <v>291</v>
      </c>
      <c r="P968">
        <v>5.0386687268639801E-3</v>
      </c>
      <c r="Q968" t="s">
        <v>166</v>
      </c>
      <c r="S968" t="s">
        <v>227</v>
      </c>
      <c r="T968" t="s">
        <v>291</v>
      </c>
      <c r="U968">
        <v>8.2545542606118055E-3</v>
      </c>
      <c r="V968" t="s">
        <v>166</v>
      </c>
    </row>
    <row r="969" spans="9:22" x14ac:dyDescent="0.45">
      <c r="I969" t="s">
        <v>186</v>
      </c>
      <c r="J969" t="s">
        <v>292</v>
      </c>
      <c r="K969">
        <v>4.0751062412932087E-3</v>
      </c>
      <c r="L969" t="s">
        <v>166</v>
      </c>
      <c r="N969" t="s">
        <v>210</v>
      </c>
      <c r="O969" t="s">
        <v>292</v>
      </c>
      <c r="P969">
        <v>1.2481775954755315E-2</v>
      </c>
      <c r="Q969" t="s">
        <v>166</v>
      </c>
      <c r="S969" t="s">
        <v>227</v>
      </c>
      <c r="T969" t="s">
        <v>292</v>
      </c>
      <c r="U969">
        <v>1.5949212175904726E-2</v>
      </c>
      <c r="V969" t="s">
        <v>166</v>
      </c>
    </row>
    <row r="970" spans="9:22" x14ac:dyDescent="0.45">
      <c r="I970" t="s">
        <v>186</v>
      </c>
      <c r="J970" t="s">
        <v>293</v>
      </c>
      <c r="K970">
        <v>0</v>
      </c>
      <c r="L970" t="s">
        <v>166</v>
      </c>
      <c r="N970" t="s">
        <v>210</v>
      </c>
      <c r="O970" t="s">
        <v>293</v>
      </c>
      <c r="P970">
        <v>4.8113182466619414E-2</v>
      </c>
      <c r="Q970" t="s">
        <v>166</v>
      </c>
      <c r="S970" t="s">
        <v>227</v>
      </c>
      <c r="T970" t="s">
        <v>293</v>
      </c>
      <c r="U970">
        <v>4.0238752373937779E-2</v>
      </c>
      <c r="V970" t="s">
        <v>166</v>
      </c>
    </row>
    <row r="971" spans="9:22" x14ac:dyDescent="0.45">
      <c r="I971" t="s">
        <v>187</v>
      </c>
      <c r="J971" t="s">
        <v>165</v>
      </c>
      <c r="K971">
        <v>6.4693149542461451E-3</v>
      </c>
      <c r="L971" t="s">
        <v>166</v>
      </c>
      <c r="N971" t="s">
        <v>211</v>
      </c>
      <c r="O971" t="s">
        <v>165</v>
      </c>
      <c r="P971">
        <v>0.10316124956657965</v>
      </c>
      <c r="Q971" t="s">
        <v>166</v>
      </c>
      <c r="S971" t="s">
        <v>228</v>
      </c>
      <c r="T971" t="s">
        <v>165</v>
      </c>
      <c r="U971">
        <v>0.10221371360914029</v>
      </c>
      <c r="V971" t="s">
        <v>166</v>
      </c>
    </row>
    <row r="972" spans="9:22" x14ac:dyDescent="0.45">
      <c r="I972" t="s">
        <v>187</v>
      </c>
      <c r="J972" t="s">
        <v>167</v>
      </c>
      <c r="K972">
        <v>1.4999018951525453E-2</v>
      </c>
      <c r="L972" t="s">
        <v>166</v>
      </c>
      <c r="N972" t="s">
        <v>211</v>
      </c>
      <c r="O972" t="s">
        <v>167</v>
      </c>
      <c r="P972">
        <v>1.3040142834173636E-2</v>
      </c>
      <c r="Q972" t="s">
        <v>166</v>
      </c>
      <c r="S972" t="s">
        <v>228</v>
      </c>
      <c r="T972" t="s">
        <v>167</v>
      </c>
      <c r="U972">
        <v>1.323774092012486E-2</v>
      </c>
      <c r="V972" t="s">
        <v>166</v>
      </c>
    </row>
    <row r="973" spans="9:22" x14ac:dyDescent="0.45">
      <c r="I973" t="s">
        <v>187</v>
      </c>
      <c r="J973" t="s">
        <v>168</v>
      </c>
      <c r="K973">
        <v>0.22443946497152387</v>
      </c>
      <c r="L973" t="s">
        <v>166</v>
      </c>
      <c r="N973" t="s">
        <v>211</v>
      </c>
      <c r="O973" t="s">
        <v>168</v>
      </c>
      <c r="P973">
        <v>0.12274821674122514</v>
      </c>
      <c r="Q973" t="s">
        <v>166</v>
      </c>
      <c r="S973" t="s">
        <v>228</v>
      </c>
      <c r="T973" t="s">
        <v>168</v>
      </c>
      <c r="U973">
        <v>9.0097664935970934E-2</v>
      </c>
      <c r="V973" t="s">
        <v>166</v>
      </c>
    </row>
    <row r="974" spans="9:22" x14ac:dyDescent="0.45">
      <c r="I974" t="s">
        <v>187</v>
      </c>
      <c r="J974" t="s">
        <v>258</v>
      </c>
      <c r="K974">
        <v>2.5760532798945541E-2</v>
      </c>
      <c r="L974" t="s">
        <v>166</v>
      </c>
      <c r="N974" t="s">
        <v>211</v>
      </c>
      <c r="O974" t="s">
        <v>258</v>
      </c>
      <c r="P974">
        <v>1.9873337387470144E-2</v>
      </c>
      <c r="Q974" t="s">
        <v>166</v>
      </c>
      <c r="S974" t="s">
        <v>228</v>
      </c>
      <c r="T974" t="s">
        <v>258</v>
      </c>
      <c r="U974">
        <v>1.2735286214297122E-2</v>
      </c>
      <c r="V974" t="s">
        <v>166</v>
      </c>
    </row>
    <row r="975" spans="9:22" x14ac:dyDescent="0.45">
      <c r="I975" t="s">
        <v>187</v>
      </c>
      <c r="J975" t="s">
        <v>259</v>
      </c>
      <c r="K975">
        <v>2.6297089935511591E-2</v>
      </c>
      <c r="L975" t="s">
        <v>166</v>
      </c>
      <c r="N975" t="s">
        <v>211</v>
      </c>
      <c r="O975" t="s">
        <v>259</v>
      </c>
      <c r="P975">
        <v>3.6986539370138481E-2</v>
      </c>
      <c r="Q975" t="s">
        <v>166</v>
      </c>
      <c r="S975" t="s">
        <v>228</v>
      </c>
      <c r="T975" t="s">
        <v>259</v>
      </c>
      <c r="U975">
        <v>2.3557048691227406E-2</v>
      </c>
      <c r="V975" t="s">
        <v>166</v>
      </c>
    </row>
    <row r="976" spans="9:22" x14ac:dyDescent="0.45">
      <c r="I976" t="s">
        <v>187</v>
      </c>
      <c r="J976" t="s">
        <v>260</v>
      </c>
      <c r="K976">
        <v>0</v>
      </c>
      <c r="L976" t="s">
        <v>166</v>
      </c>
      <c r="N976" t="s">
        <v>211</v>
      </c>
      <c r="O976" t="s">
        <v>260</v>
      </c>
      <c r="P976">
        <v>9.7555863298445886E-2</v>
      </c>
      <c r="Q976" t="s">
        <v>166</v>
      </c>
      <c r="S976" t="s">
        <v>228</v>
      </c>
      <c r="T976" t="s">
        <v>260</v>
      </c>
      <c r="U976">
        <v>6.4201731598456241E-2</v>
      </c>
      <c r="V976" t="s">
        <v>166</v>
      </c>
    </row>
    <row r="977" spans="9:22" x14ac:dyDescent="0.45">
      <c r="I977" t="s">
        <v>187</v>
      </c>
      <c r="J977" t="s">
        <v>346</v>
      </c>
      <c r="K977">
        <v>0</v>
      </c>
      <c r="L977" t="s">
        <v>166</v>
      </c>
      <c r="N977" t="s">
        <v>211</v>
      </c>
      <c r="O977" t="s">
        <v>346</v>
      </c>
      <c r="P977">
        <v>2.0537433660785444E-4</v>
      </c>
      <c r="Q977" t="s">
        <v>166</v>
      </c>
      <c r="S977" t="s">
        <v>228</v>
      </c>
      <c r="T977" t="s">
        <v>346</v>
      </c>
      <c r="U977">
        <v>1.8621930310070472E-4</v>
      </c>
      <c r="V977" t="s">
        <v>166</v>
      </c>
    </row>
    <row r="978" spans="9:22" x14ac:dyDescent="0.45">
      <c r="I978" t="s">
        <v>187</v>
      </c>
      <c r="J978" t="s">
        <v>347</v>
      </c>
      <c r="K978">
        <v>0</v>
      </c>
      <c r="L978" t="s">
        <v>166</v>
      </c>
      <c r="N978" t="s">
        <v>211</v>
      </c>
      <c r="O978" t="s">
        <v>347</v>
      </c>
      <c r="P978">
        <v>1.679095763014533E-4</v>
      </c>
      <c r="Q978" t="s">
        <v>166</v>
      </c>
      <c r="S978" t="s">
        <v>228</v>
      </c>
      <c r="T978" t="s">
        <v>347</v>
      </c>
      <c r="U978">
        <v>1.8222118623143396E-4</v>
      </c>
      <c r="V978" t="s">
        <v>166</v>
      </c>
    </row>
    <row r="979" spans="9:22" x14ac:dyDescent="0.45">
      <c r="I979" t="s">
        <v>187</v>
      </c>
      <c r="J979" t="s">
        <v>348</v>
      </c>
      <c r="K979">
        <v>0</v>
      </c>
      <c r="L979" t="s">
        <v>166</v>
      </c>
      <c r="N979" t="s">
        <v>211</v>
      </c>
      <c r="O979" t="s">
        <v>348</v>
      </c>
      <c r="P979">
        <v>1.5547566557890942E-4</v>
      </c>
      <c r="Q979" t="s">
        <v>166</v>
      </c>
      <c r="S979" t="s">
        <v>228</v>
      </c>
      <c r="T979" t="s">
        <v>348</v>
      </c>
      <c r="U979">
        <v>1.7565095996686564E-4</v>
      </c>
      <c r="V979" t="s">
        <v>166</v>
      </c>
    </row>
    <row r="980" spans="9:22" x14ac:dyDescent="0.45">
      <c r="I980" t="s">
        <v>187</v>
      </c>
      <c r="J980" t="s">
        <v>349</v>
      </c>
      <c r="K980">
        <v>0</v>
      </c>
      <c r="L980" t="s">
        <v>166</v>
      </c>
      <c r="N980" t="s">
        <v>211</v>
      </c>
      <c r="O980" t="s">
        <v>349</v>
      </c>
      <c r="P980">
        <v>1.5998285458147587E-4</v>
      </c>
      <c r="Q980" t="s">
        <v>166</v>
      </c>
      <c r="S980" t="s">
        <v>228</v>
      </c>
      <c r="T980" t="s">
        <v>349</v>
      </c>
      <c r="U980">
        <v>1.6957839852784916E-4</v>
      </c>
      <c r="V980" t="s">
        <v>166</v>
      </c>
    </row>
    <row r="981" spans="9:22" x14ac:dyDescent="0.45">
      <c r="I981" t="s">
        <v>187</v>
      </c>
      <c r="J981" t="s">
        <v>350</v>
      </c>
      <c r="K981">
        <v>0</v>
      </c>
      <c r="L981" t="s">
        <v>166</v>
      </c>
      <c r="N981" t="s">
        <v>211</v>
      </c>
      <c r="O981" t="s">
        <v>350</v>
      </c>
      <c r="P981">
        <v>1.6688386948964662E-4</v>
      </c>
      <c r="Q981" t="s">
        <v>166</v>
      </c>
      <c r="S981" t="s">
        <v>228</v>
      </c>
      <c r="T981" t="s">
        <v>350</v>
      </c>
      <c r="U981">
        <v>1.6607439132157516E-4</v>
      </c>
      <c r="V981" t="s">
        <v>166</v>
      </c>
    </row>
    <row r="982" spans="9:22" x14ac:dyDescent="0.45">
      <c r="I982" t="s">
        <v>187</v>
      </c>
      <c r="J982" t="s">
        <v>351</v>
      </c>
      <c r="K982">
        <v>0</v>
      </c>
      <c r="L982" t="s">
        <v>166</v>
      </c>
      <c r="N982" t="s">
        <v>211</v>
      </c>
      <c r="O982" t="s">
        <v>351</v>
      </c>
      <c r="P982">
        <v>1.3888900357142994E-4</v>
      </c>
      <c r="Q982" t="s">
        <v>166</v>
      </c>
      <c r="S982" t="s">
        <v>228</v>
      </c>
      <c r="T982" t="s">
        <v>351</v>
      </c>
      <c r="U982">
        <v>1.3968773795704456E-4</v>
      </c>
      <c r="V982" t="s">
        <v>166</v>
      </c>
    </row>
    <row r="983" spans="9:22" x14ac:dyDescent="0.45">
      <c r="I983" t="s">
        <v>187</v>
      </c>
      <c r="J983" t="s">
        <v>352</v>
      </c>
      <c r="K983">
        <v>0</v>
      </c>
      <c r="L983" t="s">
        <v>166</v>
      </c>
      <c r="N983" t="s">
        <v>211</v>
      </c>
      <c r="O983" t="s">
        <v>352</v>
      </c>
      <c r="P983">
        <v>1.4276422353425358E-4</v>
      </c>
      <c r="Q983" t="s">
        <v>166</v>
      </c>
      <c r="S983" t="s">
        <v>228</v>
      </c>
      <c r="T983" t="s">
        <v>352</v>
      </c>
      <c r="U983">
        <v>1.4873689411002002E-4</v>
      </c>
      <c r="V983" t="s">
        <v>166</v>
      </c>
    </row>
    <row r="984" spans="9:22" x14ac:dyDescent="0.45">
      <c r="I984" t="s">
        <v>187</v>
      </c>
      <c r="J984" t="s">
        <v>353</v>
      </c>
      <c r="K984">
        <v>0</v>
      </c>
      <c r="L984" t="s">
        <v>166</v>
      </c>
      <c r="N984" t="s">
        <v>211</v>
      </c>
      <c r="O984" t="s">
        <v>353</v>
      </c>
      <c r="P984">
        <v>1.4201843602278189E-4</v>
      </c>
      <c r="Q984" t="s">
        <v>166</v>
      </c>
      <c r="S984" t="s">
        <v>228</v>
      </c>
      <c r="T984" t="s">
        <v>353</v>
      </c>
      <c r="U984">
        <v>1.5470602113919386E-4</v>
      </c>
      <c r="V984" t="s">
        <v>166</v>
      </c>
    </row>
    <row r="985" spans="9:22" x14ac:dyDescent="0.45">
      <c r="I985" t="s">
        <v>187</v>
      </c>
      <c r="J985" t="s">
        <v>354</v>
      </c>
      <c r="K985">
        <v>3.3763120188170494E-5</v>
      </c>
      <c r="L985" t="s">
        <v>166</v>
      </c>
      <c r="N985" t="s">
        <v>211</v>
      </c>
      <c r="O985" t="s">
        <v>354</v>
      </c>
      <c r="P985">
        <v>1.672582713828211E-4</v>
      </c>
      <c r="Q985" t="s">
        <v>166</v>
      </c>
      <c r="S985" t="s">
        <v>228</v>
      </c>
      <c r="T985" t="s">
        <v>354</v>
      </c>
      <c r="U985">
        <v>1.6487503238009476E-4</v>
      </c>
      <c r="V985" t="s">
        <v>166</v>
      </c>
    </row>
    <row r="986" spans="9:22" x14ac:dyDescent="0.45">
      <c r="I986" t="s">
        <v>187</v>
      </c>
      <c r="J986" t="s">
        <v>355</v>
      </c>
      <c r="K986">
        <v>7.5335547084914978E-5</v>
      </c>
      <c r="L986" t="s">
        <v>166</v>
      </c>
      <c r="N986" t="s">
        <v>211</v>
      </c>
      <c r="O986" t="s">
        <v>355</v>
      </c>
      <c r="P986">
        <v>2.0432611440238712E-4</v>
      </c>
      <c r="Q986" t="s">
        <v>166</v>
      </c>
      <c r="S986" t="s">
        <v>228</v>
      </c>
      <c r="T986" t="s">
        <v>355</v>
      </c>
      <c r="U986">
        <v>1.8958917113765612E-4</v>
      </c>
      <c r="V986" t="s">
        <v>166</v>
      </c>
    </row>
    <row r="987" spans="9:22" x14ac:dyDescent="0.45">
      <c r="I987" t="s">
        <v>187</v>
      </c>
      <c r="J987" t="s">
        <v>356</v>
      </c>
      <c r="K987">
        <v>1.2482772494257514E-4</v>
      </c>
      <c r="L987" t="s">
        <v>166</v>
      </c>
      <c r="N987" t="s">
        <v>211</v>
      </c>
      <c r="O987" t="s">
        <v>356</v>
      </c>
      <c r="P987">
        <v>2.1139069907725463E-4</v>
      </c>
      <c r="Q987" t="s">
        <v>166</v>
      </c>
      <c r="S987" t="s">
        <v>228</v>
      </c>
      <c r="T987" t="s">
        <v>356</v>
      </c>
      <c r="U987">
        <v>2.0053555232608602E-4</v>
      </c>
      <c r="V987" t="s">
        <v>166</v>
      </c>
    </row>
    <row r="988" spans="9:22" x14ac:dyDescent="0.45">
      <c r="I988" t="s">
        <v>187</v>
      </c>
      <c r="J988" t="s">
        <v>357</v>
      </c>
      <c r="K988">
        <v>1.5042050397760058E-4</v>
      </c>
      <c r="L988" t="s">
        <v>166</v>
      </c>
      <c r="N988" t="s">
        <v>211</v>
      </c>
      <c r="O988" t="s">
        <v>357</v>
      </c>
      <c r="P988">
        <v>1.9983706952056004E-4</v>
      </c>
      <c r="Q988" t="s">
        <v>166</v>
      </c>
      <c r="S988" t="s">
        <v>228</v>
      </c>
      <c r="T988" t="s">
        <v>357</v>
      </c>
      <c r="U988">
        <v>2.0679432526640959E-4</v>
      </c>
      <c r="V988" t="s">
        <v>166</v>
      </c>
    </row>
    <row r="989" spans="9:22" x14ac:dyDescent="0.45">
      <c r="I989" t="s">
        <v>187</v>
      </c>
      <c r="J989" t="s">
        <v>358</v>
      </c>
      <c r="K989">
        <v>2.1599730954093422E-4</v>
      </c>
      <c r="L989" t="s">
        <v>166</v>
      </c>
      <c r="N989" t="s">
        <v>211</v>
      </c>
      <c r="O989" t="s">
        <v>358</v>
      </c>
      <c r="P989">
        <v>1.799965579991789E-4</v>
      </c>
      <c r="Q989" t="s">
        <v>166</v>
      </c>
      <c r="S989" t="s">
        <v>228</v>
      </c>
      <c r="T989" t="s">
        <v>358</v>
      </c>
      <c r="U989">
        <v>2.0448898688502616E-4</v>
      </c>
      <c r="V989" t="s">
        <v>166</v>
      </c>
    </row>
    <row r="990" spans="9:22" x14ac:dyDescent="0.45">
      <c r="I990" t="s">
        <v>187</v>
      </c>
      <c r="J990" t="s">
        <v>359</v>
      </c>
      <c r="K990">
        <v>2.1793928706981437E-4</v>
      </c>
      <c r="L990" t="s">
        <v>166</v>
      </c>
      <c r="N990" t="s">
        <v>211</v>
      </c>
      <c r="O990" t="s">
        <v>359</v>
      </c>
      <c r="P990">
        <v>1.704383349360242E-4</v>
      </c>
      <c r="Q990" t="s">
        <v>166</v>
      </c>
      <c r="S990" t="s">
        <v>228</v>
      </c>
      <c r="T990" t="s">
        <v>359</v>
      </c>
      <c r="U990">
        <v>1.9348631713196097E-4</v>
      </c>
      <c r="V990" t="s">
        <v>166</v>
      </c>
    </row>
    <row r="991" spans="9:22" x14ac:dyDescent="0.45">
      <c r="I991" t="s">
        <v>187</v>
      </c>
      <c r="J991" t="s">
        <v>360</v>
      </c>
      <c r="K991">
        <v>2.087864484217341E-4</v>
      </c>
      <c r="L991" t="s">
        <v>166</v>
      </c>
      <c r="N991" t="s">
        <v>211</v>
      </c>
      <c r="O991" t="s">
        <v>360</v>
      </c>
      <c r="P991">
        <v>1.6314649117434409E-4</v>
      </c>
      <c r="Q991" t="s">
        <v>166</v>
      </c>
      <c r="S991" t="s">
        <v>228</v>
      </c>
      <c r="T991" t="s">
        <v>360</v>
      </c>
      <c r="U991">
        <v>1.8442976510640719E-4</v>
      </c>
      <c r="V991" t="s">
        <v>166</v>
      </c>
    </row>
    <row r="992" spans="9:22" x14ac:dyDescent="0.45">
      <c r="I992" t="s">
        <v>187</v>
      </c>
      <c r="J992" t="s">
        <v>361</v>
      </c>
      <c r="K992">
        <v>1.1641990306849406E-4</v>
      </c>
      <c r="L992" t="s">
        <v>166</v>
      </c>
      <c r="N992" t="s">
        <v>211</v>
      </c>
      <c r="O992" t="s">
        <v>361</v>
      </c>
      <c r="P992">
        <v>1.6576804141390445E-4</v>
      </c>
      <c r="Q992" t="s">
        <v>166</v>
      </c>
      <c r="S992" t="s">
        <v>228</v>
      </c>
      <c r="T992" t="s">
        <v>361</v>
      </c>
      <c r="U992">
        <v>1.7399228836374034E-4</v>
      </c>
      <c r="V992" t="s">
        <v>166</v>
      </c>
    </row>
    <row r="993" spans="9:22" x14ac:dyDescent="0.45">
      <c r="I993" t="s">
        <v>187</v>
      </c>
      <c r="J993" t="s">
        <v>362</v>
      </c>
      <c r="K993">
        <v>4.8611729495352389E-5</v>
      </c>
      <c r="L993" t="s">
        <v>166</v>
      </c>
      <c r="N993" t="s">
        <v>211</v>
      </c>
      <c r="O993" t="s">
        <v>362</v>
      </c>
      <c r="P993">
        <v>1.8855755567319916E-4</v>
      </c>
      <c r="Q993" t="s">
        <v>166</v>
      </c>
      <c r="S993" t="s">
        <v>228</v>
      </c>
      <c r="T993" t="s">
        <v>362</v>
      </c>
      <c r="U993">
        <v>1.7164057579512412E-4</v>
      </c>
      <c r="V993" t="s">
        <v>166</v>
      </c>
    </row>
    <row r="994" spans="9:22" x14ac:dyDescent="0.45">
      <c r="I994" t="s">
        <v>187</v>
      </c>
      <c r="J994" t="s">
        <v>363</v>
      </c>
      <c r="K994">
        <v>1.598133172990926E-5</v>
      </c>
      <c r="L994" t="s">
        <v>166</v>
      </c>
      <c r="N994" t="s">
        <v>211</v>
      </c>
      <c r="O994" t="s">
        <v>363</v>
      </c>
      <c r="P994">
        <v>1.9110529079026159E-4</v>
      </c>
      <c r="Q994" t="s">
        <v>166</v>
      </c>
      <c r="S994" t="s">
        <v>228</v>
      </c>
      <c r="T994" t="s">
        <v>363</v>
      </c>
      <c r="U994">
        <v>1.367846909203079E-4</v>
      </c>
      <c r="V994" t="s">
        <v>166</v>
      </c>
    </row>
    <row r="995" spans="9:22" x14ac:dyDescent="0.45">
      <c r="I995" t="s">
        <v>187</v>
      </c>
      <c r="J995" t="s">
        <v>364</v>
      </c>
      <c r="K995">
        <v>0</v>
      </c>
      <c r="L995" t="s">
        <v>166</v>
      </c>
      <c r="N995" t="s">
        <v>211</v>
      </c>
      <c r="O995" t="s">
        <v>364</v>
      </c>
      <c r="P995">
        <v>2.6722022689283295E-4</v>
      </c>
      <c r="Q995" t="s">
        <v>166</v>
      </c>
      <c r="S995" t="s">
        <v>228</v>
      </c>
      <c r="T995" t="s">
        <v>364</v>
      </c>
      <c r="U995">
        <v>1.3786203585147811E-4</v>
      </c>
      <c r="V995" t="s">
        <v>166</v>
      </c>
    </row>
    <row r="996" spans="9:22" x14ac:dyDescent="0.45">
      <c r="I996" t="s">
        <v>187</v>
      </c>
      <c r="J996" t="s">
        <v>365</v>
      </c>
      <c r="K996">
        <v>0</v>
      </c>
      <c r="L996" t="s">
        <v>166</v>
      </c>
      <c r="N996" t="s">
        <v>211</v>
      </c>
      <c r="O996" t="s">
        <v>365</v>
      </c>
      <c r="P996">
        <v>2.9310436672900256E-4</v>
      </c>
      <c r="Q996" t="s">
        <v>166</v>
      </c>
      <c r="S996" t="s">
        <v>228</v>
      </c>
      <c r="T996" t="s">
        <v>365</v>
      </c>
      <c r="U996">
        <v>1.3663437338288823E-4</v>
      </c>
      <c r="V996" t="s">
        <v>166</v>
      </c>
    </row>
    <row r="997" spans="9:22" x14ac:dyDescent="0.45">
      <c r="I997" t="s">
        <v>187</v>
      </c>
      <c r="J997" t="s">
        <v>366</v>
      </c>
      <c r="K997">
        <v>0</v>
      </c>
      <c r="L997" t="s">
        <v>166</v>
      </c>
      <c r="N997" t="s">
        <v>211</v>
      </c>
      <c r="O997" t="s">
        <v>366</v>
      </c>
      <c r="P997">
        <v>2.5751414151224992E-4</v>
      </c>
      <c r="Q997" t="s">
        <v>166</v>
      </c>
      <c r="S997" t="s">
        <v>228</v>
      </c>
      <c r="T997" t="s">
        <v>366</v>
      </c>
      <c r="U997">
        <v>1.3027437984521154E-4</v>
      </c>
      <c r="V997" t="s">
        <v>166</v>
      </c>
    </row>
    <row r="998" spans="9:22" x14ac:dyDescent="0.45">
      <c r="I998" t="s">
        <v>187</v>
      </c>
      <c r="J998" t="s">
        <v>367</v>
      </c>
      <c r="K998">
        <v>0</v>
      </c>
      <c r="L998" t="s">
        <v>166</v>
      </c>
      <c r="N998" t="s">
        <v>211</v>
      </c>
      <c r="O998" t="s">
        <v>367</v>
      </c>
      <c r="P998">
        <v>2.1471759184180875E-4</v>
      </c>
      <c r="Q998" t="s">
        <v>166</v>
      </c>
      <c r="S998" t="s">
        <v>228</v>
      </c>
      <c r="T998" t="s">
        <v>367</v>
      </c>
      <c r="U998">
        <v>1.3389312995471081E-4</v>
      </c>
      <c r="V998" t="s">
        <v>166</v>
      </c>
    </row>
    <row r="999" spans="9:22" x14ac:dyDescent="0.45">
      <c r="I999" t="s">
        <v>187</v>
      </c>
      <c r="J999" t="s">
        <v>368</v>
      </c>
      <c r="K999">
        <v>0</v>
      </c>
      <c r="L999" t="s">
        <v>166</v>
      </c>
      <c r="N999" t="s">
        <v>211</v>
      </c>
      <c r="O999" t="s">
        <v>368</v>
      </c>
      <c r="P999">
        <v>1.7932680786819345E-4</v>
      </c>
      <c r="Q999" t="s">
        <v>166</v>
      </c>
      <c r="S999" t="s">
        <v>228</v>
      </c>
      <c r="T999" t="s">
        <v>368</v>
      </c>
      <c r="U999">
        <v>1.4632692354815175E-4</v>
      </c>
      <c r="V999" t="s">
        <v>166</v>
      </c>
    </row>
    <row r="1000" spans="9:22" x14ac:dyDescent="0.45">
      <c r="I1000" t="s">
        <v>187</v>
      </c>
      <c r="J1000" t="s">
        <v>369</v>
      </c>
      <c r="K1000">
        <v>0</v>
      </c>
      <c r="L1000" t="s">
        <v>166</v>
      </c>
      <c r="N1000" t="s">
        <v>211</v>
      </c>
      <c r="O1000" t="s">
        <v>369</v>
      </c>
      <c r="P1000">
        <v>1.5227166239590995E-4</v>
      </c>
      <c r="Q1000" t="s">
        <v>166</v>
      </c>
      <c r="S1000" t="s">
        <v>228</v>
      </c>
      <c r="T1000" t="s">
        <v>369</v>
      </c>
      <c r="U1000">
        <v>1.5837401748700633E-4</v>
      </c>
      <c r="V1000" t="s">
        <v>166</v>
      </c>
    </row>
    <row r="1001" spans="9:22" x14ac:dyDescent="0.45">
      <c r="I1001" t="s">
        <v>187</v>
      </c>
      <c r="J1001" t="s">
        <v>370</v>
      </c>
      <c r="K1001">
        <v>0</v>
      </c>
      <c r="L1001" t="s">
        <v>166</v>
      </c>
      <c r="N1001" t="s">
        <v>211</v>
      </c>
      <c r="O1001" t="s">
        <v>370</v>
      </c>
      <c r="P1001">
        <v>1.1698493831312077E-4</v>
      </c>
      <c r="Q1001" t="s">
        <v>166</v>
      </c>
      <c r="S1001" t="s">
        <v>228</v>
      </c>
      <c r="T1001" t="s">
        <v>370</v>
      </c>
      <c r="U1001">
        <v>1.4952118158310778E-5</v>
      </c>
      <c r="V1001" t="s">
        <v>166</v>
      </c>
    </row>
    <row r="1002" spans="9:22" x14ac:dyDescent="0.45">
      <c r="I1002" t="s">
        <v>187</v>
      </c>
      <c r="J1002" t="s">
        <v>371</v>
      </c>
      <c r="K1002">
        <v>0</v>
      </c>
      <c r="L1002" t="s">
        <v>166</v>
      </c>
      <c r="N1002" t="s">
        <v>211</v>
      </c>
      <c r="O1002" t="s">
        <v>371</v>
      </c>
      <c r="P1002">
        <v>1.0114858259423746E-4</v>
      </c>
      <c r="Q1002" t="s">
        <v>166</v>
      </c>
      <c r="S1002" t="s">
        <v>228</v>
      </c>
      <c r="T1002" t="s">
        <v>371</v>
      </c>
      <c r="U1002">
        <v>1.2870966968499376E-5</v>
      </c>
      <c r="V1002" t="s">
        <v>166</v>
      </c>
    </row>
    <row r="1003" spans="9:22" x14ac:dyDescent="0.45">
      <c r="I1003" t="s">
        <v>187</v>
      </c>
      <c r="J1003" t="s">
        <v>372</v>
      </c>
      <c r="K1003">
        <v>0</v>
      </c>
      <c r="L1003" t="s">
        <v>166</v>
      </c>
      <c r="N1003" t="s">
        <v>211</v>
      </c>
      <c r="O1003" t="s">
        <v>372</v>
      </c>
      <c r="P1003">
        <v>9.8297415445983588E-5</v>
      </c>
      <c r="Q1003" t="s">
        <v>166</v>
      </c>
      <c r="S1003" t="s">
        <v>228</v>
      </c>
      <c r="T1003" t="s">
        <v>372</v>
      </c>
      <c r="U1003">
        <v>1.0406497598495052E-5</v>
      </c>
      <c r="V1003" t="s">
        <v>166</v>
      </c>
    </row>
    <row r="1004" spans="9:22" x14ac:dyDescent="0.45">
      <c r="I1004" t="s">
        <v>187</v>
      </c>
      <c r="J1004" t="s">
        <v>373</v>
      </c>
      <c r="K1004">
        <v>0</v>
      </c>
      <c r="L1004" t="s">
        <v>166</v>
      </c>
      <c r="N1004" t="s">
        <v>211</v>
      </c>
      <c r="O1004" t="s">
        <v>373</v>
      </c>
      <c r="P1004">
        <v>8.6202941786212885E-5</v>
      </c>
      <c r="Q1004" t="s">
        <v>166</v>
      </c>
      <c r="S1004" t="s">
        <v>228</v>
      </c>
      <c r="T1004" t="s">
        <v>373</v>
      </c>
      <c r="U1004">
        <v>8.651092185725371E-6</v>
      </c>
      <c r="V1004" t="s">
        <v>166</v>
      </c>
    </row>
    <row r="1005" spans="9:22" x14ac:dyDescent="0.45">
      <c r="I1005" t="s">
        <v>187</v>
      </c>
      <c r="J1005" t="s">
        <v>374</v>
      </c>
      <c r="K1005">
        <v>0</v>
      </c>
      <c r="L1005" t="s">
        <v>166</v>
      </c>
      <c r="N1005" t="s">
        <v>211</v>
      </c>
      <c r="O1005" t="s">
        <v>374</v>
      </c>
      <c r="P1005">
        <v>7.1278042985350011E-5</v>
      </c>
      <c r="Q1005" t="s">
        <v>166</v>
      </c>
      <c r="S1005" t="s">
        <v>228</v>
      </c>
      <c r="T1005" t="s">
        <v>374</v>
      </c>
      <c r="U1005">
        <v>7.1574333188687079E-6</v>
      </c>
      <c r="V1005" t="s">
        <v>166</v>
      </c>
    </row>
    <row r="1006" spans="9:22" x14ac:dyDescent="0.45">
      <c r="I1006" t="s">
        <v>187</v>
      </c>
      <c r="J1006" t="s">
        <v>375</v>
      </c>
      <c r="K1006">
        <v>0</v>
      </c>
      <c r="L1006" t="s">
        <v>166</v>
      </c>
      <c r="N1006" t="s">
        <v>211</v>
      </c>
      <c r="O1006" t="s">
        <v>375</v>
      </c>
      <c r="P1006">
        <v>4.672197031335543E-5</v>
      </c>
      <c r="Q1006" t="s">
        <v>166</v>
      </c>
      <c r="S1006" t="s">
        <v>228</v>
      </c>
      <c r="T1006" t="s">
        <v>375</v>
      </c>
      <c r="U1006">
        <v>3.1911028476878556E-6</v>
      </c>
      <c r="V1006" t="s">
        <v>166</v>
      </c>
    </row>
    <row r="1007" spans="9:22" x14ac:dyDescent="0.45">
      <c r="I1007" t="s">
        <v>187</v>
      </c>
      <c r="J1007" t="s">
        <v>376</v>
      </c>
      <c r="K1007">
        <v>0</v>
      </c>
      <c r="L1007" t="s">
        <v>166</v>
      </c>
      <c r="N1007" t="s">
        <v>211</v>
      </c>
      <c r="O1007" t="s">
        <v>376</v>
      </c>
      <c r="P1007">
        <v>4.4994977649944673E-5</v>
      </c>
      <c r="Q1007" t="s">
        <v>166</v>
      </c>
      <c r="S1007" t="s">
        <v>228</v>
      </c>
      <c r="T1007" t="s">
        <v>376</v>
      </c>
      <c r="U1007">
        <v>5.9871296663317816E-6</v>
      </c>
      <c r="V1007" t="s">
        <v>166</v>
      </c>
    </row>
    <row r="1008" spans="9:22" x14ac:dyDescent="0.45">
      <c r="I1008" t="s">
        <v>187</v>
      </c>
      <c r="J1008" t="s">
        <v>377</v>
      </c>
      <c r="K1008">
        <v>6.7411427739156237E-5</v>
      </c>
      <c r="L1008" t="s">
        <v>166</v>
      </c>
      <c r="N1008" t="s">
        <v>211</v>
      </c>
      <c r="O1008" t="s">
        <v>377</v>
      </c>
      <c r="P1008">
        <v>3.9600805826036622E-5</v>
      </c>
      <c r="Q1008" t="s">
        <v>166</v>
      </c>
      <c r="S1008" t="s">
        <v>228</v>
      </c>
      <c r="T1008" t="s">
        <v>377</v>
      </c>
      <c r="U1008">
        <v>9.9048838160430619E-6</v>
      </c>
      <c r="V1008" t="s">
        <v>166</v>
      </c>
    </row>
    <row r="1009" spans="9:22" x14ac:dyDescent="0.45">
      <c r="I1009" t="s">
        <v>187</v>
      </c>
      <c r="J1009" t="s">
        <v>378</v>
      </c>
      <c r="K1009">
        <v>1.2842659292616965E-4</v>
      </c>
      <c r="L1009" t="s">
        <v>166</v>
      </c>
      <c r="N1009" t="s">
        <v>211</v>
      </c>
      <c r="O1009" t="s">
        <v>378</v>
      </c>
      <c r="P1009">
        <v>2.4990334965205793E-5</v>
      </c>
      <c r="Q1009" t="s">
        <v>166</v>
      </c>
      <c r="S1009" t="s">
        <v>228</v>
      </c>
      <c r="T1009" t="s">
        <v>378</v>
      </c>
      <c r="U1009">
        <v>1.3839094337406572E-5</v>
      </c>
      <c r="V1009" t="s">
        <v>166</v>
      </c>
    </row>
    <row r="1010" spans="9:22" x14ac:dyDescent="0.45">
      <c r="I1010" t="s">
        <v>187</v>
      </c>
      <c r="J1010" t="s">
        <v>379</v>
      </c>
      <c r="K1010">
        <v>2.1189710406753807E-4</v>
      </c>
      <c r="L1010" t="s">
        <v>166</v>
      </c>
      <c r="N1010" t="s">
        <v>211</v>
      </c>
      <c r="O1010" t="s">
        <v>379</v>
      </c>
      <c r="P1010">
        <v>3.013645584966238E-5</v>
      </c>
      <c r="Q1010" t="s">
        <v>166</v>
      </c>
      <c r="S1010" t="s">
        <v>228</v>
      </c>
      <c r="T1010" t="s">
        <v>379</v>
      </c>
      <c r="U1010">
        <v>1.481238245517849E-5</v>
      </c>
      <c r="V1010" t="s">
        <v>166</v>
      </c>
    </row>
    <row r="1011" spans="9:22" x14ac:dyDescent="0.45">
      <c r="I1011" t="s">
        <v>187</v>
      </c>
      <c r="J1011" t="s">
        <v>380</v>
      </c>
      <c r="K1011">
        <v>2.7126368074262763E-4</v>
      </c>
      <c r="L1011" t="s">
        <v>166</v>
      </c>
      <c r="N1011" t="s">
        <v>211</v>
      </c>
      <c r="O1011" t="s">
        <v>380</v>
      </c>
      <c r="P1011">
        <v>4.5194388696126895E-5</v>
      </c>
      <c r="Q1011" t="s">
        <v>166</v>
      </c>
      <c r="S1011" t="s">
        <v>228</v>
      </c>
      <c r="T1011" t="s">
        <v>380</v>
      </c>
      <c r="U1011">
        <v>1.0371079333093532E-5</v>
      </c>
      <c r="V1011" t="s">
        <v>166</v>
      </c>
    </row>
    <row r="1012" spans="9:22" x14ac:dyDescent="0.45">
      <c r="I1012" t="s">
        <v>187</v>
      </c>
      <c r="J1012" t="s">
        <v>381</v>
      </c>
      <c r="K1012">
        <v>3.0269578881024343E-4</v>
      </c>
      <c r="L1012" t="s">
        <v>166</v>
      </c>
      <c r="N1012" t="s">
        <v>211</v>
      </c>
      <c r="O1012" t="s">
        <v>381</v>
      </c>
      <c r="P1012">
        <v>5.9334457898377301E-5</v>
      </c>
      <c r="Q1012" t="s">
        <v>166</v>
      </c>
      <c r="S1012" t="s">
        <v>228</v>
      </c>
      <c r="T1012" t="s">
        <v>381</v>
      </c>
      <c r="U1012">
        <v>2.3130436407350815E-6</v>
      </c>
      <c r="V1012" t="s">
        <v>166</v>
      </c>
    </row>
    <row r="1013" spans="9:22" x14ac:dyDescent="0.45">
      <c r="I1013" t="s">
        <v>187</v>
      </c>
      <c r="J1013" t="s">
        <v>382</v>
      </c>
      <c r="K1013">
        <v>2.812776031865217E-4</v>
      </c>
      <c r="L1013" t="s">
        <v>166</v>
      </c>
      <c r="N1013" t="s">
        <v>211</v>
      </c>
      <c r="O1013" t="s">
        <v>382</v>
      </c>
      <c r="P1013">
        <v>7.4340036139069706E-5</v>
      </c>
      <c r="Q1013" t="s">
        <v>166</v>
      </c>
      <c r="S1013" t="s">
        <v>228</v>
      </c>
      <c r="T1013" t="s">
        <v>382</v>
      </c>
      <c r="U1013">
        <v>2.492015407266443E-9</v>
      </c>
      <c r="V1013" t="s">
        <v>166</v>
      </c>
    </row>
    <row r="1014" spans="9:22" x14ac:dyDescent="0.45">
      <c r="I1014" t="s">
        <v>187</v>
      </c>
      <c r="J1014" t="s">
        <v>383</v>
      </c>
      <c r="K1014">
        <v>2.9740708008139455E-4</v>
      </c>
      <c r="L1014" t="s">
        <v>166</v>
      </c>
      <c r="N1014" t="s">
        <v>211</v>
      </c>
      <c r="O1014" t="s">
        <v>383</v>
      </c>
      <c r="P1014">
        <v>9.749780199284993E-5</v>
      </c>
      <c r="Q1014" t="s">
        <v>166</v>
      </c>
      <c r="S1014" t="s">
        <v>228</v>
      </c>
      <c r="T1014" t="s">
        <v>383</v>
      </c>
      <c r="U1014">
        <v>1.214829785183628E-6</v>
      </c>
      <c r="V1014" t="s">
        <v>166</v>
      </c>
    </row>
    <row r="1015" spans="9:22" x14ac:dyDescent="0.45">
      <c r="I1015" t="s">
        <v>187</v>
      </c>
      <c r="J1015" t="s">
        <v>384</v>
      </c>
      <c r="K1015">
        <v>3.1133309518906096E-4</v>
      </c>
      <c r="L1015" t="s">
        <v>166</v>
      </c>
      <c r="N1015" t="s">
        <v>211</v>
      </c>
      <c r="O1015" t="s">
        <v>384</v>
      </c>
      <c r="P1015">
        <v>1.1379921040855389E-4</v>
      </c>
      <c r="Q1015" t="s">
        <v>166</v>
      </c>
      <c r="S1015" t="s">
        <v>228</v>
      </c>
      <c r="T1015" t="s">
        <v>384</v>
      </c>
      <c r="U1015">
        <v>3.6734730291602264E-6</v>
      </c>
      <c r="V1015" t="s">
        <v>166</v>
      </c>
    </row>
    <row r="1016" spans="9:22" x14ac:dyDescent="0.45">
      <c r="I1016" t="s">
        <v>187</v>
      </c>
      <c r="J1016" t="s">
        <v>385</v>
      </c>
      <c r="K1016">
        <v>2.7697555205518043E-4</v>
      </c>
      <c r="L1016" t="s">
        <v>166</v>
      </c>
      <c r="N1016" t="s">
        <v>211</v>
      </c>
      <c r="O1016" t="s">
        <v>385</v>
      </c>
      <c r="P1016">
        <v>1.2488614033157982E-4</v>
      </c>
      <c r="Q1016" t="s">
        <v>166</v>
      </c>
      <c r="S1016" t="s">
        <v>228</v>
      </c>
      <c r="T1016" t="s">
        <v>385</v>
      </c>
      <c r="U1016">
        <v>9.5028212774423002E-6</v>
      </c>
      <c r="V1016" t="s">
        <v>166</v>
      </c>
    </row>
    <row r="1017" spans="9:22" x14ac:dyDescent="0.45">
      <c r="I1017" t="s">
        <v>187</v>
      </c>
      <c r="J1017" t="s">
        <v>386</v>
      </c>
      <c r="K1017">
        <v>1.6288617010135143E-4</v>
      </c>
      <c r="L1017" t="s">
        <v>166</v>
      </c>
      <c r="N1017" t="s">
        <v>211</v>
      </c>
      <c r="O1017" t="s">
        <v>386</v>
      </c>
      <c r="P1017">
        <v>1.3825632845486244E-4</v>
      </c>
      <c r="Q1017" t="s">
        <v>166</v>
      </c>
      <c r="S1017" t="s">
        <v>228</v>
      </c>
      <c r="T1017" t="s">
        <v>386</v>
      </c>
      <c r="U1017">
        <v>1.7353359929818444E-5</v>
      </c>
      <c r="V1017" t="s">
        <v>166</v>
      </c>
    </row>
    <row r="1018" spans="9:22" x14ac:dyDescent="0.45">
      <c r="I1018" t="s">
        <v>187</v>
      </c>
      <c r="J1018" t="s">
        <v>387</v>
      </c>
      <c r="K1018">
        <v>6.7584763404140191E-5</v>
      </c>
      <c r="L1018" t="s">
        <v>166</v>
      </c>
      <c r="N1018" t="s">
        <v>211</v>
      </c>
      <c r="O1018" t="s">
        <v>387</v>
      </c>
      <c r="P1018">
        <v>1.1364061111024032E-4</v>
      </c>
      <c r="Q1018" t="s">
        <v>166</v>
      </c>
      <c r="S1018" t="s">
        <v>228</v>
      </c>
      <c r="T1018" t="s">
        <v>387</v>
      </c>
      <c r="U1018">
        <v>2.1338920966527762E-5</v>
      </c>
      <c r="V1018" t="s">
        <v>166</v>
      </c>
    </row>
    <row r="1019" spans="9:22" x14ac:dyDescent="0.45">
      <c r="I1019" t="s">
        <v>187</v>
      </c>
      <c r="J1019" t="s">
        <v>388</v>
      </c>
      <c r="K1019">
        <v>3.995020361195051E-5</v>
      </c>
      <c r="L1019" t="s">
        <v>166</v>
      </c>
      <c r="N1019" t="s">
        <v>211</v>
      </c>
      <c r="O1019" t="s">
        <v>388</v>
      </c>
      <c r="P1019">
        <v>1.6171513827058773E-4</v>
      </c>
      <c r="Q1019" t="s">
        <v>166</v>
      </c>
      <c r="S1019" t="s">
        <v>228</v>
      </c>
      <c r="T1019" t="s">
        <v>388</v>
      </c>
      <c r="U1019">
        <v>2.9572961875731324E-5</v>
      </c>
      <c r="V1019" t="s">
        <v>166</v>
      </c>
    </row>
    <row r="1020" spans="9:22" x14ac:dyDescent="0.45">
      <c r="I1020" t="s">
        <v>187</v>
      </c>
      <c r="J1020" t="s">
        <v>389</v>
      </c>
      <c r="K1020">
        <v>0</v>
      </c>
      <c r="L1020" t="s">
        <v>166</v>
      </c>
      <c r="N1020" t="s">
        <v>211</v>
      </c>
      <c r="O1020" t="s">
        <v>389</v>
      </c>
      <c r="P1020">
        <v>2.0418176355635186E-4</v>
      </c>
      <c r="Q1020" t="s">
        <v>166</v>
      </c>
      <c r="S1020" t="s">
        <v>228</v>
      </c>
      <c r="T1020" t="s">
        <v>389</v>
      </c>
      <c r="U1020">
        <v>4.3892153412442864E-5</v>
      </c>
      <c r="V1020" t="s">
        <v>166</v>
      </c>
    </row>
    <row r="1021" spans="9:22" x14ac:dyDescent="0.45">
      <c r="I1021" t="s">
        <v>187</v>
      </c>
      <c r="J1021" t="s">
        <v>390</v>
      </c>
      <c r="K1021">
        <v>0</v>
      </c>
      <c r="L1021" t="s">
        <v>166</v>
      </c>
      <c r="N1021" t="s">
        <v>211</v>
      </c>
      <c r="O1021" t="s">
        <v>390</v>
      </c>
      <c r="P1021">
        <v>2.1541752202486176E-4</v>
      </c>
      <c r="Q1021" t="s">
        <v>166</v>
      </c>
      <c r="S1021" t="s">
        <v>228</v>
      </c>
      <c r="T1021" t="s">
        <v>390</v>
      </c>
      <c r="U1021">
        <v>6.0640337524509314E-5</v>
      </c>
      <c r="V1021" t="s">
        <v>166</v>
      </c>
    </row>
    <row r="1022" spans="9:22" x14ac:dyDescent="0.45">
      <c r="I1022" t="s">
        <v>187</v>
      </c>
      <c r="J1022" t="s">
        <v>391</v>
      </c>
      <c r="K1022">
        <v>0</v>
      </c>
      <c r="L1022" t="s">
        <v>166</v>
      </c>
      <c r="N1022" t="s">
        <v>211</v>
      </c>
      <c r="O1022" t="s">
        <v>391</v>
      </c>
      <c r="P1022">
        <v>2.0999164664404772E-4</v>
      </c>
      <c r="Q1022" t="s">
        <v>166</v>
      </c>
      <c r="S1022" t="s">
        <v>228</v>
      </c>
      <c r="T1022" t="s">
        <v>391</v>
      </c>
      <c r="U1022">
        <v>7.5390950378953684E-5</v>
      </c>
      <c r="V1022" t="s">
        <v>166</v>
      </c>
    </row>
    <row r="1023" spans="9:22" x14ac:dyDescent="0.45">
      <c r="I1023" t="s">
        <v>187</v>
      </c>
      <c r="J1023" t="s">
        <v>392</v>
      </c>
      <c r="K1023">
        <v>0</v>
      </c>
      <c r="L1023" t="s">
        <v>166</v>
      </c>
      <c r="N1023" t="s">
        <v>211</v>
      </c>
      <c r="O1023" t="s">
        <v>392</v>
      </c>
      <c r="P1023">
        <v>1.8966113575407144E-4</v>
      </c>
      <c r="Q1023" t="s">
        <v>166</v>
      </c>
      <c r="S1023" t="s">
        <v>228</v>
      </c>
      <c r="T1023" t="s">
        <v>392</v>
      </c>
      <c r="U1023">
        <v>8.8036072826983466E-5</v>
      </c>
      <c r="V1023" t="s">
        <v>166</v>
      </c>
    </row>
    <row r="1024" spans="9:22" x14ac:dyDescent="0.45">
      <c r="I1024" t="s">
        <v>187</v>
      </c>
      <c r="J1024" t="s">
        <v>393</v>
      </c>
      <c r="K1024">
        <v>0</v>
      </c>
      <c r="L1024" t="s">
        <v>166</v>
      </c>
      <c r="N1024" t="s">
        <v>211</v>
      </c>
      <c r="O1024" t="s">
        <v>393</v>
      </c>
      <c r="P1024">
        <v>1.8311966501810003E-4</v>
      </c>
      <c r="Q1024" t="s">
        <v>166</v>
      </c>
      <c r="S1024" t="s">
        <v>228</v>
      </c>
      <c r="T1024" t="s">
        <v>393</v>
      </c>
      <c r="U1024">
        <v>1.0258164666154214E-4</v>
      </c>
      <c r="V1024" t="s">
        <v>166</v>
      </c>
    </row>
    <row r="1025" spans="9:22" x14ac:dyDescent="0.45">
      <c r="I1025" t="s">
        <v>187</v>
      </c>
      <c r="J1025" t="s">
        <v>169</v>
      </c>
      <c r="K1025">
        <v>5.9494575308081648E-3</v>
      </c>
      <c r="L1025" t="s">
        <v>166</v>
      </c>
      <c r="N1025" t="s">
        <v>211</v>
      </c>
      <c r="O1025" t="s">
        <v>169</v>
      </c>
      <c r="P1025">
        <v>4.9826636156527545E-3</v>
      </c>
      <c r="Q1025" t="s">
        <v>166</v>
      </c>
      <c r="S1025" t="s">
        <v>228</v>
      </c>
      <c r="T1025" t="s">
        <v>169</v>
      </c>
      <c r="U1025">
        <v>2.2335245172190141E-2</v>
      </c>
      <c r="V1025" t="s">
        <v>166</v>
      </c>
    </row>
    <row r="1026" spans="9:22" x14ac:dyDescent="0.45">
      <c r="I1026" t="s">
        <v>187</v>
      </c>
      <c r="J1026" t="s">
        <v>170</v>
      </c>
      <c r="K1026">
        <v>6.6138401308891469E-3</v>
      </c>
      <c r="L1026" t="s">
        <v>166</v>
      </c>
      <c r="N1026" t="s">
        <v>211</v>
      </c>
      <c r="O1026" t="s">
        <v>170</v>
      </c>
      <c r="P1026">
        <v>6.580761817482465E-4</v>
      </c>
      <c r="Q1026" t="s">
        <v>166</v>
      </c>
      <c r="S1026" t="s">
        <v>228</v>
      </c>
      <c r="T1026" t="s">
        <v>170</v>
      </c>
      <c r="U1026">
        <v>2.7641077555592445E-3</v>
      </c>
      <c r="V1026" t="s">
        <v>166</v>
      </c>
    </row>
    <row r="1027" spans="9:22" x14ac:dyDescent="0.45">
      <c r="I1027" t="s">
        <v>187</v>
      </c>
      <c r="J1027" t="s">
        <v>171</v>
      </c>
      <c r="K1027">
        <v>7.0889032384489181E-2</v>
      </c>
      <c r="L1027" t="s">
        <v>166</v>
      </c>
      <c r="N1027" t="s">
        <v>211</v>
      </c>
      <c r="O1027" t="s">
        <v>171</v>
      </c>
      <c r="P1027">
        <v>7.3766098005043426E-3</v>
      </c>
      <c r="Q1027" t="s">
        <v>166</v>
      </c>
      <c r="S1027" t="s">
        <v>228</v>
      </c>
      <c r="T1027" t="s">
        <v>171</v>
      </c>
      <c r="U1027">
        <v>1.9426688729467512E-2</v>
      </c>
      <c r="V1027" t="s">
        <v>166</v>
      </c>
    </row>
    <row r="1028" spans="9:22" x14ac:dyDescent="0.45">
      <c r="I1028" t="s">
        <v>187</v>
      </c>
      <c r="J1028" t="s">
        <v>261</v>
      </c>
      <c r="K1028">
        <v>8.1856303518106164E-3</v>
      </c>
      <c r="L1028" t="s">
        <v>166</v>
      </c>
      <c r="N1028" t="s">
        <v>211</v>
      </c>
      <c r="O1028" t="s">
        <v>261</v>
      </c>
      <c r="P1028">
        <v>1.0727898406883863E-3</v>
      </c>
      <c r="Q1028" t="s">
        <v>166</v>
      </c>
      <c r="S1028" t="s">
        <v>228</v>
      </c>
      <c r="T1028" t="s">
        <v>261</v>
      </c>
      <c r="U1028">
        <v>2.5125285274991585E-3</v>
      </c>
      <c r="V1028" t="s">
        <v>166</v>
      </c>
    </row>
    <row r="1029" spans="9:22" x14ac:dyDescent="0.45">
      <c r="I1029" t="s">
        <v>187</v>
      </c>
      <c r="J1029" t="s">
        <v>262</v>
      </c>
      <c r="K1029">
        <v>9.9258578125418044E-3</v>
      </c>
      <c r="L1029" t="s">
        <v>166</v>
      </c>
      <c r="N1029" t="s">
        <v>211</v>
      </c>
      <c r="O1029" t="s">
        <v>262</v>
      </c>
      <c r="P1029">
        <v>1.6580805663029077E-3</v>
      </c>
      <c r="Q1029" t="s">
        <v>166</v>
      </c>
      <c r="S1029" t="s">
        <v>228</v>
      </c>
      <c r="T1029" t="s">
        <v>262</v>
      </c>
      <c r="U1029">
        <v>3.869365022535722E-3</v>
      </c>
      <c r="V1029" t="s">
        <v>166</v>
      </c>
    </row>
    <row r="1030" spans="9:22" x14ac:dyDescent="0.45">
      <c r="I1030" t="s">
        <v>187</v>
      </c>
      <c r="J1030" t="s">
        <v>263</v>
      </c>
      <c r="K1030">
        <v>0</v>
      </c>
      <c r="L1030" t="s">
        <v>166</v>
      </c>
      <c r="N1030" t="s">
        <v>211</v>
      </c>
      <c r="O1030" t="s">
        <v>263</v>
      </c>
      <c r="P1030">
        <v>3.8064629651307844E-3</v>
      </c>
      <c r="Q1030" t="s">
        <v>166</v>
      </c>
      <c r="S1030" t="s">
        <v>228</v>
      </c>
      <c r="T1030" t="s">
        <v>263</v>
      </c>
      <c r="U1030">
        <v>1.2239454429394057E-2</v>
      </c>
      <c r="V1030" t="s">
        <v>166</v>
      </c>
    </row>
    <row r="1031" spans="9:22" x14ac:dyDescent="0.45">
      <c r="I1031" t="s">
        <v>187</v>
      </c>
      <c r="J1031" t="s">
        <v>172</v>
      </c>
      <c r="K1031">
        <v>5.250431499060188E-3</v>
      </c>
      <c r="L1031" t="s">
        <v>166</v>
      </c>
      <c r="N1031" t="s">
        <v>211</v>
      </c>
      <c r="O1031" t="s">
        <v>172</v>
      </c>
      <c r="P1031">
        <v>1.3113854225723486E-2</v>
      </c>
      <c r="Q1031" t="s">
        <v>166</v>
      </c>
      <c r="S1031" t="s">
        <v>228</v>
      </c>
      <c r="T1031" t="s">
        <v>172</v>
      </c>
      <c r="U1031">
        <v>1.8920514999876962E-2</v>
      </c>
      <c r="V1031" t="s">
        <v>166</v>
      </c>
    </row>
    <row r="1032" spans="9:22" x14ac:dyDescent="0.45">
      <c r="I1032" t="s">
        <v>187</v>
      </c>
      <c r="J1032" t="s">
        <v>173</v>
      </c>
      <c r="K1032">
        <v>5.5954526471668738E-3</v>
      </c>
      <c r="L1032" t="s">
        <v>166</v>
      </c>
      <c r="N1032" t="s">
        <v>211</v>
      </c>
      <c r="O1032" t="s">
        <v>173</v>
      </c>
      <c r="P1032">
        <v>1.9016830777773327E-3</v>
      </c>
      <c r="Q1032" t="s">
        <v>166</v>
      </c>
      <c r="S1032" t="s">
        <v>228</v>
      </c>
      <c r="T1032" t="s">
        <v>173</v>
      </c>
      <c r="U1032">
        <v>2.2334625748397633E-3</v>
      </c>
      <c r="V1032" t="s">
        <v>166</v>
      </c>
    </row>
    <row r="1033" spans="9:22" x14ac:dyDescent="0.45">
      <c r="I1033" t="s">
        <v>187</v>
      </c>
      <c r="J1033" t="s">
        <v>174</v>
      </c>
      <c r="K1033">
        <v>6.7366666234905032E-2</v>
      </c>
      <c r="L1033" t="s">
        <v>166</v>
      </c>
      <c r="N1033" t="s">
        <v>211</v>
      </c>
      <c r="O1033" t="s">
        <v>174</v>
      </c>
      <c r="P1033">
        <v>1.6047676378657706E-2</v>
      </c>
      <c r="Q1033" t="s">
        <v>166</v>
      </c>
      <c r="S1033" t="s">
        <v>228</v>
      </c>
      <c r="T1033" t="s">
        <v>174</v>
      </c>
      <c r="U1033">
        <v>1.5269955556101391E-2</v>
      </c>
      <c r="V1033" t="s">
        <v>166</v>
      </c>
    </row>
    <row r="1034" spans="9:22" x14ac:dyDescent="0.45">
      <c r="I1034" t="s">
        <v>187</v>
      </c>
      <c r="J1034" t="s">
        <v>264</v>
      </c>
      <c r="K1034">
        <v>8.0286199006626945E-3</v>
      </c>
      <c r="L1034" t="s">
        <v>166</v>
      </c>
      <c r="N1034" t="s">
        <v>211</v>
      </c>
      <c r="O1034" t="s">
        <v>264</v>
      </c>
      <c r="P1034">
        <v>1.8487236190736929E-3</v>
      </c>
      <c r="Q1034" t="s">
        <v>166</v>
      </c>
      <c r="S1034" t="s">
        <v>228</v>
      </c>
      <c r="T1034" t="s">
        <v>264</v>
      </c>
      <c r="U1034">
        <v>1.8159044710998706E-3</v>
      </c>
      <c r="V1034" t="s">
        <v>166</v>
      </c>
    </row>
    <row r="1035" spans="9:22" x14ac:dyDescent="0.45">
      <c r="I1035" t="s">
        <v>187</v>
      </c>
      <c r="J1035" t="s">
        <v>265</v>
      </c>
      <c r="K1035">
        <v>1.0145626869459074E-2</v>
      </c>
      <c r="L1035" t="s">
        <v>166</v>
      </c>
      <c r="N1035" t="s">
        <v>211</v>
      </c>
      <c r="O1035" t="s">
        <v>265</v>
      </c>
      <c r="P1035">
        <v>2.8315617346135295E-3</v>
      </c>
      <c r="Q1035" t="s">
        <v>166</v>
      </c>
      <c r="S1035" t="s">
        <v>228</v>
      </c>
      <c r="T1035" t="s">
        <v>265</v>
      </c>
      <c r="U1035">
        <v>2.9738576716670569E-3</v>
      </c>
      <c r="V1035" t="s">
        <v>166</v>
      </c>
    </row>
    <row r="1036" spans="9:22" x14ac:dyDescent="0.45">
      <c r="I1036" t="s">
        <v>187</v>
      </c>
      <c r="J1036" t="s">
        <v>266</v>
      </c>
      <c r="K1036">
        <v>0</v>
      </c>
      <c r="L1036" t="s">
        <v>166</v>
      </c>
      <c r="N1036" t="s">
        <v>211</v>
      </c>
      <c r="O1036" t="s">
        <v>266</v>
      </c>
      <c r="P1036">
        <v>6.7734884858153925E-3</v>
      </c>
      <c r="Q1036" t="s">
        <v>166</v>
      </c>
      <c r="S1036" t="s">
        <v>228</v>
      </c>
      <c r="T1036" t="s">
        <v>266</v>
      </c>
      <c r="U1036">
        <v>9.1700959531641826E-3</v>
      </c>
      <c r="V1036" t="s">
        <v>166</v>
      </c>
    </row>
    <row r="1037" spans="9:22" x14ac:dyDescent="0.45">
      <c r="I1037" t="s">
        <v>187</v>
      </c>
      <c r="J1037" t="s">
        <v>175</v>
      </c>
      <c r="K1037">
        <v>3.9876211053110041E-3</v>
      </c>
      <c r="L1037" t="s">
        <v>166</v>
      </c>
      <c r="N1037" t="s">
        <v>211</v>
      </c>
      <c r="O1037" t="s">
        <v>175</v>
      </c>
      <c r="P1037">
        <v>1.2648002623560358E-2</v>
      </c>
      <c r="Q1037" t="s">
        <v>166</v>
      </c>
      <c r="S1037" t="s">
        <v>228</v>
      </c>
      <c r="T1037" t="s">
        <v>175</v>
      </c>
      <c r="U1037">
        <v>2.0041692563369771E-2</v>
      </c>
      <c r="V1037" t="s">
        <v>166</v>
      </c>
    </row>
    <row r="1038" spans="9:22" x14ac:dyDescent="0.45">
      <c r="I1038" t="s">
        <v>187</v>
      </c>
      <c r="J1038" t="s">
        <v>176</v>
      </c>
      <c r="K1038">
        <v>4.5213270187877026E-3</v>
      </c>
      <c r="L1038" t="s">
        <v>166</v>
      </c>
      <c r="N1038" t="s">
        <v>211</v>
      </c>
      <c r="O1038" t="s">
        <v>176</v>
      </c>
      <c r="P1038">
        <v>1.5719975145937635E-3</v>
      </c>
      <c r="Q1038" t="s">
        <v>166</v>
      </c>
      <c r="S1038" t="s">
        <v>228</v>
      </c>
      <c r="T1038" t="s">
        <v>176</v>
      </c>
      <c r="U1038">
        <v>2.4150979584918438E-3</v>
      </c>
      <c r="V1038" t="s">
        <v>166</v>
      </c>
    </row>
    <row r="1039" spans="9:22" x14ac:dyDescent="0.45">
      <c r="I1039" t="s">
        <v>187</v>
      </c>
      <c r="J1039" t="s">
        <v>177</v>
      </c>
      <c r="K1039">
        <v>6.1211309080552744E-2</v>
      </c>
      <c r="L1039" t="s">
        <v>166</v>
      </c>
      <c r="N1039" t="s">
        <v>211</v>
      </c>
      <c r="O1039" t="s">
        <v>177</v>
      </c>
      <c r="P1039">
        <v>1.4361272386640362E-2</v>
      </c>
      <c r="Q1039" t="s">
        <v>166</v>
      </c>
      <c r="S1039" t="s">
        <v>228</v>
      </c>
      <c r="T1039" t="s">
        <v>177</v>
      </c>
      <c r="U1039">
        <v>1.5466290122449326E-2</v>
      </c>
      <c r="V1039" t="s">
        <v>166</v>
      </c>
    </row>
    <row r="1040" spans="9:22" x14ac:dyDescent="0.45">
      <c r="I1040" t="s">
        <v>187</v>
      </c>
      <c r="J1040" t="s">
        <v>267</v>
      </c>
      <c r="K1040">
        <v>7.2413078893124039E-3</v>
      </c>
      <c r="L1040" t="s">
        <v>166</v>
      </c>
      <c r="N1040" t="s">
        <v>211</v>
      </c>
      <c r="O1040" t="s">
        <v>267</v>
      </c>
      <c r="P1040">
        <v>1.4453839442637524E-3</v>
      </c>
      <c r="Q1040" t="s">
        <v>166</v>
      </c>
      <c r="S1040" t="s">
        <v>228</v>
      </c>
      <c r="T1040" t="s">
        <v>267</v>
      </c>
      <c r="U1040">
        <v>1.8782594119718307E-3</v>
      </c>
      <c r="V1040" t="s">
        <v>166</v>
      </c>
    </row>
    <row r="1041" spans="9:22" x14ac:dyDescent="0.45">
      <c r="I1041" t="s">
        <v>187</v>
      </c>
      <c r="J1041" t="s">
        <v>268</v>
      </c>
      <c r="K1041">
        <v>8.834684381275909E-3</v>
      </c>
      <c r="L1041" t="s">
        <v>166</v>
      </c>
      <c r="N1041" t="s">
        <v>211</v>
      </c>
      <c r="O1041" t="s">
        <v>268</v>
      </c>
      <c r="P1041">
        <v>2.5721251718736761E-3</v>
      </c>
      <c r="Q1041" t="s">
        <v>166</v>
      </c>
      <c r="S1041" t="s">
        <v>228</v>
      </c>
      <c r="T1041" t="s">
        <v>268</v>
      </c>
      <c r="U1041">
        <v>2.7986760943495732E-3</v>
      </c>
      <c r="V1041" t="s">
        <v>166</v>
      </c>
    </row>
    <row r="1042" spans="9:22" x14ac:dyDescent="0.45">
      <c r="I1042" t="s">
        <v>187</v>
      </c>
      <c r="J1042" t="s">
        <v>269</v>
      </c>
      <c r="K1042">
        <v>0</v>
      </c>
      <c r="L1042" t="s">
        <v>166</v>
      </c>
      <c r="N1042" t="s">
        <v>211</v>
      </c>
      <c r="O1042" t="s">
        <v>269</v>
      </c>
      <c r="P1042">
        <v>7.2690982494852379E-3</v>
      </c>
      <c r="Q1042" t="s">
        <v>166</v>
      </c>
      <c r="S1042" t="s">
        <v>228</v>
      </c>
      <c r="T1042" t="s">
        <v>269</v>
      </c>
      <c r="U1042">
        <v>1.0575663749092697E-2</v>
      </c>
      <c r="V1042" t="s">
        <v>166</v>
      </c>
    </row>
    <row r="1043" spans="9:22" x14ac:dyDescent="0.45">
      <c r="I1043" t="s">
        <v>187</v>
      </c>
      <c r="J1043" t="s">
        <v>270</v>
      </c>
      <c r="K1043">
        <v>2.4018775644899992E-3</v>
      </c>
      <c r="L1043" t="s">
        <v>166</v>
      </c>
      <c r="N1043" t="s">
        <v>211</v>
      </c>
      <c r="O1043" t="s">
        <v>270</v>
      </c>
      <c r="P1043">
        <v>3.0124740739685983E-2</v>
      </c>
      <c r="Q1043" t="s">
        <v>166</v>
      </c>
      <c r="S1043" t="s">
        <v>228</v>
      </c>
      <c r="T1043" t="s">
        <v>270</v>
      </c>
      <c r="U1043">
        <v>3.8588668742615101E-2</v>
      </c>
      <c r="V1043" t="s">
        <v>166</v>
      </c>
    </row>
    <row r="1044" spans="9:22" x14ac:dyDescent="0.45">
      <c r="I1044" t="s">
        <v>187</v>
      </c>
      <c r="J1044" t="s">
        <v>271</v>
      </c>
      <c r="K1044">
        <v>4.5019998755688627E-3</v>
      </c>
      <c r="L1044" t="s">
        <v>166</v>
      </c>
      <c r="N1044" t="s">
        <v>211</v>
      </c>
      <c r="O1044" t="s">
        <v>271</v>
      </c>
      <c r="P1044">
        <v>4.0371675093814324E-3</v>
      </c>
      <c r="Q1044" t="s">
        <v>166</v>
      </c>
      <c r="S1044" t="s">
        <v>228</v>
      </c>
      <c r="T1044" t="s">
        <v>271</v>
      </c>
      <c r="U1044">
        <v>4.6468478244827702E-3</v>
      </c>
      <c r="V1044" t="s">
        <v>166</v>
      </c>
    </row>
    <row r="1045" spans="9:22" x14ac:dyDescent="0.45">
      <c r="I1045" t="s">
        <v>187</v>
      </c>
      <c r="J1045" t="s">
        <v>272</v>
      </c>
      <c r="K1045">
        <v>6.1833294261703586E-2</v>
      </c>
      <c r="L1045" t="s">
        <v>166</v>
      </c>
      <c r="N1045" t="s">
        <v>211</v>
      </c>
      <c r="O1045" t="s">
        <v>272</v>
      </c>
      <c r="P1045">
        <v>3.4872341208045589E-2</v>
      </c>
      <c r="Q1045" t="s">
        <v>166</v>
      </c>
      <c r="S1045" t="s">
        <v>228</v>
      </c>
      <c r="T1045" t="s">
        <v>272</v>
      </c>
      <c r="U1045">
        <v>3.2322379736278918E-2</v>
      </c>
      <c r="V1045" t="s">
        <v>166</v>
      </c>
    </row>
    <row r="1046" spans="9:22" x14ac:dyDescent="0.45">
      <c r="I1046" t="s">
        <v>187</v>
      </c>
      <c r="J1046" t="s">
        <v>273</v>
      </c>
      <c r="K1046">
        <v>7.2039848010993102E-3</v>
      </c>
      <c r="L1046" t="s">
        <v>166</v>
      </c>
      <c r="N1046" t="s">
        <v>211</v>
      </c>
      <c r="O1046" t="s">
        <v>273</v>
      </c>
      <c r="P1046">
        <v>3.4615628019073756E-3</v>
      </c>
      <c r="Q1046" t="s">
        <v>166</v>
      </c>
      <c r="S1046" t="s">
        <v>228</v>
      </c>
      <c r="T1046" t="s">
        <v>273</v>
      </c>
      <c r="U1046">
        <v>4.1719983076957843E-3</v>
      </c>
      <c r="V1046" t="s">
        <v>166</v>
      </c>
    </row>
    <row r="1047" spans="9:22" x14ac:dyDescent="0.45">
      <c r="I1047" t="s">
        <v>187</v>
      </c>
      <c r="J1047" t="s">
        <v>274</v>
      </c>
      <c r="K1047">
        <v>8.0339469719905264E-3</v>
      </c>
      <c r="L1047" t="s">
        <v>166</v>
      </c>
      <c r="N1047" t="s">
        <v>211</v>
      </c>
      <c r="O1047" t="s">
        <v>274</v>
      </c>
      <c r="P1047">
        <v>6.1664121641698041E-3</v>
      </c>
      <c r="Q1047" t="s">
        <v>166</v>
      </c>
      <c r="S1047" t="s">
        <v>228</v>
      </c>
      <c r="T1047" t="s">
        <v>274</v>
      </c>
      <c r="U1047">
        <v>7.323131808367276E-3</v>
      </c>
      <c r="V1047" t="s">
        <v>166</v>
      </c>
    </row>
    <row r="1048" spans="9:22" x14ac:dyDescent="0.45">
      <c r="I1048" t="s">
        <v>187</v>
      </c>
      <c r="J1048" t="s">
        <v>275</v>
      </c>
      <c r="K1048">
        <v>0</v>
      </c>
      <c r="L1048" t="s">
        <v>166</v>
      </c>
      <c r="N1048" t="s">
        <v>211</v>
      </c>
      <c r="O1048" t="s">
        <v>275</v>
      </c>
      <c r="P1048">
        <v>1.653189717222054E-2</v>
      </c>
      <c r="Q1048" t="s">
        <v>166</v>
      </c>
      <c r="S1048" t="s">
        <v>228</v>
      </c>
      <c r="T1048" t="s">
        <v>275</v>
      </c>
      <c r="U1048">
        <v>2.104929428670263E-2</v>
      </c>
      <c r="V1048" t="s">
        <v>166</v>
      </c>
    </row>
    <row r="1049" spans="9:22" x14ac:dyDescent="0.45">
      <c r="I1049" t="s">
        <v>187</v>
      </c>
      <c r="J1049" t="s">
        <v>276</v>
      </c>
      <c r="K1049">
        <v>6.5808700781481953E-3</v>
      </c>
      <c r="L1049" t="s">
        <v>166</v>
      </c>
      <c r="N1049" t="s">
        <v>211</v>
      </c>
      <c r="O1049" t="s">
        <v>276</v>
      </c>
      <c r="P1049">
        <v>3.4847214333369347E-2</v>
      </c>
      <c r="Q1049" t="s">
        <v>166</v>
      </c>
      <c r="S1049" t="s">
        <v>228</v>
      </c>
      <c r="T1049" t="s">
        <v>276</v>
      </c>
      <c r="U1049">
        <v>4.5796745081395716E-2</v>
      </c>
      <c r="V1049" t="s">
        <v>166</v>
      </c>
    </row>
    <row r="1050" spans="9:22" x14ac:dyDescent="0.45">
      <c r="I1050" t="s">
        <v>187</v>
      </c>
      <c r="J1050" t="s">
        <v>277</v>
      </c>
      <c r="K1050">
        <v>1.169859824320362E-2</v>
      </c>
      <c r="L1050" t="s">
        <v>166</v>
      </c>
      <c r="N1050" t="s">
        <v>211</v>
      </c>
      <c r="O1050" t="s">
        <v>277</v>
      </c>
      <c r="P1050">
        <v>4.633610802072155E-3</v>
      </c>
      <c r="Q1050" t="s">
        <v>166</v>
      </c>
      <c r="S1050" t="s">
        <v>228</v>
      </c>
      <c r="T1050" t="s">
        <v>277</v>
      </c>
      <c r="U1050">
        <v>5.7855194015595307E-3</v>
      </c>
      <c r="V1050" t="s">
        <v>166</v>
      </c>
    </row>
    <row r="1051" spans="9:22" x14ac:dyDescent="0.45">
      <c r="I1051" t="s">
        <v>187</v>
      </c>
      <c r="J1051" t="s">
        <v>278</v>
      </c>
      <c r="K1051">
        <v>0.13148402579300691</v>
      </c>
      <c r="L1051" t="s">
        <v>166</v>
      </c>
      <c r="N1051" t="s">
        <v>211</v>
      </c>
      <c r="O1051" t="s">
        <v>278</v>
      </c>
      <c r="P1051">
        <v>4.3425825934956939E-2</v>
      </c>
      <c r="Q1051" t="s">
        <v>166</v>
      </c>
      <c r="S1051" t="s">
        <v>228</v>
      </c>
      <c r="T1051" t="s">
        <v>278</v>
      </c>
      <c r="U1051">
        <v>3.9593606287318284E-2</v>
      </c>
      <c r="V1051" t="s">
        <v>166</v>
      </c>
    </row>
    <row r="1052" spans="9:22" x14ac:dyDescent="0.45">
      <c r="I1052" t="s">
        <v>187</v>
      </c>
      <c r="J1052" t="s">
        <v>279</v>
      </c>
      <c r="K1052">
        <v>1.4511159456840825E-2</v>
      </c>
      <c r="L1052" t="s">
        <v>166</v>
      </c>
      <c r="N1052" t="s">
        <v>211</v>
      </c>
      <c r="O1052" t="s">
        <v>279</v>
      </c>
      <c r="P1052">
        <v>5.2716004262269795E-3</v>
      </c>
      <c r="Q1052" t="s">
        <v>166</v>
      </c>
      <c r="S1052" t="s">
        <v>228</v>
      </c>
      <c r="T1052" t="s">
        <v>279</v>
      </c>
      <c r="U1052">
        <v>5.4818126685189364E-3</v>
      </c>
      <c r="V1052" t="s">
        <v>166</v>
      </c>
    </row>
    <row r="1053" spans="9:22" x14ac:dyDescent="0.45">
      <c r="I1053" t="s">
        <v>187</v>
      </c>
      <c r="J1053" t="s">
        <v>280</v>
      </c>
      <c r="K1053">
        <v>1.1706703047383455E-2</v>
      </c>
      <c r="L1053" t="s">
        <v>166</v>
      </c>
      <c r="N1053" t="s">
        <v>211</v>
      </c>
      <c r="O1053" t="s">
        <v>280</v>
      </c>
      <c r="P1053">
        <v>9.6983080533672439E-3</v>
      </c>
      <c r="Q1053" t="s">
        <v>166</v>
      </c>
      <c r="S1053" t="s">
        <v>228</v>
      </c>
      <c r="T1053" t="s">
        <v>280</v>
      </c>
      <c r="U1053">
        <v>9.8216124049197127E-3</v>
      </c>
      <c r="V1053" t="s">
        <v>166</v>
      </c>
    </row>
    <row r="1054" spans="9:22" x14ac:dyDescent="0.45">
      <c r="I1054" t="s">
        <v>187</v>
      </c>
      <c r="J1054" t="s">
        <v>281</v>
      </c>
      <c r="K1054">
        <v>0</v>
      </c>
      <c r="L1054" t="s">
        <v>166</v>
      </c>
      <c r="N1054" t="s">
        <v>211</v>
      </c>
      <c r="O1054" t="s">
        <v>281</v>
      </c>
      <c r="P1054">
        <v>2.4556360887306897E-2</v>
      </c>
      <c r="Q1054" t="s">
        <v>166</v>
      </c>
      <c r="S1054" t="s">
        <v>228</v>
      </c>
      <c r="T1054" t="s">
        <v>281</v>
      </c>
      <c r="U1054">
        <v>2.6174705576899843E-2</v>
      </c>
      <c r="V1054" t="s">
        <v>166</v>
      </c>
    </row>
    <row r="1055" spans="9:22" x14ac:dyDescent="0.45">
      <c r="I1055" t="s">
        <v>187</v>
      </c>
      <c r="J1055" t="s">
        <v>282</v>
      </c>
      <c r="K1055">
        <v>1.9694822871220226E-3</v>
      </c>
      <c r="L1055" t="s">
        <v>166</v>
      </c>
      <c r="N1055" t="s">
        <v>211</v>
      </c>
      <c r="O1055" t="s">
        <v>282</v>
      </c>
      <c r="P1055">
        <v>3.1580070405903625E-2</v>
      </c>
      <c r="Q1055" t="s">
        <v>166</v>
      </c>
      <c r="S1055" t="s">
        <v>228</v>
      </c>
      <c r="T1055" t="s">
        <v>282</v>
      </c>
      <c r="U1055">
        <v>4.1629708060508926E-2</v>
      </c>
      <c r="V1055" t="s">
        <v>166</v>
      </c>
    </row>
    <row r="1056" spans="9:22" x14ac:dyDescent="0.45">
      <c r="I1056" t="s">
        <v>187</v>
      </c>
      <c r="J1056" t="s">
        <v>283</v>
      </c>
      <c r="K1056">
        <v>4.0883438409090242E-3</v>
      </c>
      <c r="L1056" t="s">
        <v>166</v>
      </c>
      <c r="N1056" t="s">
        <v>211</v>
      </c>
      <c r="O1056" t="s">
        <v>283</v>
      </c>
      <c r="P1056">
        <v>5.1979249400961828E-3</v>
      </c>
      <c r="Q1056" t="s">
        <v>166</v>
      </c>
      <c r="S1056" t="s">
        <v>228</v>
      </c>
      <c r="T1056" t="s">
        <v>283</v>
      </c>
      <c r="U1056">
        <v>5.8542775241366999E-3</v>
      </c>
      <c r="V1056" t="s">
        <v>166</v>
      </c>
    </row>
    <row r="1057" spans="9:22" x14ac:dyDescent="0.45">
      <c r="I1057" t="s">
        <v>187</v>
      </c>
      <c r="J1057" t="s">
        <v>284</v>
      </c>
      <c r="K1057">
        <v>5.3996866268985692E-2</v>
      </c>
      <c r="L1057" t="s">
        <v>166</v>
      </c>
      <c r="N1057" t="s">
        <v>211</v>
      </c>
      <c r="O1057" t="s">
        <v>284</v>
      </c>
      <c r="P1057">
        <v>4.71411087288107E-2</v>
      </c>
      <c r="Q1057" t="s">
        <v>166</v>
      </c>
      <c r="S1057" t="s">
        <v>228</v>
      </c>
      <c r="T1057" t="s">
        <v>284</v>
      </c>
      <c r="U1057">
        <v>4.098661215617469E-2</v>
      </c>
      <c r="V1057" t="s">
        <v>166</v>
      </c>
    </row>
    <row r="1058" spans="9:22" x14ac:dyDescent="0.45">
      <c r="I1058" t="s">
        <v>187</v>
      </c>
      <c r="J1058" t="s">
        <v>285</v>
      </c>
      <c r="K1058">
        <v>5.1245334079213648E-3</v>
      </c>
      <c r="L1058" t="s">
        <v>166</v>
      </c>
      <c r="N1058" t="s">
        <v>211</v>
      </c>
      <c r="O1058" t="s">
        <v>285</v>
      </c>
      <c r="P1058">
        <v>5.3416674842979052E-3</v>
      </c>
      <c r="Q1058" t="s">
        <v>166</v>
      </c>
      <c r="S1058" t="s">
        <v>228</v>
      </c>
      <c r="T1058" t="s">
        <v>285</v>
      </c>
      <c r="U1058">
        <v>5.7342789234896005E-3</v>
      </c>
      <c r="V1058" t="s">
        <v>166</v>
      </c>
    </row>
    <row r="1059" spans="9:22" x14ac:dyDescent="0.45">
      <c r="I1059" t="s">
        <v>187</v>
      </c>
      <c r="J1059" t="s">
        <v>286</v>
      </c>
      <c r="K1059">
        <v>2.7814708781885565E-3</v>
      </c>
      <c r="L1059" t="s">
        <v>166</v>
      </c>
      <c r="N1059" t="s">
        <v>211</v>
      </c>
      <c r="O1059" t="s">
        <v>286</v>
      </c>
      <c r="P1059">
        <v>9.4003097990114637E-3</v>
      </c>
      <c r="Q1059" t="s">
        <v>166</v>
      </c>
      <c r="S1059" t="s">
        <v>228</v>
      </c>
      <c r="T1059" t="s">
        <v>286</v>
      </c>
      <c r="U1059">
        <v>1.043779883155427E-2</v>
      </c>
      <c r="V1059" t="s">
        <v>166</v>
      </c>
    </row>
    <row r="1060" spans="9:22" x14ac:dyDescent="0.45">
      <c r="I1060" t="s">
        <v>187</v>
      </c>
      <c r="J1060" t="s">
        <v>287</v>
      </c>
      <c r="K1060">
        <v>0</v>
      </c>
      <c r="L1060" t="s">
        <v>166</v>
      </c>
      <c r="N1060" t="s">
        <v>211</v>
      </c>
      <c r="O1060" t="s">
        <v>287</v>
      </c>
      <c r="P1060">
        <v>2.4218077217320853E-2</v>
      </c>
      <c r="Q1060" t="s">
        <v>166</v>
      </c>
      <c r="S1060" t="s">
        <v>228</v>
      </c>
      <c r="T1060" t="s">
        <v>287</v>
      </c>
      <c r="U1060">
        <v>2.625890324374348E-2</v>
      </c>
      <c r="V1060" t="s">
        <v>166</v>
      </c>
    </row>
    <row r="1061" spans="9:22" x14ac:dyDescent="0.45">
      <c r="I1061" t="s">
        <v>187</v>
      </c>
      <c r="J1061" t="s">
        <v>288</v>
      </c>
      <c r="K1061">
        <v>1.9555743820002325E-3</v>
      </c>
      <c r="L1061" t="s">
        <v>166</v>
      </c>
      <c r="N1061" t="s">
        <v>211</v>
      </c>
      <c r="O1061" t="s">
        <v>288</v>
      </c>
      <c r="P1061">
        <v>4.4432872648918355E-2</v>
      </c>
      <c r="Q1061" t="s">
        <v>166</v>
      </c>
      <c r="S1061" t="s">
        <v>228</v>
      </c>
      <c r="T1061" t="s">
        <v>288</v>
      </c>
      <c r="U1061">
        <v>5.0442819675333234E-2</v>
      </c>
      <c r="V1061" t="s">
        <v>166</v>
      </c>
    </row>
    <row r="1062" spans="9:22" x14ac:dyDescent="0.45">
      <c r="I1062" t="s">
        <v>187</v>
      </c>
      <c r="J1062" t="s">
        <v>289</v>
      </c>
      <c r="K1062">
        <v>5.562779058300305E-3</v>
      </c>
      <c r="L1062" t="s">
        <v>166</v>
      </c>
      <c r="N1062" t="s">
        <v>211</v>
      </c>
      <c r="O1062" t="s">
        <v>289</v>
      </c>
      <c r="P1062">
        <v>6.314457687031357E-3</v>
      </c>
      <c r="Q1062" t="s">
        <v>166</v>
      </c>
      <c r="S1062" t="s">
        <v>228</v>
      </c>
      <c r="T1062" t="s">
        <v>289</v>
      </c>
      <c r="U1062">
        <v>6.4436177731442947E-3</v>
      </c>
      <c r="V1062" t="s">
        <v>166</v>
      </c>
    </row>
    <row r="1063" spans="9:22" x14ac:dyDescent="0.45">
      <c r="I1063" t="s">
        <v>187</v>
      </c>
      <c r="J1063" t="s">
        <v>290</v>
      </c>
      <c r="K1063">
        <v>6.6816355156357879E-2</v>
      </c>
      <c r="L1063" t="s">
        <v>166</v>
      </c>
      <c r="N1063" t="s">
        <v>211</v>
      </c>
      <c r="O1063" t="s">
        <v>290</v>
      </c>
      <c r="P1063">
        <v>5.1846486189576296E-2</v>
      </c>
      <c r="Q1063" t="s">
        <v>166</v>
      </c>
      <c r="S1063" t="s">
        <v>228</v>
      </c>
      <c r="T1063" t="s">
        <v>290</v>
      </c>
      <c r="U1063">
        <v>4.5262917316163769E-2</v>
      </c>
      <c r="V1063" t="s">
        <v>166</v>
      </c>
    </row>
    <row r="1064" spans="9:22" x14ac:dyDescent="0.45">
      <c r="I1064" t="s">
        <v>187</v>
      </c>
      <c r="J1064" t="s">
        <v>291</v>
      </c>
      <c r="K1064">
        <v>7.8354855212620696E-3</v>
      </c>
      <c r="L1064" t="s">
        <v>166</v>
      </c>
      <c r="N1064" t="s">
        <v>211</v>
      </c>
      <c r="O1064" t="s">
        <v>291</v>
      </c>
      <c r="P1064">
        <v>7.3165257071319996E-3</v>
      </c>
      <c r="Q1064" t="s">
        <v>166</v>
      </c>
      <c r="S1064" t="s">
        <v>228</v>
      </c>
      <c r="T1064" t="s">
        <v>291</v>
      </c>
      <c r="U1064">
        <v>6.4482920406599463E-3</v>
      </c>
      <c r="V1064" t="s">
        <v>166</v>
      </c>
    </row>
    <row r="1065" spans="9:22" x14ac:dyDescent="0.45">
      <c r="I1065" t="s">
        <v>187</v>
      </c>
      <c r="J1065" t="s">
        <v>292</v>
      </c>
      <c r="K1065">
        <v>4.5731706892976967E-3</v>
      </c>
      <c r="L1065" t="s">
        <v>166</v>
      </c>
      <c r="N1065" t="s">
        <v>211</v>
      </c>
      <c r="O1065" t="s">
        <v>292</v>
      </c>
      <c r="P1065">
        <v>1.2973862848335158E-2</v>
      </c>
      <c r="Q1065" t="s">
        <v>166</v>
      </c>
      <c r="S1065" t="s">
        <v>228</v>
      </c>
      <c r="T1065" t="s">
        <v>292</v>
      </c>
      <c r="U1065">
        <v>1.183166053192373E-2</v>
      </c>
      <c r="V1065" t="s">
        <v>166</v>
      </c>
    </row>
    <row r="1066" spans="9:22" x14ac:dyDescent="0.45">
      <c r="I1066" t="s">
        <v>187</v>
      </c>
      <c r="J1066" t="s">
        <v>293</v>
      </c>
      <c r="K1066">
        <v>0</v>
      </c>
      <c r="L1066" t="s">
        <v>166</v>
      </c>
      <c r="N1066" t="s">
        <v>211</v>
      </c>
      <c r="O1066" t="s">
        <v>293</v>
      </c>
      <c r="P1066">
        <v>3.422802522938901E-2</v>
      </c>
      <c r="Q1066" t="s">
        <v>166</v>
      </c>
      <c r="S1066" t="s">
        <v>228</v>
      </c>
      <c r="T1066" t="s">
        <v>293</v>
      </c>
      <c r="U1066">
        <v>3.0602231762325804E-2</v>
      </c>
      <c r="V1066" t="s">
        <v>166</v>
      </c>
    </row>
    <row r="1067" spans="9:22" x14ac:dyDescent="0.45">
      <c r="I1067" t="s">
        <v>188</v>
      </c>
      <c r="J1067" t="s">
        <v>165</v>
      </c>
      <c r="K1067">
        <v>4.3030849179871147E-3</v>
      </c>
      <c r="L1067" t="s">
        <v>166</v>
      </c>
      <c r="N1067" t="s">
        <v>212</v>
      </c>
      <c r="O1067" t="s">
        <v>165</v>
      </c>
      <c r="P1067">
        <v>6.670179397644467E-2</v>
      </c>
      <c r="Q1067" t="s">
        <v>166</v>
      </c>
      <c r="S1067" t="s">
        <v>229</v>
      </c>
      <c r="T1067" t="s">
        <v>165</v>
      </c>
      <c r="U1067">
        <v>9.7017286003094019E-2</v>
      </c>
      <c r="V1067" t="s">
        <v>166</v>
      </c>
    </row>
    <row r="1068" spans="9:22" x14ac:dyDescent="0.45">
      <c r="I1068" t="s">
        <v>188</v>
      </c>
      <c r="J1068" t="s">
        <v>167</v>
      </c>
      <c r="K1068">
        <v>1.1283262158927561E-2</v>
      </c>
      <c r="L1068" t="s">
        <v>166</v>
      </c>
      <c r="N1068" t="s">
        <v>212</v>
      </c>
      <c r="O1068" t="s">
        <v>167</v>
      </c>
      <c r="P1068">
        <v>8.9790358086841559E-3</v>
      </c>
      <c r="Q1068" t="s">
        <v>166</v>
      </c>
      <c r="S1068" t="s">
        <v>229</v>
      </c>
      <c r="T1068" t="s">
        <v>167</v>
      </c>
      <c r="U1068">
        <v>1.265750742102241E-2</v>
      </c>
      <c r="V1068" t="s">
        <v>166</v>
      </c>
    </row>
    <row r="1069" spans="9:22" x14ac:dyDescent="0.45">
      <c r="I1069" t="s">
        <v>188</v>
      </c>
      <c r="J1069" t="s">
        <v>168</v>
      </c>
      <c r="K1069">
        <v>0.19325957731988466</v>
      </c>
      <c r="L1069" t="s">
        <v>166</v>
      </c>
      <c r="N1069" t="s">
        <v>212</v>
      </c>
      <c r="O1069" t="s">
        <v>168</v>
      </c>
      <c r="P1069">
        <v>8.5332375902524932E-2</v>
      </c>
      <c r="Q1069" t="s">
        <v>166</v>
      </c>
      <c r="S1069" t="s">
        <v>229</v>
      </c>
      <c r="T1069" t="s">
        <v>168</v>
      </c>
      <c r="U1069">
        <v>8.479666805547055E-2</v>
      </c>
      <c r="V1069" t="s">
        <v>166</v>
      </c>
    </row>
    <row r="1070" spans="9:22" x14ac:dyDescent="0.45">
      <c r="I1070" t="s">
        <v>188</v>
      </c>
      <c r="J1070" t="s">
        <v>258</v>
      </c>
      <c r="K1070">
        <v>2.0789178971745526E-2</v>
      </c>
      <c r="L1070" t="s">
        <v>166</v>
      </c>
      <c r="N1070" t="s">
        <v>212</v>
      </c>
      <c r="O1070" t="s">
        <v>258</v>
      </c>
      <c r="P1070">
        <v>1.2375734440976255E-2</v>
      </c>
      <c r="Q1070" t="s">
        <v>166</v>
      </c>
      <c r="S1070" t="s">
        <v>229</v>
      </c>
      <c r="T1070" t="s">
        <v>258</v>
      </c>
      <c r="U1070">
        <v>1.2101558038526795E-2</v>
      </c>
      <c r="V1070" t="s">
        <v>166</v>
      </c>
    </row>
    <row r="1071" spans="9:22" x14ac:dyDescent="0.45">
      <c r="I1071" t="s">
        <v>188</v>
      </c>
      <c r="J1071" t="s">
        <v>259</v>
      </c>
      <c r="K1071">
        <v>2.1203006369740818E-2</v>
      </c>
      <c r="L1071" t="s">
        <v>166</v>
      </c>
      <c r="N1071" t="s">
        <v>212</v>
      </c>
      <c r="O1071" t="s">
        <v>259</v>
      </c>
      <c r="P1071">
        <v>1.9848171713388912E-2</v>
      </c>
      <c r="Q1071" t="s">
        <v>166</v>
      </c>
      <c r="S1071" t="s">
        <v>229</v>
      </c>
      <c r="T1071" t="s">
        <v>259</v>
      </c>
      <c r="U1071">
        <v>2.2417611949596822E-2</v>
      </c>
      <c r="V1071" t="s">
        <v>166</v>
      </c>
    </row>
    <row r="1072" spans="9:22" x14ac:dyDescent="0.45">
      <c r="I1072" t="s">
        <v>188</v>
      </c>
      <c r="J1072" t="s">
        <v>260</v>
      </c>
      <c r="K1072">
        <v>0</v>
      </c>
      <c r="L1072" t="s">
        <v>166</v>
      </c>
      <c r="N1072" t="s">
        <v>212</v>
      </c>
      <c r="O1072" t="s">
        <v>260</v>
      </c>
      <c r="P1072">
        <v>4.8784749903682131E-2</v>
      </c>
      <c r="Q1072" t="s">
        <v>166</v>
      </c>
      <c r="S1072" t="s">
        <v>229</v>
      </c>
      <c r="T1072" t="s">
        <v>260</v>
      </c>
      <c r="U1072">
        <v>6.225126770262638E-2</v>
      </c>
      <c r="V1072" t="s">
        <v>166</v>
      </c>
    </row>
    <row r="1073" spans="9:22" x14ac:dyDescent="0.45">
      <c r="I1073" t="s">
        <v>188</v>
      </c>
      <c r="J1073" t="s">
        <v>346</v>
      </c>
      <c r="K1073">
        <v>0</v>
      </c>
      <c r="L1073" t="s">
        <v>166</v>
      </c>
      <c r="N1073" t="s">
        <v>212</v>
      </c>
      <c r="O1073" t="s">
        <v>346</v>
      </c>
      <c r="P1073">
        <v>6.3122076317017806E-5</v>
      </c>
      <c r="Q1073" t="s">
        <v>166</v>
      </c>
      <c r="S1073" t="s">
        <v>229</v>
      </c>
      <c r="T1073" t="s">
        <v>346</v>
      </c>
      <c r="U1073">
        <v>1.4973517726662563E-4</v>
      </c>
      <c r="V1073" t="s">
        <v>166</v>
      </c>
    </row>
    <row r="1074" spans="9:22" x14ac:dyDescent="0.45">
      <c r="I1074" t="s">
        <v>188</v>
      </c>
      <c r="J1074" t="s">
        <v>347</v>
      </c>
      <c r="K1074">
        <v>0</v>
      </c>
      <c r="L1074" t="s">
        <v>166</v>
      </c>
      <c r="N1074" t="s">
        <v>212</v>
      </c>
      <c r="O1074" t="s">
        <v>347</v>
      </c>
      <c r="P1074">
        <v>6.2484944141846688E-5</v>
      </c>
      <c r="Q1074" t="s">
        <v>166</v>
      </c>
      <c r="S1074" t="s">
        <v>229</v>
      </c>
      <c r="T1074" t="s">
        <v>347</v>
      </c>
      <c r="U1074">
        <v>1.4702412064127154E-4</v>
      </c>
      <c r="V1074" t="s">
        <v>166</v>
      </c>
    </row>
    <row r="1075" spans="9:22" x14ac:dyDescent="0.45">
      <c r="I1075" t="s">
        <v>188</v>
      </c>
      <c r="J1075" t="s">
        <v>348</v>
      </c>
      <c r="K1075">
        <v>0</v>
      </c>
      <c r="L1075" t="s">
        <v>166</v>
      </c>
      <c r="N1075" t="s">
        <v>212</v>
      </c>
      <c r="O1075" t="s">
        <v>348</v>
      </c>
      <c r="P1075">
        <v>6.0665027822892545E-5</v>
      </c>
      <c r="Q1075" t="s">
        <v>166</v>
      </c>
      <c r="S1075" t="s">
        <v>229</v>
      </c>
      <c r="T1075" t="s">
        <v>348</v>
      </c>
      <c r="U1075">
        <v>1.4247546167980504E-4</v>
      </c>
      <c r="V1075" t="s">
        <v>166</v>
      </c>
    </row>
    <row r="1076" spans="9:22" x14ac:dyDescent="0.45">
      <c r="I1076" t="s">
        <v>188</v>
      </c>
      <c r="J1076" t="s">
        <v>349</v>
      </c>
      <c r="K1076">
        <v>0</v>
      </c>
      <c r="L1076" t="s">
        <v>166</v>
      </c>
      <c r="N1076" t="s">
        <v>212</v>
      </c>
      <c r="O1076" t="s">
        <v>349</v>
      </c>
      <c r="P1076">
        <v>6.1760869789199925E-5</v>
      </c>
      <c r="Q1076" t="s">
        <v>166</v>
      </c>
      <c r="S1076" t="s">
        <v>229</v>
      </c>
      <c r="T1076" t="s">
        <v>349</v>
      </c>
      <c r="U1076">
        <v>1.3690798811778529E-4</v>
      </c>
      <c r="V1076" t="s">
        <v>166</v>
      </c>
    </row>
    <row r="1077" spans="9:22" x14ac:dyDescent="0.45">
      <c r="I1077" t="s">
        <v>188</v>
      </c>
      <c r="J1077" t="s">
        <v>350</v>
      </c>
      <c r="K1077">
        <v>0</v>
      </c>
      <c r="L1077" t="s">
        <v>166</v>
      </c>
      <c r="N1077" t="s">
        <v>212</v>
      </c>
      <c r="O1077" t="s">
        <v>350</v>
      </c>
      <c r="P1077">
        <v>6.0578991728049341E-5</v>
      </c>
      <c r="Q1077" t="s">
        <v>166</v>
      </c>
      <c r="S1077" t="s">
        <v>229</v>
      </c>
      <c r="T1077" t="s">
        <v>350</v>
      </c>
      <c r="U1077">
        <v>1.366881371797767E-4</v>
      </c>
      <c r="V1077" t="s">
        <v>166</v>
      </c>
    </row>
    <row r="1078" spans="9:22" x14ac:dyDescent="0.45">
      <c r="I1078" t="s">
        <v>188</v>
      </c>
      <c r="J1078" t="s">
        <v>351</v>
      </c>
      <c r="K1078">
        <v>0</v>
      </c>
      <c r="L1078" t="s">
        <v>166</v>
      </c>
      <c r="N1078" t="s">
        <v>212</v>
      </c>
      <c r="O1078" t="s">
        <v>351</v>
      </c>
      <c r="P1078">
        <v>5.4332163652886152E-5</v>
      </c>
      <c r="Q1078" t="s">
        <v>166</v>
      </c>
      <c r="S1078" t="s">
        <v>229</v>
      </c>
      <c r="T1078" t="s">
        <v>351</v>
      </c>
      <c r="U1078">
        <v>9.8664961824652058E-5</v>
      </c>
      <c r="V1078" t="s">
        <v>166</v>
      </c>
    </row>
    <row r="1079" spans="9:22" x14ac:dyDescent="0.45">
      <c r="I1079" t="s">
        <v>188</v>
      </c>
      <c r="J1079" t="s">
        <v>352</v>
      </c>
      <c r="K1079">
        <v>0</v>
      </c>
      <c r="L1079" t="s">
        <v>166</v>
      </c>
      <c r="N1079" t="s">
        <v>212</v>
      </c>
      <c r="O1079" t="s">
        <v>352</v>
      </c>
      <c r="P1079">
        <v>6.6000584350040149E-5</v>
      </c>
      <c r="Q1079" t="s">
        <v>166</v>
      </c>
      <c r="S1079" t="s">
        <v>229</v>
      </c>
      <c r="T1079" t="s">
        <v>352</v>
      </c>
      <c r="U1079">
        <v>1.0792761765764701E-4</v>
      </c>
      <c r="V1079" t="s">
        <v>166</v>
      </c>
    </row>
    <row r="1080" spans="9:22" x14ac:dyDescent="0.45">
      <c r="I1080" t="s">
        <v>188</v>
      </c>
      <c r="J1080" t="s">
        <v>353</v>
      </c>
      <c r="K1080">
        <v>0</v>
      </c>
      <c r="L1080" t="s">
        <v>166</v>
      </c>
      <c r="N1080" t="s">
        <v>212</v>
      </c>
      <c r="O1080" t="s">
        <v>353</v>
      </c>
      <c r="P1080">
        <v>7.631088965646027E-5</v>
      </c>
      <c r="Q1080" t="s">
        <v>166</v>
      </c>
      <c r="S1080" t="s">
        <v>229</v>
      </c>
      <c r="T1080" t="s">
        <v>353</v>
      </c>
      <c r="U1080">
        <v>1.1820112708633472E-4</v>
      </c>
      <c r="V1080" t="s">
        <v>166</v>
      </c>
    </row>
    <row r="1081" spans="9:22" x14ac:dyDescent="0.45">
      <c r="I1081" t="s">
        <v>188</v>
      </c>
      <c r="J1081" t="s">
        <v>354</v>
      </c>
      <c r="K1081">
        <v>1.2834672461561774E-5</v>
      </c>
      <c r="L1081" t="s">
        <v>166</v>
      </c>
      <c r="N1081" t="s">
        <v>212</v>
      </c>
      <c r="O1081" t="s">
        <v>354</v>
      </c>
      <c r="P1081">
        <v>9.5103218478212478E-5</v>
      </c>
      <c r="Q1081" t="s">
        <v>166</v>
      </c>
      <c r="S1081" t="s">
        <v>229</v>
      </c>
      <c r="T1081" t="s">
        <v>354</v>
      </c>
      <c r="U1081">
        <v>1.2031765537723894E-4</v>
      </c>
      <c r="V1081" t="s">
        <v>166</v>
      </c>
    </row>
    <row r="1082" spans="9:22" x14ac:dyDescent="0.45">
      <c r="I1082" t="s">
        <v>188</v>
      </c>
      <c r="J1082" t="s">
        <v>355</v>
      </c>
      <c r="K1082">
        <v>2.7434157399614435E-5</v>
      </c>
      <c r="L1082" t="s">
        <v>166</v>
      </c>
      <c r="N1082" t="s">
        <v>212</v>
      </c>
      <c r="O1082" t="s">
        <v>355</v>
      </c>
      <c r="P1082">
        <v>1.1127457733979056E-4</v>
      </c>
      <c r="Q1082" t="s">
        <v>166</v>
      </c>
      <c r="S1082" t="s">
        <v>229</v>
      </c>
      <c r="T1082" t="s">
        <v>355</v>
      </c>
      <c r="U1082">
        <v>1.1859484635736322E-4</v>
      </c>
      <c r="V1082" t="s">
        <v>166</v>
      </c>
    </row>
    <row r="1083" spans="9:22" x14ac:dyDescent="0.45">
      <c r="I1083" t="s">
        <v>188</v>
      </c>
      <c r="J1083" t="s">
        <v>356</v>
      </c>
      <c r="K1083">
        <v>8.3939547907940708E-5</v>
      </c>
      <c r="L1083" t="s">
        <v>166</v>
      </c>
      <c r="N1083" t="s">
        <v>212</v>
      </c>
      <c r="O1083" t="s">
        <v>356</v>
      </c>
      <c r="P1083">
        <v>9.2599425214519518E-5</v>
      </c>
      <c r="Q1083" t="s">
        <v>166</v>
      </c>
      <c r="S1083" t="s">
        <v>229</v>
      </c>
      <c r="T1083" t="s">
        <v>356</v>
      </c>
      <c r="U1083">
        <v>1.0777716602087341E-4</v>
      </c>
      <c r="V1083" t="s">
        <v>166</v>
      </c>
    </row>
    <row r="1084" spans="9:22" x14ac:dyDescent="0.45">
      <c r="I1084" t="s">
        <v>188</v>
      </c>
      <c r="J1084" t="s">
        <v>357</v>
      </c>
      <c r="K1084">
        <v>1.0243722878899182E-4</v>
      </c>
      <c r="L1084" t="s">
        <v>166</v>
      </c>
      <c r="N1084" t="s">
        <v>212</v>
      </c>
      <c r="O1084" t="s">
        <v>357</v>
      </c>
      <c r="P1084">
        <v>8.0338576212046382E-5</v>
      </c>
      <c r="Q1084" t="s">
        <v>166</v>
      </c>
      <c r="S1084" t="s">
        <v>229</v>
      </c>
      <c r="T1084" t="s">
        <v>357</v>
      </c>
      <c r="U1084">
        <v>1.0191623807349193E-4</v>
      </c>
      <c r="V1084" t="s">
        <v>166</v>
      </c>
    </row>
    <row r="1085" spans="9:22" x14ac:dyDescent="0.45">
      <c r="I1085" t="s">
        <v>188</v>
      </c>
      <c r="J1085" t="s">
        <v>358</v>
      </c>
      <c r="K1085">
        <v>1.3753238650957391E-4</v>
      </c>
      <c r="L1085" t="s">
        <v>166</v>
      </c>
      <c r="N1085" t="s">
        <v>212</v>
      </c>
      <c r="O1085" t="s">
        <v>358</v>
      </c>
      <c r="P1085">
        <v>7.2080613466155019E-5</v>
      </c>
      <c r="Q1085" t="s">
        <v>166</v>
      </c>
      <c r="S1085" t="s">
        <v>229</v>
      </c>
      <c r="T1085" t="s">
        <v>358</v>
      </c>
      <c r="U1085">
        <v>9.5938665497664343E-5</v>
      </c>
      <c r="V1085" t="s">
        <v>166</v>
      </c>
    </row>
    <row r="1086" spans="9:22" x14ac:dyDescent="0.45">
      <c r="I1086" t="s">
        <v>188</v>
      </c>
      <c r="J1086" t="s">
        <v>359</v>
      </c>
      <c r="K1086">
        <v>1.2453664364513569E-4</v>
      </c>
      <c r="L1086" t="s">
        <v>166</v>
      </c>
      <c r="N1086" t="s">
        <v>212</v>
      </c>
      <c r="O1086" t="s">
        <v>359</v>
      </c>
      <c r="P1086">
        <v>6.7212780233398065E-5</v>
      </c>
      <c r="Q1086" t="s">
        <v>166</v>
      </c>
      <c r="S1086" t="s">
        <v>229</v>
      </c>
      <c r="T1086" t="s">
        <v>359</v>
      </c>
      <c r="U1086">
        <v>9.6537002480513029E-5</v>
      </c>
      <c r="V1086" t="s">
        <v>166</v>
      </c>
    </row>
    <row r="1087" spans="9:22" x14ac:dyDescent="0.45">
      <c r="I1087" t="s">
        <v>188</v>
      </c>
      <c r="J1087" t="s">
        <v>360</v>
      </c>
      <c r="K1087">
        <v>7.7458006640320675E-5</v>
      </c>
      <c r="L1087" t="s">
        <v>166</v>
      </c>
      <c r="N1087" t="s">
        <v>212</v>
      </c>
      <c r="O1087" t="s">
        <v>360</v>
      </c>
      <c r="P1087">
        <v>6.1048463628995563E-5</v>
      </c>
      <c r="Q1087" t="s">
        <v>166</v>
      </c>
      <c r="S1087" t="s">
        <v>229</v>
      </c>
      <c r="T1087" t="s">
        <v>360</v>
      </c>
      <c r="U1087">
        <v>9.9931817654833275E-5</v>
      </c>
      <c r="V1087" t="s">
        <v>166</v>
      </c>
    </row>
    <row r="1088" spans="9:22" x14ac:dyDescent="0.45">
      <c r="I1088" t="s">
        <v>188</v>
      </c>
      <c r="J1088" t="s">
        <v>361</v>
      </c>
      <c r="K1088">
        <v>5.5750638752907622E-5</v>
      </c>
      <c r="L1088" t="s">
        <v>166</v>
      </c>
      <c r="N1088" t="s">
        <v>212</v>
      </c>
      <c r="O1088" t="s">
        <v>361</v>
      </c>
      <c r="P1088">
        <v>6.6045941516538312E-5</v>
      </c>
      <c r="Q1088" t="s">
        <v>166</v>
      </c>
      <c r="S1088" t="s">
        <v>229</v>
      </c>
      <c r="T1088" t="s">
        <v>361</v>
      </c>
      <c r="U1088">
        <v>1.0400188876837587E-4</v>
      </c>
      <c r="V1088" t="s">
        <v>166</v>
      </c>
    </row>
    <row r="1089" spans="9:22" x14ac:dyDescent="0.45">
      <c r="I1089" t="s">
        <v>188</v>
      </c>
      <c r="J1089" t="s">
        <v>362</v>
      </c>
      <c r="K1089">
        <v>1.8714543750665002E-5</v>
      </c>
      <c r="L1089" t="s">
        <v>166</v>
      </c>
      <c r="N1089" t="s">
        <v>212</v>
      </c>
      <c r="O1089" t="s">
        <v>362</v>
      </c>
      <c r="P1089">
        <v>7.8047275051314617E-5</v>
      </c>
      <c r="Q1089" t="s">
        <v>166</v>
      </c>
      <c r="S1089" t="s">
        <v>229</v>
      </c>
      <c r="T1089" t="s">
        <v>362</v>
      </c>
      <c r="U1089">
        <v>1.1395908795036997E-4</v>
      </c>
      <c r="V1089" t="s">
        <v>166</v>
      </c>
    </row>
    <row r="1090" spans="9:22" x14ac:dyDescent="0.45">
      <c r="I1090" t="s">
        <v>188</v>
      </c>
      <c r="J1090" t="s">
        <v>363</v>
      </c>
      <c r="K1090">
        <v>4.2161876129656641E-6</v>
      </c>
      <c r="L1090" t="s">
        <v>166</v>
      </c>
      <c r="N1090" t="s">
        <v>212</v>
      </c>
      <c r="O1090" t="s">
        <v>363</v>
      </c>
      <c r="P1090">
        <v>6.7764147735720274E-5</v>
      </c>
      <c r="Q1090" t="s">
        <v>166</v>
      </c>
      <c r="S1090" t="s">
        <v>229</v>
      </c>
      <c r="T1090" t="s">
        <v>363</v>
      </c>
      <c r="U1090">
        <v>9.7975540374025037E-5</v>
      </c>
      <c r="V1090" t="s">
        <v>166</v>
      </c>
    </row>
    <row r="1091" spans="9:22" x14ac:dyDescent="0.45">
      <c r="I1091" t="s">
        <v>188</v>
      </c>
      <c r="J1091" t="s">
        <v>364</v>
      </c>
      <c r="K1091">
        <v>0</v>
      </c>
      <c r="L1091" t="s">
        <v>166</v>
      </c>
      <c r="N1091" t="s">
        <v>212</v>
      </c>
      <c r="O1091" t="s">
        <v>364</v>
      </c>
      <c r="P1091">
        <v>9.1461660336960592E-5</v>
      </c>
      <c r="Q1091" t="s">
        <v>166</v>
      </c>
      <c r="S1091" t="s">
        <v>229</v>
      </c>
      <c r="T1091" t="s">
        <v>364</v>
      </c>
      <c r="U1091">
        <v>9.6611721357014581E-5</v>
      </c>
      <c r="V1091" t="s">
        <v>166</v>
      </c>
    </row>
    <row r="1092" spans="9:22" x14ac:dyDescent="0.45">
      <c r="I1092" t="s">
        <v>188</v>
      </c>
      <c r="J1092" t="s">
        <v>365</v>
      </c>
      <c r="K1092">
        <v>0</v>
      </c>
      <c r="L1092" t="s">
        <v>166</v>
      </c>
      <c r="N1092" t="s">
        <v>212</v>
      </c>
      <c r="O1092" t="s">
        <v>365</v>
      </c>
      <c r="P1092">
        <v>8.6157745846426648E-5</v>
      </c>
      <c r="Q1092" t="s">
        <v>166</v>
      </c>
      <c r="S1092" t="s">
        <v>229</v>
      </c>
      <c r="T1092" t="s">
        <v>365</v>
      </c>
      <c r="U1092">
        <v>1.0221304226888974E-4</v>
      </c>
      <c r="V1092" t="s">
        <v>166</v>
      </c>
    </row>
    <row r="1093" spans="9:22" x14ac:dyDescent="0.45">
      <c r="I1093" t="s">
        <v>188</v>
      </c>
      <c r="J1093" t="s">
        <v>366</v>
      </c>
      <c r="K1093">
        <v>0</v>
      </c>
      <c r="L1093" t="s">
        <v>166</v>
      </c>
      <c r="N1093" t="s">
        <v>212</v>
      </c>
      <c r="O1093" t="s">
        <v>366</v>
      </c>
      <c r="P1093">
        <v>8.1401392284412597E-5</v>
      </c>
      <c r="Q1093" t="s">
        <v>166</v>
      </c>
      <c r="S1093" t="s">
        <v>229</v>
      </c>
      <c r="T1093" t="s">
        <v>366</v>
      </c>
      <c r="U1093">
        <v>1.0824171995932865E-4</v>
      </c>
      <c r="V1093" t="s">
        <v>166</v>
      </c>
    </row>
    <row r="1094" spans="9:22" x14ac:dyDescent="0.45">
      <c r="I1094" t="s">
        <v>188</v>
      </c>
      <c r="J1094" t="s">
        <v>367</v>
      </c>
      <c r="K1094">
        <v>0</v>
      </c>
      <c r="L1094" t="s">
        <v>166</v>
      </c>
      <c r="N1094" t="s">
        <v>212</v>
      </c>
      <c r="O1094" t="s">
        <v>367</v>
      </c>
      <c r="P1094">
        <v>7.5667518279794603E-5</v>
      </c>
      <c r="Q1094" t="s">
        <v>166</v>
      </c>
      <c r="S1094" t="s">
        <v>229</v>
      </c>
      <c r="T1094" t="s">
        <v>367</v>
      </c>
      <c r="U1094">
        <v>1.2175132000285537E-4</v>
      </c>
      <c r="V1094" t="s">
        <v>166</v>
      </c>
    </row>
    <row r="1095" spans="9:22" x14ac:dyDescent="0.45">
      <c r="I1095" t="s">
        <v>188</v>
      </c>
      <c r="J1095" t="s">
        <v>368</v>
      </c>
      <c r="K1095">
        <v>0</v>
      </c>
      <c r="L1095" t="s">
        <v>166</v>
      </c>
      <c r="N1095" t="s">
        <v>212</v>
      </c>
      <c r="O1095" t="s">
        <v>368</v>
      </c>
      <c r="P1095">
        <v>7.4359494173935914E-5</v>
      </c>
      <c r="Q1095" t="s">
        <v>166</v>
      </c>
      <c r="S1095" t="s">
        <v>229</v>
      </c>
      <c r="T1095" t="s">
        <v>368</v>
      </c>
      <c r="U1095">
        <v>1.3894101592860377E-4</v>
      </c>
      <c r="V1095" t="s">
        <v>166</v>
      </c>
    </row>
    <row r="1096" spans="9:22" x14ac:dyDescent="0.45">
      <c r="I1096" t="s">
        <v>188</v>
      </c>
      <c r="J1096" t="s">
        <v>369</v>
      </c>
      <c r="K1096">
        <v>0</v>
      </c>
      <c r="L1096" t="s">
        <v>166</v>
      </c>
      <c r="N1096" t="s">
        <v>212</v>
      </c>
      <c r="O1096" t="s">
        <v>369</v>
      </c>
      <c r="P1096">
        <v>7.4606681763440214E-5</v>
      </c>
      <c r="Q1096" t="s">
        <v>166</v>
      </c>
      <c r="S1096" t="s">
        <v>229</v>
      </c>
      <c r="T1096" t="s">
        <v>369</v>
      </c>
      <c r="U1096">
        <v>1.5047967401413481E-4</v>
      </c>
      <c r="V1096" t="s">
        <v>166</v>
      </c>
    </row>
    <row r="1097" spans="9:22" x14ac:dyDescent="0.45">
      <c r="I1097" t="s">
        <v>188</v>
      </c>
      <c r="J1097" t="s">
        <v>370</v>
      </c>
      <c r="K1097">
        <v>0</v>
      </c>
      <c r="L1097" t="s">
        <v>166</v>
      </c>
      <c r="N1097" t="s">
        <v>212</v>
      </c>
      <c r="O1097" t="s">
        <v>370</v>
      </c>
      <c r="P1097">
        <v>3.4290629228034132E-6</v>
      </c>
      <c r="Q1097" t="s">
        <v>166</v>
      </c>
      <c r="S1097" t="s">
        <v>229</v>
      </c>
      <c r="T1097" t="s">
        <v>370</v>
      </c>
      <c r="U1097">
        <v>9.4088155393454863E-6</v>
      </c>
      <c r="V1097" t="s">
        <v>166</v>
      </c>
    </row>
    <row r="1098" spans="9:22" x14ac:dyDescent="0.45">
      <c r="I1098" t="s">
        <v>188</v>
      </c>
      <c r="J1098" t="s">
        <v>371</v>
      </c>
      <c r="K1098">
        <v>0</v>
      </c>
      <c r="L1098" t="s">
        <v>166</v>
      </c>
      <c r="N1098" t="s">
        <v>212</v>
      </c>
      <c r="O1098" t="s">
        <v>371</v>
      </c>
      <c r="P1098">
        <v>2.4382201392305608E-6</v>
      </c>
      <c r="Q1098" t="s">
        <v>166</v>
      </c>
      <c r="S1098" t="s">
        <v>229</v>
      </c>
      <c r="T1098" t="s">
        <v>371</v>
      </c>
      <c r="U1098">
        <v>8.0111321990099195E-6</v>
      </c>
      <c r="V1098" t="s">
        <v>166</v>
      </c>
    </row>
    <row r="1099" spans="9:22" x14ac:dyDescent="0.45">
      <c r="I1099" t="s">
        <v>188</v>
      </c>
      <c r="J1099" t="s">
        <v>372</v>
      </c>
      <c r="K1099">
        <v>0</v>
      </c>
      <c r="L1099" t="s">
        <v>166</v>
      </c>
      <c r="N1099" t="s">
        <v>212</v>
      </c>
      <c r="O1099" t="s">
        <v>372</v>
      </c>
      <c r="P1099">
        <v>6.1009157588681737E-7</v>
      </c>
      <c r="Q1099" t="s">
        <v>166</v>
      </c>
      <c r="S1099" t="s">
        <v>229</v>
      </c>
      <c r="T1099" t="s">
        <v>372</v>
      </c>
      <c r="U1099">
        <v>7.0987924118293234E-6</v>
      </c>
      <c r="V1099" t="s">
        <v>166</v>
      </c>
    </row>
    <row r="1100" spans="9:22" x14ac:dyDescent="0.45">
      <c r="I1100" t="s">
        <v>188</v>
      </c>
      <c r="J1100" t="s">
        <v>373</v>
      </c>
      <c r="K1100">
        <v>0</v>
      </c>
      <c r="L1100" t="s">
        <v>166</v>
      </c>
      <c r="N1100" t="s">
        <v>212</v>
      </c>
      <c r="O1100" t="s">
        <v>373</v>
      </c>
      <c r="P1100">
        <v>2.1622045668266877E-7</v>
      </c>
      <c r="Q1100" t="s">
        <v>166</v>
      </c>
      <c r="S1100" t="s">
        <v>229</v>
      </c>
      <c r="T1100" t="s">
        <v>373</v>
      </c>
      <c r="U1100">
        <v>5.9721467219694948E-6</v>
      </c>
      <c r="V1100" t="s">
        <v>166</v>
      </c>
    </row>
    <row r="1101" spans="9:22" x14ac:dyDescent="0.45">
      <c r="I1101" t="s">
        <v>188</v>
      </c>
      <c r="J1101" t="s">
        <v>374</v>
      </c>
      <c r="K1101">
        <v>0</v>
      </c>
      <c r="L1101" t="s">
        <v>166</v>
      </c>
      <c r="N1101" t="s">
        <v>212</v>
      </c>
      <c r="O1101" t="s">
        <v>374</v>
      </c>
      <c r="P1101">
        <v>2.4915767187221726E-7</v>
      </c>
      <c r="Q1101" t="s">
        <v>166</v>
      </c>
      <c r="S1101" t="s">
        <v>229</v>
      </c>
      <c r="T1101" t="s">
        <v>374</v>
      </c>
      <c r="U1101">
        <v>6.1555595221531151E-6</v>
      </c>
      <c r="V1101" t="s">
        <v>166</v>
      </c>
    </row>
    <row r="1102" spans="9:22" x14ac:dyDescent="0.45">
      <c r="I1102" t="s">
        <v>188</v>
      </c>
      <c r="J1102" t="s">
        <v>375</v>
      </c>
      <c r="K1102">
        <v>0</v>
      </c>
      <c r="L1102" t="s">
        <v>166</v>
      </c>
      <c r="N1102" t="s">
        <v>212</v>
      </c>
      <c r="O1102" t="s">
        <v>375</v>
      </c>
      <c r="P1102">
        <v>1.3388493464725293E-7</v>
      </c>
      <c r="Q1102" t="s">
        <v>166</v>
      </c>
      <c r="S1102" t="s">
        <v>229</v>
      </c>
      <c r="T1102" t="s">
        <v>375</v>
      </c>
      <c r="U1102">
        <v>3.7086503841312149E-6</v>
      </c>
      <c r="V1102" t="s">
        <v>166</v>
      </c>
    </row>
    <row r="1103" spans="9:22" x14ac:dyDescent="0.45">
      <c r="I1103" t="s">
        <v>188</v>
      </c>
      <c r="J1103" t="s">
        <v>376</v>
      </c>
      <c r="K1103">
        <v>0</v>
      </c>
      <c r="L1103" t="s">
        <v>166</v>
      </c>
      <c r="N1103" t="s">
        <v>212</v>
      </c>
      <c r="O1103" t="s">
        <v>376</v>
      </c>
      <c r="P1103">
        <v>1.173813913262089E-7</v>
      </c>
      <c r="Q1103" t="s">
        <v>166</v>
      </c>
      <c r="S1103" t="s">
        <v>229</v>
      </c>
      <c r="T1103" t="s">
        <v>376</v>
      </c>
      <c r="U1103">
        <v>5.9385229416498234E-6</v>
      </c>
      <c r="V1103" t="s">
        <v>166</v>
      </c>
    </row>
    <row r="1104" spans="9:22" x14ac:dyDescent="0.45">
      <c r="I1104" t="s">
        <v>188</v>
      </c>
      <c r="J1104" t="s">
        <v>377</v>
      </c>
      <c r="K1104">
        <v>1.243895885152156E-5</v>
      </c>
      <c r="L1104" t="s">
        <v>166</v>
      </c>
      <c r="N1104" t="s">
        <v>212</v>
      </c>
      <c r="O1104" t="s">
        <v>377</v>
      </c>
      <c r="P1104">
        <v>8.080234132645255E-8</v>
      </c>
      <c r="Q1104" t="s">
        <v>166</v>
      </c>
      <c r="S1104" t="s">
        <v>229</v>
      </c>
      <c r="T1104" t="s">
        <v>377</v>
      </c>
      <c r="U1104">
        <v>5.4235407297807438E-6</v>
      </c>
      <c r="V1104" t="s">
        <v>166</v>
      </c>
    </row>
    <row r="1105" spans="9:22" x14ac:dyDescent="0.45">
      <c r="I1105" t="s">
        <v>188</v>
      </c>
      <c r="J1105" t="s">
        <v>378</v>
      </c>
      <c r="K1105">
        <v>3.4114783468764588E-5</v>
      </c>
      <c r="L1105" t="s">
        <v>166</v>
      </c>
      <c r="N1105" t="s">
        <v>212</v>
      </c>
      <c r="O1105" t="s">
        <v>378</v>
      </c>
      <c r="P1105">
        <v>2.8310645135874498E-8</v>
      </c>
      <c r="Q1105" t="s">
        <v>166</v>
      </c>
      <c r="S1105" t="s">
        <v>229</v>
      </c>
      <c r="T1105" t="s">
        <v>378</v>
      </c>
      <c r="U1105">
        <v>4.8799922718676653E-6</v>
      </c>
      <c r="V1105" t="s">
        <v>166</v>
      </c>
    </row>
    <row r="1106" spans="9:22" x14ac:dyDescent="0.45">
      <c r="I1106" t="s">
        <v>188</v>
      </c>
      <c r="J1106" t="s">
        <v>379</v>
      </c>
      <c r="K1106">
        <v>7.1053718909121021E-5</v>
      </c>
      <c r="L1106" t="s">
        <v>166</v>
      </c>
      <c r="N1106" t="s">
        <v>212</v>
      </c>
      <c r="O1106" t="s">
        <v>379</v>
      </c>
      <c r="P1106">
        <v>7.0940309206471318E-10</v>
      </c>
      <c r="Q1106" t="s">
        <v>166</v>
      </c>
      <c r="S1106" t="s">
        <v>229</v>
      </c>
      <c r="T1106" t="s">
        <v>379</v>
      </c>
      <c r="U1106">
        <v>6.2503154177695595E-6</v>
      </c>
      <c r="V1106" t="s">
        <v>166</v>
      </c>
    </row>
    <row r="1107" spans="9:22" x14ac:dyDescent="0.45">
      <c r="I1107" t="s">
        <v>188</v>
      </c>
      <c r="J1107" t="s">
        <v>380</v>
      </c>
      <c r="K1107">
        <v>1.458570381198916E-4</v>
      </c>
      <c r="L1107" t="s">
        <v>166</v>
      </c>
      <c r="N1107" t="s">
        <v>212</v>
      </c>
      <c r="O1107" t="s">
        <v>380</v>
      </c>
      <c r="P1107">
        <v>7.7825252704312097E-10</v>
      </c>
      <c r="Q1107" t="s">
        <v>166</v>
      </c>
      <c r="S1107" t="s">
        <v>229</v>
      </c>
      <c r="T1107" t="s">
        <v>380</v>
      </c>
      <c r="U1107">
        <v>7.9554624321269444E-6</v>
      </c>
      <c r="V1107" t="s">
        <v>166</v>
      </c>
    </row>
    <row r="1108" spans="9:22" x14ac:dyDescent="0.45">
      <c r="I1108" t="s">
        <v>188</v>
      </c>
      <c r="J1108" t="s">
        <v>381</v>
      </c>
      <c r="K1108">
        <v>1.681598113531892E-4</v>
      </c>
      <c r="L1108" t="s">
        <v>166</v>
      </c>
      <c r="N1108" t="s">
        <v>212</v>
      </c>
      <c r="O1108" t="s">
        <v>381</v>
      </c>
      <c r="P1108">
        <v>1.0261281075046596E-7</v>
      </c>
      <c r="Q1108" t="s">
        <v>166</v>
      </c>
      <c r="S1108" t="s">
        <v>229</v>
      </c>
      <c r="T1108" t="s">
        <v>381</v>
      </c>
      <c r="U1108">
        <v>5.3314434405082269E-6</v>
      </c>
      <c r="V1108" t="s">
        <v>166</v>
      </c>
    </row>
    <row r="1109" spans="9:22" x14ac:dyDescent="0.45">
      <c r="I1109" t="s">
        <v>188</v>
      </c>
      <c r="J1109" t="s">
        <v>382</v>
      </c>
      <c r="K1109">
        <v>1.4345098615239893E-4</v>
      </c>
      <c r="L1109" t="s">
        <v>166</v>
      </c>
      <c r="N1109" t="s">
        <v>212</v>
      </c>
      <c r="O1109" t="s">
        <v>382</v>
      </c>
      <c r="P1109">
        <v>1.5239996172162265E-6</v>
      </c>
      <c r="Q1109" t="s">
        <v>166</v>
      </c>
      <c r="S1109" t="s">
        <v>229</v>
      </c>
      <c r="T1109" t="s">
        <v>382</v>
      </c>
      <c r="U1109">
        <v>9.2297194165219288E-7</v>
      </c>
      <c r="V1109" t="s">
        <v>166</v>
      </c>
    </row>
    <row r="1110" spans="9:22" x14ac:dyDescent="0.45">
      <c r="I1110" t="s">
        <v>188</v>
      </c>
      <c r="J1110" t="s">
        <v>383</v>
      </c>
      <c r="K1110">
        <v>1.7212854579894902E-4</v>
      </c>
      <c r="L1110" t="s">
        <v>166</v>
      </c>
      <c r="N1110" t="s">
        <v>212</v>
      </c>
      <c r="O1110" t="s">
        <v>383</v>
      </c>
      <c r="P1110">
        <v>3.0586943666792714E-6</v>
      </c>
      <c r="Q1110" t="s">
        <v>166</v>
      </c>
      <c r="S1110" t="s">
        <v>229</v>
      </c>
      <c r="T1110" t="s">
        <v>383</v>
      </c>
      <c r="U1110">
        <v>0</v>
      </c>
      <c r="V1110" t="s">
        <v>166</v>
      </c>
    </row>
    <row r="1111" spans="9:22" x14ac:dyDescent="0.45">
      <c r="I1111" t="s">
        <v>188</v>
      </c>
      <c r="J1111" t="s">
        <v>384</v>
      </c>
      <c r="K1111">
        <v>1.3542146198322779E-4</v>
      </c>
      <c r="L1111" t="s">
        <v>166</v>
      </c>
      <c r="N1111" t="s">
        <v>212</v>
      </c>
      <c r="O1111" t="s">
        <v>384</v>
      </c>
      <c r="P1111">
        <v>1.8255480978448249E-5</v>
      </c>
      <c r="Q1111" t="s">
        <v>166</v>
      </c>
      <c r="S1111" t="s">
        <v>229</v>
      </c>
      <c r="T1111" t="s">
        <v>384</v>
      </c>
      <c r="U1111">
        <v>0</v>
      </c>
      <c r="V1111" t="s">
        <v>166</v>
      </c>
    </row>
    <row r="1112" spans="9:22" x14ac:dyDescent="0.45">
      <c r="I1112" t="s">
        <v>188</v>
      </c>
      <c r="J1112" t="s">
        <v>385</v>
      </c>
      <c r="K1112">
        <v>1.4767444301051557E-4</v>
      </c>
      <c r="L1112" t="s">
        <v>166</v>
      </c>
      <c r="N1112" t="s">
        <v>212</v>
      </c>
      <c r="O1112" t="s">
        <v>385</v>
      </c>
      <c r="P1112">
        <v>4.2340277887231832E-5</v>
      </c>
      <c r="Q1112" t="s">
        <v>166</v>
      </c>
      <c r="S1112" t="s">
        <v>229</v>
      </c>
      <c r="T1112" t="s">
        <v>385</v>
      </c>
      <c r="U1112">
        <v>1.199754862739718E-7</v>
      </c>
      <c r="V1112" t="s">
        <v>166</v>
      </c>
    </row>
    <row r="1113" spans="9:22" x14ac:dyDescent="0.45">
      <c r="I1113" t="s">
        <v>188</v>
      </c>
      <c r="J1113" t="s">
        <v>386</v>
      </c>
      <c r="K1113">
        <v>1.1241188787145811E-4</v>
      </c>
      <c r="L1113" t="s">
        <v>166</v>
      </c>
      <c r="N1113" t="s">
        <v>212</v>
      </c>
      <c r="O1113" t="s">
        <v>386</v>
      </c>
      <c r="P1113">
        <v>6.9994708218612263E-5</v>
      </c>
      <c r="Q1113" t="s">
        <v>166</v>
      </c>
      <c r="S1113" t="s">
        <v>229</v>
      </c>
      <c r="T1113" t="s">
        <v>386</v>
      </c>
      <c r="U1113">
        <v>1.2743765920888892E-6</v>
      </c>
      <c r="V1113" t="s">
        <v>166</v>
      </c>
    </row>
    <row r="1114" spans="9:22" x14ac:dyDescent="0.45">
      <c r="I1114" t="s">
        <v>188</v>
      </c>
      <c r="J1114" t="s">
        <v>387</v>
      </c>
      <c r="K1114">
        <v>2.9877715339215873E-5</v>
      </c>
      <c r="L1114" t="s">
        <v>166</v>
      </c>
      <c r="N1114" t="s">
        <v>212</v>
      </c>
      <c r="O1114" t="s">
        <v>387</v>
      </c>
      <c r="P1114">
        <v>6.8285433035937445E-5</v>
      </c>
      <c r="Q1114" t="s">
        <v>166</v>
      </c>
      <c r="S1114" t="s">
        <v>229</v>
      </c>
      <c r="T1114" t="s">
        <v>387</v>
      </c>
      <c r="U1114">
        <v>7.2022374076524798E-6</v>
      </c>
      <c r="V1114" t="s">
        <v>166</v>
      </c>
    </row>
    <row r="1115" spans="9:22" x14ac:dyDescent="0.45">
      <c r="I1115" t="s">
        <v>188</v>
      </c>
      <c r="J1115" t="s">
        <v>388</v>
      </c>
      <c r="K1115">
        <v>1.740614340373424E-5</v>
      </c>
      <c r="L1115" t="s">
        <v>166</v>
      </c>
      <c r="N1115" t="s">
        <v>212</v>
      </c>
      <c r="O1115" t="s">
        <v>388</v>
      </c>
      <c r="P1115">
        <v>9.3075380062766278E-5</v>
      </c>
      <c r="Q1115" t="s">
        <v>166</v>
      </c>
      <c r="S1115" t="s">
        <v>229</v>
      </c>
      <c r="T1115" t="s">
        <v>388</v>
      </c>
      <c r="U1115">
        <v>1.5198910595509326E-5</v>
      </c>
      <c r="V1115" t="s">
        <v>166</v>
      </c>
    </row>
    <row r="1116" spans="9:22" x14ac:dyDescent="0.45">
      <c r="I1116" t="s">
        <v>188</v>
      </c>
      <c r="J1116" t="s">
        <v>389</v>
      </c>
      <c r="K1116">
        <v>0</v>
      </c>
      <c r="L1116" t="s">
        <v>166</v>
      </c>
      <c r="N1116" t="s">
        <v>212</v>
      </c>
      <c r="O1116" t="s">
        <v>389</v>
      </c>
      <c r="P1116">
        <v>8.4007324973214853E-5</v>
      </c>
      <c r="Q1116" t="s">
        <v>166</v>
      </c>
      <c r="S1116" t="s">
        <v>229</v>
      </c>
      <c r="T1116" t="s">
        <v>389</v>
      </c>
      <c r="U1116">
        <v>2.2182065448760234E-5</v>
      </c>
      <c r="V1116" t="s">
        <v>166</v>
      </c>
    </row>
    <row r="1117" spans="9:22" x14ac:dyDescent="0.45">
      <c r="I1117" t="s">
        <v>188</v>
      </c>
      <c r="J1117" t="s">
        <v>390</v>
      </c>
      <c r="K1117">
        <v>0</v>
      </c>
      <c r="L1117" t="s">
        <v>166</v>
      </c>
      <c r="N1117" t="s">
        <v>212</v>
      </c>
      <c r="O1117" t="s">
        <v>390</v>
      </c>
      <c r="P1117">
        <v>8.4992636208950108E-5</v>
      </c>
      <c r="Q1117" t="s">
        <v>166</v>
      </c>
      <c r="S1117" t="s">
        <v>229</v>
      </c>
      <c r="T1117" t="s">
        <v>390</v>
      </c>
      <c r="U1117">
        <v>2.9599971757084183E-5</v>
      </c>
      <c r="V1117" t="s">
        <v>166</v>
      </c>
    </row>
    <row r="1118" spans="9:22" x14ac:dyDescent="0.45">
      <c r="I1118" t="s">
        <v>188</v>
      </c>
      <c r="J1118" t="s">
        <v>391</v>
      </c>
      <c r="K1118">
        <v>0</v>
      </c>
      <c r="L1118" t="s">
        <v>166</v>
      </c>
      <c r="N1118" t="s">
        <v>212</v>
      </c>
      <c r="O1118" t="s">
        <v>391</v>
      </c>
      <c r="P1118">
        <v>1.0732984084692953E-4</v>
      </c>
      <c r="Q1118" t="s">
        <v>166</v>
      </c>
      <c r="S1118" t="s">
        <v>229</v>
      </c>
      <c r="T1118" t="s">
        <v>391</v>
      </c>
      <c r="U1118">
        <v>4.3268409411343613E-5</v>
      </c>
      <c r="V1118" t="s">
        <v>166</v>
      </c>
    </row>
    <row r="1119" spans="9:22" x14ac:dyDescent="0.45">
      <c r="I1119" t="s">
        <v>188</v>
      </c>
      <c r="J1119" t="s">
        <v>392</v>
      </c>
      <c r="K1119">
        <v>0</v>
      </c>
      <c r="L1119" t="s">
        <v>166</v>
      </c>
      <c r="N1119" t="s">
        <v>212</v>
      </c>
      <c r="O1119" t="s">
        <v>392</v>
      </c>
      <c r="P1119">
        <v>1.4346008397193546E-4</v>
      </c>
      <c r="Q1119" t="s">
        <v>166</v>
      </c>
      <c r="S1119" t="s">
        <v>229</v>
      </c>
      <c r="T1119" t="s">
        <v>392</v>
      </c>
      <c r="U1119">
        <v>5.8961281680762855E-5</v>
      </c>
      <c r="V1119" t="s">
        <v>166</v>
      </c>
    </row>
    <row r="1120" spans="9:22" x14ac:dyDescent="0.45">
      <c r="I1120" t="s">
        <v>188</v>
      </c>
      <c r="J1120" t="s">
        <v>393</v>
      </c>
      <c r="K1120">
        <v>0</v>
      </c>
      <c r="L1120" t="s">
        <v>166</v>
      </c>
      <c r="N1120" t="s">
        <v>212</v>
      </c>
      <c r="O1120" t="s">
        <v>393</v>
      </c>
      <c r="P1120">
        <v>1.825550603386664E-4</v>
      </c>
      <c r="Q1120" t="s">
        <v>166</v>
      </c>
      <c r="S1120" t="s">
        <v>229</v>
      </c>
      <c r="T1120" t="s">
        <v>393</v>
      </c>
      <c r="U1120">
        <v>6.2644075806121463E-5</v>
      </c>
      <c r="V1120" t="s">
        <v>166</v>
      </c>
    </row>
    <row r="1121" spans="9:22" x14ac:dyDescent="0.45">
      <c r="I1121" t="s">
        <v>188</v>
      </c>
      <c r="J1121" t="s">
        <v>169</v>
      </c>
      <c r="K1121">
        <v>5.3637834970717002E-3</v>
      </c>
      <c r="L1121" t="s">
        <v>166</v>
      </c>
      <c r="N1121" t="s">
        <v>212</v>
      </c>
      <c r="O1121" t="s">
        <v>169</v>
      </c>
      <c r="P1121">
        <v>1.7917360142855641E-2</v>
      </c>
      <c r="Q1121" t="s">
        <v>166</v>
      </c>
      <c r="S1121" t="s">
        <v>229</v>
      </c>
      <c r="T1121" t="s">
        <v>169</v>
      </c>
      <c r="U1121">
        <v>2.4470945215152102E-2</v>
      </c>
      <c r="V1121" t="s">
        <v>166</v>
      </c>
    </row>
    <row r="1122" spans="9:22" x14ac:dyDescent="0.45">
      <c r="I1122" t="s">
        <v>188</v>
      </c>
      <c r="J1122" t="s">
        <v>170</v>
      </c>
      <c r="K1122">
        <v>6.2895924862935923E-3</v>
      </c>
      <c r="L1122" t="s">
        <v>166</v>
      </c>
      <c r="N1122" t="s">
        <v>212</v>
      </c>
      <c r="O1122" t="s">
        <v>170</v>
      </c>
      <c r="P1122">
        <v>3.258775786544849E-3</v>
      </c>
      <c r="Q1122" t="s">
        <v>166</v>
      </c>
      <c r="S1122" t="s">
        <v>229</v>
      </c>
      <c r="T1122" t="s">
        <v>170</v>
      </c>
      <c r="U1122">
        <v>2.8094477308981442E-3</v>
      </c>
      <c r="V1122" t="s">
        <v>166</v>
      </c>
    </row>
    <row r="1123" spans="9:22" x14ac:dyDescent="0.45">
      <c r="I1123" t="s">
        <v>188</v>
      </c>
      <c r="J1123" t="s">
        <v>171</v>
      </c>
      <c r="K1123">
        <v>7.0695283335806117E-2</v>
      </c>
      <c r="L1123" t="s">
        <v>166</v>
      </c>
      <c r="N1123" t="s">
        <v>212</v>
      </c>
      <c r="O1123" t="s">
        <v>171</v>
      </c>
      <c r="P1123">
        <v>2.6666820583685937E-2</v>
      </c>
      <c r="Q1123" t="s">
        <v>166</v>
      </c>
      <c r="S1123" t="s">
        <v>229</v>
      </c>
      <c r="T1123" t="s">
        <v>171</v>
      </c>
      <c r="U1123">
        <v>1.8154044961157193E-2</v>
      </c>
      <c r="V1123" t="s">
        <v>166</v>
      </c>
    </row>
    <row r="1124" spans="9:22" x14ac:dyDescent="0.45">
      <c r="I1124" t="s">
        <v>188</v>
      </c>
      <c r="J1124" t="s">
        <v>261</v>
      </c>
      <c r="K1124">
        <v>7.8287180694802654E-3</v>
      </c>
      <c r="L1124" t="s">
        <v>166</v>
      </c>
      <c r="N1124" t="s">
        <v>212</v>
      </c>
      <c r="O1124" t="s">
        <v>261</v>
      </c>
      <c r="P1124">
        <v>2.1562268378976434E-3</v>
      </c>
      <c r="Q1124" t="s">
        <v>166</v>
      </c>
      <c r="S1124" t="s">
        <v>229</v>
      </c>
      <c r="T1124" t="s">
        <v>261</v>
      </c>
      <c r="U1124">
        <v>2.6728524918127549E-3</v>
      </c>
      <c r="V1124" t="s">
        <v>166</v>
      </c>
    </row>
    <row r="1125" spans="9:22" x14ac:dyDescent="0.45">
      <c r="I1125" t="s">
        <v>188</v>
      </c>
      <c r="J1125" t="s">
        <v>262</v>
      </c>
      <c r="K1125">
        <v>9.3202847075335143E-3</v>
      </c>
      <c r="L1125" t="s">
        <v>166</v>
      </c>
      <c r="N1125" t="s">
        <v>212</v>
      </c>
      <c r="O1125" t="s">
        <v>262</v>
      </c>
      <c r="P1125">
        <v>2.591336355116314E-3</v>
      </c>
      <c r="Q1125" t="s">
        <v>166</v>
      </c>
      <c r="S1125" t="s">
        <v>229</v>
      </c>
      <c r="T1125" t="s">
        <v>262</v>
      </c>
      <c r="U1125">
        <v>5.0408872385953561E-3</v>
      </c>
      <c r="V1125" t="s">
        <v>166</v>
      </c>
    </row>
    <row r="1126" spans="9:22" x14ac:dyDescent="0.45">
      <c r="I1126" t="s">
        <v>188</v>
      </c>
      <c r="J1126" t="s">
        <v>263</v>
      </c>
      <c r="K1126">
        <v>0</v>
      </c>
      <c r="L1126" t="s">
        <v>166</v>
      </c>
      <c r="N1126" t="s">
        <v>212</v>
      </c>
      <c r="O1126" t="s">
        <v>263</v>
      </c>
      <c r="P1126">
        <v>6.4503160714401674E-3</v>
      </c>
      <c r="Q1126" t="s">
        <v>166</v>
      </c>
      <c r="S1126" t="s">
        <v>229</v>
      </c>
      <c r="T1126" t="s">
        <v>263</v>
      </c>
      <c r="U1126">
        <v>1.5179374811324647E-2</v>
      </c>
      <c r="V1126" t="s">
        <v>166</v>
      </c>
    </row>
    <row r="1127" spans="9:22" x14ac:dyDescent="0.45">
      <c r="I1127" t="s">
        <v>188</v>
      </c>
      <c r="J1127" t="s">
        <v>172</v>
      </c>
      <c r="K1127">
        <v>5.6008636455589286E-3</v>
      </c>
      <c r="L1127" t="s">
        <v>166</v>
      </c>
      <c r="N1127" t="s">
        <v>212</v>
      </c>
      <c r="O1127" t="s">
        <v>172</v>
      </c>
      <c r="P1127">
        <v>3.5620308822873106E-2</v>
      </c>
      <c r="Q1127" t="s">
        <v>166</v>
      </c>
      <c r="S1127" t="s">
        <v>229</v>
      </c>
      <c r="T1127" t="s">
        <v>172</v>
      </c>
      <c r="U1127">
        <v>2.1454471222224256E-2</v>
      </c>
      <c r="V1127" t="s">
        <v>166</v>
      </c>
    </row>
    <row r="1128" spans="9:22" x14ac:dyDescent="0.45">
      <c r="I1128" t="s">
        <v>188</v>
      </c>
      <c r="J1128" t="s">
        <v>173</v>
      </c>
      <c r="K1128">
        <v>6.497866332125189E-3</v>
      </c>
      <c r="L1128" t="s">
        <v>166</v>
      </c>
      <c r="N1128" t="s">
        <v>212</v>
      </c>
      <c r="O1128" t="s">
        <v>173</v>
      </c>
      <c r="P1128">
        <v>5.1375864924973055E-3</v>
      </c>
      <c r="Q1128" t="s">
        <v>166</v>
      </c>
      <c r="S1128" t="s">
        <v>229</v>
      </c>
      <c r="T1128" t="s">
        <v>173</v>
      </c>
      <c r="U1128">
        <v>2.6063720281762725E-3</v>
      </c>
      <c r="V1128" t="s">
        <v>166</v>
      </c>
    </row>
    <row r="1129" spans="9:22" x14ac:dyDescent="0.45">
      <c r="I1129" t="s">
        <v>188</v>
      </c>
      <c r="J1129" t="s">
        <v>174</v>
      </c>
      <c r="K1129">
        <v>7.224172570323753E-2</v>
      </c>
      <c r="L1129" t="s">
        <v>166</v>
      </c>
      <c r="N1129" t="s">
        <v>212</v>
      </c>
      <c r="O1129" t="s">
        <v>174</v>
      </c>
      <c r="P1129">
        <v>3.7924193175742402E-2</v>
      </c>
      <c r="Q1129" t="s">
        <v>166</v>
      </c>
      <c r="S1129" t="s">
        <v>229</v>
      </c>
      <c r="T1129" t="s">
        <v>174</v>
      </c>
      <c r="U1129">
        <v>1.5561796054758612E-2</v>
      </c>
      <c r="V1129" t="s">
        <v>166</v>
      </c>
    </row>
    <row r="1130" spans="9:22" x14ac:dyDescent="0.45">
      <c r="I1130" t="s">
        <v>188</v>
      </c>
      <c r="J1130" t="s">
        <v>264</v>
      </c>
      <c r="K1130">
        <v>7.4561495111191119E-3</v>
      </c>
      <c r="L1130" t="s">
        <v>166</v>
      </c>
      <c r="N1130" t="s">
        <v>212</v>
      </c>
      <c r="O1130" t="s">
        <v>264</v>
      </c>
      <c r="P1130">
        <v>4.4546237448514032E-3</v>
      </c>
      <c r="Q1130" t="s">
        <v>166</v>
      </c>
      <c r="S1130" t="s">
        <v>229</v>
      </c>
      <c r="T1130" t="s">
        <v>264</v>
      </c>
      <c r="U1130">
        <v>1.7388818518597048E-3</v>
      </c>
      <c r="V1130" t="s">
        <v>166</v>
      </c>
    </row>
    <row r="1131" spans="9:22" x14ac:dyDescent="0.45">
      <c r="I1131" t="s">
        <v>188</v>
      </c>
      <c r="J1131" t="s">
        <v>265</v>
      </c>
      <c r="K1131">
        <v>9.2420854853511557E-3</v>
      </c>
      <c r="L1131" t="s">
        <v>166</v>
      </c>
      <c r="N1131" t="s">
        <v>212</v>
      </c>
      <c r="O1131" t="s">
        <v>265</v>
      </c>
      <c r="P1131">
        <v>6.4720949075638013E-3</v>
      </c>
      <c r="Q1131" t="s">
        <v>166</v>
      </c>
      <c r="S1131" t="s">
        <v>229</v>
      </c>
      <c r="T1131" t="s">
        <v>265</v>
      </c>
      <c r="U1131">
        <v>3.2432724954236116E-3</v>
      </c>
      <c r="V1131" t="s">
        <v>166</v>
      </c>
    </row>
    <row r="1132" spans="9:22" x14ac:dyDescent="0.45">
      <c r="I1132" t="s">
        <v>188</v>
      </c>
      <c r="J1132" t="s">
        <v>266</v>
      </c>
      <c r="K1132">
        <v>1.5079540884722629E-4</v>
      </c>
      <c r="L1132" t="s">
        <v>166</v>
      </c>
      <c r="N1132" t="s">
        <v>212</v>
      </c>
      <c r="O1132" t="s">
        <v>266</v>
      </c>
      <c r="P1132">
        <v>1.6834677696750098E-2</v>
      </c>
      <c r="Q1132" t="s">
        <v>166</v>
      </c>
      <c r="S1132" t="s">
        <v>229</v>
      </c>
      <c r="T1132" t="s">
        <v>266</v>
      </c>
      <c r="U1132">
        <v>1.1618305950859146E-2</v>
      </c>
      <c r="V1132" t="s">
        <v>166</v>
      </c>
    </row>
    <row r="1133" spans="9:22" x14ac:dyDescent="0.45">
      <c r="I1133" t="s">
        <v>188</v>
      </c>
      <c r="J1133" t="s">
        <v>175</v>
      </c>
      <c r="K1133">
        <v>3.521121089029881E-3</v>
      </c>
      <c r="L1133" t="s">
        <v>166</v>
      </c>
      <c r="N1133" t="s">
        <v>212</v>
      </c>
      <c r="O1133" t="s">
        <v>175</v>
      </c>
      <c r="P1133">
        <v>2.2946777715281183E-2</v>
      </c>
      <c r="Q1133" t="s">
        <v>166</v>
      </c>
      <c r="S1133" t="s">
        <v>229</v>
      </c>
      <c r="T1133" t="s">
        <v>175</v>
      </c>
      <c r="U1133">
        <v>2.2802367966412645E-2</v>
      </c>
      <c r="V1133" t="s">
        <v>166</v>
      </c>
    </row>
    <row r="1134" spans="9:22" x14ac:dyDescent="0.45">
      <c r="I1134" t="s">
        <v>188</v>
      </c>
      <c r="J1134" t="s">
        <v>176</v>
      </c>
      <c r="K1134">
        <v>4.8074320116539395E-3</v>
      </c>
      <c r="L1134" t="s">
        <v>166</v>
      </c>
      <c r="N1134" t="s">
        <v>212</v>
      </c>
      <c r="O1134" t="s">
        <v>176</v>
      </c>
      <c r="P1134">
        <v>3.8173074141325735E-3</v>
      </c>
      <c r="Q1134" t="s">
        <v>166</v>
      </c>
      <c r="S1134" t="s">
        <v>229</v>
      </c>
      <c r="T1134" t="s">
        <v>176</v>
      </c>
      <c r="U1134">
        <v>2.6413916571469257E-3</v>
      </c>
      <c r="V1134" t="s">
        <v>166</v>
      </c>
    </row>
    <row r="1135" spans="9:22" x14ac:dyDescent="0.45">
      <c r="I1135" t="s">
        <v>188</v>
      </c>
      <c r="J1135" t="s">
        <v>177</v>
      </c>
      <c r="K1135">
        <v>6.4973956137937008E-2</v>
      </c>
      <c r="L1135" t="s">
        <v>166</v>
      </c>
      <c r="N1135" t="s">
        <v>212</v>
      </c>
      <c r="O1135" t="s">
        <v>177</v>
      </c>
      <c r="P1135">
        <v>2.4336022091916477E-2</v>
      </c>
      <c r="Q1135" t="s">
        <v>166</v>
      </c>
      <c r="S1135" t="s">
        <v>229</v>
      </c>
      <c r="T1135" t="s">
        <v>177</v>
      </c>
      <c r="U1135">
        <v>1.5985291455710066E-2</v>
      </c>
      <c r="V1135" t="s">
        <v>166</v>
      </c>
    </row>
    <row r="1136" spans="9:22" x14ac:dyDescent="0.45">
      <c r="I1136" t="s">
        <v>188</v>
      </c>
      <c r="J1136" t="s">
        <v>267</v>
      </c>
      <c r="K1136">
        <v>7.3552195952696093E-3</v>
      </c>
      <c r="L1136" t="s">
        <v>166</v>
      </c>
      <c r="N1136" t="s">
        <v>212</v>
      </c>
      <c r="O1136" t="s">
        <v>267</v>
      </c>
      <c r="P1136">
        <v>2.4480308792337799E-3</v>
      </c>
      <c r="Q1136" t="s">
        <v>166</v>
      </c>
      <c r="S1136" t="s">
        <v>229</v>
      </c>
      <c r="T1136" t="s">
        <v>267</v>
      </c>
      <c r="U1136">
        <v>1.9838472016059736E-3</v>
      </c>
      <c r="V1136" t="s">
        <v>166</v>
      </c>
    </row>
    <row r="1137" spans="9:22" x14ac:dyDescent="0.45">
      <c r="I1137" t="s">
        <v>188</v>
      </c>
      <c r="J1137" t="s">
        <v>268</v>
      </c>
      <c r="K1137">
        <v>9.0189567668461611E-3</v>
      </c>
      <c r="L1137" t="s">
        <v>166</v>
      </c>
      <c r="N1137" t="s">
        <v>212</v>
      </c>
      <c r="O1137" t="s">
        <v>268</v>
      </c>
      <c r="P1137">
        <v>3.278356566783405E-3</v>
      </c>
      <c r="Q1137" t="s">
        <v>166</v>
      </c>
      <c r="S1137" t="s">
        <v>229</v>
      </c>
      <c r="T1137" t="s">
        <v>268</v>
      </c>
      <c r="U1137">
        <v>3.2931794394765014E-3</v>
      </c>
      <c r="V1137" t="s">
        <v>166</v>
      </c>
    </row>
    <row r="1138" spans="9:22" x14ac:dyDescent="0.45">
      <c r="I1138" t="s">
        <v>188</v>
      </c>
      <c r="J1138" t="s">
        <v>269</v>
      </c>
      <c r="K1138">
        <v>5.2545864317325524E-4</v>
      </c>
      <c r="L1138" t="s">
        <v>166</v>
      </c>
      <c r="N1138" t="s">
        <v>212</v>
      </c>
      <c r="O1138" t="s">
        <v>269</v>
      </c>
      <c r="P1138">
        <v>8.9411981111145386E-3</v>
      </c>
      <c r="Q1138" t="s">
        <v>166</v>
      </c>
      <c r="S1138" t="s">
        <v>229</v>
      </c>
      <c r="T1138" t="s">
        <v>269</v>
      </c>
      <c r="U1138">
        <v>1.3033425856560109E-2</v>
      </c>
      <c r="V1138" t="s">
        <v>166</v>
      </c>
    </row>
    <row r="1139" spans="9:22" x14ac:dyDescent="0.45">
      <c r="I1139" t="s">
        <v>188</v>
      </c>
      <c r="J1139" t="s">
        <v>270</v>
      </c>
      <c r="K1139">
        <v>2.4962055963904093E-3</v>
      </c>
      <c r="L1139" t="s">
        <v>166</v>
      </c>
      <c r="N1139" t="s">
        <v>212</v>
      </c>
      <c r="O1139" t="s">
        <v>270</v>
      </c>
      <c r="P1139">
        <v>4.738238886671256E-2</v>
      </c>
      <c r="Q1139" t="s">
        <v>166</v>
      </c>
      <c r="S1139" t="s">
        <v>229</v>
      </c>
      <c r="T1139" t="s">
        <v>270</v>
      </c>
      <c r="U1139">
        <v>3.8551313439140047E-2</v>
      </c>
      <c r="V1139" t="s">
        <v>166</v>
      </c>
    </row>
    <row r="1140" spans="9:22" x14ac:dyDescent="0.45">
      <c r="I1140" t="s">
        <v>188</v>
      </c>
      <c r="J1140" t="s">
        <v>271</v>
      </c>
      <c r="K1140">
        <v>5.0639063324989944E-3</v>
      </c>
      <c r="L1140" t="s">
        <v>166</v>
      </c>
      <c r="N1140" t="s">
        <v>212</v>
      </c>
      <c r="O1140" t="s">
        <v>271</v>
      </c>
      <c r="P1140">
        <v>6.4825808184957E-3</v>
      </c>
      <c r="Q1140" t="s">
        <v>166</v>
      </c>
      <c r="S1140" t="s">
        <v>229</v>
      </c>
      <c r="T1140" t="s">
        <v>271</v>
      </c>
      <c r="U1140">
        <v>4.4707006101748405E-3</v>
      </c>
      <c r="V1140" t="s">
        <v>166</v>
      </c>
    </row>
    <row r="1141" spans="9:22" x14ac:dyDescent="0.45">
      <c r="I1141" t="s">
        <v>188</v>
      </c>
      <c r="J1141" t="s">
        <v>272</v>
      </c>
      <c r="K1141">
        <v>6.7679639608775918E-2</v>
      </c>
      <c r="L1141" t="s">
        <v>166</v>
      </c>
      <c r="N1141" t="s">
        <v>212</v>
      </c>
      <c r="O1141" t="s">
        <v>272</v>
      </c>
      <c r="P1141">
        <v>4.5164589052477958E-2</v>
      </c>
      <c r="Q1141" t="s">
        <v>166</v>
      </c>
      <c r="S1141" t="s">
        <v>229</v>
      </c>
      <c r="T1141" t="s">
        <v>272</v>
      </c>
      <c r="U1141">
        <v>2.9580461220482576E-2</v>
      </c>
      <c r="V1141" t="s">
        <v>166</v>
      </c>
    </row>
    <row r="1142" spans="9:22" x14ac:dyDescent="0.45">
      <c r="I1142" t="s">
        <v>188</v>
      </c>
      <c r="J1142" t="s">
        <v>273</v>
      </c>
      <c r="K1142">
        <v>7.3535851273546895E-3</v>
      </c>
      <c r="L1142" t="s">
        <v>166</v>
      </c>
      <c r="N1142" t="s">
        <v>212</v>
      </c>
      <c r="O1142" t="s">
        <v>273</v>
      </c>
      <c r="P1142">
        <v>4.9989331923558141E-3</v>
      </c>
      <c r="Q1142" t="s">
        <v>166</v>
      </c>
      <c r="S1142" t="s">
        <v>229</v>
      </c>
      <c r="T1142" t="s">
        <v>273</v>
      </c>
      <c r="U1142">
        <v>3.8096274341442786E-3</v>
      </c>
      <c r="V1142" t="s">
        <v>166</v>
      </c>
    </row>
    <row r="1143" spans="9:22" x14ac:dyDescent="0.45">
      <c r="I1143" t="s">
        <v>188</v>
      </c>
      <c r="J1143" t="s">
        <v>274</v>
      </c>
      <c r="K1143">
        <v>8.0257767116125537E-3</v>
      </c>
      <c r="L1143" t="s">
        <v>166</v>
      </c>
      <c r="N1143" t="s">
        <v>212</v>
      </c>
      <c r="O1143" t="s">
        <v>274</v>
      </c>
      <c r="P1143">
        <v>7.5009926603996861E-3</v>
      </c>
      <c r="Q1143" t="s">
        <v>166</v>
      </c>
      <c r="S1143" t="s">
        <v>229</v>
      </c>
      <c r="T1143" t="s">
        <v>274</v>
      </c>
      <c r="U1143">
        <v>7.3582011105272887E-3</v>
      </c>
      <c r="V1143" t="s">
        <v>166</v>
      </c>
    </row>
    <row r="1144" spans="9:22" x14ac:dyDescent="0.45">
      <c r="I1144" t="s">
        <v>188</v>
      </c>
      <c r="J1144" t="s">
        <v>275</v>
      </c>
      <c r="K1144">
        <v>0</v>
      </c>
      <c r="L1144" t="s">
        <v>166</v>
      </c>
      <c r="N1144" t="s">
        <v>212</v>
      </c>
      <c r="O1144" t="s">
        <v>275</v>
      </c>
      <c r="P1144">
        <v>2.141084131715355E-2</v>
      </c>
      <c r="Q1144" t="s">
        <v>166</v>
      </c>
      <c r="S1144" t="s">
        <v>229</v>
      </c>
      <c r="T1144" t="s">
        <v>275</v>
      </c>
      <c r="U1144">
        <v>2.2820005332707591E-2</v>
      </c>
      <c r="V1144" t="s">
        <v>166</v>
      </c>
    </row>
    <row r="1145" spans="9:22" x14ac:dyDescent="0.45">
      <c r="I1145" t="s">
        <v>188</v>
      </c>
      <c r="J1145" t="s">
        <v>276</v>
      </c>
      <c r="K1145">
        <v>7.2241628144875973E-3</v>
      </c>
      <c r="L1145" t="s">
        <v>166</v>
      </c>
      <c r="N1145" t="s">
        <v>212</v>
      </c>
      <c r="O1145" t="s">
        <v>276</v>
      </c>
      <c r="P1145">
        <v>3.2708276438484347E-2</v>
      </c>
      <c r="Q1145" t="s">
        <v>166</v>
      </c>
      <c r="S1145" t="s">
        <v>229</v>
      </c>
      <c r="T1145" t="s">
        <v>276</v>
      </c>
      <c r="U1145">
        <v>4.7892715390413454E-2</v>
      </c>
      <c r="V1145" t="s">
        <v>166</v>
      </c>
    </row>
    <row r="1146" spans="9:22" x14ac:dyDescent="0.45">
      <c r="I1146" t="s">
        <v>188</v>
      </c>
      <c r="J1146" t="s">
        <v>277</v>
      </c>
      <c r="K1146">
        <v>1.3088296753005877E-2</v>
      </c>
      <c r="L1146" t="s">
        <v>166</v>
      </c>
      <c r="N1146" t="s">
        <v>212</v>
      </c>
      <c r="O1146" t="s">
        <v>277</v>
      </c>
      <c r="P1146">
        <v>4.965390041666155E-3</v>
      </c>
      <c r="Q1146" t="s">
        <v>166</v>
      </c>
      <c r="S1146" t="s">
        <v>229</v>
      </c>
      <c r="T1146" t="s">
        <v>277</v>
      </c>
      <c r="U1146">
        <v>6.2900655084781659E-3</v>
      </c>
      <c r="V1146" t="s">
        <v>166</v>
      </c>
    </row>
    <row r="1147" spans="9:22" x14ac:dyDescent="0.45">
      <c r="I1147" t="s">
        <v>188</v>
      </c>
      <c r="J1147" t="s">
        <v>278</v>
      </c>
      <c r="K1147">
        <v>0.14077301052981089</v>
      </c>
      <c r="L1147" t="s">
        <v>166</v>
      </c>
      <c r="N1147" t="s">
        <v>212</v>
      </c>
      <c r="O1147" t="s">
        <v>278</v>
      </c>
      <c r="P1147">
        <v>4.9768987328075574E-2</v>
      </c>
      <c r="Q1147" t="s">
        <v>166</v>
      </c>
      <c r="S1147" t="s">
        <v>229</v>
      </c>
      <c r="T1147" t="s">
        <v>278</v>
      </c>
      <c r="U1147">
        <v>4.3331446832613398E-2</v>
      </c>
      <c r="V1147" t="s">
        <v>166</v>
      </c>
    </row>
    <row r="1148" spans="9:22" x14ac:dyDescent="0.45">
      <c r="I1148" t="s">
        <v>188</v>
      </c>
      <c r="J1148" t="s">
        <v>279</v>
      </c>
      <c r="K1148">
        <v>1.4462275043915692E-2</v>
      </c>
      <c r="L1148" t="s">
        <v>166</v>
      </c>
      <c r="N1148" t="s">
        <v>212</v>
      </c>
      <c r="O1148" t="s">
        <v>279</v>
      </c>
      <c r="P1148">
        <v>6.7618831712201099E-3</v>
      </c>
      <c r="Q1148" t="s">
        <v>166</v>
      </c>
      <c r="S1148" t="s">
        <v>229</v>
      </c>
      <c r="T1148" t="s">
        <v>279</v>
      </c>
      <c r="U1148">
        <v>5.9060535474224941E-3</v>
      </c>
      <c r="V1148" t="s">
        <v>166</v>
      </c>
    </row>
    <row r="1149" spans="9:22" x14ac:dyDescent="0.45">
      <c r="I1149" t="s">
        <v>188</v>
      </c>
      <c r="J1149" t="s">
        <v>280</v>
      </c>
      <c r="K1149">
        <v>1.2329803328457331E-2</v>
      </c>
      <c r="L1149" t="s">
        <v>166</v>
      </c>
      <c r="N1149" t="s">
        <v>212</v>
      </c>
      <c r="O1149" t="s">
        <v>280</v>
      </c>
      <c r="P1149">
        <v>1.1095210619897194E-2</v>
      </c>
      <c r="Q1149" t="s">
        <v>166</v>
      </c>
      <c r="S1149" t="s">
        <v>229</v>
      </c>
      <c r="T1149" t="s">
        <v>280</v>
      </c>
      <c r="U1149">
        <v>1.06956096505198E-2</v>
      </c>
      <c r="V1149" t="s">
        <v>166</v>
      </c>
    </row>
    <row r="1150" spans="9:22" x14ac:dyDescent="0.45">
      <c r="I1150" t="s">
        <v>188</v>
      </c>
      <c r="J1150" t="s">
        <v>281</v>
      </c>
      <c r="K1150">
        <v>0</v>
      </c>
      <c r="L1150" t="s">
        <v>166</v>
      </c>
      <c r="N1150" t="s">
        <v>212</v>
      </c>
      <c r="O1150" t="s">
        <v>281</v>
      </c>
      <c r="P1150">
        <v>2.3625199989860915E-2</v>
      </c>
      <c r="Q1150" t="s">
        <v>166</v>
      </c>
      <c r="S1150" t="s">
        <v>229</v>
      </c>
      <c r="T1150" t="s">
        <v>281</v>
      </c>
      <c r="U1150">
        <v>2.7345996569647965E-2</v>
      </c>
      <c r="V1150" t="s">
        <v>166</v>
      </c>
    </row>
    <row r="1151" spans="9:22" x14ac:dyDescent="0.45">
      <c r="I1151" t="s">
        <v>188</v>
      </c>
      <c r="J1151" t="s">
        <v>282</v>
      </c>
      <c r="K1151">
        <v>2.1374758202714911E-3</v>
      </c>
      <c r="L1151" t="s">
        <v>166</v>
      </c>
      <c r="N1151" t="s">
        <v>212</v>
      </c>
      <c r="O1151" t="s">
        <v>282</v>
      </c>
      <c r="P1151">
        <v>3.6692162911100668E-2</v>
      </c>
      <c r="Q1151" t="s">
        <v>166</v>
      </c>
      <c r="S1151" t="s">
        <v>229</v>
      </c>
      <c r="T1151" t="s">
        <v>282</v>
      </c>
      <c r="U1151">
        <v>4.0153863329945048E-2</v>
      </c>
      <c r="V1151" t="s">
        <v>166</v>
      </c>
    </row>
    <row r="1152" spans="9:22" x14ac:dyDescent="0.45">
      <c r="I1152" t="s">
        <v>188</v>
      </c>
      <c r="J1152" t="s">
        <v>283</v>
      </c>
      <c r="K1152">
        <v>4.4493468834314546E-3</v>
      </c>
      <c r="L1152" t="s">
        <v>166</v>
      </c>
      <c r="N1152" t="s">
        <v>212</v>
      </c>
      <c r="O1152" t="s">
        <v>283</v>
      </c>
      <c r="P1152">
        <v>5.7513644397589516E-3</v>
      </c>
      <c r="Q1152" t="s">
        <v>166</v>
      </c>
      <c r="S1152" t="s">
        <v>229</v>
      </c>
      <c r="T1152" t="s">
        <v>283</v>
      </c>
      <c r="U1152">
        <v>5.5436893414724997E-3</v>
      </c>
      <c r="V1152" t="s">
        <v>166</v>
      </c>
    </row>
    <row r="1153" spans="9:22" x14ac:dyDescent="0.45">
      <c r="I1153" t="s">
        <v>188</v>
      </c>
      <c r="J1153" t="s">
        <v>284</v>
      </c>
      <c r="K1153">
        <v>5.5840666391117573E-2</v>
      </c>
      <c r="L1153" t="s">
        <v>166</v>
      </c>
      <c r="N1153" t="s">
        <v>212</v>
      </c>
      <c r="O1153" t="s">
        <v>284</v>
      </c>
      <c r="P1153">
        <v>4.6267411612496381E-2</v>
      </c>
      <c r="Q1153" t="s">
        <v>166</v>
      </c>
      <c r="S1153" t="s">
        <v>229</v>
      </c>
      <c r="T1153" t="s">
        <v>284</v>
      </c>
      <c r="U1153">
        <v>3.7714055431769013E-2</v>
      </c>
      <c r="V1153" t="s">
        <v>166</v>
      </c>
    </row>
    <row r="1154" spans="9:22" x14ac:dyDescent="0.45">
      <c r="I1154" t="s">
        <v>188</v>
      </c>
      <c r="J1154" t="s">
        <v>285</v>
      </c>
      <c r="K1154">
        <v>5.6306327996046403E-3</v>
      </c>
      <c r="L1154" t="s">
        <v>166</v>
      </c>
      <c r="N1154" t="s">
        <v>212</v>
      </c>
      <c r="O1154" t="s">
        <v>285</v>
      </c>
      <c r="P1154">
        <v>5.5408144680330522E-3</v>
      </c>
      <c r="Q1154" t="s">
        <v>166</v>
      </c>
      <c r="S1154" t="s">
        <v>229</v>
      </c>
      <c r="T1154" t="s">
        <v>285</v>
      </c>
      <c r="U1154">
        <v>5.2870942618397894E-3</v>
      </c>
      <c r="V1154" t="s">
        <v>166</v>
      </c>
    </row>
    <row r="1155" spans="9:22" x14ac:dyDescent="0.45">
      <c r="I1155" t="s">
        <v>188</v>
      </c>
      <c r="J1155" t="s">
        <v>286</v>
      </c>
      <c r="K1155">
        <v>3.2891357329378709E-3</v>
      </c>
      <c r="L1155" t="s">
        <v>166</v>
      </c>
      <c r="N1155" t="s">
        <v>212</v>
      </c>
      <c r="O1155" t="s">
        <v>286</v>
      </c>
      <c r="P1155">
        <v>8.8827657478865226E-3</v>
      </c>
      <c r="Q1155" t="s">
        <v>166</v>
      </c>
      <c r="S1155" t="s">
        <v>229</v>
      </c>
      <c r="T1155" t="s">
        <v>286</v>
      </c>
      <c r="U1155">
        <v>9.7483044435038874E-3</v>
      </c>
      <c r="V1155" t="s">
        <v>166</v>
      </c>
    </row>
    <row r="1156" spans="9:22" x14ac:dyDescent="0.45">
      <c r="I1156" t="s">
        <v>188</v>
      </c>
      <c r="J1156" t="s">
        <v>287</v>
      </c>
      <c r="K1156">
        <v>0</v>
      </c>
      <c r="L1156" t="s">
        <v>166</v>
      </c>
      <c r="N1156" t="s">
        <v>212</v>
      </c>
      <c r="O1156" t="s">
        <v>287</v>
      </c>
      <c r="P1156">
        <v>2.2296523782534401E-2</v>
      </c>
      <c r="Q1156" t="s">
        <v>166</v>
      </c>
      <c r="S1156" t="s">
        <v>229</v>
      </c>
      <c r="T1156" t="s">
        <v>287</v>
      </c>
      <c r="U1156">
        <v>2.5956464675213408E-2</v>
      </c>
      <c r="V1156" t="s">
        <v>166</v>
      </c>
    </row>
    <row r="1157" spans="9:22" x14ac:dyDescent="0.45">
      <c r="I1157" t="s">
        <v>188</v>
      </c>
      <c r="J1157" t="s">
        <v>288</v>
      </c>
      <c r="K1157">
        <v>1.8018151782626234E-3</v>
      </c>
      <c r="L1157" t="s">
        <v>166</v>
      </c>
      <c r="N1157" t="s">
        <v>212</v>
      </c>
      <c r="O1157" t="s">
        <v>288</v>
      </c>
      <c r="P1157">
        <v>4.2542119285312728E-2</v>
      </c>
      <c r="Q1157" t="s">
        <v>166</v>
      </c>
      <c r="S1157" t="s">
        <v>229</v>
      </c>
      <c r="T1157" t="s">
        <v>288</v>
      </c>
      <c r="U1157">
        <v>4.976038637026977E-2</v>
      </c>
      <c r="V1157" t="s">
        <v>166</v>
      </c>
    </row>
    <row r="1158" spans="9:22" x14ac:dyDescent="0.45">
      <c r="I1158" t="s">
        <v>188</v>
      </c>
      <c r="J1158" t="s">
        <v>289</v>
      </c>
      <c r="K1158">
        <v>7.4581118472055227E-3</v>
      </c>
      <c r="L1158" t="s">
        <v>166</v>
      </c>
      <c r="N1158" t="s">
        <v>212</v>
      </c>
      <c r="O1158" t="s">
        <v>289</v>
      </c>
      <c r="P1158">
        <v>5.6639297858608493E-3</v>
      </c>
      <c r="Q1158" t="s">
        <v>166</v>
      </c>
      <c r="S1158" t="s">
        <v>229</v>
      </c>
      <c r="T1158" t="s">
        <v>289</v>
      </c>
      <c r="U1158">
        <v>6.5391156268164519E-3</v>
      </c>
      <c r="V1158" t="s">
        <v>166</v>
      </c>
    </row>
    <row r="1159" spans="9:22" x14ac:dyDescent="0.45">
      <c r="I1159" t="s">
        <v>188</v>
      </c>
      <c r="J1159" t="s">
        <v>290</v>
      </c>
      <c r="K1159">
        <v>8.2788295970067663E-2</v>
      </c>
      <c r="L1159" t="s">
        <v>166</v>
      </c>
      <c r="N1159" t="s">
        <v>212</v>
      </c>
      <c r="O1159" t="s">
        <v>290</v>
      </c>
      <c r="P1159">
        <v>4.974361369123504E-2</v>
      </c>
      <c r="Q1159" t="s">
        <v>166</v>
      </c>
      <c r="S1159" t="s">
        <v>229</v>
      </c>
      <c r="T1159" t="s">
        <v>290</v>
      </c>
      <c r="U1159">
        <v>4.5119349195315579E-2</v>
      </c>
      <c r="V1159" t="s">
        <v>166</v>
      </c>
    </row>
    <row r="1160" spans="9:22" x14ac:dyDescent="0.45">
      <c r="I1160" t="s">
        <v>188</v>
      </c>
      <c r="J1160" t="s">
        <v>291</v>
      </c>
      <c r="K1160">
        <v>9.1060065962576143E-3</v>
      </c>
      <c r="L1160" t="s">
        <v>166</v>
      </c>
      <c r="N1160" t="s">
        <v>212</v>
      </c>
      <c r="O1160" t="s">
        <v>291</v>
      </c>
      <c r="P1160">
        <v>5.8316696178274752E-3</v>
      </c>
      <c r="Q1160" t="s">
        <v>166</v>
      </c>
      <c r="S1160" t="s">
        <v>229</v>
      </c>
      <c r="T1160" t="s">
        <v>291</v>
      </c>
      <c r="U1160">
        <v>6.3464449615802448E-3</v>
      </c>
      <c r="V1160" t="s">
        <v>166</v>
      </c>
    </row>
    <row r="1161" spans="9:22" x14ac:dyDescent="0.45">
      <c r="I1161" t="s">
        <v>188</v>
      </c>
      <c r="J1161" t="s">
        <v>292</v>
      </c>
      <c r="K1161">
        <v>5.4395992621806867E-3</v>
      </c>
      <c r="L1161" t="s">
        <v>166</v>
      </c>
      <c r="N1161" t="s">
        <v>212</v>
      </c>
      <c r="O1161" t="s">
        <v>292</v>
      </c>
      <c r="P1161">
        <v>8.949567071658393E-3</v>
      </c>
      <c r="Q1161" t="s">
        <v>166</v>
      </c>
      <c r="S1161" t="s">
        <v>229</v>
      </c>
      <c r="T1161" t="s">
        <v>292</v>
      </c>
      <c r="U1161">
        <v>1.1553986485333886E-2</v>
      </c>
      <c r="V1161" t="s">
        <v>166</v>
      </c>
    </row>
    <row r="1162" spans="9:22" x14ac:dyDescent="0.45">
      <c r="I1162" t="s">
        <v>188</v>
      </c>
      <c r="J1162" t="s">
        <v>293</v>
      </c>
      <c r="K1162">
        <v>0</v>
      </c>
      <c r="L1162" t="s">
        <v>166</v>
      </c>
      <c r="N1162" t="s">
        <v>212</v>
      </c>
      <c r="O1162" t="s">
        <v>293</v>
      </c>
      <c r="P1162">
        <v>2.4012197735440801E-2</v>
      </c>
      <c r="Q1162" t="s">
        <v>166</v>
      </c>
      <c r="S1162" t="s">
        <v>229</v>
      </c>
      <c r="T1162" t="s">
        <v>293</v>
      </c>
      <c r="U1162">
        <v>2.9562672787496899E-2</v>
      </c>
      <c r="V1162" t="s">
        <v>166</v>
      </c>
    </row>
    <row r="1163" spans="9:22" x14ac:dyDescent="0.45">
      <c r="I1163" t="s">
        <v>189</v>
      </c>
      <c r="J1163" t="s">
        <v>165</v>
      </c>
      <c r="K1163">
        <v>2.5160424793288731E-3</v>
      </c>
      <c r="L1163" t="s">
        <v>166</v>
      </c>
      <c r="N1163" t="s">
        <v>213</v>
      </c>
      <c r="O1163" t="s">
        <v>165</v>
      </c>
      <c r="P1163">
        <v>7.3146218674611879E-2</v>
      </c>
      <c r="Q1163" t="s">
        <v>166</v>
      </c>
      <c r="S1163" t="s">
        <v>230</v>
      </c>
      <c r="T1163" t="s">
        <v>165</v>
      </c>
      <c r="U1163">
        <v>0.11251497999343546</v>
      </c>
      <c r="V1163" t="s">
        <v>166</v>
      </c>
    </row>
    <row r="1164" spans="9:22" x14ac:dyDescent="0.45">
      <c r="I1164" t="s">
        <v>189</v>
      </c>
      <c r="J1164" t="s">
        <v>167</v>
      </c>
      <c r="K1164">
        <v>7.5766827648512036E-3</v>
      </c>
      <c r="L1164" t="s">
        <v>166</v>
      </c>
      <c r="N1164" t="s">
        <v>213</v>
      </c>
      <c r="O1164" t="s">
        <v>167</v>
      </c>
      <c r="P1164">
        <v>9.4160670962608571E-3</v>
      </c>
      <c r="Q1164" t="s">
        <v>166</v>
      </c>
      <c r="S1164" t="s">
        <v>230</v>
      </c>
      <c r="T1164" t="s">
        <v>167</v>
      </c>
      <c r="U1164">
        <v>1.449125252381738E-2</v>
      </c>
      <c r="V1164" t="s">
        <v>166</v>
      </c>
    </row>
    <row r="1165" spans="9:22" x14ac:dyDescent="0.45">
      <c r="I1165" t="s">
        <v>189</v>
      </c>
      <c r="J1165" t="s">
        <v>168</v>
      </c>
      <c r="K1165">
        <v>0.19977206993930871</v>
      </c>
      <c r="L1165" t="s">
        <v>166</v>
      </c>
      <c r="N1165" t="s">
        <v>213</v>
      </c>
      <c r="O1165" t="s">
        <v>168</v>
      </c>
      <c r="P1165">
        <v>6.6291121522989993E-2</v>
      </c>
      <c r="Q1165" t="s">
        <v>166</v>
      </c>
      <c r="S1165" t="s">
        <v>230</v>
      </c>
      <c r="T1165" t="s">
        <v>168</v>
      </c>
      <c r="U1165">
        <v>9.4388530090223133E-2</v>
      </c>
      <c r="V1165" t="s">
        <v>166</v>
      </c>
    </row>
    <row r="1166" spans="9:22" x14ac:dyDescent="0.45">
      <c r="I1166" t="s">
        <v>189</v>
      </c>
      <c r="J1166" t="s">
        <v>258</v>
      </c>
      <c r="K1166">
        <v>2.6257505758375599E-2</v>
      </c>
      <c r="L1166" t="s">
        <v>166</v>
      </c>
      <c r="N1166" t="s">
        <v>213</v>
      </c>
      <c r="O1166" t="s">
        <v>258</v>
      </c>
      <c r="P1166">
        <v>1.3428316588188001E-2</v>
      </c>
      <c r="Q1166" t="s">
        <v>166</v>
      </c>
      <c r="S1166" t="s">
        <v>230</v>
      </c>
      <c r="T1166" t="s">
        <v>258</v>
      </c>
      <c r="U1166">
        <v>1.3590786739344433E-2</v>
      </c>
      <c r="V1166" t="s">
        <v>166</v>
      </c>
    </row>
    <row r="1167" spans="9:22" x14ac:dyDescent="0.45">
      <c r="I1167" t="s">
        <v>189</v>
      </c>
      <c r="J1167" t="s">
        <v>259</v>
      </c>
      <c r="K1167">
        <v>2.9433304700002688E-2</v>
      </c>
      <c r="L1167" t="s">
        <v>166</v>
      </c>
      <c r="N1167" t="s">
        <v>213</v>
      </c>
      <c r="O1167" t="s">
        <v>259</v>
      </c>
      <c r="P1167">
        <v>2.8267335603493531E-2</v>
      </c>
      <c r="Q1167" t="s">
        <v>166</v>
      </c>
      <c r="S1167" t="s">
        <v>230</v>
      </c>
      <c r="T1167" t="s">
        <v>259</v>
      </c>
      <c r="U1167">
        <v>2.5106857568787042E-2</v>
      </c>
      <c r="V1167" t="s">
        <v>166</v>
      </c>
    </row>
    <row r="1168" spans="9:22" x14ac:dyDescent="0.45">
      <c r="I1168" t="s">
        <v>189</v>
      </c>
      <c r="J1168" t="s">
        <v>260</v>
      </c>
      <c r="K1168">
        <v>0</v>
      </c>
      <c r="L1168" t="s">
        <v>166</v>
      </c>
      <c r="N1168" t="s">
        <v>213</v>
      </c>
      <c r="O1168" t="s">
        <v>260</v>
      </c>
      <c r="P1168">
        <v>6.4680389291489393E-2</v>
      </c>
      <c r="Q1168" t="s">
        <v>166</v>
      </c>
      <c r="S1168" t="s">
        <v>230</v>
      </c>
      <c r="T1168" t="s">
        <v>260</v>
      </c>
      <c r="U1168">
        <v>7.0020986254438172E-2</v>
      </c>
      <c r="V1168" t="s">
        <v>166</v>
      </c>
    </row>
    <row r="1169" spans="9:22" x14ac:dyDescent="0.45">
      <c r="I1169" t="s">
        <v>189</v>
      </c>
      <c r="J1169" t="s">
        <v>346</v>
      </c>
      <c r="K1169">
        <v>0</v>
      </c>
      <c r="L1169" t="s">
        <v>166</v>
      </c>
      <c r="N1169" t="s">
        <v>213</v>
      </c>
      <c r="O1169" t="s">
        <v>346</v>
      </c>
      <c r="P1169">
        <v>2.9187940008056013E-5</v>
      </c>
      <c r="Q1169" t="s">
        <v>166</v>
      </c>
      <c r="S1169" t="s">
        <v>230</v>
      </c>
      <c r="T1169" t="s">
        <v>346</v>
      </c>
      <c r="U1169">
        <v>1.280121502605447E-4</v>
      </c>
      <c r="V1169" t="s">
        <v>166</v>
      </c>
    </row>
    <row r="1170" spans="9:22" x14ac:dyDescent="0.45">
      <c r="I1170" t="s">
        <v>189</v>
      </c>
      <c r="J1170" t="s">
        <v>347</v>
      </c>
      <c r="K1170">
        <v>0</v>
      </c>
      <c r="L1170" t="s">
        <v>166</v>
      </c>
      <c r="N1170" t="s">
        <v>213</v>
      </c>
      <c r="O1170" t="s">
        <v>347</v>
      </c>
      <c r="P1170">
        <v>4.1016873759836987E-5</v>
      </c>
      <c r="Q1170" t="s">
        <v>166</v>
      </c>
      <c r="S1170" t="s">
        <v>230</v>
      </c>
      <c r="T1170" t="s">
        <v>347</v>
      </c>
      <c r="U1170">
        <v>1.2877008469695079E-4</v>
      </c>
      <c r="V1170" t="s">
        <v>166</v>
      </c>
    </row>
    <row r="1171" spans="9:22" x14ac:dyDescent="0.45">
      <c r="I1171" t="s">
        <v>189</v>
      </c>
      <c r="J1171" t="s">
        <v>348</v>
      </c>
      <c r="K1171">
        <v>0</v>
      </c>
      <c r="L1171" t="s">
        <v>166</v>
      </c>
      <c r="N1171" t="s">
        <v>213</v>
      </c>
      <c r="O1171" t="s">
        <v>348</v>
      </c>
      <c r="P1171">
        <v>4.8644771036816863E-5</v>
      </c>
      <c r="Q1171" t="s">
        <v>166</v>
      </c>
      <c r="S1171" t="s">
        <v>230</v>
      </c>
      <c r="T1171" t="s">
        <v>348</v>
      </c>
      <c r="U1171">
        <v>1.3144439669549621E-4</v>
      </c>
      <c r="V1171" t="s">
        <v>166</v>
      </c>
    </row>
    <row r="1172" spans="9:22" x14ac:dyDescent="0.45">
      <c r="I1172" t="s">
        <v>189</v>
      </c>
      <c r="J1172" t="s">
        <v>349</v>
      </c>
      <c r="K1172">
        <v>0</v>
      </c>
      <c r="L1172" t="s">
        <v>166</v>
      </c>
      <c r="N1172" t="s">
        <v>213</v>
      </c>
      <c r="O1172" t="s">
        <v>349</v>
      </c>
      <c r="P1172">
        <v>5.1945984915938457E-5</v>
      </c>
      <c r="Q1172" t="s">
        <v>166</v>
      </c>
      <c r="S1172" t="s">
        <v>230</v>
      </c>
      <c r="T1172" t="s">
        <v>349</v>
      </c>
      <c r="U1172">
        <v>1.3909514203851018E-4</v>
      </c>
      <c r="V1172" t="s">
        <v>166</v>
      </c>
    </row>
    <row r="1173" spans="9:22" x14ac:dyDescent="0.45">
      <c r="I1173" t="s">
        <v>189</v>
      </c>
      <c r="J1173" t="s">
        <v>350</v>
      </c>
      <c r="K1173">
        <v>0</v>
      </c>
      <c r="L1173" t="s">
        <v>166</v>
      </c>
      <c r="N1173" t="s">
        <v>213</v>
      </c>
      <c r="O1173" t="s">
        <v>350</v>
      </c>
      <c r="P1173">
        <v>6.0302632670696532E-5</v>
      </c>
      <c r="Q1173" t="s">
        <v>166</v>
      </c>
      <c r="S1173" t="s">
        <v>230</v>
      </c>
      <c r="T1173" t="s">
        <v>350</v>
      </c>
      <c r="U1173">
        <v>1.4917075158588935E-4</v>
      </c>
      <c r="V1173" t="s">
        <v>166</v>
      </c>
    </row>
    <row r="1174" spans="9:22" x14ac:dyDescent="0.45">
      <c r="I1174" t="s">
        <v>189</v>
      </c>
      <c r="J1174" t="s">
        <v>351</v>
      </c>
      <c r="K1174">
        <v>0</v>
      </c>
      <c r="L1174" t="s">
        <v>166</v>
      </c>
      <c r="N1174" t="s">
        <v>213</v>
      </c>
      <c r="O1174" t="s">
        <v>351</v>
      </c>
      <c r="P1174">
        <v>6.6584125411634512E-5</v>
      </c>
      <c r="Q1174" t="s">
        <v>166</v>
      </c>
      <c r="S1174" t="s">
        <v>230</v>
      </c>
      <c r="T1174" t="s">
        <v>351</v>
      </c>
      <c r="U1174">
        <v>1.2309742103145584E-4</v>
      </c>
      <c r="V1174" t="s">
        <v>166</v>
      </c>
    </row>
    <row r="1175" spans="9:22" x14ac:dyDescent="0.45">
      <c r="I1175" t="s">
        <v>189</v>
      </c>
      <c r="J1175" t="s">
        <v>352</v>
      </c>
      <c r="K1175">
        <v>0</v>
      </c>
      <c r="L1175" t="s">
        <v>166</v>
      </c>
      <c r="N1175" t="s">
        <v>213</v>
      </c>
      <c r="O1175" t="s">
        <v>352</v>
      </c>
      <c r="P1175">
        <v>7.3891053012805721E-5</v>
      </c>
      <c r="Q1175" t="s">
        <v>166</v>
      </c>
      <c r="S1175" t="s">
        <v>230</v>
      </c>
      <c r="T1175" t="s">
        <v>352</v>
      </c>
      <c r="U1175">
        <v>1.249679176869162E-4</v>
      </c>
      <c r="V1175" t="s">
        <v>166</v>
      </c>
    </row>
    <row r="1176" spans="9:22" x14ac:dyDescent="0.45">
      <c r="I1176" t="s">
        <v>189</v>
      </c>
      <c r="J1176" t="s">
        <v>353</v>
      </c>
      <c r="K1176">
        <v>0</v>
      </c>
      <c r="L1176" t="s">
        <v>166</v>
      </c>
      <c r="N1176" t="s">
        <v>213</v>
      </c>
      <c r="O1176" t="s">
        <v>353</v>
      </c>
      <c r="P1176">
        <v>7.7697340681326179E-5</v>
      </c>
      <c r="Q1176" t="s">
        <v>166</v>
      </c>
      <c r="S1176" t="s">
        <v>230</v>
      </c>
      <c r="T1176" t="s">
        <v>353</v>
      </c>
      <c r="U1176">
        <v>1.2635082909859033E-4</v>
      </c>
      <c r="V1176" t="s">
        <v>166</v>
      </c>
    </row>
    <row r="1177" spans="9:22" x14ac:dyDescent="0.45">
      <c r="I1177" t="s">
        <v>189</v>
      </c>
      <c r="J1177" t="s">
        <v>354</v>
      </c>
      <c r="K1177">
        <v>1.1095435567136164E-5</v>
      </c>
      <c r="L1177" t="s">
        <v>166</v>
      </c>
      <c r="N1177" t="s">
        <v>213</v>
      </c>
      <c r="O1177" t="s">
        <v>354</v>
      </c>
      <c r="P1177">
        <v>6.589359829193306E-5</v>
      </c>
      <c r="Q1177" t="s">
        <v>166</v>
      </c>
      <c r="S1177" t="s">
        <v>230</v>
      </c>
      <c r="T1177" t="s">
        <v>354</v>
      </c>
      <c r="U1177">
        <v>1.2344622694196949E-4</v>
      </c>
      <c r="V1177" t="s">
        <v>166</v>
      </c>
    </row>
    <row r="1178" spans="9:22" x14ac:dyDescent="0.45">
      <c r="I1178" t="s">
        <v>189</v>
      </c>
      <c r="J1178" t="s">
        <v>355</v>
      </c>
      <c r="K1178">
        <v>3.0949311401888702E-5</v>
      </c>
      <c r="L1178" t="s">
        <v>166</v>
      </c>
      <c r="N1178" t="s">
        <v>213</v>
      </c>
      <c r="O1178" t="s">
        <v>355</v>
      </c>
      <c r="P1178">
        <v>4.2917290658575729E-5</v>
      </c>
      <c r="Q1178" t="s">
        <v>166</v>
      </c>
      <c r="S1178" t="s">
        <v>230</v>
      </c>
      <c r="T1178" t="s">
        <v>355</v>
      </c>
      <c r="U1178">
        <v>1.1825734804987061E-4</v>
      </c>
      <c r="V1178" t="s">
        <v>166</v>
      </c>
    </row>
    <row r="1179" spans="9:22" x14ac:dyDescent="0.45">
      <c r="I1179" t="s">
        <v>189</v>
      </c>
      <c r="J1179" t="s">
        <v>356</v>
      </c>
      <c r="K1179">
        <v>6.6103507789457212E-5</v>
      </c>
      <c r="L1179" t="s">
        <v>166</v>
      </c>
      <c r="N1179" t="s">
        <v>213</v>
      </c>
      <c r="O1179" t="s">
        <v>356</v>
      </c>
      <c r="P1179">
        <v>3.2537152302669808E-5</v>
      </c>
      <c r="Q1179" t="s">
        <v>166</v>
      </c>
      <c r="S1179" t="s">
        <v>230</v>
      </c>
      <c r="T1179" t="s">
        <v>356</v>
      </c>
      <c r="U1179">
        <v>1.0620837185329685E-4</v>
      </c>
      <c r="V1179" t="s">
        <v>166</v>
      </c>
    </row>
    <row r="1180" spans="9:22" x14ac:dyDescent="0.45">
      <c r="I1180" t="s">
        <v>189</v>
      </c>
      <c r="J1180" t="s">
        <v>357</v>
      </c>
      <c r="K1180">
        <v>1.0253111001149527E-4</v>
      </c>
      <c r="L1180" t="s">
        <v>166</v>
      </c>
      <c r="N1180" t="s">
        <v>213</v>
      </c>
      <c r="O1180" t="s">
        <v>357</v>
      </c>
      <c r="P1180">
        <v>2.3079243234769996E-5</v>
      </c>
      <c r="Q1180" t="s">
        <v>166</v>
      </c>
      <c r="S1180" t="s">
        <v>230</v>
      </c>
      <c r="T1180" t="s">
        <v>357</v>
      </c>
      <c r="U1180">
        <v>9.5481232998608542E-5</v>
      </c>
      <c r="V1180" t="s">
        <v>166</v>
      </c>
    </row>
    <row r="1181" spans="9:22" x14ac:dyDescent="0.45">
      <c r="I1181" t="s">
        <v>189</v>
      </c>
      <c r="J1181" t="s">
        <v>358</v>
      </c>
      <c r="K1181">
        <v>1.3424236850919621E-4</v>
      </c>
      <c r="L1181" t="s">
        <v>166</v>
      </c>
      <c r="N1181" t="s">
        <v>213</v>
      </c>
      <c r="O1181" t="s">
        <v>358</v>
      </c>
      <c r="P1181">
        <v>1.8958308465493769E-5</v>
      </c>
      <c r="Q1181" t="s">
        <v>166</v>
      </c>
      <c r="S1181" t="s">
        <v>230</v>
      </c>
      <c r="T1181" t="s">
        <v>358</v>
      </c>
      <c r="U1181">
        <v>8.6163205727756562E-5</v>
      </c>
      <c r="V1181" t="s">
        <v>166</v>
      </c>
    </row>
    <row r="1182" spans="9:22" x14ac:dyDescent="0.45">
      <c r="I1182" t="s">
        <v>189</v>
      </c>
      <c r="J1182" t="s">
        <v>359</v>
      </c>
      <c r="K1182">
        <v>1.3530963311601455E-4</v>
      </c>
      <c r="L1182" t="s">
        <v>166</v>
      </c>
      <c r="N1182" t="s">
        <v>213</v>
      </c>
      <c r="O1182" t="s">
        <v>359</v>
      </c>
      <c r="P1182">
        <v>1.6758831346212074E-5</v>
      </c>
      <c r="Q1182" t="s">
        <v>166</v>
      </c>
      <c r="S1182" t="s">
        <v>230</v>
      </c>
      <c r="T1182" t="s">
        <v>359</v>
      </c>
      <c r="U1182">
        <v>8.0263824193556489E-5</v>
      </c>
      <c r="V1182" t="s">
        <v>166</v>
      </c>
    </row>
    <row r="1183" spans="9:22" x14ac:dyDescent="0.45">
      <c r="I1183" t="s">
        <v>189</v>
      </c>
      <c r="J1183" t="s">
        <v>360</v>
      </c>
      <c r="K1183">
        <v>8.2045414585578763E-5</v>
      </c>
      <c r="L1183" t="s">
        <v>166</v>
      </c>
      <c r="N1183" t="s">
        <v>213</v>
      </c>
      <c r="O1183" t="s">
        <v>360</v>
      </c>
      <c r="P1183">
        <v>1.544663097193703E-5</v>
      </c>
      <c r="Q1183" t="s">
        <v>166</v>
      </c>
      <c r="S1183" t="s">
        <v>230</v>
      </c>
      <c r="T1183" t="s">
        <v>360</v>
      </c>
      <c r="U1183">
        <v>7.9004055936941851E-5</v>
      </c>
      <c r="V1183" t="s">
        <v>166</v>
      </c>
    </row>
    <row r="1184" spans="9:22" x14ac:dyDescent="0.45">
      <c r="I1184" t="s">
        <v>189</v>
      </c>
      <c r="J1184" t="s">
        <v>361</v>
      </c>
      <c r="K1184">
        <v>7.8039190100948522E-5</v>
      </c>
      <c r="L1184" t="s">
        <v>166</v>
      </c>
      <c r="N1184" t="s">
        <v>213</v>
      </c>
      <c r="O1184" t="s">
        <v>361</v>
      </c>
      <c r="P1184">
        <v>1.638979729845037E-5</v>
      </c>
      <c r="Q1184" t="s">
        <v>166</v>
      </c>
      <c r="S1184" t="s">
        <v>230</v>
      </c>
      <c r="T1184" t="s">
        <v>361</v>
      </c>
      <c r="U1184">
        <v>8.4423763074637184E-5</v>
      </c>
      <c r="V1184" t="s">
        <v>166</v>
      </c>
    </row>
    <row r="1185" spans="9:22" x14ac:dyDescent="0.45">
      <c r="I1185" t="s">
        <v>189</v>
      </c>
      <c r="J1185" t="s">
        <v>362</v>
      </c>
      <c r="K1185">
        <v>2.6046131914021282E-5</v>
      </c>
      <c r="L1185" t="s">
        <v>166</v>
      </c>
      <c r="N1185" t="s">
        <v>213</v>
      </c>
      <c r="O1185" t="s">
        <v>362</v>
      </c>
      <c r="P1185">
        <v>2.0909667256909488E-5</v>
      </c>
      <c r="Q1185" t="s">
        <v>166</v>
      </c>
      <c r="S1185" t="s">
        <v>230</v>
      </c>
      <c r="T1185" t="s">
        <v>362</v>
      </c>
      <c r="U1185">
        <v>9.8600805667575946E-5</v>
      </c>
      <c r="V1185" t="s">
        <v>166</v>
      </c>
    </row>
    <row r="1186" spans="9:22" x14ac:dyDescent="0.45">
      <c r="I1186" t="s">
        <v>189</v>
      </c>
      <c r="J1186" t="s">
        <v>363</v>
      </c>
      <c r="K1186">
        <v>1.1766852127953589E-5</v>
      </c>
      <c r="L1186" t="s">
        <v>166</v>
      </c>
      <c r="N1186" t="s">
        <v>213</v>
      </c>
      <c r="O1186" t="s">
        <v>363</v>
      </c>
      <c r="P1186">
        <v>3.5134868630960155E-5</v>
      </c>
      <c r="Q1186" t="s">
        <v>166</v>
      </c>
      <c r="S1186" t="s">
        <v>230</v>
      </c>
      <c r="T1186" t="s">
        <v>363</v>
      </c>
      <c r="U1186">
        <v>8.8919677819546469E-5</v>
      </c>
      <c r="V1186" t="s">
        <v>166</v>
      </c>
    </row>
    <row r="1187" spans="9:22" x14ac:dyDescent="0.45">
      <c r="I1187" t="s">
        <v>189</v>
      </c>
      <c r="J1187" t="s">
        <v>364</v>
      </c>
      <c r="K1187">
        <v>0</v>
      </c>
      <c r="L1187" t="s">
        <v>166</v>
      </c>
      <c r="N1187" t="s">
        <v>213</v>
      </c>
      <c r="O1187" t="s">
        <v>364</v>
      </c>
      <c r="P1187">
        <v>6.8505522441219025E-5</v>
      </c>
      <c r="Q1187" t="s">
        <v>166</v>
      </c>
      <c r="S1187" t="s">
        <v>230</v>
      </c>
      <c r="T1187" t="s">
        <v>364</v>
      </c>
      <c r="U1187">
        <v>9.9669512144240561E-5</v>
      </c>
      <c r="V1187" t="s">
        <v>166</v>
      </c>
    </row>
    <row r="1188" spans="9:22" x14ac:dyDescent="0.45">
      <c r="I1188" t="s">
        <v>189</v>
      </c>
      <c r="J1188" t="s">
        <v>365</v>
      </c>
      <c r="K1188">
        <v>0</v>
      </c>
      <c r="L1188" t="s">
        <v>166</v>
      </c>
      <c r="N1188" t="s">
        <v>213</v>
      </c>
      <c r="O1188" t="s">
        <v>365</v>
      </c>
      <c r="P1188">
        <v>1.0769270630748258E-4</v>
      </c>
      <c r="Q1188" t="s">
        <v>166</v>
      </c>
      <c r="S1188" t="s">
        <v>230</v>
      </c>
      <c r="T1188" t="s">
        <v>365</v>
      </c>
      <c r="U1188">
        <v>1.108647174996024E-4</v>
      </c>
      <c r="V1188" t="s">
        <v>166</v>
      </c>
    </row>
    <row r="1189" spans="9:22" x14ac:dyDescent="0.45">
      <c r="I1189" t="s">
        <v>189</v>
      </c>
      <c r="J1189" t="s">
        <v>366</v>
      </c>
      <c r="K1189">
        <v>0</v>
      </c>
      <c r="L1189" t="s">
        <v>166</v>
      </c>
      <c r="N1189" t="s">
        <v>213</v>
      </c>
      <c r="O1189" t="s">
        <v>366</v>
      </c>
      <c r="P1189">
        <v>1.0304804117082245E-4</v>
      </c>
      <c r="Q1189" t="s">
        <v>166</v>
      </c>
      <c r="S1189" t="s">
        <v>230</v>
      </c>
      <c r="T1189" t="s">
        <v>366</v>
      </c>
      <c r="U1189">
        <v>1.1273934866938071E-4</v>
      </c>
      <c r="V1189" t="s">
        <v>166</v>
      </c>
    </row>
    <row r="1190" spans="9:22" x14ac:dyDescent="0.45">
      <c r="I1190" t="s">
        <v>189</v>
      </c>
      <c r="J1190" t="s">
        <v>367</v>
      </c>
      <c r="K1190">
        <v>0</v>
      </c>
      <c r="L1190" t="s">
        <v>166</v>
      </c>
      <c r="N1190" t="s">
        <v>213</v>
      </c>
      <c r="O1190" t="s">
        <v>367</v>
      </c>
      <c r="P1190">
        <v>7.7055413333655727E-5</v>
      </c>
      <c r="Q1190" t="s">
        <v>166</v>
      </c>
      <c r="S1190" t="s">
        <v>230</v>
      </c>
      <c r="T1190" t="s">
        <v>367</v>
      </c>
      <c r="U1190">
        <v>1.2625800623465596E-4</v>
      </c>
      <c r="V1190" t="s">
        <v>166</v>
      </c>
    </row>
    <row r="1191" spans="9:22" x14ac:dyDescent="0.45">
      <c r="I1191" t="s">
        <v>189</v>
      </c>
      <c r="J1191" t="s">
        <v>368</v>
      </c>
      <c r="K1191">
        <v>0</v>
      </c>
      <c r="L1191" t="s">
        <v>166</v>
      </c>
      <c r="N1191" t="s">
        <v>213</v>
      </c>
      <c r="O1191" t="s">
        <v>368</v>
      </c>
      <c r="P1191">
        <v>6.1068050830744824E-5</v>
      </c>
      <c r="Q1191" t="s">
        <v>166</v>
      </c>
      <c r="S1191" t="s">
        <v>230</v>
      </c>
      <c r="T1191" t="s">
        <v>368</v>
      </c>
      <c r="U1191">
        <v>1.4649647311626776E-4</v>
      </c>
      <c r="V1191" t="s">
        <v>166</v>
      </c>
    </row>
    <row r="1192" spans="9:22" x14ac:dyDescent="0.45">
      <c r="I1192" t="s">
        <v>189</v>
      </c>
      <c r="J1192" t="s">
        <v>369</v>
      </c>
      <c r="K1192">
        <v>0</v>
      </c>
      <c r="L1192" t="s">
        <v>166</v>
      </c>
      <c r="N1192" t="s">
        <v>213</v>
      </c>
      <c r="O1192" t="s">
        <v>369</v>
      </c>
      <c r="P1192">
        <v>5.3770385913901199E-5</v>
      </c>
      <c r="Q1192" t="s">
        <v>166</v>
      </c>
      <c r="S1192" t="s">
        <v>230</v>
      </c>
      <c r="T1192" t="s">
        <v>369</v>
      </c>
      <c r="U1192">
        <v>1.5166798521545509E-4</v>
      </c>
      <c r="V1192" t="s">
        <v>166</v>
      </c>
    </row>
    <row r="1193" spans="9:22" x14ac:dyDescent="0.45">
      <c r="I1193" t="s">
        <v>189</v>
      </c>
      <c r="J1193" t="s">
        <v>370</v>
      </c>
      <c r="K1193">
        <v>0</v>
      </c>
      <c r="L1193" t="s">
        <v>166</v>
      </c>
      <c r="N1193" t="s">
        <v>213</v>
      </c>
      <c r="O1193" t="s">
        <v>370</v>
      </c>
      <c r="P1193">
        <v>2.3475413099301133E-5</v>
      </c>
      <c r="Q1193" t="s">
        <v>166</v>
      </c>
      <c r="S1193" t="s">
        <v>230</v>
      </c>
      <c r="T1193" t="s">
        <v>370</v>
      </c>
      <c r="U1193">
        <v>2.4725802371445806E-5</v>
      </c>
      <c r="V1193" t="s">
        <v>166</v>
      </c>
    </row>
    <row r="1194" spans="9:22" x14ac:dyDescent="0.45">
      <c r="I1194" t="s">
        <v>189</v>
      </c>
      <c r="J1194" t="s">
        <v>371</v>
      </c>
      <c r="K1194">
        <v>0</v>
      </c>
      <c r="L1194" t="s">
        <v>166</v>
      </c>
      <c r="N1194" t="s">
        <v>213</v>
      </c>
      <c r="O1194" t="s">
        <v>371</v>
      </c>
      <c r="P1194">
        <v>1.754078181750683E-5</v>
      </c>
      <c r="Q1194" t="s">
        <v>166</v>
      </c>
      <c r="S1194" t="s">
        <v>230</v>
      </c>
      <c r="T1194" t="s">
        <v>371</v>
      </c>
      <c r="U1194">
        <v>2.4016502620534286E-5</v>
      </c>
      <c r="V1194" t="s">
        <v>166</v>
      </c>
    </row>
    <row r="1195" spans="9:22" x14ac:dyDescent="0.45">
      <c r="I1195" t="s">
        <v>189</v>
      </c>
      <c r="J1195" t="s">
        <v>372</v>
      </c>
      <c r="K1195">
        <v>0</v>
      </c>
      <c r="L1195" t="s">
        <v>166</v>
      </c>
      <c r="N1195" t="s">
        <v>213</v>
      </c>
      <c r="O1195" t="s">
        <v>372</v>
      </c>
      <c r="P1195">
        <v>1.4755042275715143E-5</v>
      </c>
      <c r="Q1195" t="s">
        <v>166</v>
      </c>
      <c r="S1195" t="s">
        <v>230</v>
      </c>
      <c r="T1195" t="s">
        <v>372</v>
      </c>
      <c r="U1195">
        <v>2.0407214933861663E-5</v>
      </c>
      <c r="V1195" t="s">
        <v>166</v>
      </c>
    </row>
    <row r="1196" spans="9:22" x14ac:dyDescent="0.45">
      <c r="I1196" t="s">
        <v>189</v>
      </c>
      <c r="J1196" t="s">
        <v>373</v>
      </c>
      <c r="K1196">
        <v>0</v>
      </c>
      <c r="L1196" t="s">
        <v>166</v>
      </c>
      <c r="N1196" t="s">
        <v>213</v>
      </c>
      <c r="O1196" t="s">
        <v>373</v>
      </c>
      <c r="P1196">
        <v>1.1138099254908905E-5</v>
      </c>
      <c r="Q1196" t="s">
        <v>166</v>
      </c>
      <c r="S1196" t="s">
        <v>230</v>
      </c>
      <c r="T1196" t="s">
        <v>373</v>
      </c>
      <c r="U1196">
        <v>1.7014741615738282E-5</v>
      </c>
      <c r="V1196" t="s">
        <v>166</v>
      </c>
    </row>
    <row r="1197" spans="9:22" x14ac:dyDescent="0.45">
      <c r="I1197" t="s">
        <v>189</v>
      </c>
      <c r="J1197" t="s">
        <v>374</v>
      </c>
      <c r="K1197">
        <v>0</v>
      </c>
      <c r="L1197" t="s">
        <v>166</v>
      </c>
      <c r="N1197" t="s">
        <v>213</v>
      </c>
      <c r="O1197" t="s">
        <v>374</v>
      </c>
      <c r="P1197">
        <v>7.0691377702946017E-6</v>
      </c>
      <c r="Q1197" t="s">
        <v>166</v>
      </c>
      <c r="S1197" t="s">
        <v>230</v>
      </c>
      <c r="T1197" t="s">
        <v>374</v>
      </c>
      <c r="U1197">
        <v>1.6929049627564719E-5</v>
      </c>
      <c r="V1197" t="s">
        <v>166</v>
      </c>
    </row>
    <row r="1198" spans="9:22" x14ac:dyDescent="0.45">
      <c r="I1198" t="s">
        <v>189</v>
      </c>
      <c r="J1198" t="s">
        <v>375</v>
      </c>
      <c r="K1198">
        <v>0</v>
      </c>
      <c r="L1198" t="s">
        <v>166</v>
      </c>
      <c r="N1198" t="s">
        <v>213</v>
      </c>
      <c r="O1198" t="s">
        <v>375</v>
      </c>
      <c r="P1198">
        <v>2.5428893881090744E-6</v>
      </c>
      <c r="Q1198" t="s">
        <v>166</v>
      </c>
      <c r="S1198" t="s">
        <v>230</v>
      </c>
      <c r="T1198" t="s">
        <v>375</v>
      </c>
      <c r="U1198">
        <v>1.0890328051499605E-5</v>
      </c>
      <c r="V1198" t="s">
        <v>166</v>
      </c>
    </row>
    <row r="1199" spans="9:22" x14ac:dyDescent="0.45">
      <c r="I1199" t="s">
        <v>189</v>
      </c>
      <c r="J1199" t="s">
        <v>376</v>
      </c>
      <c r="K1199">
        <v>0</v>
      </c>
      <c r="L1199" t="s">
        <v>166</v>
      </c>
      <c r="N1199" t="s">
        <v>213</v>
      </c>
      <c r="O1199" t="s">
        <v>376</v>
      </c>
      <c r="P1199">
        <v>2.4873886471320246E-6</v>
      </c>
      <c r="Q1199" t="s">
        <v>166</v>
      </c>
      <c r="S1199" t="s">
        <v>230</v>
      </c>
      <c r="T1199" t="s">
        <v>376</v>
      </c>
      <c r="U1199">
        <v>1.3874925316999041E-5</v>
      </c>
      <c r="V1199" t="s">
        <v>166</v>
      </c>
    </row>
    <row r="1200" spans="9:22" x14ac:dyDescent="0.45">
      <c r="I1200" t="s">
        <v>189</v>
      </c>
      <c r="J1200" t="s">
        <v>377</v>
      </c>
      <c r="K1200">
        <v>0</v>
      </c>
      <c r="L1200" t="s">
        <v>166</v>
      </c>
      <c r="N1200" t="s">
        <v>213</v>
      </c>
      <c r="O1200" t="s">
        <v>377</v>
      </c>
      <c r="P1200">
        <v>1.9784560241769659E-6</v>
      </c>
      <c r="Q1200" t="s">
        <v>166</v>
      </c>
      <c r="S1200" t="s">
        <v>230</v>
      </c>
      <c r="T1200" t="s">
        <v>377</v>
      </c>
      <c r="U1200">
        <v>1.9522175431189046E-5</v>
      </c>
      <c r="V1200" t="s">
        <v>166</v>
      </c>
    </row>
    <row r="1201" spans="9:22" x14ac:dyDescent="0.45">
      <c r="I1201" t="s">
        <v>189</v>
      </c>
      <c r="J1201" t="s">
        <v>378</v>
      </c>
      <c r="K1201">
        <v>2.2905682139315325E-5</v>
      </c>
      <c r="L1201" t="s">
        <v>166</v>
      </c>
      <c r="N1201" t="s">
        <v>213</v>
      </c>
      <c r="O1201" t="s">
        <v>378</v>
      </c>
      <c r="P1201">
        <v>1.3174612426372074E-7</v>
      </c>
      <c r="Q1201" t="s">
        <v>166</v>
      </c>
      <c r="S1201" t="s">
        <v>230</v>
      </c>
      <c r="T1201" t="s">
        <v>378</v>
      </c>
      <c r="U1201">
        <v>1.7649976084734723E-5</v>
      </c>
      <c r="V1201" t="s">
        <v>166</v>
      </c>
    </row>
    <row r="1202" spans="9:22" x14ac:dyDescent="0.45">
      <c r="I1202" t="s">
        <v>189</v>
      </c>
      <c r="J1202" t="s">
        <v>379</v>
      </c>
      <c r="K1202">
        <v>4.9527496578974747E-5</v>
      </c>
      <c r="L1202" t="s">
        <v>166</v>
      </c>
      <c r="N1202" t="s">
        <v>213</v>
      </c>
      <c r="O1202" t="s">
        <v>379</v>
      </c>
      <c r="P1202">
        <v>3.7854781238057746E-8</v>
      </c>
      <c r="Q1202" t="s">
        <v>166</v>
      </c>
      <c r="S1202" t="s">
        <v>230</v>
      </c>
      <c r="T1202" t="s">
        <v>379</v>
      </c>
      <c r="U1202">
        <v>1.0621776940454218E-5</v>
      </c>
      <c r="V1202" t="s">
        <v>166</v>
      </c>
    </row>
    <row r="1203" spans="9:22" x14ac:dyDescent="0.45">
      <c r="I1203" t="s">
        <v>189</v>
      </c>
      <c r="J1203" t="s">
        <v>380</v>
      </c>
      <c r="K1203">
        <v>8.1862464860740907E-5</v>
      </c>
      <c r="L1203" t="s">
        <v>166</v>
      </c>
      <c r="N1203" t="s">
        <v>213</v>
      </c>
      <c r="O1203" t="s">
        <v>380</v>
      </c>
      <c r="P1203">
        <v>3.8311376311934025E-9</v>
      </c>
      <c r="Q1203" t="s">
        <v>166</v>
      </c>
      <c r="S1203" t="s">
        <v>230</v>
      </c>
      <c r="T1203" t="s">
        <v>380</v>
      </c>
      <c r="U1203">
        <v>6.585242729523327E-6</v>
      </c>
      <c r="V1203" t="s">
        <v>166</v>
      </c>
    </row>
    <row r="1204" spans="9:22" x14ac:dyDescent="0.45">
      <c r="I1204" t="s">
        <v>189</v>
      </c>
      <c r="J1204" t="s">
        <v>381</v>
      </c>
      <c r="K1204">
        <v>1.1925747574258763E-4</v>
      </c>
      <c r="L1204" t="s">
        <v>166</v>
      </c>
      <c r="N1204" t="s">
        <v>213</v>
      </c>
      <c r="O1204" t="s">
        <v>381</v>
      </c>
      <c r="P1204">
        <v>2.1668373795201962E-7</v>
      </c>
      <c r="Q1204" t="s">
        <v>166</v>
      </c>
      <c r="S1204" t="s">
        <v>230</v>
      </c>
      <c r="T1204" t="s">
        <v>381</v>
      </c>
      <c r="U1204">
        <v>4.3254801685239894E-6</v>
      </c>
      <c r="V1204" t="s">
        <v>166</v>
      </c>
    </row>
    <row r="1205" spans="9:22" x14ac:dyDescent="0.45">
      <c r="I1205" t="s">
        <v>189</v>
      </c>
      <c r="J1205" t="s">
        <v>382</v>
      </c>
      <c r="K1205">
        <v>1.2119933023894566E-4</v>
      </c>
      <c r="L1205" t="s">
        <v>166</v>
      </c>
      <c r="N1205" t="s">
        <v>213</v>
      </c>
      <c r="O1205" t="s">
        <v>382</v>
      </c>
      <c r="P1205">
        <v>2.05662666395728E-6</v>
      </c>
      <c r="Q1205" t="s">
        <v>166</v>
      </c>
      <c r="S1205" t="s">
        <v>230</v>
      </c>
      <c r="T1205" t="s">
        <v>382</v>
      </c>
      <c r="U1205">
        <v>3.9500723160315279E-6</v>
      </c>
      <c r="V1205" t="s">
        <v>166</v>
      </c>
    </row>
    <row r="1206" spans="9:22" x14ac:dyDescent="0.45">
      <c r="I1206" t="s">
        <v>189</v>
      </c>
      <c r="J1206" t="s">
        <v>383</v>
      </c>
      <c r="K1206">
        <v>1.5606317016614237E-4</v>
      </c>
      <c r="L1206" t="s">
        <v>166</v>
      </c>
      <c r="N1206" t="s">
        <v>213</v>
      </c>
      <c r="O1206" t="s">
        <v>383</v>
      </c>
      <c r="P1206">
        <v>3.0551197231132169E-5</v>
      </c>
      <c r="Q1206" t="s">
        <v>166</v>
      </c>
      <c r="S1206" t="s">
        <v>230</v>
      </c>
      <c r="T1206" t="s">
        <v>383</v>
      </c>
      <c r="U1206">
        <v>4.3753758546685423E-6</v>
      </c>
      <c r="V1206" t="s">
        <v>166</v>
      </c>
    </row>
    <row r="1207" spans="9:22" x14ac:dyDescent="0.45">
      <c r="I1207" t="s">
        <v>189</v>
      </c>
      <c r="J1207" t="s">
        <v>384</v>
      </c>
      <c r="K1207">
        <v>2.4113074438500802E-4</v>
      </c>
      <c r="L1207" t="s">
        <v>166</v>
      </c>
      <c r="N1207" t="s">
        <v>213</v>
      </c>
      <c r="O1207" t="s">
        <v>384</v>
      </c>
      <c r="P1207">
        <v>9.5880288672722008E-5</v>
      </c>
      <c r="Q1207" t="s">
        <v>166</v>
      </c>
      <c r="S1207" t="s">
        <v>230</v>
      </c>
      <c r="T1207" t="s">
        <v>384</v>
      </c>
      <c r="U1207">
        <v>3.3734560869244565E-6</v>
      </c>
      <c r="V1207" t="s">
        <v>166</v>
      </c>
    </row>
    <row r="1208" spans="9:22" x14ac:dyDescent="0.45">
      <c r="I1208" t="s">
        <v>189</v>
      </c>
      <c r="J1208" t="s">
        <v>385</v>
      </c>
      <c r="K1208">
        <v>1.720595125008267E-4</v>
      </c>
      <c r="L1208" t="s">
        <v>166</v>
      </c>
      <c r="N1208" t="s">
        <v>213</v>
      </c>
      <c r="O1208" t="s">
        <v>385</v>
      </c>
      <c r="P1208">
        <v>2.0756325510675421E-4</v>
      </c>
      <c r="Q1208" t="s">
        <v>166</v>
      </c>
      <c r="S1208" t="s">
        <v>230</v>
      </c>
      <c r="T1208" t="s">
        <v>385</v>
      </c>
      <c r="U1208">
        <v>3.5942590353560975E-6</v>
      </c>
      <c r="V1208" t="s">
        <v>166</v>
      </c>
    </row>
    <row r="1209" spans="9:22" x14ac:dyDescent="0.45">
      <c r="I1209" t="s">
        <v>189</v>
      </c>
      <c r="J1209" t="s">
        <v>386</v>
      </c>
      <c r="K1209">
        <v>1.7652912007823615E-4</v>
      </c>
      <c r="L1209" t="s">
        <v>166</v>
      </c>
      <c r="N1209" t="s">
        <v>213</v>
      </c>
      <c r="O1209" t="s">
        <v>386</v>
      </c>
      <c r="P1209">
        <v>2.376487996595365E-4</v>
      </c>
      <c r="Q1209" t="s">
        <v>166</v>
      </c>
      <c r="S1209" t="s">
        <v>230</v>
      </c>
      <c r="T1209" t="s">
        <v>386</v>
      </c>
      <c r="U1209">
        <v>8.2761048286957694E-6</v>
      </c>
      <c r="V1209" t="s">
        <v>166</v>
      </c>
    </row>
    <row r="1210" spans="9:22" x14ac:dyDescent="0.45">
      <c r="I1210" t="s">
        <v>189</v>
      </c>
      <c r="J1210" t="s">
        <v>387</v>
      </c>
      <c r="K1210">
        <v>5.0779827636160549E-5</v>
      </c>
      <c r="L1210" t="s">
        <v>166</v>
      </c>
      <c r="N1210" t="s">
        <v>213</v>
      </c>
      <c r="O1210" t="s">
        <v>387</v>
      </c>
      <c r="P1210">
        <v>1.6279257439175498E-4</v>
      </c>
      <c r="Q1210" t="s">
        <v>166</v>
      </c>
      <c r="S1210" t="s">
        <v>230</v>
      </c>
      <c r="T1210" t="s">
        <v>387</v>
      </c>
      <c r="U1210">
        <v>2.0099163990201811E-5</v>
      </c>
      <c r="V1210" t="s">
        <v>166</v>
      </c>
    </row>
    <row r="1211" spans="9:22" x14ac:dyDescent="0.45">
      <c r="I1211" t="s">
        <v>189</v>
      </c>
      <c r="J1211" t="s">
        <v>388</v>
      </c>
      <c r="K1211">
        <v>2.4745209545110899E-5</v>
      </c>
      <c r="L1211" t="s">
        <v>166</v>
      </c>
      <c r="N1211" t="s">
        <v>213</v>
      </c>
      <c r="O1211" t="s">
        <v>388</v>
      </c>
      <c r="P1211">
        <v>1.8264475353169793E-4</v>
      </c>
      <c r="Q1211" t="s">
        <v>166</v>
      </c>
      <c r="S1211" t="s">
        <v>230</v>
      </c>
      <c r="T1211" t="s">
        <v>388</v>
      </c>
      <c r="U1211">
        <v>2.9777086037276021E-5</v>
      </c>
      <c r="V1211" t="s">
        <v>166</v>
      </c>
    </row>
    <row r="1212" spans="9:22" x14ac:dyDescent="0.45">
      <c r="I1212" t="s">
        <v>189</v>
      </c>
      <c r="J1212" t="s">
        <v>389</v>
      </c>
      <c r="K1212">
        <v>0</v>
      </c>
      <c r="L1212" t="s">
        <v>166</v>
      </c>
      <c r="N1212" t="s">
        <v>213</v>
      </c>
      <c r="O1212" t="s">
        <v>389</v>
      </c>
      <c r="P1212">
        <v>2.5726451148955871E-4</v>
      </c>
      <c r="Q1212" t="s">
        <v>166</v>
      </c>
      <c r="S1212" t="s">
        <v>230</v>
      </c>
      <c r="T1212" t="s">
        <v>389</v>
      </c>
      <c r="U1212">
        <v>4.724625213225848E-5</v>
      </c>
      <c r="V1212" t="s">
        <v>166</v>
      </c>
    </row>
    <row r="1213" spans="9:22" x14ac:dyDescent="0.45">
      <c r="I1213" t="s">
        <v>189</v>
      </c>
      <c r="J1213" t="s">
        <v>390</v>
      </c>
      <c r="K1213">
        <v>0</v>
      </c>
      <c r="L1213" t="s">
        <v>166</v>
      </c>
      <c r="N1213" t="s">
        <v>213</v>
      </c>
      <c r="O1213" t="s">
        <v>390</v>
      </c>
      <c r="P1213">
        <v>2.5529016328323224E-4</v>
      </c>
      <c r="Q1213" t="s">
        <v>166</v>
      </c>
      <c r="S1213" t="s">
        <v>230</v>
      </c>
      <c r="T1213" t="s">
        <v>390</v>
      </c>
      <c r="U1213">
        <v>6.4777085963808818E-5</v>
      </c>
      <c r="V1213" t="s">
        <v>166</v>
      </c>
    </row>
    <row r="1214" spans="9:22" x14ac:dyDescent="0.45">
      <c r="I1214" t="s">
        <v>189</v>
      </c>
      <c r="J1214" t="s">
        <v>391</v>
      </c>
      <c r="K1214">
        <v>0</v>
      </c>
      <c r="L1214" t="s">
        <v>166</v>
      </c>
      <c r="N1214" t="s">
        <v>213</v>
      </c>
      <c r="O1214" t="s">
        <v>391</v>
      </c>
      <c r="P1214">
        <v>2.4317837737748214E-4</v>
      </c>
      <c r="Q1214" t="s">
        <v>166</v>
      </c>
      <c r="S1214" t="s">
        <v>230</v>
      </c>
      <c r="T1214" t="s">
        <v>391</v>
      </c>
      <c r="U1214">
        <v>7.8874947204917153E-5</v>
      </c>
      <c r="V1214" t="s">
        <v>166</v>
      </c>
    </row>
    <row r="1215" spans="9:22" x14ac:dyDescent="0.45">
      <c r="I1215" t="s">
        <v>189</v>
      </c>
      <c r="J1215" t="s">
        <v>392</v>
      </c>
      <c r="K1215">
        <v>0</v>
      </c>
      <c r="L1215" t="s">
        <v>166</v>
      </c>
      <c r="N1215" t="s">
        <v>213</v>
      </c>
      <c r="O1215" t="s">
        <v>392</v>
      </c>
      <c r="P1215">
        <v>2.6225026243728187E-4</v>
      </c>
      <c r="Q1215" t="s">
        <v>166</v>
      </c>
      <c r="S1215" t="s">
        <v>230</v>
      </c>
      <c r="T1215" t="s">
        <v>392</v>
      </c>
      <c r="U1215">
        <v>9.0889823503138406E-5</v>
      </c>
      <c r="V1215" t="s">
        <v>166</v>
      </c>
    </row>
    <row r="1216" spans="9:22" x14ac:dyDescent="0.45">
      <c r="I1216" t="s">
        <v>189</v>
      </c>
      <c r="J1216" t="s">
        <v>393</v>
      </c>
      <c r="K1216">
        <v>0</v>
      </c>
      <c r="L1216" t="s">
        <v>166</v>
      </c>
      <c r="N1216" t="s">
        <v>213</v>
      </c>
      <c r="O1216" t="s">
        <v>393</v>
      </c>
      <c r="P1216">
        <v>2.9860633003256858E-4</v>
      </c>
      <c r="Q1216" t="s">
        <v>166</v>
      </c>
      <c r="S1216" t="s">
        <v>230</v>
      </c>
      <c r="T1216" t="s">
        <v>393</v>
      </c>
      <c r="U1216">
        <v>1.0270771528192332E-4</v>
      </c>
      <c r="V1216" t="s">
        <v>166</v>
      </c>
    </row>
    <row r="1217" spans="9:22" x14ac:dyDescent="0.45">
      <c r="I1217" t="s">
        <v>189</v>
      </c>
      <c r="J1217" t="s">
        <v>169</v>
      </c>
      <c r="K1217">
        <v>2.9176206839889862E-3</v>
      </c>
      <c r="L1217" t="s">
        <v>166</v>
      </c>
      <c r="N1217" t="s">
        <v>213</v>
      </c>
      <c r="O1217" t="s">
        <v>169</v>
      </c>
      <c r="P1217">
        <v>2.442869940820809E-2</v>
      </c>
      <c r="Q1217" t="s">
        <v>166</v>
      </c>
      <c r="S1217" t="s">
        <v>230</v>
      </c>
      <c r="T1217" t="s">
        <v>169</v>
      </c>
      <c r="U1217">
        <v>2.2925709421691982E-2</v>
      </c>
      <c r="V1217" t="s">
        <v>166</v>
      </c>
    </row>
    <row r="1218" spans="9:22" x14ac:dyDescent="0.45">
      <c r="I1218" t="s">
        <v>189</v>
      </c>
      <c r="J1218" t="s">
        <v>170</v>
      </c>
      <c r="K1218">
        <v>4.1896202723377286E-3</v>
      </c>
      <c r="L1218" t="s">
        <v>166</v>
      </c>
      <c r="N1218" t="s">
        <v>213</v>
      </c>
      <c r="O1218" t="s">
        <v>170</v>
      </c>
      <c r="P1218">
        <v>1.643888697437158E-3</v>
      </c>
      <c r="Q1218" t="s">
        <v>166</v>
      </c>
      <c r="S1218" t="s">
        <v>230</v>
      </c>
      <c r="T1218" t="s">
        <v>170</v>
      </c>
      <c r="U1218">
        <v>2.6332157467799573E-3</v>
      </c>
      <c r="V1218" t="s">
        <v>166</v>
      </c>
    </row>
    <row r="1219" spans="9:22" x14ac:dyDescent="0.45">
      <c r="I1219" t="s">
        <v>189</v>
      </c>
      <c r="J1219" t="s">
        <v>171</v>
      </c>
      <c r="K1219">
        <v>6.9714521163881729E-2</v>
      </c>
      <c r="L1219" t="s">
        <v>166</v>
      </c>
      <c r="N1219" t="s">
        <v>213</v>
      </c>
      <c r="O1219" t="s">
        <v>171</v>
      </c>
      <c r="P1219">
        <v>1.8478700589365991E-2</v>
      </c>
      <c r="Q1219" t="s">
        <v>166</v>
      </c>
      <c r="S1219" t="s">
        <v>230</v>
      </c>
      <c r="T1219" t="s">
        <v>171</v>
      </c>
      <c r="U1219">
        <v>1.5661073209755419E-2</v>
      </c>
      <c r="V1219" t="s">
        <v>166</v>
      </c>
    </row>
    <row r="1220" spans="9:22" x14ac:dyDescent="0.45">
      <c r="I1220" t="s">
        <v>189</v>
      </c>
      <c r="J1220" t="s">
        <v>261</v>
      </c>
      <c r="K1220">
        <v>8.8287816230776372E-3</v>
      </c>
      <c r="L1220" t="s">
        <v>166</v>
      </c>
      <c r="N1220" t="s">
        <v>213</v>
      </c>
      <c r="O1220" t="s">
        <v>261</v>
      </c>
      <c r="P1220">
        <v>3.3716190334229738E-3</v>
      </c>
      <c r="Q1220" t="s">
        <v>166</v>
      </c>
      <c r="S1220" t="s">
        <v>230</v>
      </c>
      <c r="T1220" t="s">
        <v>261</v>
      </c>
      <c r="U1220">
        <v>1.7904835611864771E-3</v>
      </c>
      <c r="V1220" t="s">
        <v>166</v>
      </c>
    </row>
    <row r="1221" spans="9:22" x14ac:dyDescent="0.45">
      <c r="I1221" t="s">
        <v>189</v>
      </c>
      <c r="J1221" t="s">
        <v>262</v>
      </c>
      <c r="K1221">
        <v>1.0924559192799109E-2</v>
      </c>
      <c r="L1221" t="s">
        <v>166</v>
      </c>
      <c r="N1221" t="s">
        <v>213</v>
      </c>
      <c r="O1221" t="s">
        <v>262</v>
      </c>
      <c r="P1221">
        <v>5.7613643882530579E-3</v>
      </c>
      <c r="Q1221" t="s">
        <v>166</v>
      </c>
      <c r="S1221" t="s">
        <v>230</v>
      </c>
      <c r="T1221" t="s">
        <v>262</v>
      </c>
      <c r="U1221">
        <v>2.9526491271075748E-3</v>
      </c>
      <c r="V1221" t="s">
        <v>166</v>
      </c>
    </row>
    <row r="1222" spans="9:22" x14ac:dyDescent="0.45">
      <c r="I1222" t="s">
        <v>189</v>
      </c>
      <c r="J1222" t="s">
        <v>263</v>
      </c>
      <c r="K1222">
        <v>1.7879986177600526E-4</v>
      </c>
      <c r="L1222" t="s">
        <v>166</v>
      </c>
      <c r="N1222" t="s">
        <v>213</v>
      </c>
      <c r="O1222" t="s">
        <v>263</v>
      </c>
      <c r="P1222">
        <v>2.2624284148848945E-2</v>
      </c>
      <c r="Q1222" t="s">
        <v>166</v>
      </c>
      <c r="S1222" t="s">
        <v>230</v>
      </c>
      <c r="T1222" t="s">
        <v>263</v>
      </c>
      <c r="U1222">
        <v>1.2235384556629756E-2</v>
      </c>
      <c r="V1222" t="s">
        <v>166</v>
      </c>
    </row>
    <row r="1223" spans="9:22" x14ac:dyDescent="0.45">
      <c r="I1223" t="s">
        <v>189</v>
      </c>
      <c r="J1223" t="s">
        <v>172</v>
      </c>
      <c r="K1223">
        <v>4.1965636571045066E-3</v>
      </c>
      <c r="L1223" t="s">
        <v>166</v>
      </c>
      <c r="N1223" t="s">
        <v>213</v>
      </c>
      <c r="O1223" t="s">
        <v>172</v>
      </c>
      <c r="P1223">
        <v>3.2790607206656566E-2</v>
      </c>
      <c r="Q1223" t="s">
        <v>166</v>
      </c>
      <c r="S1223" t="s">
        <v>230</v>
      </c>
      <c r="T1223" t="s">
        <v>172</v>
      </c>
      <c r="U1223">
        <v>1.900694266009707E-2</v>
      </c>
      <c r="V1223" t="s">
        <v>166</v>
      </c>
    </row>
    <row r="1224" spans="9:22" x14ac:dyDescent="0.45">
      <c r="I1224" t="s">
        <v>189</v>
      </c>
      <c r="J1224" t="s">
        <v>173</v>
      </c>
      <c r="K1224">
        <v>5.3401051895197657E-3</v>
      </c>
      <c r="L1224" t="s">
        <v>166</v>
      </c>
      <c r="N1224" t="s">
        <v>213</v>
      </c>
      <c r="O1224" t="s">
        <v>173</v>
      </c>
      <c r="P1224">
        <v>3.5949457674204688E-3</v>
      </c>
      <c r="Q1224" t="s">
        <v>166</v>
      </c>
      <c r="S1224" t="s">
        <v>230</v>
      </c>
      <c r="T1224" t="s">
        <v>173</v>
      </c>
      <c r="U1224">
        <v>2.0148116973010867E-3</v>
      </c>
      <c r="V1224" t="s">
        <v>166</v>
      </c>
    </row>
    <row r="1225" spans="9:22" x14ac:dyDescent="0.45">
      <c r="I1225" t="s">
        <v>189</v>
      </c>
      <c r="J1225" t="s">
        <v>174</v>
      </c>
      <c r="K1225">
        <v>7.5603788909901132E-2</v>
      </c>
      <c r="L1225" t="s">
        <v>166</v>
      </c>
      <c r="N1225" t="s">
        <v>213</v>
      </c>
      <c r="O1225" t="s">
        <v>174</v>
      </c>
      <c r="P1225">
        <v>2.9429451555125021E-2</v>
      </c>
      <c r="Q1225" t="s">
        <v>166</v>
      </c>
      <c r="S1225" t="s">
        <v>230</v>
      </c>
      <c r="T1225" t="s">
        <v>174</v>
      </c>
      <c r="U1225">
        <v>1.2704731818264618E-2</v>
      </c>
      <c r="V1225" t="s">
        <v>166</v>
      </c>
    </row>
    <row r="1226" spans="9:22" x14ac:dyDescent="0.45">
      <c r="I1226" t="s">
        <v>189</v>
      </c>
      <c r="J1226" t="s">
        <v>264</v>
      </c>
      <c r="K1226">
        <v>8.5836142020916939E-3</v>
      </c>
      <c r="L1226" t="s">
        <v>166</v>
      </c>
      <c r="N1226" t="s">
        <v>213</v>
      </c>
      <c r="O1226" t="s">
        <v>264</v>
      </c>
      <c r="P1226">
        <v>4.8885038711438088E-3</v>
      </c>
      <c r="Q1226" t="s">
        <v>166</v>
      </c>
      <c r="S1226" t="s">
        <v>230</v>
      </c>
      <c r="T1226" t="s">
        <v>264</v>
      </c>
      <c r="U1226">
        <v>1.5462336344603002E-3</v>
      </c>
      <c r="V1226" t="s">
        <v>166</v>
      </c>
    </row>
    <row r="1227" spans="9:22" x14ac:dyDescent="0.45">
      <c r="I1227" t="s">
        <v>189</v>
      </c>
      <c r="J1227" t="s">
        <v>265</v>
      </c>
      <c r="K1227">
        <v>1.0288272352701114E-2</v>
      </c>
      <c r="L1227" t="s">
        <v>166</v>
      </c>
      <c r="N1227" t="s">
        <v>213</v>
      </c>
      <c r="O1227" t="s">
        <v>265</v>
      </c>
      <c r="P1227">
        <v>8.3743234935378039E-3</v>
      </c>
      <c r="Q1227" t="s">
        <v>166</v>
      </c>
      <c r="S1227" t="s">
        <v>230</v>
      </c>
      <c r="T1227" t="s">
        <v>265</v>
      </c>
      <c r="U1227">
        <v>2.6635790967740793E-3</v>
      </c>
      <c r="V1227" t="s">
        <v>166</v>
      </c>
    </row>
    <row r="1228" spans="9:22" x14ac:dyDescent="0.45">
      <c r="I1228" t="s">
        <v>189</v>
      </c>
      <c r="J1228" t="s">
        <v>266</v>
      </c>
      <c r="K1228">
        <v>2.060737248566031E-3</v>
      </c>
      <c r="L1228" t="s">
        <v>166</v>
      </c>
      <c r="N1228" t="s">
        <v>213</v>
      </c>
      <c r="O1228" t="s">
        <v>266</v>
      </c>
      <c r="P1228">
        <v>2.5583214335577652E-2</v>
      </c>
      <c r="Q1228" t="s">
        <v>166</v>
      </c>
      <c r="S1228" t="s">
        <v>230</v>
      </c>
      <c r="T1228" t="s">
        <v>266</v>
      </c>
      <c r="U1228">
        <v>9.5909843859460133E-3</v>
      </c>
      <c r="V1228" t="s">
        <v>166</v>
      </c>
    </row>
    <row r="1229" spans="9:22" x14ac:dyDescent="0.45">
      <c r="I1229" t="s">
        <v>189</v>
      </c>
      <c r="J1229" t="s">
        <v>175</v>
      </c>
      <c r="K1229">
        <v>1.197257294014067E-3</v>
      </c>
      <c r="L1229" t="s">
        <v>166</v>
      </c>
      <c r="N1229" t="s">
        <v>213</v>
      </c>
      <c r="O1229" t="s">
        <v>175</v>
      </c>
      <c r="P1229">
        <v>1.7664221931178972E-2</v>
      </c>
      <c r="Q1229" t="s">
        <v>166</v>
      </c>
      <c r="S1229" t="s">
        <v>230</v>
      </c>
      <c r="T1229" t="s">
        <v>175</v>
      </c>
      <c r="U1229">
        <v>2.080163195959615E-2</v>
      </c>
      <c r="V1229" t="s">
        <v>166</v>
      </c>
    </row>
    <row r="1230" spans="9:22" x14ac:dyDescent="0.45">
      <c r="I1230" t="s">
        <v>189</v>
      </c>
      <c r="J1230" t="s">
        <v>176</v>
      </c>
      <c r="K1230">
        <v>3.0298126836828683E-3</v>
      </c>
      <c r="L1230" t="s">
        <v>166</v>
      </c>
      <c r="N1230" t="s">
        <v>213</v>
      </c>
      <c r="O1230" t="s">
        <v>176</v>
      </c>
      <c r="P1230">
        <v>1.0684793136946477E-3</v>
      </c>
      <c r="Q1230" t="s">
        <v>166</v>
      </c>
      <c r="S1230" t="s">
        <v>230</v>
      </c>
      <c r="T1230" t="s">
        <v>176</v>
      </c>
      <c r="U1230">
        <v>2.0570132517449286E-3</v>
      </c>
      <c r="V1230" t="s">
        <v>166</v>
      </c>
    </row>
    <row r="1231" spans="9:22" x14ac:dyDescent="0.45">
      <c r="I1231" t="s">
        <v>189</v>
      </c>
      <c r="J1231" t="s">
        <v>177</v>
      </c>
      <c r="K1231">
        <v>6.4630375519124678E-2</v>
      </c>
      <c r="L1231" t="s">
        <v>166</v>
      </c>
      <c r="N1231" t="s">
        <v>213</v>
      </c>
      <c r="O1231" t="s">
        <v>177</v>
      </c>
      <c r="P1231">
        <v>9.2707369504552543E-3</v>
      </c>
      <c r="Q1231" t="s">
        <v>166</v>
      </c>
      <c r="S1231" t="s">
        <v>230</v>
      </c>
      <c r="T1231" t="s">
        <v>177</v>
      </c>
      <c r="U1231">
        <v>1.2490299618854325E-2</v>
      </c>
      <c r="V1231" t="s">
        <v>166</v>
      </c>
    </row>
    <row r="1232" spans="9:22" x14ac:dyDescent="0.45">
      <c r="I1232" t="s">
        <v>189</v>
      </c>
      <c r="J1232" t="s">
        <v>267</v>
      </c>
      <c r="K1232">
        <v>8.3798063107771818E-3</v>
      </c>
      <c r="L1232" t="s">
        <v>166</v>
      </c>
      <c r="N1232" t="s">
        <v>213</v>
      </c>
      <c r="O1232" t="s">
        <v>267</v>
      </c>
      <c r="P1232">
        <v>1.9771847501249E-3</v>
      </c>
      <c r="Q1232" t="s">
        <v>166</v>
      </c>
      <c r="S1232" t="s">
        <v>230</v>
      </c>
      <c r="T1232" t="s">
        <v>267</v>
      </c>
      <c r="U1232">
        <v>1.6274862704747587E-3</v>
      </c>
      <c r="V1232" t="s">
        <v>166</v>
      </c>
    </row>
    <row r="1233" spans="9:22" x14ac:dyDescent="0.45">
      <c r="I1233" t="s">
        <v>189</v>
      </c>
      <c r="J1233" t="s">
        <v>268</v>
      </c>
      <c r="K1233">
        <v>1.0634818375824723E-2</v>
      </c>
      <c r="L1233" t="s">
        <v>166</v>
      </c>
      <c r="N1233" t="s">
        <v>213</v>
      </c>
      <c r="O1233" t="s">
        <v>268</v>
      </c>
      <c r="P1233">
        <v>3.8844441979152618E-3</v>
      </c>
      <c r="Q1233" t="s">
        <v>166</v>
      </c>
      <c r="S1233" t="s">
        <v>230</v>
      </c>
      <c r="T1233" t="s">
        <v>268</v>
      </c>
      <c r="U1233">
        <v>2.5219367390152438E-3</v>
      </c>
      <c r="V1233" t="s">
        <v>166</v>
      </c>
    </row>
    <row r="1234" spans="9:22" x14ac:dyDescent="0.45">
      <c r="I1234" t="s">
        <v>189</v>
      </c>
      <c r="J1234" t="s">
        <v>269</v>
      </c>
      <c r="K1234">
        <v>2.0236469653001467E-3</v>
      </c>
      <c r="L1234" t="s">
        <v>166</v>
      </c>
      <c r="N1234" t="s">
        <v>213</v>
      </c>
      <c r="O1234" t="s">
        <v>269</v>
      </c>
      <c r="P1234">
        <v>1.5285497141012209E-2</v>
      </c>
      <c r="Q1234" t="s">
        <v>166</v>
      </c>
      <c r="S1234" t="s">
        <v>230</v>
      </c>
      <c r="T1234" t="s">
        <v>269</v>
      </c>
      <c r="U1234">
        <v>1.1483684634567125E-2</v>
      </c>
      <c r="V1234" t="s">
        <v>166</v>
      </c>
    </row>
    <row r="1235" spans="9:22" x14ac:dyDescent="0.45">
      <c r="I1235" t="s">
        <v>189</v>
      </c>
      <c r="J1235" t="s">
        <v>270</v>
      </c>
      <c r="K1235">
        <v>2.5695317544507201E-3</v>
      </c>
      <c r="L1235" t="s">
        <v>166</v>
      </c>
      <c r="N1235" t="s">
        <v>213</v>
      </c>
      <c r="O1235" t="s">
        <v>270</v>
      </c>
      <c r="P1235">
        <v>3.3060532006881568E-2</v>
      </c>
      <c r="Q1235" t="s">
        <v>166</v>
      </c>
      <c r="S1235" t="s">
        <v>230</v>
      </c>
      <c r="T1235" t="s">
        <v>270</v>
      </c>
      <c r="U1235">
        <v>2.5212711252915139E-2</v>
      </c>
      <c r="V1235" t="s">
        <v>166</v>
      </c>
    </row>
    <row r="1236" spans="9:22" x14ac:dyDescent="0.45">
      <c r="I1236" t="s">
        <v>189</v>
      </c>
      <c r="J1236" t="s">
        <v>271</v>
      </c>
      <c r="K1236">
        <v>5.5076295093189499E-3</v>
      </c>
      <c r="L1236" t="s">
        <v>166</v>
      </c>
      <c r="N1236" t="s">
        <v>213</v>
      </c>
      <c r="O1236" t="s">
        <v>271</v>
      </c>
      <c r="P1236">
        <v>2.4661000125077944E-3</v>
      </c>
      <c r="Q1236" t="s">
        <v>166</v>
      </c>
      <c r="S1236" t="s">
        <v>230</v>
      </c>
      <c r="T1236" t="s">
        <v>271</v>
      </c>
      <c r="U1236">
        <v>2.7819656181249566E-3</v>
      </c>
      <c r="V1236" t="s">
        <v>166</v>
      </c>
    </row>
    <row r="1237" spans="9:22" x14ac:dyDescent="0.45">
      <c r="I1237" t="s">
        <v>189</v>
      </c>
      <c r="J1237" t="s">
        <v>272</v>
      </c>
      <c r="K1237">
        <v>7.436125049621789E-2</v>
      </c>
      <c r="L1237" t="s">
        <v>166</v>
      </c>
      <c r="N1237" t="s">
        <v>213</v>
      </c>
      <c r="O1237" t="s">
        <v>272</v>
      </c>
      <c r="P1237">
        <v>1.4756135910827951E-2</v>
      </c>
      <c r="Q1237" t="s">
        <v>166</v>
      </c>
      <c r="S1237" t="s">
        <v>230</v>
      </c>
      <c r="T1237" t="s">
        <v>272</v>
      </c>
      <c r="U1237">
        <v>2.0488762443414077E-2</v>
      </c>
      <c r="V1237" t="s">
        <v>166</v>
      </c>
    </row>
    <row r="1238" spans="9:22" x14ac:dyDescent="0.45">
      <c r="I1238" t="s">
        <v>189</v>
      </c>
      <c r="J1238" t="s">
        <v>273</v>
      </c>
      <c r="K1238">
        <v>8.682292742436936E-3</v>
      </c>
      <c r="L1238" t="s">
        <v>166</v>
      </c>
      <c r="N1238" t="s">
        <v>213</v>
      </c>
      <c r="O1238" t="s">
        <v>273</v>
      </c>
      <c r="P1238">
        <v>2.0402856213988436E-3</v>
      </c>
      <c r="Q1238" t="s">
        <v>166</v>
      </c>
      <c r="S1238" t="s">
        <v>230</v>
      </c>
      <c r="T1238" t="s">
        <v>273</v>
      </c>
      <c r="U1238">
        <v>2.8381476374274264E-3</v>
      </c>
      <c r="V1238" t="s">
        <v>166</v>
      </c>
    </row>
    <row r="1239" spans="9:22" x14ac:dyDescent="0.45">
      <c r="I1239" t="s">
        <v>189</v>
      </c>
      <c r="J1239" t="s">
        <v>274</v>
      </c>
      <c r="K1239">
        <v>9.877307013679025E-3</v>
      </c>
      <c r="L1239" t="s">
        <v>166</v>
      </c>
      <c r="N1239" t="s">
        <v>213</v>
      </c>
      <c r="O1239" t="s">
        <v>274</v>
      </c>
      <c r="P1239">
        <v>4.4039349983621785E-3</v>
      </c>
      <c r="Q1239" t="s">
        <v>166</v>
      </c>
      <c r="S1239" t="s">
        <v>230</v>
      </c>
      <c r="T1239" t="s">
        <v>274</v>
      </c>
      <c r="U1239">
        <v>5.2102684442065514E-3</v>
      </c>
      <c r="V1239" t="s">
        <v>166</v>
      </c>
    </row>
    <row r="1240" spans="9:22" x14ac:dyDescent="0.45">
      <c r="I1240" t="s">
        <v>189</v>
      </c>
      <c r="J1240" t="s">
        <v>275</v>
      </c>
      <c r="K1240">
        <v>2.7496034742901143E-4</v>
      </c>
      <c r="L1240" t="s">
        <v>166</v>
      </c>
      <c r="N1240" t="s">
        <v>213</v>
      </c>
      <c r="O1240" t="s">
        <v>275</v>
      </c>
      <c r="P1240">
        <v>2.0991440809589208E-2</v>
      </c>
      <c r="Q1240" t="s">
        <v>166</v>
      </c>
      <c r="S1240" t="s">
        <v>230</v>
      </c>
      <c r="T1240" t="s">
        <v>275</v>
      </c>
      <c r="U1240">
        <v>1.5639230572699035E-2</v>
      </c>
      <c r="V1240" t="s">
        <v>166</v>
      </c>
    </row>
    <row r="1241" spans="9:22" x14ac:dyDescent="0.45">
      <c r="I1241" t="s">
        <v>189</v>
      </c>
      <c r="J1241" t="s">
        <v>276</v>
      </c>
      <c r="K1241">
        <v>6.7239465900988185E-3</v>
      </c>
      <c r="L1241" t="s">
        <v>166</v>
      </c>
      <c r="N1241" t="s">
        <v>213</v>
      </c>
      <c r="O1241" t="s">
        <v>276</v>
      </c>
      <c r="P1241">
        <v>7.6755840380942159E-2</v>
      </c>
      <c r="Q1241" t="s">
        <v>166</v>
      </c>
      <c r="S1241" t="s">
        <v>230</v>
      </c>
      <c r="T1241" t="s">
        <v>276</v>
      </c>
      <c r="U1241">
        <v>4.9439523451050425E-2</v>
      </c>
      <c r="V1241" t="s">
        <v>166</v>
      </c>
    </row>
    <row r="1242" spans="9:22" x14ac:dyDescent="0.45">
      <c r="I1242" t="s">
        <v>189</v>
      </c>
      <c r="J1242" t="s">
        <v>277</v>
      </c>
      <c r="K1242">
        <v>1.2638737438853945E-2</v>
      </c>
      <c r="L1242" t="s">
        <v>166</v>
      </c>
      <c r="N1242" t="s">
        <v>213</v>
      </c>
      <c r="O1242" t="s">
        <v>277</v>
      </c>
      <c r="P1242">
        <v>9.2649906272036439E-3</v>
      </c>
      <c r="Q1242" t="s">
        <v>166</v>
      </c>
      <c r="S1242" t="s">
        <v>230</v>
      </c>
      <c r="T1242" t="s">
        <v>277</v>
      </c>
      <c r="U1242">
        <v>6.5893950611308622E-3</v>
      </c>
      <c r="V1242" t="s">
        <v>166</v>
      </c>
    </row>
    <row r="1243" spans="9:22" x14ac:dyDescent="0.45">
      <c r="I1243" t="s">
        <v>189</v>
      </c>
      <c r="J1243" t="s">
        <v>278</v>
      </c>
      <c r="K1243">
        <v>0.13898555591250786</v>
      </c>
      <c r="L1243" t="s">
        <v>166</v>
      </c>
      <c r="N1243" t="s">
        <v>213</v>
      </c>
      <c r="O1243" t="s">
        <v>278</v>
      </c>
      <c r="P1243">
        <v>7.3925575567570262E-2</v>
      </c>
      <c r="Q1243" t="s">
        <v>166</v>
      </c>
      <c r="S1243" t="s">
        <v>230</v>
      </c>
      <c r="T1243" t="s">
        <v>278</v>
      </c>
      <c r="U1243">
        <v>4.5014001821139987E-2</v>
      </c>
      <c r="V1243" t="s">
        <v>166</v>
      </c>
    </row>
    <row r="1244" spans="9:22" x14ac:dyDescent="0.45">
      <c r="I1244" t="s">
        <v>189</v>
      </c>
      <c r="J1244" t="s">
        <v>279</v>
      </c>
      <c r="K1244">
        <v>1.4571458261039297E-2</v>
      </c>
      <c r="L1244" t="s">
        <v>166</v>
      </c>
      <c r="N1244" t="s">
        <v>213</v>
      </c>
      <c r="O1244" t="s">
        <v>279</v>
      </c>
      <c r="P1244">
        <v>1.0003072555668541E-2</v>
      </c>
      <c r="Q1244" t="s">
        <v>166</v>
      </c>
      <c r="S1244" t="s">
        <v>230</v>
      </c>
      <c r="T1244" t="s">
        <v>279</v>
      </c>
      <c r="U1244">
        <v>6.4096707128928091E-3</v>
      </c>
      <c r="V1244" t="s">
        <v>166</v>
      </c>
    </row>
    <row r="1245" spans="9:22" x14ac:dyDescent="0.45">
      <c r="I1245" t="s">
        <v>189</v>
      </c>
      <c r="J1245" t="s">
        <v>280</v>
      </c>
      <c r="K1245">
        <v>1.5735390495661913E-2</v>
      </c>
      <c r="L1245" t="s">
        <v>166</v>
      </c>
      <c r="N1245" t="s">
        <v>213</v>
      </c>
      <c r="O1245" t="s">
        <v>280</v>
      </c>
      <c r="P1245">
        <v>1.9165771924847981E-2</v>
      </c>
      <c r="Q1245" t="s">
        <v>166</v>
      </c>
      <c r="S1245" t="s">
        <v>230</v>
      </c>
      <c r="T1245" t="s">
        <v>280</v>
      </c>
      <c r="U1245">
        <v>1.160418070448207E-2</v>
      </c>
      <c r="V1245" t="s">
        <v>166</v>
      </c>
    </row>
    <row r="1246" spans="9:22" x14ac:dyDescent="0.45">
      <c r="I1246" t="s">
        <v>189</v>
      </c>
      <c r="J1246" t="s">
        <v>281</v>
      </c>
      <c r="K1246">
        <v>0</v>
      </c>
      <c r="L1246" t="s">
        <v>166</v>
      </c>
      <c r="N1246" t="s">
        <v>213</v>
      </c>
      <c r="O1246" t="s">
        <v>281</v>
      </c>
      <c r="P1246">
        <v>4.1918092870555305E-2</v>
      </c>
      <c r="Q1246" t="s">
        <v>166</v>
      </c>
      <c r="S1246" t="s">
        <v>230</v>
      </c>
      <c r="T1246" t="s">
        <v>281</v>
      </c>
      <c r="U1246">
        <v>3.0979259547095874E-2</v>
      </c>
      <c r="V1246" t="s">
        <v>166</v>
      </c>
    </row>
    <row r="1247" spans="9:22" x14ac:dyDescent="0.45">
      <c r="I1247" t="s">
        <v>189</v>
      </c>
      <c r="J1247" t="s">
        <v>282</v>
      </c>
      <c r="K1247">
        <v>1.6178564538261765E-3</v>
      </c>
      <c r="L1247" t="s">
        <v>166</v>
      </c>
      <c r="N1247" t="s">
        <v>213</v>
      </c>
      <c r="O1247" t="s">
        <v>282</v>
      </c>
      <c r="P1247">
        <v>4.1984868398265429E-2</v>
      </c>
      <c r="Q1247" t="s">
        <v>166</v>
      </c>
      <c r="S1247" t="s">
        <v>230</v>
      </c>
      <c r="T1247" t="s">
        <v>282</v>
      </c>
      <c r="U1247">
        <v>4.5881988843384479E-2</v>
      </c>
      <c r="V1247" t="s">
        <v>166</v>
      </c>
    </row>
    <row r="1248" spans="9:22" x14ac:dyDescent="0.45">
      <c r="I1248" t="s">
        <v>189</v>
      </c>
      <c r="J1248" t="s">
        <v>283</v>
      </c>
      <c r="K1248">
        <v>3.6487957588976295E-3</v>
      </c>
      <c r="L1248" t="s">
        <v>166</v>
      </c>
      <c r="N1248" t="s">
        <v>213</v>
      </c>
      <c r="O1248" t="s">
        <v>283</v>
      </c>
      <c r="P1248">
        <v>5.6345267028318092E-3</v>
      </c>
      <c r="Q1248" t="s">
        <v>166</v>
      </c>
      <c r="S1248" t="s">
        <v>230</v>
      </c>
      <c r="T1248" t="s">
        <v>283</v>
      </c>
      <c r="U1248">
        <v>6.2085057919481525E-3</v>
      </c>
      <c r="V1248" t="s">
        <v>166</v>
      </c>
    </row>
    <row r="1249" spans="9:22" x14ac:dyDescent="0.45">
      <c r="I1249" t="s">
        <v>189</v>
      </c>
      <c r="J1249" t="s">
        <v>284</v>
      </c>
      <c r="K1249">
        <v>5.0204178252132844E-2</v>
      </c>
      <c r="L1249" t="s">
        <v>166</v>
      </c>
      <c r="N1249" t="s">
        <v>213</v>
      </c>
      <c r="O1249" t="s">
        <v>284</v>
      </c>
      <c r="P1249">
        <v>3.5616568544796674E-2</v>
      </c>
      <c r="Q1249" t="s">
        <v>166</v>
      </c>
      <c r="S1249" t="s">
        <v>230</v>
      </c>
      <c r="T1249" t="s">
        <v>284</v>
      </c>
      <c r="U1249">
        <v>4.4159607472260408E-2</v>
      </c>
      <c r="V1249" t="s">
        <v>166</v>
      </c>
    </row>
    <row r="1250" spans="9:22" x14ac:dyDescent="0.45">
      <c r="I1250" t="s">
        <v>189</v>
      </c>
      <c r="J1250" t="s">
        <v>285</v>
      </c>
      <c r="K1250">
        <v>4.661236967403966E-3</v>
      </c>
      <c r="L1250" t="s">
        <v>166</v>
      </c>
      <c r="N1250" t="s">
        <v>213</v>
      </c>
      <c r="O1250" t="s">
        <v>285</v>
      </c>
      <c r="P1250">
        <v>4.445629674214714E-3</v>
      </c>
      <c r="Q1250" t="s">
        <v>166</v>
      </c>
      <c r="S1250" t="s">
        <v>230</v>
      </c>
      <c r="T1250" t="s">
        <v>285</v>
      </c>
      <c r="U1250">
        <v>6.2796152398524449E-3</v>
      </c>
      <c r="V1250" t="s">
        <v>166</v>
      </c>
    </row>
    <row r="1251" spans="9:22" x14ac:dyDescent="0.45">
      <c r="I1251" t="s">
        <v>189</v>
      </c>
      <c r="J1251" t="s">
        <v>286</v>
      </c>
      <c r="K1251">
        <v>2.8809010609221813E-3</v>
      </c>
      <c r="L1251" t="s">
        <v>166</v>
      </c>
      <c r="N1251" t="s">
        <v>213</v>
      </c>
      <c r="O1251" t="s">
        <v>286</v>
      </c>
      <c r="P1251">
        <v>8.5029407112824813E-3</v>
      </c>
      <c r="Q1251" t="s">
        <v>166</v>
      </c>
      <c r="S1251" t="s">
        <v>230</v>
      </c>
      <c r="T1251" t="s">
        <v>286</v>
      </c>
      <c r="U1251">
        <v>1.1429522334038069E-2</v>
      </c>
      <c r="V1251" t="s">
        <v>166</v>
      </c>
    </row>
    <row r="1252" spans="9:22" x14ac:dyDescent="0.45">
      <c r="I1252" t="s">
        <v>189</v>
      </c>
      <c r="J1252" t="s">
        <v>287</v>
      </c>
      <c r="K1252">
        <v>0</v>
      </c>
      <c r="L1252" t="s">
        <v>166</v>
      </c>
      <c r="N1252" t="s">
        <v>213</v>
      </c>
      <c r="O1252" t="s">
        <v>287</v>
      </c>
      <c r="P1252">
        <v>2.0706784950511068E-2</v>
      </c>
      <c r="Q1252" t="s">
        <v>166</v>
      </c>
      <c r="S1252" t="s">
        <v>230</v>
      </c>
      <c r="T1252" t="s">
        <v>287</v>
      </c>
      <c r="U1252">
        <v>2.9644903197408225E-2</v>
      </c>
      <c r="V1252" t="s">
        <v>166</v>
      </c>
    </row>
    <row r="1253" spans="9:22" x14ac:dyDescent="0.45">
      <c r="I1253" t="s">
        <v>189</v>
      </c>
      <c r="J1253" t="s">
        <v>288</v>
      </c>
      <c r="K1253">
        <v>2.4027846840261012E-4</v>
      </c>
      <c r="L1253" t="s">
        <v>166</v>
      </c>
      <c r="N1253" t="s">
        <v>213</v>
      </c>
      <c r="O1253" t="s">
        <v>288</v>
      </c>
      <c r="P1253">
        <v>3.0570385232906162E-2</v>
      </c>
      <c r="Q1253" t="s">
        <v>166</v>
      </c>
      <c r="S1253" t="s">
        <v>230</v>
      </c>
      <c r="T1253" t="s">
        <v>288</v>
      </c>
      <c r="U1253">
        <v>4.8682440094715354E-2</v>
      </c>
      <c r="V1253" t="s">
        <v>166</v>
      </c>
    </row>
    <row r="1254" spans="9:22" x14ac:dyDescent="0.45">
      <c r="I1254" t="s">
        <v>189</v>
      </c>
      <c r="J1254" t="s">
        <v>289</v>
      </c>
      <c r="K1254">
        <v>5.7381492720830979E-3</v>
      </c>
      <c r="L1254" t="s">
        <v>166</v>
      </c>
      <c r="N1254" t="s">
        <v>213</v>
      </c>
      <c r="O1254" t="s">
        <v>289</v>
      </c>
      <c r="P1254">
        <v>4.3401427036538825E-3</v>
      </c>
      <c r="Q1254" t="s">
        <v>166</v>
      </c>
      <c r="S1254" t="s">
        <v>230</v>
      </c>
      <c r="T1254" t="s">
        <v>289</v>
      </c>
      <c r="U1254">
        <v>6.6100742752309202E-3</v>
      </c>
      <c r="V1254" t="s">
        <v>166</v>
      </c>
    </row>
    <row r="1255" spans="9:22" x14ac:dyDescent="0.45">
      <c r="I1255" t="s">
        <v>189</v>
      </c>
      <c r="J1255" t="s">
        <v>290</v>
      </c>
      <c r="K1255">
        <v>7.11019275777941E-2</v>
      </c>
      <c r="L1255" t="s">
        <v>166</v>
      </c>
      <c r="N1255" t="s">
        <v>213</v>
      </c>
      <c r="O1255" t="s">
        <v>290</v>
      </c>
      <c r="P1255">
        <v>2.7192671403269631E-2</v>
      </c>
      <c r="Q1255" t="s">
        <v>166</v>
      </c>
      <c r="S1255" t="s">
        <v>230</v>
      </c>
      <c r="T1255" t="s">
        <v>290</v>
      </c>
      <c r="U1255">
        <v>4.5405359464392385E-2</v>
      </c>
      <c r="V1255" t="s">
        <v>166</v>
      </c>
    </row>
    <row r="1256" spans="9:22" x14ac:dyDescent="0.45">
      <c r="I1256" t="s">
        <v>189</v>
      </c>
      <c r="J1256" t="s">
        <v>291</v>
      </c>
      <c r="K1256">
        <v>6.2152656278426375E-3</v>
      </c>
      <c r="L1256" t="s">
        <v>166</v>
      </c>
      <c r="N1256" t="s">
        <v>213</v>
      </c>
      <c r="O1256" t="s">
        <v>291</v>
      </c>
      <c r="P1256">
        <v>3.1257398018613857E-3</v>
      </c>
      <c r="Q1256" t="s">
        <v>166</v>
      </c>
      <c r="S1256" t="s">
        <v>230</v>
      </c>
      <c r="T1256" t="s">
        <v>291</v>
      </c>
      <c r="U1256">
        <v>6.2343423563788226E-3</v>
      </c>
      <c r="V1256" t="s">
        <v>166</v>
      </c>
    </row>
    <row r="1257" spans="9:22" x14ac:dyDescent="0.45">
      <c r="I1257" t="s">
        <v>189</v>
      </c>
      <c r="J1257" t="s">
        <v>292</v>
      </c>
      <c r="K1257">
        <v>3.5908538616678367E-3</v>
      </c>
      <c r="L1257" t="s">
        <v>166</v>
      </c>
      <c r="N1257" t="s">
        <v>213</v>
      </c>
      <c r="O1257" t="s">
        <v>292</v>
      </c>
      <c r="P1257">
        <v>6.4673774128663703E-3</v>
      </c>
      <c r="Q1257" t="s">
        <v>166</v>
      </c>
      <c r="S1257" t="s">
        <v>230</v>
      </c>
      <c r="T1257" t="s">
        <v>292</v>
      </c>
      <c r="U1257">
        <v>1.0450206495300086E-2</v>
      </c>
      <c r="V1257" t="s">
        <v>166</v>
      </c>
    </row>
    <row r="1258" spans="9:22" x14ac:dyDescent="0.45">
      <c r="I1258" t="s">
        <v>189</v>
      </c>
      <c r="J1258" t="s">
        <v>293</v>
      </c>
      <c r="K1258">
        <v>0</v>
      </c>
      <c r="L1258" t="s">
        <v>166</v>
      </c>
      <c r="N1258" t="s">
        <v>213</v>
      </c>
      <c r="O1258" t="s">
        <v>293</v>
      </c>
      <c r="P1258">
        <v>1.3785434926885247E-2</v>
      </c>
      <c r="Q1258" t="s">
        <v>166</v>
      </c>
      <c r="S1258" t="s">
        <v>230</v>
      </c>
      <c r="T1258" t="s">
        <v>293</v>
      </c>
      <c r="U1258">
        <v>2.6581194801856143E-2</v>
      </c>
      <c r="V1258" t="s">
        <v>166</v>
      </c>
    </row>
    <row r="1259" spans="9:22" x14ac:dyDescent="0.45">
      <c r="I1259" t="s">
        <v>190</v>
      </c>
      <c r="J1259" t="s">
        <v>165</v>
      </c>
      <c r="K1259">
        <v>3.6492457196839329E-3</v>
      </c>
      <c r="L1259" t="s">
        <v>166</v>
      </c>
      <c r="N1259" t="s">
        <v>214</v>
      </c>
      <c r="O1259" t="s">
        <v>165</v>
      </c>
      <c r="P1259">
        <v>8.4576788098576217E-2</v>
      </c>
      <c r="Q1259" t="s">
        <v>166</v>
      </c>
      <c r="S1259" t="s">
        <v>231</v>
      </c>
      <c r="T1259" t="s">
        <v>165</v>
      </c>
      <c r="U1259">
        <v>9.8895861226665549E-2</v>
      </c>
      <c r="V1259" t="s">
        <v>166</v>
      </c>
    </row>
    <row r="1260" spans="9:22" x14ac:dyDescent="0.45">
      <c r="I1260" t="s">
        <v>190</v>
      </c>
      <c r="J1260" t="s">
        <v>167</v>
      </c>
      <c r="K1260">
        <v>9.4336616117205747E-3</v>
      </c>
      <c r="L1260" t="s">
        <v>166</v>
      </c>
      <c r="N1260" t="s">
        <v>214</v>
      </c>
      <c r="O1260" t="s">
        <v>167</v>
      </c>
      <c r="P1260">
        <v>1.0360618453490539E-2</v>
      </c>
      <c r="Q1260" t="s">
        <v>166</v>
      </c>
      <c r="S1260" t="s">
        <v>231</v>
      </c>
      <c r="T1260" t="s">
        <v>167</v>
      </c>
      <c r="U1260">
        <v>1.3135332960505531E-2</v>
      </c>
      <c r="V1260" t="s">
        <v>166</v>
      </c>
    </row>
    <row r="1261" spans="9:22" x14ac:dyDescent="0.45">
      <c r="I1261" t="s">
        <v>190</v>
      </c>
      <c r="J1261" t="s">
        <v>168</v>
      </c>
      <c r="K1261">
        <v>0.18474208269059281</v>
      </c>
      <c r="L1261" t="s">
        <v>166</v>
      </c>
      <c r="N1261" t="s">
        <v>214</v>
      </c>
      <c r="O1261" t="s">
        <v>168</v>
      </c>
      <c r="P1261">
        <v>8.1480603831325382E-2</v>
      </c>
      <c r="Q1261" t="s">
        <v>166</v>
      </c>
      <c r="S1261" t="s">
        <v>231</v>
      </c>
      <c r="T1261" t="s">
        <v>168</v>
      </c>
      <c r="U1261">
        <v>9.0518638849110947E-2</v>
      </c>
      <c r="V1261" t="s">
        <v>166</v>
      </c>
    </row>
    <row r="1262" spans="9:22" x14ac:dyDescent="0.45">
      <c r="I1262" t="s">
        <v>190</v>
      </c>
      <c r="J1262" t="s">
        <v>258</v>
      </c>
      <c r="K1262">
        <v>2.1791977965710214E-2</v>
      </c>
      <c r="L1262" t="s">
        <v>166</v>
      </c>
      <c r="N1262" t="s">
        <v>214</v>
      </c>
      <c r="O1262" t="s">
        <v>258</v>
      </c>
      <c r="P1262">
        <v>1.3615478613068707E-2</v>
      </c>
      <c r="Q1262" t="s">
        <v>166</v>
      </c>
      <c r="S1262" t="s">
        <v>231</v>
      </c>
      <c r="T1262" t="s">
        <v>258</v>
      </c>
      <c r="U1262">
        <v>1.3471082105426122E-2</v>
      </c>
      <c r="V1262" t="s">
        <v>166</v>
      </c>
    </row>
    <row r="1263" spans="9:22" x14ac:dyDescent="0.45">
      <c r="I1263" t="s">
        <v>190</v>
      </c>
      <c r="J1263" t="s">
        <v>259</v>
      </c>
      <c r="K1263">
        <v>2.3361545713678957E-2</v>
      </c>
      <c r="L1263" t="s">
        <v>166</v>
      </c>
      <c r="N1263" t="s">
        <v>214</v>
      </c>
      <c r="O1263" t="s">
        <v>259</v>
      </c>
      <c r="P1263">
        <v>2.7400177368713575E-2</v>
      </c>
      <c r="Q1263" t="s">
        <v>166</v>
      </c>
      <c r="S1263" t="s">
        <v>231</v>
      </c>
      <c r="T1263" t="s">
        <v>259</v>
      </c>
      <c r="U1263">
        <v>2.3937498513748132E-2</v>
      </c>
      <c r="V1263" t="s">
        <v>166</v>
      </c>
    </row>
    <row r="1264" spans="9:22" x14ac:dyDescent="0.45">
      <c r="I1264" t="s">
        <v>190</v>
      </c>
      <c r="J1264" t="s">
        <v>260</v>
      </c>
      <c r="K1264">
        <v>0</v>
      </c>
      <c r="L1264" t="s">
        <v>166</v>
      </c>
      <c r="N1264" t="s">
        <v>214</v>
      </c>
      <c r="O1264" t="s">
        <v>260</v>
      </c>
      <c r="P1264">
        <v>6.9050988992563331E-2</v>
      </c>
      <c r="Q1264" t="s">
        <v>166</v>
      </c>
      <c r="S1264" t="s">
        <v>231</v>
      </c>
      <c r="T1264" t="s">
        <v>260</v>
      </c>
      <c r="U1264">
        <v>6.4015036714690637E-2</v>
      </c>
      <c r="V1264" t="s">
        <v>166</v>
      </c>
    </row>
    <row r="1265" spans="9:22" x14ac:dyDescent="0.45">
      <c r="I1265" t="s">
        <v>190</v>
      </c>
      <c r="J1265" t="s">
        <v>346</v>
      </c>
      <c r="K1265">
        <v>0</v>
      </c>
      <c r="L1265" t="s">
        <v>166</v>
      </c>
      <c r="N1265" t="s">
        <v>214</v>
      </c>
      <c r="O1265" t="s">
        <v>346</v>
      </c>
      <c r="P1265">
        <v>1.3124011377492585E-5</v>
      </c>
      <c r="Q1265" t="s">
        <v>166</v>
      </c>
      <c r="S1265" t="s">
        <v>231</v>
      </c>
      <c r="T1265" t="s">
        <v>346</v>
      </c>
      <c r="U1265">
        <v>7.2586347401064932E-5</v>
      </c>
      <c r="V1265" t="s">
        <v>166</v>
      </c>
    </row>
    <row r="1266" spans="9:22" x14ac:dyDescent="0.45">
      <c r="I1266" t="s">
        <v>190</v>
      </c>
      <c r="J1266" t="s">
        <v>347</v>
      </c>
      <c r="K1266">
        <v>0</v>
      </c>
      <c r="L1266" t="s">
        <v>166</v>
      </c>
      <c r="N1266" t="s">
        <v>214</v>
      </c>
      <c r="O1266" t="s">
        <v>347</v>
      </c>
      <c r="P1266">
        <v>2.0310433557483626E-5</v>
      </c>
      <c r="Q1266" t="s">
        <v>166</v>
      </c>
      <c r="S1266" t="s">
        <v>231</v>
      </c>
      <c r="T1266" t="s">
        <v>347</v>
      </c>
      <c r="U1266">
        <v>6.7418900572218033E-5</v>
      </c>
      <c r="V1266" t="s">
        <v>166</v>
      </c>
    </row>
    <row r="1267" spans="9:22" x14ac:dyDescent="0.45">
      <c r="I1267" t="s">
        <v>190</v>
      </c>
      <c r="J1267" t="s">
        <v>348</v>
      </c>
      <c r="K1267">
        <v>0</v>
      </c>
      <c r="L1267" t="s">
        <v>166</v>
      </c>
      <c r="N1267" t="s">
        <v>214</v>
      </c>
      <c r="O1267" t="s">
        <v>348</v>
      </c>
      <c r="P1267">
        <v>2.2781393734053469E-5</v>
      </c>
      <c r="Q1267" t="s">
        <v>166</v>
      </c>
      <c r="S1267" t="s">
        <v>231</v>
      </c>
      <c r="T1267" t="s">
        <v>348</v>
      </c>
      <c r="U1267">
        <v>6.6194220925827881E-5</v>
      </c>
      <c r="V1267" t="s">
        <v>166</v>
      </c>
    </row>
    <row r="1268" spans="9:22" x14ac:dyDescent="0.45">
      <c r="I1268" t="s">
        <v>190</v>
      </c>
      <c r="J1268" t="s">
        <v>349</v>
      </c>
      <c r="K1268">
        <v>0</v>
      </c>
      <c r="L1268" t="s">
        <v>166</v>
      </c>
      <c r="N1268" t="s">
        <v>214</v>
      </c>
      <c r="O1268" t="s">
        <v>349</v>
      </c>
      <c r="P1268">
        <v>2.2859021969641644E-5</v>
      </c>
      <c r="Q1268" t="s">
        <v>166</v>
      </c>
      <c r="S1268" t="s">
        <v>231</v>
      </c>
      <c r="T1268" t="s">
        <v>349</v>
      </c>
      <c r="U1268">
        <v>6.7854654579964333E-5</v>
      </c>
      <c r="V1268" t="s">
        <v>166</v>
      </c>
    </row>
    <row r="1269" spans="9:22" x14ac:dyDescent="0.45">
      <c r="I1269" t="s">
        <v>190</v>
      </c>
      <c r="J1269" t="s">
        <v>350</v>
      </c>
      <c r="K1269">
        <v>0</v>
      </c>
      <c r="L1269" t="s">
        <v>166</v>
      </c>
      <c r="N1269" t="s">
        <v>214</v>
      </c>
      <c r="O1269" t="s">
        <v>350</v>
      </c>
      <c r="P1269">
        <v>2.4970946548922653E-5</v>
      </c>
      <c r="Q1269" t="s">
        <v>166</v>
      </c>
      <c r="S1269" t="s">
        <v>231</v>
      </c>
      <c r="T1269" t="s">
        <v>350</v>
      </c>
      <c r="U1269">
        <v>7.501047390572658E-5</v>
      </c>
      <c r="V1269" t="s">
        <v>166</v>
      </c>
    </row>
    <row r="1270" spans="9:22" x14ac:dyDescent="0.45">
      <c r="I1270" t="s">
        <v>190</v>
      </c>
      <c r="J1270" t="s">
        <v>351</v>
      </c>
      <c r="K1270">
        <v>0</v>
      </c>
      <c r="L1270" t="s">
        <v>166</v>
      </c>
      <c r="N1270" t="s">
        <v>214</v>
      </c>
      <c r="O1270" t="s">
        <v>351</v>
      </c>
      <c r="P1270">
        <v>2.3008098452745279E-5</v>
      </c>
      <c r="Q1270" t="s">
        <v>166</v>
      </c>
      <c r="S1270" t="s">
        <v>231</v>
      </c>
      <c r="T1270" t="s">
        <v>351</v>
      </c>
      <c r="U1270">
        <v>5.5091492055375678E-5</v>
      </c>
      <c r="V1270" t="s">
        <v>166</v>
      </c>
    </row>
    <row r="1271" spans="9:22" x14ac:dyDescent="0.45">
      <c r="I1271" t="s">
        <v>190</v>
      </c>
      <c r="J1271" t="s">
        <v>352</v>
      </c>
      <c r="K1271">
        <v>0</v>
      </c>
      <c r="L1271" t="s">
        <v>166</v>
      </c>
      <c r="N1271" t="s">
        <v>214</v>
      </c>
      <c r="O1271" t="s">
        <v>352</v>
      </c>
      <c r="P1271">
        <v>2.905867512682572E-5</v>
      </c>
      <c r="Q1271" t="s">
        <v>166</v>
      </c>
      <c r="S1271" t="s">
        <v>231</v>
      </c>
      <c r="T1271" t="s">
        <v>352</v>
      </c>
      <c r="U1271">
        <v>6.4584948239534856E-5</v>
      </c>
      <c r="V1271" t="s">
        <v>166</v>
      </c>
    </row>
    <row r="1272" spans="9:22" x14ac:dyDescent="0.45">
      <c r="I1272" t="s">
        <v>190</v>
      </c>
      <c r="J1272" t="s">
        <v>353</v>
      </c>
      <c r="K1272">
        <v>0</v>
      </c>
      <c r="L1272" t="s">
        <v>166</v>
      </c>
      <c r="N1272" t="s">
        <v>214</v>
      </c>
      <c r="O1272" t="s">
        <v>353</v>
      </c>
      <c r="P1272">
        <v>4.0359318516579361E-5</v>
      </c>
      <c r="Q1272" t="s">
        <v>166</v>
      </c>
      <c r="S1272" t="s">
        <v>231</v>
      </c>
      <c r="T1272" t="s">
        <v>353</v>
      </c>
      <c r="U1272">
        <v>8.0713225819521703E-5</v>
      </c>
      <c r="V1272" t="s">
        <v>166</v>
      </c>
    </row>
    <row r="1273" spans="9:22" x14ac:dyDescent="0.45">
      <c r="I1273" t="s">
        <v>190</v>
      </c>
      <c r="J1273" t="s">
        <v>354</v>
      </c>
      <c r="K1273">
        <v>2.3721112878644635E-5</v>
      </c>
      <c r="L1273" t="s">
        <v>166</v>
      </c>
      <c r="N1273" t="s">
        <v>214</v>
      </c>
      <c r="O1273" t="s">
        <v>354</v>
      </c>
      <c r="P1273">
        <v>4.3320623884466955E-5</v>
      </c>
      <c r="Q1273" t="s">
        <v>166</v>
      </c>
      <c r="S1273" t="s">
        <v>231</v>
      </c>
      <c r="T1273" t="s">
        <v>354</v>
      </c>
      <c r="U1273">
        <v>9.0285689134713453E-5</v>
      </c>
      <c r="V1273" t="s">
        <v>166</v>
      </c>
    </row>
    <row r="1274" spans="9:22" x14ac:dyDescent="0.45">
      <c r="I1274" t="s">
        <v>190</v>
      </c>
      <c r="J1274" t="s">
        <v>355</v>
      </c>
      <c r="K1274">
        <v>2.7411410623281222E-5</v>
      </c>
      <c r="L1274" t="s">
        <v>166</v>
      </c>
      <c r="N1274" t="s">
        <v>214</v>
      </c>
      <c r="O1274" t="s">
        <v>355</v>
      </c>
      <c r="P1274">
        <v>5.5092421111528563E-5</v>
      </c>
      <c r="Q1274" t="s">
        <v>166</v>
      </c>
      <c r="S1274" t="s">
        <v>231</v>
      </c>
      <c r="T1274" t="s">
        <v>355</v>
      </c>
      <c r="U1274">
        <v>9.0786721388450475E-5</v>
      </c>
      <c r="V1274" t="s">
        <v>166</v>
      </c>
    </row>
    <row r="1275" spans="9:22" x14ac:dyDescent="0.45">
      <c r="I1275" t="s">
        <v>190</v>
      </c>
      <c r="J1275" t="s">
        <v>356</v>
      </c>
      <c r="K1275">
        <v>5.8744507486022368E-5</v>
      </c>
      <c r="L1275" t="s">
        <v>166</v>
      </c>
      <c r="N1275" t="s">
        <v>214</v>
      </c>
      <c r="O1275" t="s">
        <v>356</v>
      </c>
      <c r="P1275">
        <v>5.624103909902679E-5</v>
      </c>
      <c r="Q1275" t="s">
        <v>166</v>
      </c>
      <c r="S1275" t="s">
        <v>231</v>
      </c>
      <c r="T1275" t="s">
        <v>356</v>
      </c>
      <c r="U1275">
        <v>8.4950534968969776E-5</v>
      </c>
      <c r="V1275" t="s">
        <v>166</v>
      </c>
    </row>
    <row r="1276" spans="9:22" x14ac:dyDescent="0.45">
      <c r="I1276" t="s">
        <v>190</v>
      </c>
      <c r="J1276" t="s">
        <v>357</v>
      </c>
      <c r="K1276">
        <v>8.1637012496414796E-5</v>
      </c>
      <c r="L1276" t="s">
        <v>166</v>
      </c>
      <c r="N1276" t="s">
        <v>214</v>
      </c>
      <c r="O1276" t="s">
        <v>357</v>
      </c>
      <c r="P1276">
        <v>5.3832655774874204E-5</v>
      </c>
      <c r="Q1276" t="s">
        <v>166</v>
      </c>
      <c r="S1276" t="s">
        <v>231</v>
      </c>
      <c r="T1276" t="s">
        <v>357</v>
      </c>
      <c r="U1276">
        <v>8.0315510573917366E-5</v>
      </c>
      <c r="V1276" t="s">
        <v>166</v>
      </c>
    </row>
    <row r="1277" spans="9:22" x14ac:dyDescent="0.45">
      <c r="I1277" t="s">
        <v>190</v>
      </c>
      <c r="J1277" t="s">
        <v>358</v>
      </c>
      <c r="K1277">
        <v>1.0999559456417138E-4</v>
      </c>
      <c r="L1277" t="s">
        <v>166</v>
      </c>
      <c r="N1277" t="s">
        <v>214</v>
      </c>
      <c r="O1277" t="s">
        <v>358</v>
      </c>
      <c r="P1277">
        <v>4.7011487486554475E-5</v>
      </c>
      <c r="Q1277" t="s">
        <v>166</v>
      </c>
      <c r="S1277" t="s">
        <v>231</v>
      </c>
      <c r="T1277" t="s">
        <v>358</v>
      </c>
      <c r="U1277">
        <v>6.9970042820529507E-5</v>
      </c>
      <c r="V1277" t="s">
        <v>166</v>
      </c>
    </row>
    <row r="1278" spans="9:22" x14ac:dyDescent="0.45">
      <c r="I1278" t="s">
        <v>190</v>
      </c>
      <c r="J1278" t="s">
        <v>359</v>
      </c>
      <c r="K1278">
        <v>8.8551639771050603E-5</v>
      </c>
      <c r="L1278" t="s">
        <v>166</v>
      </c>
      <c r="N1278" t="s">
        <v>214</v>
      </c>
      <c r="O1278" t="s">
        <v>359</v>
      </c>
      <c r="P1278">
        <v>3.9236194192201587E-5</v>
      </c>
      <c r="Q1278" t="s">
        <v>166</v>
      </c>
      <c r="S1278" t="s">
        <v>231</v>
      </c>
      <c r="T1278" t="s">
        <v>359</v>
      </c>
      <c r="U1278">
        <v>6.3264376727530867E-5</v>
      </c>
      <c r="V1278" t="s">
        <v>166</v>
      </c>
    </row>
    <row r="1279" spans="9:22" x14ac:dyDescent="0.45">
      <c r="I1279" t="s">
        <v>190</v>
      </c>
      <c r="J1279" t="s">
        <v>360</v>
      </c>
      <c r="K1279">
        <v>6.5241561813440436E-5</v>
      </c>
      <c r="L1279" t="s">
        <v>166</v>
      </c>
      <c r="N1279" t="s">
        <v>214</v>
      </c>
      <c r="O1279" t="s">
        <v>360</v>
      </c>
      <c r="P1279">
        <v>3.0557927264903376E-5</v>
      </c>
      <c r="Q1279" t="s">
        <v>166</v>
      </c>
      <c r="S1279" t="s">
        <v>231</v>
      </c>
      <c r="T1279" t="s">
        <v>360</v>
      </c>
      <c r="U1279">
        <v>5.6733250353571486E-5</v>
      </c>
      <c r="V1279" t="s">
        <v>166</v>
      </c>
    </row>
    <row r="1280" spans="9:22" x14ac:dyDescent="0.45">
      <c r="I1280" t="s">
        <v>190</v>
      </c>
      <c r="J1280" t="s">
        <v>361</v>
      </c>
      <c r="K1280">
        <v>4.9869836287098389E-5</v>
      </c>
      <c r="L1280" t="s">
        <v>166</v>
      </c>
      <c r="N1280" t="s">
        <v>214</v>
      </c>
      <c r="O1280" t="s">
        <v>361</v>
      </c>
      <c r="P1280">
        <v>2.4501714085728728E-5</v>
      </c>
      <c r="Q1280" t="s">
        <v>166</v>
      </c>
      <c r="S1280" t="s">
        <v>231</v>
      </c>
      <c r="T1280" t="s">
        <v>361</v>
      </c>
      <c r="U1280">
        <v>5.057167624018163E-5</v>
      </c>
      <c r="V1280" t="s">
        <v>166</v>
      </c>
    </row>
    <row r="1281" spans="9:22" x14ac:dyDescent="0.45">
      <c r="I1281" t="s">
        <v>190</v>
      </c>
      <c r="J1281" t="s">
        <v>362</v>
      </c>
      <c r="K1281">
        <v>1.1036113569048347E-5</v>
      </c>
      <c r="L1281" t="s">
        <v>166</v>
      </c>
      <c r="N1281" t="s">
        <v>214</v>
      </c>
      <c r="O1281" t="s">
        <v>362</v>
      </c>
      <c r="P1281">
        <v>2.6228476450112396E-5</v>
      </c>
      <c r="Q1281" t="s">
        <v>166</v>
      </c>
      <c r="S1281" t="s">
        <v>231</v>
      </c>
      <c r="T1281" t="s">
        <v>362</v>
      </c>
      <c r="U1281">
        <v>5.0003181181795148E-5</v>
      </c>
      <c r="V1281" t="s">
        <v>166</v>
      </c>
    </row>
    <row r="1282" spans="9:22" x14ac:dyDescent="0.45">
      <c r="I1282" t="s">
        <v>190</v>
      </c>
      <c r="J1282" t="s">
        <v>363</v>
      </c>
      <c r="K1282">
        <v>3.1466280790561968E-6</v>
      </c>
      <c r="L1282" t="s">
        <v>166</v>
      </c>
      <c r="N1282" t="s">
        <v>214</v>
      </c>
      <c r="O1282" t="s">
        <v>363</v>
      </c>
      <c r="P1282">
        <v>3.3183767083126555E-5</v>
      </c>
      <c r="Q1282" t="s">
        <v>166</v>
      </c>
      <c r="S1282" t="s">
        <v>231</v>
      </c>
      <c r="T1282" t="s">
        <v>363</v>
      </c>
      <c r="U1282">
        <v>3.7976021066081859E-5</v>
      </c>
      <c r="V1282" t="s">
        <v>166</v>
      </c>
    </row>
    <row r="1283" spans="9:22" x14ac:dyDescent="0.45">
      <c r="I1283" t="s">
        <v>190</v>
      </c>
      <c r="J1283" t="s">
        <v>364</v>
      </c>
      <c r="K1283">
        <v>0</v>
      </c>
      <c r="L1283" t="s">
        <v>166</v>
      </c>
      <c r="N1283" t="s">
        <v>214</v>
      </c>
      <c r="O1283" t="s">
        <v>364</v>
      </c>
      <c r="P1283">
        <v>4.0475510757527392E-5</v>
      </c>
      <c r="Q1283" t="s">
        <v>166</v>
      </c>
      <c r="S1283" t="s">
        <v>231</v>
      </c>
      <c r="T1283" t="s">
        <v>364</v>
      </c>
      <c r="U1283">
        <v>4.0901571313815911E-5</v>
      </c>
      <c r="V1283" t="s">
        <v>166</v>
      </c>
    </row>
    <row r="1284" spans="9:22" x14ac:dyDescent="0.45">
      <c r="I1284" t="s">
        <v>190</v>
      </c>
      <c r="J1284" t="s">
        <v>365</v>
      </c>
      <c r="K1284">
        <v>0</v>
      </c>
      <c r="L1284" t="s">
        <v>166</v>
      </c>
      <c r="N1284" t="s">
        <v>214</v>
      </c>
      <c r="O1284" t="s">
        <v>365</v>
      </c>
      <c r="P1284">
        <v>3.9120989361144488E-5</v>
      </c>
      <c r="Q1284" t="s">
        <v>166</v>
      </c>
      <c r="S1284" t="s">
        <v>231</v>
      </c>
      <c r="T1284" t="s">
        <v>365</v>
      </c>
      <c r="U1284">
        <v>5.0659460601210205E-5</v>
      </c>
      <c r="V1284" t="s">
        <v>166</v>
      </c>
    </row>
    <row r="1285" spans="9:22" x14ac:dyDescent="0.45">
      <c r="I1285" t="s">
        <v>190</v>
      </c>
      <c r="J1285" t="s">
        <v>366</v>
      </c>
      <c r="K1285">
        <v>0</v>
      </c>
      <c r="L1285" t="s">
        <v>166</v>
      </c>
      <c r="N1285" t="s">
        <v>214</v>
      </c>
      <c r="O1285" t="s">
        <v>366</v>
      </c>
      <c r="P1285">
        <v>2.7176309502446792E-5</v>
      </c>
      <c r="Q1285" t="s">
        <v>166</v>
      </c>
      <c r="S1285" t="s">
        <v>231</v>
      </c>
      <c r="T1285" t="s">
        <v>366</v>
      </c>
      <c r="U1285">
        <v>6.1003376724282966E-5</v>
      </c>
      <c r="V1285" t="s">
        <v>166</v>
      </c>
    </row>
    <row r="1286" spans="9:22" x14ac:dyDescent="0.45">
      <c r="I1286" t="s">
        <v>190</v>
      </c>
      <c r="J1286" t="s">
        <v>367</v>
      </c>
      <c r="K1286">
        <v>0</v>
      </c>
      <c r="L1286" t="s">
        <v>166</v>
      </c>
      <c r="N1286" t="s">
        <v>214</v>
      </c>
      <c r="O1286" t="s">
        <v>367</v>
      </c>
      <c r="P1286">
        <v>1.7072474785038492E-5</v>
      </c>
      <c r="Q1286" t="s">
        <v>166</v>
      </c>
      <c r="S1286" t="s">
        <v>231</v>
      </c>
      <c r="T1286" t="s">
        <v>367</v>
      </c>
      <c r="U1286">
        <v>7.31556586309007E-5</v>
      </c>
      <c r="V1286" t="s">
        <v>166</v>
      </c>
    </row>
    <row r="1287" spans="9:22" x14ac:dyDescent="0.45">
      <c r="I1287" t="s">
        <v>190</v>
      </c>
      <c r="J1287" t="s">
        <v>368</v>
      </c>
      <c r="K1287">
        <v>0</v>
      </c>
      <c r="L1287" t="s">
        <v>166</v>
      </c>
      <c r="N1287" t="s">
        <v>214</v>
      </c>
      <c r="O1287" t="s">
        <v>368</v>
      </c>
      <c r="P1287">
        <v>1.0929135859468183E-5</v>
      </c>
      <c r="Q1287" t="s">
        <v>166</v>
      </c>
      <c r="S1287" t="s">
        <v>231</v>
      </c>
      <c r="T1287" t="s">
        <v>368</v>
      </c>
      <c r="U1287">
        <v>8.6201286085654512E-5</v>
      </c>
      <c r="V1287" t="s">
        <v>166</v>
      </c>
    </row>
    <row r="1288" spans="9:22" x14ac:dyDescent="0.45">
      <c r="I1288" t="s">
        <v>190</v>
      </c>
      <c r="J1288" t="s">
        <v>369</v>
      </c>
      <c r="K1288">
        <v>0</v>
      </c>
      <c r="L1288" t="s">
        <v>166</v>
      </c>
      <c r="N1288" t="s">
        <v>214</v>
      </c>
      <c r="O1288" t="s">
        <v>369</v>
      </c>
      <c r="P1288">
        <v>9.0947702584518371E-6</v>
      </c>
      <c r="Q1288" t="s">
        <v>166</v>
      </c>
      <c r="S1288" t="s">
        <v>231</v>
      </c>
      <c r="T1288" t="s">
        <v>369</v>
      </c>
      <c r="U1288">
        <v>9.8139688759811463E-5</v>
      </c>
      <c r="V1288" t="s">
        <v>166</v>
      </c>
    </row>
    <row r="1289" spans="9:22" x14ac:dyDescent="0.45">
      <c r="I1289" t="s">
        <v>190</v>
      </c>
      <c r="J1289" t="s">
        <v>370</v>
      </c>
      <c r="K1289">
        <v>0</v>
      </c>
      <c r="L1289" t="s">
        <v>166</v>
      </c>
      <c r="N1289" t="s">
        <v>214</v>
      </c>
      <c r="O1289" t="s">
        <v>370</v>
      </c>
      <c r="P1289">
        <v>7.2492392582091343E-5</v>
      </c>
      <c r="Q1289" t="s">
        <v>166</v>
      </c>
      <c r="S1289" t="s">
        <v>231</v>
      </c>
      <c r="T1289" t="s">
        <v>370</v>
      </c>
      <c r="U1289">
        <v>2.2490243926853959E-5</v>
      </c>
      <c r="V1289" t="s">
        <v>166</v>
      </c>
    </row>
    <row r="1290" spans="9:22" x14ac:dyDescent="0.45">
      <c r="I1290" t="s">
        <v>190</v>
      </c>
      <c r="J1290" t="s">
        <v>371</v>
      </c>
      <c r="K1290">
        <v>0</v>
      </c>
      <c r="L1290" t="s">
        <v>166</v>
      </c>
      <c r="N1290" t="s">
        <v>214</v>
      </c>
      <c r="O1290" t="s">
        <v>371</v>
      </c>
      <c r="P1290">
        <v>6.2324751397746075E-5</v>
      </c>
      <c r="Q1290" t="s">
        <v>166</v>
      </c>
      <c r="S1290" t="s">
        <v>231</v>
      </c>
      <c r="T1290" t="s">
        <v>371</v>
      </c>
      <c r="U1290">
        <v>1.8507669761015197E-5</v>
      </c>
      <c r="V1290" t="s">
        <v>166</v>
      </c>
    </row>
    <row r="1291" spans="9:22" x14ac:dyDescent="0.45">
      <c r="I1291" t="s">
        <v>190</v>
      </c>
      <c r="J1291" t="s">
        <v>372</v>
      </c>
      <c r="K1291">
        <v>0</v>
      </c>
      <c r="L1291" t="s">
        <v>166</v>
      </c>
      <c r="N1291" t="s">
        <v>214</v>
      </c>
      <c r="O1291" t="s">
        <v>372</v>
      </c>
      <c r="P1291">
        <v>5.0324404326275776E-5</v>
      </c>
      <c r="Q1291" t="s">
        <v>166</v>
      </c>
      <c r="S1291" t="s">
        <v>231</v>
      </c>
      <c r="T1291" t="s">
        <v>372</v>
      </c>
      <c r="U1291">
        <v>1.6577691941436227E-5</v>
      </c>
      <c r="V1291" t="s">
        <v>166</v>
      </c>
    </row>
    <row r="1292" spans="9:22" x14ac:dyDescent="0.45">
      <c r="I1292" t="s">
        <v>190</v>
      </c>
      <c r="J1292" t="s">
        <v>373</v>
      </c>
      <c r="K1292">
        <v>0</v>
      </c>
      <c r="L1292" t="s">
        <v>166</v>
      </c>
      <c r="N1292" t="s">
        <v>214</v>
      </c>
      <c r="O1292" t="s">
        <v>373</v>
      </c>
      <c r="P1292">
        <v>3.6023373636608229E-5</v>
      </c>
      <c r="Q1292" t="s">
        <v>166</v>
      </c>
      <c r="S1292" t="s">
        <v>231</v>
      </c>
      <c r="T1292" t="s">
        <v>373</v>
      </c>
      <c r="U1292">
        <v>1.5186945709472249E-5</v>
      </c>
      <c r="V1292" t="s">
        <v>166</v>
      </c>
    </row>
    <row r="1293" spans="9:22" x14ac:dyDescent="0.45">
      <c r="I1293" t="s">
        <v>190</v>
      </c>
      <c r="J1293" t="s">
        <v>374</v>
      </c>
      <c r="K1293">
        <v>0</v>
      </c>
      <c r="L1293" t="s">
        <v>166</v>
      </c>
      <c r="N1293" t="s">
        <v>214</v>
      </c>
      <c r="O1293" t="s">
        <v>374</v>
      </c>
      <c r="P1293">
        <v>2.9201058020960998E-5</v>
      </c>
      <c r="Q1293" t="s">
        <v>166</v>
      </c>
      <c r="S1293" t="s">
        <v>231</v>
      </c>
      <c r="T1293" t="s">
        <v>374</v>
      </c>
      <c r="U1293">
        <v>1.0995231559861123E-5</v>
      </c>
      <c r="V1293" t="s">
        <v>166</v>
      </c>
    </row>
    <row r="1294" spans="9:22" x14ac:dyDescent="0.45">
      <c r="I1294" t="s">
        <v>190</v>
      </c>
      <c r="J1294" t="s">
        <v>375</v>
      </c>
      <c r="K1294">
        <v>0</v>
      </c>
      <c r="L1294" t="s">
        <v>166</v>
      </c>
      <c r="N1294" t="s">
        <v>214</v>
      </c>
      <c r="O1294" t="s">
        <v>375</v>
      </c>
      <c r="P1294">
        <v>2.4803382840659168E-5</v>
      </c>
      <c r="Q1294" t="s">
        <v>166</v>
      </c>
      <c r="S1294" t="s">
        <v>231</v>
      </c>
      <c r="T1294" t="s">
        <v>375</v>
      </c>
      <c r="U1294">
        <v>4.5414974710605005E-6</v>
      </c>
      <c r="V1294" t="s">
        <v>166</v>
      </c>
    </row>
    <row r="1295" spans="9:22" x14ac:dyDescent="0.45">
      <c r="I1295" t="s">
        <v>190</v>
      </c>
      <c r="J1295" t="s">
        <v>376</v>
      </c>
      <c r="K1295">
        <v>0</v>
      </c>
      <c r="L1295" t="s">
        <v>166</v>
      </c>
      <c r="N1295" t="s">
        <v>214</v>
      </c>
      <c r="O1295" t="s">
        <v>376</v>
      </c>
      <c r="P1295">
        <v>1.8669282903028979E-5</v>
      </c>
      <c r="Q1295" t="s">
        <v>166</v>
      </c>
      <c r="S1295" t="s">
        <v>231</v>
      </c>
      <c r="T1295" t="s">
        <v>376</v>
      </c>
      <c r="U1295">
        <v>6.9252575146129497E-6</v>
      </c>
      <c r="V1295" t="s">
        <v>166</v>
      </c>
    </row>
    <row r="1296" spans="9:22" x14ac:dyDescent="0.45">
      <c r="I1296" t="s">
        <v>190</v>
      </c>
      <c r="J1296" t="s">
        <v>377</v>
      </c>
      <c r="K1296">
        <v>6.6573881046345692E-6</v>
      </c>
      <c r="L1296" t="s">
        <v>166</v>
      </c>
      <c r="N1296" t="s">
        <v>214</v>
      </c>
      <c r="O1296" t="s">
        <v>377</v>
      </c>
      <c r="P1296">
        <v>9.1123740160041657E-6</v>
      </c>
      <c r="Q1296" t="s">
        <v>166</v>
      </c>
      <c r="S1296" t="s">
        <v>231</v>
      </c>
      <c r="T1296" t="s">
        <v>377</v>
      </c>
      <c r="U1296">
        <v>1.0549720800135362E-5</v>
      </c>
      <c r="V1296" t="s">
        <v>166</v>
      </c>
    </row>
    <row r="1297" spans="9:22" x14ac:dyDescent="0.45">
      <c r="I1297" t="s">
        <v>190</v>
      </c>
      <c r="J1297" t="s">
        <v>378</v>
      </c>
      <c r="K1297">
        <v>2.6147183944091101E-5</v>
      </c>
      <c r="L1297" t="s">
        <v>166</v>
      </c>
      <c r="N1297" t="s">
        <v>214</v>
      </c>
      <c r="O1297" t="s">
        <v>378</v>
      </c>
      <c r="P1297">
        <v>4.4028991645039496E-6</v>
      </c>
      <c r="Q1297" t="s">
        <v>166</v>
      </c>
      <c r="S1297" t="s">
        <v>231</v>
      </c>
      <c r="T1297" t="s">
        <v>378</v>
      </c>
      <c r="U1297">
        <v>1.0499383905357078E-5</v>
      </c>
      <c r="V1297" t="s">
        <v>166</v>
      </c>
    </row>
    <row r="1298" spans="9:22" x14ac:dyDescent="0.45">
      <c r="I1298" t="s">
        <v>190</v>
      </c>
      <c r="J1298" t="s">
        <v>379</v>
      </c>
      <c r="K1298">
        <v>4.5441335146770187E-5</v>
      </c>
      <c r="L1298" t="s">
        <v>166</v>
      </c>
      <c r="N1298" t="s">
        <v>214</v>
      </c>
      <c r="O1298" t="s">
        <v>379</v>
      </c>
      <c r="P1298">
        <v>3.4915773019168457E-6</v>
      </c>
      <c r="Q1298" t="s">
        <v>166</v>
      </c>
      <c r="S1298" t="s">
        <v>231</v>
      </c>
      <c r="T1298" t="s">
        <v>379</v>
      </c>
      <c r="U1298">
        <v>1.1675578213196289E-5</v>
      </c>
      <c r="V1298" t="s">
        <v>166</v>
      </c>
    </row>
    <row r="1299" spans="9:22" x14ac:dyDescent="0.45">
      <c r="I1299" t="s">
        <v>190</v>
      </c>
      <c r="J1299" t="s">
        <v>380</v>
      </c>
      <c r="K1299">
        <v>6.434079354097708E-5</v>
      </c>
      <c r="L1299" t="s">
        <v>166</v>
      </c>
      <c r="N1299" t="s">
        <v>214</v>
      </c>
      <c r="O1299" t="s">
        <v>380</v>
      </c>
      <c r="P1299">
        <v>3.4867268157963956E-6</v>
      </c>
      <c r="Q1299" t="s">
        <v>166</v>
      </c>
      <c r="S1299" t="s">
        <v>231</v>
      </c>
      <c r="T1299" t="s">
        <v>380</v>
      </c>
      <c r="U1299">
        <v>1.5659431189520484E-5</v>
      </c>
      <c r="V1299" t="s">
        <v>166</v>
      </c>
    </row>
    <row r="1300" spans="9:22" x14ac:dyDescent="0.45">
      <c r="I1300" t="s">
        <v>190</v>
      </c>
      <c r="J1300" t="s">
        <v>381</v>
      </c>
      <c r="K1300">
        <v>1.3610317638415906E-4</v>
      </c>
      <c r="L1300" t="s">
        <v>166</v>
      </c>
      <c r="N1300" t="s">
        <v>214</v>
      </c>
      <c r="O1300" t="s">
        <v>381</v>
      </c>
      <c r="P1300">
        <v>6.0042098545983216E-6</v>
      </c>
      <c r="Q1300" t="s">
        <v>166</v>
      </c>
      <c r="S1300" t="s">
        <v>231</v>
      </c>
      <c r="T1300" t="s">
        <v>381</v>
      </c>
      <c r="U1300">
        <v>1.9116402586527942E-5</v>
      </c>
      <c r="V1300" t="s">
        <v>166</v>
      </c>
    </row>
    <row r="1301" spans="9:22" x14ac:dyDescent="0.45">
      <c r="I1301" t="s">
        <v>190</v>
      </c>
      <c r="J1301" t="s">
        <v>382</v>
      </c>
      <c r="K1301">
        <v>1.2968507082547796E-4</v>
      </c>
      <c r="L1301" t="s">
        <v>166</v>
      </c>
      <c r="N1301" t="s">
        <v>214</v>
      </c>
      <c r="O1301" t="s">
        <v>382</v>
      </c>
      <c r="P1301">
        <v>1.1996830920004811E-5</v>
      </c>
      <c r="Q1301" t="s">
        <v>166</v>
      </c>
      <c r="S1301" t="s">
        <v>231</v>
      </c>
      <c r="T1301" t="s">
        <v>382</v>
      </c>
      <c r="U1301">
        <v>1.8243064160586418E-5</v>
      </c>
      <c r="V1301" t="s">
        <v>166</v>
      </c>
    </row>
    <row r="1302" spans="9:22" x14ac:dyDescent="0.45">
      <c r="I1302" t="s">
        <v>190</v>
      </c>
      <c r="J1302" t="s">
        <v>383</v>
      </c>
      <c r="K1302">
        <v>9.1375256853801912E-5</v>
      </c>
      <c r="L1302" t="s">
        <v>166</v>
      </c>
      <c r="N1302" t="s">
        <v>214</v>
      </c>
      <c r="O1302" t="s">
        <v>383</v>
      </c>
      <c r="P1302">
        <v>2.1447927313699129E-5</v>
      </c>
      <c r="Q1302" t="s">
        <v>166</v>
      </c>
      <c r="S1302" t="s">
        <v>231</v>
      </c>
      <c r="T1302" t="s">
        <v>383</v>
      </c>
      <c r="U1302">
        <v>1.0962788982322752E-5</v>
      </c>
      <c r="V1302" t="s">
        <v>166</v>
      </c>
    </row>
    <row r="1303" spans="9:22" x14ac:dyDescent="0.45">
      <c r="I1303" t="s">
        <v>190</v>
      </c>
      <c r="J1303" t="s">
        <v>384</v>
      </c>
      <c r="K1303">
        <v>1.1999776551605336E-4</v>
      </c>
      <c r="L1303" t="s">
        <v>166</v>
      </c>
      <c r="N1303" t="s">
        <v>214</v>
      </c>
      <c r="O1303" t="s">
        <v>384</v>
      </c>
      <c r="P1303">
        <v>3.3652015903856109E-5</v>
      </c>
      <c r="Q1303" t="s">
        <v>166</v>
      </c>
      <c r="S1303" t="s">
        <v>231</v>
      </c>
      <c r="T1303" t="s">
        <v>384</v>
      </c>
      <c r="U1303">
        <v>4.8511085333019134E-6</v>
      </c>
      <c r="V1303" t="s">
        <v>166</v>
      </c>
    </row>
    <row r="1304" spans="9:22" x14ac:dyDescent="0.45">
      <c r="I1304" t="s">
        <v>190</v>
      </c>
      <c r="J1304" t="s">
        <v>385</v>
      </c>
      <c r="K1304">
        <v>1.3260065537329933E-4</v>
      </c>
      <c r="L1304" t="s">
        <v>166</v>
      </c>
      <c r="N1304" t="s">
        <v>214</v>
      </c>
      <c r="O1304" t="s">
        <v>385</v>
      </c>
      <c r="P1304">
        <v>4.7515857922325746E-5</v>
      </c>
      <c r="Q1304" t="s">
        <v>166</v>
      </c>
      <c r="S1304" t="s">
        <v>231</v>
      </c>
      <c r="T1304" t="s">
        <v>385</v>
      </c>
      <c r="U1304">
        <v>2.7414364633924278E-6</v>
      </c>
      <c r="V1304" t="s">
        <v>166</v>
      </c>
    </row>
    <row r="1305" spans="9:22" x14ac:dyDescent="0.45">
      <c r="I1305" t="s">
        <v>190</v>
      </c>
      <c r="J1305" t="s">
        <v>386</v>
      </c>
      <c r="K1305">
        <v>1.0083243333296612E-4</v>
      </c>
      <c r="L1305" t="s">
        <v>166</v>
      </c>
      <c r="N1305" t="s">
        <v>214</v>
      </c>
      <c r="O1305" t="s">
        <v>386</v>
      </c>
      <c r="P1305">
        <v>6.5811826820295848E-5</v>
      </c>
      <c r="Q1305" t="s">
        <v>166</v>
      </c>
      <c r="S1305" t="s">
        <v>231</v>
      </c>
      <c r="T1305" t="s">
        <v>386</v>
      </c>
      <c r="U1305">
        <v>4.865104175749474E-6</v>
      </c>
      <c r="V1305" t="s">
        <v>166</v>
      </c>
    </row>
    <row r="1306" spans="9:22" x14ac:dyDescent="0.45">
      <c r="I1306" t="s">
        <v>190</v>
      </c>
      <c r="J1306" t="s">
        <v>387</v>
      </c>
      <c r="K1306">
        <v>1.8132333660482556E-5</v>
      </c>
      <c r="L1306" t="s">
        <v>166</v>
      </c>
      <c r="N1306" t="s">
        <v>214</v>
      </c>
      <c r="O1306" t="s">
        <v>387</v>
      </c>
      <c r="P1306">
        <v>7.7426700119736762E-5</v>
      </c>
      <c r="Q1306" t="s">
        <v>166</v>
      </c>
      <c r="S1306" t="s">
        <v>231</v>
      </c>
      <c r="T1306" t="s">
        <v>387</v>
      </c>
      <c r="U1306">
        <v>2.3620903024712272E-5</v>
      </c>
      <c r="V1306" t="s">
        <v>166</v>
      </c>
    </row>
    <row r="1307" spans="9:22" x14ac:dyDescent="0.45">
      <c r="I1307" t="s">
        <v>190</v>
      </c>
      <c r="J1307" t="s">
        <v>388</v>
      </c>
      <c r="K1307">
        <v>4.7629269309614254E-6</v>
      </c>
      <c r="L1307" t="s">
        <v>166</v>
      </c>
      <c r="N1307" t="s">
        <v>214</v>
      </c>
      <c r="O1307" t="s">
        <v>388</v>
      </c>
      <c r="P1307">
        <v>9.478684220594978E-5</v>
      </c>
      <c r="Q1307" t="s">
        <v>166</v>
      </c>
      <c r="S1307" t="s">
        <v>231</v>
      </c>
      <c r="T1307" t="s">
        <v>388</v>
      </c>
      <c r="U1307">
        <v>3.3829949997704578E-5</v>
      </c>
      <c r="V1307" t="s">
        <v>166</v>
      </c>
    </row>
    <row r="1308" spans="9:22" x14ac:dyDescent="0.45">
      <c r="I1308" t="s">
        <v>190</v>
      </c>
      <c r="J1308" t="s">
        <v>389</v>
      </c>
      <c r="K1308">
        <v>0</v>
      </c>
      <c r="L1308" t="s">
        <v>166</v>
      </c>
      <c r="N1308" t="s">
        <v>214</v>
      </c>
      <c r="O1308" t="s">
        <v>389</v>
      </c>
      <c r="P1308">
        <v>1.00905049136049E-4</v>
      </c>
      <c r="Q1308" t="s">
        <v>166</v>
      </c>
      <c r="S1308" t="s">
        <v>231</v>
      </c>
      <c r="T1308" t="s">
        <v>389</v>
      </c>
      <c r="U1308">
        <v>3.5819084334167366E-5</v>
      </c>
      <c r="V1308" t="s">
        <v>166</v>
      </c>
    </row>
    <row r="1309" spans="9:22" x14ac:dyDescent="0.45">
      <c r="I1309" t="s">
        <v>190</v>
      </c>
      <c r="J1309" t="s">
        <v>390</v>
      </c>
      <c r="K1309">
        <v>0</v>
      </c>
      <c r="L1309" t="s">
        <v>166</v>
      </c>
      <c r="N1309" t="s">
        <v>214</v>
      </c>
      <c r="O1309" t="s">
        <v>390</v>
      </c>
      <c r="P1309">
        <v>9.4107446424618842E-5</v>
      </c>
      <c r="Q1309" t="s">
        <v>166</v>
      </c>
      <c r="S1309" t="s">
        <v>231</v>
      </c>
      <c r="T1309" t="s">
        <v>390</v>
      </c>
      <c r="U1309">
        <v>3.2814137439679207E-5</v>
      </c>
      <c r="V1309" t="s">
        <v>166</v>
      </c>
    </row>
    <row r="1310" spans="9:22" x14ac:dyDescent="0.45">
      <c r="I1310" t="s">
        <v>190</v>
      </c>
      <c r="J1310" t="s">
        <v>391</v>
      </c>
      <c r="K1310">
        <v>0</v>
      </c>
      <c r="L1310" t="s">
        <v>166</v>
      </c>
      <c r="N1310" t="s">
        <v>214</v>
      </c>
      <c r="O1310" t="s">
        <v>391</v>
      </c>
      <c r="P1310">
        <v>9.3511144997653769E-5</v>
      </c>
      <c r="Q1310" t="s">
        <v>166</v>
      </c>
      <c r="S1310" t="s">
        <v>231</v>
      </c>
      <c r="T1310" t="s">
        <v>391</v>
      </c>
      <c r="U1310">
        <v>3.7242332426336052E-5</v>
      </c>
      <c r="V1310" t="s">
        <v>166</v>
      </c>
    </row>
    <row r="1311" spans="9:22" x14ac:dyDescent="0.45">
      <c r="I1311" t="s">
        <v>190</v>
      </c>
      <c r="J1311" t="s">
        <v>392</v>
      </c>
      <c r="K1311">
        <v>0</v>
      </c>
      <c r="L1311" t="s">
        <v>166</v>
      </c>
      <c r="N1311" t="s">
        <v>214</v>
      </c>
      <c r="O1311" t="s">
        <v>392</v>
      </c>
      <c r="P1311">
        <v>9.9734045442006146E-5</v>
      </c>
      <c r="Q1311" t="s">
        <v>166</v>
      </c>
      <c r="S1311" t="s">
        <v>231</v>
      </c>
      <c r="T1311" t="s">
        <v>392</v>
      </c>
      <c r="U1311">
        <v>4.5684061069549867E-5</v>
      </c>
      <c r="V1311" t="s">
        <v>166</v>
      </c>
    </row>
    <row r="1312" spans="9:22" x14ac:dyDescent="0.45">
      <c r="I1312" t="s">
        <v>190</v>
      </c>
      <c r="J1312" t="s">
        <v>393</v>
      </c>
      <c r="K1312">
        <v>0</v>
      </c>
      <c r="L1312" t="s">
        <v>166</v>
      </c>
      <c r="N1312" t="s">
        <v>214</v>
      </c>
      <c r="O1312" t="s">
        <v>393</v>
      </c>
      <c r="P1312">
        <v>1.1596876023354209E-4</v>
      </c>
      <c r="Q1312" t="s">
        <v>166</v>
      </c>
      <c r="S1312" t="s">
        <v>231</v>
      </c>
      <c r="T1312" t="s">
        <v>393</v>
      </c>
      <c r="U1312">
        <v>4.4095733737048662E-5</v>
      </c>
      <c r="V1312" t="s">
        <v>166</v>
      </c>
    </row>
    <row r="1313" spans="9:22" x14ac:dyDescent="0.45">
      <c r="I1313" t="s">
        <v>190</v>
      </c>
      <c r="J1313" t="s">
        <v>169</v>
      </c>
      <c r="K1313">
        <v>4.6456403940249944E-3</v>
      </c>
      <c r="L1313" t="s">
        <v>166</v>
      </c>
      <c r="N1313" t="s">
        <v>214</v>
      </c>
      <c r="O1313" t="s">
        <v>169</v>
      </c>
      <c r="P1313">
        <v>2.0516814303616213E-2</v>
      </c>
      <c r="Q1313" t="s">
        <v>166</v>
      </c>
      <c r="S1313" t="s">
        <v>231</v>
      </c>
      <c r="T1313" t="s">
        <v>169</v>
      </c>
      <c r="U1313">
        <v>2.3286743768480937E-2</v>
      </c>
      <c r="V1313" t="s">
        <v>166</v>
      </c>
    </row>
    <row r="1314" spans="9:22" x14ac:dyDescent="0.45">
      <c r="I1314" t="s">
        <v>190</v>
      </c>
      <c r="J1314" t="s">
        <v>170</v>
      </c>
      <c r="K1314">
        <v>5.2609217011622758E-3</v>
      </c>
      <c r="L1314" t="s">
        <v>166</v>
      </c>
      <c r="N1314" t="s">
        <v>214</v>
      </c>
      <c r="O1314" t="s">
        <v>170</v>
      </c>
      <c r="P1314">
        <v>1.8921918550481552E-3</v>
      </c>
      <c r="Q1314" t="s">
        <v>166</v>
      </c>
      <c r="S1314" t="s">
        <v>231</v>
      </c>
      <c r="T1314" t="s">
        <v>170</v>
      </c>
      <c r="U1314">
        <v>2.3228127937427842E-3</v>
      </c>
      <c r="V1314" t="s">
        <v>166</v>
      </c>
    </row>
    <row r="1315" spans="9:22" x14ac:dyDescent="0.45">
      <c r="I1315" t="s">
        <v>190</v>
      </c>
      <c r="J1315" t="s">
        <v>171</v>
      </c>
      <c r="K1315">
        <v>6.6323322215420158E-2</v>
      </c>
      <c r="L1315" t="s">
        <v>166</v>
      </c>
      <c r="N1315" t="s">
        <v>214</v>
      </c>
      <c r="O1315" t="s">
        <v>171</v>
      </c>
      <c r="P1315">
        <v>1.3587916005691E-2</v>
      </c>
      <c r="Q1315" t="s">
        <v>166</v>
      </c>
      <c r="S1315" t="s">
        <v>231</v>
      </c>
      <c r="T1315" t="s">
        <v>171</v>
      </c>
      <c r="U1315">
        <v>1.690496198309668E-2</v>
      </c>
      <c r="V1315" t="s">
        <v>166</v>
      </c>
    </row>
    <row r="1316" spans="9:22" x14ac:dyDescent="0.45">
      <c r="I1316" t="s">
        <v>190</v>
      </c>
      <c r="J1316" t="s">
        <v>261</v>
      </c>
      <c r="K1316">
        <v>7.8700715658392029E-3</v>
      </c>
      <c r="L1316" t="s">
        <v>166</v>
      </c>
      <c r="N1316" t="s">
        <v>214</v>
      </c>
      <c r="O1316" t="s">
        <v>261</v>
      </c>
      <c r="P1316">
        <v>2.106392779143693E-3</v>
      </c>
      <c r="Q1316" t="s">
        <v>166</v>
      </c>
      <c r="S1316" t="s">
        <v>231</v>
      </c>
      <c r="T1316" t="s">
        <v>261</v>
      </c>
      <c r="U1316">
        <v>3.188966480859921E-3</v>
      </c>
      <c r="V1316" t="s">
        <v>166</v>
      </c>
    </row>
    <row r="1317" spans="9:22" x14ac:dyDescent="0.45">
      <c r="I1317" t="s">
        <v>190</v>
      </c>
      <c r="J1317" t="s">
        <v>262</v>
      </c>
      <c r="K1317">
        <v>9.0441379553076393E-3</v>
      </c>
      <c r="L1317" t="s">
        <v>166</v>
      </c>
      <c r="N1317" t="s">
        <v>214</v>
      </c>
      <c r="O1317" t="s">
        <v>262</v>
      </c>
      <c r="P1317">
        <v>3.8623129304026565E-3</v>
      </c>
      <c r="Q1317" t="s">
        <v>166</v>
      </c>
      <c r="S1317" t="s">
        <v>231</v>
      </c>
      <c r="T1317" t="s">
        <v>262</v>
      </c>
      <c r="U1317">
        <v>6.1397356123178573E-3</v>
      </c>
      <c r="V1317" t="s">
        <v>166</v>
      </c>
    </row>
    <row r="1318" spans="9:22" x14ac:dyDescent="0.45">
      <c r="I1318" t="s">
        <v>190</v>
      </c>
      <c r="J1318" t="s">
        <v>263</v>
      </c>
      <c r="K1318">
        <v>0</v>
      </c>
      <c r="L1318" t="s">
        <v>166</v>
      </c>
      <c r="N1318" t="s">
        <v>214</v>
      </c>
      <c r="O1318" t="s">
        <v>263</v>
      </c>
      <c r="P1318">
        <v>1.5493444343236728E-2</v>
      </c>
      <c r="Q1318" t="s">
        <v>166</v>
      </c>
      <c r="S1318" t="s">
        <v>231</v>
      </c>
      <c r="T1318" t="s">
        <v>263</v>
      </c>
      <c r="U1318">
        <v>1.735734274319526E-2</v>
      </c>
      <c r="V1318" t="s">
        <v>166</v>
      </c>
    </row>
    <row r="1319" spans="9:22" x14ac:dyDescent="0.45">
      <c r="I1319" t="s">
        <v>190</v>
      </c>
      <c r="J1319" t="s">
        <v>172</v>
      </c>
      <c r="K1319">
        <v>5.2616571858215815E-3</v>
      </c>
      <c r="L1319" t="s">
        <v>166</v>
      </c>
      <c r="N1319" t="s">
        <v>214</v>
      </c>
      <c r="O1319" t="s">
        <v>172</v>
      </c>
      <c r="P1319">
        <v>3.1025723052811122E-2</v>
      </c>
      <c r="Q1319" t="s">
        <v>166</v>
      </c>
      <c r="S1319" t="s">
        <v>231</v>
      </c>
      <c r="T1319" t="s">
        <v>172</v>
      </c>
      <c r="U1319">
        <v>2.0076203975658798E-2</v>
      </c>
      <c r="V1319" t="s">
        <v>166</v>
      </c>
    </row>
    <row r="1320" spans="9:22" x14ac:dyDescent="0.45">
      <c r="I1320" t="s">
        <v>190</v>
      </c>
      <c r="J1320" t="s">
        <v>173</v>
      </c>
      <c r="K1320">
        <v>6.3599010159913413E-3</v>
      </c>
      <c r="L1320" t="s">
        <v>166</v>
      </c>
      <c r="N1320" t="s">
        <v>214</v>
      </c>
      <c r="O1320" t="s">
        <v>173</v>
      </c>
      <c r="P1320">
        <v>3.169000348608157E-3</v>
      </c>
      <c r="Q1320" t="s">
        <v>166</v>
      </c>
      <c r="S1320" t="s">
        <v>231</v>
      </c>
      <c r="T1320" t="s">
        <v>173</v>
      </c>
      <c r="U1320">
        <v>2.2804773498165021E-3</v>
      </c>
      <c r="V1320" t="s">
        <v>166</v>
      </c>
    </row>
    <row r="1321" spans="9:22" x14ac:dyDescent="0.45">
      <c r="I1321" t="s">
        <v>190</v>
      </c>
      <c r="J1321" t="s">
        <v>174</v>
      </c>
      <c r="K1321">
        <v>7.3525089139648295E-2</v>
      </c>
      <c r="L1321" t="s">
        <v>166</v>
      </c>
      <c r="N1321" t="s">
        <v>214</v>
      </c>
      <c r="O1321" t="s">
        <v>174</v>
      </c>
      <c r="P1321">
        <v>2.4641908913947588E-2</v>
      </c>
      <c r="Q1321" t="s">
        <v>166</v>
      </c>
      <c r="S1321" t="s">
        <v>231</v>
      </c>
      <c r="T1321" t="s">
        <v>174</v>
      </c>
      <c r="U1321">
        <v>1.3631824063458539E-2</v>
      </c>
      <c r="V1321" t="s">
        <v>166</v>
      </c>
    </row>
    <row r="1322" spans="9:22" x14ac:dyDescent="0.45">
      <c r="I1322" t="s">
        <v>190</v>
      </c>
      <c r="J1322" t="s">
        <v>264</v>
      </c>
      <c r="K1322">
        <v>7.88902841223252E-3</v>
      </c>
      <c r="L1322" t="s">
        <v>166</v>
      </c>
      <c r="N1322" t="s">
        <v>214</v>
      </c>
      <c r="O1322" t="s">
        <v>264</v>
      </c>
      <c r="P1322">
        <v>3.9106448970241533E-3</v>
      </c>
      <c r="Q1322" t="s">
        <v>166</v>
      </c>
      <c r="S1322" t="s">
        <v>231</v>
      </c>
      <c r="T1322" t="s">
        <v>264</v>
      </c>
      <c r="U1322">
        <v>2.0798823279675914E-3</v>
      </c>
      <c r="V1322" t="s">
        <v>166</v>
      </c>
    </row>
    <row r="1323" spans="9:22" x14ac:dyDescent="0.45">
      <c r="I1323" t="s">
        <v>190</v>
      </c>
      <c r="J1323" t="s">
        <v>265</v>
      </c>
      <c r="K1323">
        <v>9.52021059052186E-3</v>
      </c>
      <c r="L1323" t="s">
        <v>166</v>
      </c>
      <c r="N1323" t="s">
        <v>214</v>
      </c>
      <c r="O1323" t="s">
        <v>265</v>
      </c>
      <c r="P1323">
        <v>6.5851635907550193E-3</v>
      </c>
      <c r="Q1323" t="s">
        <v>166</v>
      </c>
      <c r="S1323" t="s">
        <v>231</v>
      </c>
      <c r="T1323" t="s">
        <v>265</v>
      </c>
      <c r="U1323">
        <v>3.9737939605943556E-3</v>
      </c>
      <c r="V1323" t="s">
        <v>166</v>
      </c>
    </row>
    <row r="1324" spans="9:22" x14ac:dyDescent="0.45">
      <c r="I1324" t="s">
        <v>190</v>
      </c>
      <c r="J1324" t="s">
        <v>266</v>
      </c>
      <c r="K1324">
        <v>1.1216669448320838E-3</v>
      </c>
      <c r="L1324" t="s">
        <v>166</v>
      </c>
      <c r="N1324" t="s">
        <v>214</v>
      </c>
      <c r="O1324" t="s">
        <v>266</v>
      </c>
      <c r="P1324">
        <v>2.077397803505519E-2</v>
      </c>
      <c r="Q1324" t="s">
        <v>166</v>
      </c>
      <c r="S1324" t="s">
        <v>231</v>
      </c>
      <c r="T1324" t="s">
        <v>266</v>
      </c>
      <c r="U1324">
        <v>1.3356591919643269E-2</v>
      </c>
      <c r="V1324" t="s">
        <v>166</v>
      </c>
    </row>
    <row r="1325" spans="9:22" x14ac:dyDescent="0.45">
      <c r="I1325" t="s">
        <v>190</v>
      </c>
      <c r="J1325" t="s">
        <v>175</v>
      </c>
      <c r="K1325">
        <v>3.4300451438081972E-3</v>
      </c>
      <c r="L1325" t="s">
        <v>166</v>
      </c>
      <c r="N1325" t="s">
        <v>214</v>
      </c>
      <c r="O1325" t="s">
        <v>175</v>
      </c>
      <c r="P1325">
        <v>2.3038845718368974E-2</v>
      </c>
      <c r="Q1325" t="s">
        <v>166</v>
      </c>
      <c r="S1325" t="s">
        <v>231</v>
      </c>
      <c r="T1325" t="s">
        <v>175</v>
      </c>
      <c r="U1325">
        <v>2.2135543623251895E-2</v>
      </c>
      <c r="V1325" t="s">
        <v>166</v>
      </c>
    </row>
    <row r="1326" spans="9:22" x14ac:dyDescent="0.45">
      <c r="I1326" t="s">
        <v>190</v>
      </c>
      <c r="J1326" t="s">
        <v>176</v>
      </c>
      <c r="K1326">
        <v>4.8697227645374879E-3</v>
      </c>
      <c r="L1326" t="s">
        <v>166</v>
      </c>
      <c r="N1326" t="s">
        <v>214</v>
      </c>
      <c r="O1326" t="s">
        <v>176</v>
      </c>
      <c r="P1326">
        <v>2.3903026210842643E-3</v>
      </c>
      <c r="Q1326" t="s">
        <v>166</v>
      </c>
      <c r="S1326" t="s">
        <v>231</v>
      </c>
      <c r="T1326" t="s">
        <v>176</v>
      </c>
      <c r="U1326">
        <v>2.3144908348457752E-3</v>
      </c>
      <c r="V1326" t="s">
        <v>166</v>
      </c>
    </row>
    <row r="1327" spans="9:22" x14ac:dyDescent="0.45">
      <c r="I1327" t="s">
        <v>190</v>
      </c>
      <c r="J1327" t="s">
        <v>177</v>
      </c>
      <c r="K1327">
        <v>6.7933048007457031E-2</v>
      </c>
      <c r="L1327" t="s">
        <v>166</v>
      </c>
      <c r="N1327" t="s">
        <v>214</v>
      </c>
      <c r="O1327" t="s">
        <v>177</v>
      </c>
      <c r="P1327">
        <v>1.3658204160539122E-2</v>
      </c>
      <c r="Q1327" t="s">
        <v>166</v>
      </c>
      <c r="S1327" t="s">
        <v>231</v>
      </c>
      <c r="T1327" t="s">
        <v>177</v>
      </c>
      <c r="U1327">
        <v>1.3984647607728171E-2</v>
      </c>
      <c r="V1327" t="s">
        <v>166</v>
      </c>
    </row>
    <row r="1328" spans="9:22" x14ac:dyDescent="0.45">
      <c r="I1328" t="s">
        <v>190</v>
      </c>
      <c r="J1328" t="s">
        <v>267</v>
      </c>
      <c r="K1328">
        <v>7.6302153784165681E-3</v>
      </c>
      <c r="L1328" t="s">
        <v>166</v>
      </c>
      <c r="N1328" t="s">
        <v>214</v>
      </c>
      <c r="O1328" t="s">
        <v>267</v>
      </c>
      <c r="P1328">
        <v>2.3628732759903006E-3</v>
      </c>
      <c r="Q1328" t="s">
        <v>166</v>
      </c>
      <c r="S1328" t="s">
        <v>231</v>
      </c>
      <c r="T1328" t="s">
        <v>267</v>
      </c>
      <c r="U1328">
        <v>1.9977497749053964E-3</v>
      </c>
      <c r="V1328" t="s">
        <v>166</v>
      </c>
    </row>
    <row r="1329" spans="9:22" x14ac:dyDescent="0.45">
      <c r="I1329" t="s">
        <v>190</v>
      </c>
      <c r="J1329" t="s">
        <v>268</v>
      </c>
      <c r="K1329">
        <v>9.4379428451438815E-3</v>
      </c>
      <c r="L1329" t="s">
        <v>166</v>
      </c>
      <c r="N1329" t="s">
        <v>214</v>
      </c>
      <c r="O1329" t="s">
        <v>268</v>
      </c>
      <c r="P1329">
        <v>4.2836841279923436E-3</v>
      </c>
      <c r="Q1329" t="s">
        <v>166</v>
      </c>
      <c r="S1329" t="s">
        <v>231</v>
      </c>
      <c r="T1329" t="s">
        <v>268</v>
      </c>
      <c r="U1329">
        <v>3.6460908087891054E-3</v>
      </c>
      <c r="V1329" t="s">
        <v>166</v>
      </c>
    </row>
    <row r="1330" spans="9:22" x14ac:dyDescent="0.45">
      <c r="I1330" t="s">
        <v>190</v>
      </c>
      <c r="J1330" t="s">
        <v>269</v>
      </c>
      <c r="K1330">
        <v>1.7836876314740006E-3</v>
      </c>
      <c r="L1330" t="s">
        <v>166</v>
      </c>
      <c r="N1330" t="s">
        <v>214</v>
      </c>
      <c r="O1330" t="s">
        <v>269</v>
      </c>
      <c r="P1330">
        <v>1.5898397873537612E-2</v>
      </c>
      <c r="Q1330" t="s">
        <v>166</v>
      </c>
      <c r="S1330" t="s">
        <v>231</v>
      </c>
      <c r="T1330" t="s">
        <v>269</v>
      </c>
      <c r="U1330">
        <v>1.3916272039706891E-2</v>
      </c>
      <c r="V1330" t="s">
        <v>166</v>
      </c>
    </row>
    <row r="1331" spans="9:22" x14ac:dyDescent="0.45">
      <c r="I1331" t="s">
        <v>190</v>
      </c>
      <c r="J1331" t="s">
        <v>270</v>
      </c>
      <c r="K1331">
        <v>3.1095483109800821E-3</v>
      </c>
      <c r="L1331" t="s">
        <v>166</v>
      </c>
      <c r="N1331" t="s">
        <v>214</v>
      </c>
      <c r="O1331" t="s">
        <v>270</v>
      </c>
      <c r="P1331">
        <v>3.8768619092385541E-2</v>
      </c>
      <c r="Q1331" t="s">
        <v>166</v>
      </c>
      <c r="S1331" t="s">
        <v>231</v>
      </c>
      <c r="T1331" t="s">
        <v>270</v>
      </c>
      <c r="U1331">
        <v>2.833518024203641E-2</v>
      </c>
      <c r="V1331" t="s">
        <v>166</v>
      </c>
    </row>
    <row r="1332" spans="9:22" x14ac:dyDescent="0.45">
      <c r="I1332" t="s">
        <v>190</v>
      </c>
      <c r="J1332" t="s">
        <v>271</v>
      </c>
      <c r="K1332">
        <v>5.9244211168064777E-3</v>
      </c>
      <c r="L1332" t="s">
        <v>166</v>
      </c>
      <c r="N1332" t="s">
        <v>214</v>
      </c>
      <c r="O1332" t="s">
        <v>271</v>
      </c>
      <c r="P1332">
        <v>4.2749422321327639E-3</v>
      </c>
      <c r="Q1332" t="s">
        <v>166</v>
      </c>
      <c r="S1332" t="s">
        <v>231</v>
      </c>
      <c r="T1332" t="s">
        <v>271</v>
      </c>
      <c r="U1332">
        <v>3.2177072319747812E-3</v>
      </c>
      <c r="V1332" t="s">
        <v>166</v>
      </c>
    </row>
    <row r="1333" spans="9:22" x14ac:dyDescent="0.45">
      <c r="I1333" t="s">
        <v>190</v>
      </c>
      <c r="J1333" t="s">
        <v>272</v>
      </c>
      <c r="K1333">
        <v>7.1801293895416118E-2</v>
      </c>
      <c r="L1333" t="s">
        <v>166</v>
      </c>
      <c r="N1333" t="s">
        <v>214</v>
      </c>
      <c r="O1333" t="s">
        <v>272</v>
      </c>
      <c r="P1333">
        <v>2.7852541365253305E-2</v>
      </c>
      <c r="Q1333" t="s">
        <v>166</v>
      </c>
      <c r="S1333" t="s">
        <v>231</v>
      </c>
      <c r="T1333" t="s">
        <v>272</v>
      </c>
      <c r="U1333">
        <v>2.0236586811442057E-2</v>
      </c>
      <c r="V1333" t="s">
        <v>166</v>
      </c>
    </row>
    <row r="1334" spans="9:22" x14ac:dyDescent="0.45">
      <c r="I1334" t="s">
        <v>190</v>
      </c>
      <c r="J1334" t="s">
        <v>273</v>
      </c>
      <c r="K1334">
        <v>8.0270704904895733E-3</v>
      </c>
      <c r="L1334" t="s">
        <v>166</v>
      </c>
      <c r="N1334" t="s">
        <v>214</v>
      </c>
      <c r="O1334" t="s">
        <v>273</v>
      </c>
      <c r="P1334">
        <v>3.4593094985649305E-3</v>
      </c>
      <c r="Q1334" t="s">
        <v>166</v>
      </c>
      <c r="S1334" t="s">
        <v>231</v>
      </c>
      <c r="T1334" t="s">
        <v>273</v>
      </c>
      <c r="U1334">
        <v>3.053448184648149E-3</v>
      </c>
      <c r="V1334" t="s">
        <v>166</v>
      </c>
    </row>
    <row r="1335" spans="9:22" x14ac:dyDescent="0.45">
      <c r="I1335" t="s">
        <v>190</v>
      </c>
      <c r="J1335" t="s">
        <v>274</v>
      </c>
      <c r="K1335">
        <v>8.8983882241781692E-3</v>
      </c>
      <c r="L1335" t="s">
        <v>166</v>
      </c>
      <c r="N1335" t="s">
        <v>214</v>
      </c>
      <c r="O1335" t="s">
        <v>274</v>
      </c>
      <c r="P1335">
        <v>6.4531748053015953E-3</v>
      </c>
      <c r="Q1335" t="s">
        <v>166</v>
      </c>
      <c r="S1335" t="s">
        <v>231</v>
      </c>
      <c r="T1335" t="s">
        <v>274</v>
      </c>
      <c r="U1335">
        <v>6.4842273508858503E-3</v>
      </c>
      <c r="V1335" t="s">
        <v>166</v>
      </c>
    </row>
    <row r="1336" spans="9:22" x14ac:dyDescent="0.45">
      <c r="I1336" t="s">
        <v>190</v>
      </c>
      <c r="J1336" t="s">
        <v>275</v>
      </c>
      <c r="K1336">
        <v>0</v>
      </c>
      <c r="L1336" t="s">
        <v>166</v>
      </c>
      <c r="N1336" t="s">
        <v>214</v>
      </c>
      <c r="O1336" t="s">
        <v>275</v>
      </c>
      <c r="P1336">
        <v>2.1899638866641646E-2</v>
      </c>
      <c r="Q1336" t="s">
        <v>166</v>
      </c>
      <c r="S1336" t="s">
        <v>231</v>
      </c>
      <c r="T1336" t="s">
        <v>275</v>
      </c>
      <c r="U1336">
        <v>2.0397978617254679E-2</v>
      </c>
      <c r="V1336" t="s">
        <v>166</v>
      </c>
    </row>
    <row r="1337" spans="9:22" x14ac:dyDescent="0.45">
      <c r="I1337" t="s">
        <v>190</v>
      </c>
      <c r="J1337" t="s">
        <v>276</v>
      </c>
      <c r="K1337">
        <v>7.5745188866570817E-3</v>
      </c>
      <c r="L1337" t="s">
        <v>166</v>
      </c>
      <c r="N1337" t="s">
        <v>214</v>
      </c>
      <c r="O1337" t="s">
        <v>276</v>
      </c>
      <c r="P1337">
        <v>4.8090972956417739E-2</v>
      </c>
      <c r="Q1337" t="s">
        <v>166</v>
      </c>
      <c r="S1337" t="s">
        <v>231</v>
      </c>
      <c r="T1337" t="s">
        <v>276</v>
      </c>
      <c r="U1337">
        <v>4.7723829588572096E-2</v>
      </c>
      <c r="V1337" t="s">
        <v>166</v>
      </c>
    </row>
    <row r="1338" spans="9:22" x14ac:dyDescent="0.45">
      <c r="I1338" t="s">
        <v>190</v>
      </c>
      <c r="J1338" t="s">
        <v>277</v>
      </c>
      <c r="K1338">
        <v>1.3546161427470125E-2</v>
      </c>
      <c r="L1338" t="s">
        <v>166</v>
      </c>
      <c r="N1338" t="s">
        <v>214</v>
      </c>
      <c r="O1338" t="s">
        <v>277</v>
      </c>
      <c r="P1338">
        <v>6.1593030267182991E-3</v>
      </c>
      <c r="Q1338" t="s">
        <v>166</v>
      </c>
      <c r="S1338" t="s">
        <v>231</v>
      </c>
      <c r="T1338" t="s">
        <v>277</v>
      </c>
      <c r="U1338">
        <v>6.2798278819269446E-3</v>
      </c>
      <c r="V1338" t="s">
        <v>166</v>
      </c>
    </row>
    <row r="1339" spans="9:22" x14ac:dyDescent="0.45">
      <c r="I1339" t="s">
        <v>190</v>
      </c>
      <c r="J1339" t="s">
        <v>278</v>
      </c>
      <c r="K1339">
        <v>0.14427650950866872</v>
      </c>
      <c r="L1339" t="s">
        <v>166</v>
      </c>
      <c r="N1339" t="s">
        <v>214</v>
      </c>
      <c r="O1339" t="s">
        <v>278</v>
      </c>
      <c r="P1339">
        <v>4.9410400127947354E-2</v>
      </c>
      <c r="Q1339" t="s">
        <v>166</v>
      </c>
      <c r="S1339" t="s">
        <v>231</v>
      </c>
      <c r="T1339" t="s">
        <v>278</v>
      </c>
      <c r="U1339">
        <v>4.5347967864376962E-2</v>
      </c>
      <c r="V1339" t="s">
        <v>166</v>
      </c>
    </row>
    <row r="1340" spans="9:22" x14ac:dyDescent="0.45">
      <c r="I1340" t="s">
        <v>190</v>
      </c>
      <c r="J1340" t="s">
        <v>279</v>
      </c>
      <c r="K1340">
        <v>1.4645971938202948E-2</v>
      </c>
      <c r="L1340" t="s">
        <v>166</v>
      </c>
      <c r="N1340" t="s">
        <v>214</v>
      </c>
      <c r="O1340" t="s">
        <v>279</v>
      </c>
      <c r="P1340">
        <v>6.5862033922649763E-3</v>
      </c>
      <c r="Q1340" t="s">
        <v>166</v>
      </c>
      <c r="S1340" t="s">
        <v>231</v>
      </c>
      <c r="T1340" t="s">
        <v>279</v>
      </c>
      <c r="U1340">
        <v>6.7509628562289923E-3</v>
      </c>
      <c r="V1340" t="s">
        <v>166</v>
      </c>
    </row>
    <row r="1341" spans="9:22" x14ac:dyDescent="0.45">
      <c r="I1341" t="s">
        <v>190</v>
      </c>
      <c r="J1341" t="s">
        <v>280</v>
      </c>
      <c r="K1341">
        <v>1.3619178289040215E-2</v>
      </c>
      <c r="L1341" t="s">
        <v>166</v>
      </c>
      <c r="N1341" t="s">
        <v>214</v>
      </c>
      <c r="O1341" t="s">
        <v>280</v>
      </c>
      <c r="P1341">
        <v>1.2090645147243301E-2</v>
      </c>
      <c r="Q1341" t="s">
        <v>166</v>
      </c>
      <c r="S1341" t="s">
        <v>231</v>
      </c>
      <c r="T1341" t="s">
        <v>280</v>
      </c>
      <c r="U1341">
        <v>1.2150894457302023E-2</v>
      </c>
      <c r="V1341" t="s">
        <v>166</v>
      </c>
    </row>
    <row r="1342" spans="9:22" x14ac:dyDescent="0.45">
      <c r="I1342" t="s">
        <v>190</v>
      </c>
      <c r="J1342" t="s">
        <v>281</v>
      </c>
      <c r="K1342">
        <v>0</v>
      </c>
      <c r="L1342" t="s">
        <v>166</v>
      </c>
      <c r="N1342" t="s">
        <v>214</v>
      </c>
      <c r="O1342" t="s">
        <v>281</v>
      </c>
      <c r="P1342">
        <v>2.9712920948403488E-2</v>
      </c>
      <c r="Q1342" t="s">
        <v>166</v>
      </c>
      <c r="S1342" t="s">
        <v>231</v>
      </c>
      <c r="T1342" t="s">
        <v>281</v>
      </c>
      <c r="U1342">
        <v>2.9673423436592985E-2</v>
      </c>
      <c r="V1342" t="s">
        <v>166</v>
      </c>
    </row>
    <row r="1343" spans="9:22" x14ac:dyDescent="0.45">
      <c r="I1343" t="s">
        <v>190</v>
      </c>
      <c r="J1343" t="s">
        <v>282</v>
      </c>
      <c r="K1343">
        <v>2.1427249882863372E-3</v>
      </c>
      <c r="L1343" t="s">
        <v>166</v>
      </c>
      <c r="N1343" t="s">
        <v>214</v>
      </c>
      <c r="O1343" t="s">
        <v>282</v>
      </c>
      <c r="P1343">
        <v>3.9789256808683865E-2</v>
      </c>
      <c r="Q1343" t="s">
        <v>166</v>
      </c>
      <c r="S1343" t="s">
        <v>231</v>
      </c>
      <c r="T1343" t="s">
        <v>282</v>
      </c>
      <c r="U1343">
        <v>4.087907555050109E-2</v>
      </c>
      <c r="V1343" t="s">
        <v>166</v>
      </c>
    </row>
    <row r="1344" spans="9:22" x14ac:dyDescent="0.45">
      <c r="I1344" t="s">
        <v>190</v>
      </c>
      <c r="J1344" t="s">
        <v>283</v>
      </c>
      <c r="K1344">
        <v>4.5150301048485801E-3</v>
      </c>
      <c r="L1344" t="s">
        <v>166</v>
      </c>
      <c r="N1344" t="s">
        <v>214</v>
      </c>
      <c r="O1344" t="s">
        <v>283</v>
      </c>
      <c r="P1344">
        <v>5.6684068840596917E-3</v>
      </c>
      <c r="Q1344" t="s">
        <v>166</v>
      </c>
      <c r="S1344" t="s">
        <v>231</v>
      </c>
      <c r="T1344" t="s">
        <v>283</v>
      </c>
      <c r="U1344">
        <v>5.5315852925312556E-3</v>
      </c>
      <c r="V1344" t="s">
        <v>166</v>
      </c>
    </row>
    <row r="1345" spans="9:22" x14ac:dyDescent="0.45">
      <c r="I1345" t="s">
        <v>190</v>
      </c>
      <c r="J1345" t="s">
        <v>284</v>
      </c>
      <c r="K1345">
        <v>5.4836995159975782E-2</v>
      </c>
      <c r="L1345" t="s">
        <v>166</v>
      </c>
      <c r="N1345" t="s">
        <v>214</v>
      </c>
      <c r="O1345" t="s">
        <v>284</v>
      </c>
      <c r="P1345">
        <v>4.1381118111497528E-2</v>
      </c>
      <c r="Q1345" t="s">
        <v>166</v>
      </c>
      <c r="S1345" t="s">
        <v>231</v>
      </c>
      <c r="T1345" t="s">
        <v>284</v>
      </c>
      <c r="U1345">
        <v>3.8000627258751148E-2</v>
      </c>
      <c r="V1345" t="s">
        <v>166</v>
      </c>
    </row>
    <row r="1346" spans="9:22" x14ac:dyDescent="0.45">
      <c r="I1346" t="s">
        <v>190</v>
      </c>
      <c r="J1346" t="s">
        <v>285</v>
      </c>
      <c r="K1346">
        <v>5.473762137202071E-3</v>
      </c>
      <c r="L1346" t="s">
        <v>166</v>
      </c>
      <c r="N1346" t="s">
        <v>214</v>
      </c>
      <c r="O1346" t="s">
        <v>285</v>
      </c>
      <c r="P1346">
        <v>5.4366063216432937E-3</v>
      </c>
      <c r="Q1346" t="s">
        <v>166</v>
      </c>
      <c r="S1346" t="s">
        <v>231</v>
      </c>
      <c r="T1346" t="s">
        <v>285</v>
      </c>
      <c r="U1346">
        <v>5.4478756309371415E-3</v>
      </c>
      <c r="V1346" t="s">
        <v>166</v>
      </c>
    </row>
    <row r="1347" spans="9:22" x14ac:dyDescent="0.45">
      <c r="I1347" t="s">
        <v>190</v>
      </c>
      <c r="J1347" t="s">
        <v>286</v>
      </c>
      <c r="K1347">
        <v>3.1508520423608145E-3</v>
      </c>
      <c r="L1347" t="s">
        <v>166</v>
      </c>
      <c r="N1347" t="s">
        <v>214</v>
      </c>
      <c r="O1347" t="s">
        <v>286</v>
      </c>
      <c r="P1347">
        <v>9.8204195499760356E-3</v>
      </c>
      <c r="Q1347" t="s">
        <v>166</v>
      </c>
      <c r="S1347" t="s">
        <v>231</v>
      </c>
      <c r="T1347" t="s">
        <v>286</v>
      </c>
      <c r="U1347">
        <v>1.0082060427917754E-2</v>
      </c>
      <c r="V1347" t="s">
        <v>166</v>
      </c>
    </row>
    <row r="1348" spans="9:22" x14ac:dyDescent="0.45">
      <c r="I1348" t="s">
        <v>190</v>
      </c>
      <c r="J1348" t="s">
        <v>287</v>
      </c>
      <c r="K1348">
        <v>0</v>
      </c>
      <c r="L1348" t="s">
        <v>166</v>
      </c>
      <c r="N1348" t="s">
        <v>214</v>
      </c>
      <c r="O1348" t="s">
        <v>287</v>
      </c>
      <c r="P1348">
        <v>2.397376568329139E-2</v>
      </c>
      <c r="Q1348" t="s">
        <v>166</v>
      </c>
      <c r="S1348" t="s">
        <v>231</v>
      </c>
      <c r="T1348" t="s">
        <v>287</v>
      </c>
      <c r="U1348">
        <v>2.6613520019299428E-2</v>
      </c>
      <c r="V1348" t="s">
        <v>166</v>
      </c>
    </row>
    <row r="1349" spans="9:22" x14ac:dyDescent="0.45">
      <c r="I1349" t="s">
        <v>190</v>
      </c>
      <c r="J1349" t="s">
        <v>288</v>
      </c>
      <c r="K1349">
        <v>1.3710338796762232E-3</v>
      </c>
      <c r="L1349" t="s">
        <v>166</v>
      </c>
      <c r="N1349" t="s">
        <v>214</v>
      </c>
      <c r="O1349" t="s">
        <v>288</v>
      </c>
      <c r="P1349">
        <v>4.0176877647979781E-2</v>
      </c>
      <c r="Q1349" t="s">
        <v>166</v>
      </c>
      <c r="S1349" t="s">
        <v>231</v>
      </c>
      <c r="T1349" t="s">
        <v>288</v>
      </c>
      <c r="U1349">
        <v>5.1437308353945048E-2</v>
      </c>
      <c r="V1349" t="s">
        <v>166</v>
      </c>
    </row>
    <row r="1350" spans="9:22" x14ac:dyDescent="0.45">
      <c r="I1350" t="s">
        <v>190</v>
      </c>
      <c r="J1350" t="s">
        <v>289</v>
      </c>
      <c r="K1350">
        <v>6.9779376364386535E-3</v>
      </c>
      <c r="L1350" t="s">
        <v>166</v>
      </c>
      <c r="N1350" t="s">
        <v>214</v>
      </c>
      <c r="O1350" t="s">
        <v>289</v>
      </c>
      <c r="P1350">
        <v>5.6519633835196322E-3</v>
      </c>
      <c r="Q1350" t="s">
        <v>166</v>
      </c>
      <c r="S1350" t="s">
        <v>231</v>
      </c>
      <c r="T1350" t="s">
        <v>289</v>
      </c>
      <c r="U1350">
        <v>6.9780732089688964E-3</v>
      </c>
      <c r="V1350" t="s">
        <v>166</v>
      </c>
    </row>
    <row r="1351" spans="9:22" x14ac:dyDescent="0.45">
      <c r="I1351" t="s">
        <v>190</v>
      </c>
      <c r="J1351" t="s">
        <v>290</v>
      </c>
      <c r="K1351">
        <v>8.0462092250177933E-2</v>
      </c>
      <c r="L1351" t="s">
        <v>166</v>
      </c>
      <c r="N1351" t="s">
        <v>214</v>
      </c>
      <c r="O1351" t="s">
        <v>290</v>
      </c>
      <c r="P1351">
        <v>4.3755863366160302E-2</v>
      </c>
      <c r="Q1351" t="s">
        <v>166</v>
      </c>
      <c r="S1351" t="s">
        <v>231</v>
      </c>
      <c r="T1351" t="s">
        <v>290</v>
      </c>
      <c r="U1351">
        <v>4.891633796843893E-2</v>
      </c>
      <c r="V1351" t="s">
        <v>166</v>
      </c>
    </row>
    <row r="1352" spans="9:22" x14ac:dyDescent="0.45">
      <c r="I1352" t="s">
        <v>190</v>
      </c>
      <c r="J1352" t="s">
        <v>291</v>
      </c>
      <c r="K1352">
        <v>8.3732548732963555E-3</v>
      </c>
      <c r="L1352" t="s">
        <v>166</v>
      </c>
      <c r="N1352" t="s">
        <v>214</v>
      </c>
      <c r="O1352" t="s">
        <v>291</v>
      </c>
      <c r="P1352">
        <v>5.2051858421111414E-3</v>
      </c>
      <c r="Q1352" t="s">
        <v>166</v>
      </c>
      <c r="S1352" t="s">
        <v>231</v>
      </c>
      <c r="T1352" t="s">
        <v>291</v>
      </c>
      <c r="U1352">
        <v>6.8649055742694533E-3</v>
      </c>
      <c r="V1352" t="s">
        <v>166</v>
      </c>
    </row>
    <row r="1353" spans="9:22" x14ac:dyDescent="0.45">
      <c r="I1353" t="s">
        <v>190</v>
      </c>
      <c r="J1353" t="s">
        <v>292</v>
      </c>
      <c r="K1353">
        <v>4.9930005096194083E-3</v>
      </c>
      <c r="L1353" t="s">
        <v>166</v>
      </c>
      <c r="N1353" t="s">
        <v>214</v>
      </c>
      <c r="O1353" t="s">
        <v>292</v>
      </c>
      <c r="P1353">
        <v>8.2425761317631296E-3</v>
      </c>
      <c r="Q1353" t="s">
        <v>166</v>
      </c>
      <c r="S1353" t="s">
        <v>231</v>
      </c>
      <c r="T1353" t="s">
        <v>292</v>
      </c>
      <c r="U1353">
        <v>1.1701478313885363E-2</v>
      </c>
      <c r="V1353" t="s">
        <v>166</v>
      </c>
    </row>
    <row r="1354" spans="9:22" x14ac:dyDescent="0.45">
      <c r="I1354" t="s">
        <v>190</v>
      </c>
      <c r="J1354" t="s">
        <v>293</v>
      </c>
      <c r="K1354">
        <v>0</v>
      </c>
      <c r="L1354" t="s">
        <v>166</v>
      </c>
      <c r="N1354" t="s">
        <v>214</v>
      </c>
      <c r="O1354" t="s">
        <v>293</v>
      </c>
      <c r="P1354">
        <v>1.8530086342909688E-2</v>
      </c>
      <c r="Q1354" t="s">
        <v>166</v>
      </c>
      <c r="S1354" t="s">
        <v>231</v>
      </c>
      <c r="T1354" t="s">
        <v>293</v>
      </c>
      <c r="U1354">
        <v>2.9235668770115977E-2</v>
      </c>
      <c r="V1354" t="s">
        <v>166</v>
      </c>
    </row>
    <row r="1355" spans="9:22" x14ac:dyDescent="0.45">
      <c r="I1355" t="s">
        <v>191</v>
      </c>
      <c r="J1355" t="s">
        <v>165</v>
      </c>
      <c r="K1355">
        <v>2.4292835545540715E-3</v>
      </c>
      <c r="L1355" t="s">
        <v>166</v>
      </c>
      <c r="N1355" t="s">
        <v>215</v>
      </c>
      <c r="O1355" t="s">
        <v>165</v>
      </c>
      <c r="P1355">
        <v>7.6079333072282929E-2</v>
      </c>
      <c r="Q1355" t="s">
        <v>166</v>
      </c>
      <c r="S1355" t="s">
        <v>232</v>
      </c>
      <c r="T1355" t="s">
        <v>165</v>
      </c>
      <c r="U1355">
        <v>0.14313564280821134</v>
      </c>
      <c r="V1355" t="s">
        <v>166</v>
      </c>
    </row>
    <row r="1356" spans="9:22" x14ac:dyDescent="0.45">
      <c r="I1356" t="s">
        <v>191</v>
      </c>
      <c r="J1356" t="s">
        <v>167</v>
      </c>
      <c r="K1356">
        <v>7.5232410894595101E-3</v>
      </c>
      <c r="L1356" t="s">
        <v>166</v>
      </c>
      <c r="N1356" t="s">
        <v>215</v>
      </c>
      <c r="O1356" t="s">
        <v>167</v>
      </c>
      <c r="P1356">
        <v>1.0742291734079529E-2</v>
      </c>
      <c r="Q1356" t="s">
        <v>166</v>
      </c>
      <c r="S1356" t="s">
        <v>232</v>
      </c>
      <c r="T1356" t="s">
        <v>167</v>
      </c>
      <c r="U1356">
        <v>1.6078353030936372E-2</v>
      </c>
      <c r="V1356" t="s">
        <v>166</v>
      </c>
    </row>
    <row r="1357" spans="9:22" x14ac:dyDescent="0.45">
      <c r="I1357" t="s">
        <v>191</v>
      </c>
      <c r="J1357" t="s">
        <v>168</v>
      </c>
      <c r="K1357">
        <v>0.18122140179431867</v>
      </c>
      <c r="L1357" t="s">
        <v>166</v>
      </c>
      <c r="N1357" t="s">
        <v>215</v>
      </c>
      <c r="O1357" t="s">
        <v>168</v>
      </c>
      <c r="P1357">
        <v>0.11771976402016504</v>
      </c>
      <c r="Q1357" t="s">
        <v>166</v>
      </c>
      <c r="S1357" t="s">
        <v>232</v>
      </c>
      <c r="T1357" t="s">
        <v>168</v>
      </c>
      <c r="U1357">
        <v>0.10826876314844493</v>
      </c>
      <c r="V1357" t="s">
        <v>166</v>
      </c>
    </row>
    <row r="1358" spans="9:22" x14ac:dyDescent="0.45">
      <c r="I1358" t="s">
        <v>191</v>
      </c>
      <c r="J1358" t="s">
        <v>258</v>
      </c>
      <c r="K1358">
        <v>2.336874161567154E-2</v>
      </c>
      <c r="L1358" t="s">
        <v>166</v>
      </c>
      <c r="N1358" t="s">
        <v>215</v>
      </c>
      <c r="O1358" t="s">
        <v>258</v>
      </c>
      <c r="P1358">
        <v>1.8911867043395453E-2</v>
      </c>
      <c r="Q1358" t="s">
        <v>166</v>
      </c>
      <c r="S1358" t="s">
        <v>232</v>
      </c>
      <c r="T1358" t="s">
        <v>258</v>
      </c>
      <c r="U1358">
        <v>1.7151583784958641E-2</v>
      </c>
      <c r="V1358" t="s">
        <v>166</v>
      </c>
    </row>
    <row r="1359" spans="9:22" x14ac:dyDescent="0.45">
      <c r="I1359" t="s">
        <v>191</v>
      </c>
      <c r="J1359" t="s">
        <v>259</v>
      </c>
      <c r="K1359">
        <v>2.6667799421777369E-2</v>
      </c>
      <c r="L1359" t="s">
        <v>166</v>
      </c>
      <c r="N1359" t="s">
        <v>215</v>
      </c>
      <c r="O1359" t="s">
        <v>259</v>
      </c>
      <c r="P1359">
        <v>2.7464758755873515E-2</v>
      </c>
      <c r="Q1359" t="s">
        <v>166</v>
      </c>
      <c r="S1359" t="s">
        <v>232</v>
      </c>
      <c r="T1359" t="s">
        <v>259</v>
      </c>
      <c r="U1359">
        <v>3.2133336559941238E-2</v>
      </c>
      <c r="V1359" t="s">
        <v>166</v>
      </c>
    </row>
    <row r="1360" spans="9:22" x14ac:dyDescent="0.45">
      <c r="I1360" t="s">
        <v>191</v>
      </c>
      <c r="J1360" t="s">
        <v>260</v>
      </c>
      <c r="K1360">
        <v>0</v>
      </c>
      <c r="L1360" t="s">
        <v>166</v>
      </c>
      <c r="N1360" t="s">
        <v>215</v>
      </c>
      <c r="O1360" t="s">
        <v>260</v>
      </c>
      <c r="P1360">
        <v>5.4340383491417822E-2</v>
      </c>
      <c r="Q1360" t="s">
        <v>166</v>
      </c>
      <c r="S1360" t="s">
        <v>232</v>
      </c>
      <c r="T1360" t="s">
        <v>260</v>
      </c>
      <c r="U1360">
        <v>9.7097272816289784E-2</v>
      </c>
      <c r="V1360" t="s">
        <v>166</v>
      </c>
    </row>
    <row r="1361" spans="9:22" x14ac:dyDescent="0.45">
      <c r="I1361" t="s">
        <v>191</v>
      </c>
      <c r="J1361" t="s">
        <v>346</v>
      </c>
      <c r="K1361">
        <v>0</v>
      </c>
      <c r="L1361" t="s">
        <v>166</v>
      </c>
      <c r="N1361" t="s">
        <v>215</v>
      </c>
      <c r="O1361" t="s">
        <v>346</v>
      </c>
      <c r="P1361">
        <v>2.6028491830734389E-5</v>
      </c>
      <c r="Q1361" t="s">
        <v>166</v>
      </c>
      <c r="S1361" t="s">
        <v>232</v>
      </c>
      <c r="T1361" t="s">
        <v>346</v>
      </c>
      <c r="U1361">
        <v>1.3572009788239724E-4</v>
      </c>
      <c r="V1361" t="s">
        <v>166</v>
      </c>
    </row>
    <row r="1362" spans="9:22" x14ac:dyDescent="0.45">
      <c r="I1362" t="s">
        <v>191</v>
      </c>
      <c r="J1362" t="s">
        <v>347</v>
      </c>
      <c r="K1362">
        <v>0</v>
      </c>
      <c r="L1362" t="s">
        <v>166</v>
      </c>
      <c r="N1362" t="s">
        <v>215</v>
      </c>
      <c r="O1362" t="s">
        <v>347</v>
      </c>
      <c r="P1362">
        <v>2.8437009438042801E-5</v>
      </c>
      <c r="Q1362" t="s">
        <v>166</v>
      </c>
      <c r="S1362" t="s">
        <v>232</v>
      </c>
      <c r="T1362" t="s">
        <v>347</v>
      </c>
      <c r="U1362">
        <v>1.2467246556304177E-4</v>
      </c>
      <c r="V1362" t="s">
        <v>166</v>
      </c>
    </row>
    <row r="1363" spans="9:22" x14ac:dyDescent="0.45">
      <c r="I1363" t="s">
        <v>191</v>
      </c>
      <c r="J1363" t="s">
        <v>348</v>
      </c>
      <c r="K1363">
        <v>0</v>
      </c>
      <c r="L1363" t="s">
        <v>166</v>
      </c>
      <c r="N1363" t="s">
        <v>215</v>
      </c>
      <c r="O1363" t="s">
        <v>348</v>
      </c>
      <c r="P1363">
        <v>3.1735772644988293E-5</v>
      </c>
      <c r="Q1363" t="s">
        <v>166</v>
      </c>
      <c r="S1363" t="s">
        <v>232</v>
      </c>
      <c r="T1363" t="s">
        <v>348</v>
      </c>
      <c r="U1363">
        <v>1.106930756760074E-4</v>
      </c>
      <c r="V1363" t="s">
        <v>166</v>
      </c>
    </row>
    <row r="1364" spans="9:22" x14ac:dyDescent="0.45">
      <c r="I1364" t="s">
        <v>191</v>
      </c>
      <c r="J1364" t="s">
        <v>349</v>
      </c>
      <c r="K1364">
        <v>0</v>
      </c>
      <c r="L1364" t="s">
        <v>166</v>
      </c>
      <c r="N1364" t="s">
        <v>215</v>
      </c>
      <c r="O1364" t="s">
        <v>349</v>
      </c>
      <c r="P1364">
        <v>3.627043366067294E-5</v>
      </c>
      <c r="Q1364" t="s">
        <v>166</v>
      </c>
      <c r="S1364" t="s">
        <v>232</v>
      </c>
      <c r="T1364" t="s">
        <v>349</v>
      </c>
      <c r="U1364">
        <v>1.0258655834648128E-4</v>
      </c>
      <c r="V1364" t="s">
        <v>166</v>
      </c>
    </row>
    <row r="1365" spans="9:22" x14ac:dyDescent="0.45">
      <c r="I1365" t="s">
        <v>191</v>
      </c>
      <c r="J1365" t="s">
        <v>350</v>
      </c>
      <c r="K1365">
        <v>0</v>
      </c>
      <c r="L1365" t="s">
        <v>166</v>
      </c>
      <c r="N1365" t="s">
        <v>215</v>
      </c>
      <c r="O1365" t="s">
        <v>350</v>
      </c>
      <c r="P1365">
        <v>4.5862404297120985E-5</v>
      </c>
      <c r="Q1365" t="s">
        <v>166</v>
      </c>
      <c r="S1365" t="s">
        <v>232</v>
      </c>
      <c r="T1365" t="s">
        <v>350</v>
      </c>
      <c r="U1365">
        <v>1.0325056859870152E-4</v>
      </c>
      <c r="V1365" t="s">
        <v>166</v>
      </c>
    </row>
    <row r="1366" spans="9:22" x14ac:dyDescent="0.45">
      <c r="I1366" t="s">
        <v>191</v>
      </c>
      <c r="J1366" t="s">
        <v>351</v>
      </c>
      <c r="K1366">
        <v>0</v>
      </c>
      <c r="L1366" t="s">
        <v>166</v>
      </c>
      <c r="N1366" t="s">
        <v>215</v>
      </c>
      <c r="O1366" t="s">
        <v>351</v>
      </c>
      <c r="P1366">
        <v>3.307296088666893E-5</v>
      </c>
      <c r="Q1366" t="s">
        <v>166</v>
      </c>
      <c r="S1366" t="s">
        <v>232</v>
      </c>
      <c r="T1366" t="s">
        <v>351</v>
      </c>
      <c r="U1366">
        <v>8.0030617591869983E-5</v>
      </c>
      <c r="V1366" t="s">
        <v>166</v>
      </c>
    </row>
    <row r="1367" spans="9:22" x14ac:dyDescent="0.45">
      <c r="I1367" t="s">
        <v>191</v>
      </c>
      <c r="J1367" t="s">
        <v>352</v>
      </c>
      <c r="K1367">
        <v>0</v>
      </c>
      <c r="L1367" t="s">
        <v>166</v>
      </c>
      <c r="N1367" t="s">
        <v>215</v>
      </c>
      <c r="O1367" t="s">
        <v>352</v>
      </c>
      <c r="P1367">
        <v>4.5009663903770164E-5</v>
      </c>
      <c r="Q1367" t="s">
        <v>166</v>
      </c>
      <c r="S1367" t="s">
        <v>232</v>
      </c>
      <c r="T1367" t="s">
        <v>352</v>
      </c>
      <c r="U1367">
        <v>8.4808580544745122E-5</v>
      </c>
      <c r="V1367" t="s">
        <v>166</v>
      </c>
    </row>
    <row r="1368" spans="9:22" x14ac:dyDescent="0.45">
      <c r="I1368" t="s">
        <v>191</v>
      </c>
      <c r="J1368" t="s">
        <v>353</v>
      </c>
      <c r="K1368">
        <v>0</v>
      </c>
      <c r="L1368" t="s">
        <v>166</v>
      </c>
      <c r="N1368" t="s">
        <v>215</v>
      </c>
      <c r="O1368" t="s">
        <v>353</v>
      </c>
      <c r="P1368">
        <v>5.8028857903410774E-5</v>
      </c>
      <c r="Q1368" t="s">
        <v>166</v>
      </c>
      <c r="S1368" t="s">
        <v>232</v>
      </c>
      <c r="T1368" t="s">
        <v>353</v>
      </c>
      <c r="U1368">
        <v>1.0275658603434482E-4</v>
      </c>
      <c r="V1368" t="s">
        <v>166</v>
      </c>
    </row>
    <row r="1369" spans="9:22" x14ac:dyDescent="0.45">
      <c r="I1369" t="s">
        <v>191</v>
      </c>
      <c r="J1369" t="s">
        <v>354</v>
      </c>
      <c r="K1369">
        <v>6.9528536375125043E-6</v>
      </c>
      <c r="L1369" t="s">
        <v>166</v>
      </c>
      <c r="N1369" t="s">
        <v>215</v>
      </c>
      <c r="O1369" t="s">
        <v>354</v>
      </c>
      <c r="P1369">
        <v>6.5243035163652343E-5</v>
      </c>
      <c r="Q1369" t="s">
        <v>166</v>
      </c>
      <c r="S1369" t="s">
        <v>232</v>
      </c>
      <c r="T1369" t="s">
        <v>354</v>
      </c>
      <c r="U1369">
        <v>1.1909291938876175E-4</v>
      </c>
      <c r="V1369" t="s">
        <v>166</v>
      </c>
    </row>
    <row r="1370" spans="9:22" x14ac:dyDescent="0.45">
      <c r="I1370" t="s">
        <v>191</v>
      </c>
      <c r="J1370" t="s">
        <v>355</v>
      </c>
      <c r="K1370">
        <v>2.1580115889829078E-5</v>
      </c>
      <c r="L1370" t="s">
        <v>166</v>
      </c>
      <c r="N1370" t="s">
        <v>215</v>
      </c>
      <c r="O1370" t="s">
        <v>355</v>
      </c>
      <c r="P1370">
        <v>8.0975130391529025E-5</v>
      </c>
      <c r="Q1370" t="s">
        <v>166</v>
      </c>
      <c r="S1370" t="s">
        <v>232</v>
      </c>
      <c r="T1370" t="s">
        <v>355</v>
      </c>
      <c r="U1370">
        <v>1.2519539337105303E-4</v>
      </c>
      <c r="V1370" t="s">
        <v>166</v>
      </c>
    </row>
    <row r="1371" spans="9:22" x14ac:dyDescent="0.45">
      <c r="I1371" t="s">
        <v>191</v>
      </c>
      <c r="J1371" t="s">
        <v>356</v>
      </c>
      <c r="K1371">
        <v>9.226389031093715E-5</v>
      </c>
      <c r="L1371" t="s">
        <v>166</v>
      </c>
      <c r="N1371" t="s">
        <v>215</v>
      </c>
      <c r="O1371" t="s">
        <v>356</v>
      </c>
      <c r="P1371">
        <v>8.4790077387965576E-5</v>
      </c>
      <c r="Q1371" t="s">
        <v>166</v>
      </c>
      <c r="S1371" t="s">
        <v>232</v>
      </c>
      <c r="T1371" t="s">
        <v>356</v>
      </c>
      <c r="U1371">
        <v>1.0845200063220562E-4</v>
      </c>
      <c r="V1371" t="s">
        <v>166</v>
      </c>
    </row>
    <row r="1372" spans="9:22" x14ac:dyDescent="0.45">
      <c r="I1372" t="s">
        <v>191</v>
      </c>
      <c r="J1372" t="s">
        <v>357</v>
      </c>
      <c r="K1372">
        <v>1.3106926867067513E-4</v>
      </c>
      <c r="L1372" t="s">
        <v>166</v>
      </c>
      <c r="N1372" t="s">
        <v>215</v>
      </c>
      <c r="O1372" t="s">
        <v>357</v>
      </c>
      <c r="P1372">
        <v>9.3811845024714455E-5</v>
      </c>
      <c r="Q1372" t="s">
        <v>166</v>
      </c>
      <c r="S1372" t="s">
        <v>232</v>
      </c>
      <c r="T1372" t="s">
        <v>357</v>
      </c>
      <c r="U1372">
        <v>9.5154997713398868E-5</v>
      </c>
      <c r="V1372" t="s">
        <v>166</v>
      </c>
    </row>
    <row r="1373" spans="9:22" x14ac:dyDescent="0.45">
      <c r="I1373" t="s">
        <v>191</v>
      </c>
      <c r="J1373" t="s">
        <v>358</v>
      </c>
      <c r="K1373">
        <v>1.2930886934312111E-4</v>
      </c>
      <c r="L1373" t="s">
        <v>166</v>
      </c>
      <c r="N1373" t="s">
        <v>215</v>
      </c>
      <c r="O1373" t="s">
        <v>358</v>
      </c>
      <c r="P1373">
        <v>9.5732050032295118E-5</v>
      </c>
      <c r="Q1373" t="s">
        <v>166</v>
      </c>
      <c r="S1373" t="s">
        <v>232</v>
      </c>
      <c r="T1373" t="s">
        <v>358</v>
      </c>
      <c r="U1373">
        <v>8.1338259326278943E-5</v>
      </c>
      <c r="V1373" t="s">
        <v>166</v>
      </c>
    </row>
    <row r="1374" spans="9:22" x14ac:dyDescent="0.45">
      <c r="I1374" t="s">
        <v>191</v>
      </c>
      <c r="J1374" t="s">
        <v>359</v>
      </c>
      <c r="K1374">
        <v>1.4202104325247367E-4</v>
      </c>
      <c r="L1374" t="s">
        <v>166</v>
      </c>
      <c r="N1374" t="s">
        <v>215</v>
      </c>
      <c r="O1374" t="s">
        <v>359</v>
      </c>
      <c r="P1374">
        <v>1.0628132635826068E-4</v>
      </c>
      <c r="Q1374" t="s">
        <v>166</v>
      </c>
      <c r="S1374" t="s">
        <v>232</v>
      </c>
      <c r="T1374" t="s">
        <v>359</v>
      </c>
      <c r="U1374">
        <v>7.7780603286768812E-5</v>
      </c>
      <c r="V1374" t="s">
        <v>166</v>
      </c>
    </row>
    <row r="1375" spans="9:22" x14ac:dyDescent="0.45">
      <c r="I1375" t="s">
        <v>191</v>
      </c>
      <c r="J1375" t="s">
        <v>360</v>
      </c>
      <c r="K1375">
        <v>8.2641209980389695E-5</v>
      </c>
      <c r="L1375" t="s">
        <v>166</v>
      </c>
      <c r="N1375" t="s">
        <v>215</v>
      </c>
      <c r="O1375" t="s">
        <v>360</v>
      </c>
      <c r="P1375">
        <v>1.0898080354524466E-4</v>
      </c>
      <c r="Q1375" t="s">
        <v>166</v>
      </c>
      <c r="S1375" t="s">
        <v>232</v>
      </c>
      <c r="T1375" t="s">
        <v>360</v>
      </c>
      <c r="U1375">
        <v>7.1274507897267181E-5</v>
      </c>
      <c r="V1375" t="s">
        <v>166</v>
      </c>
    </row>
    <row r="1376" spans="9:22" x14ac:dyDescent="0.45">
      <c r="I1376" t="s">
        <v>191</v>
      </c>
      <c r="J1376" t="s">
        <v>361</v>
      </c>
      <c r="K1376">
        <v>7.6115654017423117E-5</v>
      </c>
      <c r="L1376" t="s">
        <v>166</v>
      </c>
      <c r="N1376" t="s">
        <v>215</v>
      </c>
      <c r="O1376" t="s">
        <v>361</v>
      </c>
      <c r="P1376">
        <v>1.032447506176561E-4</v>
      </c>
      <c r="Q1376" t="s">
        <v>166</v>
      </c>
      <c r="S1376" t="s">
        <v>232</v>
      </c>
      <c r="T1376" t="s">
        <v>361</v>
      </c>
      <c r="U1376">
        <v>5.7238652046985087E-5</v>
      </c>
      <c r="V1376" t="s">
        <v>166</v>
      </c>
    </row>
    <row r="1377" spans="9:22" x14ac:dyDescent="0.45">
      <c r="I1377" t="s">
        <v>191</v>
      </c>
      <c r="J1377" t="s">
        <v>362</v>
      </c>
      <c r="K1377">
        <v>5.4109884649228648E-5</v>
      </c>
      <c r="L1377" t="s">
        <v>166</v>
      </c>
      <c r="N1377" t="s">
        <v>215</v>
      </c>
      <c r="O1377" t="s">
        <v>362</v>
      </c>
      <c r="P1377">
        <v>1.0581103749293827E-4</v>
      </c>
      <c r="Q1377" t="s">
        <v>166</v>
      </c>
      <c r="S1377" t="s">
        <v>232</v>
      </c>
      <c r="T1377" t="s">
        <v>362</v>
      </c>
      <c r="U1377">
        <v>5.1860996112931047E-5</v>
      </c>
      <c r="V1377" t="s">
        <v>166</v>
      </c>
    </row>
    <row r="1378" spans="9:22" x14ac:dyDescent="0.45">
      <c r="I1378" t="s">
        <v>191</v>
      </c>
      <c r="J1378" t="s">
        <v>363</v>
      </c>
      <c r="K1378">
        <v>1.6437369293394505E-5</v>
      </c>
      <c r="L1378" t="s">
        <v>166</v>
      </c>
      <c r="N1378" t="s">
        <v>215</v>
      </c>
      <c r="O1378" t="s">
        <v>363</v>
      </c>
      <c r="P1378">
        <v>5.9591567564840787E-5</v>
      </c>
      <c r="Q1378" t="s">
        <v>166</v>
      </c>
      <c r="S1378" t="s">
        <v>232</v>
      </c>
      <c r="T1378" t="s">
        <v>363</v>
      </c>
      <c r="U1378">
        <v>4.8755374954836687E-5</v>
      </c>
      <c r="V1378" t="s">
        <v>166</v>
      </c>
    </row>
    <row r="1379" spans="9:22" x14ac:dyDescent="0.45">
      <c r="I1379" t="s">
        <v>191</v>
      </c>
      <c r="J1379" t="s">
        <v>364</v>
      </c>
      <c r="K1379">
        <v>0</v>
      </c>
      <c r="L1379" t="s">
        <v>166</v>
      </c>
      <c r="N1379" t="s">
        <v>215</v>
      </c>
      <c r="O1379" t="s">
        <v>364</v>
      </c>
      <c r="P1379">
        <v>4.9214828021751411E-5</v>
      </c>
      <c r="Q1379" t="s">
        <v>166</v>
      </c>
      <c r="S1379" t="s">
        <v>232</v>
      </c>
      <c r="T1379" t="s">
        <v>364</v>
      </c>
      <c r="U1379">
        <v>5.7323600309333852E-5</v>
      </c>
      <c r="V1379" t="s">
        <v>166</v>
      </c>
    </row>
    <row r="1380" spans="9:22" x14ac:dyDescent="0.45">
      <c r="I1380" t="s">
        <v>191</v>
      </c>
      <c r="J1380" t="s">
        <v>365</v>
      </c>
      <c r="K1380">
        <v>0</v>
      </c>
      <c r="L1380" t="s">
        <v>166</v>
      </c>
      <c r="N1380" t="s">
        <v>215</v>
      </c>
      <c r="O1380" t="s">
        <v>365</v>
      </c>
      <c r="P1380">
        <v>3.5693118758473404E-5</v>
      </c>
      <c r="Q1380" t="s">
        <v>166</v>
      </c>
      <c r="S1380" t="s">
        <v>232</v>
      </c>
      <c r="T1380" t="s">
        <v>365</v>
      </c>
      <c r="U1380">
        <v>6.0880200946811321E-5</v>
      </c>
      <c r="V1380" t="s">
        <v>166</v>
      </c>
    </row>
    <row r="1381" spans="9:22" x14ac:dyDescent="0.45">
      <c r="I1381" t="s">
        <v>191</v>
      </c>
      <c r="J1381" t="s">
        <v>366</v>
      </c>
      <c r="K1381">
        <v>0</v>
      </c>
      <c r="L1381" t="s">
        <v>166</v>
      </c>
      <c r="N1381" t="s">
        <v>215</v>
      </c>
      <c r="O1381" t="s">
        <v>366</v>
      </c>
      <c r="P1381">
        <v>3.5719260232781546E-5</v>
      </c>
      <c r="Q1381" t="s">
        <v>166</v>
      </c>
      <c r="S1381" t="s">
        <v>232</v>
      </c>
      <c r="T1381" t="s">
        <v>366</v>
      </c>
      <c r="U1381">
        <v>6.8629617707225075E-5</v>
      </c>
      <c r="V1381" t="s">
        <v>166</v>
      </c>
    </row>
    <row r="1382" spans="9:22" x14ac:dyDescent="0.45">
      <c r="I1382" t="s">
        <v>191</v>
      </c>
      <c r="J1382" t="s">
        <v>367</v>
      </c>
      <c r="K1382">
        <v>0</v>
      </c>
      <c r="L1382" t="s">
        <v>166</v>
      </c>
      <c r="N1382" t="s">
        <v>215</v>
      </c>
      <c r="O1382" t="s">
        <v>367</v>
      </c>
      <c r="P1382">
        <v>4.8605762967419359E-5</v>
      </c>
      <c r="Q1382" t="s">
        <v>166</v>
      </c>
      <c r="S1382" t="s">
        <v>232</v>
      </c>
      <c r="T1382" t="s">
        <v>367</v>
      </c>
      <c r="U1382">
        <v>7.5367668759734695E-5</v>
      </c>
      <c r="V1382" t="s">
        <v>166</v>
      </c>
    </row>
    <row r="1383" spans="9:22" x14ac:dyDescent="0.45">
      <c r="I1383" t="s">
        <v>191</v>
      </c>
      <c r="J1383" t="s">
        <v>368</v>
      </c>
      <c r="K1383">
        <v>0</v>
      </c>
      <c r="L1383" t="s">
        <v>166</v>
      </c>
      <c r="N1383" t="s">
        <v>215</v>
      </c>
      <c r="O1383" t="s">
        <v>368</v>
      </c>
      <c r="P1383">
        <v>6.3463022585523863E-5</v>
      </c>
      <c r="Q1383" t="s">
        <v>166</v>
      </c>
      <c r="S1383" t="s">
        <v>232</v>
      </c>
      <c r="T1383" t="s">
        <v>368</v>
      </c>
      <c r="U1383">
        <v>8.1094536301960299E-5</v>
      </c>
      <c r="V1383" t="s">
        <v>166</v>
      </c>
    </row>
    <row r="1384" spans="9:22" x14ac:dyDescent="0.45">
      <c r="I1384" t="s">
        <v>191</v>
      </c>
      <c r="J1384" t="s">
        <v>369</v>
      </c>
      <c r="K1384">
        <v>0</v>
      </c>
      <c r="L1384" t="s">
        <v>166</v>
      </c>
      <c r="N1384" t="s">
        <v>215</v>
      </c>
      <c r="O1384" t="s">
        <v>369</v>
      </c>
      <c r="P1384">
        <v>6.9046793100091029E-5</v>
      </c>
      <c r="Q1384" t="s">
        <v>166</v>
      </c>
      <c r="S1384" t="s">
        <v>232</v>
      </c>
      <c r="T1384" t="s">
        <v>369</v>
      </c>
      <c r="U1384">
        <v>8.3552150083636575E-5</v>
      </c>
      <c r="V1384" t="s">
        <v>166</v>
      </c>
    </row>
    <row r="1385" spans="9:22" x14ac:dyDescent="0.45">
      <c r="I1385" t="s">
        <v>191</v>
      </c>
      <c r="J1385" t="s">
        <v>370</v>
      </c>
      <c r="K1385">
        <v>0</v>
      </c>
      <c r="L1385" t="s">
        <v>166</v>
      </c>
      <c r="N1385" t="s">
        <v>215</v>
      </c>
      <c r="O1385" t="s">
        <v>370</v>
      </c>
      <c r="P1385">
        <v>2.5581806997684488E-5</v>
      </c>
      <c r="Q1385" t="s">
        <v>166</v>
      </c>
      <c r="S1385" t="s">
        <v>232</v>
      </c>
      <c r="T1385" t="s">
        <v>370</v>
      </c>
      <c r="U1385">
        <v>2.7653942131193056E-4</v>
      </c>
      <c r="V1385" t="s">
        <v>166</v>
      </c>
    </row>
    <row r="1386" spans="9:22" x14ac:dyDescent="0.45">
      <c r="I1386" t="s">
        <v>191</v>
      </c>
      <c r="J1386" t="s">
        <v>371</v>
      </c>
      <c r="K1386">
        <v>0</v>
      </c>
      <c r="L1386" t="s">
        <v>166</v>
      </c>
      <c r="N1386" t="s">
        <v>215</v>
      </c>
      <c r="O1386" t="s">
        <v>371</v>
      </c>
      <c r="P1386">
        <v>1.8366867362617239E-5</v>
      </c>
      <c r="Q1386" t="s">
        <v>166</v>
      </c>
      <c r="S1386" t="s">
        <v>232</v>
      </c>
      <c r="T1386" t="s">
        <v>371</v>
      </c>
      <c r="U1386">
        <v>2.94953252269893E-4</v>
      </c>
      <c r="V1386" t="s">
        <v>166</v>
      </c>
    </row>
    <row r="1387" spans="9:22" x14ac:dyDescent="0.45">
      <c r="I1387" t="s">
        <v>191</v>
      </c>
      <c r="J1387" t="s">
        <v>372</v>
      </c>
      <c r="K1387">
        <v>0</v>
      </c>
      <c r="L1387" t="s">
        <v>166</v>
      </c>
      <c r="N1387" t="s">
        <v>215</v>
      </c>
      <c r="O1387" t="s">
        <v>372</v>
      </c>
      <c r="P1387">
        <v>1.3397256971517936E-5</v>
      </c>
      <c r="Q1387" t="s">
        <v>166</v>
      </c>
      <c r="S1387" t="s">
        <v>232</v>
      </c>
      <c r="T1387" t="s">
        <v>372</v>
      </c>
      <c r="U1387">
        <v>3.0398512301490127E-4</v>
      </c>
      <c r="V1387" t="s">
        <v>166</v>
      </c>
    </row>
    <row r="1388" spans="9:22" x14ac:dyDescent="0.45">
      <c r="I1388" t="s">
        <v>191</v>
      </c>
      <c r="J1388" t="s">
        <v>373</v>
      </c>
      <c r="K1388">
        <v>0</v>
      </c>
      <c r="L1388" t="s">
        <v>166</v>
      </c>
      <c r="N1388" t="s">
        <v>215</v>
      </c>
      <c r="O1388" t="s">
        <v>373</v>
      </c>
      <c r="P1388">
        <v>1.0736044189446517E-5</v>
      </c>
      <c r="Q1388" t="s">
        <v>166</v>
      </c>
      <c r="S1388" t="s">
        <v>232</v>
      </c>
      <c r="T1388" t="s">
        <v>373</v>
      </c>
      <c r="U1388">
        <v>3.1354879794311368E-4</v>
      </c>
      <c r="V1388" t="s">
        <v>166</v>
      </c>
    </row>
    <row r="1389" spans="9:22" x14ac:dyDescent="0.45">
      <c r="I1389" t="s">
        <v>191</v>
      </c>
      <c r="J1389" t="s">
        <v>374</v>
      </c>
      <c r="K1389">
        <v>0</v>
      </c>
      <c r="L1389" t="s">
        <v>166</v>
      </c>
      <c r="N1389" t="s">
        <v>215</v>
      </c>
      <c r="O1389" t="s">
        <v>374</v>
      </c>
      <c r="P1389">
        <v>2.5251940150807557E-6</v>
      </c>
      <c r="Q1389" t="s">
        <v>166</v>
      </c>
      <c r="S1389" t="s">
        <v>232</v>
      </c>
      <c r="T1389" t="s">
        <v>374</v>
      </c>
      <c r="U1389">
        <v>2.9071163215226112E-4</v>
      </c>
      <c r="V1389" t="s">
        <v>166</v>
      </c>
    </row>
    <row r="1390" spans="9:22" x14ac:dyDescent="0.45">
      <c r="I1390" t="s">
        <v>191</v>
      </c>
      <c r="J1390" t="s">
        <v>375</v>
      </c>
      <c r="K1390">
        <v>0</v>
      </c>
      <c r="L1390" t="s">
        <v>166</v>
      </c>
      <c r="N1390" t="s">
        <v>215</v>
      </c>
      <c r="O1390" t="s">
        <v>375</v>
      </c>
      <c r="P1390">
        <v>1.736532326947536E-7</v>
      </c>
      <c r="Q1390" t="s">
        <v>166</v>
      </c>
      <c r="S1390" t="s">
        <v>232</v>
      </c>
      <c r="T1390" t="s">
        <v>375</v>
      </c>
      <c r="U1390">
        <v>2.2623892725720561E-4</v>
      </c>
      <c r="V1390" t="s">
        <v>166</v>
      </c>
    </row>
    <row r="1391" spans="9:22" x14ac:dyDescent="0.45">
      <c r="I1391" t="s">
        <v>191</v>
      </c>
      <c r="J1391" t="s">
        <v>376</v>
      </c>
      <c r="K1391">
        <v>0</v>
      </c>
      <c r="L1391" t="s">
        <v>166</v>
      </c>
      <c r="N1391" t="s">
        <v>215</v>
      </c>
      <c r="O1391" t="s">
        <v>376</v>
      </c>
      <c r="P1391">
        <v>1.9703014375462629E-7</v>
      </c>
      <c r="Q1391" t="s">
        <v>166</v>
      </c>
      <c r="S1391" t="s">
        <v>232</v>
      </c>
      <c r="T1391" t="s">
        <v>376</v>
      </c>
      <c r="U1391">
        <v>1.9422095632594353E-4</v>
      </c>
      <c r="V1391" t="s">
        <v>166</v>
      </c>
    </row>
    <row r="1392" spans="9:22" x14ac:dyDescent="0.45">
      <c r="I1392" t="s">
        <v>191</v>
      </c>
      <c r="J1392" t="s">
        <v>377</v>
      </c>
      <c r="K1392">
        <v>5.860543738788473E-9</v>
      </c>
      <c r="L1392" t="s">
        <v>166</v>
      </c>
      <c r="N1392" t="s">
        <v>215</v>
      </c>
      <c r="O1392" t="s">
        <v>377</v>
      </c>
      <c r="P1392">
        <v>4.0612422498355693E-7</v>
      </c>
      <c r="Q1392" t="s">
        <v>166</v>
      </c>
      <c r="S1392" t="s">
        <v>232</v>
      </c>
      <c r="T1392" t="s">
        <v>377</v>
      </c>
      <c r="U1392">
        <v>1.4642176887316315E-4</v>
      </c>
      <c r="V1392" t="s">
        <v>166</v>
      </c>
    </row>
    <row r="1393" spans="9:22" x14ac:dyDescent="0.45">
      <c r="I1393" t="s">
        <v>191</v>
      </c>
      <c r="J1393" t="s">
        <v>378</v>
      </c>
      <c r="K1393">
        <v>1.6418606495497485E-5</v>
      </c>
      <c r="L1393" t="s">
        <v>166</v>
      </c>
      <c r="N1393" t="s">
        <v>215</v>
      </c>
      <c r="O1393" t="s">
        <v>378</v>
      </c>
      <c r="P1393">
        <v>2.6791298731746758E-7</v>
      </c>
      <c r="Q1393" t="s">
        <v>166</v>
      </c>
      <c r="S1393" t="s">
        <v>232</v>
      </c>
      <c r="T1393" t="s">
        <v>378</v>
      </c>
      <c r="U1393">
        <v>1.2572154711583595E-4</v>
      </c>
      <c r="V1393" t="s">
        <v>166</v>
      </c>
    </row>
    <row r="1394" spans="9:22" x14ac:dyDescent="0.45">
      <c r="I1394" t="s">
        <v>191</v>
      </c>
      <c r="J1394" t="s">
        <v>379</v>
      </c>
      <c r="K1394">
        <v>6.8608185434390463E-5</v>
      </c>
      <c r="L1394" t="s">
        <v>166</v>
      </c>
      <c r="N1394" t="s">
        <v>215</v>
      </c>
      <c r="O1394" t="s">
        <v>379</v>
      </c>
      <c r="P1394">
        <v>3.5748397699291973E-7</v>
      </c>
      <c r="Q1394" t="s">
        <v>166</v>
      </c>
      <c r="S1394" t="s">
        <v>232</v>
      </c>
      <c r="T1394" t="s">
        <v>379</v>
      </c>
      <c r="U1394">
        <v>1.2201640502940393E-4</v>
      </c>
      <c r="V1394" t="s">
        <v>166</v>
      </c>
    </row>
    <row r="1395" spans="9:22" x14ac:dyDescent="0.45">
      <c r="I1395" t="s">
        <v>191</v>
      </c>
      <c r="J1395" t="s">
        <v>380</v>
      </c>
      <c r="K1395">
        <v>8.6481745709087512E-5</v>
      </c>
      <c r="L1395" t="s">
        <v>166</v>
      </c>
      <c r="N1395" t="s">
        <v>215</v>
      </c>
      <c r="O1395" t="s">
        <v>380</v>
      </c>
      <c r="P1395">
        <v>1.3126732422891546E-5</v>
      </c>
      <c r="Q1395" t="s">
        <v>166</v>
      </c>
      <c r="S1395" t="s">
        <v>232</v>
      </c>
      <c r="T1395" t="s">
        <v>380</v>
      </c>
      <c r="U1395">
        <v>1.1016202587161734E-4</v>
      </c>
      <c r="V1395" t="s">
        <v>166</v>
      </c>
    </row>
    <row r="1396" spans="9:22" x14ac:dyDescent="0.45">
      <c r="I1396" t="s">
        <v>191</v>
      </c>
      <c r="J1396" t="s">
        <v>381</v>
      </c>
      <c r="K1396">
        <v>1.6296464924319358E-4</v>
      </c>
      <c r="L1396" t="s">
        <v>166</v>
      </c>
      <c r="N1396" t="s">
        <v>215</v>
      </c>
      <c r="O1396" t="s">
        <v>381</v>
      </c>
      <c r="P1396">
        <v>3.1212257536878595E-5</v>
      </c>
      <c r="Q1396" t="s">
        <v>166</v>
      </c>
      <c r="S1396" t="s">
        <v>232</v>
      </c>
      <c r="T1396" t="s">
        <v>381</v>
      </c>
      <c r="U1396">
        <v>8.9695530186900324E-5</v>
      </c>
      <c r="V1396" t="s">
        <v>166</v>
      </c>
    </row>
    <row r="1397" spans="9:22" x14ac:dyDescent="0.45">
      <c r="I1397" t="s">
        <v>191</v>
      </c>
      <c r="J1397" t="s">
        <v>382</v>
      </c>
      <c r="K1397">
        <v>1.377422770063534E-4</v>
      </c>
      <c r="L1397" t="s">
        <v>166</v>
      </c>
      <c r="N1397" t="s">
        <v>215</v>
      </c>
      <c r="O1397" t="s">
        <v>382</v>
      </c>
      <c r="P1397">
        <v>4.5065522609833416E-5</v>
      </c>
      <c r="Q1397" t="s">
        <v>166</v>
      </c>
      <c r="S1397" t="s">
        <v>232</v>
      </c>
      <c r="T1397" t="s">
        <v>382</v>
      </c>
      <c r="U1397">
        <v>8.4997810477968294E-5</v>
      </c>
      <c r="V1397" t="s">
        <v>166</v>
      </c>
    </row>
    <row r="1398" spans="9:22" x14ac:dyDescent="0.45">
      <c r="I1398" t="s">
        <v>191</v>
      </c>
      <c r="J1398" t="s">
        <v>383</v>
      </c>
      <c r="K1398">
        <v>1.5609571907404781E-4</v>
      </c>
      <c r="L1398" t="s">
        <v>166</v>
      </c>
      <c r="N1398" t="s">
        <v>215</v>
      </c>
      <c r="O1398" t="s">
        <v>383</v>
      </c>
      <c r="P1398">
        <v>3.6670135410405402E-5</v>
      </c>
      <c r="Q1398" t="s">
        <v>166</v>
      </c>
      <c r="S1398" t="s">
        <v>232</v>
      </c>
      <c r="T1398" t="s">
        <v>383</v>
      </c>
      <c r="U1398">
        <v>1.0143384126223811E-4</v>
      </c>
      <c r="V1398" t="s">
        <v>166</v>
      </c>
    </row>
    <row r="1399" spans="9:22" x14ac:dyDescent="0.45">
      <c r="I1399" t="s">
        <v>191</v>
      </c>
      <c r="J1399" t="s">
        <v>384</v>
      </c>
      <c r="K1399">
        <v>2.5168188616654582E-4</v>
      </c>
      <c r="L1399" t="s">
        <v>166</v>
      </c>
      <c r="N1399" t="s">
        <v>215</v>
      </c>
      <c r="O1399" t="s">
        <v>384</v>
      </c>
      <c r="P1399">
        <v>2.5585274836521495E-5</v>
      </c>
      <c r="Q1399" t="s">
        <v>166</v>
      </c>
      <c r="S1399" t="s">
        <v>232</v>
      </c>
      <c r="T1399" t="s">
        <v>384</v>
      </c>
      <c r="U1399">
        <v>1.3863047943652105E-4</v>
      </c>
      <c r="V1399" t="s">
        <v>166</v>
      </c>
    </row>
    <row r="1400" spans="9:22" x14ac:dyDescent="0.45">
      <c r="I1400" t="s">
        <v>191</v>
      </c>
      <c r="J1400" t="s">
        <v>385</v>
      </c>
      <c r="K1400">
        <v>2.4734516227523838E-4</v>
      </c>
      <c r="L1400" t="s">
        <v>166</v>
      </c>
      <c r="N1400" t="s">
        <v>215</v>
      </c>
      <c r="O1400" t="s">
        <v>385</v>
      </c>
      <c r="P1400">
        <v>2.1224987333484981E-5</v>
      </c>
      <c r="Q1400" t="s">
        <v>166</v>
      </c>
      <c r="S1400" t="s">
        <v>232</v>
      </c>
      <c r="T1400" t="s">
        <v>385</v>
      </c>
      <c r="U1400">
        <v>1.6294846902971584E-4</v>
      </c>
      <c r="V1400" t="s">
        <v>166</v>
      </c>
    </row>
    <row r="1401" spans="9:22" x14ac:dyDescent="0.45">
      <c r="I1401" t="s">
        <v>191</v>
      </c>
      <c r="J1401" t="s">
        <v>386</v>
      </c>
      <c r="K1401">
        <v>1.654418357861782E-4</v>
      </c>
      <c r="L1401" t="s">
        <v>166</v>
      </c>
      <c r="N1401" t="s">
        <v>215</v>
      </c>
      <c r="O1401" t="s">
        <v>386</v>
      </c>
      <c r="P1401">
        <v>3.5427036022986526E-5</v>
      </c>
      <c r="Q1401" t="s">
        <v>166</v>
      </c>
      <c r="S1401" t="s">
        <v>232</v>
      </c>
      <c r="T1401" t="s">
        <v>386</v>
      </c>
      <c r="U1401">
        <v>1.5707003265712349E-4</v>
      </c>
      <c r="V1401" t="s">
        <v>166</v>
      </c>
    </row>
    <row r="1402" spans="9:22" x14ac:dyDescent="0.45">
      <c r="I1402" t="s">
        <v>191</v>
      </c>
      <c r="J1402" t="s">
        <v>387</v>
      </c>
      <c r="K1402">
        <v>1.020636551422418E-4</v>
      </c>
      <c r="L1402" t="s">
        <v>166</v>
      </c>
      <c r="N1402" t="s">
        <v>215</v>
      </c>
      <c r="O1402" t="s">
        <v>387</v>
      </c>
      <c r="P1402">
        <v>7.2797368403517627E-5</v>
      </c>
      <c r="Q1402" t="s">
        <v>166</v>
      </c>
      <c r="S1402" t="s">
        <v>232</v>
      </c>
      <c r="T1402" t="s">
        <v>387</v>
      </c>
      <c r="U1402">
        <v>1.1467677681134081E-4</v>
      </c>
      <c r="V1402" t="s">
        <v>166</v>
      </c>
    </row>
    <row r="1403" spans="9:22" x14ac:dyDescent="0.45">
      <c r="I1403" t="s">
        <v>191</v>
      </c>
      <c r="J1403" t="s">
        <v>388</v>
      </c>
      <c r="K1403">
        <v>7.9710929824454537E-6</v>
      </c>
      <c r="L1403" t="s">
        <v>166</v>
      </c>
      <c r="N1403" t="s">
        <v>215</v>
      </c>
      <c r="O1403" t="s">
        <v>388</v>
      </c>
      <c r="P1403">
        <v>7.0831573858792001E-5</v>
      </c>
      <c r="Q1403" t="s">
        <v>166</v>
      </c>
      <c r="S1403" t="s">
        <v>232</v>
      </c>
      <c r="T1403" t="s">
        <v>388</v>
      </c>
      <c r="U1403">
        <v>1.3356719404672911E-4</v>
      </c>
      <c r="V1403" t="s">
        <v>166</v>
      </c>
    </row>
    <row r="1404" spans="9:22" x14ac:dyDescent="0.45">
      <c r="I1404" t="s">
        <v>191</v>
      </c>
      <c r="J1404" t="s">
        <v>389</v>
      </c>
      <c r="K1404">
        <v>0</v>
      </c>
      <c r="L1404" t="s">
        <v>166</v>
      </c>
      <c r="N1404" t="s">
        <v>215</v>
      </c>
      <c r="O1404" t="s">
        <v>389</v>
      </c>
      <c r="P1404">
        <v>4.1219356650319859E-5</v>
      </c>
      <c r="Q1404" t="s">
        <v>166</v>
      </c>
      <c r="S1404" t="s">
        <v>232</v>
      </c>
      <c r="T1404" t="s">
        <v>389</v>
      </c>
      <c r="U1404">
        <v>1.7476190798437817E-4</v>
      </c>
      <c r="V1404" t="s">
        <v>166</v>
      </c>
    </row>
    <row r="1405" spans="9:22" x14ac:dyDescent="0.45">
      <c r="I1405" t="s">
        <v>191</v>
      </c>
      <c r="J1405" t="s">
        <v>390</v>
      </c>
      <c r="K1405">
        <v>0</v>
      </c>
      <c r="L1405" t="s">
        <v>166</v>
      </c>
      <c r="N1405" t="s">
        <v>215</v>
      </c>
      <c r="O1405" t="s">
        <v>390</v>
      </c>
      <c r="P1405">
        <v>2.122124373593777E-5</v>
      </c>
      <c r="Q1405" t="s">
        <v>166</v>
      </c>
      <c r="S1405" t="s">
        <v>232</v>
      </c>
      <c r="T1405" t="s">
        <v>390</v>
      </c>
      <c r="U1405">
        <v>2.1004722461742865E-4</v>
      </c>
      <c r="V1405" t="s">
        <v>166</v>
      </c>
    </row>
    <row r="1406" spans="9:22" x14ac:dyDescent="0.45">
      <c r="I1406" t="s">
        <v>191</v>
      </c>
      <c r="J1406" t="s">
        <v>391</v>
      </c>
      <c r="K1406">
        <v>0</v>
      </c>
      <c r="L1406" t="s">
        <v>166</v>
      </c>
      <c r="N1406" t="s">
        <v>215</v>
      </c>
      <c r="O1406" t="s">
        <v>391</v>
      </c>
      <c r="P1406">
        <v>1.3227975853748635E-5</v>
      </c>
      <c r="Q1406" t="s">
        <v>166</v>
      </c>
      <c r="S1406" t="s">
        <v>232</v>
      </c>
      <c r="T1406" t="s">
        <v>391</v>
      </c>
      <c r="U1406">
        <v>2.254431590529737E-4</v>
      </c>
      <c r="V1406" t="s">
        <v>166</v>
      </c>
    </row>
    <row r="1407" spans="9:22" x14ac:dyDescent="0.45">
      <c r="I1407" t="s">
        <v>191</v>
      </c>
      <c r="J1407" t="s">
        <v>392</v>
      </c>
      <c r="K1407">
        <v>0</v>
      </c>
      <c r="L1407" t="s">
        <v>166</v>
      </c>
      <c r="N1407" t="s">
        <v>215</v>
      </c>
      <c r="O1407" t="s">
        <v>392</v>
      </c>
      <c r="P1407">
        <v>1.1434718068170276E-5</v>
      </c>
      <c r="Q1407" t="s">
        <v>166</v>
      </c>
      <c r="S1407" t="s">
        <v>232</v>
      </c>
      <c r="T1407" t="s">
        <v>392</v>
      </c>
      <c r="U1407">
        <v>2.075278803229632E-4</v>
      </c>
      <c r="V1407" t="s">
        <v>166</v>
      </c>
    </row>
    <row r="1408" spans="9:22" x14ac:dyDescent="0.45">
      <c r="I1408" t="s">
        <v>191</v>
      </c>
      <c r="J1408" t="s">
        <v>393</v>
      </c>
      <c r="K1408">
        <v>0</v>
      </c>
      <c r="L1408" t="s">
        <v>166</v>
      </c>
      <c r="N1408" t="s">
        <v>215</v>
      </c>
      <c r="O1408" t="s">
        <v>393</v>
      </c>
      <c r="P1408">
        <v>8.6911629972237677E-6</v>
      </c>
      <c r="Q1408" t="s">
        <v>166</v>
      </c>
      <c r="S1408" t="s">
        <v>232</v>
      </c>
      <c r="T1408" t="s">
        <v>393</v>
      </c>
      <c r="U1408">
        <v>1.681267564969676E-4</v>
      </c>
      <c r="V1408" t="s">
        <v>166</v>
      </c>
    </row>
    <row r="1409" spans="9:22" x14ac:dyDescent="0.45">
      <c r="I1409" t="s">
        <v>191</v>
      </c>
      <c r="J1409" t="s">
        <v>169</v>
      </c>
      <c r="K1409">
        <v>4.251324132182337E-3</v>
      </c>
      <c r="L1409" t="s">
        <v>166</v>
      </c>
      <c r="N1409" t="s">
        <v>215</v>
      </c>
      <c r="O1409" t="s">
        <v>169</v>
      </c>
      <c r="P1409">
        <v>9.533496561518702E-3</v>
      </c>
      <c r="Q1409" t="s">
        <v>166</v>
      </c>
      <c r="S1409" t="s">
        <v>232</v>
      </c>
      <c r="T1409" t="s">
        <v>169</v>
      </c>
      <c r="U1409">
        <v>1.490293476203956E-2</v>
      </c>
      <c r="V1409" t="s">
        <v>166</v>
      </c>
    </row>
    <row r="1410" spans="9:22" x14ac:dyDescent="0.45">
      <c r="I1410" t="s">
        <v>191</v>
      </c>
      <c r="J1410" t="s">
        <v>170</v>
      </c>
      <c r="K1410">
        <v>5.1084173878934592E-3</v>
      </c>
      <c r="L1410" t="s">
        <v>166</v>
      </c>
      <c r="N1410" t="s">
        <v>215</v>
      </c>
      <c r="O1410" t="s">
        <v>170</v>
      </c>
      <c r="P1410">
        <v>7.8291158719299579E-4</v>
      </c>
      <c r="Q1410" t="s">
        <v>166</v>
      </c>
      <c r="S1410" t="s">
        <v>232</v>
      </c>
      <c r="T1410" t="s">
        <v>170</v>
      </c>
      <c r="U1410">
        <v>1.1615802582974953E-3</v>
      </c>
      <c r="V1410" t="s">
        <v>166</v>
      </c>
    </row>
    <row r="1411" spans="9:22" x14ac:dyDescent="0.45">
      <c r="I1411" t="s">
        <v>191</v>
      </c>
      <c r="J1411" t="s">
        <v>171</v>
      </c>
      <c r="K1411">
        <v>7.2858238909998652E-2</v>
      </c>
      <c r="L1411" t="s">
        <v>166</v>
      </c>
      <c r="N1411" t="s">
        <v>215</v>
      </c>
      <c r="O1411" t="s">
        <v>171</v>
      </c>
      <c r="P1411">
        <v>1.1360582617245582E-2</v>
      </c>
      <c r="Q1411" t="s">
        <v>166</v>
      </c>
      <c r="S1411" t="s">
        <v>232</v>
      </c>
      <c r="T1411" t="s">
        <v>171</v>
      </c>
      <c r="U1411">
        <v>6.602973700274622E-3</v>
      </c>
      <c r="V1411" t="s">
        <v>166</v>
      </c>
    </row>
    <row r="1412" spans="9:22" x14ac:dyDescent="0.45">
      <c r="I1412" t="s">
        <v>191</v>
      </c>
      <c r="J1412" t="s">
        <v>261</v>
      </c>
      <c r="K1412">
        <v>8.908009124710882E-3</v>
      </c>
      <c r="L1412" t="s">
        <v>166</v>
      </c>
      <c r="N1412" t="s">
        <v>215</v>
      </c>
      <c r="O1412" t="s">
        <v>261</v>
      </c>
      <c r="P1412">
        <v>2.5452923718816225E-3</v>
      </c>
      <c r="Q1412" t="s">
        <v>166</v>
      </c>
      <c r="S1412" t="s">
        <v>232</v>
      </c>
      <c r="T1412" t="s">
        <v>261</v>
      </c>
      <c r="U1412">
        <v>1.5230217504039376E-3</v>
      </c>
      <c r="V1412" t="s">
        <v>166</v>
      </c>
    </row>
    <row r="1413" spans="9:22" x14ac:dyDescent="0.45">
      <c r="I1413" t="s">
        <v>191</v>
      </c>
      <c r="J1413" t="s">
        <v>262</v>
      </c>
      <c r="K1413">
        <v>1.1322856047520626E-2</v>
      </c>
      <c r="L1413" t="s">
        <v>166</v>
      </c>
      <c r="N1413" t="s">
        <v>215</v>
      </c>
      <c r="O1413" t="s">
        <v>262</v>
      </c>
      <c r="P1413">
        <v>4.205421912917816E-3</v>
      </c>
      <c r="Q1413" t="s">
        <v>166</v>
      </c>
      <c r="S1413" t="s">
        <v>232</v>
      </c>
      <c r="T1413" t="s">
        <v>262</v>
      </c>
      <c r="U1413">
        <v>3.6317672198699822E-3</v>
      </c>
      <c r="V1413" t="s">
        <v>166</v>
      </c>
    </row>
    <row r="1414" spans="9:22" x14ac:dyDescent="0.45">
      <c r="I1414" t="s">
        <v>191</v>
      </c>
      <c r="J1414" t="s">
        <v>263</v>
      </c>
      <c r="K1414">
        <v>3.0013666506317479E-5</v>
      </c>
      <c r="L1414" t="s">
        <v>166</v>
      </c>
      <c r="N1414" t="s">
        <v>215</v>
      </c>
      <c r="O1414" t="s">
        <v>263</v>
      </c>
      <c r="P1414">
        <v>8.3661420680624671E-3</v>
      </c>
      <c r="Q1414" t="s">
        <v>166</v>
      </c>
      <c r="S1414" t="s">
        <v>232</v>
      </c>
      <c r="T1414" t="s">
        <v>263</v>
      </c>
      <c r="U1414">
        <v>1.5256489901553557E-2</v>
      </c>
      <c r="V1414" t="s">
        <v>166</v>
      </c>
    </row>
    <row r="1415" spans="9:22" x14ac:dyDescent="0.45">
      <c r="I1415" t="s">
        <v>191</v>
      </c>
      <c r="J1415" t="s">
        <v>172</v>
      </c>
      <c r="K1415">
        <v>5.3128553319905115E-3</v>
      </c>
      <c r="L1415" t="s">
        <v>166</v>
      </c>
      <c r="N1415" t="s">
        <v>215</v>
      </c>
      <c r="O1415" t="s">
        <v>172</v>
      </c>
      <c r="P1415">
        <v>1.5698520538245719E-2</v>
      </c>
      <c r="Q1415" t="s">
        <v>166</v>
      </c>
      <c r="S1415" t="s">
        <v>232</v>
      </c>
      <c r="T1415" t="s">
        <v>172</v>
      </c>
      <c r="U1415">
        <v>1.8741033426126614E-2</v>
      </c>
      <c r="V1415" t="s">
        <v>166</v>
      </c>
    </row>
    <row r="1416" spans="9:22" x14ac:dyDescent="0.45">
      <c r="I1416" t="s">
        <v>191</v>
      </c>
      <c r="J1416" t="s">
        <v>173</v>
      </c>
      <c r="K1416">
        <v>6.2690061981540892E-3</v>
      </c>
      <c r="L1416" t="s">
        <v>166</v>
      </c>
      <c r="N1416" t="s">
        <v>215</v>
      </c>
      <c r="O1416" t="s">
        <v>173</v>
      </c>
      <c r="P1416">
        <v>1.6347671064524181E-3</v>
      </c>
      <c r="Q1416" t="s">
        <v>166</v>
      </c>
      <c r="S1416" t="s">
        <v>232</v>
      </c>
      <c r="T1416" t="s">
        <v>173</v>
      </c>
      <c r="U1416">
        <v>2.2512912597574442E-3</v>
      </c>
      <c r="V1416" t="s">
        <v>166</v>
      </c>
    </row>
    <row r="1417" spans="9:22" x14ac:dyDescent="0.45">
      <c r="I1417" t="s">
        <v>191</v>
      </c>
      <c r="J1417" t="s">
        <v>174</v>
      </c>
      <c r="K1417">
        <v>7.7690243464385855E-2</v>
      </c>
      <c r="L1417" t="s">
        <v>166</v>
      </c>
      <c r="N1417" t="s">
        <v>215</v>
      </c>
      <c r="O1417" t="s">
        <v>174</v>
      </c>
      <c r="P1417">
        <v>1.2977414083678453E-2</v>
      </c>
      <c r="Q1417" t="s">
        <v>166</v>
      </c>
      <c r="S1417" t="s">
        <v>232</v>
      </c>
      <c r="T1417" t="s">
        <v>174</v>
      </c>
      <c r="U1417">
        <v>1.5328953725148387E-2</v>
      </c>
      <c r="V1417" t="s">
        <v>166</v>
      </c>
    </row>
    <row r="1418" spans="9:22" x14ac:dyDescent="0.45">
      <c r="I1418" t="s">
        <v>191</v>
      </c>
      <c r="J1418" t="s">
        <v>264</v>
      </c>
      <c r="K1418">
        <v>8.1912947439453133E-3</v>
      </c>
      <c r="L1418" t="s">
        <v>166</v>
      </c>
      <c r="N1418" t="s">
        <v>215</v>
      </c>
      <c r="O1418" t="s">
        <v>264</v>
      </c>
      <c r="P1418">
        <v>2.0544199954332294E-3</v>
      </c>
      <c r="Q1418" t="s">
        <v>166</v>
      </c>
      <c r="S1418" t="s">
        <v>232</v>
      </c>
      <c r="T1418" t="s">
        <v>264</v>
      </c>
      <c r="U1418">
        <v>2.3315360178194945E-3</v>
      </c>
      <c r="V1418" t="s">
        <v>166</v>
      </c>
    </row>
    <row r="1419" spans="9:22" x14ac:dyDescent="0.45">
      <c r="I1419" t="s">
        <v>191</v>
      </c>
      <c r="J1419" t="s">
        <v>265</v>
      </c>
      <c r="K1419">
        <v>9.8537052921995778E-3</v>
      </c>
      <c r="L1419" t="s">
        <v>166</v>
      </c>
      <c r="N1419" t="s">
        <v>215</v>
      </c>
      <c r="O1419" t="s">
        <v>265</v>
      </c>
      <c r="P1419">
        <v>2.940663346568265E-3</v>
      </c>
      <c r="Q1419" t="s">
        <v>166</v>
      </c>
      <c r="S1419" t="s">
        <v>232</v>
      </c>
      <c r="T1419" t="s">
        <v>265</v>
      </c>
      <c r="U1419">
        <v>4.7649686998599543E-3</v>
      </c>
      <c r="V1419" t="s">
        <v>166</v>
      </c>
    </row>
    <row r="1420" spans="9:22" x14ac:dyDescent="0.45">
      <c r="I1420" t="s">
        <v>191</v>
      </c>
      <c r="J1420" t="s">
        <v>266</v>
      </c>
      <c r="K1420">
        <v>1.8225047060593238E-3</v>
      </c>
      <c r="L1420" t="s">
        <v>166</v>
      </c>
      <c r="N1420" t="s">
        <v>215</v>
      </c>
      <c r="O1420" t="s">
        <v>266</v>
      </c>
      <c r="P1420">
        <v>9.1551910823268554E-3</v>
      </c>
      <c r="Q1420" t="s">
        <v>166</v>
      </c>
      <c r="S1420" t="s">
        <v>232</v>
      </c>
      <c r="T1420" t="s">
        <v>266</v>
      </c>
      <c r="U1420">
        <v>1.4924786450822528E-2</v>
      </c>
      <c r="V1420" t="s">
        <v>166</v>
      </c>
    </row>
    <row r="1421" spans="9:22" x14ac:dyDescent="0.45">
      <c r="I1421" t="s">
        <v>191</v>
      </c>
      <c r="J1421" t="s">
        <v>175</v>
      </c>
      <c r="K1421">
        <v>1.7520443113079893E-3</v>
      </c>
      <c r="L1421" t="s">
        <v>166</v>
      </c>
      <c r="N1421" t="s">
        <v>215</v>
      </c>
      <c r="O1421" t="s">
        <v>175</v>
      </c>
      <c r="P1421">
        <v>1.3274244901380745E-2</v>
      </c>
      <c r="Q1421" t="s">
        <v>166</v>
      </c>
      <c r="S1421" t="s">
        <v>232</v>
      </c>
      <c r="T1421" t="s">
        <v>175</v>
      </c>
      <c r="U1421">
        <v>1.3220896940050424E-2</v>
      </c>
      <c r="V1421" t="s">
        <v>166</v>
      </c>
    </row>
    <row r="1422" spans="9:22" x14ac:dyDescent="0.45">
      <c r="I1422" t="s">
        <v>191</v>
      </c>
      <c r="J1422" t="s">
        <v>176</v>
      </c>
      <c r="K1422">
        <v>3.3506185522130653E-3</v>
      </c>
      <c r="L1422" t="s">
        <v>166</v>
      </c>
      <c r="N1422" t="s">
        <v>215</v>
      </c>
      <c r="O1422" t="s">
        <v>176</v>
      </c>
      <c r="P1422">
        <v>1.0755015921860088E-3</v>
      </c>
      <c r="Q1422" t="s">
        <v>166</v>
      </c>
      <c r="S1422" t="s">
        <v>232</v>
      </c>
      <c r="T1422" t="s">
        <v>176</v>
      </c>
      <c r="U1422">
        <v>9.950026359067277E-4</v>
      </c>
      <c r="V1422" t="s">
        <v>166</v>
      </c>
    </row>
    <row r="1423" spans="9:22" x14ac:dyDescent="0.45">
      <c r="I1423" t="s">
        <v>191</v>
      </c>
      <c r="J1423" t="s">
        <v>177</v>
      </c>
      <c r="K1423">
        <v>6.3081270340773335E-2</v>
      </c>
      <c r="L1423" t="s">
        <v>166</v>
      </c>
      <c r="N1423" t="s">
        <v>215</v>
      </c>
      <c r="O1423" t="s">
        <v>177</v>
      </c>
      <c r="P1423">
        <v>1.0540045182386659E-2</v>
      </c>
      <c r="Q1423" t="s">
        <v>166</v>
      </c>
      <c r="S1423" t="s">
        <v>232</v>
      </c>
      <c r="T1423" t="s">
        <v>177</v>
      </c>
      <c r="U1423">
        <v>6.3146513210404782E-3</v>
      </c>
      <c r="V1423" t="s">
        <v>166</v>
      </c>
    </row>
    <row r="1424" spans="9:22" x14ac:dyDescent="0.45">
      <c r="I1424" t="s">
        <v>191</v>
      </c>
      <c r="J1424" t="s">
        <v>267</v>
      </c>
      <c r="K1424">
        <v>7.4434159106254658E-3</v>
      </c>
      <c r="L1424" t="s">
        <v>166</v>
      </c>
      <c r="N1424" t="s">
        <v>215</v>
      </c>
      <c r="O1424" t="s">
        <v>267</v>
      </c>
      <c r="P1424">
        <v>1.4242383730945288E-3</v>
      </c>
      <c r="Q1424" t="s">
        <v>166</v>
      </c>
      <c r="S1424" t="s">
        <v>232</v>
      </c>
      <c r="T1424" t="s">
        <v>267</v>
      </c>
      <c r="U1424">
        <v>1.2295733757840595E-3</v>
      </c>
      <c r="V1424" t="s">
        <v>166</v>
      </c>
    </row>
    <row r="1425" spans="9:22" x14ac:dyDescent="0.45">
      <c r="I1425" t="s">
        <v>191</v>
      </c>
      <c r="J1425" t="s">
        <v>268</v>
      </c>
      <c r="K1425">
        <v>8.4115700377791029E-3</v>
      </c>
      <c r="L1425" t="s">
        <v>166</v>
      </c>
      <c r="N1425" t="s">
        <v>215</v>
      </c>
      <c r="O1425" t="s">
        <v>268</v>
      </c>
      <c r="P1425">
        <v>2.4020057339591513E-3</v>
      </c>
      <c r="Q1425" t="s">
        <v>166</v>
      </c>
      <c r="S1425" t="s">
        <v>232</v>
      </c>
      <c r="T1425" t="s">
        <v>268</v>
      </c>
      <c r="U1425">
        <v>2.5150046292780931E-3</v>
      </c>
      <c r="V1425" t="s">
        <v>166</v>
      </c>
    </row>
    <row r="1426" spans="9:22" x14ac:dyDescent="0.45">
      <c r="I1426" t="s">
        <v>191</v>
      </c>
      <c r="J1426" t="s">
        <v>269</v>
      </c>
      <c r="K1426">
        <v>1.4998581541141281E-3</v>
      </c>
      <c r="L1426" t="s">
        <v>166</v>
      </c>
      <c r="N1426" t="s">
        <v>215</v>
      </c>
      <c r="O1426" t="s">
        <v>269</v>
      </c>
      <c r="P1426">
        <v>8.3653203376241707E-3</v>
      </c>
      <c r="Q1426" t="s">
        <v>166</v>
      </c>
      <c r="S1426" t="s">
        <v>232</v>
      </c>
      <c r="T1426" t="s">
        <v>269</v>
      </c>
      <c r="U1426">
        <v>1.1736718259855327E-2</v>
      </c>
      <c r="V1426" t="s">
        <v>166</v>
      </c>
    </row>
    <row r="1427" spans="9:22" x14ac:dyDescent="0.45">
      <c r="I1427" t="s">
        <v>191</v>
      </c>
      <c r="J1427" t="s">
        <v>270</v>
      </c>
      <c r="K1427">
        <v>2.5635776307845813E-3</v>
      </c>
      <c r="L1427" t="s">
        <v>166</v>
      </c>
      <c r="N1427" t="s">
        <v>215</v>
      </c>
      <c r="O1427" t="s">
        <v>270</v>
      </c>
      <c r="P1427">
        <v>2.724261300567966E-2</v>
      </c>
      <c r="Q1427" t="s">
        <v>166</v>
      </c>
      <c r="S1427" t="s">
        <v>232</v>
      </c>
      <c r="T1427" t="s">
        <v>270</v>
      </c>
      <c r="U1427">
        <v>2.550616765956688E-2</v>
      </c>
      <c r="V1427" t="s">
        <v>166</v>
      </c>
    </row>
    <row r="1428" spans="9:22" x14ac:dyDescent="0.45">
      <c r="I1428" t="s">
        <v>191</v>
      </c>
      <c r="J1428" t="s">
        <v>271</v>
      </c>
      <c r="K1428">
        <v>5.3420777554119185E-3</v>
      </c>
      <c r="L1428" t="s">
        <v>166</v>
      </c>
      <c r="N1428" t="s">
        <v>215</v>
      </c>
      <c r="O1428" t="s">
        <v>271</v>
      </c>
      <c r="P1428">
        <v>2.4961577851812821E-3</v>
      </c>
      <c r="Q1428" t="s">
        <v>166</v>
      </c>
      <c r="S1428" t="s">
        <v>232</v>
      </c>
      <c r="T1428" t="s">
        <v>271</v>
      </c>
      <c r="U1428">
        <v>3.2396997631068307E-3</v>
      </c>
      <c r="V1428" t="s">
        <v>166</v>
      </c>
    </row>
    <row r="1429" spans="9:22" x14ac:dyDescent="0.45">
      <c r="I1429" t="s">
        <v>191</v>
      </c>
      <c r="J1429" t="s">
        <v>272</v>
      </c>
      <c r="K1429">
        <v>7.3430963954480302E-2</v>
      </c>
      <c r="L1429" t="s">
        <v>166</v>
      </c>
      <c r="N1429" t="s">
        <v>215</v>
      </c>
      <c r="O1429" t="s">
        <v>272</v>
      </c>
      <c r="P1429">
        <v>1.8072591353916641E-2</v>
      </c>
      <c r="Q1429" t="s">
        <v>166</v>
      </c>
      <c r="S1429" t="s">
        <v>232</v>
      </c>
      <c r="T1429" t="s">
        <v>272</v>
      </c>
      <c r="U1429">
        <v>1.9076090546482176E-2</v>
      </c>
      <c r="V1429" t="s">
        <v>166</v>
      </c>
    </row>
    <row r="1430" spans="9:22" x14ac:dyDescent="0.45">
      <c r="I1430" t="s">
        <v>191</v>
      </c>
      <c r="J1430" t="s">
        <v>273</v>
      </c>
      <c r="K1430">
        <v>8.1404504983943176E-3</v>
      </c>
      <c r="L1430" t="s">
        <v>166</v>
      </c>
      <c r="N1430" t="s">
        <v>215</v>
      </c>
      <c r="O1430" t="s">
        <v>273</v>
      </c>
      <c r="P1430">
        <v>2.3876096370094991E-3</v>
      </c>
      <c r="Q1430" t="s">
        <v>166</v>
      </c>
      <c r="S1430" t="s">
        <v>232</v>
      </c>
      <c r="T1430" t="s">
        <v>273</v>
      </c>
      <c r="U1430">
        <v>2.3684409001812241E-3</v>
      </c>
      <c r="V1430" t="s">
        <v>166</v>
      </c>
    </row>
    <row r="1431" spans="9:22" x14ac:dyDescent="0.45">
      <c r="I1431" t="s">
        <v>191</v>
      </c>
      <c r="J1431" t="s">
        <v>274</v>
      </c>
      <c r="K1431">
        <v>8.6116170524635476E-3</v>
      </c>
      <c r="L1431" t="s">
        <v>166</v>
      </c>
      <c r="N1431" t="s">
        <v>215</v>
      </c>
      <c r="O1431" t="s">
        <v>274</v>
      </c>
      <c r="P1431">
        <v>4.958457754466631E-3</v>
      </c>
      <c r="Q1431" t="s">
        <v>166</v>
      </c>
      <c r="S1431" t="s">
        <v>232</v>
      </c>
      <c r="T1431" t="s">
        <v>274</v>
      </c>
      <c r="U1431">
        <v>5.0098482786577582E-3</v>
      </c>
      <c r="V1431" t="s">
        <v>166</v>
      </c>
    </row>
    <row r="1432" spans="9:22" x14ac:dyDescent="0.45">
      <c r="I1432" t="s">
        <v>191</v>
      </c>
      <c r="J1432" t="s">
        <v>275</v>
      </c>
      <c r="K1432">
        <v>9.1555396697943673E-5</v>
      </c>
      <c r="L1432" t="s">
        <v>166</v>
      </c>
      <c r="N1432" t="s">
        <v>215</v>
      </c>
      <c r="O1432" t="s">
        <v>275</v>
      </c>
      <c r="P1432">
        <v>1.8574989049145701E-2</v>
      </c>
      <c r="Q1432" t="s">
        <v>166</v>
      </c>
      <c r="S1432" t="s">
        <v>232</v>
      </c>
      <c r="T1432" t="s">
        <v>275</v>
      </c>
      <c r="U1432">
        <v>1.4013246879785059E-2</v>
      </c>
      <c r="V1432" t="s">
        <v>166</v>
      </c>
    </row>
    <row r="1433" spans="9:22" x14ac:dyDescent="0.45">
      <c r="I1433" t="s">
        <v>191</v>
      </c>
      <c r="J1433" t="s">
        <v>276</v>
      </c>
      <c r="K1433">
        <v>6.7127753764285219E-3</v>
      </c>
      <c r="L1433" t="s">
        <v>166</v>
      </c>
      <c r="N1433" t="s">
        <v>215</v>
      </c>
      <c r="O1433" t="s">
        <v>276</v>
      </c>
      <c r="P1433">
        <v>3.8356305045070226E-2</v>
      </c>
      <c r="Q1433" t="s">
        <v>166</v>
      </c>
      <c r="S1433" t="s">
        <v>232</v>
      </c>
      <c r="T1433" t="s">
        <v>276</v>
      </c>
      <c r="U1433">
        <v>4.8815243638933518E-2</v>
      </c>
      <c r="V1433" t="s">
        <v>166</v>
      </c>
    </row>
    <row r="1434" spans="9:22" x14ac:dyDescent="0.45">
      <c r="I1434" t="s">
        <v>191</v>
      </c>
      <c r="J1434" t="s">
        <v>277</v>
      </c>
      <c r="K1434">
        <v>1.2642887357299508E-2</v>
      </c>
      <c r="L1434" t="s">
        <v>166</v>
      </c>
      <c r="N1434" t="s">
        <v>215</v>
      </c>
      <c r="O1434" t="s">
        <v>277</v>
      </c>
      <c r="P1434">
        <v>5.201873921378327E-3</v>
      </c>
      <c r="Q1434" t="s">
        <v>166</v>
      </c>
      <c r="S1434" t="s">
        <v>232</v>
      </c>
      <c r="T1434" t="s">
        <v>277</v>
      </c>
      <c r="U1434">
        <v>6.5395229432487212E-3</v>
      </c>
      <c r="V1434" t="s">
        <v>166</v>
      </c>
    </row>
    <row r="1435" spans="9:22" x14ac:dyDescent="0.45">
      <c r="I1435" t="s">
        <v>191</v>
      </c>
      <c r="J1435" t="s">
        <v>278</v>
      </c>
      <c r="K1435">
        <v>0.14190290758360269</v>
      </c>
      <c r="L1435" t="s">
        <v>166</v>
      </c>
      <c r="N1435" t="s">
        <v>215</v>
      </c>
      <c r="O1435" t="s">
        <v>278</v>
      </c>
      <c r="P1435">
        <v>5.2914849759546197E-2</v>
      </c>
      <c r="Q1435" t="s">
        <v>166</v>
      </c>
      <c r="S1435" t="s">
        <v>232</v>
      </c>
      <c r="T1435" t="s">
        <v>278</v>
      </c>
      <c r="U1435">
        <v>4.5217404474223587E-2</v>
      </c>
      <c r="V1435" t="s">
        <v>166</v>
      </c>
    </row>
    <row r="1436" spans="9:22" x14ac:dyDescent="0.45">
      <c r="I1436" t="s">
        <v>191</v>
      </c>
      <c r="J1436" t="s">
        <v>279</v>
      </c>
      <c r="K1436">
        <v>1.476608384042314E-2</v>
      </c>
      <c r="L1436" t="s">
        <v>166</v>
      </c>
      <c r="N1436" t="s">
        <v>215</v>
      </c>
      <c r="O1436" t="s">
        <v>279</v>
      </c>
      <c r="P1436">
        <v>8.0881867769856917E-3</v>
      </c>
      <c r="Q1436" t="s">
        <v>166</v>
      </c>
      <c r="S1436" t="s">
        <v>232</v>
      </c>
      <c r="T1436" t="s">
        <v>279</v>
      </c>
      <c r="U1436">
        <v>6.9313195846844328E-3</v>
      </c>
      <c r="V1436" t="s">
        <v>166</v>
      </c>
    </row>
    <row r="1437" spans="9:22" x14ac:dyDescent="0.45">
      <c r="I1437" t="s">
        <v>191</v>
      </c>
      <c r="J1437" t="s">
        <v>280</v>
      </c>
      <c r="K1437">
        <v>1.5262002886313727E-2</v>
      </c>
      <c r="L1437" t="s">
        <v>166</v>
      </c>
      <c r="N1437" t="s">
        <v>215</v>
      </c>
      <c r="O1437" t="s">
        <v>280</v>
      </c>
      <c r="P1437">
        <v>1.2299383108426406E-2</v>
      </c>
      <c r="Q1437" t="s">
        <v>166</v>
      </c>
      <c r="S1437" t="s">
        <v>232</v>
      </c>
      <c r="T1437" t="s">
        <v>280</v>
      </c>
      <c r="U1437">
        <v>1.2519575317157697E-2</v>
      </c>
      <c r="V1437" t="s">
        <v>166</v>
      </c>
    </row>
    <row r="1438" spans="9:22" x14ac:dyDescent="0.45">
      <c r="I1438" t="s">
        <v>191</v>
      </c>
      <c r="J1438" t="s">
        <v>281</v>
      </c>
      <c r="K1438">
        <v>0</v>
      </c>
      <c r="L1438" t="s">
        <v>166</v>
      </c>
      <c r="N1438" t="s">
        <v>215</v>
      </c>
      <c r="O1438" t="s">
        <v>281</v>
      </c>
      <c r="P1438">
        <v>2.4955872938696985E-2</v>
      </c>
      <c r="Q1438" t="s">
        <v>166</v>
      </c>
      <c r="S1438" t="s">
        <v>232</v>
      </c>
      <c r="T1438" t="s">
        <v>281</v>
      </c>
      <c r="U1438">
        <v>3.596331339513352E-2</v>
      </c>
      <c r="V1438" t="s">
        <v>166</v>
      </c>
    </row>
    <row r="1439" spans="9:22" x14ac:dyDescent="0.45">
      <c r="I1439" t="s">
        <v>191</v>
      </c>
      <c r="J1439" t="s">
        <v>282</v>
      </c>
      <c r="K1439">
        <v>1.6860971192091418E-3</v>
      </c>
      <c r="L1439" t="s">
        <v>166</v>
      </c>
      <c r="N1439" t="s">
        <v>215</v>
      </c>
      <c r="O1439" t="s">
        <v>282</v>
      </c>
      <c r="P1439">
        <v>4.26062517684365E-2</v>
      </c>
      <c r="Q1439" t="s">
        <v>166</v>
      </c>
      <c r="S1439" t="s">
        <v>232</v>
      </c>
      <c r="T1439" t="s">
        <v>282</v>
      </c>
      <c r="U1439">
        <v>4.1952581443772612E-2</v>
      </c>
      <c r="V1439" t="s">
        <v>166</v>
      </c>
    </row>
    <row r="1440" spans="9:22" x14ac:dyDescent="0.45">
      <c r="I1440" t="s">
        <v>191</v>
      </c>
      <c r="J1440" t="s">
        <v>283</v>
      </c>
      <c r="K1440">
        <v>3.7292459833729204E-3</v>
      </c>
      <c r="L1440" t="s">
        <v>166</v>
      </c>
      <c r="N1440" t="s">
        <v>215</v>
      </c>
      <c r="O1440" t="s">
        <v>283</v>
      </c>
      <c r="P1440">
        <v>6.1627406844059649E-3</v>
      </c>
      <c r="Q1440" t="s">
        <v>166</v>
      </c>
      <c r="S1440" t="s">
        <v>232</v>
      </c>
      <c r="T1440" t="s">
        <v>283</v>
      </c>
      <c r="U1440">
        <v>5.554920789403975E-3</v>
      </c>
      <c r="V1440" t="s">
        <v>166</v>
      </c>
    </row>
    <row r="1441" spans="9:22" x14ac:dyDescent="0.45">
      <c r="I1441" t="s">
        <v>191</v>
      </c>
      <c r="J1441" t="s">
        <v>284</v>
      </c>
      <c r="K1441">
        <v>5.2092938050979469E-2</v>
      </c>
      <c r="L1441" t="s">
        <v>166</v>
      </c>
      <c r="N1441" t="s">
        <v>215</v>
      </c>
      <c r="O1441" t="s">
        <v>284</v>
      </c>
      <c r="P1441">
        <v>5.1827856843682289E-2</v>
      </c>
      <c r="Q1441" t="s">
        <v>166</v>
      </c>
      <c r="S1441" t="s">
        <v>232</v>
      </c>
      <c r="T1441" t="s">
        <v>284</v>
      </c>
      <c r="U1441">
        <v>3.9085757013382641E-2</v>
      </c>
      <c r="V1441" t="s">
        <v>166</v>
      </c>
    </row>
    <row r="1442" spans="9:22" x14ac:dyDescent="0.45">
      <c r="I1442" t="s">
        <v>191</v>
      </c>
      <c r="J1442" t="s">
        <v>285</v>
      </c>
      <c r="K1442">
        <v>5.0857231890718245E-3</v>
      </c>
      <c r="L1442" t="s">
        <v>166</v>
      </c>
      <c r="N1442" t="s">
        <v>215</v>
      </c>
      <c r="O1442" t="s">
        <v>285</v>
      </c>
      <c r="P1442">
        <v>6.8642777359257789E-3</v>
      </c>
      <c r="Q1442" t="s">
        <v>166</v>
      </c>
      <c r="S1442" t="s">
        <v>232</v>
      </c>
      <c r="T1442" t="s">
        <v>285</v>
      </c>
      <c r="U1442">
        <v>5.9012693717392477E-3</v>
      </c>
      <c r="V1442" t="s">
        <v>166</v>
      </c>
    </row>
    <row r="1443" spans="9:22" x14ac:dyDescent="0.45">
      <c r="I1443" t="s">
        <v>191</v>
      </c>
      <c r="J1443" t="s">
        <v>286</v>
      </c>
      <c r="K1443">
        <v>3.1379948980777084E-3</v>
      </c>
      <c r="L1443" t="s">
        <v>166</v>
      </c>
      <c r="N1443" t="s">
        <v>215</v>
      </c>
      <c r="O1443" t="s">
        <v>286</v>
      </c>
      <c r="P1443">
        <v>1.1135755157299585E-2</v>
      </c>
      <c r="Q1443" t="s">
        <v>166</v>
      </c>
      <c r="S1443" t="s">
        <v>232</v>
      </c>
      <c r="T1443" t="s">
        <v>286</v>
      </c>
      <c r="U1443">
        <v>1.067853925021384E-2</v>
      </c>
      <c r="V1443" t="s">
        <v>166</v>
      </c>
    </row>
    <row r="1444" spans="9:22" x14ac:dyDescent="0.45">
      <c r="I1444" t="s">
        <v>191</v>
      </c>
      <c r="J1444" t="s">
        <v>287</v>
      </c>
      <c r="K1444">
        <v>0</v>
      </c>
      <c r="L1444" t="s">
        <v>166</v>
      </c>
      <c r="N1444" t="s">
        <v>215</v>
      </c>
      <c r="O1444" t="s">
        <v>287</v>
      </c>
      <c r="P1444">
        <v>2.6383517057117306E-2</v>
      </c>
      <c r="Q1444" t="s">
        <v>166</v>
      </c>
      <c r="S1444" t="s">
        <v>232</v>
      </c>
      <c r="T1444" t="s">
        <v>287</v>
      </c>
      <c r="U1444">
        <v>2.9762704368244595E-2</v>
      </c>
      <c r="V1444" t="s">
        <v>166</v>
      </c>
    </row>
    <row r="1445" spans="9:22" x14ac:dyDescent="0.45">
      <c r="I1445" t="s">
        <v>191</v>
      </c>
      <c r="J1445" t="s">
        <v>288</v>
      </c>
      <c r="K1445">
        <v>7.4051692597569378E-4</v>
      </c>
      <c r="L1445" t="s">
        <v>166</v>
      </c>
      <c r="N1445" t="s">
        <v>215</v>
      </c>
      <c r="O1445" t="s">
        <v>288</v>
      </c>
      <c r="P1445">
        <v>6.5114428501523491E-2</v>
      </c>
      <c r="Q1445" t="s">
        <v>166</v>
      </c>
      <c r="S1445" t="s">
        <v>232</v>
      </c>
      <c r="T1445" t="s">
        <v>288</v>
      </c>
      <c r="U1445">
        <v>2.8894754946999546E-2</v>
      </c>
      <c r="V1445" t="s">
        <v>166</v>
      </c>
    </row>
    <row r="1446" spans="9:22" x14ac:dyDescent="0.45">
      <c r="I1446" t="s">
        <v>191</v>
      </c>
      <c r="J1446" t="s">
        <v>289</v>
      </c>
      <c r="K1446">
        <v>6.8946581404846843E-3</v>
      </c>
      <c r="L1446" t="s">
        <v>166</v>
      </c>
      <c r="N1446" t="s">
        <v>215</v>
      </c>
      <c r="O1446" t="s">
        <v>289</v>
      </c>
      <c r="P1446">
        <v>9.2087109303293658E-3</v>
      </c>
      <c r="Q1446" t="s">
        <v>166</v>
      </c>
      <c r="S1446" t="s">
        <v>232</v>
      </c>
      <c r="T1446" t="s">
        <v>289</v>
      </c>
      <c r="U1446">
        <v>4.359154668544956E-3</v>
      </c>
      <c r="V1446" t="s">
        <v>166</v>
      </c>
    </row>
    <row r="1447" spans="9:22" x14ac:dyDescent="0.45">
      <c r="I1447" t="s">
        <v>191</v>
      </c>
      <c r="J1447" t="s">
        <v>290</v>
      </c>
      <c r="K1447">
        <v>8.2656223853633651E-2</v>
      </c>
      <c r="L1447" t="s">
        <v>166</v>
      </c>
      <c r="N1447" t="s">
        <v>215</v>
      </c>
      <c r="O1447" t="s">
        <v>290</v>
      </c>
      <c r="P1447">
        <v>7.5155547411386192E-2</v>
      </c>
      <c r="Q1447" t="s">
        <v>166</v>
      </c>
      <c r="S1447" t="s">
        <v>232</v>
      </c>
      <c r="T1447" t="s">
        <v>290</v>
      </c>
      <c r="U1447">
        <v>2.7363353126890796E-2</v>
      </c>
      <c r="V1447" t="s">
        <v>166</v>
      </c>
    </row>
    <row r="1448" spans="9:22" x14ac:dyDescent="0.45">
      <c r="I1448" t="s">
        <v>191</v>
      </c>
      <c r="J1448" t="s">
        <v>291</v>
      </c>
      <c r="K1448">
        <v>8.6327705789838779E-3</v>
      </c>
      <c r="L1448" t="s">
        <v>166</v>
      </c>
      <c r="N1448" t="s">
        <v>215</v>
      </c>
      <c r="O1448" t="s">
        <v>291</v>
      </c>
      <c r="P1448">
        <v>1.0540391785378939E-2</v>
      </c>
      <c r="Q1448" t="s">
        <v>166</v>
      </c>
      <c r="S1448" t="s">
        <v>232</v>
      </c>
      <c r="T1448" t="s">
        <v>291</v>
      </c>
      <c r="U1448">
        <v>3.44050761128166E-3</v>
      </c>
      <c r="V1448" t="s">
        <v>166</v>
      </c>
    </row>
    <row r="1449" spans="9:22" x14ac:dyDescent="0.45">
      <c r="I1449" t="s">
        <v>191</v>
      </c>
      <c r="J1449" t="s">
        <v>292</v>
      </c>
      <c r="K1449">
        <v>5.353897304863779E-3</v>
      </c>
      <c r="L1449" t="s">
        <v>166</v>
      </c>
      <c r="N1449" t="s">
        <v>215</v>
      </c>
      <c r="O1449" t="s">
        <v>292</v>
      </c>
      <c r="P1449">
        <v>1.6153059871908303E-2</v>
      </c>
      <c r="Q1449" t="s">
        <v>166</v>
      </c>
      <c r="S1449" t="s">
        <v>232</v>
      </c>
      <c r="T1449" t="s">
        <v>292</v>
      </c>
      <c r="U1449">
        <v>5.6612014511313348E-3</v>
      </c>
      <c r="V1449" t="s">
        <v>166</v>
      </c>
    </row>
    <row r="1450" spans="9:22" x14ac:dyDescent="0.45">
      <c r="I1450" t="s">
        <v>191</v>
      </c>
      <c r="J1450" t="s">
        <v>293</v>
      </c>
      <c r="K1450">
        <v>0</v>
      </c>
      <c r="L1450" t="s">
        <v>166</v>
      </c>
      <c r="N1450" t="s">
        <v>215</v>
      </c>
      <c r="O1450" t="s">
        <v>293</v>
      </c>
      <c r="P1450">
        <v>3.7673599884085272E-2</v>
      </c>
      <c r="Q1450" t="s">
        <v>166</v>
      </c>
      <c r="S1450" t="s">
        <v>232</v>
      </c>
      <c r="T1450" t="s">
        <v>293</v>
      </c>
      <c r="U1450">
        <v>1.4366289145933044E-2</v>
      </c>
      <c r="V1450" t="s">
        <v>166</v>
      </c>
    </row>
    <row r="1451" spans="9:22" x14ac:dyDescent="0.45">
      <c r="I1451" t="s">
        <v>192</v>
      </c>
      <c r="J1451" t="s">
        <v>165</v>
      </c>
      <c r="K1451">
        <v>4.4677042108958636E-3</v>
      </c>
      <c r="L1451" t="s">
        <v>166</v>
      </c>
      <c r="N1451" t="s">
        <v>216</v>
      </c>
      <c r="O1451" t="s">
        <v>165</v>
      </c>
      <c r="P1451">
        <v>0.11512753285112591</v>
      </c>
      <c r="Q1451" t="s">
        <v>166</v>
      </c>
      <c r="S1451" t="s">
        <v>233</v>
      </c>
      <c r="T1451" t="s">
        <v>165</v>
      </c>
      <c r="U1451">
        <v>0.1342674411155178</v>
      </c>
      <c r="V1451" t="s">
        <v>166</v>
      </c>
    </row>
    <row r="1452" spans="9:22" x14ac:dyDescent="0.45">
      <c r="I1452" t="s">
        <v>192</v>
      </c>
      <c r="J1452" t="s">
        <v>167</v>
      </c>
      <c r="K1452">
        <v>1.2638171893826244E-2</v>
      </c>
      <c r="L1452" t="s">
        <v>166</v>
      </c>
      <c r="N1452" t="s">
        <v>216</v>
      </c>
      <c r="O1452" t="s">
        <v>167</v>
      </c>
      <c r="P1452">
        <v>1.3803438181699873E-2</v>
      </c>
      <c r="Q1452" t="s">
        <v>166</v>
      </c>
      <c r="S1452" t="s">
        <v>233</v>
      </c>
      <c r="T1452" t="s">
        <v>167</v>
      </c>
      <c r="U1452">
        <v>1.6491742249708882E-2</v>
      </c>
      <c r="V1452" t="s">
        <v>166</v>
      </c>
    </row>
    <row r="1453" spans="9:22" x14ac:dyDescent="0.45">
      <c r="I1453" t="s">
        <v>192</v>
      </c>
      <c r="J1453" t="s">
        <v>168</v>
      </c>
      <c r="K1453">
        <v>0.22749372265707712</v>
      </c>
      <c r="L1453" t="s">
        <v>166</v>
      </c>
      <c r="N1453" t="s">
        <v>216</v>
      </c>
      <c r="O1453" t="s">
        <v>168</v>
      </c>
      <c r="P1453">
        <v>0.1147306093762684</v>
      </c>
      <c r="Q1453" t="s">
        <v>166</v>
      </c>
      <c r="S1453" t="s">
        <v>233</v>
      </c>
      <c r="T1453" t="s">
        <v>168</v>
      </c>
      <c r="U1453">
        <v>0.10706386528310487</v>
      </c>
      <c r="V1453" t="s">
        <v>166</v>
      </c>
    </row>
    <row r="1454" spans="9:22" x14ac:dyDescent="0.45">
      <c r="I1454" t="s">
        <v>192</v>
      </c>
      <c r="J1454" t="s">
        <v>258</v>
      </c>
      <c r="K1454">
        <v>2.9213454447615084E-2</v>
      </c>
      <c r="L1454" t="s">
        <v>166</v>
      </c>
      <c r="N1454" t="s">
        <v>216</v>
      </c>
      <c r="O1454" t="s">
        <v>258</v>
      </c>
      <c r="P1454">
        <v>2.0498049085884575E-2</v>
      </c>
      <c r="Q1454" t="s">
        <v>166</v>
      </c>
      <c r="S1454" t="s">
        <v>233</v>
      </c>
      <c r="T1454" t="s">
        <v>258</v>
      </c>
      <c r="U1454">
        <v>1.5045738417776683E-2</v>
      </c>
      <c r="V1454" t="s">
        <v>166</v>
      </c>
    </row>
    <row r="1455" spans="9:22" x14ac:dyDescent="0.45">
      <c r="I1455" t="s">
        <v>192</v>
      </c>
      <c r="J1455" t="s">
        <v>259</v>
      </c>
      <c r="K1455">
        <v>3.6267648639433332E-2</v>
      </c>
      <c r="L1455" t="s">
        <v>166</v>
      </c>
      <c r="N1455" t="s">
        <v>216</v>
      </c>
      <c r="O1455" t="s">
        <v>259</v>
      </c>
      <c r="P1455">
        <v>3.5683607817656192E-2</v>
      </c>
      <c r="Q1455" t="s">
        <v>166</v>
      </c>
      <c r="S1455" t="s">
        <v>233</v>
      </c>
      <c r="T1455" t="s">
        <v>259</v>
      </c>
      <c r="U1455">
        <v>2.7466804103186526E-2</v>
      </c>
      <c r="V1455" t="s">
        <v>166</v>
      </c>
    </row>
    <row r="1456" spans="9:22" x14ac:dyDescent="0.45">
      <c r="I1456" t="s">
        <v>192</v>
      </c>
      <c r="J1456" t="s">
        <v>260</v>
      </c>
      <c r="K1456">
        <v>0</v>
      </c>
      <c r="L1456" t="s">
        <v>166</v>
      </c>
      <c r="N1456" t="s">
        <v>216</v>
      </c>
      <c r="O1456" t="s">
        <v>260</v>
      </c>
      <c r="P1456">
        <v>8.6831967904252391E-2</v>
      </c>
      <c r="Q1456" t="s">
        <v>166</v>
      </c>
      <c r="S1456" t="s">
        <v>233</v>
      </c>
      <c r="T1456" t="s">
        <v>260</v>
      </c>
      <c r="U1456">
        <v>8.3048368378483756E-2</v>
      </c>
      <c r="V1456" t="s">
        <v>166</v>
      </c>
    </row>
    <row r="1457" spans="9:22" x14ac:dyDescent="0.45">
      <c r="I1457" t="s">
        <v>192</v>
      </c>
      <c r="J1457" t="s">
        <v>346</v>
      </c>
      <c r="K1457">
        <v>0</v>
      </c>
      <c r="L1457" t="s">
        <v>166</v>
      </c>
      <c r="N1457" t="s">
        <v>216</v>
      </c>
      <c r="O1457" t="s">
        <v>346</v>
      </c>
      <c r="P1457">
        <v>5.0145222126978441E-5</v>
      </c>
      <c r="Q1457" t="s">
        <v>166</v>
      </c>
      <c r="S1457" t="s">
        <v>233</v>
      </c>
      <c r="T1457" t="s">
        <v>346</v>
      </c>
      <c r="U1457">
        <v>1.1410749872591064E-4</v>
      </c>
      <c r="V1457" t="s">
        <v>166</v>
      </c>
    </row>
    <row r="1458" spans="9:22" x14ac:dyDescent="0.45">
      <c r="I1458" t="s">
        <v>192</v>
      </c>
      <c r="J1458" t="s">
        <v>347</v>
      </c>
      <c r="K1458">
        <v>0</v>
      </c>
      <c r="L1458" t="s">
        <v>166</v>
      </c>
      <c r="N1458" t="s">
        <v>216</v>
      </c>
      <c r="O1458" t="s">
        <v>347</v>
      </c>
      <c r="P1458">
        <v>4.2014359032212375E-5</v>
      </c>
      <c r="Q1458" t="s">
        <v>166</v>
      </c>
      <c r="S1458" t="s">
        <v>233</v>
      </c>
      <c r="T1458" t="s">
        <v>347</v>
      </c>
      <c r="U1458">
        <v>1.0346738540992682E-4</v>
      </c>
      <c r="V1458" t="s">
        <v>166</v>
      </c>
    </row>
    <row r="1459" spans="9:22" x14ac:dyDescent="0.45">
      <c r="I1459" t="s">
        <v>192</v>
      </c>
      <c r="J1459" t="s">
        <v>348</v>
      </c>
      <c r="K1459">
        <v>0</v>
      </c>
      <c r="L1459" t="s">
        <v>166</v>
      </c>
      <c r="N1459" t="s">
        <v>216</v>
      </c>
      <c r="O1459" t="s">
        <v>348</v>
      </c>
      <c r="P1459">
        <v>3.5073392834091639E-5</v>
      </c>
      <c r="Q1459" t="s">
        <v>166</v>
      </c>
      <c r="S1459" t="s">
        <v>233</v>
      </c>
      <c r="T1459" t="s">
        <v>348</v>
      </c>
      <c r="U1459">
        <v>9.7595151300151515E-5</v>
      </c>
      <c r="V1459" t="s">
        <v>166</v>
      </c>
    </row>
    <row r="1460" spans="9:22" x14ac:dyDescent="0.45">
      <c r="I1460" t="s">
        <v>192</v>
      </c>
      <c r="J1460" t="s">
        <v>349</v>
      </c>
      <c r="K1460">
        <v>0</v>
      </c>
      <c r="L1460" t="s">
        <v>166</v>
      </c>
      <c r="N1460" t="s">
        <v>216</v>
      </c>
      <c r="O1460" t="s">
        <v>349</v>
      </c>
      <c r="P1460">
        <v>3.5200428553492215E-5</v>
      </c>
      <c r="Q1460" t="s">
        <v>166</v>
      </c>
      <c r="S1460" t="s">
        <v>233</v>
      </c>
      <c r="T1460" t="s">
        <v>349</v>
      </c>
      <c r="U1460">
        <v>1.0043564266454033E-4</v>
      </c>
      <c r="V1460" t="s">
        <v>166</v>
      </c>
    </row>
    <row r="1461" spans="9:22" x14ac:dyDescent="0.45">
      <c r="I1461" t="s">
        <v>192</v>
      </c>
      <c r="J1461" t="s">
        <v>350</v>
      </c>
      <c r="K1461">
        <v>0</v>
      </c>
      <c r="L1461" t="s">
        <v>166</v>
      </c>
      <c r="N1461" t="s">
        <v>216</v>
      </c>
      <c r="O1461" t="s">
        <v>350</v>
      </c>
      <c r="P1461">
        <v>4.0260623444193681E-5</v>
      </c>
      <c r="Q1461" t="s">
        <v>166</v>
      </c>
      <c r="S1461" t="s">
        <v>233</v>
      </c>
      <c r="T1461" t="s">
        <v>350</v>
      </c>
      <c r="U1461">
        <v>1.1130168585745144E-4</v>
      </c>
      <c r="V1461" t="s">
        <v>166</v>
      </c>
    </row>
    <row r="1462" spans="9:22" x14ac:dyDescent="0.45">
      <c r="I1462" t="s">
        <v>192</v>
      </c>
      <c r="J1462" t="s">
        <v>351</v>
      </c>
      <c r="K1462">
        <v>0</v>
      </c>
      <c r="L1462" t="s">
        <v>166</v>
      </c>
      <c r="N1462" t="s">
        <v>216</v>
      </c>
      <c r="O1462" t="s">
        <v>351</v>
      </c>
      <c r="P1462">
        <v>2.5728297668826252E-5</v>
      </c>
      <c r="Q1462" t="s">
        <v>166</v>
      </c>
      <c r="S1462" t="s">
        <v>233</v>
      </c>
      <c r="T1462" t="s">
        <v>351</v>
      </c>
      <c r="U1462">
        <v>9.3471875324088548E-5</v>
      </c>
      <c r="V1462" t="s">
        <v>166</v>
      </c>
    </row>
    <row r="1463" spans="9:22" x14ac:dyDescent="0.45">
      <c r="I1463" t="s">
        <v>192</v>
      </c>
      <c r="J1463" t="s">
        <v>352</v>
      </c>
      <c r="K1463">
        <v>0</v>
      </c>
      <c r="L1463" t="s">
        <v>166</v>
      </c>
      <c r="N1463" t="s">
        <v>216</v>
      </c>
      <c r="O1463" t="s">
        <v>352</v>
      </c>
      <c r="P1463">
        <v>2.9601759987289145E-5</v>
      </c>
      <c r="Q1463" t="s">
        <v>166</v>
      </c>
      <c r="S1463" t="s">
        <v>233</v>
      </c>
      <c r="T1463" t="s">
        <v>352</v>
      </c>
      <c r="U1463">
        <v>1.0044165329174792E-4</v>
      </c>
      <c r="V1463" t="s">
        <v>166</v>
      </c>
    </row>
    <row r="1464" spans="9:22" x14ac:dyDescent="0.45">
      <c r="I1464" t="s">
        <v>192</v>
      </c>
      <c r="J1464" t="s">
        <v>353</v>
      </c>
      <c r="K1464">
        <v>0</v>
      </c>
      <c r="L1464" t="s">
        <v>166</v>
      </c>
      <c r="N1464" t="s">
        <v>216</v>
      </c>
      <c r="O1464" t="s">
        <v>353</v>
      </c>
      <c r="P1464">
        <v>4.2756207820455054E-5</v>
      </c>
      <c r="Q1464" t="s">
        <v>166</v>
      </c>
      <c r="S1464" t="s">
        <v>233</v>
      </c>
      <c r="T1464" t="s">
        <v>353</v>
      </c>
      <c r="U1464">
        <v>1.2002361521764363E-4</v>
      </c>
      <c r="V1464" t="s">
        <v>166</v>
      </c>
    </row>
    <row r="1465" spans="9:22" x14ac:dyDescent="0.45">
      <c r="I1465" t="s">
        <v>192</v>
      </c>
      <c r="J1465" t="s">
        <v>354</v>
      </c>
      <c r="K1465">
        <v>1.9372867903787369E-5</v>
      </c>
      <c r="L1465" t="s">
        <v>166</v>
      </c>
      <c r="N1465" t="s">
        <v>216</v>
      </c>
      <c r="O1465" t="s">
        <v>354</v>
      </c>
      <c r="P1465">
        <v>5.0645709383379133E-5</v>
      </c>
      <c r="Q1465" t="s">
        <v>166</v>
      </c>
      <c r="S1465" t="s">
        <v>233</v>
      </c>
      <c r="T1465" t="s">
        <v>354</v>
      </c>
      <c r="U1465">
        <v>1.3747000338248548E-4</v>
      </c>
      <c r="V1465" t="s">
        <v>166</v>
      </c>
    </row>
    <row r="1466" spans="9:22" x14ac:dyDescent="0.45">
      <c r="I1466" t="s">
        <v>192</v>
      </c>
      <c r="J1466" t="s">
        <v>355</v>
      </c>
      <c r="K1466">
        <v>4.0469676826444176E-5</v>
      </c>
      <c r="L1466" t="s">
        <v>166</v>
      </c>
      <c r="N1466" t="s">
        <v>216</v>
      </c>
      <c r="O1466" t="s">
        <v>355</v>
      </c>
      <c r="P1466">
        <v>4.9451014219409929E-5</v>
      </c>
      <c r="Q1466" t="s">
        <v>166</v>
      </c>
      <c r="S1466" t="s">
        <v>233</v>
      </c>
      <c r="T1466" t="s">
        <v>355</v>
      </c>
      <c r="U1466">
        <v>1.430796204757755E-4</v>
      </c>
      <c r="V1466" t="s">
        <v>166</v>
      </c>
    </row>
    <row r="1467" spans="9:22" x14ac:dyDescent="0.45">
      <c r="I1467" t="s">
        <v>192</v>
      </c>
      <c r="J1467" t="s">
        <v>356</v>
      </c>
      <c r="K1467">
        <v>1.057168825184245E-4</v>
      </c>
      <c r="L1467" t="s">
        <v>166</v>
      </c>
      <c r="N1467" t="s">
        <v>216</v>
      </c>
      <c r="O1467" t="s">
        <v>356</v>
      </c>
      <c r="P1467">
        <v>4.0634965844017568E-5</v>
      </c>
      <c r="Q1467" t="s">
        <v>166</v>
      </c>
      <c r="S1467" t="s">
        <v>233</v>
      </c>
      <c r="T1467" t="s">
        <v>356</v>
      </c>
      <c r="U1467">
        <v>1.2793666522389178E-4</v>
      </c>
      <c r="V1467" t="s">
        <v>166</v>
      </c>
    </row>
    <row r="1468" spans="9:22" x14ac:dyDescent="0.45">
      <c r="I1468" t="s">
        <v>192</v>
      </c>
      <c r="J1468" t="s">
        <v>357</v>
      </c>
      <c r="K1468">
        <v>1.2697055809286905E-4</v>
      </c>
      <c r="L1468" t="s">
        <v>166</v>
      </c>
      <c r="N1468" t="s">
        <v>216</v>
      </c>
      <c r="O1468" t="s">
        <v>357</v>
      </c>
      <c r="P1468">
        <v>3.9071038443481308E-5</v>
      </c>
      <c r="Q1468" t="s">
        <v>166</v>
      </c>
      <c r="S1468" t="s">
        <v>233</v>
      </c>
      <c r="T1468" t="s">
        <v>357</v>
      </c>
      <c r="U1468">
        <v>1.0801684939854555E-4</v>
      </c>
      <c r="V1468" t="s">
        <v>166</v>
      </c>
    </row>
    <row r="1469" spans="9:22" x14ac:dyDescent="0.45">
      <c r="I1469" t="s">
        <v>192</v>
      </c>
      <c r="J1469" t="s">
        <v>358</v>
      </c>
      <c r="K1469">
        <v>1.652888865335912E-4</v>
      </c>
      <c r="L1469" t="s">
        <v>166</v>
      </c>
      <c r="N1469" t="s">
        <v>216</v>
      </c>
      <c r="O1469" t="s">
        <v>358</v>
      </c>
      <c r="P1469">
        <v>3.5727034608421759E-5</v>
      </c>
      <c r="Q1469" t="s">
        <v>166</v>
      </c>
      <c r="S1469" t="s">
        <v>233</v>
      </c>
      <c r="T1469" t="s">
        <v>358</v>
      </c>
      <c r="U1469">
        <v>7.7244866520262087E-5</v>
      </c>
      <c r="V1469" t="s">
        <v>166</v>
      </c>
    </row>
    <row r="1470" spans="9:22" x14ac:dyDescent="0.45">
      <c r="I1470" t="s">
        <v>192</v>
      </c>
      <c r="J1470" t="s">
        <v>359</v>
      </c>
      <c r="K1470">
        <v>1.5427859617804502E-4</v>
      </c>
      <c r="L1470" t="s">
        <v>166</v>
      </c>
      <c r="N1470" t="s">
        <v>216</v>
      </c>
      <c r="O1470" t="s">
        <v>359</v>
      </c>
      <c r="P1470">
        <v>3.8851056766758677E-5</v>
      </c>
      <c r="Q1470" t="s">
        <v>166</v>
      </c>
      <c r="S1470" t="s">
        <v>233</v>
      </c>
      <c r="T1470" t="s">
        <v>359</v>
      </c>
      <c r="U1470">
        <v>5.6253417229685553E-5</v>
      </c>
      <c r="V1470" t="s">
        <v>166</v>
      </c>
    </row>
    <row r="1471" spans="9:22" x14ac:dyDescent="0.45">
      <c r="I1471" t="s">
        <v>192</v>
      </c>
      <c r="J1471" t="s">
        <v>360</v>
      </c>
      <c r="K1471">
        <v>1.3194629640931335E-4</v>
      </c>
      <c r="L1471" t="s">
        <v>166</v>
      </c>
      <c r="N1471" t="s">
        <v>216</v>
      </c>
      <c r="O1471" t="s">
        <v>360</v>
      </c>
      <c r="P1471">
        <v>3.8534413104959678E-5</v>
      </c>
      <c r="Q1471" t="s">
        <v>166</v>
      </c>
      <c r="S1471" t="s">
        <v>233</v>
      </c>
      <c r="T1471" t="s">
        <v>360</v>
      </c>
      <c r="U1471">
        <v>4.393751270004527E-5</v>
      </c>
      <c r="V1471" t="s">
        <v>166</v>
      </c>
    </row>
    <row r="1472" spans="9:22" x14ac:dyDescent="0.45">
      <c r="I1472" t="s">
        <v>192</v>
      </c>
      <c r="J1472" t="s">
        <v>361</v>
      </c>
      <c r="K1472">
        <v>1.2684123458483107E-4</v>
      </c>
      <c r="L1472" t="s">
        <v>166</v>
      </c>
      <c r="N1472" t="s">
        <v>216</v>
      </c>
      <c r="O1472" t="s">
        <v>361</v>
      </c>
      <c r="P1472">
        <v>3.2736649978233704E-5</v>
      </c>
      <c r="Q1472" t="s">
        <v>166</v>
      </c>
      <c r="S1472" t="s">
        <v>233</v>
      </c>
      <c r="T1472" t="s">
        <v>361</v>
      </c>
      <c r="U1472">
        <v>3.4818807581868875E-5</v>
      </c>
      <c r="V1472" t="s">
        <v>166</v>
      </c>
    </row>
    <row r="1473" spans="9:22" x14ac:dyDescent="0.45">
      <c r="I1473" t="s">
        <v>192</v>
      </c>
      <c r="J1473" t="s">
        <v>362</v>
      </c>
      <c r="K1473">
        <v>6.7475630341824283E-5</v>
      </c>
      <c r="L1473" t="s">
        <v>166</v>
      </c>
      <c r="N1473" t="s">
        <v>216</v>
      </c>
      <c r="O1473" t="s">
        <v>362</v>
      </c>
      <c r="P1473">
        <v>3.4255258206784326E-5</v>
      </c>
      <c r="Q1473" t="s">
        <v>166</v>
      </c>
      <c r="S1473" t="s">
        <v>233</v>
      </c>
      <c r="T1473" t="s">
        <v>362</v>
      </c>
      <c r="U1473">
        <v>3.6002079594112305E-5</v>
      </c>
      <c r="V1473" t="s">
        <v>166</v>
      </c>
    </row>
    <row r="1474" spans="9:22" x14ac:dyDescent="0.45">
      <c r="I1474" t="s">
        <v>192</v>
      </c>
      <c r="J1474" t="s">
        <v>363</v>
      </c>
      <c r="K1474">
        <v>3.3120240744142322E-5</v>
      </c>
      <c r="L1474" t="s">
        <v>166</v>
      </c>
      <c r="N1474" t="s">
        <v>216</v>
      </c>
      <c r="O1474" t="s">
        <v>363</v>
      </c>
      <c r="P1474">
        <v>2.6019650571597254E-5</v>
      </c>
      <c r="Q1474" t="s">
        <v>166</v>
      </c>
      <c r="S1474" t="s">
        <v>233</v>
      </c>
      <c r="T1474" t="s">
        <v>363</v>
      </c>
      <c r="U1474">
        <v>2.7143772852883342E-5</v>
      </c>
      <c r="V1474" t="s">
        <v>166</v>
      </c>
    </row>
    <row r="1475" spans="9:22" x14ac:dyDescent="0.45">
      <c r="I1475" t="s">
        <v>192</v>
      </c>
      <c r="J1475" t="s">
        <v>364</v>
      </c>
      <c r="K1475">
        <v>2.7026733285993214E-5</v>
      </c>
      <c r="L1475" t="s">
        <v>166</v>
      </c>
      <c r="N1475" t="s">
        <v>216</v>
      </c>
      <c r="O1475" t="s">
        <v>364</v>
      </c>
      <c r="P1475">
        <v>2.6660874659122957E-5</v>
      </c>
      <c r="Q1475" t="s">
        <v>166</v>
      </c>
      <c r="S1475" t="s">
        <v>233</v>
      </c>
      <c r="T1475" t="s">
        <v>364</v>
      </c>
      <c r="U1475">
        <v>3.7791550059920428E-5</v>
      </c>
      <c r="V1475" t="s">
        <v>166</v>
      </c>
    </row>
    <row r="1476" spans="9:22" x14ac:dyDescent="0.45">
      <c r="I1476" t="s">
        <v>192</v>
      </c>
      <c r="J1476" t="s">
        <v>365</v>
      </c>
      <c r="K1476">
        <v>0</v>
      </c>
      <c r="L1476" t="s">
        <v>166</v>
      </c>
      <c r="N1476" t="s">
        <v>216</v>
      </c>
      <c r="O1476" t="s">
        <v>365</v>
      </c>
      <c r="P1476">
        <v>2.4018106275952949E-5</v>
      </c>
      <c r="Q1476" t="s">
        <v>166</v>
      </c>
      <c r="S1476" t="s">
        <v>233</v>
      </c>
      <c r="T1476" t="s">
        <v>365</v>
      </c>
      <c r="U1476">
        <v>5.3041300074636433E-5</v>
      </c>
      <c r="V1476" t="s">
        <v>166</v>
      </c>
    </row>
    <row r="1477" spans="9:22" x14ac:dyDescent="0.45">
      <c r="I1477" t="s">
        <v>192</v>
      </c>
      <c r="J1477" t="s">
        <v>366</v>
      </c>
      <c r="K1477">
        <v>0</v>
      </c>
      <c r="L1477" t="s">
        <v>166</v>
      </c>
      <c r="N1477" t="s">
        <v>216</v>
      </c>
      <c r="O1477" t="s">
        <v>366</v>
      </c>
      <c r="P1477">
        <v>1.9653705653574723E-5</v>
      </c>
      <c r="Q1477" t="s">
        <v>166</v>
      </c>
      <c r="S1477" t="s">
        <v>233</v>
      </c>
      <c r="T1477" t="s">
        <v>366</v>
      </c>
      <c r="U1477">
        <v>6.660751659256161E-5</v>
      </c>
      <c r="V1477" t="s">
        <v>166</v>
      </c>
    </row>
    <row r="1478" spans="9:22" x14ac:dyDescent="0.45">
      <c r="I1478" t="s">
        <v>192</v>
      </c>
      <c r="J1478" t="s">
        <v>367</v>
      </c>
      <c r="K1478">
        <v>0</v>
      </c>
      <c r="L1478" t="s">
        <v>166</v>
      </c>
      <c r="N1478" t="s">
        <v>216</v>
      </c>
      <c r="O1478" t="s">
        <v>367</v>
      </c>
      <c r="P1478">
        <v>1.4564649668114163E-5</v>
      </c>
      <c r="Q1478" t="s">
        <v>166</v>
      </c>
      <c r="S1478" t="s">
        <v>233</v>
      </c>
      <c r="T1478" t="s">
        <v>367</v>
      </c>
      <c r="U1478">
        <v>8.3521979147044899E-5</v>
      </c>
      <c r="V1478" t="s">
        <v>166</v>
      </c>
    </row>
    <row r="1479" spans="9:22" x14ac:dyDescent="0.45">
      <c r="I1479" t="s">
        <v>192</v>
      </c>
      <c r="J1479" t="s">
        <v>368</v>
      </c>
      <c r="K1479">
        <v>0</v>
      </c>
      <c r="L1479" t="s">
        <v>166</v>
      </c>
      <c r="N1479" t="s">
        <v>216</v>
      </c>
      <c r="O1479" t="s">
        <v>368</v>
      </c>
      <c r="P1479">
        <v>1.8819749774489616E-5</v>
      </c>
      <c r="Q1479" t="s">
        <v>166</v>
      </c>
      <c r="S1479" t="s">
        <v>233</v>
      </c>
      <c r="T1479" t="s">
        <v>368</v>
      </c>
      <c r="U1479">
        <v>1.0420673920159716E-4</v>
      </c>
      <c r="V1479" t="s">
        <v>166</v>
      </c>
    </row>
    <row r="1480" spans="9:22" x14ac:dyDescent="0.45">
      <c r="I1480" t="s">
        <v>192</v>
      </c>
      <c r="J1480" t="s">
        <v>369</v>
      </c>
      <c r="K1480">
        <v>0</v>
      </c>
      <c r="L1480" t="s">
        <v>166</v>
      </c>
      <c r="N1480" t="s">
        <v>216</v>
      </c>
      <c r="O1480" t="s">
        <v>369</v>
      </c>
      <c r="P1480">
        <v>2.4148957501959271E-5</v>
      </c>
      <c r="Q1480" t="s">
        <v>166</v>
      </c>
      <c r="S1480" t="s">
        <v>233</v>
      </c>
      <c r="T1480" t="s">
        <v>369</v>
      </c>
      <c r="U1480">
        <v>1.1516087080269295E-4</v>
      </c>
      <c r="V1480" t="s">
        <v>166</v>
      </c>
    </row>
    <row r="1481" spans="9:22" x14ac:dyDescent="0.45">
      <c r="I1481" t="s">
        <v>192</v>
      </c>
      <c r="J1481" t="s">
        <v>370</v>
      </c>
      <c r="K1481">
        <v>0</v>
      </c>
      <c r="L1481" t="s">
        <v>166</v>
      </c>
      <c r="N1481" t="s">
        <v>216</v>
      </c>
      <c r="O1481" t="s">
        <v>370</v>
      </c>
      <c r="P1481">
        <v>1.7036345404912098E-4</v>
      </c>
      <c r="Q1481" t="s">
        <v>166</v>
      </c>
      <c r="S1481" t="s">
        <v>233</v>
      </c>
      <c r="T1481" t="s">
        <v>370</v>
      </c>
      <c r="U1481">
        <v>8.4996892916146645E-5</v>
      </c>
      <c r="V1481" t="s">
        <v>166</v>
      </c>
    </row>
    <row r="1482" spans="9:22" x14ac:dyDescent="0.45">
      <c r="I1482" t="s">
        <v>192</v>
      </c>
      <c r="J1482" t="s">
        <v>371</v>
      </c>
      <c r="K1482">
        <v>0</v>
      </c>
      <c r="L1482" t="s">
        <v>166</v>
      </c>
      <c r="N1482" t="s">
        <v>216</v>
      </c>
      <c r="O1482" t="s">
        <v>371</v>
      </c>
      <c r="P1482">
        <v>1.631969707588257E-4</v>
      </c>
      <c r="Q1482" t="s">
        <v>166</v>
      </c>
      <c r="S1482" t="s">
        <v>233</v>
      </c>
      <c r="T1482" t="s">
        <v>371</v>
      </c>
      <c r="U1482">
        <v>8.8659178420721576E-5</v>
      </c>
      <c r="V1482" t="s">
        <v>166</v>
      </c>
    </row>
    <row r="1483" spans="9:22" x14ac:dyDescent="0.45">
      <c r="I1483" t="s">
        <v>192</v>
      </c>
      <c r="J1483" t="s">
        <v>372</v>
      </c>
      <c r="K1483">
        <v>0</v>
      </c>
      <c r="L1483" t="s">
        <v>166</v>
      </c>
      <c r="N1483" t="s">
        <v>216</v>
      </c>
      <c r="O1483" t="s">
        <v>372</v>
      </c>
      <c r="P1483">
        <v>1.4840084696017504E-4</v>
      </c>
      <c r="Q1483" t="s">
        <v>166</v>
      </c>
      <c r="S1483" t="s">
        <v>233</v>
      </c>
      <c r="T1483" t="s">
        <v>372</v>
      </c>
      <c r="U1483">
        <v>9.607491272868689E-5</v>
      </c>
      <c r="V1483" t="s">
        <v>166</v>
      </c>
    </row>
    <row r="1484" spans="9:22" x14ac:dyDescent="0.45">
      <c r="I1484" t="s">
        <v>192</v>
      </c>
      <c r="J1484" t="s">
        <v>373</v>
      </c>
      <c r="K1484">
        <v>0</v>
      </c>
      <c r="L1484" t="s">
        <v>166</v>
      </c>
      <c r="N1484" t="s">
        <v>216</v>
      </c>
      <c r="O1484" t="s">
        <v>373</v>
      </c>
      <c r="P1484">
        <v>1.3521425227276836E-4</v>
      </c>
      <c r="Q1484" t="s">
        <v>166</v>
      </c>
      <c r="S1484" t="s">
        <v>233</v>
      </c>
      <c r="T1484" t="s">
        <v>373</v>
      </c>
      <c r="U1484">
        <v>1.0336135919121735E-4</v>
      </c>
      <c r="V1484" t="s">
        <v>166</v>
      </c>
    </row>
    <row r="1485" spans="9:22" x14ac:dyDescent="0.45">
      <c r="I1485" t="s">
        <v>192</v>
      </c>
      <c r="J1485" t="s">
        <v>374</v>
      </c>
      <c r="K1485">
        <v>0</v>
      </c>
      <c r="L1485" t="s">
        <v>166</v>
      </c>
      <c r="N1485" t="s">
        <v>216</v>
      </c>
      <c r="O1485" t="s">
        <v>374</v>
      </c>
      <c r="P1485">
        <v>1.2586726774487184E-4</v>
      </c>
      <c r="Q1485" t="s">
        <v>166</v>
      </c>
      <c r="S1485" t="s">
        <v>233</v>
      </c>
      <c r="T1485" t="s">
        <v>374</v>
      </c>
      <c r="U1485">
        <v>1.0442410930587124E-4</v>
      </c>
      <c r="V1485" t="s">
        <v>166</v>
      </c>
    </row>
    <row r="1486" spans="9:22" x14ac:dyDescent="0.45">
      <c r="I1486" t="s">
        <v>192</v>
      </c>
      <c r="J1486" t="s">
        <v>375</v>
      </c>
      <c r="K1486">
        <v>0</v>
      </c>
      <c r="L1486" t="s">
        <v>166</v>
      </c>
      <c r="N1486" t="s">
        <v>216</v>
      </c>
      <c r="O1486" t="s">
        <v>375</v>
      </c>
      <c r="P1486">
        <v>1.0502131591592895E-4</v>
      </c>
      <c r="Q1486" t="s">
        <v>166</v>
      </c>
      <c r="S1486" t="s">
        <v>233</v>
      </c>
      <c r="T1486" t="s">
        <v>375</v>
      </c>
      <c r="U1486">
        <v>8.1972133203412947E-5</v>
      </c>
      <c r="V1486" t="s">
        <v>166</v>
      </c>
    </row>
    <row r="1487" spans="9:22" x14ac:dyDescent="0.45">
      <c r="I1487" t="s">
        <v>192</v>
      </c>
      <c r="J1487" t="s">
        <v>376</v>
      </c>
      <c r="K1487">
        <v>0</v>
      </c>
      <c r="L1487" t="s">
        <v>166</v>
      </c>
      <c r="N1487" t="s">
        <v>216</v>
      </c>
      <c r="O1487" t="s">
        <v>376</v>
      </c>
      <c r="P1487">
        <v>9.7152581695831769E-5</v>
      </c>
      <c r="Q1487" t="s">
        <v>166</v>
      </c>
      <c r="S1487" t="s">
        <v>233</v>
      </c>
      <c r="T1487" t="s">
        <v>376</v>
      </c>
      <c r="U1487">
        <v>7.6675111794818988E-5</v>
      </c>
      <c r="V1487" t="s">
        <v>166</v>
      </c>
    </row>
    <row r="1488" spans="9:22" x14ac:dyDescent="0.45">
      <c r="I1488" t="s">
        <v>192</v>
      </c>
      <c r="J1488" t="s">
        <v>377</v>
      </c>
      <c r="K1488">
        <v>0</v>
      </c>
      <c r="L1488" t="s">
        <v>166</v>
      </c>
      <c r="N1488" t="s">
        <v>216</v>
      </c>
      <c r="O1488" t="s">
        <v>377</v>
      </c>
      <c r="P1488">
        <v>1.0093277982507798E-4</v>
      </c>
      <c r="Q1488" t="s">
        <v>166</v>
      </c>
      <c r="S1488" t="s">
        <v>233</v>
      </c>
      <c r="T1488" t="s">
        <v>377</v>
      </c>
      <c r="U1488">
        <v>5.8001487577897134E-5</v>
      </c>
      <c r="V1488" t="s">
        <v>166</v>
      </c>
    </row>
    <row r="1489" spans="9:22" x14ac:dyDescent="0.45">
      <c r="I1489" t="s">
        <v>192</v>
      </c>
      <c r="J1489" t="s">
        <v>378</v>
      </c>
      <c r="K1489">
        <v>8.9273904481782003E-5</v>
      </c>
      <c r="L1489" t="s">
        <v>166</v>
      </c>
      <c r="N1489" t="s">
        <v>216</v>
      </c>
      <c r="O1489" t="s">
        <v>378</v>
      </c>
      <c r="P1489">
        <v>1.0352793099699412E-4</v>
      </c>
      <c r="Q1489" t="s">
        <v>166</v>
      </c>
      <c r="S1489" t="s">
        <v>233</v>
      </c>
      <c r="T1489" t="s">
        <v>378</v>
      </c>
      <c r="U1489">
        <v>5.189520294653698E-5</v>
      </c>
      <c r="V1489" t="s">
        <v>166</v>
      </c>
    </row>
    <row r="1490" spans="9:22" x14ac:dyDescent="0.45">
      <c r="I1490" t="s">
        <v>192</v>
      </c>
      <c r="J1490" t="s">
        <v>379</v>
      </c>
      <c r="K1490">
        <v>1.6324605235933532E-4</v>
      </c>
      <c r="L1490" t="s">
        <v>166</v>
      </c>
      <c r="N1490" t="s">
        <v>216</v>
      </c>
      <c r="O1490" t="s">
        <v>379</v>
      </c>
      <c r="P1490">
        <v>8.5215893825941013E-5</v>
      </c>
      <c r="Q1490" t="s">
        <v>166</v>
      </c>
      <c r="S1490" t="s">
        <v>233</v>
      </c>
      <c r="T1490" t="s">
        <v>379</v>
      </c>
      <c r="U1490">
        <v>4.3336385908154926E-5</v>
      </c>
      <c r="V1490" t="s">
        <v>166</v>
      </c>
    </row>
    <row r="1491" spans="9:22" x14ac:dyDescent="0.45">
      <c r="I1491" t="s">
        <v>192</v>
      </c>
      <c r="J1491" t="s">
        <v>380</v>
      </c>
      <c r="K1491">
        <v>2.4231746709373902E-4</v>
      </c>
      <c r="L1491" t="s">
        <v>166</v>
      </c>
      <c r="N1491" t="s">
        <v>216</v>
      </c>
      <c r="O1491" t="s">
        <v>380</v>
      </c>
      <c r="P1491">
        <v>6.6047838077162613E-5</v>
      </c>
      <c r="Q1491" t="s">
        <v>166</v>
      </c>
      <c r="S1491" t="s">
        <v>233</v>
      </c>
      <c r="T1491" t="s">
        <v>380</v>
      </c>
      <c r="U1491">
        <v>3.2693744364577721E-5</v>
      </c>
      <c r="V1491" t="s">
        <v>166</v>
      </c>
    </row>
    <row r="1492" spans="9:22" x14ac:dyDescent="0.45">
      <c r="I1492" t="s">
        <v>192</v>
      </c>
      <c r="J1492" t="s">
        <v>381</v>
      </c>
      <c r="K1492">
        <v>2.987626326282691E-4</v>
      </c>
      <c r="L1492" t="s">
        <v>166</v>
      </c>
      <c r="N1492" t="s">
        <v>216</v>
      </c>
      <c r="O1492" t="s">
        <v>381</v>
      </c>
      <c r="P1492">
        <v>5.5088070563316127E-5</v>
      </c>
      <c r="Q1492" t="s">
        <v>166</v>
      </c>
      <c r="S1492" t="s">
        <v>233</v>
      </c>
      <c r="T1492" t="s">
        <v>381</v>
      </c>
      <c r="U1492">
        <v>2.2957620396920334E-5</v>
      </c>
      <c r="V1492" t="s">
        <v>166</v>
      </c>
    </row>
    <row r="1493" spans="9:22" x14ac:dyDescent="0.45">
      <c r="I1493" t="s">
        <v>192</v>
      </c>
      <c r="J1493" t="s">
        <v>382</v>
      </c>
      <c r="K1493">
        <v>2.9903832075033938E-4</v>
      </c>
      <c r="L1493" t="s">
        <v>166</v>
      </c>
      <c r="N1493" t="s">
        <v>216</v>
      </c>
      <c r="O1493" t="s">
        <v>382</v>
      </c>
      <c r="P1493">
        <v>6.571461160165272E-5</v>
      </c>
      <c r="Q1493" t="s">
        <v>166</v>
      </c>
      <c r="S1493" t="s">
        <v>233</v>
      </c>
      <c r="T1493" t="s">
        <v>382</v>
      </c>
      <c r="U1493">
        <v>2.1402727604629887E-5</v>
      </c>
      <c r="V1493" t="s">
        <v>166</v>
      </c>
    </row>
    <row r="1494" spans="9:22" x14ac:dyDescent="0.45">
      <c r="I1494" t="s">
        <v>192</v>
      </c>
      <c r="J1494" t="s">
        <v>383</v>
      </c>
      <c r="K1494">
        <v>3.1106114488194776E-4</v>
      </c>
      <c r="L1494" t="s">
        <v>166</v>
      </c>
      <c r="N1494" t="s">
        <v>216</v>
      </c>
      <c r="O1494" t="s">
        <v>383</v>
      </c>
      <c r="P1494">
        <v>9.0669969498199002E-5</v>
      </c>
      <c r="Q1494" t="s">
        <v>166</v>
      </c>
      <c r="S1494" t="s">
        <v>233</v>
      </c>
      <c r="T1494" t="s">
        <v>383</v>
      </c>
      <c r="U1494">
        <v>2.9164744826014335E-5</v>
      </c>
      <c r="V1494" t="s">
        <v>166</v>
      </c>
    </row>
    <row r="1495" spans="9:22" x14ac:dyDescent="0.45">
      <c r="I1495" t="s">
        <v>192</v>
      </c>
      <c r="J1495" t="s">
        <v>384</v>
      </c>
      <c r="K1495">
        <v>3.715494891004234E-4</v>
      </c>
      <c r="L1495" t="s">
        <v>166</v>
      </c>
      <c r="N1495" t="s">
        <v>216</v>
      </c>
      <c r="O1495" t="s">
        <v>384</v>
      </c>
      <c r="P1495">
        <v>1.1956847400846408E-4</v>
      </c>
      <c r="Q1495" t="s">
        <v>166</v>
      </c>
      <c r="S1495" t="s">
        <v>233</v>
      </c>
      <c r="T1495" t="s">
        <v>384</v>
      </c>
      <c r="U1495">
        <v>4.1697406786657768E-5</v>
      </c>
      <c r="V1495" t="s">
        <v>166</v>
      </c>
    </row>
    <row r="1496" spans="9:22" x14ac:dyDescent="0.45">
      <c r="I1496" t="s">
        <v>192</v>
      </c>
      <c r="J1496" t="s">
        <v>385</v>
      </c>
      <c r="K1496">
        <v>3.5667535290195417E-4</v>
      </c>
      <c r="L1496" t="s">
        <v>166</v>
      </c>
      <c r="N1496" t="s">
        <v>216</v>
      </c>
      <c r="O1496" t="s">
        <v>385</v>
      </c>
      <c r="P1496">
        <v>1.2262960377756719E-4</v>
      </c>
      <c r="Q1496" t="s">
        <v>166</v>
      </c>
      <c r="S1496" t="s">
        <v>233</v>
      </c>
      <c r="T1496" t="s">
        <v>385</v>
      </c>
      <c r="U1496">
        <v>4.5469917931342869E-5</v>
      </c>
      <c r="V1496" t="s">
        <v>166</v>
      </c>
    </row>
    <row r="1497" spans="9:22" x14ac:dyDescent="0.45">
      <c r="I1497" t="s">
        <v>192</v>
      </c>
      <c r="J1497" t="s">
        <v>386</v>
      </c>
      <c r="K1497">
        <v>2.9927778522182325E-4</v>
      </c>
      <c r="L1497" t="s">
        <v>166</v>
      </c>
      <c r="N1497" t="s">
        <v>216</v>
      </c>
      <c r="O1497" t="s">
        <v>386</v>
      </c>
      <c r="P1497">
        <v>1.1624824675216471E-4</v>
      </c>
      <c r="Q1497" t="s">
        <v>166</v>
      </c>
      <c r="S1497" t="s">
        <v>233</v>
      </c>
      <c r="T1497" t="s">
        <v>386</v>
      </c>
      <c r="U1497">
        <v>4.2455047474085595E-5</v>
      </c>
      <c r="V1497" t="s">
        <v>166</v>
      </c>
    </row>
    <row r="1498" spans="9:22" x14ac:dyDescent="0.45">
      <c r="I1498" t="s">
        <v>192</v>
      </c>
      <c r="J1498" t="s">
        <v>387</v>
      </c>
      <c r="K1498">
        <v>2.1052090583541537E-4</v>
      </c>
      <c r="L1498" t="s">
        <v>166</v>
      </c>
      <c r="N1498" t="s">
        <v>216</v>
      </c>
      <c r="O1498" t="s">
        <v>387</v>
      </c>
      <c r="P1498">
        <v>1.3590514774908382E-4</v>
      </c>
      <c r="Q1498" t="s">
        <v>166</v>
      </c>
      <c r="S1498" t="s">
        <v>233</v>
      </c>
      <c r="T1498" t="s">
        <v>387</v>
      </c>
      <c r="U1498">
        <v>4.3538497907016644E-5</v>
      </c>
      <c r="V1498" t="s">
        <v>166</v>
      </c>
    </row>
    <row r="1499" spans="9:22" x14ac:dyDescent="0.45">
      <c r="I1499" t="s">
        <v>192</v>
      </c>
      <c r="J1499" t="s">
        <v>388</v>
      </c>
      <c r="K1499">
        <v>7.407819533210927E-5</v>
      </c>
      <c r="L1499" t="s">
        <v>166</v>
      </c>
      <c r="N1499" t="s">
        <v>216</v>
      </c>
      <c r="O1499" t="s">
        <v>388</v>
      </c>
      <c r="P1499">
        <v>1.8504652951402366E-4</v>
      </c>
      <c r="Q1499" t="s">
        <v>166</v>
      </c>
      <c r="S1499" t="s">
        <v>233</v>
      </c>
      <c r="T1499" t="s">
        <v>388</v>
      </c>
      <c r="U1499">
        <v>5.8309454362695973E-5</v>
      </c>
      <c r="V1499" t="s">
        <v>166</v>
      </c>
    </row>
    <row r="1500" spans="9:22" x14ac:dyDescent="0.45">
      <c r="I1500" t="s">
        <v>192</v>
      </c>
      <c r="J1500" t="s">
        <v>389</v>
      </c>
      <c r="K1500">
        <v>0</v>
      </c>
      <c r="L1500" t="s">
        <v>166</v>
      </c>
      <c r="N1500" t="s">
        <v>216</v>
      </c>
      <c r="O1500" t="s">
        <v>389</v>
      </c>
      <c r="P1500">
        <v>1.9979291804749429E-4</v>
      </c>
      <c r="Q1500" t="s">
        <v>166</v>
      </c>
      <c r="S1500" t="s">
        <v>233</v>
      </c>
      <c r="T1500" t="s">
        <v>389</v>
      </c>
      <c r="U1500">
        <v>8.7910748006212583E-5</v>
      </c>
      <c r="V1500" t="s">
        <v>166</v>
      </c>
    </row>
    <row r="1501" spans="9:22" x14ac:dyDescent="0.45">
      <c r="I1501" t="s">
        <v>192</v>
      </c>
      <c r="J1501" t="s">
        <v>390</v>
      </c>
      <c r="K1501">
        <v>0</v>
      </c>
      <c r="L1501" t="s">
        <v>166</v>
      </c>
      <c r="N1501" t="s">
        <v>216</v>
      </c>
      <c r="O1501" t="s">
        <v>390</v>
      </c>
      <c r="P1501">
        <v>1.6422192769537761E-4</v>
      </c>
      <c r="Q1501" t="s">
        <v>166</v>
      </c>
      <c r="S1501" t="s">
        <v>233</v>
      </c>
      <c r="T1501" t="s">
        <v>390</v>
      </c>
      <c r="U1501">
        <v>1.1118707573679698E-4</v>
      </c>
      <c r="V1501" t="s">
        <v>166</v>
      </c>
    </row>
    <row r="1502" spans="9:22" x14ac:dyDescent="0.45">
      <c r="I1502" t="s">
        <v>192</v>
      </c>
      <c r="J1502" t="s">
        <v>391</v>
      </c>
      <c r="K1502">
        <v>0</v>
      </c>
      <c r="L1502" t="s">
        <v>166</v>
      </c>
      <c r="N1502" t="s">
        <v>216</v>
      </c>
      <c r="O1502" t="s">
        <v>391</v>
      </c>
      <c r="P1502">
        <v>1.2976111196672544E-4</v>
      </c>
      <c r="Q1502" t="s">
        <v>166</v>
      </c>
      <c r="S1502" t="s">
        <v>233</v>
      </c>
      <c r="T1502" t="s">
        <v>391</v>
      </c>
      <c r="U1502">
        <v>1.2741771784869165E-4</v>
      </c>
      <c r="V1502" t="s">
        <v>166</v>
      </c>
    </row>
    <row r="1503" spans="9:22" x14ac:dyDescent="0.45">
      <c r="I1503" t="s">
        <v>192</v>
      </c>
      <c r="J1503" t="s">
        <v>392</v>
      </c>
      <c r="K1503">
        <v>0</v>
      </c>
      <c r="L1503" t="s">
        <v>166</v>
      </c>
      <c r="N1503" t="s">
        <v>216</v>
      </c>
      <c r="O1503" t="s">
        <v>392</v>
      </c>
      <c r="P1503">
        <v>1.0425606203692085E-4</v>
      </c>
      <c r="Q1503" t="s">
        <v>166</v>
      </c>
      <c r="S1503" t="s">
        <v>233</v>
      </c>
      <c r="T1503" t="s">
        <v>392</v>
      </c>
      <c r="U1503">
        <v>1.3026748879603868E-4</v>
      </c>
      <c r="V1503" t="s">
        <v>166</v>
      </c>
    </row>
    <row r="1504" spans="9:22" x14ac:dyDescent="0.45">
      <c r="I1504" t="s">
        <v>192</v>
      </c>
      <c r="J1504" t="s">
        <v>393</v>
      </c>
      <c r="K1504">
        <v>0</v>
      </c>
      <c r="L1504" t="s">
        <v>166</v>
      </c>
      <c r="N1504" t="s">
        <v>216</v>
      </c>
      <c r="O1504" t="s">
        <v>393</v>
      </c>
      <c r="P1504">
        <v>8.5178900829722926E-5</v>
      </c>
      <c r="Q1504" t="s">
        <v>166</v>
      </c>
      <c r="S1504" t="s">
        <v>233</v>
      </c>
      <c r="T1504" t="s">
        <v>393</v>
      </c>
      <c r="U1504">
        <v>1.2592010159720438E-4</v>
      </c>
      <c r="V1504" t="s">
        <v>166</v>
      </c>
    </row>
    <row r="1505" spans="9:22" x14ac:dyDescent="0.45">
      <c r="I1505" t="s">
        <v>192</v>
      </c>
      <c r="J1505" t="s">
        <v>169</v>
      </c>
      <c r="K1505">
        <v>3.3109882791107787E-3</v>
      </c>
      <c r="L1505" t="s">
        <v>166</v>
      </c>
      <c r="N1505" t="s">
        <v>216</v>
      </c>
      <c r="O1505" t="s">
        <v>169</v>
      </c>
      <c r="P1505">
        <v>1.1353247625073891E-2</v>
      </c>
      <c r="Q1505" t="s">
        <v>166</v>
      </c>
      <c r="S1505" t="s">
        <v>233</v>
      </c>
      <c r="T1505" t="s">
        <v>169</v>
      </c>
      <c r="U1505">
        <v>1.8351731120377357E-2</v>
      </c>
      <c r="V1505" t="s">
        <v>166</v>
      </c>
    </row>
    <row r="1506" spans="9:22" x14ac:dyDescent="0.45">
      <c r="I1506" t="s">
        <v>192</v>
      </c>
      <c r="J1506" t="s">
        <v>170</v>
      </c>
      <c r="K1506">
        <v>5.0041160216924762E-3</v>
      </c>
      <c r="L1506" t="s">
        <v>166</v>
      </c>
      <c r="N1506" t="s">
        <v>216</v>
      </c>
      <c r="O1506" t="s">
        <v>170</v>
      </c>
      <c r="P1506">
        <v>8.7408705291783478E-4</v>
      </c>
      <c r="Q1506" t="s">
        <v>166</v>
      </c>
      <c r="S1506" t="s">
        <v>233</v>
      </c>
      <c r="T1506" t="s">
        <v>170</v>
      </c>
      <c r="U1506">
        <v>1.5955837622154228E-3</v>
      </c>
      <c r="V1506" t="s">
        <v>166</v>
      </c>
    </row>
    <row r="1507" spans="9:22" x14ac:dyDescent="0.45">
      <c r="I1507" t="s">
        <v>192</v>
      </c>
      <c r="J1507" t="s">
        <v>171</v>
      </c>
      <c r="K1507">
        <v>7.1891567993864369E-2</v>
      </c>
      <c r="L1507" t="s">
        <v>166</v>
      </c>
      <c r="N1507" t="s">
        <v>216</v>
      </c>
      <c r="O1507" t="s">
        <v>171</v>
      </c>
      <c r="P1507">
        <v>1.1172519108540167E-2</v>
      </c>
      <c r="Q1507" t="s">
        <v>166</v>
      </c>
      <c r="S1507" t="s">
        <v>233</v>
      </c>
      <c r="T1507" t="s">
        <v>171</v>
      </c>
      <c r="U1507">
        <v>7.7881564678124529E-3</v>
      </c>
      <c r="V1507" t="s">
        <v>166</v>
      </c>
    </row>
    <row r="1508" spans="9:22" x14ac:dyDescent="0.45">
      <c r="I1508" t="s">
        <v>192</v>
      </c>
      <c r="J1508" t="s">
        <v>261</v>
      </c>
      <c r="K1508">
        <v>8.7854931424910382E-3</v>
      </c>
      <c r="L1508" t="s">
        <v>166</v>
      </c>
      <c r="N1508" t="s">
        <v>216</v>
      </c>
      <c r="O1508" t="s">
        <v>261</v>
      </c>
      <c r="P1508">
        <v>3.3957988187490662E-3</v>
      </c>
      <c r="Q1508" t="s">
        <v>166</v>
      </c>
      <c r="S1508" t="s">
        <v>233</v>
      </c>
      <c r="T1508" t="s">
        <v>261</v>
      </c>
      <c r="U1508">
        <v>1.000212415001425E-3</v>
      </c>
      <c r="V1508" t="s">
        <v>166</v>
      </c>
    </row>
    <row r="1509" spans="9:22" x14ac:dyDescent="0.45">
      <c r="I1509" t="s">
        <v>192</v>
      </c>
      <c r="J1509" t="s">
        <v>262</v>
      </c>
      <c r="K1509">
        <v>1.1680795197866477E-2</v>
      </c>
      <c r="L1509" t="s">
        <v>166</v>
      </c>
      <c r="N1509" t="s">
        <v>216</v>
      </c>
      <c r="O1509" t="s">
        <v>262</v>
      </c>
      <c r="P1509">
        <v>6.1416165282521052E-3</v>
      </c>
      <c r="Q1509" t="s">
        <v>166</v>
      </c>
      <c r="S1509" t="s">
        <v>233</v>
      </c>
      <c r="T1509" t="s">
        <v>262</v>
      </c>
      <c r="U1509">
        <v>2.0741707139023432E-3</v>
      </c>
      <c r="V1509" t="s">
        <v>166</v>
      </c>
    </row>
    <row r="1510" spans="9:22" x14ac:dyDescent="0.45">
      <c r="I1510" t="s">
        <v>192</v>
      </c>
      <c r="J1510" t="s">
        <v>263</v>
      </c>
      <c r="K1510">
        <v>6.4407683541589167E-4</v>
      </c>
      <c r="L1510" t="s">
        <v>166</v>
      </c>
      <c r="N1510" t="s">
        <v>216</v>
      </c>
      <c r="O1510" t="s">
        <v>263</v>
      </c>
      <c r="P1510">
        <v>1.4901651877561541E-2</v>
      </c>
      <c r="Q1510" t="s">
        <v>166</v>
      </c>
      <c r="S1510" t="s">
        <v>233</v>
      </c>
      <c r="T1510" t="s">
        <v>263</v>
      </c>
      <c r="U1510">
        <v>1.1767022540548991E-2</v>
      </c>
      <c r="V1510" t="s">
        <v>166</v>
      </c>
    </row>
    <row r="1511" spans="9:22" x14ac:dyDescent="0.45">
      <c r="I1511" t="s">
        <v>192</v>
      </c>
      <c r="J1511" t="s">
        <v>172</v>
      </c>
      <c r="K1511">
        <v>4.0959014328693756E-3</v>
      </c>
      <c r="L1511" t="s">
        <v>166</v>
      </c>
      <c r="N1511" t="s">
        <v>216</v>
      </c>
      <c r="O1511" t="s">
        <v>172</v>
      </c>
      <c r="P1511">
        <v>1.5540298663739639E-2</v>
      </c>
      <c r="Q1511" t="s">
        <v>166</v>
      </c>
      <c r="S1511" t="s">
        <v>233</v>
      </c>
      <c r="T1511" t="s">
        <v>172</v>
      </c>
      <c r="U1511">
        <v>1.7833511291444698E-2</v>
      </c>
      <c r="V1511" t="s">
        <v>166</v>
      </c>
    </row>
    <row r="1512" spans="9:22" x14ac:dyDescent="0.45">
      <c r="I1512" t="s">
        <v>192</v>
      </c>
      <c r="J1512" t="s">
        <v>173</v>
      </c>
      <c r="K1512">
        <v>5.2767113796473291E-3</v>
      </c>
      <c r="L1512" t="s">
        <v>166</v>
      </c>
      <c r="N1512" t="s">
        <v>216</v>
      </c>
      <c r="O1512" t="s">
        <v>173</v>
      </c>
      <c r="P1512">
        <v>1.9706650334052295E-3</v>
      </c>
      <c r="Q1512" t="s">
        <v>166</v>
      </c>
      <c r="S1512" t="s">
        <v>233</v>
      </c>
      <c r="T1512" t="s">
        <v>173</v>
      </c>
      <c r="U1512">
        <v>1.8438013728430029E-3</v>
      </c>
      <c r="V1512" t="s">
        <v>166</v>
      </c>
    </row>
    <row r="1513" spans="9:22" x14ac:dyDescent="0.45">
      <c r="I1513" t="s">
        <v>192</v>
      </c>
      <c r="J1513" t="s">
        <v>174</v>
      </c>
      <c r="K1513">
        <v>7.0369571097698688E-2</v>
      </c>
      <c r="L1513" t="s">
        <v>166</v>
      </c>
      <c r="N1513" t="s">
        <v>216</v>
      </c>
      <c r="O1513" t="s">
        <v>174</v>
      </c>
      <c r="P1513">
        <v>1.801777115989903E-2</v>
      </c>
      <c r="Q1513" t="s">
        <v>166</v>
      </c>
      <c r="S1513" t="s">
        <v>233</v>
      </c>
      <c r="T1513" t="s">
        <v>174</v>
      </c>
      <c r="U1513">
        <v>1.3196152372589785E-2</v>
      </c>
      <c r="V1513" t="s">
        <v>166</v>
      </c>
    </row>
    <row r="1514" spans="9:22" x14ac:dyDescent="0.45">
      <c r="I1514" t="s">
        <v>192</v>
      </c>
      <c r="J1514" t="s">
        <v>264</v>
      </c>
      <c r="K1514">
        <v>7.8554512132042956E-3</v>
      </c>
      <c r="L1514" t="s">
        <v>166</v>
      </c>
      <c r="N1514" t="s">
        <v>216</v>
      </c>
      <c r="O1514" t="s">
        <v>264</v>
      </c>
      <c r="P1514">
        <v>4.0747002105051217E-3</v>
      </c>
      <c r="Q1514" t="s">
        <v>166</v>
      </c>
      <c r="S1514" t="s">
        <v>233</v>
      </c>
      <c r="T1514" t="s">
        <v>264</v>
      </c>
      <c r="U1514">
        <v>1.7368669491637919E-3</v>
      </c>
      <c r="V1514" t="s">
        <v>166</v>
      </c>
    </row>
    <row r="1515" spans="9:22" x14ac:dyDescent="0.45">
      <c r="I1515" t="s">
        <v>192</v>
      </c>
      <c r="J1515" t="s">
        <v>265</v>
      </c>
      <c r="K1515">
        <v>9.6615858680197796E-3</v>
      </c>
      <c r="L1515" t="s">
        <v>166</v>
      </c>
      <c r="N1515" t="s">
        <v>216</v>
      </c>
      <c r="O1515" t="s">
        <v>265</v>
      </c>
      <c r="P1515">
        <v>5.9585146005209106E-3</v>
      </c>
      <c r="Q1515" t="s">
        <v>166</v>
      </c>
      <c r="S1515" t="s">
        <v>233</v>
      </c>
      <c r="T1515" t="s">
        <v>265</v>
      </c>
      <c r="U1515">
        <v>3.1257418581108636E-3</v>
      </c>
      <c r="V1515" t="s">
        <v>166</v>
      </c>
    </row>
    <row r="1516" spans="9:22" x14ac:dyDescent="0.45">
      <c r="I1516" t="s">
        <v>192</v>
      </c>
      <c r="J1516" t="s">
        <v>266</v>
      </c>
      <c r="K1516">
        <v>1.7957603014980277E-3</v>
      </c>
      <c r="L1516" t="s">
        <v>166</v>
      </c>
      <c r="N1516" t="s">
        <v>216</v>
      </c>
      <c r="O1516" t="s">
        <v>266</v>
      </c>
      <c r="P1516">
        <v>1.2738519194923619E-2</v>
      </c>
      <c r="Q1516" t="s">
        <v>166</v>
      </c>
      <c r="S1516" t="s">
        <v>233</v>
      </c>
      <c r="T1516" t="s">
        <v>266</v>
      </c>
      <c r="U1516">
        <v>1.1273843514755752E-2</v>
      </c>
      <c r="V1516" t="s">
        <v>166</v>
      </c>
    </row>
    <row r="1517" spans="9:22" x14ac:dyDescent="0.45">
      <c r="I1517" t="s">
        <v>192</v>
      </c>
      <c r="J1517" t="s">
        <v>175</v>
      </c>
      <c r="K1517">
        <v>1.3558344632242634E-3</v>
      </c>
      <c r="L1517" t="s">
        <v>166</v>
      </c>
      <c r="N1517" t="s">
        <v>216</v>
      </c>
      <c r="O1517" t="s">
        <v>175</v>
      </c>
      <c r="P1517">
        <v>1.1182337698089755E-2</v>
      </c>
      <c r="Q1517" t="s">
        <v>166</v>
      </c>
      <c r="S1517" t="s">
        <v>233</v>
      </c>
      <c r="T1517" t="s">
        <v>175</v>
      </c>
      <c r="U1517">
        <v>1.630663106181993E-2</v>
      </c>
      <c r="V1517" t="s">
        <v>166</v>
      </c>
    </row>
    <row r="1518" spans="9:22" x14ac:dyDescent="0.45">
      <c r="I1518" t="s">
        <v>192</v>
      </c>
      <c r="J1518" t="s">
        <v>176</v>
      </c>
      <c r="K1518">
        <v>3.3262693141320253E-3</v>
      </c>
      <c r="L1518" t="s">
        <v>166</v>
      </c>
      <c r="N1518" t="s">
        <v>216</v>
      </c>
      <c r="O1518" t="s">
        <v>176</v>
      </c>
      <c r="P1518">
        <v>8.056472968579519E-4</v>
      </c>
      <c r="Q1518" t="s">
        <v>166</v>
      </c>
      <c r="S1518" t="s">
        <v>233</v>
      </c>
      <c r="T1518" t="s">
        <v>176</v>
      </c>
      <c r="U1518">
        <v>1.4560944535412616E-3</v>
      </c>
      <c r="V1518" t="s">
        <v>166</v>
      </c>
    </row>
    <row r="1519" spans="9:22" x14ac:dyDescent="0.45">
      <c r="I1519" t="s">
        <v>192</v>
      </c>
      <c r="J1519" t="s">
        <v>177</v>
      </c>
      <c r="K1519">
        <v>5.9544114955860247E-2</v>
      </c>
      <c r="L1519" t="s">
        <v>166</v>
      </c>
      <c r="N1519" t="s">
        <v>216</v>
      </c>
      <c r="O1519" t="s">
        <v>177</v>
      </c>
      <c r="P1519">
        <v>7.8195691322832921E-3</v>
      </c>
      <c r="Q1519" t="s">
        <v>166</v>
      </c>
      <c r="S1519" t="s">
        <v>233</v>
      </c>
      <c r="T1519" t="s">
        <v>177</v>
      </c>
      <c r="U1519">
        <v>8.7198217728550673E-3</v>
      </c>
      <c r="V1519" t="s">
        <v>166</v>
      </c>
    </row>
    <row r="1520" spans="9:22" x14ac:dyDescent="0.45">
      <c r="I1520" t="s">
        <v>192</v>
      </c>
      <c r="J1520" t="s">
        <v>267</v>
      </c>
      <c r="K1520">
        <v>7.1094580002092414E-3</v>
      </c>
      <c r="L1520" t="s">
        <v>166</v>
      </c>
      <c r="N1520" t="s">
        <v>216</v>
      </c>
      <c r="O1520" t="s">
        <v>267</v>
      </c>
      <c r="P1520">
        <v>2.0269659672250257E-3</v>
      </c>
      <c r="Q1520" t="s">
        <v>166</v>
      </c>
      <c r="S1520" t="s">
        <v>233</v>
      </c>
      <c r="T1520" t="s">
        <v>267</v>
      </c>
      <c r="U1520">
        <v>1.254738662336921E-3</v>
      </c>
      <c r="V1520" t="s">
        <v>166</v>
      </c>
    </row>
    <row r="1521" spans="9:22" x14ac:dyDescent="0.45">
      <c r="I1521" t="s">
        <v>192</v>
      </c>
      <c r="J1521" t="s">
        <v>268</v>
      </c>
      <c r="K1521">
        <v>7.9330728269894919E-3</v>
      </c>
      <c r="L1521" t="s">
        <v>166</v>
      </c>
      <c r="N1521" t="s">
        <v>216</v>
      </c>
      <c r="O1521" t="s">
        <v>268</v>
      </c>
      <c r="P1521">
        <v>3.4948532995050579E-3</v>
      </c>
      <c r="Q1521" t="s">
        <v>166</v>
      </c>
      <c r="S1521" t="s">
        <v>233</v>
      </c>
      <c r="T1521" t="s">
        <v>268</v>
      </c>
      <c r="U1521">
        <v>2.2426687637936435E-3</v>
      </c>
      <c r="V1521" t="s">
        <v>166</v>
      </c>
    </row>
    <row r="1522" spans="9:22" x14ac:dyDescent="0.45">
      <c r="I1522" t="s">
        <v>192</v>
      </c>
      <c r="J1522" t="s">
        <v>269</v>
      </c>
      <c r="K1522">
        <v>1.3725990011553267E-3</v>
      </c>
      <c r="L1522" t="s">
        <v>166</v>
      </c>
      <c r="N1522" t="s">
        <v>216</v>
      </c>
      <c r="O1522" t="s">
        <v>269</v>
      </c>
      <c r="P1522">
        <v>1.0990607379914953E-2</v>
      </c>
      <c r="Q1522" t="s">
        <v>166</v>
      </c>
      <c r="S1522" t="s">
        <v>233</v>
      </c>
      <c r="T1522" t="s">
        <v>269</v>
      </c>
      <c r="U1522">
        <v>1.1718771308530976E-2</v>
      </c>
      <c r="V1522" t="s">
        <v>166</v>
      </c>
    </row>
    <row r="1523" spans="9:22" x14ac:dyDescent="0.45">
      <c r="I1523" t="s">
        <v>192</v>
      </c>
      <c r="J1523" t="s">
        <v>270</v>
      </c>
      <c r="K1523">
        <v>2.391324633302448E-3</v>
      </c>
      <c r="L1523" t="s">
        <v>166</v>
      </c>
      <c r="N1523" t="s">
        <v>216</v>
      </c>
      <c r="O1523" t="s">
        <v>270</v>
      </c>
      <c r="P1523">
        <v>9.8740471469701066E-3</v>
      </c>
      <c r="Q1523" t="s">
        <v>166</v>
      </c>
      <c r="S1523" t="s">
        <v>233</v>
      </c>
      <c r="T1523" t="s">
        <v>270</v>
      </c>
      <c r="U1523">
        <v>2.1025563167709815E-2</v>
      </c>
      <c r="V1523" t="s">
        <v>166</v>
      </c>
    </row>
    <row r="1524" spans="9:22" x14ac:dyDescent="0.45">
      <c r="I1524" t="s">
        <v>192</v>
      </c>
      <c r="J1524" t="s">
        <v>271</v>
      </c>
      <c r="K1524">
        <v>4.9433345379680232E-3</v>
      </c>
      <c r="L1524" t="s">
        <v>166</v>
      </c>
      <c r="N1524" t="s">
        <v>216</v>
      </c>
      <c r="O1524" t="s">
        <v>271</v>
      </c>
      <c r="P1524">
        <v>8.6668782709180313E-4</v>
      </c>
      <c r="Q1524" t="s">
        <v>166</v>
      </c>
      <c r="S1524" t="s">
        <v>233</v>
      </c>
      <c r="T1524" t="s">
        <v>271</v>
      </c>
      <c r="U1524">
        <v>2.6930511858479049E-3</v>
      </c>
      <c r="V1524" t="s">
        <v>166</v>
      </c>
    </row>
    <row r="1525" spans="9:22" x14ac:dyDescent="0.45">
      <c r="I1525" t="s">
        <v>192</v>
      </c>
      <c r="J1525" t="s">
        <v>272</v>
      </c>
      <c r="K1525">
        <v>6.5878115941292448E-2</v>
      </c>
      <c r="L1525" t="s">
        <v>166</v>
      </c>
      <c r="N1525" t="s">
        <v>216</v>
      </c>
      <c r="O1525" t="s">
        <v>272</v>
      </c>
      <c r="P1525">
        <v>7.3841184661658128E-3</v>
      </c>
      <c r="Q1525" t="s">
        <v>166</v>
      </c>
      <c r="S1525" t="s">
        <v>233</v>
      </c>
      <c r="T1525" t="s">
        <v>272</v>
      </c>
      <c r="U1525">
        <v>1.896229566245481E-2</v>
      </c>
      <c r="V1525" t="s">
        <v>166</v>
      </c>
    </row>
    <row r="1526" spans="9:22" x14ac:dyDescent="0.45">
      <c r="I1526" t="s">
        <v>192</v>
      </c>
      <c r="J1526" t="s">
        <v>273</v>
      </c>
      <c r="K1526">
        <v>7.60898072406083E-3</v>
      </c>
      <c r="L1526" t="s">
        <v>166</v>
      </c>
      <c r="N1526" t="s">
        <v>216</v>
      </c>
      <c r="O1526" t="s">
        <v>273</v>
      </c>
      <c r="P1526">
        <v>1.7925615344579809E-3</v>
      </c>
      <c r="Q1526" t="s">
        <v>166</v>
      </c>
      <c r="S1526" t="s">
        <v>233</v>
      </c>
      <c r="T1526" t="s">
        <v>273</v>
      </c>
      <c r="U1526">
        <v>2.4405823385362292E-3</v>
      </c>
      <c r="V1526" t="s">
        <v>166</v>
      </c>
    </row>
    <row r="1527" spans="9:22" x14ac:dyDescent="0.45">
      <c r="I1527" t="s">
        <v>192</v>
      </c>
      <c r="J1527" t="s">
        <v>274</v>
      </c>
      <c r="K1527">
        <v>8.6577120997025098E-3</v>
      </c>
      <c r="L1527" t="s">
        <v>166</v>
      </c>
      <c r="N1527" t="s">
        <v>216</v>
      </c>
      <c r="O1527" t="s">
        <v>274</v>
      </c>
      <c r="P1527">
        <v>3.6334964846188337E-3</v>
      </c>
      <c r="Q1527" t="s">
        <v>166</v>
      </c>
      <c r="S1527" t="s">
        <v>233</v>
      </c>
      <c r="T1527" t="s">
        <v>274</v>
      </c>
      <c r="U1527">
        <v>4.7904642093893491E-3</v>
      </c>
      <c r="V1527" t="s">
        <v>166</v>
      </c>
    </row>
    <row r="1528" spans="9:22" x14ac:dyDescent="0.45">
      <c r="I1528" t="s">
        <v>192</v>
      </c>
      <c r="J1528" t="s">
        <v>275</v>
      </c>
      <c r="K1528">
        <v>5.7894921139922434E-4</v>
      </c>
      <c r="L1528" t="s">
        <v>166</v>
      </c>
      <c r="N1528" t="s">
        <v>216</v>
      </c>
      <c r="O1528" t="s">
        <v>275</v>
      </c>
      <c r="P1528">
        <v>9.4816819823028003E-3</v>
      </c>
      <c r="Q1528" t="s">
        <v>166</v>
      </c>
      <c r="S1528" t="s">
        <v>233</v>
      </c>
      <c r="T1528" t="s">
        <v>275</v>
      </c>
      <c r="U1528">
        <v>1.362428178158126E-2</v>
      </c>
      <c r="V1528" t="s">
        <v>166</v>
      </c>
    </row>
    <row r="1529" spans="9:22" x14ac:dyDescent="0.45">
      <c r="I1529" t="s">
        <v>192</v>
      </c>
      <c r="J1529" t="s">
        <v>276</v>
      </c>
      <c r="K1529">
        <v>5.7095310449800226E-3</v>
      </c>
      <c r="L1529" t="s">
        <v>166</v>
      </c>
      <c r="N1529" t="s">
        <v>216</v>
      </c>
      <c r="O1529" t="s">
        <v>276</v>
      </c>
      <c r="P1529">
        <v>4.7128480976093345E-2</v>
      </c>
      <c r="Q1529" t="s">
        <v>166</v>
      </c>
      <c r="S1529" t="s">
        <v>233</v>
      </c>
      <c r="T1529" t="s">
        <v>276</v>
      </c>
      <c r="U1529">
        <v>5.1984767576239037E-2</v>
      </c>
      <c r="V1529" t="s">
        <v>166</v>
      </c>
    </row>
    <row r="1530" spans="9:22" x14ac:dyDescent="0.45">
      <c r="I1530" t="s">
        <v>192</v>
      </c>
      <c r="J1530" t="s">
        <v>277</v>
      </c>
      <c r="K1530">
        <v>1.099304963562257E-2</v>
      </c>
      <c r="L1530" t="s">
        <v>166</v>
      </c>
      <c r="N1530" t="s">
        <v>216</v>
      </c>
      <c r="O1530" t="s">
        <v>277</v>
      </c>
      <c r="P1530">
        <v>6.0160657786870915E-3</v>
      </c>
      <c r="Q1530" t="s">
        <v>166</v>
      </c>
      <c r="S1530" t="s">
        <v>233</v>
      </c>
      <c r="T1530" t="s">
        <v>277</v>
      </c>
      <c r="U1530">
        <v>7.0772167628262803E-3</v>
      </c>
      <c r="V1530" t="s">
        <v>166</v>
      </c>
    </row>
    <row r="1531" spans="9:22" x14ac:dyDescent="0.45">
      <c r="I1531" t="s">
        <v>192</v>
      </c>
      <c r="J1531" t="s">
        <v>278</v>
      </c>
      <c r="K1531">
        <v>0.12619434736689988</v>
      </c>
      <c r="L1531" t="s">
        <v>166</v>
      </c>
      <c r="N1531" t="s">
        <v>216</v>
      </c>
      <c r="O1531" t="s">
        <v>278</v>
      </c>
      <c r="P1531">
        <v>5.1308976964552507E-2</v>
      </c>
      <c r="Q1531" t="s">
        <v>166</v>
      </c>
      <c r="S1531" t="s">
        <v>233</v>
      </c>
      <c r="T1531" t="s">
        <v>278</v>
      </c>
      <c r="U1531">
        <v>4.7565727803637249E-2</v>
      </c>
      <c r="V1531" t="s">
        <v>166</v>
      </c>
    </row>
    <row r="1532" spans="9:22" x14ac:dyDescent="0.45">
      <c r="I1532" t="s">
        <v>192</v>
      </c>
      <c r="J1532" t="s">
        <v>279</v>
      </c>
      <c r="K1532">
        <v>1.3972562073549872E-2</v>
      </c>
      <c r="L1532" t="s">
        <v>166</v>
      </c>
      <c r="N1532" t="s">
        <v>216</v>
      </c>
      <c r="O1532" t="s">
        <v>279</v>
      </c>
      <c r="P1532">
        <v>8.2457072850133772E-3</v>
      </c>
      <c r="Q1532" t="s">
        <v>166</v>
      </c>
      <c r="S1532" t="s">
        <v>233</v>
      </c>
      <c r="T1532" t="s">
        <v>279</v>
      </c>
      <c r="U1532">
        <v>6.8111696455724997E-3</v>
      </c>
      <c r="V1532" t="s">
        <v>166</v>
      </c>
    </row>
    <row r="1533" spans="9:22" x14ac:dyDescent="0.45">
      <c r="I1533" t="s">
        <v>192</v>
      </c>
      <c r="J1533" t="s">
        <v>280</v>
      </c>
      <c r="K1533">
        <v>1.5952596900249673E-2</v>
      </c>
      <c r="L1533" t="s">
        <v>166</v>
      </c>
      <c r="N1533" t="s">
        <v>216</v>
      </c>
      <c r="O1533" t="s">
        <v>280</v>
      </c>
      <c r="P1533">
        <v>1.385008540982941E-2</v>
      </c>
      <c r="Q1533" t="s">
        <v>166</v>
      </c>
      <c r="S1533" t="s">
        <v>233</v>
      </c>
      <c r="T1533" t="s">
        <v>280</v>
      </c>
      <c r="U1533">
        <v>1.2768954473535347E-2</v>
      </c>
      <c r="V1533" t="s">
        <v>166</v>
      </c>
    </row>
    <row r="1534" spans="9:22" x14ac:dyDescent="0.45">
      <c r="I1534" t="s">
        <v>192</v>
      </c>
      <c r="J1534" t="s">
        <v>281</v>
      </c>
      <c r="K1534">
        <v>0</v>
      </c>
      <c r="L1534" t="s">
        <v>166</v>
      </c>
      <c r="N1534" t="s">
        <v>216</v>
      </c>
      <c r="O1534" t="s">
        <v>281</v>
      </c>
      <c r="P1534">
        <v>3.2508938035633664E-2</v>
      </c>
      <c r="Q1534" t="s">
        <v>166</v>
      </c>
      <c r="S1534" t="s">
        <v>233</v>
      </c>
      <c r="T1534" t="s">
        <v>281</v>
      </c>
      <c r="U1534">
        <v>3.5701619947640678E-2</v>
      </c>
      <c r="V1534" t="s">
        <v>166</v>
      </c>
    </row>
    <row r="1535" spans="9:22" x14ac:dyDescent="0.45">
      <c r="I1535" t="s">
        <v>192</v>
      </c>
      <c r="J1535" t="s">
        <v>282</v>
      </c>
      <c r="K1535">
        <v>1.0830079644904677E-3</v>
      </c>
      <c r="L1535" t="s">
        <v>166</v>
      </c>
      <c r="N1535" t="s">
        <v>216</v>
      </c>
      <c r="O1535" t="s">
        <v>282</v>
      </c>
      <c r="P1535">
        <v>4.2060615538481498E-2</v>
      </c>
      <c r="Q1535" t="s">
        <v>166</v>
      </c>
      <c r="S1535" t="s">
        <v>233</v>
      </c>
      <c r="T1535" t="s">
        <v>282</v>
      </c>
      <c r="U1535">
        <v>4.8387335955902729E-2</v>
      </c>
      <c r="V1535" t="s">
        <v>166</v>
      </c>
    </row>
    <row r="1536" spans="9:22" x14ac:dyDescent="0.45">
      <c r="I1536" t="s">
        <v>192</v>
      </c>
      <c r="J1536" t="s">
        <v>283</v>
      </c>
      <c r="K1536">
        <v>2.8734961133465471E-3</v>
      </c>
      <c r="L1536" t="s">
        <v>166</v>
      </c>
      <c r="N1536" t="s">
        <v>216</v>
      </c>
      <c r="O1536" t="s">
        <v>283</v>
      </c>
      <c r="P1536">
        <v>5.3905983059097714E-3</v>
      </c>
      <c r="Q1536" t="s">
        <v>166</v>
      </c>
      <c r="S1536" t="s">
        <v>233</v>
      </c>
      <c r="T1536" t="s">
        <v>283</v>
      </c>
      <c r="U1536">
        <v>6.2293432358904843E-3</v>
      </c>
      <c r="V1536" t="s">
        <v>166</v>
      </c>
    </row>
    <row r="1537" spans="9:22" x14ac:dyDescent="0.45">
      <c r="I1537" t="s">
        <v>192</v>
      </c>
      <c r="J1537" t="s">
        <v>284</v>
      </c>
      <c r="K1537">
        <v>4.5858196091454501E-2</v>
      </c>
      <c r="L1537" t="s">
        <v>166</v>
      </c>
      <c r="N1537" t="s">
        <v>216</v>
      </c>
      <c r="O1537" t="s">
        <v>284</v>
      </c>
      <c r="P1537">
        <v>4.2624920100313851E-2</v>
      </c>
      <c r="Q1537" t="s">
        <v>166</v>
      </c>
      <c r="S1537" t="s">
        <v>233</v>
      </c>
      <c r="T1537" t="s">
        <v>284</v>
      </c>
      <c r="U1537">
        <v>4.3802552046412521E-2</v>
      </c>
      <c r="V1537" t="s">
        <v>166</v>
      </c>
    </row>
    <row r="1538" spans="9:22" x14ac:dyDescent="0.45">
      <c r="I1538" t="s">
        <v>192</v>
      </c>
      <c r="J1538" t="s">
        <v>285</v>
      </c>
      <c r="K1538">
        <v>4.5557675515864862E-3</v>
      </c>
      <c r="L1538" t="s">
        <v>166</v>
      </c>
      <c r="N1538" t="s">
        <v>216</v>
      </c>
      <c r="O1538" t="s">
        <v>285</v>
      </c>
      <c r="P1538">
        <v>6.6778811867497833E-3</v>
      </c>
      <c r="Q1538" t="s">
        <v>166</v>
      </c>
      <c r="S1538" t="s">
        <v>233</v>
      </c>
      <c r="T1538" t="s">
        <v>285</v>
      </c>
      <c r="U1538">
        <v>6.3533872297315205E-3</v>
      </c>
      <c r="V1538" t="s">
        <v>166</v>
      </c>
    </row>
    <row r="1539" spans="9:22" x14ac:dyDescent="0.45">
      <c r="I1539" t="s">
        <v>192</v>
      </c>
      <c r="J1539" t="s">
        <v>286</v>
      </c>
      <c r="K1539">
        <v>2.9079428550770935E-3</v>
      </c>
      <c r="L1539" t="s">
        <v>166</v>
      </c>
      <c r="N1539" t="s">
        <v>216</v>
      </c>
      <c r="O1539" t="s">
        <v>286</v>
      </c>
      <c r="P1539">
        <v>1.2099512761522168E-2</v>
      </c>
      <c r="Q1539" t="s">
        <v>166</v>
      </c>
      <c r="S1539" t="s">
        <v>233</v>
      </c>
      <c r="T1539" t="s">
        <v>286</v>
      </c>
      <c r="U1539">
        <v>1.2102694133165623E-2</v>
      </c>
      <c r="V1539" t="s">
        <v>166</v>
      </c>
    </row>
    <row r="1540" spans="9:22" x14ac:dyDescent="0.45">
      <c r="I1540" t="s">
        <v>192</v>
      </c>
      <c r="J1540" t="s">
        <v>287</v>
      </c>
      <c r="K1540">
        <v>0</v>
      </c>
      <c r="L1540" t="s">
        <v>166</v>
      </c>
      <c r="N1540" t="s">
        <v>216</v>
      </c>
      <c r="O1540" t="s">
        <v>287</v>
      </c>
      <c r="P1540">
        <v>3.0889049583240534E-2</v>
      </c>
      <c r="Q1540" t="s">
        <v>166</v>
      </c>
      <c r="S1540" t="s">
        <v>233</v>
      </c>
      <c r="T1540" t="s">
        <v>287</v>
      </c>
      <c r="U1540">
        <v>3.2529673944690946E-2</v>
      </c>
      <c r="V1540" t="s">
        <v>166</v>
      </c>
    </row>
    <row r="1541" spans="9:22" x14ac:dyDescent="0.45">
      <c r="I1541" t="s">
        <v>192</v>
      </c>
      <c r="J1541" t="s">
        <v>288</v>
      </c>
      <c r="K1541">
        <v>1.0917325028035777E-5</v>
      </c>
      <c r="L1541" t="s">
        <v>166</v>
      </c>
      <c r="N1541" t="s">
        <v>216</v>
      </c>
      <c r="O1541" t="s">
        <v>288</v>
      </c>
      <c r="P1541">
        <v>4.3916345615606492E-2</v>
      </c>
      <c r="Q1541" t="s">
        <v>166</v>
      </c>
      <c r="S1541" t="s">
        <v>233</v>
      </c>
      <c r="T1541" t="s">
        <v>288</v>
      </c>
      <c r="U1541">
        <v>3.8989552557167739E-2</v>
      </c>
      <c r="V1541" t="s">
        <v>166</v>
      </c>
    </row>
    <row r="1542" spans="9:22" x14ac:dyDescent="0.45">
      <c r="I1542" t="s">
        <v>192</v>
      </c>
      <c r="J1542" t="s">
        <v>289</v>
      </c>
      <c r="K1542">
        <v>5.0084611745187914E-3</v>
      </c>
      <c r="L1542" t="s">
        <v>166</v>
      </c>
      <c r="N1542" t="s">
        <v>216</v>
      </c>
      <c r="O1542" t="s">
        <v>289</v>
      </c>
      <c r="P1542">
        <v>6.4047812265292893E-3</v>
      </c>
      <c r="Q1542" t="s">
        <v>166</v>
      </c>
      <c r="S1542" t="s">
        <v>233</v>
      </c>
      <c r="T1542" t="s">
        <v>289</v>
      </c>
      <c r="U1542">
        <v>5.4017517761823343E-3</v>
      </c>
      <c r="V1542" t="s">
        <v>166</v>
      </c>
    </row>
    <row r="1543" spans="9:22" x14ac:dyDescent="0.45">
      <c r="I1543" t="s">
        <v>192</v>
      </c>
      <c r="J1543" t="s">
        <v>290</v>
      </c>
      <c r="K1543">
        <v>6.8494216548114814E-2</v>
      </c>
      <c r="L1543" t="s">
        <v>166</v>
      </c>
      <c r="N1543" t="s">
        <v>216</v>
      </c>
      <c r="O1543" t="s">
        <v>290</v>
      </c>
      <c r="P1543">
        <v>4.5350562210216154E-2</v>
      </c>
      <c r="Q1543" t="s">
        <v>166</v>
      </c>
      <c r="S1543" t="s">
        <v>233</v>
      </c>
      <c r="T1543" t="s">
        <v>290</v>
      </c>
      <c r="U1543">
        <v>3.3019370736647471E-2</v>
      </c>
      <c r="V1543" t="s">
        <v>166</v>
      </c>
    </row>
    <row r="1544" spans="9:22" x14ac:dyDescent="0.45">
      <c r="I1544" t="s">
        <v>192</v>
      </c>
      <c r="J1544" t="s">
        <v>291</v>
      </c>
      <c r="K1544">
        <v>6.983072914475032E-3</v>
      </c>
      <c r="L1544" t="s">
        <v>166</v>
      </c>
      <c r="N1544" t="s">
        <v>216</v>
      </c>
      <c r="O1544" t="s">
        <v>291</v>
      </c>
      <c r="P1544">
        <v>6.3284761351395579E-3</v>
      </c>
      <c r="Q1544" t="s">
        <v>166</v>
      </c>
      <c r="S1544" t="s">
        <v>233</v>
      </c>
      <c r="T1544" t="s">
        <v>291</v>
      </c>
      <c r="U1544">
        <v>3.876989374422728E-3</v>
      </c>
      <c r="V1544" t="s">
        <v>166</v>
      </c>
    </row>
    <row r="1545" spans="9:22" x14ac:dyDescent="0.45">
      <c r="I1545" t="s">
        <v>192</v>
      </c>
      <c r="J1545" t="s">
        <v>292</v>
      </c>
      <c r="K1545">
        <v>4.5360392650772583E-3</v>
      </c>
      <c r="L1545" t="s">
        <v>166</v>
      </c>
      <c r="N1545" t="s">
        <v>216</v>
      </c>
      <c r="O1545" t="s">
        <v>292</v>
      </c>
      <c r="P1545">
        <v>1.0101671748332309E-2</v>
      </c>
      <c r="Q1545" t="s">
        <v>166</v>
      </c>
      <c r="S1545" t="s">
        <v>233</v>
      </c>
      <c r="T1545" t="s">
        <v>292</v>
      </c>
      <c r="U1545">
        <v>6.0847098406125186E-3</v>
      </c>
      <c r="V1545" t="s">
        <v>166</v>
      </c>
    </row>
    <row r="1546" spans="9:22" x14ac:dyDescent="0.45">
      <c r="I1546" t="s">
        <v>192</v>
      </c>
      <c r="J1546" t="s">
        <v>293</v>
      </c>
      <c r="K1546">
        <v>0</v>
      </c>
      <c r="L1546" t="s">
        <v>166</v>
      </c>
      <c r="N1546" t="s">
        <v>216</v>
      </c>
      <c r="O1546" t="s">
        <v>293</v>
      </c>
      <c r="P1546">
        <v>2.3240565999398076E-2</v>
      </c>
      <c r="Q1546" t="s">
        <v>166</v>
      </c>
      <c r="S1546" t="s">
        <v>233</v>
      </c>
      <c r="T1546" t="s">
        <v>293</v>
      </c>
      <c r="U1546">
        <v>1.7304597538518922E-2</v>
      </c>
      <c r="V1546" t="s">
        <v>166</v>
      </c>
    </row>
    <row r="1547" spans="9:22" x14ac:dyDescent="0.45">
      <c r="I1547" t="s">
        <v>193</v>
      </c>
      <c r="J1547" t="s">
        <v>165</v>
      </c>
      <c r="K1547">
        <v>6.6907991145189576E-3</v>
      </c>
      <c r="L1547" t="s">
        <v>166</v>
      </c>
      <c r="N1547" t="s">
        <v>217</v>
      </c>
      <c r="O1547" t="s">
        <v>165</v>
      </c>
      <c r="P1547">
        <v>0.11052180231559901</v>
      </c>
      <c r="Q1547" t="s">
        <v>166</v>
      </c>
      <c r="S1547" t="s">
        <v>234</v>
      </c>
      <c r="T1547" t="s">
        <v>165</v>
      </c>
      <c r="U1547">
        <v>0.13115618672390997</v>
      </c>
      <c r="V1547" t="s">
        <v>166</v>
      </c>
    </row>
    <row r="1548" spans="9:22" x14ac:dyDescent="0.45">
      <c r="I1548" t="s">
        <v>193</v>
      </c>
      <c r="J1548" t="s">
        <v>167</v>
      </c>
      <c r="K1548">
        <v>1.8630139509568849E-2</v>
      </c>
      <c r="L1548" t="s">
        <v>166</v>
      </c>
      <c r="N1548" t="s">
        <v>217</v>
      </c>
      <c r="O1548" t="s">
        <v>167</v>
      </c>
      <c r="P1548">
        <v>1.1780844051073346E-2</v>
      </c>
      <c r="Q1548" t="s">
        <v>166</v>
      </c>
      <c r="S1548" t="s">
        <v>234</v>
      </c>
      <c r="T1548" t="s">
        <v>167</v>
      </c>
      <c r="U1548">
        <v>1.5963453502553286E-2</v>
      </c>
      <c r="V1548" t="s">
        <v>166</v>
      </c>
    </row>
    <row r="1549" spans="9:22" x14ac:dyDescent="0.45">
      <c r="I1549" t="s">
        <v>193</v>
      </c>
      <c r="J1549" t="s">
        <v>168</v>
      </c>
      <c r="K1549">
        <v>0.25625537108418922</v>
      </c>
      <c r="L1549" t="s">
        <v>166</v>
      </c>
      <c r="N1549" t="s">
        <v>217</v>
      </c>
      <c r="O1549" t="s">
        <v>168</v>
      </c>
      <c r="P1549">
        <v>9.5213341129495047E-2</v>
      </c>
      <c r="Q1549" t="s">
        <v>166</v>
      </c>
      <c r="S1549" t="s">
        <v>234</v>
      </c>
      <c r="T1549" t="s">
        <v>168</v>
      </c>
      <c r="U1549">
        <v>0.1071842432462865</v>
      </c>
      <c r="V1549" t="s">
        <v>166</v>
      </c>
    </row>
    <row r="1550" spans="9:22" x14ac:dyDescent="0.45">
      <c r="I1550" t="s">
        <v>193</v>
      </c>
      <c r="J1550" t="s">
        <v>258</v>
      </c>
      <c r="K1550">
        <v>3.2248370032050631E-2</v>
      </c>
      <c r="L1550" t="s">
        <v>166</v>
      </c>
      <c r="N1550" t="s">
        <v>217</v>
      </c>
      <c r="O1550" t="s">
        <v>258</v>
      </c>
      <c r="P1550">
        <v>1.8742535396113969E-2</v>
      </c>
      <c r="Q1550" t="s">
        <v>166</v>
      </c>
      <c r="S1550" t="s">
        <v>234</v>
      </c>
      <c r="T1550" t="s">
        <v>258</v>
      </c>
      <c r="U1550">
        <v>1.6483789337524393E-2</v>
      </c>
      <c r="V1550" t="s">
        <v>166</v>
      </c>
    </row>
    <row r="1551" spans="9:22" x14ac:dyDescent="0.45">
      <c r="I1551" t="s">
        <v>193</v>
      </c>
      <c r="J1551" t="s">
        <v>259</v>
      </c>
      <c r="K1551">
        <v>4.2126688411088013E-2</v>
      </c>
      <c r="L1551" t="s">
        <v>166</v>
      </c>
      <c r="N1551" t="s">
        <v>217</v>
      </c>
      <c r="O1551" t="s">
        <v>259</v>
      </c>
      <c r="P1551">
        <v>3.5553319449008719E-2</v>
      </c>
      <c r="Q1551" t="s">
        <v>166</v>
      </c>
      <c r="S1551" t="s">
        <v>234</v>
      </c>
      <c r="T1551" t="s">
        <v>259</v>
      </c>
      <c r="U1551">
        <v>2.9951277416499056E-2</v>
      </c>
      <c r="V1551" t="s">
        <v>166</v>
      </c>
    </row>
    <row r="1552" spans="9:22" x14ac:dyDescent="0.45">
      <c r="I1552" t="s">
        <v>193</v>
      </c>
      <c r="J1552" t="s">
        <v>260</v>
      </c>
      <c r="K1552">
        <v>0</v>
      </c>
      <c r="L1552" t="s">
        <v>166</v>
      </c>
      <c r="N1552" t="s">
        <v>217</v>
      </c>
      <c r="O1552" t="s">
        <v>260</v>
      </c>
      <c r="P1552">
        <v>9.2553451327848091E-2</v>
      </c>
      <c r="Q1552" t="s">
        <v>166</v>
      </c>
      <c r="S1552" t="s">
        <v>234</v>
      </c>
      <c r="T1552" t="s">
        <v>260</v>
      </c>
      <c r="U1552">
        <v>8.5875482978793313E-2</v>
      </c>
      <c r="V1552" t="s">
        <v>166</v>
      </c>
    </row>
    <row r="1553" spans="9:22" x14ac:dyDescent="0.45">
      <c r="I1553" t="s">
        <v>193</v>
      </c>
      <c r="J1553" t="s">
        <v>346</v>
      </c>
      <c r="K1553">
        <v>0</v>
      </c>
      <c r="L1553" t="s">
        <v>166</v>
      </c>
      <c r="N1553" t="s">
        <v>217</v>
      </c>
      <c r="O1553" t="s">
        <v>346</v>
      </c>
      <c r="P1553">
        <v>1.645445605300554E-4</v>
      </c>
      <c r="Q1553" t="s">
        <v>166</v>
      </c>
      <c r="S1553" t="s">
        <v>234</v>
      </c>
      <c r="T1553" t="s">
        <v>346</v>
      </c>
      <c r="U1553">
        <v>7.748633519575281E-5</v>
      </c>
      <c r="V1553" t="s">
        <v>166</v>
      </c>
    </row>
    <row r="1554" spans="9:22" x14ac:dyDescent="0.45">
      <c r="I1554" t="s">
        <v>193</v>
      </c>
      <c r="J1554" t="s">
        <v>347</v>
      </c>
      <c r="K1554">
        <v>0</v>
      </c>
      <c r="L1554" t="s">
        <v>166</v>
      </c>
      <c r="N1554" t="s">
        <v>217</v>
      </c>
      <c r="O1554" t="s">
        <v>347</v>
      </c>
      <c r="P1554">
        <v>1.5796718408413803E-4</v>
      </c>
      <c r="Q1554" t="s">
        <v>166</v>
      </c>
      <c r="S1554" t="s">
        <v>234</v>
      </c>
      <c r="T1554" t="s">
        <v>347</v>
      </c>
      <c r="U1554">
        <v>6.7276100551266191E-5</v>
      </c>
      <c r="V1554" t="s">
        <v>166</v>
      </c>
    </row>
    <row r="1555" spans="9:22" x14ac:dyDescent="0.45">
      <c r="I1555" t="s">
        <v>193</v>
      </c>
      <c r="J1555" t="s">
        <v>348</v>
      </c>
      <c r="K1555">
        <v>0</v>
      </c>
      <c r="L1555" t="s">
        <v>166</v>
      </c>
      <c r="N1555" t="s">
        <v>217</v>
      </c>
      <c r="O1555" t="s">
        <v>348</v>
      </c>
      <c r="P1555">
        <v>1.3686429417667111E-4</v>
      </c>
      <c r="Q1555" t="s">
        <v>166</v>
      </c>
      <c r="S1555" t="s">
        <v>234</v>
      </c>
      <c r="T1555" t="s">
        <v>348</v>
      </c>
      <c r="U1555">
        <v>6.0234644904335663E-5</v>
      </c>
      <c r="V1555" t="s">
        <v>166</v>
      </c>
    </row>
    <row r="1556" spans="9:22" x14ac:dyDescent="0.45">
      <c r="I1556" t="s">
        <v>193</v>
      </c>
      <c r="J1556" t="s">
        <v>349</v>
      </c>
      <c r="K1556">
        <v>0</v>
      </c>
      <c r="L1556" t="s">
        <v>166</v>
      </c>
      <c r="N1556" t="s">
        <v>217</v>
      </c>
      <c r="O1556" t="s">
        <v>349</v>
      </c>
      <c r="P1556">
        <v>1.2274312717777864E-4</v>
      </c>
      <c r="Q1556" t="s">
        <v>166</v>
      </c>
      <c r="S1556" t="s">
        <v>234</v>
      </c>
      <c r="T1556" t="s">
        <v>349</v>
      </c>
      <c r="U1556">
        <v>5.8781038666397055E-5</v>
      </c>
      <c r="V1556" t="s">
        <v>166</v>
      </c>
    </row>
    <row r="1557" spans="9:22" x14ac:dyDescent="0.45">
      <c r="I1557" t="s">
        <v>193</v>
      </c>
      <c r="J1557" t="s">
        <v>350</v>
      </c>
      <c r="K1557">
        <v>0</v>
      </c>
      <c r="L1557" t="s">
        <v>166</v>
      </c>
      <c r="N1557" t="s">
        <v>217</v>
      </c>
      <c r="O1557" t="s">
        <v>350</v>
      </c>
      <c r="P1557">
        <v>1.2070523037029809E-4</v>
      </c>
      <c r="Q1557" t="s">
        <v>166</v>
      </c>
      <c r="S1557" t="s">
        <v>234</v>
      </c>
      <c r="T1557" t="s">
        <v>350</v>
      </c>
      <c r="U1557">
        <v>6.3547091864630886E-5</v>
      </c>
      <c r="V1557" t="s">
        <v>166</v>
      </c>
    </row>
    <row r="1558" spans="9:22" x14ac:dyDescent="0.45">
      <c r="I1558" t="s">
        <v>193</v>
      </c>
      <c r="J1558" t="s">
        <v>351</v>
      </c>
      <c r="K1558">
        <v>0</v>
      </c>
      <c r="L1558" t="s">
        <v>166</v>
      </c>
      <c r="N1558" t="s">
        <v>217</v>
      </c>
      <c r="O1558" t="s">
        <v>351</v>
      </c>
      <c r="P1558">
        <v>1.003181906340015E-4</v>
      </c>
      <c r="Q1558" t="s">
        <v>166</v>
      </c>
      <c r="S1558" t="s">
        <v>234</v>
      </c>
      <c r="T1558" t="s">
        <v>351</v>
      </c>
      <c r="U1558">
        <v>4.8998545746697637E-5</v>
      </c>
      <c r="V1558" t="s">
        <v>166</v>
      </c>
    </row>
    <row r="1559" spans="9:22" x14ac:dyDescent="0.45">
      <c r="I1559" t="s">
        <v>193</v>
      </c>
      <c r="J1559" t="s">
        <v>352</v>
      </c>
      <c r="K1559">
        <v>0</v>
      </c>
      <c r="L1559" t="s">
        <v>166</v>
      </c>
      <c r="N1559" t="s">
        <v>217</v>
      </c>
      <c r="O1559" t="s">
        <v>352</v>
      </c>
      <c r="P1559">
        <v>1.1302268595095275E-4</v>
      </c>
      <c r="Q1559" t="s">
        <v>166</v>
      </c>
      <c r="S1559" t="s">
        <v>234</v>
      </c>
      <c r="T1559" t="s">
        <v>352</v>
      </c>
      <c r="U1559">
        <v>5.469075189463046E-5</v>
      </c>
      <c r="V1559" t="s">
        <v>166</v>
      </c>
    </row>
    <row r="1560" spans="9:22" x14ac:dyDescent="0.45">
      <c r="I1560" t="s">
        <v>193</v>
      </c>
      <c r="J1560" t="s">
        <v>353</v>
      </c>
      <c r="K1560">
        <v>0</v>
      </c>
      <c r="L1560" t="s">
        <v>166</v>
      </c>
      <c r="N1560" t="s">
        <v>217</v>
      </c>
      <c r="O1560" t="s">
        <v>353</v>
      </c>
      <c r="P1560">
        <v>1.3754909969956991E-4</v>
      </c>
      <c r="Q1560" t="s">
        <v>166</v>
      </c>
      <c r="S1560" t="s">
        <v>234</v>
      </c>
      <c r="T1560" t="s">
        <v>353</v>
      </c>
      <c r="U1560">
        <v>7.0025397205507751E-5</v>
      </c>
      <c r="V1560" t="s">
        <v>166</v>
      </c>
    </row>
    <row r="1561" spans="9:22" x14ac:dyDescent="0.45">
      <c r="I1561" t="s">
        <v>193</v>
      </c>
      <c r="J1561" t="s">
        <v>354</v>
      </c>
      <c r="K1561">
        <v>4.7505573531174491E-5</v>
      </c>
      <c r="L1561" t="s">
        <v>166</v>
      </c>
      <c r="N1561" t="s">
        <v>217</v>
      </c>
      <c r="O1561" t="s">
        <v>354</v>
      </c>
      <c r="P1561">
        <v>1.4789723214415348E-4</v>
      </c>
      <c r="Q1561" t="s">
        <v>166</v>
      </c>
      <c r="S1561" t="s">
        <v>234</v>
      </c>
      <c r="T1561" t="s">
        <v>354</v>
      </c>
      <c r="U1561">
        <v>8.1314331249011498E-5</v>
      </c>
      <c r="V1561" t="s">
        <v>166</v>
      </c>
    </row>
    <row r="1562" spans="9:22" x14ac:dyDescent="0.45">
      <c r="I1562" t="s">
        <v>193</v>
      </c>
      <c r="J1562" t="s">
        <v>355</v>
      </c>
      <c r="K1562">
        <v>9.6139507352109363E-5</v>
      </c>
      <c r="L1562" t="s">
        <v>166</v>
      </c>
      <c r="N1562" t="s">
        <v>217</v>
      </c>
      <c r="O1562" t="s">
        <v>355</v>
      </c>
      <c r="P1562">
        <v>1.541409278340609E-4</v>
      </c>
      <c r="Q1562" t="s">
        <v>166</v>
      </c>
      <c r="S1562" t="s">
        <v>234</v>
      </c>
      <c r="T1562" t="s">
        <v>355</v>
      </c>
      <c r="U1562">
        <v>8.3132258625505075E-5</v>
      </c>
      <c r="V1562" t="s">
        <v>166</v>
      </c>
    </row>
    <row r="1563" spans="9:22" x14ac:dyDescent="0.45">
      <c r="I1563" t="s">
        <v>193</v>
      </c>
      <c r="J1563" t="s">
        <v>356</v>
      </c>
      <c r="K1563">
        <v>1.7439880303697839E-4</v>
      </c>
      <c r="L1563" t="s">
        <v>166</v>
      </c>
      <c r="N1563" t="s">
        <v>217</v>
      </c>
      <c r="O1563" t="s">
        <v>356</v>
      </c>
      <c r="P1563">
        <v>1.3251959746583565E-4</v>
      </c>
      <c r="Q1563" t="s">
        <v>166</v>
      </c>
      <c r="S1563" t="s">
        <v>234</v>
      </c>
      <c r="T1563" t="s">
        <v>356</v>
      </c>
      <c r="U1563">
        <v>7.5217078743428087E-5</v>
      </c>
      <c r="V1563" t="s">
        <v>166</v>
      </c>
    </row>
    <row r="1564" spans="9:22" x14ac:dyDescent="0.45">
      <c r="I1564" t="s">
        <v>193</v>
      </c>
      <c r="J1564" t="s">
        <v>357</v>
      </c>
      <c r="K1564">
        <v>2.2468392644231714E-4</v>
      </c>
      <c r="L1564" t="s">
        <v>166</v>
      </c>
      <c r="N1564" t="s">
        <v>217</v>
      </c>
      <c r="O1564" t="s">
        <v>357</v>
      </c>
      <c r="P1564">
        <v>1.0904169808254299E-4</v>
      </c>
      <c r="Q1564" t="s">
        <v>166</v>
      </c>
      <c r="S1564" t="s">
        <v>234</v>
      </c>
      <c r="T1564" t="s">
        <v>357</v>
      </c>
      <c r="U1564">
        <v>6.8780589852531499E-5</v>
      </c>
      <c r="V1564" t="s">
        <v>166</v>
      </c>
    </row>
    <row r="1565" spans="9:22" x14ac:dyDescent="0.45">
      <c r="I1565" t="s">
        <v>193</v>
      </c>
      <c r="J1565" t="s">
        <v>358</v>
      </c>
      <c r="K1565">
        <v>2.272559900531394E-4</v>
      </c>
      <c r="L1565" t="s">
        <v>166</v>
      </c>
      <c r="N1565" t="s">
        <v>217</v>
      </c>
      <c r="O1565" t="s">
        <v>358</v>
      </c>
      <c r="P1565">
        <v>9.9073020601219845E-5</v>
      </c>
      <c r="Q1565" t="s">
        <v>166</v>
      </c>
      <c r="S1565" t="s">
        <v>234</v>
      </c>
      <c r="T1565" t="s">
        <v>358</v>
      </c>
      <c r="U1565">
        <v>5.3379273294393699E-5</v>
      </c>
      <c r="V1565" t="s">
        <v>166</v>
      </c>
    </row>
    <row r="1566" spans="9:22" x14ac:dyDescent="0.45">
      <c r="I1566" t="s">
        <v>193</v>
      </c>
      <c r="J1566" t="s">
        <v>359</v>
      </c>
      <c r="K1566">
        <v>2.208290149714105E-4</v>
      </c>
      <c r="L1566" t="s">
        <v>166</v>
      </c>
      <c r="N1566" t="s">
        <v>217</v>
      </c>
      <c r="O1566" t="s">
        <v>359</v>
      </c>
      <c r="P1566">
        <v>1.0164196256083049E-4</v>
      </c>
      <c r="Q1566" t="s">
        <v>166</v>
      </c>
      <c r="S1566" t="s">
        <v>234</v>
      </c>
      <c r="T1566" t="s">
        <v>359</v>
      </c>
      <c r="U1566">
        <v>4.1951396999328484E-5</v>
      </c>
      <c r="V1566" t="s">
        <v>166</v>
      </c>
    </row>
    <row r="1567" spans="9:22" x14ac:dyDescent="0.45">
      <c r="I1567" t="s">
        <v>193</v>
      </c>
      <c r="J1567" t="s">
        <v>360</v>
      </c>
      <c r="K1567">
        <v>2.3426258703367766E-4</v>
      </c>
      <c r="L1567" t="s">
        <v>166</v>
      </c>
      <c r="N1567" t="s">
        <v>217</v>
      </c>
      <c r="O1567" t="s">
        <v>360</v>
      </c>
      <c r="P1567">
        <v>1.0422400321836244E-4</v>
      </c>
      <c r="Q1567" t="s">
        <v>166</v>
      </c>
      <c r="S1567" t="s">
        <v>234</v>
      </c>
      <c r="T1567" t="s">
        <v>360</v>
      </c>
      <c r="U1567">
        <v>3.1433598767730231E-5</v>
      </c>
      <c r="V1567" t="s">
        <v>166</v>
      </c>
    </row>
    <row r="1568" spans="9:22" x14ac:dyDescent="0.45">
      <c r="I1568" t="s">
        <v>193</v>
      </c>
      <c r="J1568" t="s">
        <v>361</v>
      </c>
      <c r="K1568">
        <v>1.978211790699575E-4</v>
      </c>
      <c r="L1568" t="s">
        <v>166</v>
      </c>
      <c r="N1568" t="s">
        <v>217</v>
      </c>
      <c r="O1568" t="s">
        <v>361</v>
      </c>
      <c r="P1568">
        <v>9.5865873175386465E-5</v>
      </c>
      <c r="Q1568" t="s">
        <v>166</v>
      </c>
      <c r="S1568" t="s">
        <v>234</v>
      </c>
      <c r="T1568" t="s">
        <v>361</v>
      </c>
      <c r="U1568">
        <v>2.1846179434810913E-5</v>
      </c>
      <c r="V1568" t="s">
        <v>166</v>
      </c>
    </row>
    <row r="1569" spans="9:22" x14ac:dyDescent="0.45">
      <c r="I1569" t="s">
        <v>193</v>
      </c>
      <c r="J1569" t="s">
        <v>362</v>
      </c>
      <c r="K1569">
        <v>1.5671953225102175E-4</v>
      </c>
      <c r="L1569" t="s">
        <v>166</v>
      </c>
      <c r="N1569" t="s">
        <v>217</v>
      </c>
      <c r="O1569" t="s">
        <v>362</v>
      </c>
      <c r="P1569">
        <v>9.6772304986264299E-5</v>
      </c>
      <c r="Q1569" t="s">
        <v>166</v>
      </c>
      <c r="S1569" t="s">
        <v>234</v>
      </c>
      <c r="T1569" t="s">
        <v>362</v>
      </c>
      <c r="U1569">
        <v>1.9440413741198247E-5</v>
      </c>
      <c r="V1569" t="s">
        <v>166</v>
      </c>
    </row>
    <row r="1570" spans="9:22" x14ac:dyDescent="0.45">
      <c r="I1570" t="s">
        <v>193</v>
      </c>
      <c r="J1570" t="s">
        <v>363</v>
      </c>
      <c r="K1570">
        <v>1.2601438957885971E-4</v>
      </c>
      <c r="L1570" t="s">
        <v>166</v>
      </c>
      <c r="N1570" t="s">
        <v>217</v>
      </c>
      <c r="O1570" t="s">
        <v>363</v>
      </c>
      <c r="P1570">
        <v>1.0603285830384909E-4</v>
      </c>
      <c r="Q1570" t="s">
        <v>166</v>
      </c>
      <c r="S1570" t="s">
        <v>234</v>
      </c>
      <c r="T1570" t="s">
        <v>363</v>
      </c>
      <c r="U1570">
        <v>1.1801962432409336E-5</v>
      </c>
      <c r="V1570" t="s">
        <v>166</v>
      </c>
    </row>
    <row r="1571" spans="9:22" x14ac:dyDescent="0.45">
      <c r="I1571" t="s">
        <v>193</v>
      </c>
      <c r="J1571" t="s">
        <v>364</v>
      </c>
      <c r="K1571">
        <v>9.3561477412667011E-5</v>
      </c>
      <c r="L1571" t="s">
        <v>166</v>
      </c>
      <c r="N1571" t="s">
        <v>217</v>
      </c>
      <c r="O1571" t="s">
        <v>364</v>
      </c>
      <c r="P1571">
        <v>1.3867961620845021E-4</v>
      </c>
      <c r="Q1571" t="s">
        <v>166</v>
      </c>
      <c r="S1571" t="s">
        <v>234</v>
      </c>
      <c r="T1571" t="s">
        <v>364</v>
      </c>
      <c r="U1571">
        <v>1.5309631780424602E-5</v>
      </c>
      <c r="V1571" t="s">
        <v>166</v>
      </c>
    </row>
    <row r="1572" spans="9:22" x14ac:dyDescent="0.45">
      <c r="I1572" t="s">
        <v>193</v>
      </c>
      <c r="J1572" t="s">
        <v>365</v>
      </c>
      <c r="K1572">
        <v>0</v>
      </c>
      <c r="L1572" t="s">
        <v>166</v>
      </c>
      <c r="N1572" t="s">
        <v>217</v>
      </c>
      <c r="O1572" t="s">
        <v>365</v>
      </c>
      <c r="P1572">
        <v>1.4422475670136453E-4</v>
      </c>
      <c r="Q1572" t="s">
        <v>166</v>
      </c>
      <c r="S1572" t="s">
        <v>234</v>
      </c>
      <c r="T1572" t="s">
        <v>365</v>
      </c>
      <c r="U1572">
        <v>2.0362135803979203E-5</v>
      </c>
      <c r="V1572" t="s">
        <v>166</v>
      </c>
    </row>
    <row r="1573" spans="9:22" x14ac:dyDescent="0.45">
      <c r="I1573" t="s">
        <v>193</v>
      </c>
      <c r="J1573" t="s">
        <v>366</v>
      </c>
      <c r="K1573">
        <v>0</v>
      </c>
      <c r="L1573" t="s">
        <v>166</v>
      </c>
      <c r="N1573" t="s">
        <v>217</v>
      </c>
      <c r="O1573" t="s">
        <v>366</v>
      </c>
      <c r="P1573">
        <v>1.4084900490347833E-4</v>
      </c>
      <c r="Q1573" t="s">
        <v>166</v>
      </c>
      <c r="S1573" t="s">
        <v>234</v>
      </c>
      <c r="T1573" t="s">
        <v>366</v>
      </c>
      <c r="U1573">
        <v>2.650506057509625E-5</v>
      </c>
      <c r="V1573" t="s">
        <v>166</v>
      </c>
    </row>
    <row r="1574" spans="9:22" x14ac:dyDescent="0.45">
      <c r="I1574" t="s">
        <v>193</v>
      </c>
      <c r="J1574" t="s">
        <v>367</v>
      </c>
      <c r="K1574">
        <v>0</v>
      </c>
      <c r="L1574" t="s">
        <v>166</v>
      </c>
      <c r="N1574" t="s">
        <v>217</v>
      </c>
      <c r="O1574" t="s">
        <v>367</v>
      </c>
      <c r="P1574">
        <v>1.2300768854201096E-4</v>
      </c>
      <c r="Q1574" t="s">
        <v>166</v>
      </c>
      <c r="S1574" t="s">
        <v>234</v>
      </c>
      <c r="T1574" t="s">
        <v>367</v>
      </c>
      <c r="U1574">
        <v>3.6944455262131979E-5</v>
      </c>
      <c r="V1574" t="s">
        <v>166</v>
      </c>
    </row>
    <row r="1575" spans="9:22" x14ac:dyDescent="0.45">
      <c r="I1575" t="s">
        <v>193</v>
      </c>
      <c r="J1575" t="s">
        <v>368</v>
      </c>
      <c r="K1575">
        <v>0</v>
      </c>
      <c r="L1575" t="s">
        <v>166</v>
      </c>
      <c r="N1575" t="s">
        <v>217</v>
      </c>
      <c r="O1575" t="s">
        <v>368</v>
      </c>
      <c r="P1575">
        <v>1.0317900281159598E-4</v>
      </c>
      <c r="Q1575" t="s">
        <v>166</v>
      </c>
      <c r="S1575" t="s">
        <v>234</v>
      </c>
      <c r="T1575" t="s">
        <v>368</v>
      </c>
      <c r="U1575">
        <v>5.6851443960226988E-5</v>
      </c>
      <c r="V1575" t="s">
        <v>166</v>
      </c>
    </row>
    <row r="1576" spans="9:22" x14ac:dyDescent="0.45">
      <c r="I1576" t="s">
        <v>193</v>
      </c>
      <c r="J1576" t="s">
        <v>369</v>
      </c>
      <c r="K1576">
        <v>0</v>
      </c>
      <c r="L1576" t="s">
        <v>166</v>
      </c>
      <c r="N1576" t="s">
        <v>217</v>
      </c>
      <c r="O1576" t="s">
        <v>369</v>
      </c>
      <c r="P1576">
        <v>8.6893720771837109E-5</v>
      </c>
      <c r="Q1576" t="s">
        <v>166</v>
      </c>
      <c r="S1576" t="s">
        <v>234</v>
      </c>
      <c r="T1576" t="s">
        <v>369</v>
      </c>
      <c r="U1576">
        <v>7.2706781968724071E-5</v>
      </c>
      <c r="V1576" t="s">
        <v>166</v>
      </c>
    </row>
    <row r="1577" spans="9:22" x14ac:dyDescent="0.45">
      <c r="I1577" t="s">
        <v>193</v>
      </c>
      <c r="J1577" t="s">
        <v>370</v>
      </c>
      <c r="K1577">
        <v>0</v>
      </c>
      <c r="L1577" t="s">
        <v>166</v>
      </c>
      <c r="N1577" t="s">
        <v>217</v>
      </c>
      <c r="O1577" t="s">
        <v>370</v>
      </c>
      <c r="P1577">
        <v>3.0341105228234324E-4</v>
      </c>
      <c r="Q1577" t="s">
        <v>166</v>
      </c>
      <c r="S1577" t="s">
        <v>234</v>
      </c>
      <c r="T1577" t="s">
        <v>370</v>
      </c>
      <c r="U1577">
        <v>1.2463679598167534E-4</v>
      </c>
      <c r="V1577" t="s">
        <v>166</v>
      </c>
    </row>
    <row r="1578" spans="9:22" x14ac:dyDescent="0.45">
      <c r="I1578" t="s">
        <v>193</v>
      </c>
      <c r="J1578" t="s">
        <v>371</v>
      </c>
      <c r="K1578">
        <v>0</v>
      </c>
      <c r="L1578" t="s">
        <v>166</v>
      </c>
      <c r="N1578" t="s">
        <v>217</v>
      </c>
      <c r="O1578" t="s">
        <v>371</v>
      </c>
      <c r="P1578">
        <v>2.9236320412215035E-4</v>
      </c>
      <c r="Q1578" t="s">
        <v>166</v>
      </c>
      <c r="S1578" t="s">
        <v>234</v>
      </c>
      <c r="T1578" t="s">
        <v>371</v>
      </c>
      <c r="U1578">
        <v>1.2748467557476651E-4</v>
      </c>
      <c r="V1578" t="s">
        <v>166</v>
      </c>
    </row>
    <row r="1579" spans="9:22" x14ac:dyDescent="0.45">
      <c r="I1579" t="s">
        <v>193</v>
      </c>
      <c r="J1579" t="s">
        <v>372</v>
      </c>
      <c r="K1579">
        <v>0</v>
      </c>
      <c r="L1579" t="s">
        <v>166</v>
      </c>
      <c r="N1579" t="s">
        <v>217</v>
      </c>
      <c r="O1579" t="s">
        <v>372</v>
      </c>
      <c r="P1579">
        <v>2.662510941667657E-4</v>
      </c>
      <c r="Q1579" t="s">
        <v>166</v>
      </c>
      <c r="S1579" t="s">
        <v>234</v>
      </c>
      <c r="T1579" t="s">
        <v>372</v>
      </c>
      <c r="U1579">
        <v>1.2373578295743368E-4</v>
      </c>
      <c r="V1579" t="s">
        <v>166</v>
      </c>
    </row>
    <row r="1580" spans="9:22" x14ac:dyDescent="0.45">
      <c r="I1580" t="s">
        <v>193</v>
      </c>
      <c r="J1580" t="s">
        <v>373</v>
      </c>
      <c r="K1580">
        <v>0</v>
      </c>
      <c r="L1580" t="s">
        <v>166</v>
      </c>
      <c r="N1580" t="s">
        <v>217</v>
      </c>
      <c r="O1580" t="s">
        <v>373</v>
      </c>
      <c r="P1580">
        <v>2.4085302284552752E-4</v>
      </c>
      <c r="Q1580" t="s">
        <v>166</v>
      </c>
      <c r="S1580" t="s">
        <v>234</v>
      </c>
      <c r="T1580" t="s">
        <v>373</v>
      </c>
      <c r="U1580">
        <v>1.1777912942289514E-4</v>
      </c>
      <c r="V1580" t="s">
        <v>166</v>
      </c>
    </row>
    <row r="1581" spans="9:22" x14ac:dyDescent="0.45">
      <c r="I1581" t="s">
        <v>193</v>
      </c>
      <c r="J1581" t="s">
        <v>374</v>
      </c>
      <c r="K1581">
        <v>0</v>
      </c>
      <c r="L1581" t="s">
        <v>166</v>
      </c>
      <c r="N1581" t="s">
        <v>217</v>
      </c>
      <c r="O1581" t="s">
        <v>374</v>
      </c>
      <c r="P1581">
        <v>2.1267557161394916E-4</v>
      </c>
      <c r="Q1581" t="s">
        <v>166</v>
      </c>
      <c r="S1581" t="s">
        <v>234</v>
      </c>
      <c r="T1581" t="s">
        <v>374</v>
      </c>
      <c r="U1581">
        <v>1.1705429760264517E-4</v>
      </c>
      <c r="V1581" t="s">
        <v>166</v>
      </c>
    </row>
    <row r="1582" spans="9:22" x14ac:dyDescent="0.45">
      <c r="I1582" t="s">
        <v>193</v>
      </c>
      <c r="J1582" t="s">
        <v>375</v>
      </c>
      <c r="K1582">
        <v>0</v>
      </c>
      <c r="L1582" t="s">
        <v>166</v>
      </c>
      <c r="N1582" t="s">
        <v>217</v>
      </c>
      <c r="O1582" t="s">
        <v>375</v>
      </c>
      <c r="P1582">
        <v>1.6709719270461743E-4</v>
      </c>
      <c r="Q1582" t="s">
        <v>166</v>
      </c>
      <c r="S1582" t="s">
        <v>234</v>
      </c>
      <c r="T1582" t="s">
        <v>375</v>
      </c>
      <c r="U1582">
        <v>1.0409731547297709E-4</v>
      </c>
      <c r="V1582" t="s">
        <v>166</v>
      </c>
    </row>
    <row r="1583" spans="9:22" x14ac:dyDescent="0.45">
      <c r="I1583" t="s">
        <v>193</v>
      </c>
      <c r="J1583" t="s">
        <v>376</v>
      </c>
      <c r="K1583">
        <v>0</v>
      </c>
      <c r="L1583" t="s">
        <v>166</v>
      </c>
      <c r="N1583" t="s">
        <v>217</v>
      </c>
      <c r="O1583" t="s">
        <v>376</v>
      </c>
      <c r="P1583">
        <v>1.3000512176641784E-4</v>
      </c>
      <c r="Q1583" t="s">
        <v>166</v>
      </c>
      <c r="S1583" t="s">
        <v>234</v>
      </c>
      <c r="T1583" t="s">
        <v>376</v>
      </c>
      <c r="U1583">
        <v>1.0336031638494111E-4</v>
      </c>
      <c r="V1583" t="s">
        <v>166</v>
      </c>
    </row>
    <row r="1584" spans="9:22" x14ac:dyDescent="0.45">
      <c r="I1584" t="s">
        <v>193</v>
      </c>
      <c r="J1584" t="s">
        <v>377</v>
      </c>
      <c r="K1584">
        <v>0</v>
      </c>
      <c r="L1584" t="s">
        <v>166</v>
      </c>
      <c r="N1584" t="s">
        <v>217</v>
      </c>
      <c r="O1584" t="s">
        <v>377</v>
      </c>
      <c r="P1584">
        <v>9.5315898309261942E-5</v>
      </c>
      <c r="Q1584" t="s">
        <v>166</v>
      </c>
      <c r="S1584" t="s">
        <v>234</v>
      </c>
      <c r="T1584" t="s">
        <v>377</v>
      </c>
      <c r="U1584">
        <v>1.0381172889399955E-4</v>
      </c>
      <c r="V1584" t="s">
        <v>166</v>
      </c>
    </row>
    <row r="1585" spans="9:22" x14ac:dyDescent="0.45">
      <c r="I1585" t="s">
        <v>193</v>
      </c>
      <c r="J1585" t="s">
        <v>378</v>
      </c>
      <c r="K1585">
        <v>2.1776157554596014E-4</v>
      </c>
      <c r="L1585" t="s">
        <v>166</v>
      </c>
      <c r="N1585" t="s">
        <v>217</v>
      </c>
      <c r="O1585" t="s">
        <v>378</v>
      </c>
      <c r="P1585">
        <v>7.1544596672680426E-5</v>
      </c>
      <c r="Q1585" t="s">
        <v>166</v>
      </c>
      <c r="S1585" t="s">
        <v>234</v>
      </c>
      <c r="T1585" t="s">
        <v>378</v>
      </c>
      <c r="U1585">
        <v>1.0524685946374238E-4</v>
      </c>
      <c r="V1585" t="s">
        <v>166</v>
      </c>
    </row>
    <row r="1586" spans="9:22" x14ac:dyDescent="0.45">
      <c r="I1586" t="s">
        <v>193</v>
      </c>
      <c r="J1586" t="s">
        <v>379</v>
      </c>
      <c r="K1586">
        <v>3.3521143471457659E-4</v>
      </c>
      <c r="L1586" t="s">
        <v>166</v>
      </c>
      <c r="N1586" t="s">
        <v>217</v>
      </c>
      <c r="O1586" t="s">
        <v>379</v>
      </c>
      <c r="P1586">
        <v>6.8130906128333757E-5</v>
      </c>
      <c r="Q1586" t="s">
        <v>166</v>
      </c>
      <c r="S1586" t="s">
        <v>234</v>
      </c>
      <c r="T1586" t="s">
        <v>379</v>
      </c>
      <c r="U1586">
        <v>8.2960942198813034E-5</v>
      </c>
      <c r="V1586" t="s">
        <v>166</v>
      </c>
    </row>
    <row r="1587" spans="9:22" x14ac:dyDescent="0.45">
      <c r="I1587" t="s">
        <v>193</v>
      </c>
      <c r="J1587" t="s">
        <v>380</v>
      </c>
      <c r="K1587">
        <v>4.0200907324951804E-4</v>
      </c>
      <c r="L1587" t="s">
        <v>166</v>
      </c>
      <c r="N1587" t="s">
        <v>217</v>
      </c>
      <c r="O1587" t="s">
        <v>380</v>
      </c>
      <c r="P1587">
        <v>7.4618557979428527E-5</v>
      </c>
      <c r="Q1587" t="s">
        <v>166</v>
      </c>
      <c r="S1587" t="s">
        <v>234</v>
      </c>
      <c r="T1587" t="s">
        <v>380</v>
      </c>
      <c r="U1587">
        <v>5.6208167144994976E-5</v>
      </c>
      <c r="V1587" t="s">
        <v>166</v>
      </c>
    </row>
    <row r="1588" spans="9:22" x14ac:dyDescent="0.45">
      <c r="I1588" t="s">
        <v>193</v>
      </c>
      <c r="J1588" t="s">
        <v>381</v>
      </c>
      <c r="K1588">
        <v>4.0143868126317858E-4</v>
      </c>
      <c r="L1588" t="s">
        <v>166</v>
      </c>
      <c r="N1588" t="s">
        <v>217</v>
      </c>
      <c r="O1588" t="s">
        <v>381</v>
      </c>
      <c r="P1588">
        <v>7.5941897039015209E-5</v>
      </c>
      <c r="Q1588" t="s">
        <v>166</v>
      </c>
      <c r="S1588" t="s">
        <v>234</v>
      </c>
      <c r="T1588" t="s">
        <v>381</v>
      </c>
      <c r="U1588">
        <v>3.7987897534879813E-5</v>
      </c>
      <c r="V1588" t="s">
        <v>166</v>
      </c>
    </row>
    <row r="1589" spans="9:22" x14ac:dyDescent="0.45">
      <c r="I1589" t="s">
        <v>193</v>
      </c>
      <c r="J1589" t="s">
        <v>382</v>
      </c>
      <c r="K1589">
        <v>3.5504797355352023E-4</v>
      </c>
      <c r="L1589" t="s">
        <v>166</v>
      </c>
      <c r="N1589" t="s">
        <v>217</v>
      </c>
      <c r="O1589" t="s">
        <v>382</v>
      </c>
      <c r="P1589">
        <v>7.4808930950743651E-5</v>
      </c>
      <c r="Q1589" t="s">
        <v>166</v>
      </c>
      <c r="S1589" t="s">
        <v>234</v>
      </c>
      <c r="T1589" t="s">
        <v>382</v>
      </c>
      <c r="U1589">
        <v>3.8785763721811401E-5</v>
      </c>
      <c r="V1589" t="s">
        <v>166</v>
      </c>
    </row>
    <row r="1590" spans="9:22" x14ac:dyDescent="0.45">
      <c r="I1590" t="s">
        <v>193</v>
      </c>
      <c r="J1590" t="s">
        <v>383</v>
      </c>
      <c r="K1590">
        <v>3.7762487094537156E-4</v>
      </c>
      <c r="L1590" t="s">
        <v>166</v>
      </c>
      <c r="N1590" t="s">
        <v>217</v>
      </c>
      <c r="O1590" t="s">
        <v>383</v>
      </c>
      <c r="P1590">
        <v>8.4144459779811201E-5</v>
      </c>
      <c r="Q1590" t="s">
        <v>166</v>
      </c>
      <c r="S1590" t="s">
        <v>234</v>
      </c>
      <c r="T1590" t="s">
        <v>383</v>
      </c>
      <c r="U1590">
        <v>5.1470948193800027E-5</v>
      </c>
      <c r="V1590" t="s">
        <v>166</v>
      </c>
    </row>
    <row r="1591" spans="9:22" x14ac:dyDescent="0.45">
      <c r="I1591" t="s">
        <v>193</v>
      </c>
      <c r="J1591" t="s">
        <v>384</v>
      </c>
      <c r="K1591">
        <v>3.9999327461876432E-4</v>
      </c>
      <c r="L1591" t="s">
        <v>166</v>
      </c>
      <c r="N1591" t="s">
        <v>217</v>
      </c>
      <c r="O1591" t="s">
        <v>384</v>
      </c>
      <c r="P1591">
        <v>1.3600292727880219E-4</v>
      </c>
      <c r="Q1591" t="s">
        <v>166</v>
      </c>
      <c r="S1591" t="s">
        <v>234</v>
      </c>
      <c r="T1591" t="s">
        <v>384</v>
      </c>
      <c r="U1591">
        <v>6.4001345359112455E-5</v>
      </c>
      <c r="V1591" t="s">
        <v>166</v>
      </c>
    </row>
    <row r="1592" spans="9:22" x14ac:dyDescent="0.45">
      <c r="I1592" t="s">
        <v>193</v>
      </c>
      <c r="J1592" t="s">
        <v>385</v>
      </c>
      <c r="K1592">
        <v>3.5715145885526173E-4</v>
      </c>
      <c r="L1592" t="s">
        <v>166</v>
      </c>
      <c r="N1592" t="s">
        <v>217</v>
      </c>
      <c r="O1592" t="s">
        <v>385</v>
      </c>
      <c r="P1592">
        <v>2.0264462884894918E-4</v>
      </c>
      <c r="Q1592" t="s">
        <v>166</v>
      </c>
      <c r="S1592" t="s">
        <v>234</v>
      </c>
      <c r="T1592" t="s">
        <v>385</v>
      </c>
      <c r="U1592">
        <v>6.2510882054968558E-5</v>
      </c>
      <c r="V1592" t="s">
        <v>166</v>
      </c>
    </row>
    <row r="1593" spans="9:22" x14ac:dyDescent="0.45">
      <c r="I1593" t="s">
        <v>193</v>
      </c>
      <c r="J1593" t="s">
        <v>386</v>
      </c>
      <c r="K1593">
        <v>3.6247709710426581E-4</v>
      </c>
      <c r="L1593" t="s">
        <v>166</v>
      </c>
      <c r="N1593" t="s">
        <v>217</v>
      </c>
      <c r="O1593" t="s">
        <v>386</v>
      </c>
      <c r="P1593">
        <v>2.3151729355978839E-4</v>
      </c>
      <c r="Q1593" t="s">
        <v>166</v>
      </c>
      <c r="S1593" t="s">
        <v>234</v>
      </c>
      <c r="T1593" t="s">
        <v>386</v>
      </c>
      <c r="U1593">
        <v>5.7244353894698285E-5</v>
      </c>
      <c r="V1593" t="s">
        <v>166</v>
      </c>
    </row>
    <row r="1594" spans="9:22" x14ac:dyDescent="0.45">
      <c r="I1594" t="s">
        <v>193</v>
      </c>
      <c r="J1594" t="s">
        <v>387</v>
      </c>
      <c r="K1594">
        <v>2.6634293832466594E-4</v>
      </c>
      <c r="L1594" t="s">
        <v>166</v>
      </c>
      <c r="N1594" t="s">
        <v>217</v>
      </c>
      <c r="O1594" t="s">
        <v>387</v>
      </c>
      <c r="P1594">
        <v>1.8719332214526291E-4</v>
      </c>
      <c r="Q1594" t="s">
        <v>166</v>
      </c>
      <c r="S1594" t="s">
        <v>234</v>
      </c>
      <c r="T1594" t="s">
        <v>387</v>
      </c>
      <c r="U1594">
        <v>6.3244448363941548E-5</v>
      </c>
      <c r="V1594" t="s">
        <v>166</v>
      </c>
    </row>
    <row r="1595" spans="9:22" x14ac:dyDescent="0.45">
      <c r="I1595" t="s">
        <v>193</v>
      </c>
      <c r="J1595" t="s">
        <v>388</v>
      </c>
      <c r="K1595">
        <v>1.6197503344749089E-4</v>
      </c>
      <c r="L1595" t="s">
        <v>166</v>
      </c>
      <c r="N1595" t="s">
        <v>217</v>
      </c>
      <c r="O1595" t="s">
        <v>388</v>
      </c>
      <c r="P1595">
        <v>2.1308917727341285E-4</v>
      </c>
      <c r="Q1595" t="s">
        <v>166</v>
      </c>
      <c r="S1595" t="s">
        <v>234</v>
      </c>
      <c r="T1595" t="s">
        <v>388</v>
      </c>
      <c r="U1595">
        <v>8.9452688896414885E-5</v>
      </c>
      <c r="V1595" t="s">
        <v>166</v>
      </c>
    </row>
    <row r="1596" spans="9:22" x14ac:dyDescent="0.45">
      <c r="I1596" t="s">
        <v>193</v>
      </c>
      <c r="J1596" t="s">
        <v>389</v>
      </c>
      <c r="K1596">
        <v>0</v>
      </c>
      <c r="L1596" t="s">
        <v>166</v>
      </c>
      <c r="N1596" t="s">
        <v>217</v>
      </c>
      <c r="O1596" t="s">
        <v>389</v>
      </c>
      <c r="P1596">
        <v>2.4692886847761306E-4</v>
      </c>
      <c r="Q1596" t="s">
        <v>166</v>
      </c>
      <c r="S1596" t="s">
        <v>234</v>
      </c>
      <c r="T1596" t="s">
        <v>389</v>
      </c>
      <c r="U1596">
        <v>1.1831445099473002E-4</v>
      </c>
      <c r="V1596" t="s">
        <v>166</v>
      </c>
    </row>
    <row r="1597" spans="9:22" x14ac:dyDescent="0.45">
      <c r="I1597" t="s">
        <v>193</v>
      </c>
      <c r="J1597" t="s">
        <v>390</v>
      </c>
      <c r="K1597">
        <v>0</v>
      </c>
      <c r="L1597" t="s">
        <v>166</v>
      </c>
      <c r="N1597" t="s">
        <v>217</v>
      </c>
      <c r="O1597" t="s">
        <v>390</v>
      </c>
      <c r="P1597">
        <v>2.6507601983092655E-4</v>
      </c>
      <c r="Q1597" t="s">
        <v>166</v>
      </c>
      <c r="S1597" t="s">
        <v>234</v>
      </c>
      <c r="T1597" t="s">
        <v>390</v>
      </c>
      <c r="U1597">
        <v>1.2357794065037472E-4</v>
      </c>
      <c r="V1597" t="s">
        <v>166</v>
      </c>
    </row>
    <row r="1598" spans="9:22" x14ac:dyDescent="0.45">
      <c r="I1598" t="s">
        <v>193</v>
      </c>
      <c r="J1598" t="s">
        <v>391</v>
      </c>
      <c r="K1598">
        <v>0</v>
      </c>
      <c r="L1598" t="s">
        <v>166</v>
      </c>
      <c r="N1598" t="s">
        <v>217</v>
      </c>
      <c r="O1598" t="s">
        <v>391</v>
      </c>
      <c r="P1598">
        <v>2.78223688694343E-4</v>
      </c>
      <c r="Q1598" t="s">
        <v>166</v>
      </c>
      <c r="S1598" t="s">
        <v>234</v>
      </c>
      <c r="T1598" t="s">
        <v>391</v>
      </c>
      <c r="U1598">
        <v>1.2131925091722921E-4</v>
      </c>
      <c r="V1598" t="s">
        <v>166</v>
      </c>
    </row>
    <row r="1599" spans="9:22" x14ac:dyDescent="0.45">
      <c r="I1599" t="s">
        <v>193</v>
      </c>
      <c r="J1599" t="s">
        <v>392</v>
      </c>
      <c r="K1599">
        <v>0</v>
      </c>
      <c r="L1599" t="s">
        <v>166</v>
      </c>
      <c r="N1599" t="s">
        <v>217</v>
      </c>
      <c r="O1599" t="s">
        <v>392</v>
      </c>
      <c r="P1599">
        <v>2.6645304753069514E-4</v>
      </c>
      <c r="Q1599" t="s">
        <v>166</v>
      </c>
      <c r="S1599" t="s">
        <v>234</v>
      </c>
      <c r="T1599" t="s">
        <v>392</v>
      </c>
      <c r="U1599">
        <v>1.0925398768593702E-4</v>
      </c>
      <c r="V1599" t="s">
        <v>166</v>
      </c>
    </row>
    <row r="1600" spans="9:22" x14ac:dyDescent="0.45">
      <c r="I1600" t="s">
        <v>193</v>
      </c>
      <c r="J1600" t="s">
        <v>393</v>
      </c>
      <c r="K1600">
        <v>0</v>
      </c>
      <c r="L1600" t="s">
        <v>166</v>
      </c>
      <c r="N1600" t="s">
        <v>217</v>
      </c>
      <c r="O1600" t="s">
        <v>393</v>
      </c>
      <c r="P1600">
        <v>2.3968158293235191E-4</v>
      </c>
      <c r="Q1600" t="s">
        <v>166</v>
      </c>
      <c r="S1600" t="s">
        <v>234</v>
      </c>
      <c r="T1600" t="s">
        <v>393</v>
      </c>
      <c r="U1600">
        <v>9.3276633536139625E-5</v>
      </c>
      <c r="V1600" t="s">
        <v>166</v>
      </c>
    </row>
    <row r="1601" spans="9:22" x14ac:dyDescent="0.45">
      <c r="I1601" t="s">
        <v>193</v>
      </c>
      <c r="J1601" t="s">
        <v>169</v>
      </c>
      <c r="K1601">
        <v>2.5500906967059049E-3</v>
      </c>
      <c r="L1601" t="s">
        <v>166</v>
      </c>
      <c r="N1601" t="s">
        <v>217</v>
      </c>
      <c r="O1601" t="s">
        <v>169</v>
      </c>
      <c r="P1601">
        <v>1.0699549726879838E-2</v>
      </c>
      <c r="Q1601" t="s">
        <v>166</v>
      </c>
      <c r="S1601" t="s">
        <v>234</v>
      </c>
      <c r="T1601" t="s">
        <v>169</v>
      </c>
      <c r="U1601">
        <v>1.6869922951383495E-2</v>
      </c>
      <c r="V1601" t="s">
        <v>166</v>
      </c>
    </row>
    <row r="1602" spans="9:22" x14ac:dyDescent="0.45">
      <c r="I1602" t="s">
        <v>193</v>
      </c>
      <c r="J1602" t="s">
        <v>170</v>
      </c>
      <c r="K1602">
        <v>4.7080955779758467E-3</v>
      </c>
      <c r="L1602" t="s">
        <v>166</v>
      </c>
      <c r="N1602" t="s">
        <v>217</v>
      </c>
      <c r="O1602" t="s">
        <v>170</v>
      </c>
      <c r="P1602">
        <v>9.0986834946724061E-4</v>
      </c>
      <c r="Q1602" t="s">
        <v>166</v>
      </c>
      <c r="S1602" t="s">
        <v>234</v>
      </c>
      <c r="T1602" t="s">
        <v>170</v>
      </c>
      <c r="U1602">
        <v>1.4768866211505689E-3</v>
      </c>
      <c r="V1602" t="s">
        <v>166</v>
      </c>
    </row>
    <row r="1603" spans="9:22" x14ac:dyDescent="0.45">
      <c r="I1603" t="s">
        <v>193</v>
      </c>
      <c r="J1603" t="s">
        <v>171</v>
      </c>
      <c r="K1603">
        <v>6.7853047296325797E-2</v>
      </c>
      <c r="L1603" t="s">
        <v>166</v>
      </c>
      <c r="N1603" t="s">
        <v>217</v>
      </c>
      <c r="O1603" t="s">
        <v>171</v>
      </c>
      <c r="P1603">
        <v>6.7208086045106455E-3</v>
      </c>
      <c r="Q1603" t="s">
        <v>166</v>
      </c>
      <c r="S1603" t="s">
        <v>234</v>
      </c>
      <c r="T1603" t="s">
        <v>171</v>
      </c>
      <c r="U1603">
        <v>8.9824420158632033E-3</v>
      </c>
      <c r="V1603" t="s">
        <v>166</v>
      </c>
    </row>
    <row r="1604" spans="9:22" x14ac:dyDescent="0.45">
      <c r="I1604" t="s">
        <v>193</v>
      </c>
      <c r="J1604" t="s">
        <v>261</v>
      </c>
      <c r="K1604">
        <v>8.5376475744879578E-3</v>
      </c>
      <c r="L1604" t="s">
        <v>166</v>
      </c>
      <c r="N1604" t="s">
        <v>217</v>
      </c>
      <c r="O1604" t="s">
        <v>261</v>
      </c>
      <c r="P1604">
        <v>2.1599939807250799E-3</v>
      </c>
      <c r="Q1604" t="s">
        <v>166</v>
      </c>
      <c r="S1604" t="s">
        <v>234</v>
      </c>
      <c r="T1604" t="s">
        <v>261</v>
      </c>
      <c r="U1604">
        <v>1.8411019981863952E-3</v>
      </c>
      <c r="V1604" t="s">
        <v>166</v>
      </c>
    </row>
    <row r="1605" spans="9:22" x14ac:dyDescent="0.45">
      <c r="I1605" t="s">
        <v>193</v>
      </c>
      <c r="J1605" t="s">
        <v>262</v>
      </c>
      <c r="K1605">
        <v>1.064136391690791E-2</v>
      </c>
      <c r="L1605" t="s">
        <v>166</v>
      </c>
      <c r="N1605" t="s">
        <v>217</v>
      </c>
      <c r="O1605" t="s">
        <v>262</v>
      </c>
      <c r="P1605">
        <v>4.923238616581364E-3</v>
      </c>
      <c r="Q1605" t="s">
        <v>166</v>
      </c>
      <c r="S1605" t="s">
        <v>234</v>
      </c>
      <c r="T1605" t="s">
        <v>262</v>
      </c>
      <c r="U1605">
        <v>3.8810307136243E-3</v>
      </c>
      <c r="V1605" t="s">
        <v>166</v>
      </c>
    </row>
    <row r="1606" spans="9:22" x14ac:dyDescent="0.45">
      <c r="I1606" t="s">
        <v>193</v>
      </c>
      <c r="J1606" t="s">
        <v>263</v>
      </c>
      <c r="K1606">
        <v>1.064200134811664E-3</v>
      </c>
      <c r="L1606" t="s">
        <v>166</v>
      </c>
      <c r="N1606" t="s">
        <v>217</v>
      </c>
      <c r="O1606" t="s">
        <v>263</v>
      </c>
      <c r="P1606">
        <v>1.6692719157891216E-2</v>
      </c>
      <c r="Q1606" t="s">
        <v>166</v>
      </c>
      <c r="S1606" t="s">
        <v>234</v>
      </c>
      <c r="T1606" t="s">
        <v>263</v>
      </c>
      <c r="U1606">
        <v>1.4583013270460857E-2</v>
      </c>
      <c r="V1606" t="s">
        <v>166</v>
      </c>
    </row>
    <row r="1607" spans="9:22" x14ac:dyDescent="0.45">
      <c r="I1607" t="s">
        <v>193</v>
      </c>
      <c r="J1607" t="s">
        <v>172</v>
      </c>
      <c r="K1607">
        <v>2.3565692494329749E-3</v>
      </c>
      <c r="L1607" t="s">
        <v>166</v>
      </c>
      <c r="N1607" t="s">
        <v>217</v>
      </c>
      <c r="O1607" t="s">
        <v>172</v>
      </c>
      <c r="P1607">
        <v>2.0511906219415645E-2</v>
      </c>
      <c r="Q1607" t="s">
        <v>166</v>
      </c>
      <c r="S1607" t="s">
        <v>234</v>
      </c>
      <c r="T1607" t="s">
        <v>172</v>
      </c>
      <c r="U1607">
        <v>1.8072368140727459E-2</v>
      </c>
      <c r="V1607" t="s">
        <v>166</v>
      </c>
    </row>
    <row r="1608" spans="9:22" x14ac:dyDescent="0.45">
      <c r="I1608" t="s">
        <v>193</v>
      </c>
      <c r="J1608" t="s">
        <v>173</v>
      </c>
      <c r="K1608">
        <v>4.144386229197247E-3</v>
      </c>
      <c r="L1608" t="s">
        <v>166</v>
      </c>
      <c r="N1608" t="s">
        <v>217</v>
      </c>
      <c r="O1608" t="s">
        <v>173</v>
      </c>
      <c r="P1608">
        <v>2.4172624236902572E-3</v>
      </c>
      <c r="Q1608" t="s">
        <v>166</v>
      </c>
      <c r="S1608" t="s">
        <v>234</v>
      </c>
      <c r="T1608" t="s">
        <v>173</v>
      </c>
      <c r="U1608">
        <v>2.2370748394277768E-3</v>
      </c>
      <c r="V1608" t="s">
        <v>166</v>
      </c>
    </row>
    <row r="1609" spans="9:22" x14ac:dyDescent="0.45">
      <c r="I1609" t="s">
        <v>193</v>
      </c>
      <c r="J1609" t="s">
        <v>174</v>
      </c>
      <c r="K1609">
        <v>5.9029583609020893E-2</v>
      </c>
      <c r="L1609" t="s">
        <v>166</v>
      </c>
      <c r="N1609" t="s">
        <v>217</v>
      </c>
      <c r="O1609" t="s">
        <v>174</v>
      </c>
      <c r="P1609">
        <v>1.7764082761694586E-2</v>
      </c>
      <c r="Q1609" t="s">
        <v>166</v>
      </c>
      <c r="S1609" t="s">
        <v>234</v>
      </c>
      <c r="T1609" t="s">
        <v>174</v>
      </c>
      <c r="U1609">
        <v>1.5886263695940962E-2</v>
      </c>
      <c r="V1609" t="s">
        <v>166</v>
      </c>
    </row>
    <row r="1610" spans="9:22" x14ac:dyDescent="0.45">
      <c r="I1610" t="s">
        <v>193</v>
      </c>
      <c r="J1610" t="s">
        <v>264</v>
      </c>
      <c r="K1610">
        <v>6.9068055981513594E-3</v>
      </c>
      <c r="L1610" t="s">
        <v>166</v>
      </c>
      <c r="N1610" t="s">
        <v>217</v>
      </c>
      <c r="O1610" t="s">
        <v>264</v>
      </c>
      <c r="P1610">
        <v>3.2814114269554876E-3</v>
      </c>
      <c r="Q1610" t="s">
        <v>166</v>
      </c>
      <c r="S1610" t="s">
        <v>234</v>
      </c>
      <c r="T1610" t="s">
        <v>264</v>
      </c>
      <c r="U1610">
        <v>2.5837883168112114E-3</v>
      </c>
      <c r="V1610" t="s">
        <v>166</v>
      </c>
    </row>
    <row r="1611" spans="9:22" x14ac:dyDescent="0.45">
      <c r="I1611" t="s">
        <v>193</v>
      </c>
      <c r="J1611" t="s">
        <v>265</v>
      </c>
      <c r="K1611">
        <v>8.5826542252452898E-3</v>
      </c>
      <c r="L1611" t="s">
        <v>166</v>
      </c>
      <c r="N1611" t="s">
        <v>217</v>
      </c>
      <c r="O1611" t="s">
        <v>265</v>
      </c>
      <c r="P1611">
        <v>6.5292937796428453E-3</v>
      </c>
      <c r="Q1611" t="s">
        <v>166</v>
      </c>
      <c r="S1611" t="s">
        <v>234</v>
      </c>
      <c r="T1611" t="s">
        <v>265</v>
      </c>
      <c r="U1611">
        <v>4.3540840238791775E-3</v>
      </c>
      <c r="V1611" t="s">
        <v>166</v>
      </c>
    </row>
    <row r="1612" spans="9:22" x14ac:dyDescent="0.45">
      <c r="I1612" t="s">
        <v>193</v>
      </c>
      <c r="J1612" t="s">
        <v>266</v>
      </c>
      <c r="K1612">
        <v>1.5336977491624902E-3</v>
      </c>
      <c r="L1612" t="s">
        <v>166</v>
      </c>
      <c r="N1612" t="s">
        <v>217</v>
      </c>
      <c r="O1612" t="s">
        <v>266</v>
      </c>
      <c r="P1612">
        <v>1.566096459656564E-2</v>
      </c>
      <c r="Q1612" t="s">
        <v>166</v>
      </c>
      <c r="S1612" t="s">
        <v>234</v>
      </c>
      <c r="T1612" t="s">
        <v>266</v>
      </c>
      <c r="U1612">
        <v>1.283407835924948E-2</v>
      </c>
      <c r="V1612" t="s">
        <v>166</v>
      </c>
    </row>
    <row r="1613" spans="9:22" x14ac:dyDescent="0.45">
      <c r="I1613" t="s">
        <v>193</v>
      </c>
      <c r="J1613" t="s">
        <v>175</v>
      </c>
      <c r="K1613">
        <v>1.081103461994551E-3</v>
      </c>
      <c r="L1613" t="s">
        <v>166</v>
      </c>
      <c r="N1613" t="s">
        <v>217</v>
      </c>
      <c r="O1613" t="s">
        <v>175</v>
      </c>
      <c r="P1613">
        <v>1.0900634073796529E-2</v>
      </c>
      <c r="Q1613" t="s">
        <v>166</v>
      </c>
      <c r="S1613" t="s">
        <v>234</v>
      </c>
      <c r="T1613" t="s">
        <v>175</v>
      </c>
      <c r="U1613">
        <v>1.5681100678091836E-2</v>
      </c>
      <c r="V1613" t="s">
        <v>166</v>
      </c>
    </row>
    <row r="1614" spans="9:22" x14ac:dyDescent="0.45">
      <c r="I1614" t="s">
        <v>193</v>
      </c>
      <c r="J1614" t="s">
        <v>176</v>
      </c>
      <c r="K1614">
        <v>2.815247781061782E-3</v>
      </c>
      <c r="L1614" t="s">
        <v>166</v>
      </c>
      <c r="N1614" t="s">
        <v>217</v>
      </c>
      <c r="O1614" t="s">
        <v>176</v>
      </c>
      <c r="P1614">
        <v>1.1718142608262475E-3</v>
      </c>
      <c r="Q1614" t="s">
        <v>166</v>
      </c>
      <c r="S1614" t="s">
        <v>234</v>
      </c>
      <c r="T1614" t="s">
        <v>176</v>
      </c>
      <c r="U1614">
        <v>1.2980901090124998E-3</v>
      </c>
      <c r="V1614" t="s">
        <v>166</v>
      </c>
    </row>
    <row r="1615" spans="9:22" x14ac:dyDescent="0.45">
      <c r="I1615" t="s">
        <v>193</v>
      </c>
      <c r="J1615" t="s">
        <v>177</v>
      </c>
      <c r="K1615">
        <v>5.1401015678994251E-2</v>
      </c>
      <c r="L1615" t="s">
        <v>166</v>
      </c>
      <c r="N1615" t="s">
        <v>217</v>
      </c>
      <c r="O1615" t="s">
        <v>177</v>
      </c>
      <c r="P1615">
        <v>8.4201907742246108E-3</v>
      </c>
      <c r="Q1615" t="s">
        <v>166</v>
      </c>
      <c r="S1615" t="s">
        <v>234</v>
      </c>
      <c r="T1615" t="s">
        <v>177</v>
      </c>
      <c r="U1615">
        <v>7.8919691369868216E-3</v>
      </c>
      <c r="V1615" t="s">
        <v>166</v>
      </c>
    </row>
    <row r="1616" spans="9:22" x14ac:dyDescent="0.45">
      <c r="I1616" t="s">
        <v>193</v>
      </c>
      <c r="J1616" t="s">
        <v>267</v>
      </c>
      <c r="K1616">
        <v>5.7928932069177255E-3</v>
      </c>
      <c r="L1616" t="s">
        <v>166</v>
      </c>
      <c r="N1616" t="s">
        <v>217</v>
      </c>
      <c r="O1616" t="s">
        <v>267</v>
      </c>
      <c r="P1616">
        <v>1.8781420017143441E-3</v>
      </c>
      <c r="Q1616" t="s">
        <v>166</v>
      </c>
      <c r="S1616" t="s">
        <v>234</v>
      </c>
      <c r="T1616" t="s">
        <v>267</v>
      </c>
      <c r="U1616">
        <v>1.4578940852891466E-3</v>
      </c>
      <c r="V1616" t="s">
        <v>166</v>
      </c>
    </row>
    <row r="1617" spans="9:22" x14ac:dyDescent="0.45">
      <c r="I1617" t="s">
        <v>193</v>
      </c>
      <c r="J1617" t="s">
        <v>268</v>
      </c>
      <c r="K1617">
        <v>6.366700750141137E-3</v>
      </c>
      <c r="L1617" t="s">
        <v>166</v>
      </c>
      <c r="N1617" t="s">
        <v>217</v>
      </c>
      <c r="O1617" t="s">
        <v>268</v>
      </c>
      <c r="P1617">
        <v>3.8015502890533658E-3</v>
      </c>
      <c r="Q1617" t="s">
        <v>166</v>
      </c>
      <c r="S1617" t="s">
        <v>234</v>
      </c>
      <c r="T1617" t="s">
        <v>268</v>
      </c>
      <c r="U1617">
        <v>2.8290888838717076E-3</v>
      </c>
      <c r="V1617" t="s">
        <v>166</v>
      </c>
    </row>
    <row r="1618" spans="9:22" x14ac:dyDescent="0.45">
      <c r="I1618" t="s">
        <v>193</v>
      </c>
      <c r="J1618" t="s">
        <v>269</v>
      </c>
      <c r="K1618">
        <v>9.5219022908806764E-4</v>
      </c>
      <c r="L1618" t="s">
        <v>166</v>
      </c>
      <c r="N1618" t="s">
        <v>217</v>
      </c>
      <c r="O1618" t="s">
        <v>269</v>
      </c>
      <c r="P1618">
        <v>1.1331221582233552E-2</v>
      </c>
      <c r="Q1618" t="s">
        <v>166</v>
      </c>
      <c r="S1618" t="s">
        <v>234</v>
      </c>
      <c r="T1618" t="s">
        <v>269</v>
      </c>
      <c r="U1618">
        <v>1.2266135016880335E-2</v>
      </c>
      <c r="V1618" t="s">
        <v>166</v>
      </c>
    </row>
    <row r="1619" spans="9:22" x14ac:dyDescent="0.45">
      <c r="I1619" t="s">
        <v>193</v>
      </c>
      <c r="J1619" t="s">
        <v>270</v>
      </c>
      <c r="K1619">
        <v>1.5483515039879808E-3</v>
      </c>
      <c r="L1619" t="s">
        <v>166</v>
      </c>
      <c r="N1619" t="s">
        <v>217</v>
      </c>
      <c r="O1619" t="s">
        <v>270</v>
      </c>
      <c r="P1619">
        <v>3.3943450612957206E-2</v>
      </c>
      <c r="Q1619" t="s">
        <v>166</v>
      </c>
      <c r="S1619" t="s">
        <v>234</v>
      </c>
      <c r="T1619" t="s">
        <v>270</v>
      </c>
      <c r="U1619">
        <v>1.5183798886858843E-2</v>
      </c>
      <c r="V1619" t="s">
        <v>166</v>
      </c>
    </row>
    <row r="1620" spans="9:22" x14ac:dyDescent="0.45">
      <c r="I1620" t="s">
        <v>193</v>
      </c>
      <c r="J1620" t="s">
        <v>271</v>
      </c>
      <c r="K1620">
        <v>3.6755868698008115E-3</v>
      </c>
      <c r="L1620" t="s">
        <v>166</v>
      </c>
      <c r="N1620" t="s">
        <v>217</v>
      </c>
      <c r="O1620" t="s">
        <v>271</v>
      </c>
      <c r="P1620">
        <v>4.3397163049090992E-3</v>
      </c>
      <c r="Q1620" t="s">
        <v>166</v>
      </c>
      <c r="S1620" t="s">
        <v>234</v>
      </c>
      <c r="T1620" t="s">
        <v>271</v>
      </c>
      <c r="U1620">
        <v>1.6254440805169824E-3</v>
      </c>
      <c r="V1620" t="s">
        <v>166</v>
      </c>
    </row>
    <row r="1621" spans="9:22" x14ac:dyDescent="0.45">
      <c r="I1621" t="s">
        <v>193</v>
      </c>
      <c r="J1621" t="s">
        <v>272</v>
      </c>
      <c r="K1621">
        <v>5.9812957919769455E-2</v>
      </c>
      <c r="L1621" t="s">
        <v>166</v>
      </c>
      <c r="N1621" t="s">
        <v>217</v>
      </c>
      <c r="O1621" t="s">
        <v>272</v>
      </c>
      <c r="P1621">
        <v>2.8677984770109272E-2</v>
      </c>
      <c r="Q1621" t="s">
        <v>166</v>
      </c>
      <c r="S1621" t="s">
        <v>234</v>
      </c>
      <c r="T1621" t="s">
        <v>272</v>
      </c>
      <c r="U1621">
        <v>1.1233162716450702E-2</v>
      </c>
      <c r="V1621" t="s">
        <v>166</v>
      </c>
    </row>
    <row r="1622" spans="9:22" x14ac:dyDescent="0.45">
      <c r="I1622" t="s">
        <v>193</v>
      </c>
      <c r="J1622" t="s">
        <v>273</v>
      </c>
      <c r="K1622">
        <v>7.1747644374751257E-3</v>
      </c>
      <c r="L1622" t="s">
        <v>166</v>
      </c>
      <c r="N1622" t="s">
        <v>217</v>
      </c>
      <c r="O1622" t="s">
        <v>273</v>
      </c>
      <c r="P1622">
        <v>3.4945685587274146E-3</v>
      </c>
      <c r="Q1622" t="s">
        <v>166</v>
      </c>
      <c r="S1622" t="s">
        <v>234</v>
      </c>
      <c r="T1622" t="s">
        <v>273</v>
      </c>
      <c r="U1622">
        <v>1.9327448195574422E-3</v>
      </c>
      <c r="V1622" t="s">
        <v>166</v>
      </c>
    </row>
    <row r="1623" spans="9:22" x14ac:dyDescent="0.45">
      <c r="I1623" t="s">
        <v>193</v>
      </c>
      <c r="J1623" t="s">
        <v>274</v>
      </c>
      <c r="K1623">
        <v>8.2329834500041409E-3</v>
      </c>
      <c r="L1623" t="s">
        <v>166</v>
      </c>
      <c r="N1623" t="s">
        <v>217</v>
      </c>
      <c r="O1623" t="s">
        <v>274</v>
      </c>
      <c r="P1623">
        <v>7.0019895040212814E-3</v>
      </c>
      <c r="Q1623" t="s">
        <v>166</v>
      </c>
      <c r="S1623" t="s">
        <v>234</v>
      </c>
      <c r="T1623" t="s">
        <v>274</v>
      </c>
      <c r="U1623">
        <v>4.0371142826239178E-3</v>
      </c>
      <c r="V1623" t="s">
        <v>166</v>
      </c>
    </row>
    <row r="1624" spans="9:22" x14ac:dyDescent="0.45">
      <c r="I1624" t="s">
        <v>193</v>
      </c>
      <c r="J1624" t="s">
        <v>275</v>
      </c>
      <c r="K1624">
        <v>7.3406296086921227E-4</v>
      </c>
      <c r="L1624" t="s">
        <v>166</v>
      </c>
      <c r="N1624" t="s">
        <v>217</v>
      </c>
      <c r="O1624" t="s">
        <v>275</v>
      </c>
      <c r="P1624">
        <v>1.7987386352098841E-2</v>
      </c>
      <c r="Q1624" t="s">
        <v>166</v>
      </c>
      <c r="S1624" t="s">
        <v>234</v>
      </c>
      <c r="T1624" t="s">
        <v>275</v>
      </c>
      <c r="U1624">
        <v>1.1479013489487178E-2</v>
      </c>
      <c r="V1624" t="s">
        <v>166</v>
      </c>
    </row>
    <row r="1625" spans="9:22" x14ac:dyDescent="0.45">
      <c r="I1625" t="s">
        <v>193</v>
      </c>
      <c r="J1625" t="s">
        <v>276</v>
      </c>
      <c r="K1625">
        <v>5.0306028407408263E-3</v>
      </c>
      <c r="L1625" t="s">
        <v>166</v>
      </c>
      <c r="N1625" t="s">
        <v>217</v>
      </c>
      <c r="O1625" t="s">
        <v>276</v>
      </c>
      <c r="P1625">
        <v>4.8831498551911205E-2</v>
      </c>
      <c r="Q1625" t="s">
        <v>166</v>
      </c>
      <c r="S1625" t="s">
        <v>234</v>
      </c>
      <c r="T1625" t="s">
        <v>276</v>
      </c>
      <c r="U1625">
        <v>4.8303806347007934E-2</v>
      </c>
      <c r="V1625" t="s">
        <v>166</v>
      </c>
    </row>
    <row r="1626" spans="9:22" x14ac:dyDescent="0.45">
      <c r="I1626" t="s">
        <v>193</v>
      </c>
      <c r="J1626" t="s">
        <v>277</v>
      </c>
      <c r="K1626">
        <v>9.9063736993085256E-3</v>
      </c>
      <c r="L1626" t="s">
        <v>166</v>
      </c>
      <c r="N1626" t="s">
        <v>217</v>
      </c>
      <c r="O1626" t="s">
        <v>277</v>
      </c>
      <c r="P1626">
        <v>5.9667977348784578E-3</v>
      </c>
      <c r="Q1626" t="s">
        <v>166</v>
      </c>
      <c r="S1626" t="s">
        <v>234</v>
      </c>
      <c r="T1626" t="s">
        <v>277</v>
      </c>
      <c r="U1626">
        <v>6.6530942832775395E-3</v>
      </c>
      <c r="V1626" t="s">
        <v>166</v>
      </c>
    </row>
    <row r="1627" spans="9:22" x14ac:dyDescent="0.45">
      <c r="I1627" t="s">
        <v>193</v>
      </c>
      <c r="J1627" t="s">
        <v>278</v>
      </c>
      <c r="K1627">
        <v>0.11984601025785013</v>
      </c>
      <c r="L1627" t="s">
        <v>166</v>
      </c>
      <c r="N1627" t="s">
        <v>217</v>
      </c>
      <c r="O1627" t="s">
        <v>278</v>
      </c>
      <c r="P1627">
        <v>4.624091131277238E-2</v>
      </c>
      <c r="Q1627" t="s">
        <v>166</v>
      </c>
      <c r="S1627" t="s">
        <v>234</v>
      </c>
      <c r="T1627" t="s">
        <v>278</v>
      </c>
      <c r="U1627">
        <v>4.8614655397189212E-2</v>
      </c>
      <c r="V1627" t="s">
        <v>166</v>
      </c>
    </row>
    <row r="1628" spans="9:22" x14ac:dyDescent="0.45">
      <c r="I1628" t="s">
        <v>193</v>
      </c>
      <c r="J1628" t="s">
        <v>279</v>
      </c>
      <c r="K1628">
        <v>1.3412234265075887E-2</v>
      </c>
      <c r="L1628" t="s">
        <v>166</v>
      </c>
      <c r="N1628" t="s">
        <v>217</v>
      </c>
      <c r="O1628" t="s">
        <v>279</v>
      </c>
      <c r="P1628">
        <v>6.9139606608765057E-3</v>
      </c>
      <c r="Q1628" t="s">
        <v>166</v>
      </c>
      <c r="S1628" t="s">
        <v>234</v>
      </c>
      <c r="T1628" t="s">
        <v>279</v>
      </c>
      <c r="U1628">
        <v>7.1556678683115243E-3</v>
      </c>
      <c r="V1628" t="s">
        <v>166</v>
      </c>
    </row>
    <row r="1629" spans="9:22" x14ac:dyDescent="0.45">
      <c r="I1629" t="s">
        <v>193</v>
      </c>
      <c r="J1629" t="s">
        <v>280</v>
      </c>
      <c r="K1629">
        <v>1.5708177630762044E-2</v>
      </c>
      <c r="L1629" t="s">
        <v>166</v>
      </c>
      <c r="N1629" t="s">
        <v>217</v>
      </c>
      <c r="O1629" t="s">
        <v>280</v>
      </c>
      <c r="P1629">
        <v>1.2135220062037343E-2</v>
      </c>
      <c r="Q1629" t="s">
        <v>166</v>
      </c>
      <c r="S1629" t="s">
        <v>234</v>
      </c>
      <c r="T1629" t="s">
        <v>280</v>
      </c>
      <c r="U1629">
        <v>1.2553519103156451E-2</v>
      </c>
      <c r="V1629" t="s">
        <v>166</v>
      </c>
    </row>
    <row r="1630" spans="9:22" x14ac:dyDescent="0.45">
      <c r="I1630" t="s">
        <v>193</v>
      </c>
      <c r="J1630" t="s">
        <v>281</v>
      </c>
      <c r="K1630">
        <v>0</v>
      </c>
      <c r="L1630" t="s">
        <v>166</v>
      </c>
      <c r="N1630" t="s">
        <v>217</v>
      </c>
      <c r="O1630" t="s">
        <v>281</v>
      </c>
      <c r="P1630">
        <v>3.3160952032956235E-2</v>
      </c>
      <c r="Q1630" t="s">
        <v>166</v>
      </c>
      <c r="S1630" t="s">
        <v>234</v>
      </c>
      <c r="T1630" t="s">
        <v>281</v>
      </c>
      <c r="U1630">
        <v>3.3966265581041058E-2</v>
      </c>
      <c r="V1630" t="s">
        <v>166</v>
      </c>
    </row>
    <row r="1631" spans="9:22" x14ac:dyDescent="0.45">
      <c r="I1631" t="s">
        <v>193</v>
      </c>
      <c r="J1631" t="s">
        <v>282</v>
      </c>
      <c r="K1631">
        <v>1.3782219853229389E-3</v>
      </c>
      <c r="L1631" t="s">
        <v>166</v>
      </c>
      <c r="N1631" t="s">
        <v>217</v>
      </c>
      <c r="O1631" t="s">
        <v>282</v>
      </c>
      <c r="P1631">
        <v>4.045462760619202E-2</v>
      </c>
      <c r="Q1631" t="s">
        <v>166</v>
      </c>
      <c r="S1631" t="s">
        <v>234</v>
      </c>
      <c r="T1631" t="s">
        <v>282</v>
      </c>
      <c r="U1631">
        <v>4.4744532171385541E-2</v>
      </c>
      <c r="V1631" t="s">
        <v>166</v>
      </c>
    </row>
    <row r="1632" spans="9:22" x14ac:dyDescent="0.45">
      <c r="I1632" t="s">
        <v>193</v>
      </c>
      <c r="J1632" t="s">
        <v>283</v>
      </c>
      <c r="K1632">
        <v>3.3715224289154401E-3</v>
      </c>
      <c r="L1632" t="s">
        <v>166</v>
      </c>
      <c r="N1632" t="s">
        <v>217</v>
      </c>
      <c r="O1632" t="s">
        <v>283</v>
      </c>
      <c r="P1632">
        <v>5.4500183432467982E-3</v>
      </c>
      <c r="Q1632" t="s">
        <v>166</v>
      </c>
      <c r="S1632" t="s">
        <v>234</v>
      </c>
      <c r="T1632" t="s">
        <v>283</v>
      </c>
      <c r="U1632">
        <v>5.7362277493506761E-3</v>
      </c>
      <c r="V1632" t="s">
        <v>166</v>
      </c>
    </row>
    <row r="1633" spans="9:22" x14ac:dyDescent="0.45">
      <c r="I1633" t="s">
        <v>193</v>
      </c>
      <c r="J1633" t="s">
        <v>284</v>
      </c>
      <c r="K1633">
        <v>4.6829917894420765E-2</v>
      </c>
      <c r="L1633" t="s">
        <v>166</v>
      </c>
      <c r="N1633" t="s">
        <v>217</v>
      </c>
      <c r="O1633" t="s">
        <v>284</v>
      </c>
      <c r="P1633">
        <v>3.9314249988117715E-2</v>
      </c>
      <c r="Q1633" t="s">
        <v>166</v>
      </c>
      <c r="S1633" t="s">
        <v>234</v>
      </c>
      <c r="T1633" t="s">
        <v>284</v>
      </c>
      <c r="U1633">
        <v>4.2210752223586077E-2</v>
      </c>
      <c r="V1633" t="s">
        <v>166</v>
      </c>
    </row>
    <row r="1634" spans="9:22" x14ac:dyDescent="0.45">
      <c r="I1634" t="s">
        <v>193</v>
      </c>
      <c r="J1634" t="s">
        <v>285</v>
      </c>
      <c r="K1634">
        <v>4.586776462362374E-3</v>
      </c>
      <c r="L1634" t="s">
        <v>166</v>
      </c>
      <c r="N1634" t="s">
        <v>217</v>
      </c>
      <c r="O1634" t="s">
        <v>285</v>
      </c>
      <c r="P1634">
        <v>5.9458568296045441E-3</v>
      </c>
      <c r="Q1634" t="s">
        <v>166</v>
      </c>
      <c r="S1634" t="s">
        <v>234</v>
      </c>
      <c r="T1634" t="s">
        <v>285</v>
      </c>
      <c r="U1634">
        <v>6.5277647417625413E-3</v>
      </c>
      <c r="V1634" t="s">
        <v>166</v>
      </c>
    </row>
    <row r="1635" spans="9:22" x14ac:dyDescent="0.45">
      <c r="I1635" t="s">
        <v>193</v>
      </c>
      <c r="J1635" t="s">
        <v>286</v>
      </c>
      <c r="K1635">
        <v>3.1931417377090384E-3</v>
      </c>
      <c r="L1635" t="s">
        <v>166</v>
      </c>
      <c r="N1635" t="s">
        <v>217</v>
      </c>
      <c r="O1635" t="s">
        <v>286</v>
      </c>
      <c r="P1635">
        <v>1.0631051800960111E-2</v>
      </c>
      <c r="Q1635" t="s">
        <v>166</v>
      </c>
      <c r="S1635" t="s">
        <v>234</v>
      </c>
      <c r="T1635" t="s">
        <v>286</v>
      </c>
      <c r="U1635">
        <v>1.2060782622180218E-2</v>
      </c>
      <c r="V1635" t="s">
        <v>166</v>
      </c>
    </row>
    <row r="1636" spans="9:22" x14ac:dyDescent="0.45">
      <c r="I1636" t="s">
        <v>193</v>
      </c>
      <c r="J1636" t="s">
        <v>287</v>
      </c>
      <c r="K1636">
        <v>0</v>
      </c>
      <c r="L1636" t="s">
        <v>166</v>
      </c>
      <c r="N1636" t="s">
        <v>217</v>
      </c>
      <c r="O1636" t="s">
        <v>287</v>
      </c>
      <c r="P1636">
        <v>2.7843071929479879E-2</v>
      </c>
      <c r="Q1636" t="s">
        <v>166</v>
      </c>
      <c r="S1636" t="s">
        <v>234</v>
      </c>
      <c r="T1636" t="s">
        <v>287</v>
      </c>
      <c r="U1636">
        <v>3.1400520401176323E-2</v>
      </c>
      <c r="V1636" t="s">
        <v>166</v>
      </c>
    </row>
    <row r="1637" spans="9:22" x14ac:dyDescent="0.45">
      <c r="I1637" t="s">
        <v>193</v>
      </c>
      <c r="J1637" t="s">
        <v>288</v>
      </c>
      <c r="K1637">
        <v>0</v>
      </c>
      <c r="L1637" t="s">
        <v>166</v>
      </c>
      <c r="N1637" t="s">
        <v>217</v>
      </c>
      <c r="O1637" t="s">
        <v>288</v>
      </c>
      <c r="P1637">
        <v>3.4127682453642512E-2</v>
      </c>
      <c r="Q1637" t="s">
        <v>166</v>
      </c>
      <c r="S1637" t="s">
        <v>234</v>
      </c>
      <c r="T1637" t="s">
        <v>288</v>
      </c>
      <c r="U1637">
        <v>4.1152087656207766E-2</v>
      </c>
      <c r="V1637" t="s">
        <v>166</v>
      </c>
    </row>
    <row r="1638" spans="9:22" x14ac:dyDescent="0.45">
      <c r="I1638" t="s">
        <v>193</v>
      </c>
      <c r="J1638" t="s">
        <v>289</v>
      </c>
      <c r="K1638">
        <v>5.1908481692384614E-3</v>
      </c>
      <c r="L1638" t="s">
        <v>166</v>
      </c>
      <c r="N1638" t="s">
        <v>217</v>
      </c>
      <c r="O1638" t="s">
        <v>289</v>
      </c>
      <c r="P1638">
        <v>5.0556392920162677E-3</v>
      </c>
      <c r="Q1638" t="s">
        <v>166</v>
      </c>
      <c r="S1638" t="s">
        <v>234</v>
      </c>
      <c r="T1638" t="s">
        <v>289</v>
      </c>
      <c r="U1638">
        <v>5.984194511150254E-3</v>
      </c>
      <c r="V1638" t="s">
        <v>166</v>
      </c>
    </row>
    <row r="1639" spans="9:22" x14ac:dyDescent="0.45">
      <c r="I1639" t="s">
        <v>193</v>
      </c>
      <c r="J1639" t="s">
        <v>290</v>
      </c>
      <c r="K1639">
        <v>6.9804900926472527E-2</v>
      </c>
      <c r="L1639" t="s">
        <v>166</v>
      </c>
      <c r="N1639" t="s">
        <v>217</v>
      </c>
      <c r="O1639" t="s">
        <v>290</v>
      </c>
      <c r="P1639">
        <v>3.5523973600735441E-2</v>
      </c>
      <c r="Q1639" t="s">
        <v>166</v>
      </c>
      <c r="S1639" t="s">
        <v>234</v>
      </c>
      <c r="T1639" t="s">
        <v>290</v>
      </c>
      <c r="U1639">
        <v>3.9074117996309693E-2</v>
      </c>
      <c r="V1639" t="s">
        <v>166</v>
      </c>
    </row>
    <row r="1640" spans="9:22" x14ac:dyDescent="0.45">
      <c r="I1640" t="s">
        <v>193</v>
      </c>
      <c r="J1640" t="s">
        <v>291</v>
      </c>
      <c r="K1640">
        <v>7.6631525343770967E-3</v>
      </c>
      <c r="L1640" t="s">
        <v>166</v>
      </c>
      <c r="N1640" t="s">
        <v>217</v>
      </c>
      <c r="O1640" t="s">
        <v>291</v>
      </c>
      <c r="P1640">
        <v>4.5874555710094835E-3</v>
      </c>
      <c r="Q1640" t="s">
        <v>166</v>
      </c>
      <c r="S1640" t="s">
        <v>234</v>
      </c>
      <c r="T1640" t="s">
        <v>291</v>
      </c>
      <c r="U1640">
        <v>5.1937604124858983E-3</v>
      </c>
      <c r="V1640" t="s">
        <v>166</v>
      </c>
    </row>
    <row r="1641" spans="9:22" x14ac:dyDescent="0.45">
      <c r="I1641" t="s">
        <v>193</v>
      </c>
      <c r="J1641" t="s">
        <v>292</v>
      </c>
      <c r="K1641">
        <v>5.1945255161415975E-3</v>
      </c>
      <c r="L1641" t="s">
        <v>166</v>
      </c>
      <c r="N1641" t="s">
        <v>217</v>
      </c>
      <c r="O1641" t="s">
        <v>292</v>
      </c>
      <c r="P1641">
        <v>7.415788104683207E-3</v>
      </c>
      <c r="Q1641" t="s">
        <v>166</v>
      </c>
      <c r="S1641" t="s">
        <v>234</v>
      </c>
      <c r="T1641" t="s">
        <v>292</v>
      </c>
      <c r="U1641">
        <v>8.2194744717417525E-3</v>
      </c>
      <c r="V1641" t="s">
        <v>166</v>
      </c>
    </row>
    <row r="1642" spans="9:22" x14ac:dyDescent="0.45">
      <c r="I1642" t="s">
        <v>193</v>
      </c>
      <c r="J1642" t="s">
        <v>293</v>
      </c>
      <c r="K1642">
        <v>0</v>
      </c>
      <c r="L1642" t="s">
        <v>166</v>
      </c>
      <c r="N1642" t="s">
        <v>217</v>
      </c>
      <c r="O1642" t="s">
        <v>293</v>
      </c>
      <c r="P1642">
        <v>1.7454472023181258E-2</v>
      </c>
      <c r="Q1642" t="s">
        <v>166</v>
      </c>
      <c r="S1642" t="s">
        <v>234</v>
      </c>
      <c r="T1642" t="s">
        <v>293</v>
      </c>
      <c r="U1642">
        <v>1.9901899023360856E-2</v>
      </c>
      <c r="V1642" t="s">
        <v>166</v>
      </c>
    </row>
    <row r="1643" spans="9:22" x14ac:dyDescent="0.45">
      <c r="I1643" t="s">
        <v>194</v>
      </c>
      <c r="J1643" t="s">
        <v>165</v>
      </c>
      <c r="K1643">
        <v>6.3590537857130805E-3</v>
      </c>
      <c r="L1643" t="s">
        <v>166</v>
      </c>
      <c r="S1643" t="s">
        <v>235</v>
      </c>
      <c r="T1643" t="s">
        <v>165</v>
      </c>
      <c r="U1643">
        <v>0.1194795897165834</v>
      </c>
      <c r="V1643" t="s">
        <v>166</v>
      </c>
    </row>
    <row r="1644" spans="9:22" x14ac:dyDescent="0.45">
      <c r="I1644" t="s">
        <v>194</v>
      </c>
      <c r="J1644" t="s">
        <v>167</v>
      </c>
      <c r="K1644">
        <v>1.7144540725445048E-2</v>
      </c>
      <c r="L1644" t="s">
        <v>166</v>
      </c>
      <c r="S1644" t="s">
        <v>235</v>
      </c>
      <c r="T1644" t="s">
        <v>167</v>
      </c>
      <c r="U1644">
        <v>1.4187725908890947E-2</v>
      </c>
      <c r="V1644" t="s">
        <v>166</v>
      </c>
    </row>
    <row r="1645" spans="9:22" x14ac:dyDescent="0.45">
      <c r="I1645" t="s">
        <v>194</v>
      </c>
      <c r="J1645" t="s">
        <v>168</v>
      </c>
      <c r="K1645">
        <v>0.24893536489661</v>
      </c>
      <c r="L1645" t="s">
        <v>166</v>
      </c>
      <c r="S1645" t="s">
        <v>235</v>
      </c>
      <c r="T1645" t="s">
        <v>168</v>
      </c>
      <c r="U1645">
        <v>8.9417385353260756E-2</v>
      </c>
      <c r="V1645" t="s">
        <v>166</v>
      </c>
    </row>
    <row r="1646" spans="9:22" x14ac:dyDescent="0.45">
      <c r="I1646" t="s">
        <v>194</v>
      </c>
      <c r="J1646" t="s">
        <v>258</v>
      </c>
      <c r="K1646">
        <v>3.2513321018454472E-2</v>
      </c>
      <c r="L1646" t="s">
        <v>166</v>
      </c>
      <c r="S1646" t="s">
        <v>235</v>
      </c>
      <c r="T1646" t="s">
        <v>258</v>
      </c>
      <c r="U1646">
        <v>1.3184418435351482E-2</v>
      </c>
      <c r="V1646" t="s">
        <v>166</v>
      </c>
    </row>
    <row r="1647" spans="9:22" x14ac:dyDescent="0.45">
      <c r="I1647" t="s">
        <v>194</v>
      </c>
      <c r="J1647" t="s">
        <v>259</v>
      </c>
      <c r="K1647">
        <v>4.2405066757977943E-2</v>
      </c>
      <c r="L1647" t="s">
        <v>166</v>
      </c>
      <c r="S1647" t="s">
        <v>235</v>
      </c>
      <c r="T1647" t="s">
        <v>259</v>
      </c>
      <c r="U1647">
        <v>2.7241668453199752E-2</v>
      </c>
      <c r="V1647" t="s">
        <v>166</v>
      </c>
    </row>
    <row r="1648" spans="9:22" x14ac:dyDescent="0.45">
      <c r="I1648" t="s">
        <v>194</v>
      </c>
      <c r="J1648" t="s">
        <v>260</v>
      </c>
      <c r="K1648">
        <v>0</v>
      </c>
      <c r="L1648" t="s">
        <v>166</v>
      </c>
      <c r="S1648" t="s">
        <v>235</v>
      </c>
      <c r="T1648" t="s">
        <v>260</v>
      </c>
      <c r="U1648">
        <v>8.4425567972352872E-2</v>
      </c>
      <c r="V1648" t="s">
        <v>166</v>
      </c>
    </row>
    <row r="1649" spans="9:22" x14ac:dyDescent="0.45">
      <c r="I1649" t="s">
        <v>194</v>
      </c>
      <c r="J1649" t="s">
        <v>346</v>
      </c>
      <c r="K1649">
        <v>0</v>
      </c>
      <c r="L1649" t="s">
        <v>166</v>
      </c>
      <c r="S1649" t="s">
        <v>235</v>
      </c>
      <c r="T1649" t="s">
        <v>346</v>
      </c>
      <c r="U1649">
        <v>2.3964982721583752E-5</v>
      </c>
      <c r="V1649" t="s">
        <v>166</v>
      </c>
    </row>
    <row r="1650" spans="9:22" x14ac:dyDescent="0.45">
      <c r="I1650" t="s">
        <v>194</v>
      </c>
      <c r="J1650" t="s">
        <v>347</v>
      </c>
      <c r="K1650">
        <v>0</v>
      </c>
      <c r="L1650" t="s">
        <v>166</v>
      </c>
      <c r="S1650" t="s">
        <v>235</v>
      </c>
      <c r="T1650" t="s">
        <v>347</v>
      </c>
      <c r="U1650">
        <v>3.0866696258051057E-5</v>
      </c>
      <c r="V1650" t="s">
        <v>166</v>
      </c>
    </row>
    <row r="1651" spans="9:22" x14ac:dyDescent="0.45">
      <c r="I1651" t="s">
        <v>194</v>
      </c>
      <c r="J1651" t="s">
        <v>348</v>
      </c>
      <c r="K1651">
        <v>0</v>
      </c>
      <c r="L1651" t="s">
        <v>166</v>
      </c>
      <c r="S1651" t="s">
        <v>235</v>
      </c>
      <c r="T1651" t="s">
        <v>348</v>
      </c>
      <c r="U1651">
        <v>4.0528809667969703E-5</v>
      </c>
      <c r="V1651" t="s">
        <v>166</v>
      </c>
    </row>
    <row r="1652" spans="9:22" x14ac:dyDescent="0.45">
      <c r="I1652" t="s">
        <v>194</v>
      </c>
      <c r="J1652" t="s">
        <v>349</v>
      </c>
      <c r="K1652">
        <v>0</v>
      </c>
      <c r="L1652" t="s">
        <v>166</v>
      </c>
      <c r="S1652" t="s">
        <v>235</v>
      </c>
      <c r="T1652" t="s">
        <v>349</v>
      </c>
      <c r="U1652">
        <v>4.4066639937057685E-5</v>
      </c>
      <c r="V1652" t="s">
        <v>166</v>
      </c>
    </row>
    <row r="1653" spans="9:22" x14ac:dyDescent="0.45">
      <c r="I1653" t="s">
        <v>194</v>
      </c>
      <c r="J1653" t="s">
        <v>350</v>
      </c>
      <c r="K1653">
        <v>0</v>
      </c>
      <c r="L1653" t="s">
        <v>166</v>
      </c>
      <c r="S1653" t="s">
        <v>235</v>
      </c>
      <c r="T1653" t="s">
        <v>350</v>
      </c>
      <c r="U1653">
        <v>4.3298739752341439E-5</v>
      </c>
      <c r="V1653" t="s">
        <v>166</v>
      </c>
    </row>
    <row r="1654" spans="9:22" x14ac:dyDescent="0.45">
      <c r="I1654" t="s">
        <v>194</v>
      </c>
      <c r="J1654" t="s">
        <v>351</v>
      </c>
      <c r="K1654">
        <v>0</v>
      </c>
      <c r="L1654" t="s">
        <v>166</v>
      </c>
      <c r="S1654" t="s">
        <v>235</v>
      </c>
      <c r="T1654" t="s">
        <v>351</v>
      </c>
      <c r="U1654">
        <v>4.209819430934516E-5</v>
      </c>
      <c r="V1654" t="s">
        <v>166</v>
      </c>
    </row>
    <row r="1655" spans="9:22" x14ac:dyDescent="0.45">
      <c r="I1655" t="s">
        <v>194</v>
      </c>
      <c r="J1655" t="s">
        <v>352</v>
      </c>
      <c r="K1655">
        <v>0</v>
      </c>
      <c r="L1655" t="s">
        <v>166</v>
      </c>
      <c r="S1655" t="s">
        <v>235</v>
      </c>
      <c r="T1655" t="s">
        <v>352</v>
      </c>
      <c r="U1655">
        <v>4.5486810392369324E-5</v>
      </c>
      <c r="V1655" t="s">
        <v>166</v>
      </c>
    </row>
    <row r="1656" spans="9:22" x14ac:dyDescent="0.45">
      <c r="I1656" t="s">
        <v>194</v>
      </c>
      <c r="J1656" t="s">
        <v>353</v>
      </c>
      <c r="K1656">
        <v>0</v>
      </c>
      <c r="L1656" t="s">
        <v>166</v>
      </c>
      <c r="S1656" t="s">
        <v>235</v>
      </c>
      <c r="T1656" t="s">
        <v>353</v>
      </c>
      <c r="U1656">
        <v>4.7789911581821529E-5</v>
      </c>
      <c r="V1656" t="s">
        <v>166</v>
      </c>
    </row>
    <row r="1657" spans="9:22" x14ac:dyDescent="0.45">
      <c r="I1657" t="s">
        <v>194</v>
      </c>
      <c r="J1657" t="s">
        <v>354</v>
      </c>
      <c r="K1657">
        <v>1.4907311852961291E-5</v>
      </c>
      <c r="L1657" t="s">
        <v>166</v>
      </c>
      <c r="S1657" t="s">
        <v>235</v>
      </c>
      <c r="T1657" t="s">
        <v>354</v>
      </c>
      <c r="U1657">
        <v>4.9471459497879709E-5</v>
      </c>
      <c r="V1657" t="s">
        <v>166</v>
      </c>
    </row>
    <row r="1658" spans="9:22" x14ac:dyDescent="0.45">
      <c r="I1658" t="s">
        <v>194</v>
      </c>
      <c r="J1658" t="s">
        <v>355</v>
      </c>
      <c r="K1658">
        <v>7.1109840031484924E-5</v>
      </c>
      <c r="L1658" t="s">
        <v>166</v>
      </c>
      <c r="S1658" t="s">
        <v>235</v>
      </c>
      <c r="T1658" t="s">
        <v>355</v>
      </c>
      <c r="U1658">
        <v>4.9902481052013149E-5</v>
      </c>
      <c r="V1658" t="s">
        <v>166</v>
      </c>
    </row>
    <row r="1659" spans="9:22" x14ac:dyDescent="0.45">
      <c r="I1659" t="s">
        <v>194</v>
      </c>
      <c r="J1659" t="s">
        <v>356</v>
      </c>
      <c r="K1659">
        <v>1.7235253973193145E-4</v>
      </c>
      <c r="L1659" t="s">
        <v>166</v>
      </c>
      <c r="S1659" t="s">
        <v>235</v>
      </c>
      <c r="T1659" t="s">
        <v>356</v>
      </c>
      <c r="U1659">
        <v>4.7606192544390633E-5</v>
      </c>
      <c r="V1659" t="s">
        <v>166</v>
      </c>
    </row>
    <row r="1660" spans="9:22" x14ac:dyDescent="0.45">
      <c r="I1660" t="s">
        <v>194</v>
      </c>
      <c r="J1660" t="s">
        <v>357</v>
      </c>
      <c r="K1660">
        <v>2.4407779302660799E-4</v>
      </c>
      <c r="L1660" t="s">
        <v>166</v>
      </c>
      <c r="S1660" t="s">
        <v>235</v>
      </c>
      <c r="T1660" t="s">
        <v>357</v>
      </c>
      <c r="U1660">
        <v>4.6963856512026157E-5</v>
      </c>
      <c r="V1660" t="s">
        <v>166</v>
      </c>
    </row>
    <row r="1661" spans="9:22" x14ac:dyDescent="0.45">
      <c r="I1661" t="s">
        <v>194</v>
      </c>
      <c r="J1661" t="s">
        <v>358</v>
      </c>
      <c r="K1661">
        <v>2.2954535207181007E-4</v>
      </c>
      <c r="L1661" t="s">
        <v>166</v>
      </c>
      <c r="S1661" t="s">
        <v>235</v>
      </c>
      <c r="T1661" t="s">
        <v>358</v>
      </c>
      <c r="U1661">
        <v>4.8080385324566702E-5</v>
      </c>
      <c r="V1661" t="s">
        <v>166</v>
      </c>
    </row>
    <row r="1662" spans="9:22" x14ac:dyDescent="0.45">
      <c r="I1662" t="s">
        <v>194</v>
      </c>
      <c r="J1662" t="s">
        <v>359</v>
      </c>
      <c r="K1662">
        <v>1.8721044178560237E-4</v>
      </c>
      <c r="L1662" t="s">
        <v>166</v>
      </c>
      <c r="S1662" t="s">
        <v>235</v>
      </c>
      <c r="T1662" t="s">
        <v>359</v>
      </c>
      <c r="U1662">
        <v>4.6748821932318905E-5</v>
      </c>
      <c r="V1662" t="s">
        <v>166</v>
      </c>
    </row>
    <row r="1663" spans="9:22" x14ac:dyDescent="0.45">
      <c r="I1663" t="s">
        <v>194</v>
      </c>
      <c r="J1663" t="s">
        <v>360</v>
      </c>
      <c r="K1663">
        <v>2.0917569247907476E-4</v>
      </c>
      <c r="L1663" t="s">
        <v>166</v>
      </c>
      <c r="S1663" t="s">
        <v>235</v>
      </c>
      <c r="T1663" t="s">
        <v>360</v>
      </c>
      <c r="U1663">
        <v>4.161940929587725E-5</v>
      </c>
      <c r="V1663" t="s">
        <v>166</v>
      </c>
    </row>
    <row r="1664" spans="9:22" x14ac:dyDescent="0.45">
      <c r="I1664" t="s">
        <v>194</v>
      </c>
      <c r="J1664" t="s">
        <v>361</v>
      </c>
      <c r="K1664">
        <v>1.5724388125985109E-4</v>
      </c>
      <c r="L1664" t="s">
        <v>166</v>
      </c>
      <c r="S1664" t="s">
        <v>235</v>
      </c>
      <c r="T1664" t="s">
        <v>361</v>
      </c>
      <c r="U1664">
        <v>3.3467509439424066E-5</v>
      </c>
      <c r="V1664" t="s">
        <v>166</v>
      </c>
    </row>
    <row r="1665" spans="9:22" x14ac:dyDescent="0.45">
      <c r="I1665" t="s">
        <v>194</v>
      </c>
      <c r="J1665" t="s">
        <v>362</v>
      </c>
      <c r="K1665">
        <v>1.4308462599918866E-4</v>
      </c>
      <c r="L1665" t="s">
        <v>166</v>
      </c>
      <c r="S1665" t="s">
        <v>235</v>
      </c>
      <c r="T1665" t="s">
        <v>362</v>
      </c>
      <c r="U1665">
        <v>2.3470282531757935E-5</v>
      </c>
      <c r="V1665" t="s">
        <v>166</v>
      </c>
    </row>
    <row r="1666" spans="9:22" x14ac:dyDescent="0.45">
      <c r="I1666" t="s">
        <v>194</v>
      </c>
      <c r="J1666" t="s">
        <v>363</v>
      </c>
      <c r="K1666">
        <v>1.2645322593445789E-4</v>
      </c>
      <c r="L1666" t="s">
        <v>166</v>
      </c>
      <c r="S1666" t="s">
        <v>235</v>
      </c>
      <c r="T1666" t="s">
        <v>363</v>
      </c>
      <c r="U1666">
        <v>2.3847893547475646E-5</v>
      </c>
      <c r="V1666" t="s">
        <v>166</v>
      </c>
    </row>
    <row r="1667" spans="9:22" x14ac:dyDescent="0.45">
      <c r="I1667" t="s">
        <v>194</v>
      </c>
      <c r="J1667" t="s">
        <v>364</v>
      </c>
      <c r="K1667">
        <v>9.7589622824283172E-5</v>
      </c>
      <c r="L1667" t="s">
        <v>166</v>
      </c>
      <c r="S1667" t="s">
        <v>235</v>
      </c>
      <c r="T1667" t="s">
        <v>364</v>
      </c>
      <c r="U1667">
        <v>1.82722859231128E-5</v>
      </c>
      <c r="V1667" t="s">
        <v>166</v>
      </c>
    </row>
    <row r="1668" spans="9:22" x14ac:dyDescent="0.45">
      <c r="I1668" t="s">
        <v>194</v>
      </c>
      <c r="J1668" t="s">
        <v>365</v>
      </c>
      <c r="K1668">
        <v>0</v>
      </c>
      <c r="L1668" t="s">
        <v>166</v>
      </c>
      <c r="S1668" t="s">
        <v>235</v>
      </c>
      <c r="T1668" t="s">
        <v>365</v>
      </c>
      <c r="U1668">
        <v>1.4911323907625163E-5</v>
      </c>
      <c r="V1668" t="s">
        <v>166</v>
      </c>
    </row>
    <row r="1669" spans="9:22" x14ac:dyDescent="0.45">
      <c r="I1669" t="s">
        <v>194</v>
      </c>
      <c r="J1669" t="s">
        <v>366</v>
      </c>
      <c r="K1669">
        <v>0</v>
      </c>
      <c r="L1669" t="s">
        <v>166</v>
      </c>
      <c r="S1669" t="s">
        <v>235</v>
      </c>
      <c r="T1669" t="s">
        <v>366</v>
      </c>
      <c r="U1669">
        <v>1.1356492722169585E-5</v>
      </c>
      <c r="V1669" t="s">
        <v>166</v>
      </c>
    </row>
    <row r="1670" spans="9:22" x14ac:dyDescent="0.45">
      <c r="I1670" t="s">
        <v>194</v>
      </c>
      <c r="J1670" t="s">
        <v>367</v>
      </c>
      <c r="K1670">
        <v>0</v>
      </c>
      <c r="L1670" t="s">
        <v>166</v>
      </c>
      <c r="S1670" t="s">
        <v>235</v>
      </c>
      <c r="T1670" t="s">
        <v>367</v>
      </c>
      <c r="U1670">
        <v>9.261922683291196E-6</v>
      </c>
      <c r="V1670" t="s">
        <v>166</v>
      </c>
    </row>
    <row r="1671" spans="9:22" x14ac:dyDescent="0.45">
      <c r="I1671" t="s">
        <v>194</v>
      </c>
      <c r="J1671" t="s">
        <v>368</v>
      </c>
      <c r="K1671">
        <v>0</v>
      </c>
      <c r="L1671" t="s">
        <v>166</v>
      </c>
      <c r="S1671" t="s">
        <v>235</v>
      </c>
      <c r="T1671" t="s">
        <v>368</v>
      </c>
      <c r="U1671">
        <v>9.0305565340127763E-6</v>
      </c>
      <c r="V1671" t="s">
        <v>166</v>
      </c>
    </row>
    <row r="1672" spans="9:22" x14ac:dyDescent="0.45">
      <c r="I1672" t="s">
        <v>194</v>
      </c>
      <c r="J1672" t="s">
        <v>369</v>
      </c>
      <c r="K1672">
        <v>0</v>
      </c>
      <c r="L1672" t="s">
        <v>166</v>
      </c>
      <c r="S1672" t="s">
        <v>235</v>
      </c>
      <c r="T1672" t="s">
        <v>369</v>
      </c>
      <c r="U1672">
        <v>1.0483979867265084E-5</v>
      </c>
      <c r="V1672" t="s">
        <v>166</v>
      </c>
    </row>
    <row r="1673" spans="9:22" x14ac:dyDescent="0.45">
      <c r="I1673" t="s">
        <v>194</v>
      </c>
      <c r="J1673" t="s">
        <v>370</v>
      </c>
      <c r="K1673">
        <v>0</v>
      </c>
      <c r="L1673" t="s">
        <v>166</v>
      </c>
      <c r="S1673" t="s">
        <v>235</v>
      </c>
      <c r="T1673" t="s">
        <v>370</v>
      </c>
      <c r="U1673">
        <v>1.6370947076620364E-4</v>
      </c>
      <c r="V1673" t="s">
        <v>166</v>
      </c>
    </row>
    <row r="1674" spans="9:22" x14ac:dyDescent="0.45">
      <c r="I1674" t="s">
        <v>194</v>
      </c>
      <c r="J1674" t="s">
        <v>371</v>
      </c>
      <c r="K1674">
        <v>0</v>
      </c>
      <c r="L1674" t="s">
        <v>166</v>
      </c>
      <c r="S1674" t="s">
        <v>235</v>
      </c>
      <c r="T1674" t="s">
        <v>371</v>
      </c>
      <c r="U1674">
        <v>1.5578644785088202E-4</v>
      </c>
      <c r="V1674" t="s">
        <v>166</v>
      </c>
    </row>
    <row r="1675" spans="9:22" x14ac:dyDescent="0.45">
      <c r="I1675" t="s">
        <v>194</v>
      </c>
      <c r="J1675" t="s">
        <v>372</v>
      </c>
      <c r="K1675">
        <v>0</v>
      </c>
      <c r="L1675" t="s">
        <v>166</v>
      </c>
      <c r="S1675" t="s">
        <v>235</v>
      </c>
      <c r="T1675" t="s">
        <v>372</v>
      </c>
      <c r="U1675">
        <v>1.4631813336733014E-4</v>
      </c>
      <c r="V1675" t="s">
        <v>166</v>
      </c>
    </row>
    <row r="1676" spans="9:22" x14ac:dyDescent="0.45">
      <c r="I1676" t="s">
        <v>194</v>
      </c>
      <c r="J1676" t="s">
        <v>373</v>
      </c>
      <c r="K1676">
        <v>0</v>
      </c>
      <c r="L1676" t="s">
        <v>166</v>
      </c>
      <c r="S1676" t="s">
        <v>235</v>
      </c>
      <c r="T1676" t="s">
        <v>373</v>
      </c>
      <c r="U1676">
        <v>1.3312277865916688E-4</v>
      </c>
      <c r="V1676" t="s">
        <v>166</v>
      </c>
    </row>
    <row r="1677" spans="9:22" x14ac:dyDescent="0.45">
      <c r="I1677" t="s">
        <v>194</v>
      </c>
      <c r="J1677" t="s">
        <v>374</v>
      </c>
      <c r="K1677">
        <v>0</v>
      </c>
      <c r="L1677" t="s">
        <v>166</v>
      </c>
      <c r="S1677" t="s">
        <v>235</v>
      </c>
      <c r="T1677" t="s">
        <v>374</v>
      </c>
      <c r="U1677">
        <v>1.3511532577760373E-4</v>
      </c>
      <c r="V1677" t="s">
        <v>166</v>
      </c>
    </row>
    <row r="1678" spans="9:22" x14ac:dyDescent="0.45">
      <c r="I1678" t="s">
        <v>194</v>
      </c>
      <c r="J1678" t="s">
        <v>375</v>
      </c>
      <c r="K1678">
        <v>0</v>
      </c>
      <c r="L1678" t="s">
        <v>166</v>
      </c>
      <c r="S1678" t="s">
        <v>235</v>
      </c>
      <c r="T1678" t="s">
        <v>375</v>
      </c>
      <c r="U1678">
        <v>1.2948297980379527E-4</v>
      </c>
      <c r="V1678" t="s">
        <v>166</v>
      </c>
    </row>
    <row r="1679" spans="9:22" x14ac:dyDescent="0.45">
      <c r="I1679" t="s">
        <v>194</v>
      </c>
      <c r="J1679" t="s">
        <v>376</v>
      </c>
      <c r="K1679">
        <v>0</v>
      </c>
      <c r="L1679" t="s">
        <v>166</v>
      </c>
      <c r="S1679" t="s">
        <v>235</v>
      </c>
      <c r="T1679" t="s">
        <v>376</v>
      </c>
      <c r="U1679">
        <v>1.2156413247374072E-4</v>
      </c>
      <c r="V1679" t="s">
        <v>166</v>
      </c>
    </row>
    <row r="1680" spans="9:22" x14ac:dyDescent="0.45">
      <c r="I1680" t="s">
        <v>194</v>
      </c>
      <c r="J1680" t="s">
        <v>377</v>
      </c>
      <c r="K1680">
        <v>0</v>
      </c>
      <c r="L1680" t="s">
        <v>166</v>
      </c>
      <c r="S1680" t="s">
        <v>235</v>
      </c>
      <c r="T1680" t="s">
        <v>377</v>
      </c>
      <c r="U1680">
        <v>9.3933583274930589E-5</v>
      </c>
      <c r="V1680" t="s">
        <v>166</v>
      </c>
    </row>
    <row r="1681" spans="9:22" x14ac:dyDescent="0.45">
      <c r="I1681" t="s">
        <v>194</v>
      </c>
      <c r="J1681" t="s">
        <v>378</v>
      </c>
      <c r="K1681">
        <v>8.7545453701613554E-5</v>
      </c>
      <c r="L1681" t="s">
        <v>166</v>
      </c>
      <c r="S1681" t="s">
        <v>235</v>
      </c>
      <c r="T1681" t="s">
        <v>378</v>
      </c>
      <c r="U1681">
        <v>6.4913329503452321E-5</v>
      </c>
      <c r="V1681" t="s">
        <v>166</v>
      </c>
    </row>
    <row r="1682" spans="9:22" x14ac:dyDescent="0.45">
      <c r="I1682" t="s">
        <v>194</v>
      </c>
      <c r="J1682" t="s">
        <v>379</v>
      </c>
      <c r="K1682">
        <v>1.7141505670910262E-4</v>
      </c>
      <c r="L1682" t="s">
        <v>166</v>
      </c>
      <c r="S1682" t="s">
        <v>235</v>
      </c>
      <c r="T1682" t="s">
        <v>379</v>
      </c>
      <c r="U1682">
        <v>5.2122037924941955E-5</v>
      </c>
      <c r="V1682" t="s">
        <v>166</v>
      </c>
    </row>
    <row r="1683" spans="9:22" x14ac:dyDescent="0.45">
      <c r="I1683" t="s">
        <v>194</v>
      </c>
      <c r="J1683" t="s">
        <v>380</v>
      </c>
      <c r="K1683">
        <v>2.808927831251745E-4</v>
      </c>
      <c r="L1683" t="s">
        <v>166</v>
      </c>
      <c r="S1683" t="s">
        <v>235</v>
      </c>
      <c r="T1683" t="s">
        <v>380</v>
      </c>
      <c r="U1683">
        <v>4.1352290061583801E-5</v>
      </c>
      <c r="V1683" t="s">
        <v>166</v>
      </c>
    </row>
    <row r="1684" spans="9:22" x14ac:dyDescent="0.45">
      <c r="I1684" t="s">
        <v>194</v>
      </c>
      <c r="J1684" t="s">
        <v>381</v>
      </c>
      <c r="K1684">
        <v>3.5208959530501664E-4</v>
      </c>
      <c r="L1684" t="s">
        <v>166</v>
      </c>
      <c r="S1684" t="s">
        <v>235</v>
      </c>
      <c r="T1684" t="s">
        <v>381</v>
      </c>
      <c r="U1684">
        <v>3.6684622345357089E-5</v>
      </c>
      <c r="V1684" t="s">
        <v>166</v>
      </c>
    </row>
    <row r="1685" spans="9:22" x14ac:dyDescent="0.45">
      <c r="I1685" t="s">
        <v>194</v>
      </c>
      <c r="J1685" t="s">
        <v>382</v>
      </c>
      <c r="K1685">
        <v>3.5600618789560269E-4</v>
      </c>
      <c r="L1685" t="s">
        <v>166</v>
      </c>
      <c r="S1685" t="s">
        <v>235</v>
      </c>
      <c r="T1685" t="s">
        <v>382</v>
      </c>
      <c r="U1685">
        <v>3.2130989277755491E-5</v>
      </c>
      <c r="V1685" t="s">
        <v>166</v>
      </c>
    </row>
    <row r="1686" spans="9:22" x14ac:dyDescent="0.45">
      <c r="I1686" t="s">
        <v>194</v>
      </c>
      <c r="J1686" t="s">
        <v>383</v>
      </c>
      <c r="K1686">
        <v>3.8391986460888338E-4</v>
      </c>
      <c r="L1686" t="s">
        <v>166</v>
      </c>
      <c r="S1686" t="s">
        <v>235</v>
      </c>
      <c r="T1686" t="s">
        <v>383</v>
      </c>
      <c r="U1686">
        <v>2.7966243303838634E-5</v>
      </c>
      <c r="V1686" t="s">
        <v>166</v>
      </c>
    </row>
    <row r="1687" spans="9:22" x14ac:dyDescent="0.45">
      <c r="I1687" t="s">
        <v>194</v>
      </c>
      <c r="J1687" t="s">
        <v>384</v>
      </c>
      <c r="K1687">
        <v>4.1243819213524933E-4</v>
      </c>
      <c r="L1687" t="s">
        <v>166</v>
      </c>
      <c r="S1687" t="s">
        <v>235</v>
      </c>
      <c r="T1687" t="s">
        <v>384</v>
      </c>
      <c r="U1687">
        <v>3.8841615999737475E-5</v>
      </c>
      <c r="V1687" t="s">
        <v>166</v>
      </c>
    </row>
    <row r="1688" spans="9:22" x14ac:dyDescent="0.45">
      <c r="I1688" t="s">
        <v>194</v>
      </c>
      <c r="J1688" t="s">
        <v>385</v>
      </c>
      <c r="K1688">
        <v>3.97391321028233E-4</v>
      </c>
      <c r="L1688" t="s">
        <v>166</v>
      </c>
      <c r="S1688" t="s">
        <v>235</v>
      </c>
      <c r="T1688" t="s">
        <v>385</v>
      </c>
      <c r="U1688">
        <v>6.3356629610746536E-5</v>
      </c>
      <c r="V1688" t="s">
        <v>166</v>
      </c>
    </row>
    <row r="1689" spans="9:22" x14ac:dyDescent="0.45">
      <c r="I1689" t="s">
        <v>194</v>
      </c>
      <c r="J1689" t="s">
        <v>386</v>
      </c>
      <c r="K1689">
        <v>3.5798459849756725E-4</v>
      </c>
      <c r="L1689" t="s">
        <v>166</v>
      </c>
      <c r="S1689" t="s">
        <v>235</v>
      </c>
      <c r="T1689" t="s">
        <v>386</v>
      </c>
      <c r="U1689">
        <v>9.8113774787327029E-5</v>
      </c>
      <c r="V1689" t="s">
        <v>166</v>
      </c>
    </row>
    <row r="1690" spans="9:22" x14ac:dyDescent="0.45">
      <c r="I1690" t="s">
        <v>194</v>
      </c>
      <c r="J1690" t="s">
        <v>387</v>
      </c>
      <c r="K1690">
        <v>2.7324894184932219E-4</v>
      </c>
      <c r="L1690" t="s">
        <v>166</v>
      </c>
      <c r="S1690" t="s">
        <v>235</v>
      </c>
      <c r="T1690" t="s">
        <v>387</v>
      </c>
      <c r="U1690">
        <v>1.0684362212239071E-4</v>
      </c>
      <c r="V1690" t="s">
        <v>166</v>
      </c>
    </row>
    <row r="1691" spans="9:22" x14ac:dyDescent="0.45">
      <c r="I1691" t="s">
        <v>194</v>
      </c>
      <c r="J1691" t="s">
        <v>388</v>
      </c>
      <c r="K1691">
        <v>1.7968436968794158E-4</v>
      </c>
      <c r="L1691" t="s">
        <v>166</v>
      </c>
      <c r="S1691" t="s">
        <v>235</v>
      </c>
      <c r="T1691" t="s">
        <v>388</v>
      </c>
      <c r="U1691">
        <v>1.2330470499350067E-4</v>
      </c>
      <c r="V1691" t="s">
        <v>166</v>
      </c>
    </row>
    <row r="1692" spans="9:22" x14ac:dyDescent="0.45">
      <c r="I1692" t="s">
        <v>194</v>
      </c>
      <c r="J1692" t="s">
        <v>389</v>
      </c>
      <c r="K1692">
        <v>0</v>
      </c>
      <c r="L1692" t="s">
        <v>166</v>
      </c>
      <c r="S1692" t="s">
        <v>235</v>
      </c>
      <c r="T1692" t="s">
        <v>389</v>
      </c>
      <c r="U1692">
        <v>1.2188377675402957E-4</v>
      </c>
      <c r="V1692" t="s">
        <v>166</v>
      </c>
    </row>
    <row r="1693" spans="9:22" x14ac:dyDescent="0.45">
      <c r="I1693" t="s">
        <v>194</v>
      </c>
      <c r="J1693" t="s">
        <v>390</v>
      </c>
      <c r="K1693">
        <v>0</v>
      </c>
      <c r="L1693" t="s">
        <v>166</v>
      </c>
      <c r="S1693" t="s">
        <v>235</v>
      </c>
      <c r="T1693" t="s">
        <v>390</v>
      </c>
      <c r="U1693">
        <v>1.1787490434530687E-4</v>
      </c>
      <c r="V1693" t="s">
        <v>166</v>
      </c>
    </row>
    <row r="1694" spans="9:22" x14ac:dyDescent="0.45">
      <c r="I1694" t="s">
        <v>194</v>
      </c>
      <c r="J1694" t="s">
        <v>391</v>
      </c>
      <c r="K1694">
        <v>0</v>
      </c>
      <c r="L1694" t="s">
        <v>166</v>
      </c>
      <c r="S1694" t="s">
        <v>235</v>
      </c>
      <c r="T1694" t="s">
        <v>391</v>
      </c>
      <c r="U1694">
        <v>1.3466628240964019E-4</v>
      </c>
      <c r="V1694" t="s">
        <v>166</v>
      </c>
    </row>
    <row r="1695" spans="9:22" x14ac:dyDescent="0.45">
      <c r="I1695" t="s">
        <v>194</v>
      </c>
      <c r="J1695" t="s">
        <v>392</v>
      </c>
      <c r="K1695">
        <v>0</v>
      </c>
      <c r="L1695" t="s">
        <v>166</v>
      </c>
      <c r="S1695" t="s">
        <v>235</v>
      </c>
      <c r="T1695" t="s">
        <v>392</v>
      </c>
      <c r="U1695">
        <v>1.6026651612448075E-4</v>
      </c>
      <c r="V1695" t="s">
        <v>166</v>
      </c>
    </row>
    <row r="1696" spans="9:22" x14ac:dyDescent="0.45">
      <c r="I1696" t="s">
        <v>194</v>
      </c>
      <c r="J1696" t="s">
        <v>393</v>
      </c>
      <c r="K1696">
        <v>0</v>
      </c>
      <c r="L1696" t="s">
        <v>166</v>
      </c>
      <c r="S1696" t="s">
        <v>235</v>
      </c>
      <c r="T1696" t="s">
        <v>393</v>
      </c>
      <c r="U1696">
        <v>1.6345870612927415E-4</v>
      </c>
      <c r="V1696" t="s">
        <v>166</v>
      </c>
    </row>
    <row r="1697" spans="9:22" x14ac:dyDescent="0.45">
      <c r="I1697" t="s">
        <v>194</v>
      </c>
      <c r="J1697" t="s">
        <v>169</v>
      </c>
      <c r="K1697">
        <v>1.8629606761577482E-3</v>
      </c>
      <c r="L1697" t="s">
        <v>166</v>
      </c>
      <c r="S1697" t="s">
        <v>235</v>
      </c>
      <c r="T1697" t="s">
        <v>169</v>
      </c>
      <c r="U1697">
        <v>3.1201809293407521E-2</v>
      </c>
      <c r="V1697" t="s">
        <v>166</v>
      </c>
    </row>
    <row r="1698" spans="9:22" x14ac:dyDescent="0.45">
      <c r="I1698" t="s">
        <v>194</v>
      </c>
      <c r="J1698" t="s">
        <v>170</v>
      </c>
      <c r="K1698">
        <v>3.810986582264322E-3</v>
      </c>
      <c r="L1698" t="s">
        <v>166</v>
      </c>
      <c r="S1698" t="s">
        <v>235</v>
      </c>
      <c r="T1698" t="s">
        <v>170</v>
      </c>
      <c r="U1698">
        <v>2.779425375169689E-3</v>
      </c>
      <c r="V1698" t="s">
        <v>166</v>
      </c>
    </row>
    <row r="1699" spans="9:22" x14ac:dyDescent="0.45">
      <c r="I1699" t="s">
        <v>194</v>
      </c>
      <c r="J1699" t="s">
        <v>171</v>
      </c>
      <c r="K1699">
        <v>6.5125768541651557E-2</v>
      </c>
      <c r="L1699" t="s">
        <v>166</v>
      </c>
      <c r="S1699" t="s">
        <v>235</v>
      </c>
      <c r="T1699" t="s">
        <v>171</v>
      </c>
      <c r="U1699">
        <v>1.5100407751174572E-2</v>
      </c>
      <c r="V1699" t="s">
        <v>166</v>
      </c>
    </row>
    <row r="1700" spans="9:22" x14ac:dyDescent="0.45">
      <c r="I1700" t="s">
        <v>194</v>
      </c>
      <c r="J1700" t="s">
        <v>261</v>
      </c>
      <c r="K1700">
        <v>8.7720625300163196E-3</v>
      </c>
      <c r="L1700" t="s">
        <v>166</v>
      </c>
      <c r="S1700" t="s">
        <v>235</v>
      </c>
      <c r="T1700" t="s">
        <v>261</v>
      </c>
      <c r="U1700">
        <v>2.0285765702020859E-3</v>
      </c>
      <c r="V1700" t="s">
        <v>166</v>
      </c>
    </row>
    <row r="1701" spans="9:22" x14ac:dyDescent="0.45">
      <c r="I1701" t="s">
        <v>194</v>
      </c>
      <c r="J1701" t="s">
        <v>262</v>
      </c>
      <c r="K1701">
        <v>1.1357654930039889E-2</v>
      </c>
      <c r="L1701" t="s">
        <v>166</v>
      </c>
      <c r="S1701" t="s">
        <v>235</v>
      </c>
      <c r="T1701" t="s">
        <v>262</v>
      </c>
      <c r="U1701">
        <v>4.2651973303385023E-3</v>
      </c>
      <c r="V1701" t="s">
        <v>166</v>
      </c>
    </row>
    <row r="1702" spans="9:22" x14ac:dyDescent="0.45">
      <c r="I1702" t="s">
        <v>194</v>
      </c>
      <c r="J1702" t="s">
        <v>263</v>
      </c>
      <c r="K1702">
        <v>2.0145548048604105E-3</v>
      </c>
      <c r="L1702" t="s">
        <v>166</v>
      </c>
      <c r="S1702" t="s">
        <v>235</v>
      </c>
      <c r="T1702" t="s">
        <v>263</v>
      </c>
      <c r="U1702">
        <v>2.3335493119580664E-2</v>
      </c>
      <c r="V1702" t="s">
        <v>166</v>
      </c>
    </row>
    <row r="1703" spans="9:22" x14ac:dyDescent="0.45">
      <c r="I1703" t="s">
        <v>194</v>
      </c>
      <c r="J1703" t="s">
        <v>172</v>
      </c>
      <c r="K1703">
        <v>2.6748065054164002E-3</v>
      </c>
      <c r="L1703" t="s">
        <v>166</v>
      </c>
      <c r="S1703" t="s">
        <v>235</v>
      </c>
      <c r="T1703" t="s">
        <v>172</v>
      </c>
      <c r="U1703">
        <v>3.4116282425989734E-2</v>
      </c>
      <c r="V1703" t="s">
        <v>166</v>
      </c>
    </row>
    <row r="1704" spans="9:22" x14ac:dyDescent="0.45">
      <c r="I1704" t="s">
        <v>194</v>
      </c>
      <c r="J1704" t="s">
        <v>173</v>
      </c>
      <c r="K1704">
        <v>4.0726252271643618E-3</v>
      </c>
      <c r="L1704" t="s">
        <v>166</v>
      </c>
      <c r="S1704" t="s">
        <v>235</v>
      </c>
      <c r="T1704" t="s">
        <v>173</v>
      </c>
      <c r="U1704">
        <v>3.4938047581771917E-3</v>
      </c>
      <c r="V1704" t="s">
        <v>166</v>
      </c>
    </row>
    <row r="1705" spans="9:22" x14ac:dyDescent="0.45">
      <c r="I1705" t="s">
        <v>194</v>
      </c>
      <c r="J1705" t="s">
        <v>174</v>
      </c>
      <c r="K1705">
        <v>6.0786109512820825E-2</v>
      </c>
      <c r="L1705" t="s">
        <v>166</v>
      </c>
      <c r="S1705" t="s">
        <v>235</v>
      </c>
      <c r="T1705" t="s">
        <v>174</v>
      </c>
      <c r="U1705">
        <v>2.1803440336988597E-2</v>
      </c>
      <c r="V1705" t="s">
        <v>166</v>
      </c>
    </row>
    <row r="1706" spans="9:22" x14ac:dyDescent="0.45">
      <c r="I1706" t="s">
        <v>194</v>
      </c>
      <c r="J1706" t="s">
        <v>264</v>
      </c>
      <c r="K1706">
        <v>7.7349295181231717E-3</v>
      </c>
      <c r="L1706" t="s">
        <v>166</v>
      </c>
      <c r="S1706" t="s">
        <v>235</v>
      </c>
      <c r="T1706" t="s">
        <v>264</v>
      </c>
      <c r="U1706">
        <v>3.0311670827799669E-3</v>
      </c>
      <c r="V1706" t="s">
        <v>166</v>
      </c>
    </row>
    <row r="1707" spans="9:22" x14ac:dyDescent="0.45">
      <c r="I1707" t="s">
        <v>194</v>
      </c>
      <c r="J1707" t="s">
        <v>265</v>
      </c>
      <c r="K1707">
        <v>9.8384378766848395E-3</v>
      </c>
      <c r="L1707" t="s">
        <v>166</v>
      </c>
      <c r="S1707" t="s">
        <v>235</v>
      </c>
      <c r="T1707" t="s">
        <v>265</v>
      </c>
      <c r="U1707">
        <v>5.6853399612035111E-3</v>
      </c>
      <c r="V1707" t="s">
        <v>166</v>
      </c>
    </row>
    <row r="1708" spans="9:22" x14ac:dyDescent="0.45">
      <c r="I1708" t="s">
        <v>194</v>
      </c>
      <c r="J1708" t="s">
        <v>266</v>
      </c>
      <c r="K1708">
        <v>1.7195305245357767E-3</v>
      </c>
      <c r="L1708" t="s">
        <v>166</v>
      </c>
      <c r="S1708" t="s">
        <v>235</v>
      </c>
      <c r="T1708" t="s">
        <v>266</v>
      </c>
      <c r="U1708">
        <v>2.2832619128300896E-2</v>
      </c>
      <c r="V1708" t="s">
        <v>166</v>
      </c>
    </row>
    <row r="1709" spans="9:22" x14ac:dyDescent="0.45">
      <c r="I1709" t="s">
        <v>194</v>
      </c>
      <c r="J1709" t="s">
        <v>175</v>
      </c>
      <c r="K1709">
        <v>7.9486016694860283E-4</v>
      </c>
      <c r="L1709" t="s">
        <v>166</v>
      </c>
      <c r="S1709" t="s">
        <v>235</v>
      </c>
      <c r="T1709" t="s">
        <v>175</v>
      </c>
      <c r="U1709">
        <v>3.0415708706218438E-2</v>
      </c>
      <c r="V1709" t="s">
        <v>166</v>
      </c>
    </row>
    <row r="1710" spans="9:22" x14ac:dyDescent="0.45">
      <c r="I1710" t="s">
        <v>194</v>
      </c>
      <c r="J1710" t="s">
        <v>176</v>
      </c>
      <c r="K1710">
        <v>1.9738101914887193E-3</v>
      </c>
      <c r="L1710" t="s">
        <v>166</v>
      </c>
      <c r="S1710" t="s">
        <v>235</v>
      </c>
      <c r="T1710" t="s">
        <v>176</v>
      </c>
      <c r="U1710">
        <v>2.5516495727899735E-3</v>
      </c>
      <c r="V1710" t="s">
        <v>166</v>
      </c>
    </row>
    <row r="1711" spans="9:22" x14ac:dyDescent="0.45">
      <c r="I1711" t="s">
        <v>194</v>
      </c>
      <c r="J1711" t="s">
        <v>177</v>
      </c>
      <c r="K1711">
        <v>4.9837634550880902E-2</v>
      </c>
      <c r="L1711" t="s">
        <v>166</v>
      </c>
      <c r="S1711" t="s">
        <v>235</v>
      </c>
      <c r="T1711" t="s">
        <v>177</v>
      </c>
      <c r="U1711">
        <v>1.5119089445743583E-2</v>
      </c>
      <c r="V1711" t="s">
        <v>166</v>
      </c>
    </row>
    <row r="1712" spans="9:22" x14ac:dyDescent="0.45">
      <c r="I1712" t="s">
        <v>194</v>
      </c>
      <c r="J1712" t="s">
        <v>267</v>
      </c>
      <c r="K1712">
        <v>6.8073699655681313E-3</v>
      </c>
      <c r="L1712" t="s">
        <v>166</v>
      </c>
      <c r="S1712" t="s">
        <v>235</v>
      </c>
      <c r="T1712" t="s">
        <v>267</v>
      </c>
      <c r="U1712">
        <v>2.3213976092128527E-3</v>
      </c>
      <c r="V1712" t="s">
        <v>166</v>
      </c>
    </row>
    <row r="1713" spans="9:22" x14ac:dyDescent="0.45">
      <c r="I1713" t="s">
        <v>194</v>
      </c>
      <c r="J1713" t="s">
        <v>268</v>
      </c>
      <c r="K1713">
        <v>8.5548038776225837E-3</v>
      </c>
      <c r="L1713" t="s">
        <v>166</v>
      </c>
      <c r="S1713" t="s">
        <v>235</v>
      </c>
      <c r="T1713" t="s">
        <v>268</v>
      </c>
      <c r="U1713">
        <v>5.0368666239500714E-3</v>
      </c>
      <c r="V1713" t="s">
        <v>166</v>
      </c>
    </row>
    <row r="1714" spans="9:22" x14ac:dyDescent="0.45">
      <c r="I1714" t="s">
        <v>194</v>
      </c>
      <c r="J1714" t="s">
        <v>269</v>
      </c>
      <c r="K1714">
        <v>1.5678210904423835E-3</v>
      </c>
      <c r="L1714" t="s">
        <v>166</v>
      </c>
      <c r="S1714" t="s">
        <v>235</v>
      </c>
      <c r="T1714" t="s">
        <v>269</v>
      </c>
      <c r="U1714">
        <v>2.0760201906431592E-2</v>
      </c>
      <c r="V1714" t="s">
        <v>166</v>
      </c>
    </row>
    <row r="1715" spans="9:22" x14ac:dyDescent="0.45">
      <c r="I1715" t="s">
        <v>194</v>
      </c>
      <c r="J1715" t="s">
        <v>270</v>
      </c>
      <c r="K1715">
        <v>1.4659894825994983E-3</v>
      </c>
      <c r="L1715" t="s">
        <v>166</v>
      </c>
      <c r="S1715" t="s">
        <v>235</v>
      </c>
      <c r="T1715" t="s">
        <v>270</v>
      </c>
      <c r="U1715">
        <v>2.6820801489535754E-2</v>
      </c>
      <c r="V1715" t="s">
        <v>166</v>
      </c>
    </row>
    <row r="1716" spans="9:22" x14ac:dyDescent="0.45">
      <c r="I1716" t="s">
        <v>194</v>
      </c>
      <c r="J1716" t="s">
        <v>271</v>
      </c>
      <c r="K1716">
        <v>3.6942338818124467E-3</v>
      </c>
      <c r="L1716" t="s">
        <v>166</v>
      </c>
      <c r="S1716" t="s">
        <v>235</v>
      </c>
      <c r="T1716" t="s">
        <v>271</v>
      </c>
      <c r="U1716">
        <v>2.9485621685697841E-3</v>
      </c>
      <c r="V1716" t="s">
        <v>166</v>
      </c>
    </row>
    <row r="1717" spans="9:22" x14ac:dyDescent="0.45">
      <c r="I1717" t="s">
        <v>194</v>
      </c>
      <c r="J1717" t="s">
        <v>272</v>
      </c>
      <c r="K1717">
        <v>6.3077571873061108E-2</v>
      </c>
      <c r="L1717" t="s">
        <v>166</v>
      </c>
      <c r="S1717" t="s">
        <v>235</v>
      </c>
      <c r="T1717" t="s">
        <v>272</v>
      </c>
      <c r="U1717">
        <v>1.6588973224176202E-2</v>
      </c>
      <c r="V1717" t="s">
        <v>166</v>
      </c>
    </row>
    <row r="1718" spans="9:22" x14ac:dyDescent="0.45">
      <c r="I1718" t="s">
        <v>194</v>
      </c>
      <c r="J1718" t="s">
        <v>273</v>
      </c>
      <c r="K1718">
        <v>7.6419273271907742E-3</v>
      </c>
      <c r="L1718" t="s">
        <v>166</v>
      </c>
      <c r="S1718" t="s">
        <v>235</v>
      </c>
      <c r="T1718" t="s">
        <v>273</v>
      </c>
      <c r="U1718">
        <v>1.7835349130934557E-3</v>
      </c>
      <c r="V1718" t="s">
        <v>166</v>
      </c>
    </row>
    <row r="1719" spans="9:22" x14ac:dyDescent="0.45">
      <c r="I1719" t="s">
        <v>194</v>
      </c>
      <c r="J1719" t="s">
        <v>274</v>
      </c>
      <c r="K1719">
        <v>8.7019838776262372E-3</v>
      </c>
      <c r="L1719" t="s">
        <v>166</v>
      </c>
      <c r="S1719" t="s">
        <v>235</v>
      </c>
      <c r="T1719" t="s">
        <v>274</v>
      </c>
      <c r="U1719">
        <v>3.4964471798541816E-3</v>
      </c>
      <c r="V1719" t="s">
        <v>166</v>
      </c>
    </row>
    <row r="1720" spans="9:22" x14ac:dyDescent="0.45">
      <c r="I1720" t="s">
        <v>194</v>
      </c>
      <c r="J1720" t="s">
        <v>275</v>
      </c>
      <c r="K1720">
        <v>9.9470430681740754E-4</v>
      </c>
      <c r="L1720" t="s">
        <v>166</v>
      </c>
      <c r="S1720" t="s">
        <v>235</v>
      </c>
      <c r="T1720" t="s">
        <v>275</v>
      </c>
      <c r="U1720">
        <v>1.6171000248823775E-2</v>
      </c>
      <c r="V1720" t="s">
        <v>166</v>
      </c>
    </row>
    <row r="1721" spans="9:22" x14ac:dyDescent="0.45">
      <c r="I1721" t="s">
        <v>194</v>
      </c>
      <c r="J1721" t="s">
        <v>276</v>
      </c>
      <c r="K1721">
        <v>5.1119637374685807E-3</v>
      </c>
      <c r="L1721" t="s">
        <v>166</v>
      </c>
      <c r="S1721" t="s">
        <v>235</v>
      </c>
      <c r="T1721" t="s">
        <v>276</v>
      </c>
      <c r="U1721">
        <v>4.4222170237873414E-2</v>
      </c>
      <c r="V1721" t="s">
        <v>166</v>
      </c>
    </row>
    <row r="1722" spans="9:22" x14ac:dyDescent="0.45">
      <c r="I1722" t="s">
        <v>194</v>
      </c>
      <c r="J1722" t="s">
        <v>277</v>
      </c>
      <c r="K1722">
        <v>9.9629401008076383E-3</v>
      </c>
      <c r="L1722" t="s">
        <v>166</v>
      </c>
      <c r="S1722" t="s">
        <v>235</v>
      </c>
      <c r="T1722" t="s">
        <v>277</v>
      </c>
      <c r="U1722">
        <v>5.9920474595824705E-3</v>
      </c>
      <c r="V1722" t="s">
        <v>166</v>
      </c>
    </row>
    <row r="1723" spans="9:22" x14ac:dyDescent="0.45">
      <c r="I1723" t="s">
        <v>194</v>
      </c>
      <c r="J1723" t="s">
        <v>278</v>
      </c>
      <c r="K1723">
        <v>0.12489898837892116</v>
      </c>
      <c r="L1723" t="s">
        <v>166</v>
      </c>
      <c r="S1723" t="s">
        <v>235</v>
      </c>
      <c r="T1723" t="s">
        <v>278</v>
      </c>
      <c r="U1723">
        <v>3.9013463842179151E-2</v>
      </c>
      <c r="V1723" t="s">
        <v>166</v>
      </c>
    </row>
    <row r="1724" spans="9:22" x14ac:dyDescent="0.45">
      <c r="I1724" t="s">
        <v>194</v>
      </c>
      <c r="J1724" t="s">
        <v>279</v>
      </c>
      <c r="K1724">
        <v>1.4493285383858311E-2</v>
      </c>
      <c r="L1724" t="s">
        <v>166</v>
      </c>
      <c r="S1724" t="s">
        <v>235</v>
      </c>
      <c r="T1724" t="s">
        <v>279</v>
      </c>
      <c r="U1724">
        <v>5.2932450268153332E-3</v>
      </c>
      <c r="V1724" t="s">
        <v>166</v>
      </c>
    </row>
    <row r="1725" spans="9:22" x14ac:dyDescent="0.45">
      <c r="I1725" t="s">
        <v>194</v>
      </c>
      <c r="J1725" t="s">
        <v>280</v>
      </c>
      <c r="K1725">
        <v>1.6965003029188457E-2</v>
      </c>
      <c r="L1725" t="s">
        <v>166</v>
      </c>
      <c r="S1725" t="s">
        <v>235</v>
      </c>
      <c r="T1725" t="s">
        <v>280</v>
      </c>
      <c r="U1725">
        <v>9.939721979930153E-3</v>
      </c>
      <c r="V1725" t="s">
        <v>166</v>
      </c>
    </row>
    <row r="1726" spans="9:22" x14ac:dyDescent="0.45">
      <c r="I1726" t="s">
        <v>194</v>
      </c>
      <c r="J1726" t="s">
        <v>281</v>
      </c>
      <c r="K1726">
        <v>0</v>
      </c>
      <c r="L1726" t="s">
        <v>166</v>
      </c>
      <c r="S1726" t="s">
        <v>235</v>
      </c>
      <c r="T1726" t="s">
        <v>281</v>
      </c>
      <c r="U1726">
        <v>2.5451331456321179E-2</v>
      </c>
      <c r="V1726" t="s">
        <v>166</v>
      </c>
    </row>
    <row r="1727" spans="9:22" x14ac:dyDescent="0.45">
      <c r="I1727" t="s">
        <v>194</v>
      </c>
      <c r="J1727" t="s">
        <v>282</v>
      </c>
      <c r="K1727">
        <v>1.3376261151404299E-3</v>
      </c>
      <c r="L1727" t="s">
        <v>166</v>
      </c>
      <c r="S1727" t="s">
        <v>235</v>
      </c>
      <c r="T1727" t="s">
        <v>282</v>
      </c>
      <c r="U1727">
        <v>3.6989944069967778E-2</v>
      </c>
      <c r="V1727" t="s">
        <v>166</v>
      </c>
    </row>
    <row r="1728" spans="9:22" x14ac:dyDescent="0.45">
      <c r="I1728" t="s">
        <v>194</v>
      </c>
      <c r="J1728" t="s">
        <v>283</v>
      </c>
      <c r="K1728">
        <v>3.4525746895436426E-3</v>
      </c>
      <c r="L1728" t="s">
        <v>166</v>
      </c>
      <c r="S1728" t="s">
        <v>235</v>
      </c>
      <c r="T1728" t="s">
        <v>283</v>
      </c>
      <c r="U1728">
        <v>5.1210555456289815E-3</v>
      </c>
      <c r="V1728" t="s">
        <v>166</v>
      </c>
    </row>
    <row r="1729" spans="9:22" x14ac:dyDescent="0.45">
      <c r="I1729" t="s">
        <v>194</v>
      </c>
      <c r="J1729" t="s">
        <v>284</v>
      </c>
      <c r="K1729">
        <v>5.0421010301148123E-2</v>
      </c>
      <c r="L1729" t="s">
        <v>166</v>
      </c>
      <c r="S1729" t="s">
        <v>235</v>
      </c>
      <c r="T1729" t="s">
        <v>284</v>
      </c>
      <c r="U1729">
        <v>3.2026542150040825E-2</v>
      </c>
      <c r="V1729" t="s">
        <v>166</v>
      </c>
    </row>
    <row r="1730" spans="9:22" x14ac:dyDescent="0.45">
      <c r="I1730" t="s">
        <v>194</v>
      </c>
      <c r="J1730" t="s">
        <v>285</v>
      </c>
      <c r="K1730">
        <v>5.3083223124154571E-3</v>
      </c>
      <c r="L1730" t="s">
        <v>166</v>
      </c>
      <c r="S1730" t="s">
        <v>235</v>
      </c>
      <c r="T1730" t="s">
        <v>285</v>
      </c>
      <c r="U1730">
        <v>4.152266125328076E-3</v>
      </c>
      <c r="V1730" t="s">
        <v>166</v>
      </c>
    </row>
    <row r="1731" spans="9:22" x14ac:dyDescent="0.45">
      <c r="I1731" t="s">
        <v>194</v>
      </c>
      <c r="J1731" t="s">
        <v>286</v>
      </c>
      <c r="K1731">
        <v>3.6244960702342685E-3</v>
      </c>
      <c r="L1731" t="s">
        <v>166</v>
      </c>
      <c r="S1731" t="s">
        <v>235</v>
      </c>
      <c r="T1731" t="s">
        <v>286</v>
      </c>
      <c r="U1731">
        <v>7.4947625139481248E-3</v>
      </c>
      <c r="V1731" t="s">
        <v>166</v>
      </c>
    </row>
    <row r="1732" spans="9:22" x14ac:dyDescent="0.45">
      <c r="I1732" t="s">
        <v>194</v>
      </c>
      <c r="J1732" t="s">
        <v>287</v>
      </c>
      <c r="K1732">
        <v>0</v>
      </c>
      <c r="L1732" t="s">
        <v>166</v>
      </c>
      <c r="S1732" t="s">
        <v>235</v>
      </c>
      <c r="T1732" t="s">
        <v>287</v>
      </c>
      <c r="U1732">
        <v>2.1653576264833913E-2</v>
      </c>
      <c r="V1732" t="s">
        <v>166</v>
      </c>
    </row>
    <row r="1733" spans="9:22" x14ac:dyDescent="0.45">
      <c r="I1733" t="s">
        <v>194</v>
      </c>
      <c r="J1733" t="s">
        <v>288</v>
      </c>
      <c r="K1733">
        <v>0</v>
      </c>
      <c r="L1733" t="s">
        <v>166</v>
      </c>
      <c r="S1733" t="s">
        <v>235</v>
      </c>
      <c r="T1733" t="s">
        <v>288</v>
      </c>
      <c r="U1733">
        <v>3.4957240939458421E-2</v>
      </c>
      <c r="V1733" t="s">
        <v>166</v>
      </c>
    </row>
    <row r="1734" spans="9:22" x14ac:dyDescent="0.45">
      <c r="I1734" t="s">
        <v>194</v>
      </c>
      <c r="J1734" t="s">
        <v>289</v>
      </c>
      <c r="K1734">
        <v>4.3932624179296772E-3</v>
      </c>
      <c r="L1734" t="s">
        <v>166</v>
      </c>
      <c r="S1734" t="s">
        <v>235</v>
      </c>
      <c r="T1734" t="s">
        <v>289</v>
      </c>
      <c r="U1734">
        <v>4.8258652069220814E-3</v>
      </c>
      <c r="V1734" t="s">
        <v>166</v>
      </c>
    </row>
    <row r="1735" spans="9:22" x14ac:dyDescent="0.45">
      <c r="I1735" t="s">
        <v>194</v>
      </c>
      <c r="J1735" t="s">
        <v>290</v>
      </c>
      <c r="K1735">
        <v>6.2932111888164596E-2</v>
      </c>
      <c r="L1735" t="s">
        <v>166</v>
      </c>
      <c r="S1735" t="s">
        <v>235</v>
      </c>
      <c r="T1735" t="s">
        <v>290</v>
      </c>
      <c r="U1735">
        <v>3.055099463582996E-2</v>
      </c>
      <c r="V1735" t="s">
        <v>166</v>
      </c>
    </row>
    <row r="1736" spans="9:22" x14ac:dyDescent="0.45">
      <c r="I1736" t="s">
        <v>194</v>
      </c>
      <c r="J1736" t="s">
        <v>291</v>
      </c>
      <c r="K1736">
        <v>6.1482327816640651E-3</v>
      </c>
      <c r="L1736" t="s">
        <v>166</v>
      </c>
      <c r="S1736" t="s">
        <v>235</v>
      </c>
      <c r="T1736" t="s">
        <v>291</v>
      </c>
      <c r="U1736">
        <v>3.8365797407443119E-3</v>
      </c>
      <c r="V1736" t="s">
        <v>166</v>
      </c>
    </row>
    <row r="1737" spans="9:22" x14ac:dyDescent="0.45">
      <c r="I1737" t="s">
        <v>194</v>
      </c>
      <c r="J1737" t="s">
        <v>292</v>
      </c>
      <c r="K1737">
        <v>3.8043310959774992E-3</v>
      </c>
      <c r="L1737" t="s">
        <v>166</v>
      </c>
      <c r="S1737" t="s">
        <v>235</v>
      </c>
      <c r="T1737" t="s">
        <v>292</v>
      </c>
      <c r="U1737">
        <v>6.2924912448707165E-3</v>
      </c>
      <c r="V1737" t="s">
        <v>166</v>
      </c>
    </row>
    <row r="1738" spans="9:22" x14ac:dyDescent="0.45">
      <c r="I1738" t="s">
        <v>194</v>
      </c>
      <c r="J1738" t="s">
        <v>293</v>
      </c>
      <c r="K1738">
        <v>0</v>
      </c>
      <c r="L1738" t="s">
        <v>166</v>
      </c>
      <c r="S1738" t="s">
        <v>235</v>
      </c>
      <c r="T1738" t="s">
        <v>293</v>
      </c>
      <c r="U1738">
        <v>1.7297140962769526E-2</v>
      </c>
      <c r="V1738" t="s">
        <v>166</v>
      </c>
    </row>
    <row r="1739" spans="9:22" x14ac:dyDescent="0.45">
      <c r="I1739" t="s">
        <v>195</v>
      </c>
      <c r="J1739" t="s">
        <v>165</v>
      </c>
      <c r="K1739">
        <v>3.6706086627444441E-3</v>
      </c>
      <c r="L1739" t="s">
        <v>166</v>
      </c>
      <c r="S1739" t="s">
        <v>236</v>
      </c>
      <c r="T1739" t="s">
        <v>165</v>
      </c>
      <c r="U1739">
        <v>0.11096426363858118</v>
      </c>
      <c r="V1739" t="s">
        <v>166</v>
      </c>
    </row>
    <row r="1740" spans="9:22" x14ac:dyDescent="0.45">
      <c r="I1740" t="s">
        <v>195</v>
      </c>
      <c r="J1740" t="s">
        <v>167</v>
      </c>
      <c r="K1740">
        <v>1.0370726216649119E-2</v>
      </c>
      <c r="L1740" t="s">
        <v>166</v>
      </c>
      <c r="S1740" t="s">
        <v>236</v>
      </c>
      <c r="T1740" t="s">
        <v>167</v>
      </c>
      <c r="U1740">
        <v>1.4160721266784772E-2</v>
      </c>
      <c r="V1740" t="s">
        <v>166</v>
      </c>
    </row>
    <row r="1741" spans="9:22" x14ac:dyDescent="0.45">
      <c r="I1741" t="s">
        <v>195</v>
      </c>
      <c r="J1741" t="s">
        <v>168</v>
      </c>
      <c r="K1741">
        <v>0.20464324091116909</v>
      </c>
      <c r="L1741" t="s">
        <v>166</v>
      </c>
      <c r="S1741" t="s">
        <v>236</v>
      </c>
      <c r="T1741" t="s">
        <v>168</v>
      </c>
      <c r="U1741">
        <v>9.3646074601543422E-2</v>
      </c>
      <c r="V1741" t="s">
        <v>166</v>
      </c>
    </row>
    <row r="1742" spans="9:22" x14ac:dyDescent="0.45">
      <c r="I1742" t="s">
        <v>195</v>
      </c>
      <c r="J1742" t="s">
        <v>258</v>
      </c>
      <c r="K1742">
        <v>2.3510450963063596E-2</v>
      </c>
      <c r="L1742" t="s">
        <v>166</v>
      </c>
      <c r="S1742" t="s">
        <v>236</v>
      </c>
      <c r="T1742" t="s">
        <v>258</v>
      </c>
      <c r="U1742">
        <v>1.3120501135681775E-2</v>
      </c>
      <c r="V1742" t="s">
        <v>166</v>
      </c>
    </row>
    <row r="1743" spans="9:22" x14ac:dyDescent="0.45">
      <c r="I1743" t="s">
        <v>195</v>
      </c>
      <c r="J1743" t="s">
        <v>259</v>
      </c>
      <c r="K1743">
        <v>2.6740992951024202E-2</v>
      </c>
      <c r="L1743" t="s">
        <v>166</v>
      </c>
      <c r="S1743" t="s">
        <v>236</v>
      </c>
      <c r="T1743" t="s">
        <v>259</v>
      </c>
      <c r="U1743">
        <v>2.4177481059651056E-2</v>
      </c>
      <c r="V1743" t="s">
        <v>166</v>
      </c>
    </row>
    <row r="1744" spans="9:22" x14ac:dyDescent="0.45">
      <c r="I1744" t="s">
        <v>195</v>
      </c>
      <c r="J1744" t="s">
        <v>260</v>
      </c>
      <c r="K1744">
        <v>0</v>
      </c>
      <c r="L1744" t="s">
        <v>166</v>
      </c>
      <c r="S1744" t="s">
        <v>236</v>
      </c>
      <c r="T1744" t="s">
        <v>260</v>
      </c>
      <c r="U1744">
        <v>6.9686147464009016E-2</v>
      </c>
      <c r="V1744" t="s">
        <v>166</v>
      </c>
    </row>
    <row r="1745" spans="9:22" x14ac:dyDescent="0.45">
      <c r="I1745" t="s">
        <v>195</v>
      </c>
      <c r="J1745" t="s">
        <v>346</v>
      </c>
      <c r="K1745">
        <v>0</v>
      </c>
      <c r="L1745" t="s">
        <v>166</v>
      </c>
      <c r="S1745" t="s">
        <v>236</v>
      </c>
      <c r="T1745" t="s">
        <v>346</v>
      </c>
      <c r="U1745">
        <v>6.6027070675466805E-5</v>
      </c>
      <c r="V1745" t="s">
        <v>166</v>
      </c>
    </row>
    <row r="1746" spans="9:22" x14ac:dyDescent="0.45">
      <c r="I1746" t="s">
        <v>195</v>
      </c>
      <c r="J1746" t="s">
        <v>347</v>
      </c>
      <c r="K1746">
        <v>0</v>
      </c>
      <c r="L1746" t="s">
        <v>166</v>
      </c>
      <c r="S1746" t="s">
        <v>236</v>
      </c>
      <c r="T1746" t="s">
        <v>347</v>
      </c>
      <c r="U1746">
        <v>6.6570739279376941E-5</v>
      </c>
      <c r="V1746" t="s">
        <v>166</v>
      </c>
    </row>
    <row r="1747" spans="9:22" x14ac:dyDescent="0.45">
      <c r="I1747" t="s">
        <v>195</v>
      </c>
      <c r="J1747" t="s">
        <v>348</v>
      </c>
      <c r="K1747">
        <v>0</v>
      </c>
      <c r="L1747" t="s">
        <v>166</v>
      </c>
      <c r="S1747" t="s">
        <v>236</v>
      </c>
      <c r="T1747" t="s">
        <v>348</v>
      </c>
      <c r="U1747">
        <v>6.5333178989214407E-5</v>
      </c>
      <c r="V1747" t="s">
        <v>166</v>
      </c>
    </row>
    <row r="1748" spans="9:22" x14ac:dyDescent="0.45">
      <c r="I1748" t="s">
        <v>195</v>
      </c>
      <c r="J1748" t="s">
        <v>349</v>
      </c>
      <c r="K1748">
        <v>0</v>
      </c>
      <c r="L1748" t="s">
        <v>166</v>
      </c>
      <c r="S1748" t="s">
        <v>236</v>
      </c>
      <c r="T1748" t="s">
        <v>349</v>
      </c>
      <c r="U1748">
        <v>6.0040020656173997E-5</v>
      </c>
      <c r="V1748" t="s">
        <v>166</v>
      </c>
    </row>
    <row r="1749" spans="9:22" x14ac:dyDescent="0.45">
      <c r="I1749" t="s">
        <v>195</v>
      </c>
      <c r="J1749" t="s">
        <v>350</v>
      </c>
      <c r="K1749">
        <v>0</v>
      </c>
      <c r="L1749" t="s">
        <v>166</v>
      </c>
      <c r="S1749" t="s">
        <v>236</v>
      </c>
      <c r="T1749" t="s">
        <v>350</v>
      </c>
      <c r="U1749">
        <v>5.4225472241385784E-5</v>
      </c>
      <c r="V1749" t="s">
        <v>166</v>
      </c>
    </row>
    <row r="1750" spans="9:22" x14ac:dyDescent="0.45">
      <c r="I1750" t="s">
        <v>195</v>
      </c>
      <c r="J1750" t="s">
        <v>351</v>
      </c>
      <c r="K1750">
        <v>0</v>
      </c>
      <c r="L1750" t="s">
        <v>166</v>
      </c>
      <c r="S1750" t="s">
        <v>236</v>
      </c>
      <c r="T1750" t="s">
        <v>351</v>
      </c>
      <c r="U1750">
        <v>4.9536268318705255E-5</v>
      </c>
      <c r="V1750" t="s">
        <v>166</v>
      </c>
    </row>
    <row r="1751" spans="9:22" x14ac:dyDescent="0.45">
      <c r="I1751" t="s">
        <v>195</v>
      </c>
      <c r="J1751" t="s">
        <v>352</v>
      </c>
      <c r="K1751">
        <v>0</v>
      </c>
      <c r="L1751" t="s">
        <v>166</v>
      </c>
      <c r="S1751" t="s">
        <v>236</v>
      </c>
      <c r="T1751" t="s">
        <v>352</v>
      </c>
      <c r="U1751">
        <v>4.1273805480574529E-5</v>
      </c>
      <c r="V1751" t="s">
        <v>166</v>
      </c>
    </row>
    <row r="1752" spans="9:22" x14ac:dyDescent="0.45">
      <c r="I1752" t="s">
        <v>195</v>
      </c>
      <c r="J1752" t="s">
        <v>353</v>
      </c>
      <c r="K1752">
        <v>0</v>
      </c>
      <c r="L1752" t="s">
        <v>166</v>
      </c>
      <c r="S1752" t="s">
        <v>236</v>
      </c>
      <c r="T1752" t="s">
        <v>353</v>
      </c>
      <c r="U1752">
        <v>3.2160147541050568E-5</v>
      </c>
      <c r="V1752" t="s">
        <v>166</v>
      </c>
    </row>
    <row r="1753" spans="9:22" x14ac:dyDescent="0.45">
      <c r="I1753" t="s">
        <v>195</v>
      </c>
      <c r="J1753" t="s">
        <v>354</v>
      </c>
      <c r="K1753">
        <v>9.8136461514556603E-6</v>
      </c>
      <c r="L1753" t="s">
        <v>166</v>
      </c>
      <c r="S1753" t="s">
        <v>236</v>
      </c>
      <c r="T1753" t="s">
        <v>354</v>
      </c>
      <c r="U1753">
        <v>2.5941233953648508E-5</v>
      </c>
      <c r="V1753" t="s">
        <v>166</v>
      </c>
    </row>
    <row r="1754" spans="9:22" x14ac:dyDescent="0.45">
      <c r="I1754" t="s">
        <v>195</v>
      </c>
      <c r="J1754" t="s">
        <v>355</v>
      </c>
      <c r="K1754">
        <v>4.421327870991017E-5</v>
      </c>
      <c r="L1754" t="s">
        <v>166</v>
      </c>
      <c r="S1754" t="s">
        <v>236</v>
      </c>
      <c r="T1754" t="s">
        <v>355</v>
      </c>
      <c r="U1754">
        <v>1.968324493277908E-5</v>
      </c>
      <c r="V1754" t="s">
        <v>166</v>
      </c>
    </row>
    <row r="1755" spans="9:22" x14ac:dyDescent="0.45">
      <c r="I1755" t="s">
        <v>195</v>
      </c>
      <c r="J1755" t="s">
        <v>356</v>
      </c>
      <c r="K1755">
        <v>1.1156351154586508E-4</v>
      </c>
      <c r="L1755" t="s">
        <v>166</v>
      </c>
      <c r="S1755" t="s">
        <v>236</v>
      </c>
      <c r="T1755" t="s">
        <v>356</v>
      </c>
      <c r="U1755">
        <v>1.2949681830354334E-5</v>
      </c>
      <c r="V1755" t="s">
        <v>166</v>
      </c>
    </row>
    <row r="1756" spans="9:22" x14ac:dyDescent="0.45">
      <c r="I1756" t="s">
        <v>195</v>
      </c>
      <c r="J1756" t="s">
        <v>357</v>
      </c>
      <c r="K1756">
        <v>1.6860728971926313E-4</v>
      </c>
      <c r="L1756" t="s">
        <v>166</v>
      </c>
      <c r="S1756" t="s">
        <v>236</v>
      </c>
      <c r="T1756" t="s">
        <v>357</v>
      </c>
      <c r="U1756">
        <v>9.2237649341480238E-6</v>
      </c>
      <c r="V1756" t="s">
        <v>166</v>
      </c>
    </row>
    <row r="1757" spans="9:22" x14ac:dyDescent="0.45">
      <c r="I1757" t="s">
        <v>195</v>
      </c>
      <c r="J1757" t="s">
        <v>358</v>
      </c>
      <c r="K1757">
        <v>1.7862142492005485E-4</v>
      </c>
      <c r="L1757" t="s">
        <v>166</v>
      </c>
      <c r="S1757" t="s">
        <v>236</v>
      </c>
      <c r="T1757" t="s">
        <v>358</v>
      </c>
      <c r="U1757">
        <v>6.362061957182121E-6</v>
      </c>
      <c r="V1757" t="s">
        <v>166</v>
      </c>
    </row>
    <row r="1758" spans="9:22" x14ac:dyDescent="0.45">
      <c r="I1758" t="s">
        <v>195</v>
      </c>
      <c r="J1758" t="s">
        <v>359</v>
      </c>
      <c r="K1758">
        <v>1.6341118319381065E-4</v>
      </c>
      <c r="L1758" t="s">
        <v>166</v>
      </c>
      <c r="S1758" t="s">
        <v>236</v>
      </c>
      <c r="T1758" t="s">
        <v>359</v>
      </c>
      <c r="U1758">
        <v>4.6803373649486281E-6</v>
      </c>
      <c r="V1758" t="s">
        <v>166</v>
      </c>
    </row>
    <row r="1759" spans="9:22" x14ac:dyDescent="0.45">
      <c r="I1759" t="s">
        <v>195</v>
      </c>
      <c r="J1759" t="s">
        <v>360</v>
      </c>
      <c r="K1759">
        <v>1.7171713327801666E-4</v>
      </c>
      <c r="L1759" t="s">
        <v>166</v>
      </c>
      <c r="S1759" t="s">
        <v>236</v>
      </c>
      <c r="T1759" t="s">
        <v>360</v>
      </c>
      <c r="U1759">
        <v>4.5633598951462344E-6</v>
      </c>
      <c r="V1759" t="s">
        <v>166</v>
      </c>
    </row>
    <row r="1760" spans="9:22" x14ac:dyDescent="0.45">
      <c r="I1760" t="s">
        <v>195</v>
      </c>
      <c r="J1760" t="s">
        <v>361</v>
      </c>
      <c r="K1760">
        <v>1.2323450477766344E-4</v>
      </c>
      <c r="L1760" t="s">
        <v>166</v>
      </c>
      <c r="S1760" t="s">
        <v>236</v>
      </c>
      <c r="T1760" t="s">
        <v>361</v>
      </c>
      <c r="U1760">
        <v>5.5370226953039082E-6</v>
      </c>
      <c r="V1760" t="s">
        <v>166</v>
      </c>
    </row>
    <row r="1761" spans="9:22" x14ac:dyDescent="0.45">
      <c r="I1761" t="s">
        <v>195</v>
      </c>
      <c r="J1761" t="s">
        <v>362</v>
      </c>
      <c r="K1761">
        <v>6.0542195432275795E-5</v>
      </c>
      <c r="L1761" t="s">
        <v>166</v>
      </c>
      <c r="S1761" t="s">
        <v>236</v>
      </c>
      <c r="T1761" t="s">
        <v>362</v>
      </c>
      <c r="U1761">
        <v>6.319694627584008E-6</v>
      </c>
      <c r="V1761" t="s">
        <v>166</v>
      </c>
    </row>
    <row r="1762" spans="9:22" x14ac:dyDescent="0.45">
      <c r="I1762" t="s">
        <v>195</v>
      </c>
      <c r="J1762" t="s">
        <v>363</v>
      </c>
      <c r="K1762">
        <v>1.7767670159019151E-5</v>
      </c>
      <c r="L1762" t="s">
        <v>166</v>
      </c>
      <c r="S1762" t="s">
        <v>236</v>
      </c>
      <c r="T1762" t="s">
        <v>363</v>
      </c>
      <c r="U1762">
        <v>4.4566070696078249E-6</v>
      </c>
      <c r="V1762" t="s">
        <v>166</v>
      </c>
    </row>
    <row r="1763" spans="9:22" x14ac:dyDescent="0.45">
      <c r="I1763" t="s">
        <v>195</v>
      </c>
      <c r="J1763" t="s">
        <v>364</v>
      </c>
      <c r="K1763">
        <v>8.2927363507681574E-6</v>
      </c>
      <c r="L1763" t="s">
        <v>166</v>
      </c>
      <c r="S1763" t="s">
        <v>236</v>
      </c>
      <c r="T1763" t="s">
        <v>364</v>
      </c>
      <c r="U1763">
        <v>7.216279419653678E-6</v>
      </c>
      <c r="V1763" t="s">
        <v>166</v>
      </c>
    </row>
    <row r="1764" spans="9:22" x14ac:dyDescent="0.45">
      <c r="I1764" t="s">
        <v>195</v>
      </c>
      <c r="J1764" t="s">
        <v>365</v>
      </c>
      <c r="K1764">
        <v>0</v>
      </c>
      <c r="L1764" t="s">
        <v>166</v>
      </c>
      <c r="S1764" t="s">
        <v>236</v>
      </c>
      <c r="T1764" t="s">
        <v>365</v>
      </c>
      <c r="U1764">
        <v>1.1107811166924889E-5</v>
      </c>
      <c r="V1764" t="s">
        <v>166</v>
      </c>
    </row>
    <row r="1765" spans="9:22" x14ac:dyDescent="0.45">
      <c r="I1765" t="s">
        <v>195</v>
      </c>
      <c r="J1765" t="s">
        <v>366</v>
      </c>
      <c r="K1765">
        <v>0</v>
      </c>
      <c r="L1765" t="s">
        <v>166</v>
      </c>
      <c r="S1765" t="s">
        <v>236</v>
      </c>
      <c r="T1765" t="s">
        <v>366</v>
      </c>
      <c r="U1765">
        <v>1.7725776636571514E-5</v>
      </c>
      <c r="V1765" t="s">
        <v>166</v>
      </c>
    </row>
    <row r="1766" spans="9:22" x14ac:dyDescent="0.45">
      <c r="I1766" t="s">
        <v>195</v>
      </c>
      <c r="J1766" t="s">
        <v>367</v>
      </c>
      <c r="K1766">
        <v>0</v>
      </c>
      <c r="L1766" t="s">
        <v>166</v>
      </c>
      <c r="S1766" t="s">
        <v>236</v>
      </c>
      <c r="T1766" t="s">
        <v>367</v>
      </c>
      <c r="U1766">
        <v>2.7788373382108298E-5</v>
      </c>
      <c r="V1766" t="s">
        <v>166</v>
      </c>
    </row>
    <row r="1767" spans="9:22" x14ac:dyDescent="0.45">
      <c r="I1767" t="s">
        <v>195</v>
      </c>
      <c r="J1767" t="s">
        <v>368</v>
      </c>
      <c r="K1767">
        <v>0</v>
      </c>
      <c r="L1767" t="s">
        <v>166</v>
      </c>
      <c r="S1767" t="s">
        <v>236</v>
      </c>
      <c r="T1767" t="s">
        <v>368</v>
      </c>
      <c r="U1767">
        <v>3.6042850656826349E-5</v>
      </c>
      <c r="V1767" t="s">
        <v>166</v>
      </c>
    </row>
    <row r="1768" spans="9:22" x14ac:dyDescent="0.45">
      <c r="I1768" t="s">
        <v>195</v>
      </c>
      <c r="J1768" t="s">
        <v>369</v>
      </c>
      <c r="K1768">
        <v>0</v>
      </c>
      <c r="L1768" t="s">
        <v>166</v>
      </c>
      <c r="S1768" t="s">
        <v>236</v>
      </c>
      <c r="T1768" t="s">
        <v>369</v>
      </c>
      <c r="U1768">
        <v>3.5290700080789322E-5</v>
      </c>
      <c r="V1768" t="s">
        <v>166</v>
      </c>
    </row>
    <row r="1769" spans="9:22" x14ac:dyDescent="0.45">
      <c r="I1769" t="s">
        <v>195</v>
      </c>
      <c r="J1769" t="s">
        <v>370</v>
      </c>
      <c r="K1769">
        <v>0</v>
      </c>
      <c r="L1769" t="s">
        <v>166</v>
      </c>
      <c r="S1769" t="s">
        <v>236</v>
      </c>
      <c r="T1769" t="s">
        <v>370</v>
      </c>
      <c r="U1769">
        <v>8.1933522922794262E-5</v>
      </c>
      <c r="V1769" t="s">
        <v>166</v>
      </c>
    </row>
    <row r="1770" spans="9:22" x14ac:dyDescent="0.45">
      <c r="I1770" t="s">
        <v>195</v>
      </c>
      <c r="J1770" t="s">
        <v>371</v>
      </c>
      <c r="K1770">
        <v>0</v>
      </c>
      <c r="L1770" t="s">
        <v>166</v>
      </c>
      <c r="S1770" t="s">
        <v>236</v>
      </c>
      <c r="T1770" t="s">
        <v>371</v>
      </c>
      <c r="U1770">
        <v>7.2059908074913911E-5</v>
      </c>
      <c r="V1770" t="s">
        <v>166</v>
      </c>
    </row>
    <row r="1771" spans="9:22" x14ac:dyDescent="0.45">
      <c r="I1771" t="s">
        <v>195</v>
      </c>
      <c r="J1771" t="s">
        <v>372</v>
      </c>
      <c r="K1771">
        <v>0</v>
      </c>
      <c r="L1771" t="s">
        <v>166</v>
      </c>
      <c r="S1771" t="s">
        <v>236</v>
      </c>
      <c r="T1771" t="s">
        <v>372</v>
      </c>
      <c r="U1771">
        <v>6.615035640778887E-5</v>
      </c>
      <c r="V1771" t="s">
        <v>166</v>
      </c>
    </row>
    <row r="1772" spans="9:22" x14ac:dyDescent="0.45">
      <c r="I1772" t="s">
        <v>195</v>
      </c>
      <c r="J1772" t="s">
        <v>373</v>
      </c>
      <c r="K1772">
        <v>0</v>
      </c>
      <c r="L1772" t="s">
        <v>166</v>
      </c>
      <c r="S1772" t="s">
        <v>236</v>
      </c>
      <c r="T1772" t="s">
        <v>373</v>
      </c>
      <c r="U1772">
        <v>5.593382316863545E-5</v>
      </c>
      <c r="V1772" t="s">
        <v>166</v>
      </c>
    </row>
    <row r="1773" spans="9:22" x14ac:dyDescent="0.45">
      <c r="I1773" t="s">
        <v>195</v>
      </c>
      <c r="J1773" t="s">
        <v>374</v>
      </c>
      <c r="K1773">
        <v>0</v>
      </c>
      <c r="L1773" t="s">
        <v>166</v>
      </c>
      <c r="S1773" t="s">
        <v>236</v>
      </c>
      <c r="T1773" t="s">
        <v>374</v>
      </c>
      <c r="U1773">
        <v>4.8246422654454931E-5</v>
      </c>
      <c r="V1773" t="s">
        <v>166</v>
      </c>
    </row>
    <row r="1774" spans="9:22" x14ac:dyDescent="0.45">
      <c r="I1774" t="s">
        <v>195</v>
      </c>
      <c r="J1774" t="s">
        <v>375</v>
      </c>
      <c r="K1774">
        <v>0</v>
      </c>
      <c r="L1774" t="s">
        <v>166</v>
      </c>
      <c r="S1774" t="s">
        <v>236</v>
      </c>
      <c r="T1774" t="s">
        <v>375</v>
      </c>
      <c r="U1774">
        <v>3.8915691890678298E-5</v>
      </c>
      <c r="V1774" t="s">
        <v>166</v>
      </c>
    </row>
    <row r="1775" spans="9:22" x14ac:dyDescent="0.45">
      <c r="I1775" t="s">
        <v>195</v>
      </c>
      <c r="J1775" t="s">
        <v>376</v>
      </c>
      <c r="K1775">
        <v>0</v>
      </c>
      <c r="L1775" t="s">
        <v>166</v>
      </c>
      <c r="S1775" t="s">
        <v>236</v>
      </c>
      <c r="T1775" t="s">
        <v>376</v>
      </c>
      <c r="U1775">
        <v>3.8997308486545932E-5</v>
      </c>
      <c r="V1775" t="s">
        <v>166</v>
      </c>
    </row>
    <row r="1776" spans="9:22" x14ac:dyDescent="0.45">
      <c r="I1776" t="s">
        <v>195</v>
      </c>
      <c r="J1776" t="s">
        <v>377</v>
      </c>
      <c r="K1776">
        <v>2.3992433896699099E-6</v>
      </c>
      <c r="L1776" t="s">
        <v>166</v>
      </c>
      <c r="S1776" t="s">
        <v>236</v>
      </c>
      <c r="T1776" t="s">
        <v>377</v>
      </c>
      <c r="U1776">
        <v>3.49805567654231E-5</v>
      </c>
      <c r="V1776" t="s">
        <v>166</v>
      </c>
    </row>
    <row r="1777" spans="9:22" x14ac:dyDescent="0.45">
      <c r="I1777" t="s">
        <v>195</v>
      </c>
      <c r="J1777" t="s">
        <v>378</v>
      </c>
      <c r="K1777">
        <v>2.9199219039267724E-5</v>
      </c>
      <c r="L1777" t="s">
        <v>166</v>
      </c>
      <c r="S1777" t="s">
        <v>236</v>
      </c>
      <c r="T1777" t="s">
        <v>378</v>
      </c>
      <c r="U1777">
        <v>2.3163327493597553E-5</v>
      </c>
      <c r="V1777" t="s">
        <v>166</v>
      </c>
    </row>
    <row r="1778" spans="9:22" x14ac:dyDescent="0.45">
      <c r="I1778" t="s">
        <v>195</v>
      </c>
      <c r="J1778" t="s">
        <v>379</v>
      </c>
      <c r="K1778">
        <v>1.0103895900889002E-4</v>
      </c>
      <c r="L1778" t="s">
        <v>166</v>
      </c>
      <c r="S1778" t="s">
        <v>236</v>
      </c>
      <c r="T1778" t="s">
        <v>379</v>
      </c>
      <c r="U1778">
        <v>1.6720517296587523E-5</v>
      </c>
      <c r="V1778" t="s">
        <v>166</v>
      </c>
    </row>
    <row r="1779" spans="9:22" x14ac:dyDescent="0.45">
      <c r="I1779" t="s">
        <v>195</v>
      </c>
      <c r="J1779" t="s">
        <v>380</v>
      </c>
      <c r="K1779">
        <v>1.5174752788961604E-4</v>
      </c>
      <c r="L1779" t="s">
        <v>166</v>
      </c>
      <c r="S1779" t="s">
        <v>236</v>
      </c>
      <c r="T1779" t="s">
        <v>380</v>
      </c>
      <c r="U1779">
        <v>1.6135425269144363E-5</v>
      </c>
      <c r="V1779" t="s">
        <v>166</v>
      </c>
    </row>
    <row r="1780" spans="9:22" x14ac:dyDescent="0.45">
      <c r="I1780" t="s">
        <v>195</v>
      </c>
      <c r="J1780" t="s">
        <v>381</v>
      </c>
      <c r="K1780">
        <v>2.5279935078555447E-4</v>
      </c>
      <c r="L1780" t="s">
        <v>166</v>
      </c>
      <c r="S1780" t="s">
        <v>236</v>
      </c>
      <c r="T1780" t="s">
        <v>381</v>
      </c>
      <c r="U1780">
        <v>2.4900132094433765E-5</v>
      </c>
      <c r="V1780" t="s">
        <v>166</v>
      </c>
    </row>
    <row r="1781" spans="9:22" x14ac:dyDescent="0.45">
      <c r="I1781" t="s">
        <v>195</v>
      </c>
      <c r="J1781" t="s">
        <v>382</v>
      </c>
      <c r="K1781">
        <v>2.5469393397626461E-4</v>
      </c>
      <c r="L1781" t="s">
        <v>166</v>
      </c>
      <c r="S1781" t="s">
        <v>236</v>
      </c>
      <c r="T1781" t="s">
        <v>382</v>
      </c>
      <c r="U1781">
        <v>4.6672588401187809E-5</v>
      </c>
      <c r="V1781" t="s">
        <v>166</v>
      </c>
    </row>
    <row r="1782" spans="9:22" x14ac:dyDescent="0.45">
      <c r="I1782" t="s">
        <v>195</v>
      </c>
      <c r="J1782" t="s">
        <v>383</v>
      </c>
      <c r="K1782">
        <v>2.828752607439435E-4</v>
      </c>
      <c r="L1782" t="s">
        <v>166</v>
      </c>
      <c r="S1782" t="s">
        <v>236</v>
      </c>
      <c r="T1782" t="s">
        <v>383</v>
      </c>
      <c r="U1782">
        <v>7.1336241667161932E-5</v>
      </c>
      <c r="V1782" t="s">
        <v>166</v>
      </c>
    </row>
    <row r="1783" spans="9:22" x14ac:dyDescent="0.45">
      <c r="I1783" t="s">
        <v>195</v>
      </c>
      <c r="J1783" t="s">
        <v>384</v>
      </c>
      <c r="K1783">
        <v>2.0436748257748408E-4</v>
      </c>
      <c r="L1783" t="s">
        <v>166</v>
      </c>
      <c r="S1783" t="s">
        <v>236</v>
      </c>
      <c r="T1783" t="s">
        <v>384</v>
      </c>
      <c r="U1783">
        <v>1.0238028806728954E-4</v>
      </c>
      <c r="V1783" t="s">
        <v>166</v>
      </c>
    </row>
    <row r="1784" spans="9:22" x14ac:dyDescent="0.45">
      <c r="I1784" t="s">
        <v>195</v>
      </c>
      <c r="J1784" t="s">
        <v>385</v>
      </c>
      <c r="K1784">
        <v>1.9809022623688732E-4</v>
      </c>
      <c r="L1784" t="s">
        <v>166</v>
      </c>
      <c r="S1784" t="s">
        <v>236</v>
      </c>
      <c r="T1784" t="s">
        <v>385</v>
      </c>
      <c r="U1784">
        <v>1.3522870524441957E-4</v>
      </c>
      <c r="V1784" t="s">
        <v>166</v>
      </c>
    </row>
    <row r="1785" spans="9:22" x14ac:dyDescent="0.45">
      <c r="I1785" t="s">
        <v>195</v>
      </c>
      <c r="J1785" t="s">
        <v>386</v>
      </c>
      <c r="K1785">
        <v>1.6954882022964456E-4</v>
      </c>
      <c r="L1785" t="s">
        <v>166</v>
      </c>
      <c r="S1785" t="s">
        <v>236</v>
      </c>
      <c r="T1785" t="s">
        <v>386</v>
      </c>
      <c r="U1785">
        <v>1.6887205079849481E-4</v>
      </c>
      <c r="V1785" t="s">
        <v>166</v>
      </c>
    </row>
    <row r="1786" spans="9:22" x14ac:dyDescent="0.45">
      <c r="I1786" t="s">
        <v>195</v>
      </c>
      <c r="J1786" t="s">
        <v>387</v>
      </c>
      <c r="K1786">
        <v>1.0849029567623629E-4</v>
      </c>
      <c r="L1786" t="s">
        <v>166</v>
      </c>
      <c r="S1786" t="s">
        <v>236</v>
      </c>
      <c r="T1786" t="s">
        <v>387</v>
      </c>
      <c r="U1786">
        <v>1.6929228273449061E-4</v>
      </c>
      <c r="V1786" t="s">
        <v>166</v>
      </c>
    </row>
    <row r="1787" spans="9:22" x14ac:dyDescent="0.45">
      <c r="I1787" t="s">
        <v>195</v>
      </c>
      <c r="J1787" t="s">
        <v>388</v>
      </c>
      <c r="K1787">
        <v>1.4508379025738637E-5</v>
      </c>
      <c r="L1787" t="s">
        <v>166</v>
      </c>
      <c r="S1787" t="s">
        <v>236</v>
      </c>
      <c r="T1787" t="s">
        <v>388</v>
      </c>
      <c r="U1787">
        <v>2.1910982098743135E-4</v>
      </c>
      <c r="V1787" t="s">
        <v>166</v>
      </c>
    </row>
    <row r="1788" spans="9:22" x14ac:dyDescent="0.45">
      <c r="I1788" t="s">
        <v>195</v>
      </c>
      <c r="J1788" t="s">
        <v>389</v>
      </c>
      <c r="K1788">
        <v>0</v>
      </c>
      <c r="L1788" t="s">
        <v>166</v>
      </c>
      <c r="S1788" t="s">
        <v>236</v>
      </c>
      <c r="T1788" t="s">
        <v>389</v>
      </c>
      <c r="U1788">
        <v>2.4947233088999893E-4</v>
      </c>
      <c r="V1788" t="s">
        <v>166</v>
      </c>
    </row>
    <row r="1789" spans="9:22" x14ac:dyDescent="0.45">
      <c r="I1789" t="s">
        <v>195</v>
      </c>
      <c r="J1789" t="s">
        <v>390</v>
      </c>
      <c r="K1789">
        <v>0</v>
      </c>
      <c r="L1789" t="s">
        <v>166</v>
      </c>
      <c r="S1789" t="s">
        <v>236</v>
      </c>
      <c r="T1789" t="s">
        <v>390</v>
      </c>
      <c r="U1789">
        <v>2.5816155546863774E-4</v>
      </c>
      <c r="V1789" t="s">
        <v>166</v>
      </c>
    </row>
    <row r="1790" spans="9:22" x14ac:dyDescent="0.45">
      <c r="I1790" t="s">
        <v>195</v>
      </c>
      <c r="J1790" t="s">
        <v>391</v>
      </c>
      <c r="K1790">
        <v>0</v>
      </c>
      <c r="L1790" t="s">
        <v>166</v>
      </c>
      <c r="S1790" t="s">
        <v>236</v>
      </c>
      <c r="T1790" t="s">
        <v>391</v>
      </c>
      <c r="U1790">
        <v>2.5989758914464717E-4</v>
      </c>
      <c r="V1790" t="s">
        <v>166</v>
      </c>
    </row>
    <row r="1791" spans="9:22" x14ac:dyDescent="0.45">
      <c r="I1791" t="s">
        <v>195</v>
      </c>
      <c r="J1791" t="s">
        <v>392</v>
      </c>
      <c r="K1791">
        <v>0</v>
      </c>
      <c r="L1791" t="s">
        <v>166</v>
      </c>
      <c r="S1791" t="s">
        <v>236</v>
      </c>
      <c r="T1791" t="s">
        <v>392</v>
      </c>
      <c r="U1791">
        <v>2.6169053913110144E-4</v>
      </c>
      <c r="V1791" t="s">
        <v>166</v>
      </c>
    </row>
    <row r="1792" spans="9:22" x14ac:dyDescent="0.45">
      <c r="I1792" t="s">
        <v>195</v>
      </c>
      <c r="J1792" t="s">
        <v>393</v>
      </c>
      <c r="K1792">
        <v>0</v>
      </c>
      <c r="L1792" t="s">
        <v>166</v>
      </c>
      <c r="S1792" t="s">
        <v>236</v>
      </c>
      <c r="T1792" t="s">
        <v>393</v>
      </c>
      <c r="U1792">
        <v>2.625543233389521E-4</v>
      </c>
      <c r="V1792" t="s">
        <v>166</v>
      </c>
    </row>
    <row r="1793" spans="9:22" x14ac:dyDescent="0.45">
      <c r="I1793" t="s">
        <v>195</v>
      </c>
      <c r="J1793" t="s">
        <v>169</v>
      </c>
      <c r="K1793">
        <v>5.4905211976110646E-3</v>
      </c>
      <c r="L1793" t="s">
        <v>166</v>
      </c>
      <c r="S1793" t="s">
        <v>236</v>
      </c>
      <c r="T1793" t="s">
        <v>169</v>
      </c>
      <c r="U1793">
        <v>3.5054444283457289E-2</v>
      </c>
      <c r="V1793" t="s">
        <v>166</v>
      </c>
    </row>
    <row r="1794" spans="9:22" x14ac:dyDescent="0.45">
      <c r="I1794" t="s">
        <v>195</v>
      </c>
      <c r="J1794" t="s">
        <v>170</v>
      </c>
      <c r="K1794">
        <v>6.9486922812867363E-3</v>
      </c>
      <c r="L1794" t="s">
        <v>166</v>
      </c>
      <c r="S1794" t="s">
        <v>236</v>
      </c>
      <c r="T1794" t="s">
        <v>170</v>
      </c>
      <c r="U1794">
        <v>3.9294831700868778E-3</v>
      </c>
      <c r="V1794" t="s">
        <v>166</v>
      </c>
    </row>
    <row r="1795" spans="9:22" x14ac:dyDescent="0.45">
      <c r="I1795" t="s">
        <v>195</v>
      </c>
      <c r="J1795" t="s">
        <v>171</v>
      </c>
      <c r="K1795">
        <v>7.9689189694727644E-2</v>
      </c>
      <c r="L1795" t="s">
        <v>166</v>
      </c>
      <c r="S1795" t="s">
        <v>236</v>
      </c>
      <c r="T1795" t="s">
        <v>171</v>
      </c>
      <c r="U1795">
        <v>2.4299571591611654E-2</v>
      </c>
      <c r="V1795" t="s">
        <v>166</v>
      </c>
    </row>
    <row r="1796" spans="9:22" x14ac:dyDescent="0.45">
      <c r="I1796" t="s">
        <v>195</v>
      </c>
      <c r="J1796" t="s">
        <v>261</v>
      </c>
      <c r="K1796">
        <v>8.3880989189511878E-3</v>
      </c>
      <c r="L1796" t="s">
        <v>166</v>
      </c>
      <c r="S1796" t="s">
        <v>236</v>
      </c>
      <c r="T1796" t="s">
        <v>261</v>
      </c>
      <c r="U1796">
        <v>3.1277040613422982E-3</v>
      </c>
      <c r="V1796" t="s">
        <v>166</v>
      </c>
    </row>
    <row r="1797" spans="9:22" x14ac:dyDescent="0.45">
      <c r="I1797" t="s">
        <v>195</v>
      </c>
      <c r="J1797" t="s">
        <v>262</v>
      </c>
      <c r="K1797">
        <v>1.014437515899823E-2</v>
      </c>
      <c r="L1797" t="s">
        <v>166</v>
      </c>
      <c r="S1797" t="s">
        <v>236</v>
      </c>
      <c r="T1797" t="s">
        <v>262</v>
      </c>
      <c r="U1797">
        <v>5.1123021929720524E-3</v>
      </c>
      <c r="V1797" t="s">
        <v>166</v>
      </c>
    </row>
    <row r="1798" spans="9:22" x14ac:dyDescent="0.45">
      <c r="I1798" t="s">
        <v>195</v>
      </c>
      <c r="J1798" t="s">
        <v>263</v>
      </c>
      <c r="K1798">
        <v>0</v>
      </c>
      <c r="L1798" t="s">
        <v>166</v>
      </c>
      <c r="S1798" t="s">
        <v>236</v>
      </c>
      <c r="T1798" t="s">
        <v>263</v>
      </c>
      <c r="U1798">
        <v>1.9919194966880955E-2</v>
      </c>
      <c r="V1798" t="s">
        <v>166</v>
      </c>
    </row>
    <row r="1799" spans="9:22" x14ac:dyDescent="0.45">
      <c r="I1799" t="s">
        <v>195</v>
      </c>
      <c r="J1799" t="s">
        <v>172</v>
      </c>
      <c r="K1799">
        <v>5.8753615260529303E-3</v>
      </c>
      <c r="L1799" t="s">
        <v>166</v>
      </c>
      <c r="S1799" t="s">
        <v>236</v>
      </c>
      <c r="T1799" t="s">
        <v>172</v>
      </c>
      <c r="U1799">
        <v>3.4210416552223677E-2</v>
      </c>
      <c r="V1799" t="s">
        <v>166</v>
      </c>
    </row>
    <row r="1800" spans="9:22" x14ac:dyDescent="0.45">
      <c r="I1800" t="s">
        <v>195</v>
      </c>
      <c r="J1800" t="s">
        <v>173</v>
      </c>
      <c r="K1800">
        <v>6.6025578211291996E-3</v>
      </c>
      <c r="L1800" t="s">
        <v>166</v>
      </c>
      <c r="S1800" t="s">
        <v>236</v>
      </c>
      <c r="T1800" t="s">
        <v>173</v>
      </c>
      <c r="U1800">
        <v>3.7423182756720665E-3</v>
      </c>
      <c r="V1800" t="s">
        <v>166</v>
      </c>
    </row>
    <row r="1801" spans="9:22" x14ac:dyDescent="0.45">
      <c r="I1801" t="s">
        <v>195</v>
      </c>
      <c r="J1801" t="s">
        <v>174</v>
      </c>
      <c r="K1801">
        <v>7.4882531164277608E-2</v>
      </c>
      <c r="L1801" t="s">
        <v>166</v>
      </c>
      <c r="S1801" t="s">
        <v>236</v>
      </c>
      <c r="T1801" t="s">
        <v>174</v>
      </c>
      <c r="U1801">
        <v>2.6004507740758288E-2</v>
      </c>
      <c r="V1801" t="s">
        <v>166</v>
      </c>
    </row>
    <row r="1802" spans="9:22" x14ac:dyDescent="0.45">
      <c r="I1802" t="s">
        <v>195</v>
      </c>
      <c r="J1802" t="s">
        <v>264</v>
      </c>
      <c r="K1802">
        <v>7.889844913654874E-3</v>
      </c>
      <c r="L1802" t="s">
        <v>166</v>
      </c>
      <c r="S1802" t="s">
        <v>236</v>
      </c>
      <c r="T1802" t="s">
        <v>264</v>
      </c>
      <c r="U1802">
        <v>3.4140495216890502E-3</v>
      </c>
      <c r="V1802" t="s">
        <v>166</v>
      </c>
    </row>
    <row r="1803" spans="9:22" x14ac:dyDescent="0.45">
      <c r="I1803" t="s">
        <v>195</v>
      </c>
      <c r="J1803" t="s">
        <v>265</v>
      </c>
      <c r="K1803">
        <v>9.922225947998943E-3</v>
      </c>
      <c r="L1803" t="s">
        <v>166</v>
      </c>
      <c r="S1803" t="s">
        <v>236</v>
      </c>
      <c r="T1803" t="s">
        <v>265</v>
      </c>
      <c r="U1803">
        <v>6.0714675802808846E-3</v>
      </c>
      <c r="V1803" t="s">
        <v>166</v>
      </c>
    </row>
    <row r="1804" spans="9:22" x14ac:dyDescent="0.45">
      <c r="I1804" t="s">
        <v>195</v>
      </c>
      <c r="J1804" t="s">
        <v>266</v>
      </c>
      <c r="K1804">
        <v>1.1158654923430634E-3</v>
      </c>
      <c r="L1804" t="s">
        <v>166</v>
      </c>
      <c r="S1804" t="s">
        <v>236</v>
      </c>
      <c r="T1804" t="s">
        <v>266</v>
      </c>
      <c r="U1804">
        <v>2.0570608702832532E-2</v>
      </c>
      <c r="V1804" t="s">
        <v>166</v>
      </c>
    </row>
    <row r="1805" spans="9:22" x14ac:dyDescent="0.45">
      <c r="I1805" t="s">
        <v>195</v>
      </c>
      <c r="J1805" t="s">
        <v>175</v>
      </c>
      <c r="K1805">
        <v>2.475572720587624E-3</v>
      </c>
      <c r="L1805" t="s">
        <v>166</v>
      </c>
      <c r="S1805" t="s">
        <v>236</v>
      </c>
      <c r="T1805" t="s">
        <v>175</v>
      </c>
      <c r="U1805">
        <v>3.1154812627200226E-2</v>
      </c>
      <c r="V1805" t="s">
        <v>166</v>
      </c>
    </row>
    <row r="1806" spans="9:22" x14ac:dyDescent="0.45">
      <c r="I1806" t="s">
        <v>195</v>
      </c>
      <c r="J1806" t="s">
        <v>176</v>
      </c>
      <c r="K1806">
        <v>4.481824910189277E-3</v>
      </c>
      <c r="L1806" t="s">
        <v>166</v>
      </c>
      <c r="S1806" t="s">
        <v>236</v>
      </c>
      <c r="T1806" t="s">
        <v>176</v>
      </c>
      <c r="U1806">
        <v>2.8879889062404561E-3</v>
      </c>
      <c r="V1806" t="s">
        <v>166</v>
      </c>
    </row>
    <row r="1807" spans="9:22" x14ac:dyDescent="0.45">
      <c r="I1807" t="s">
        <v>195</v>
      </c>
      <c r="J1807" t="s">
        <v>177</v>
      </c>
      <c r="K1807">
        <v>6.6856341553909349E-2</v>
      </c>
      <c r="L1807" t="s">
        <v>166</v>
      </c>
      <c r="S1807" t="s">
        <v>236</v>
      </c>
      <c r="T1807" t="s">
        <v>177</v>
      </c>
      <c r="U1807">
        <v>2.0691181789068303E-2</v>
      </c>
      <c r="V1807" t="s">
        <v>166</v>
      </c>
    </row>
    <row r="1808" spans="9:22" x14ac:dyDescent="0.45">
      <c r="I1808" t="s">
        <v>195</v>
      </c>
      <c r="J1808" t="s">
        <v>267</v>
      </c>
      <c r="K1808">
        <v>7.2779152812548842E-3</v>
      </c>
      <c r="L1808" t="s">
        <v>166</v>
      </c>
      <c r="S1808" t="s">
        <v>236</v>
      </c>
      <c r="T1808" t="s">
        <v>267</v>
      </c>
      <c r="U1808">
        <v>2.8510416776953399E-3</v>
      </c>
      <c r="V1808" t="s">
        <v>166</v>
      </c>
    </row>
    <row r="1809" spans="9:22" x14ac:dyDescent="0.45">
      <c r="I1809" t="s">
        <v>195</v>
      </c>
      <c r="J1809" t="s">
        <v>268</v>
      </c>
      <c r="K1809">
        <v>8.0803162393576905E-3</v>
      </c>
      <c r="L1809" t="s">
        <v>166</v>
      </c>
      <c r="S1809" t="s">
        <v>236</v>
      </c>
      <c r="T1809" t="s">
        <v>268</v>
      </c>
      <c r="U1809">
        <v>5.1577874431471714E-3</v>
      </c>
      <c r="V1809" t="s">
        <v>166</v>
      </c>
    </row>
    <row r="1810" spans="9:22" x14ac:dyDescent="0.45">
      <c r="I1810" t="s">
        <v>195</v>
      </c>
      <c r="J1810" t="s">
        <v>269</v>
      </c>
      <c r="K1810">
        <v>1.213724271598891E-3</v>
      </c>
      <c r="L1810" t="s">
        <v>166</v>
      </c>
      <c r="S1810" t="s">
        <v>236</v>
      </c>
      <c r="T1810" t="s">
        <v>269</v>
      </c>
      <c r="U1810">
        <v>1.7838677497741071E-2</v>
      </c>
      <c r="V1810" t="s">
        <v>166</v>
      </c>
    </row>
    <row r="1811" spans="9:22" x14ac:dyDescent="0.45">
      <c r="I1811" t="s">
        <v>195</v>
      </c>
      <c r="J1811" t="s">
        <v>270</v>
      </c>
      <c r="K1811">
        <v>2.7441584234018184E-3</v>
      </c>
      <c r="L1811" t="s">
        <v>166</v>
      </c>
      <c r="S1811" t="s">
        <v>236</v>
      </c>
      <c r="T1811" t="s">
        <v>270</v>
      </c>
      <c r="U1811">
        <v>2.3469763292872977E-2</v>
      </c>
      <c r="V1811" t="s">
        <v>166</v>
      </c>
    </row>
    <row r="1812" spans="9:22" x14ac:dyDescent="0.45">
      <c r="I1812" t="s">
        <v>195</v>
      </c>
      <c r="J1812" t="s">
        <v>271</v>
      </c>
      <c r="K1812">
        <v>5.3696258888872288E-3</v>
      </c>
      <c r="L1812" t="s">
        <v>166</v>
      </c>
      <c r="S1812" t="s">
        <v>236</v>
      </c>
      <c r="T1812" t="s">
        <v>271</v>
      </c>
      <c r="U1812">
        <v>2.4908046109977365E-3</v>
      </c>
      <c r="V1812" t="s">
        <v>166</v>
      </c>
    </row>
    <row r="1813" spans="9:22" x14ac:dyDescent="0.45">
      <c r="I1813" t="s">
        <v>195</v>
      </c>
      <c r="J1813" t="s">
        <v>272</v>
      </c>
      <c r="K1813">
        <v>7.0228576748742916E-2</v>
      </c>
      <c r="L1813" t="s">
        <v>166</v>
      </c>
      <c r="S1813" t="s">
        <v>236</v>
      </c>
      <c r="T1813" t="s">
        <v>272</v>
      </c>
      <c r="U1813">
        <v>1.6172074058831865E-2</v>
      </c>
      <c r="V1813" t="s">
        <v>166</v>
      </c>
    </row>
    <row r="1814" spans="9:22" x14ac:dyDescent="0.45">
      <c r="I1814" t="s">
        <v>195</v>
      </c>
      <c r="J1814" t="s">
        <v>273</v>
      </c>
      <c r="K1814">
        <v>7.429754623993986E-3</v>
      </c>
      <c r="L1814" t="s">
        <v>166</v>
      </c>
      <c r="S1814" t="s">
        <v>236</v>
      </c>
      <c r="T1814" t="s">
        <v>273</v>
      </c>
      <c r="U1814">
        <v>1.768293876852648E-3</v>
      </c>
      <c r="V1814" t="s">
        <v>166</v>
      </c>
    </row>
    <row r="1815" spans="9:22" x14ac:dyDescent="0.45">
      <c r="I1815" t="s">
        <v>195</v>
      </c>
      <c r="J1815" t="s">
        <v>274</v>
      </c>
      <c r="K1815">
        <v>7.8585700794879948E-3</v>
      </c>
      <c r="L1815" t="s">
        <v>166</v>
      </c>
      <c r="S1815" t="s">
        <v>236</v>
      </c>
      <c r="T1815" t="s">
        <v>274</v>
      </c>
      <c r="U1815">
        <v>3.2063176162506644E-3</v>
      </c>
      <c r="V1815" t="s">
        <v>166</v>
      </c>
    </row>
    <row r="1816" spans="9:22" x14ac:dyDescent="0.45">
      <c r="I1816" t="s">
        <v>195</v>
      </c>
      <c r="J1816" t="s">
        <v>275</v>
      </c>
      <c r="K1816">
        <v>1.9823305767435968E-5</v>
      </c>
      <c r="L1816" t="s">
        <v>166</v>
      </c>
      <c r="S1816" t="s">
        <v>236</v>
      </c>
      <c r="T1816" t="s">
        <v>275</v>
      </c>
      <c r="U1816">
        <v>1.1644586186515002E-2</v>
      </c>
      <c r="V1816" t="s">
        <v>166</v>
      </c>
    </row>
    <row r="1817" spans="9:22" x14ac:dyDescent="0.45">
      <c r="I1817" t="s">
        <v>195</v>
      </c>
      <c r="J1817" t="s">
        <v>276</v>
      </c>
      <c r="K1817">
        <v>5.7972601273096145E-3</v>
      </c>
      <c r="L1817" t="s">
        <v>166</v>
      </c>
      <c r="S1817" t="s">
        <v>236</v>
      </c>
      <c r="T1817" t="s">
        <v>276</v>
      </c>
      <c r="U1817">
        <v>5.0439184079513352E-2</v>
      </c>
      <c r="V1817" t="s">
        <v>166</v>
      </c>
    </row>
    <row r="1818" spans="9:22" x14ac:dyDescent="0.45">
      <c r="I1818" t="s">
        <v>195</v>
      </c>
      <c r="J1818" t="s">
        <v>277</v>
      </c>
      <c r="K1818">
        <v>1.0980701203547338E-2</v>
      </c>
      <c r="L1818" t="s">
        <v>166</v>
      </c>
      <c r="S1818" t="s">
        <v>236</v>
      </c>
      <c r="T1818" t="s">
        <v>277</v>
      </c>
      <c r="U1818">
        <v>6.6543112004198617E-3</v>
      </c>
      <c r="V1818" t="s">
        <v>166</v>
      </c>
    </row>
    <row r="1819" spans="9:22" x14ac:dyDescent="0.45">
      <c r="I1819" t="s">
        <v>195</v>
      </c>
      <c r="J1819" t="s">
        <v>278</v>
      </c>
      <c r="K1819">
        <v>0.12544175309155386</v>
      </c>
      <c r="L1819" t="s">
        <v>166</v>
      </c>
      <c r="S1819" t="s">
        <v>236</v>
      </c>
      <c r="T1819" t="s">
        <v>278</v>
      </c>
      <c r="U1819">
        <v>4.2673304953628706E-2</v>
      </c>
      <c r="V1819" t="s">
        <v>166</v>
      </c>
    </row>
    <row r="1820" spans="9:22" x14ac:dyDescent="0.45">
      <c r="I1820" t="s">
        <v>195</v>
      </c>
      <c r="J1820" t="s">
        <v>279</v>
      </c>
      <c r="K1820">
        <v>1.3147789056199484E-2</v>
      </c>
      <c r="L1820" t="s">
        <v>166</v>
      </c>
      <c r="S1820" t="s">
        <v>236</v>
      </c>
      <c r="T1820" t="s">
        <v>279</v>
      </c>
      <c r="U1820">
        <v>5.6366698301148306E-3</v>
      </c>
      <c r="V1820" t="s">
        <v>166</v>
      </c>
    </row>
    <row r="1821" spans="9:22" x14ac:dyDescent="0.45">
      <c r="I1821" t="s">
        <v>195</v>
      </c>
      <c r="J1821" t="s">
        <v>280</v>
      </c>
      <c r="K1821">
        <v>1.2946013524128719E-2</v>
      </c>
      <c r="L1821" t="s">
        <v>166</v>
      </c>
      <c r="S1821" t="s">
        <v>236</v>
      </c>
      <c r="T1821" t="s">
        <v>280</v>
      </c>
      <c r="U1821">
        <v>1.0200390592202383E-2</v>
      </c>
      <c r="V1821" t="s">
        <v>166</v>
      </c>
    </row>
    <row r="1822" spans="9:22" x14ac:dyDescent="0.45">
      <c r="I1822" t="s">
        <v>195</v>
      </c>
      <c r="J1822" t="s">
        <v>281</v>
      </c>
      <c r="K1822">
        <v>0</v>
      </c>
      <c r="L1822" t="s">
        <v>166</v>
      </c>
      <c r="S1822" t="s">
        <v>236</v>
      </c>
      <c r="T1822" t="s">
        <v>281</v>
      </c>
      <c r="U1822">
        <v>2.7297800539969896E-2</v>
      </c>
      <c r="V1822" t="s">
        <v>166</v>
      </c>
    </row>
    <row r="1823" spans="9:22" x14ac:dyDescent="0.45">
      <c r="I1823" t="s">
        <v>195</v>
      </c>
      <c r="J1823" t="s">
        <v>282</v>
      </c>
      <c r="K1823">
        <v>1.2266779664710668E-3</v>
      </c>
      <c r="L1823" t="s">
        <v>166</v>
      </c>
      <c r="S1823" t="s">
        <v>236</v>
      </c>
      <c r="T1823" t="s">
        <v>282</v>
      </c>
      <c r="U1823">
        <v>3.9076376336069626E-2</v>
      </c>
      <c r="V1823" t="s">
        <v>166</v>
      </c>
    </row>
    <row r="1824" spans="9:22" x14ac:dyDescent="0.45">
      <c r="I1824" t="s">
        <v>195</v>
      </c>
      <c r="J1824" t="s">
        <v>283</v>
      </c>
      <c r="K1824">
        <v>2.8117832887487545E-3</v>
      </c>
      <c r="L1824" t="s">
        <v>166</v>
      </c>
      <c r="S1824" t="s">
        <v>236</v>
      </c>
      <c r="T1824" t="s">
        <v>283</v>
      </c>
      <c r="U1824">
        <v>5.3266323376459411E-3</v>
      </c>
      <c r="V1824" t="s">
        <v>166</v>
      </c>
    </row>
    <row r="1825" spans="9:22" x14ac:dyDescent="0.45">
      <c r="I1825" t="s">
        <v>195</v>
      </c>
      <c r="J1825" t="s">
        <v>284</v>
      </c>
      <c r="K1825">
        <v>4.5201707727897826E-2</v>
      </c>
      <c r="L1825" t="s">
        <v>166</v>
      </c>
      <c r="S1825" t="s">
        <v>236</v>
      </c>
      <c r="T1825" t="s">
        <v>284</v>
      </c>
      <c r="U1825">
        <v>3.4034440474720519E-2</v>
      </c>
      <c r="V1825" t="s">
        <v>166</v>
      </c>
    </row>
    <row r="1826" spans="9:22" x14ac:dyDescent="0.45">
      <c r="I1826" t="s">
        <v>195</v>
      </c>
      <c r="J1826" t="s">
        <v>285</v>
      </c>
      <c r="K1826">
        <v>4.4245841741381185E-3</v>
      </c>
      <c r="L1826" t="s">
        <v>166</v>
      </c>
      <c r="S1826" t="s">
        <v>236</v>
      </c>
      <c r="T1826" t="s">
        <v>285</v>
      </c>
      <c r="U1826">
        <v>4.2691779455185375E-3</v>
      </c>
      <c r="V1826" t="s">
        <v>166</v>
      </c>
    </row>
    <row r="1827" spans="9:22" x14ac:dyDescent="0.45">
      <c r="I1827" t="s">
        <v>195</v>
      </c>
      <c r="J1827" t="s">
        <v>286</v>
      </c>
      <c r="K1827">
        <v>2.6874982051855898E-3</v>
      </c>
      <c r="L1827" t="s">
        <v>166</v>
      </c>
      <c r="S1827" t="s">
        <v>236</v>
      </c>
      <c r="T1827" t="s">
        <v>286</v>
      </c>
      <c r="U1827">
        <v>7.3728771512040414E-3</v>
      </c>
      <c r="V1827" t="s">
        <v>166</v>
      </c>
    </row>
    <row r="1828" spans="9:22" x14ac:dyDescent="0.45">
      <c r="I1828" t="s">
        <v>195</v>
      </c>
      <c r="J1828" t="s">
        <v>287</v>
      </c>
      <c r="K1828">
        <v>0</v>
      </c>
      <c r="L1828" t="s">
        <v>166</v>
      </c>
      <c r="S1828" t="s">
        <v>236</v>
      </c>
      <c r="T1828" t="s">
        <v>287</v>
      </c>
      <c r="U1828">
        <v>2.1460392532514343E-2</v>
      </c>
      <c r="V1828" t="s">
        <v>166</v>
      </c>
    </row>
    <row r="1829" spans="9:22" x14ac:dyDescent="0.45">
      <c r="I1829" t="s">
        <v>195</v>
      </c>
      <c r="J1829" t="s">
        <v>288</v>
      </c>
      <c r="K1829">
        <v>1.1666032982265997E-3</v>
      </c>
      <c r="L1829" t="s">
        <v>166</v>
      </c>
      <c r="S1829" t="s">
        <v>236</v>
      </c>
      <c r="T1829" t="s">
        <v>288</v>
      </c>
      <c r="U1829">
        <v>3.4305133785063453E-2</v>
      </c>
      <c r="V1829" t="s">
        <v>166</v>
      </c>
    </row>
    <row r="1830" spans="9:22" x14ac:dyDescent="0.45">
      <c r="I1830" t="s">
        <v>195</v>
      </c>
      <c r="J1830" t="s">
        <v>289</v>
      </c>
      <c r="K1830">
        <v>6.6200624172338997E-3</v>
      </c>
      <c r="L1830" t="s">
        <v>166</v>
      </c>
      <c r="S1830" t="s">
        <v>236</v>
      </c>
      <c r="T1830" t="s">
        <v>289</v>
      </c>
      <c r="U1830">
        <v>4.3471661657938287E-3</v>
      </c>
      <c r="V1830" t="s">
        <v>166</v>
      </c>
    </row>
    <row r="1831" spans="9:22" x14ac:dyDescent="0.45">
      <c r="I1831" t="s">
        <v>195</v>
      </c>
      <c r="J1831" t="s">
        <v>290</v>
      </c>
      <c r="K1831">
        <v>8.0161909816529348E-2</v>
      </c>
      <c r="L1831" t="s">
        <v>166</v>
      </c>
      <c r="S1831" t="s">
        <v>236</v>
      </c>
      <c r="T1831" t="s">
        <v>290</v>
      </c>
      <c r="U1831">
        <v>2.7534091126443894E-2</v>
      </c>
      <c r="V1831" t="s">
        <v>166</v>
      </c>
    </row>
    <row r="1832" spans="9:22" x14ac:dyDescent="0.45">
      <c r="I1832" t="s">
        <v>195</v>
      </c>
      <c r="J1832" t="s">
        <v>291</v>
      </c>
      <c r="K1832">
        <v>8.9133713152246188E-3</v>
      </c>
      <c r="L1832" t="s">
        <v>166</v>
      </c>
      <c r="S1832" t="s">
        <v>236</v>
      </c>
      <c r="T1832" t="s">
        <v>291</v>
      </c>
      <c r="U1832">
        <v>3.39431277934451E-3</v>
      </c>
      <c r="V1832" t="s">
        <v>166</v>
      </c>
    </row>
    <row r="1833" spans="9:22" x14ac:dyDescent="0.45">
      <c r="I1833" t="s">
        <v>195</v>
      </c>
      <c r="J1833" t="s">
        <v>292</v>
      </c>
      <c r="K1833">
        <v>5.7232536459284576E-3</v>
      </c>
      <c r="L1833" t="s">
        <v>166</v>
      </c>
      <c r="S1833" t="s">
        <v>236</v>
      </c>
      <c r="T1833" t="s">
        <v>292</v>
      </c>
      <c r="U1833">
        <v>5.4821547499206329E-3</v>
      </c>
      <c r="V1833" t="s">
        <v>166</v>
      </c>
    </row>
    <row r="1834" spans="9:22" x14ac:dyDescent="0.45">
      <c r="I1834" t="s">
        <v>195</v>
      </c>
      <c r="J1834" t="s">
        <v>293</v>
      </c>
      <c r="K1834">
        <v>0</v>
      </c>
      <c r="L1834" t="s">
        <v>166</v>
      </c>
      <c r="S1834" t="s">
        <v>236</v>
      </c>
      <c r="T1834" t="s">
        <v>293</v>
      </c>
      <c r="U1834">
        <v>1.6558135218252841E-2</v>
      </c>
      <c r="V1834" t="s">
        <v>166</v>
      </c>
    </row>
    <row r="1835" spans="9:22" x14ac:dyDescent="0.45">
      <c r="I1835" t="s">
        <v>196</v>
      </c>
      <c r="J1835" t="s">
        <v>165</v>
      </c>
      <c r="K1835">
        <v>5.5630791060587974E-3</v>
      </c>
      <c r="L1835" t="s">
        <v>166</v>
      </c>
      <c r="S1835" t="s">
        <v>237</v>
      </c>
      <c r="T1835" t="s">
        <v>165</v>
      </c>
      <c r="U1835">
        <v>0.10424752733793241</v>
      </c>
      <c r="V1835" t="s">
        <v>166</v>
      </c>
    </row>
    <row r="1836" spans="9:22" x14ac:dyDescent="0.45">
      <c r="I1836" t="s">
        <v>196</v>
      </c>
      <c r="J1836" t="s">
        <v>167</v>
      </c>
      <c r="K1836">
        <v>1.3845085462969434E-2</v>
      </c>
      <c r="L1836" t="s">
        <v>166</v>
      </c>
      <c r="S1836" t="s">
        <v>237</v>
      </c>
      <c r="T1836" t="s">
        <v>167</v>
      </c>
      <c r="U1836">
        <v>1.32362338078172E-2</v>
      </c>
      <c r="V1836" t="s">
        <v>166</v>
      </c>
    </row>
    <row r="1837" spans="9:22" x14ac:dyDescent="0.45">
      <c r="I1837" t="s">
        <v>196</v>
      </c>
      <c r="J1837" t="s">
        <v>168</v>
      </c>
      <c r="K1837">
        <v>0.22747249777289136</v>
      </c>
      <c r="L1837" t="s">
        <v>166</v>
      </c>
      <c r="S1837" t="s">
        <v>237</v>
      </c>
      <c r="T1837" t="s">
        <v>168</v>
      </c>
      <c r="U1837">
        <v>8.6633441564734098E-2</v>
      </c>
      <c r="V1837" t="s">
        <v>166</v>
      </c>
    </row>
    <row r="1838" spans="9:22" x14ac:dyDescent="0.45">
      <c r="I1838" t="s">
        <v>196</v>
      </c>
      <c r="J1838" t="s">
        <v>258</v>
      </c>
      <c r="K1838">
        <v>2.6445768034236088E-2</v>
      </c>
      <c r="L1838" t="s">
        <v>166</v>
      </c>
      <c r="S1838" t="s">
        <v>237</v>
      </c>
      <c r="T1838" t="s">
        <v>258</v>
      </c>
      <c r="U1838">
        <v>1.1776142192633792E-2</v>
      </c>
      <c r="V1838" t="s">
        <v>166</v>
      </c>
    </row>
    <row r="1839" spans="9:22" x14ac:dyDescent="0.45">
      <c r="I1839" t="s">
        <v>196</v>
      </c>
      <c r="J1839" t="s">
        <v>259</v>
      </c>
      <c r="K1839">
        <v>3.1096007571015445E-2</v>
      </c>
      <c r="L1839" t="s">
        <v>166</v>
      </c>
      <c r="S1839" t="s">
        <v>237</v>
      </c>
      <c r="T1839" t="s">
        <v>259</v>
      </c>
      <c r="U1839">
        <v>2.1444800042406353E-2</v>
      </c>
      <c r="V1839" t="s">
        <v>166</v>
      </c>
    </row>
    <row r="1840" spans="9:22" x14ac:dyDescent="0.45">
      <c r="I1840" t="s">
        <v>196</v>
      </c>
      <c r="J1840" t="s">
        <v>260</v>
      </c>
      <c r="K1840">
        <v>0</v>
      </c>
      <c r="L1840" t="s">
        <v>166</v>
      </c>
      <c r="S1840" t="s">
        <v>237</v>
      </c>
      <c r="T1840" t="s">
        <v>260</v>
      </c>
      <c r="U1840">
        <v>6.224032340074874E-2</v>
      </c>
      <c r="V1840" t="s">
        <v>166</v>
      </c>
    </row>
    <row r="1841" spans="9:22" x14ac:dyDescent="0.45">
      <c r="I1841" t="s">
        <v>196</v>
      </c>
      <c r="J1841" t="s">
        <v>346</v>
      </c>
      <c r="K1841">
        <v>0</v>
      </c>
      <c r="L1841" t="s">
        <v>166</v>
      </c>
      <c r="S1841" t="s">
        <v>237</v>
      </c>
      <c r="T1841" t="s">
        <v>346</v>
      </c>
      <c r="U1841">
        <v>8.0464300459623226E-5</v>
      </c>
      <c r="V1841" t="s">
        <v>166</v>
      </c>
    </row>
    <row r="1842" spans="9:22" x14ac:dyDescent="0.45">
      <c r="I1842" t="s">
        <v>196</v>
      </c>
      <c r="J1842" t="s">
        <v>347</v>
      </c>
      <c r="K1842">
        <v>0</v>
      </c>
      <c r="L1842" t="s">
        <v>166</v>
      </c>
      <c r="S1842" t="s">
        <v>237</v>
      </c>
      <c r="T1842" t="s">
        <v>347</v>
      </c>
      <c r="U1842">
        <v>9.170922948457903E-5</v>
      </c>
      <c r="V1842" t="s">
        <v>166</v>
      </c>
    </row>
    <row r="1843" spans="9:22" x14ac:dyDescent="0.45">
      <c r="I1843" t="s">
        <v>196</v>
      </c>
      <c r="J1843" t="s">
        <v>348</v>
      </c>
      <c r="K1843">
        <v>0</v>
      </c>
      <c r="L1843" t="s">
        <v>166</v>
      </c>
      <c r="S1843" t="s">
        <v>237</v>
      </c>
      <c r="T1843" t="s">
        <v>348</v>
      </c>
      <c r="U1843">
        <v>1.0060502902523549E-4</v>
      </c>
      <c r="V1843" t="s">
        <v>166</v>
      </c>
    </row>
    <row r="1844" spans="9:22" x14ac:dyDescent="0.45">
      <c r="I1844" t="s">
        <v>196</v>
      </c>
      <c r="J1844" t="s">
        <v>349</v>
      </c>
      <c r="K1844">
        <v>0</v>
      </c>
      <c r="L1844" t="s">
        <v>166</v>
      </c>
      <c r="S1844" t="s">
        <v>237</v>
      </c>
      <c r="T1844" t="s">
        <v>349</v>
      </c>
      <c r="U1844">
        <v>1.0557694622594962E-4</v>
      </c>
      <c r="V1844" t="s">
        <v>166</v>
      </c>
    </row>
    <row r="1845" spans="9:22" x14ac:dyDescent="0.45">
      <c r="I1845" t="s">
        <v>196</v>
      </c>
      <c r="J1845" t="s">
        <v>350</v>
      </c>
      <c r="K1845">
        <v>0</v>
      </c>
      <c r="L1845" t="s">
        <v>166</v>
      </c>
      <c r="S1845" t="s">
        <v>237</v>
      </c>
      <c r="T1845" t="s">
        <v>350</v>
      </c>
      <c r="U1845">
        <v>1.0865948305049964E-4</v>
      </c>
      <c r="V1845" t="s">
        <v>166</v>
      </c>
    </row>
    <row r="1846" spans="9:22" x14ac:dyDescent="0.45">
      <c r="I1846" t="s">
        <v>196</v>
      </c>
      <c r="J1846" t="s">
        <v>351</v>
      </c>
      <c r="K1846">
        <v>0</v>
      </c>
      <c r="L1846" t="s">
        <v>166</v>
      </c>
      <c r="S1846" t="s">
        <v>237</v>
      </c>
      <c r="T1846" t="s">
        <v>351</v>
      </c>
      <c r="U1846">
        <v>1.1667215942091664E-4</v>
      </c>
      <c r="V1846" t="s">
        <v>166</v>
      </c>
    </row>
    <row r="1847" spans="9:22" x14ac:dyDescent="0.45">
      <c r="I1847" t="s">
        <v>196</v>
      </c>
      <c r="J1847" t="s">
        <v>352</v>
      </c>
      <c r="K1847">
        <v>0</v>
      </c>
      <c r="L1847" t="s">
        <v>166</v>
      </c>
      <c r="S1847" t="s">
        <v>237</v>
      </c>
      <c r="T1847" t="s">
        <v>352</v>
      </c>
      <c r="U1847">
        <v>1.1662390959071388E-4</v>
      </c>
      <c r="V1847" t="s">
        <v>166</v>
      </c>
    </row>
    <row r="1848" spans="9:22" x14ac:dyDescent="0.45">
      <c r="I1848" t="s">
        <v>196</v>
      </c>
      <c r="J1848" t="s">
        <v>353</v>
      </c>
      <c r="K1848">
        <v>0</v>
      </c>
      <c r="L1848" t="s">
        <v>166</v>
      </c>
      <c r="S1848" t="s">
        <v>237</v>
      </c>
      <c r="T1848" t="s">
        <v>353</v>
      </c>
      <c r="U1848">
        <v>1.1152430670862792E-4</v>
      </c>
      <c r="V1848" t="s">
        <v>166</v>
      </c>
    </row>
    <row r="1849" spans="9:22" x14ac:dyDescent="0.45">
      <c r="I1849" t="s">
        <v>196</v>
      </c>
      <c r="J1849" t="s">
        <v>354</v>
      </c>
      <c r="K1849">
        <v>1.2960394661291123E-5</v>
      </c>
      <c r="L1849" t="s">
        <v>166</v>
      </c>
      <c r="S1849" t="s">
        <v>237</v>
      </c>
      <c r="T1849" t="s">
        <v>354</v>
      </c>
      <c r="U1849">
        <v>9.9488566827944425E-5</v>
      </c>
      <c r="V1849" t="s">
        <v>166</v>
      </c>
    </row>
    <row r="1850" spans="9:22" x14ac:dyDescent="0.45">
      <c r="I1850" t="s">
        <v>196</v>
      </c>
      <c r="J1850" t="s">
        <v>355</v>
      </c>
      <c r="K1850">
        <v>4.8196885206446559E-5</v>
      </c>
      <c r="L1850" t="s">
        <v>166</v>
      </c>
      <c r="S1850" t="s">
        <v>237</v>
      </c>
      <c r="T1850" t="s">
        <v>355</v>
      </c>
      <c r="U1850">
        <v>8.6825900275147707E-5</v>
      </c>
      <c r="V1850" t="s">
        <v>166</v>
      </c>
    </row>
    <row r="1851" spans="9:22" x14ac:dyDescent="0.45">
      <c r="I1851" t="s">
        <v>196</v>
      </c>
      <c r="J1851" t="s">
        <v>356</v>
      </c>
      <c r="K1851">
        <v>1.1450637253673863E-4</v>
      </c>
      <c r="L1851" t="s">
        <v>166</v>
      </c>
      <c r="S1851" t="s">
        <v>237</v>
      </c>
      <c r="T1851" t="s">
        <v>356</v>
      </c>
      <c r="U1851">
        <v>7.1086591609551662E-5</v>
      </c>
      <c r="V1851" t="s">
        <v>166</v>
      </c>
    </row>
    <row r="1852" spans="9:22" x14ac:dyDescent="0.45">
      <c r="I1852" t="s">
        <v>196</v>
      </c>
      <c r="J1852" t="s">
        <v>357</v>
      </c>
      <c r="K1852">
        <v>1.3930350136004391E-4</v>
      </c>
      <c r="L1852" t="s">
        <v>166</v>
      </c>
      <c r="S1852" t="s">
        <v>237</v>
      </c>
      <c r="T1852" t="s">
        <v>357</v>
      </c>
      <c r="U1852">
        <v>6.0055850164400569E-5</v>
      </c>
      <c r="V1852" t="s">
        <v>166</v>
      </c>
    </row>
    <row r="1853" spans="9:22" x14ac:dyDescent="0.45">
      <c r="I1853" t="s">
        <v>196</v>
      </c>
      <c r="J1853" t="s">
        <v>358</v>
      </c>
      <c r="K1853">
        <v>1.6269051057502801E-4</v>
      </c>
      <c r="L1853" t="s">
        <v>166</v>
      </c>
      <c r="S1853" t="s">
        <v>237</v>
      </c>
      <c r="T1853" t="s">
        <v>358</v>
      </c>
      <c r="U1853">
        <v>5.0363933935673405E-5</v>
      </c>
      <c r="V1853" t="s">
        <v>166</v>
      </c>
    </row>
    <row r="1854" spans="9:22" x14ac:dyDescent="0.45">
      <c r="I1854" t="s">
        <v>196</v>
      </c>
      <c r="J1854" t="s">
        <v>359</v>
      </c>
      <c r="K1854">
        <v>1.413961749964524E-4</v>
      </c>
      <c r="L1854" t="s">
        <v>166</v>
      </c>
      <c r="S1854" t="s">
        <v>237</v>
      </c>
      <c r="T1854" t="s">
        <v>359</v>
      </c>
      <c r="U1854">
        <v>4.1971061235280899E-5</v>
      </c>
      <c r="V1854" t="s">
        <v>166</v>
      </c>
    </row>
    <row r="1855" spans="9:22" x14ac:dyDescent="0.45">
      <c r="I1855" t="s">
        <v>196</v>
      </c>
      <c r="J1855" t="s">
        <v>360</v>
      </c>
      <c r="K1855">
        <v>2.1173844705557122E-4</v>
      </c>
      <c r="L1855" t="s">
        <v>166</v>
      </c>
      <c r="S1855" t="s">
        <v>237</v>
      </c>
      <c r="T1855" t="s">
        <v>360</v>
      </c>
      <c r="U1855">
        <v>3.8645905271619006E-5</v>
      </c>
      <c r="V1855" t="s">
        <v>166</v>
      </c>
    </row>
    <row r="1856" spans="9:22" x14ac:dyDescent="0.45">
      <c r="I1856" t="s">
        <v>196</v>
      </c>
      <c r="J1856" t="s">
        <v>361</v>
      </c>
      <c r="K1856">
        <v>1.4927682586540284E-4</v>
      </c>
      <c r="L1856" t="s">
        <v>166</v>
      </c>
      <c r="S1856" t="s">
        <v>237</v>
      </c>
      <c r="T1856" t="s">
        <v>361</v>
      </c>
      <c r="U1856">
        <v>3.6416033601311361E-5</v>
      </c>
      <c r="V1856" t="s">
        <v>166</v>
      </c>
    </row>
    <row r="1857" spans="9:22" x14ac:dyDescent="0.45">
      <c r="I1857" t="s">
        <v>196</v>
      </c>
      <c r="J1857" t="s">
        <v>362</v>
      </c>
      <c r="K1857">
        <v>7.1980216297821531E-5</v>
      </c>
      <c r="L1857" t="s">
        <v>166</v>
      </c>
      <c r="S1857" t="s">
        <v>237</v>
      </c>
      <c r="T1857" t="s">
        <v>362</v>
      </c>
      <c r="U1857">
        <v>3.7028235880030798E-5</v>
      </c>
      <c r="V1857" t="s">
        <v>166</v>
      </c>
    </row>
    <row r="1858" spans="9:22" x14ac:dyDescent="0.45">
      <c r="I1858" t="s">
        <v>196</v>
      </c>
      <c r="J1858" t="s">
        <v>363</v>
      </c>
      <c r="K1858">
        <v>4.8225101061400174E-5</v>
      </c>
      <c r="L1858" t="s">
        <v>166</v>
      </c>
      <c r="S1858" t="s">
        <v>237</v>
      </c>
      <c r="T1858" t="s">
        <v>363</v>
      </c>
      <c r="U1858">
        <v>2.4289235691149967E-5</v>
      </c>
      <c r="V1858" t="s">
        <v>166</v>
      </c>
    </row>
    <row r="1859" spans="9:22" x14ac:dyDescent="0.45">
      <c r="I1859" t="s">
        <v>196</v>
      </c>
      <c r="J1859" t="s">
        <v>364</v>
      </c>
      <c r="K1859">
        <v>2.9238869371719185E-6</v>
      </c>
      <c r="L1859" t="s">
        <v>166</v>
      </c>
      <c r="S1859" t="s">
        <v>237</v>
      </c>
      <c r="T1859" t="s">
        <v>364</v>
      </c>
      <c r="U1859">
        <v>2.5670857203957264E-5</v>
      </c>
      <c r="V1859" t="s">
        <v>166</v>
      </c>
    </row>
    <row r="1860" spans="9:22" x14ac:dyDescent="0.45">
      <c r="I1860" t="s">
        <v>196</v>
      </c>
      <c r="J1860" t="s">
        <v>365</v>
      </c>
      <c r="K1860">
        <v>0</v>
      </c>
      <c r="L1860" t="s">
        <v>166</v>
      </c>
      <c r="S1860" t="s">
        <v>237</v>
      </c>
      <c r="T1860" t="s">
        <v>365</v>
      </c>
      <c r="U1860">
        <v>3.493387832007221E-5</v>
      </c>
      <c r="V1860" t="s">
        <v>166</v>
      </c>
    </row>
    <row r="1861" spans="9:22" x14ac:dyDescent="0.45">
      <c r="I1861" t="s">
        <v>196</v>
      </c>
      <c r="J1861" t="s">
        <v>366</v>
      </c>
      <c r="K1861">
        <v>0</v>
      </c>
      <c r="L1861" t="s">
        <v>166</v>
      </c>
      <c r="S1861" t="s">
        <v>237</v>
      </c>
      <c r="T1861" t="s">
        <v>366</v>
      </c>
      <c r="U1861">
        <v>5.3011006455559067E-5</v>
      </c>
      <c r="V1861" t="s">
        <v>166</v>
      </c>
    </row>
    <row r="1862" spans="9:22" x14ac:dyDescent="0.45">
      <c r="I1862" t="s">
        <v>196</v>
      </c>
      <c r="J1862" t="s">
        <v>367</v>
      </c>
      <c r="K1862">
        <v>0</v>
      </c>
      <c r="L1862" t="s">
        <v>166</v>
      </c>
      <c r="S1862" t="s">
        <v>237</v>
      </c>
      <c r="T1862" t="s">
        <v>367</v>
      </c>
      <c r="U1862">
        <v>7.4698637469720872E-5</v>
      </c>
      <c r="V1862" t="s">
        <v>166</v>
      </c>
    </row>
    <row r="1863" spans="9:22" x14ac:dyDescent="0.45">
      <c r="I1863" t="s">
        <v>196</v>
      </c>
      <c r="J1863" t="s">
        <v>368</v>
      </c>
      <c r="K1863">
        <v>0</v>
      </c>
      <c r="L1863" t="s">
        <v>166</v>
      </c>
      <c r="S1863" t="s">
        <v>237</v>
      </c>
      <c r="T1863" t="s">
        <v>368</v>
      </c>
      <c r="U1863">
        <v>8.1043803036242825E-5</v>
      </c>
      <c r="V1863" t="s">
        <v>166</v>
      </c>
    </row>
    <row r="1864" spans="9:22" x14ac:dyDescent="0.45">
      <c r="I1864" t="s">
        <v>196</v>
      </c>
      <c r="J1864" t="s">
        <v>369</v>
      </c>
      <c r="K1864">
        <v>0</v>
      </c>
      <c r="L1864" t="s">
        <v>166</v>
      </c>
      <c r="S1864" t="s">
        <v>237</v>
      </c>
      <c r="T1864" t="s">
        <v>369</v>
      </c>
      <c r="U1864">
        <v>7.6002286145398197E-5</v>
      </c>
      <c r="V1864" t="s">
        <v>166</v>
      </c>
    </row>
    <row r="1865" spans="9:22" x14ac:dyDescent="0.45">
      <c r="I1865" t="s">
        <v>196</v>
      </c>
      <c r="J1865" t="s">
        <v>370</v>
      </c>
      <c r="K1865">
        <v>0</v>
      </c>
      <c r="L1865" t="s">
        <v>166</v>
      </c>
      <c r="S1865" t="s">
        <v>237</v>
      </c>
      <c r="T1865" t="s">
        <v>370</v>
      </c>
      <c r="U1865">
        <v>3.8316461917014121E-6</v>
      </c>
      <c r="V1865" t="s">
        <v>166</v>
      </c>
    </row>
    <row r="1866" spans="9:22" x14ac:dyDescent="0.45">
      <c r="I1866" t="s">
        <v>196</v>
      </c>
      <c r="J1866" t="s">
        <v>371</v>
      </c>
      <c r="K1866">
        <v>0</v>
      </c>
      <c r="L1866" t="s">
        <v>166</v>
      </c>
      <c r="S1866" t="s">
        <v>237</v>
      </c>
      <c r="T1866" t="s">
        <v>371</v>
      </c>
      <c r="U1866">
        <v>1.2003137707214141E-6</v>
      </c>
      <c r="V1866" t="s">
        <v>166</v>
      </c>
    </row>
    <row r="1867" spans="9:22" x14ac:dyDescent="0.45">
      <c r="I1867" t="s">
        <v>196</v>
      </c>
      <c r="J1867" t="s">
        <v>372</v>
      </c>
      <c r="K1867">
        <v>0</v>
      </c>
      <c r="L1867" t="s">
        <v>166</v>
      </c>
      <c r="S1867" t="s">
        <v>237</v>
      </c>
      <c r="T1867" t="s">
        <v>372</v>
      </c>
      <c r="U1867">
        <v>6.9402026384955029E-7</v>
      </c>
      <c r="V1867" t="s">
        <v>166</v>
      </c>
    </row>
    <row r="1868" spans="9:22" x14ac:dyDescent="0.45">
      <c r="I1868" t="s">
        <v>196</v>
      </c>
      <c r="J1868" t="s">
        <v>373</v>
      </c>
      <c r="K1868">
        <v>0</v>
      </c>
      <c r="L1868" t="s">
        <v>166</v>
      </c>
      <c r="S1868" t="s">
        <v>237</v>
      </c>
      <c r="T1868" t="s">
        <v>373</v>
      </c>
      <c r="U1868">
        <v>5.8958500570498473E-8</v>
      </c>
      <c r="V1868" t="s">
        <v>166</v>
      </c>
    </row>
    <row r="1869" spans="9:22" x14ac:dyDescent="0.45">
      <c r="I1869" t="s">
        <v>196</v>
      </c>
      <c r="J1869" t="s">
        <v>374</v>
      </c>
      <c r="K1869">
        <v>0</v>
      </c>
      <c r="L1869" t="s">
        <v>166</v>
      </c>
      <c r="S1869" t="s">
        <v>237</v>
      </c>
      <c r="T1869" t="s">
        <v>374</v>
      </c>
      <c r="U1869">
        <v>4.2066330428267528E-8</v>
      </c>
      <c r="V1869" t="s">
        <v>166</v>
      </c>
    </row>
    <row r="1870" spans="9:22" x14ac:dyDescent="0.45">
      <c r="I1870" t="s">
        <v>196</v>
      </c>
      <c r="J1870" t="s">
        <v>375</v>
      </c>
      <c r="K1870">
        <v>0</v>
      </c>
      <c r="L1870" t="s">
        <v>166</v>
      </c>
      <c r="S1870" t="s">
        <v>237</v>
      </c>
      <c r="T1870" t="s">
        <v>375</v>
      </c>
      <c r="U1870">
        <v>1.2870272355415483E-6</v>
      </c>
      <c r="V1870" t="s">
        <v>166</v>
      </c>
    </row>
    <row r="1871" spans="9:22" x14ac:dyDescent="0.45">
      <c r="I1871" t="s">
        <v>196</v>
      </c>
      <c r="J1871" t="s">
        <v>376</v>
      </c>
      <c r="K1871">
        <v>0</v>
      </c>
      <c r="L1871" t="s">
        <v>166</v>
      </c>
      <c r="S1871" t="s">
        <v>237</v>
      </c>
      <c r="T1871" t="s">
        <v>376</v>
      </c>
      <c r="U1871">
        <v>3.6708255446565496E-6</v>
      </c>
      <c r="V1871" t="s">
        <v>166</v>
      </c>
    </row>
    <row r="1872" spans="9:22" x14ac:dyDescent="0.45">
      <c r="I1872" t="s">
        <v>196</v>
      </c>
      <c r="J1872" t="s">
        <v>377</v>
      </c>
      <c r="K1872">
        <v>1.441586598667963E-6</v>
      </c>
      <c r="L1872" t="s">
        <v>166</v>
      </c>
      <c r="S1872" t="s">
        <v>237</v>
      </c>
      <c r="T1872" t="s">
        <v>377</v>
      </c>
      <c r="U1872">
        <v>7.1663203721396945E-6</v>
      </c>
      <c r="V1872" t="s">
        <v>166</v>
      </c>
    </row>
    <row r="1873" spans="9:22" x14ac:dyDescent="0.45">
      <c r="I1873" t="s">
        <v>196</v>
      </c>
      <c r="J1873" t="s">
        <v>378</v>
      </c>
      <c r="K1873">
        <v>9.9667596284065167E-5</v>
      </c>
      <c r="L1873" t="s">
        <v>166</v>
      </c>
      <c r="S1873" t="s">
        <v>237</v>
      </c>
      <c r="T1873" t="s">
        <v>378</v>
      </c>
      <c r="U1873">
        <v>1.6546891957007725E-5</v>
      </c>
      <c r="V1873" t="s">
        <v>166</v>
      </c>
    </row>
    <row r="1874" spans="9:22" x14ac:dyDescent="0.45">
      <c r="I1874" t="s">
        <v>196</v>
      </c>
      <c r="J1874" t="s">
        <v>379</v>
      </c>
      <c r="K1874">
        <v>2.4099626751050419E-4</v>
      </c>
      <c r="L1874" t="s">
        <v>166</v>
      </c>
      <c r="S1874" t="s">
        <v>237</v>
      </c>
      <c r="T1874" t="s">
        <v>379</v>
      </c>
      <c r="U1874">
        <v>3.3138242228421844E-5</v>
      </c>
      <c r="V1874" t="s">
        <v>166</v>
      </c>
    </row>
    <row r="1875" spans="9:22" x14ac:dyDescent="0.45">
      <c r="I1875" t="s">
        <v>196</v>
      </c>
      <c r="J1875" t="s">
        <v>380</v>
      </c>
      <c r="K1875">
        <v>3.1320884661540635E-4</v>
      </c>
      <c r="L1875" t="s">
        <v>166</v>
      </c>
      <c r="S1875" t="s">
        <v>237</v>
      </c>
      <c r="T1875" t="s">
        <v>380</v>
      </c>
      <c r="U1875">
        <v>5.0687583993071659E-5</v>
      </c>
      <c r="V1875" t="s">
        <v>166</v>
      </c>
    </row>
    <row r="1876" spans="9:22" x14ac:dyDescent="0.45">
      <c r="I1876" t="s">
        <v>196</v>
      </c>
      <c r="J1876" t="s">
        <v>381</v>
      </c>
      <c r="K1876">
        <v>3.9154457350783602E-4</v>
      </c>
      <c r="L1876" t="s">
        <v>166</v>
      </c>
      <c r="S1876" t="s">
        <v>237</v>
      </c>
      <c r="T1876" t="s">
        <v>381</v>
      </c>
      <c r="U1876">
        <v>6.3505051701262692E-5</v>
      </c>
      <c r="V1876" t="s">
        <v>166</v>
      </c>
    </row>
    <row r="1877" spans="9:22" x14ac:dyDescent="0.45">
      <c r="I1877" t="s">
        <v>196</v>
      </c>
      <c r="J1877" t="s">
        <v>382</v>
      </c>
      <c r="K1877">
        <v>4.2191806260517459E-4</v>
      </c>
      <c r="L1877" t="s">
        <v>166</v>
      </c>
      <c r="S1877" t="s">
        <v>237</v>
      </c>
      <c r="T1877" t="s">
        <v>382</v>
      </c>
      <c r="U1877">
        <v>7.7839035509415298E-5</v>
      </c>
      <c r="V1877" t="s">
        <v>166</v>
      </c>
    </row>
    <row r="1878" spans="9:22" x14ac:dyDescent="0.45">
      <c r="I1878" t="s">
        <v>196</v>
      </c>
      <c r="J1878" t="s">
        <v>383</v>
      </c>
      <c r="K1878">
        <v>3.7042284487676466E-4</v>
      </c>
      <c r="L1878" t="s">
        <v>166</v>
      </c>
      <c r="S1878" t="s">
        <v>237</v>
      </c>
      <c r="T1878" t="s">
        <v>383</v>
      </c>
      <c r="U1878">
        <v>1.1396817290408286E-4</v>
      </c>
      <c r="V1878" t="s">
        <v>166</v>
      </c>
    </row>
    <row r="1879" spans="9:22" x14ac:dyDescent="0.45">
      <c r="I1879" t="s">
        <v>196</v>
      </c>
      <c r="J1879" t="s">
        <v>384</v>
      </c>
      <c r="K1879">
        <v>2.8324559348215513E-4</v>
      </c>
      <c r="L1879" t="s">
        <v>166</v>
      </c>
      <c r="S1879" t="s">
        <v>237</v>
      </c>
      <c r="T1879" t="s">
        <v>384</v>
      </c>
      <c r="U1879">
        <v>1.4853878060774739E-4</v>
      </c>
      <c r="V1879" t="s">
        <v>166</v>
      </c>
    </row>
    <row r="1880" spans="9:22" x14ac:dyDescent="0.45">
      <c r="I1880" t="s">
        <v>196</v>
      </c>
      <c r="J1880" t="s">
        <v>385</v>
      </c>
      <c r="K1880">
        <v>1.967090844341611E-4</v>
      </c>
      <c r="L1880" t="s">
        <v>166</v>
      </c>
      <c r="S1880" t="s">
        <v>237</v>
      </c>
      <c r="T1880" t="s">
        <v>385</v>
      </c>
      <c r="U1880">
        <v>1.7773691486885017E-4</v>
      </c>
      <c r="V1880" t="s">
        <v>166</v>
      </c>
    </row>
    <row r="1881" spans="9:22" x14ac:dyDescent="0.45">
      <c r="I1881" t="s">
        <v>196</v>
      </c>
      <c r="J1881" t="s">
        <v>386</v>
      </c>
      <c r="K1881">
        <v>2.4848165466207644E-4</v>
      </c>
      <c r="L1881" t="s">
        <v>166</v>
      </c>
      <c r="S1881" t="s">
        <v>237</v>
      </c>
      <c r="T1881" t="s">
        <v>386</v>
      </c>
      <c r="U1881">
        <v>2.6472569316716017E-4</v>
      </c>
      <c r="V1881" t="s">
        <v>166</v>
      </c>
    </row>
    <row r="1882" spans="9:22" x14ac:dyDescent="0.45">
      <c r="I1882" t="s">
        <v>196</v>
      </c>
      <c r="J1882" t="s">
        <v>387</v>
      </c>
      <c r="K1882">
        <v>1.6455883068322653E-4</v>
      </c>
      <c r="L1882" t="s">
        <v>166</v>
      </c>
      <c r="S1882" t="s">
        <v>237</v>
      </c>
      <c r="T1882" t="s">
        <v>387</v>
      </c>
      <c r="U1882">
        <v>2.7389984919048033E-4</v>
      </c>
      <c r="V1882" t="s">
        <v>166</v>
      </c>
    </row>
    <row r="1883" spans="9:22" x14ac:dyDescent="0.45">
      <c r="I1883" t="s">
        <v>196</v>
      </c>
      <c r="J1883" t="s">
        <v>388</v>
      </c>
      <c r="K1883">
        <v>4.5492109843225394E-5</v>
      </c>
      <c r="L1883" t="s">
        <v>166</v>
      </c>
      <c r="S1883" t="s">
        <v>237</v>
      </c>
      <c r="T1883" t="s">
        <v>388</v>
      </c>
      <c r="U1883">
        <v>2.9713632279087523E-4</v>
      </c>
      <c r="V1883" t="s">
        <v>166</v>
      </c>
    </row>
    <row r="1884" spans="9:22" x14ac:dyDescent="0.45">
      <c r="I1884" t="s">
        <v>196</v>
      </c>
      <c r="J1884" t="s">
        <v>389</v>
      </c>
      <c r="K1884">
        <v>0</v>
      </c>
      <c r="L1884" t="s">
        <v>166</v>
      </c>
      <c r="S1884" t="s">
        <v>237</v>
      </c>
      <c r="T1884" t="s">
        <v>389</v>
      </c>
      <c r="U1884">
        <v>3.0234087493845313E-4</v>
      </c>
      <c r="V1884" t="s">
        <v>166</v>
      </c>
    </row>
    <row r="1885" spans="9:22" x14ac:dyDescent="0.45">
      <c r="I1885" t="s">
        <v>196</v>
      </c>
      <c r="J1885" t="s">
        <v>390</v>
      </c>
      <c r="K1885">
        <v>0</v>
      </c>
      <c r="L1885" t="s">
        <v>166</v>
      </c>
      <c r="S1885" t="s">
        <v>237</v>
      </c>
      <c r="T1885" t="s">
        <v>390</v>
      </c>
      <c r="U1885">
        <v>3.0417534836672913E-4</v>
      </c>
      <c r="V1885" t="s">
        <v>166</v>
      </c>
    </row>
    <row r="1886" spans="9:22" x14ac:dyDescent="0.45">
      <c r="I1886" t="s">
        <v>196</v>
      </c>
      <c r="J1886" t="s">
        <v>391</v>
      </c>
      <c r="K1886">
        <v>0</v>
      </c>
      <c r="L1886" t="s">
        <v>166</v>
      </c>
      <c r="S1886" t="s">
        <v>237</v>
      </c>
      <c r="T1886" t="s">
        <v>391</v>
      </c>
      <c r="U1886">
        <v>3.0083317963160443E-4</v>
      </c>
      <c r="V1886" t="s">
        <v>166</v>
      </c>
    </row>
    <row r="1887" spans="9:22" x14ac:dyDescent="0.45">
      <c r="I1887" t="s">
        <v>196</v>
      </c>
      <c r="J1887" t="s">
        <v>392</v>
      </c>
      <c r="K1887">
        <v>0</v>
      </c>
      <c r="L1887" t="s">
        <v>166</v>
      </c>
      <c r="S1887" t="s">
        <v>237</v>
      </c>
      <c r="T1887" t="s">
        <v>392</v>
      </c>
      <c r="U1887">
        <v>2.959273600614413E-4</v>
      </c>
      <c r="V1887" t="s">
        <v>166</v>
      </c>
    </row>
    <row r="1888" spans="9:22" x14ac:dyDescent="0.45">
      <c r="I1888" t="s">
        <v>196</v>
      </c>
      <c r="J1888" t="s">
        <v>393</v>
      </c>
      <c r="K1888">
        <v>0</v>
      </c>
      <c r="L1888" t="s">
        <v>166</v>
      </c>
      <c r="S1888" t="s">
        <v>237</v>
      </c>
      <c r="T1888" t="s">
        <v>393</v>
      </c>
      <c r="U1888">
        <v>2.9226737749337057E-4</v>
      </c>
      <c r="V1888" t="s">
        <v>166</v>
      </c>
    </row>
    <row r="1889" spans="9:22" x14ac:dyDescent="0.45">
      <c r="I1889" t="s">
        <v>196</v>
      </c>
      <c r="J1889" t="s">
        <v>169</v>
      </c>
      <c r="K1889">
        <v>4.7535462134932274E-3</v>
      </c>
      <c r="L1889" t="s">
        <v>166</v>
      </c>
      <c r="S1889" t="s">
        <v>237</v>
      </c>
      <c r="T1889" t="s">
        <v>169</v>
      </c>
      <c r="U1889">
        <v>2.8905940474331933E-2</v>
      </c>
      <c r="V1889" t="s">
        <v>166</v>
      </c>
    </row>
    <row r="1890" spans="9:22" x14ac:dyDescent="0.45">
      <c r="I1890" t="s">
        <v>196</v>
      </c>
      <c r="J1890" t="s">
        <v>170</v>
      </c>
      <c r="K1890">
        <v>7.0645368209433053E-3</v>
      </c>
      <c r="L1890" t="s">
        <v>166</v>
      </c>
      <c r="S1890" t="s">
        <v>237</v>
      </c>
      <c r="T1890" t="s">
        <v>170</v>
      </c>
      <c r="U1890">
        <v>3.7451494300144925E-3</v>
      </c>
      <c r="V1890" t="s">
        <v>166</v>
      </c>
    </row>
    <row r="1891" spans="9:22" x14ac:dyDescent="0.45">
      <c r="I1891" t="s">
        <v>196</v>
      </c>
      <c r="J1891" t="s">
        <v>171</v>
      </c>
      <c r="K1891">
        <v>8.0781974846631341E-2</v>
      </c>
      <c r="L1891" t="s">
        <v>166</v>
      </c>
      <c r="S1891" t="s">
        <v>237</v>
      </c>
      <c r="T1891" t="s">
        <v>171</v>
      </c>
      <c r="U1891">
        <v>2.5202657822970452E-2</v>
      </c>
      <c r="V1891" t="s">
        <v>166</v>
      </c>
    </row>
    <row r="1892" spans="9:22" x14ac:dyDescent="0.45">
      <c r="I1892" t="s">
        <v>196</v>
      </c>
      <c r="J1892" t="s">
        <v>261</v>
      </c>
      <c r="K1892">
        <v>8.2925850346684746E-3</v>
      </c>
      <c r="L1892" t="s">
        <v>166</v>
      </c>
      <c r="S1892" t="s">
        <v>237</v>
      </c>
      <c r="T1892" t="s">
        <v>261</v>
      </c>
      <c r="U1892">
        <v>3.5982835970378058E-3</v>
      </c>
      <c r="V1892" t="s">
        <v>166</v>
      </c>
    </row>
    <row r="1893" spans="9:22" x14ac:dyDescent="0.45">
      <c r="I1893" t="s">
        <v>196</v>
      </c>
      <c r="J1893" t="s">
        <v>262</v>
      </c>
      <c r="K1893">
        <v>1.0840726541948538E-2</v>
      </c>
      <c r="L1893" t="s">
        <v>166</v>
      </c>
      <c r="S1893" t="s">
        <v>237</v>
      </c>
      <c r="T1893" t="s">
        <v>262</v>
      </c>
      <c r="U1893">
        <v>6.0093870604461756E-3</v>
      </c>
      <c r="V1893" t="s">
        <v>166</v>
      </c>
    </row>
    <row r="1894" spans="9:22" x14ac:dyDescent="0.45">
      <c r="I1894" t="s">
        <v>196</v>
      </c>
      <c r="J1894" t="s">
        <v>263</v>
      </c>
      <c r="K1894">
        <v>0</v>
      </c>
      <c r="L1894" t="s">
        <v>166</v>
      </c>
      <c r="S1894" t="s">
        <v>237</v>
      </c>
      <c r="T1894" t="s">
        <v>263</v>
      </c>
      <c r="U1894">
        <v>1.7067788064418811E-2</v>
      </c>
      <c r="V1894" t="s">
        <v>166</v>
      </c>
    </row>
    <row r="1895" spans="9:22" x14ac:dyDescent="0.45">
      <c r="I1895" t="s">
        <v>196</v>
      </c>
      <c r="J1895" t="s">
        <v>172</v>
      </c>
      <c r="K1895">
        <v>4.7717207834007298E-3</v>
      </c>
      <c r="L1895" t="s">
        <v>166</v>
      </c>
      <c r="S1895" t="s">
        <v>237</v>
      </c>
      <c r="T1895" t="s">
        <v>172</v>
      </c>
      <c r="U1895">
        <v>3.5726463776033189E-2</v>
      </c>
      <c r="V1895" t="s">
        <v>166</v>
      </c>
    </row>
    <row r="1896" spans="9:22" x14ac:dyDescent="0.45">
      <c r="I1896" t="s">
        <v>196</v>
      </c>
      <c r="J1896" t="s">
        <v>173</v>
      </c>
      <c r="K1896">
        <v>6.292508274247325E-3</v>
      </c>
      <c r="L1896" t="s">
        <v>166</v>
      </c>
      <c r="S1896" t="s">
        <v>237</v>
      </c>
      <c r="T1896" t="s">
        <v>173</v>
      </c>
      <c r="U1896">
        <v>4.3632313869299061E-3</v>
      </c>
      <c r="V1896" t="s">
        <v>166</v>
      </c>
    </row>
    <row r="1897" spans="9:22" x14ac:dyDescent="0.45">
      <c r="I1897" t="s">
        <v>196</v>
      </c>
      <c r="J1897" t="s">
        <v>174</v>
      </c>
      <c r="K1897">
        <v>7.0895967579775648E-2</v>
      </c>
      <c r="L1897" t="s">
        <v>166</v>
      </c>
      <c r="S1897" t="s">
        <v>237</v>
      </c>
      <c r="T1897" t="s">
        <v>174</v>
      </c>
      <c r="U1897">
        <v>3.2010252066805446E-2</v>
      </c>
      <c r="V1897" t="s">
        <v>166</v>
      </c>
    </row>
    <row r="1898" spans="9:22" x14ac:dyDescent="0.45">
      <c r="I1898" t="s">
        <v>196</v>
      </c>
      <c r="J1898" t="s">
        <v>264</v>
      </c>
      <c r="K1898">
        <v>7.7087769484007005E-3</v>
      </c>
      <c r="L1898" t="s">
        <v>166</v>
      </c>
      <c r="S1898" t="s">
        <v>237</v>
      </c>
      <c r="T1898" t="s">
        <v>264</v>
      </c>
      <c r="U1898">
        <v>4.3631406261767959E-3</v>
      </c>
      <c r="V1898" t="s">
        <v>166</v>
      </c>
    </row>
    <row r="1899" spans="9:22" x14ac:dyDescent="0.45">
      <c r="I1899" t="s">
        <v>196</v>
      </c>
      <c r="J1899" t="s">
        <v>265</v>
      </c>
      <c r="K1899">
        <v>1.0216779618452665E-2</v>
      </c>
      <c r="L1899" t="s">
        <v>166</v>
      </c>
      <c r="S1899" t="s">
        <v>237</v>
      </c>
      <c r="T1899" t="s">
        <v>265</v>
      </c>
      <c r="U1899">
        <v>7.4147503741698161E-3</v>
      </c>
      <c r="V1899" t="s">
        <v>166</v>
      </c>
    </row>
    <row r="1900" spans="9:22" x14ac:dyDescent="0.45">
      <c r="I1900" t="s">
        <v>196</v>
      </c>
      <c r="J1900" t="s">
        <v>266</v>
      </c>
      <c r="K1900">
        <v>1.0916214874156492E-3</v>
      </c>
      <c r="L1900" t="s">
        <v>166</v>
      </c>
      <c r="S1900" t="s">
        <v>237</v>
      </c>
      <c r="T1900" t="s">
        <v>266</v>
      </c>
      <c r="U1900">
        <v>1.9710383044458699E-2</v>
      </c>
      <c r="V1900" t="s">
        <v>166</v>
      </c>
    </row>
    <row r="1901" spans="9:22" x14ac:dyDescent="0.45">
      <c r="I1901" t="s">
        <v>196</v>
      </c>
      <c r="J1901" t="s">
        <v>175</v>
      </c>
      <c r="K1901">
        <v>2.3443249138227562E-3</v>
      </c>
      <c r="L1901" t="s">
        <v>166</v>
      </c>
      <c r="S1901" t="s">
        <v>237</v>
      </c>
      <c r="T1901" t="s">
        <v>175</v>
      </c>
      <c r="U1901">
        <v>2.3460471932472662E-2</v>
      </c>
      <c r="V1901" t="s">
        <v>166</v>
      </c>
    </row>
    <row r="1902" spans="9:22" x14ac:dyDescent="0.45">
      <c r="I1902" t="s">
        <v>196</v>
      </c>
      <c r="J1902" t="s">
        <v>176</v>
      </c>
      <c r="K1902">
        <v>4.7951931875596125E-3</v>
      </c>
      <c r="L1902" t="s">
        <v>166</v>
      </c>
      <c r="S1902" t="s">
        <v>237</v>
      </c>
      <c r="T1902" t="s">
        <v>176</v>
      </c>
      <c r="U1902">
        <v>2.4517451204681289E-3</v>
      </c>
      <c r="V1902" t="s">
        <v>166</v>
      </c>
    </row>
    <row r="1903" spans="9:22" x14ac:dyDescent="0.45">
      <c r="I1903" t="s">
        <v>196</v>
      </c>
      <c r="J1903" t="s">
        <v>177</v>
      </c>
      <c r="K1903">
        <v>6.5930401576414346E-2</v>
      </c>
      <c r="L1903" t="s">
        <v>166</v>
      </c>
      <c r="S1903" t="s">
        <v>237</v>
      </c>
      <c r="T1903" t="s">
        <v>177</v>
      </c>
      <c r="U1903">
        <v>1.8431175001887037E-2</v>
      </c>
      <c r="V1903" t="s">
        <v>166</v>
      </c>
    </row>
    <row r="1904" spans="9:22" x14ac:dyDescent="0.45">
      <c r="I1904" t="s">
        <v>196</v>
      </c>
      <c r="J1904" t="s">
        <v>267</v>
      </c>
      <c r="K1904">
        <v>7.0695776668312322E-3</v>
      </c>
      <c r="L1904" t="s">
        <v>166</v>
      </c>
      <c r="S1904" t="s">
        <v>237</v>
      </c>
      <c r="T1904" t="s">
        <v>267</v>
      </c>
      <c r="U1904">
        <v>2.8294999423951481E-3</v>
      </c>
      <c r="V1904" t="s">
        <v>166</v>
      </c>
    </row>
    <row r="1905" spans="9:22" x14ac:dyDescent="0.45">
      <c r="I1905" t="s">
        <v>196</v>
      </c>
      <c r="J1905" t="s">
        <v>268</v>
      </c>
      <c r="K1905">
        <v>8.1616375709078967E-3</v>
      </c>
      <c r="L1905" t="s">
        <v>166</v>
      </c>
      <c r="S1905" t="s">
        <v>237</v>
      </c>
      <c r="T1905" t="s">
        <v>268</v>
      </c>
      <c r="U1905">
        <v>4.8211561129458801E-3</v>
      </c>
      <c r="V1905" t="s">
        <v>166</v>
      </c>
    </row>
    <row r="1906" spans="9:22" x14ac:dyDescent="0.45">
      <c r="I1906" t="s">
        <v>196</v>
      </c>
      <c r="J1906" t="s">
        <v>269</v>
      </c>
      <c r="K1906">
        <v>1.4410272517893675E-3</v>
      </c>
      <c r="L1906" t="s">
        <v>166</v>
      </c>
      <c r="S1906" t="s">
        <v>237</v>
      </c>
      <c r="T1906" t="s">
        <v>269</v>
      </c>
      <c r="U1906">
        <v>1.3784648367798769E-2</v>
      </c>
      <c r="V1906" t="s">
        <v>166</v>
      </c>
    </row>
    <row r="1907" spans="9:22" x14ac:dyDescent="0.45">
      <c r="I1907" t="s">
        <v>196</v>
      </c>
      <c r="J1907" t="s">
        <v>270</v>
      </c>
      <c r="K1907">
        <v>2.984461575320836E-3</v>
      </c>
      <c r="L1907" t="s">
        <v>166</v>
      </c>
      <c r="S1907" t="s">
        <v>237</v>
      </c>
      <c r="T1907" t="s">
        <v>270</v>
      </c>
      <c r="U1907">
        <v>1.8576413863696462E-2</v>
      </c>
      <c r="V1907" t="s">
        <v>166</v>
      </c>
    </row>
    <row r="1908" spans="9:22" x14ac:dyDescent="0.45">
      <c r="I1908" t="s">
        <v>196</v>
      </c>
      <c r="J1908" t="s">
        <v>271</v>
      </c>
      <c r="K1908">
        <v>5.9496990317584666E-3</v>
      </c>
      <c r="L1908" t="s">
        <v>166</v>
      </c>
      <c r="S1908" t="s">
        <v>237</v>
      </c>
      <c r="T1908" t="s">
        <v>271</v>
      </c>
      <c r="U1908">
        <v>1.9453784907141297E-3</v>
      </c>
      <c r="V1908" t="s">
        <v>166</v>
      </c>
    </row>
    <row r="1909" spans="9:22" x14ac:dyDescent="0.45">
      <c r="I1909" t="s">
        <v>196</v>
      </c>
      <c r="J1909" t="s">
        <v>272</v>
      </c>
      <c r="K1909">
        <v>7.0956706101944475E-2</v>
      </c>
      <c r="L1909" t="s">
        <v>166</v>
      </c>
      <c r="S1909" t="s">
        <v>237</v>
      </c>
      <c r="T1909" t="s">
        <v>272</v>
      </c>
      <c r="U1909">
        <v>1.3771481881416707E-2</v>
      </c>
      <c r="V1909" t="s">
        <v>166</v>
      </c>
    </row>
    <row r="1910" spans="9:22" x14ac:dyDescent="0.45">
      <c r="I1910" t="s">
        <v>196</v>
      </c>
      <c r="J1910" t="s">
        <v>273</v>
      </c>
      <c r="K1910">
        <v>7.2095010230692237E-3</v>
      </c>
      <c r="L1910" t="s">
        <v>166</v>
      </c>
      <c r="S1910" t="s">
        <v>237</v>
      </c>
      <c r="T1910" t="s">
        <v>273</v>
      </c>
      <c r="U1910">
        <v>1.8122818168640747E-3</v>
      </c>
      <c r="V1910" t="s">
        <v>166</v>
      </c>
    </row>
    <row r="1911" spans="9:22" x14ac:dyDescent="0.45">
      <c r="I1911" t="s">
        <v>196</v>
      </c>
      <c r="J1911" t="s">
        <v>274</v>
      </c>
      <c r="K1911">
        <v>8.2470079023646992E-3</v>
      </c>
      <c r="L1911" t="s">
        <v>166</v>
      </c>
      <c r="S1911" t="s">
        <v>237</v>
      </c>
      <c r="T1911" t="s">
        <v>274</v>
      </c>
      <c r="U1911">
        <v>3.6512316455123289E-3</v>
      </c>
      <c r="V1911" t="s">
        <v>166</v>
      </c>
    </row>
    <row r="1912" spans="9:22" x14ac:dyDescent="0.45">
      <c r="I1912" t="s">
        <v>196</v>
      </c>
      <c r="J1912" t="s">
        <v>275</v>
      </c>
      <c r="K1912">
        <v>2.8533821925462216E-7</v>
      </c>
      <c r="L1912" t="s">
        <v>166</v>
      </c>
      <c r="S1912" t="s">
        <v>237</v>
      </c>
      <c r="T1912" t="s">
        <v>275</v>
      </c>
      <c r="U1912">
        <v>1.1108835701834059E-2</v>
      </c>
      <c r="V1912" t="s">
        <v>166</v>
      </c>
    </row>
    <row r="1913" spans="9:22" x14ac:dyDescent="0.45">
      <c r="I1913" t="s">
        <v>196</v>
      </c>
      <c r="J1913" t="s">
        <v>276</v>
      </c>
      <c r="K1913">
        <v>5.3367163940605854E-3</v>
      </c>
      <c r="L1913" t="s">
        <v>166</v>
      </c>
      <c r="S1913" t="s">
        <v>237</v>
      </c>
      <c r="T1913" t="s">
        <v>276</v>
      </c>
      <c r="U1913">
        <v>6.0243372293111053E-2</v>
      </c>
      <c r="V1913" t="s">
        <v>166</v>
      </c>
    </row>
    <row r="1914" spans="9:22" x14ac:dyDescent="0.45">
      <c r="I1914" t="s">
        <v>196</v>
      </c>
      <c r="J1914" t="s">
        <v>277</v>
      </c>
      <c r="K1914">
        <v>1.0046139232114339E-2</v>
      </c>
      <c r="L1914" t="s">
        <v>166</v>
      </c>
      <c r="S1914" t="s">
        <v>237</v>
      </c>
      <c r="T1914" t="s">
        <v>277</v>
      </c>
      <c r="U1914">
        <v>8.1826115488723723E-3</v>
      </c>
      <c r="V1914" t="s">
        <v>166</v>
      </c>
    </row>
    <row r="1915" spans="9:22" x14ac:dyDescent="0.45">
      <c r="I1915" t="s">
        <v>196</v>
      </c>
      <c r="J1915" t="s">
        <v>278</v>
      </c>
      <c r="K1915">
        <v>0.11382207476150349</v>
      </c>
      <c r="L1915" t="s">
        <v>166</v>
      </c>
      <c r="S1915" t="s">
        <v>237</v>
      </c>
      <c r="T1915" t="s">
        <v>278</v>
      </c>
      <c r="U1915">
        <v>5.1144916721677994E-2</v>
      </c>
      <c r="V1915" t="s">
        <v>166</v>
      </c>
    </row>
    <row r="1916" spans="9:22" x14ac:dyDescent="0.45">
      <c r="I1916" t="s">
        <v>196</v>
      </c>
      <c r="J1916" t="s">
        <v>279</v>
      </c>
      <c r="K1916">
        <v>1.2282771028224298E-2</v>
      </c>
      <c r="L1916" t="s">
        <v>166</v>
      </c>
      <c r="S1916" t="s">
        <v>237</v>
      </c>
      <c r="T1916" t="s">
        <v>279</v>
      </c>
      <c r="U1916">
        <v>6.3689675539731119E-3</v>
      </c>
      <c r="V1916" t="s">
        <v>166</v>
      </c>
    </row>
    <row r="1917" spans="9:22" x14ac:dyDescent="0.45">
      <c r="I1917" t="s">
        <v>196</v>
      </c>
      <c r="J1917" t="s">
        <v>280</v>
      </c>
      <c r="K1917">
        <v>1.1961744232388043E-2</v>
      </c>
      <c r="L1917" t="s">
        <v>166</v>
      </c>
      <c r="S1917" t="s">
        <v>237</v>
      </c>
      <c r="T1917" t="s">
        <v>280</v>
      </c>
      <c r="U1917">
        <v>1.1550667552838007E-2</v>
      </c>
      <c r="V1917" t="s">
        <v>166</v>
      </c>
    </row>
    <row r="1918" spans="9:22" x14ac:dyDescent="0.45">
      <c r="I1918" t="s">
        <v>196</v>
      </c>
      <c r="J1918" t="s">
        <v>281</v>
      </c>
      <c r="K1918">
        <v>0</v>
      </c>
      <c r="L1918" t="s">
        <v>166</v>
      </c>
      <c r="S1918" t="s">
        <v>237</v>
      </c>
      <c r="T1918" t="s">
        <v>281</v>
      </c>
      <c r="U1918">
        <v>3.3497672515182098E-2</v>
      </c>
      <c r="V1918" t="s">
        <v>166</v>
      </c>
    </row>
    <row r="1919" spans="9:22" x14ac:dyDescent="0.45">
      <c r="I1919" t="s">
        <v>196</v>
      </c>
      <c r="J1919" t="s">
        <v>282</v>
      </c>
      <c r="K1919">
        <v>1.1087435624105172E-3</v>
      </c>
      <c r="L1919" t="s">
        <v>166</v>
      </c>
      <c r="S1919" t="s">
        <v>237</v>
      </c>
      <c r="T1919" t="s">
        <v>282</v>
      </c>
      <c r="U1919">
        <v>4.0618029216532625E-2</v>
      </c>
      <c r="V1919" t="s">
        <v>166</v>
      </c>
    </row>
    <row r="1920" spans="9:22" x14ac:dyDescent="0.45">
      <c r="I1920" t="s">
        <v>196</v>
      </c>
      <c r="J1920" t="s">
        <v>283</v>
      </c>
      <c r="K1920">
        <v>2.4971287297368468E-3</v>
      </c>
      <c r="L1920" t="s">
        <v>166</v>
      </c>
      <c r="S1920" t="s">
        <v>237</v>
      </c>
      <c r="T1920" t="s">
        <v>283</v>
      </c>
      <c r="U1920">
        <v>5.7169444533597047E-3</v>
      </c>
      <c r="V1920" t="s">
        <v>166</v>
      </c>
    </row>
    <row r="1921" spans="9:22" x14ac:dyDescent="0.45">
      <c r="I1921" t="s">
        <v>196</v>
      </c>
      <c r="J1921" t="s">
        <v>284</v>
      </c>
      <c r="K1921">
        <v>4.0385162530911234E-2</v>
      </c>
      <c r="L1921" t="s">
        <v>166</v>
      </c>
      <c r="S1921" t="s">
        <v>237</v>
      </c>
      <c r="T1921" t="s">
        <v>284</v>
      </c>
      <c r="U1921">
        <v>3.5382521434584015E-2</v>
      </c>
      <c r="V1921" t="s">
        <v>166</v>
      </c>
    </row>
    <row r="1922" spans="9:22" x14ac:dyDescent="0.45">
      <c r="I1922" t="s">
        <v>196</v>
      </c>
      <c r="J1922" t="s">
        <v>285</v>
      </c>
      <c r="K1922">
        <v>4.2013099825515673E-3</v>
      </c>
      <c r="L1922" t="s">
        <v>166</v>
      </c>
      <c r="S1922" t="s">
        <v>237</v>
      </c>
      <c r="T1922" t="s">
        <v>285</v>
      </c>
      <c r="U1922">
        <v>4.4352272846742953E-3</v>
      </c>
      <c r="V1922" t="s">
        <v>166</v>
      </c>
    </row>
    <row r="1923" spans="9:22" x14ac:dyDescent="0.45">
      <c r="I1923" t="s">
        <v>196</v>
      </c>
      <c r="J1923" t="s">
        <v>286</v>
      </c>
      <c r="K1923">
        <v>2.5784993527443985E-3</v>
      </c>
      <c r="L1923" t="s">
        <v>166</v>
      </c>
      <c r="S1923" t="s">
        <v>237</v>
      </c>
      <c r="T1923" t="s">
        <v>286</v>
      </c>
      <c r="U1923">
        <v>7.1754431373744999E-3</v>
      </c>
      <c r="V1923" t="s">
        <v>166</v>
      </c>
    </row>
    <row r="1924" spans="9:22" x14ac:dyDescent="0.45">
      <c r="I1924" t="s">
        <v>196</v>
      </c>
      <c r="J1924" t="s">
        <v>287</v>
      </c>
      <c r="K1924">
        <v>0</v>
      </c>
      <c r="L1924" t="s">
        <v>166</v>
      </c>
      <c r="S1924" t="s">
        <v>237</v>
      </c>
      <c r="T1924" t="s">
        <v>287</v>
      </c>
      <c r="U1924">
        <v>2.1525514782155072E-2</v>
      </c>
      <c r="V1924" t="s">
        <v>166</v>
      </c>
    </row>
    <row r="1925" spans="9:22" x14ac:dyDescent="0.45">
      <c r="I1925" t="s">
        <v>196</v>
      </c>
      <c r="J1925" t="s">
        <v>288</v>
      </c>
      <c r="K1925">
        <v>1.2010668730833794E-3</v>
      </c>
      <c r="L1925" t="s">
        <v>166</v>
      </c>
      <c r="S1925" t="s">
        <v>237</v>
      </c>
      <c r="T1925" t="s">
        <v>288</v>
      </c>
      <c r="U1925">
        <v>4.0144910826712836E-2</v>
      </c>
      <c r="V1925" t="s">
        <v>166</v>
      </c>
    </row>
    <row r="1926" spans="9:22" x14ac:dyDescent="0.45">
      <c r="I1926" t="s">
        <v>196</v>
      </c>
      <c r="J1926" t="s">
        <v>289</v>
      </c>
      <c r="K1926">
        <v>5.5834972100944451E-3</v>
      </c>
      <c r="L1926" t="s">
        <v>166</v>
      </c>
      <c r="S1926" t="s">
        <v>237</v>
      </c>
      <c r="T1926" t="s">
        <v>289</v>
      </c>
      <c r="U1926">
        <v>5.1550213209269275E-3</v>
      </c>
      <c r="V1926" t="s">
        <v>166</v>
      </c>
    </row>
    <row r="1927" spans="9:22" x14ac:dyDescent="0.45">
      <c r="I1927" t="s">
        <v>196</v>
      </c>
      <c r="J1927" t="s">
        <v>290</v>
      </c>
      <c r="K1927">
        <v>6.9883877622480287E-2</v>
      </c>
      <c r="L1927" t="s">
        <v>166</v>
      </c>
      <c r="S1927" t="s">
        <v>237</v>
      </c>
      <c r="T1927" t="s">
        <v>290</v>
      </c>
      <c r="U1927">
        <v>3.1154176413585234E-2</v>
      </c>
      <c r="V1927" t="s">
        <v>166</v>
      </c>
    </row>
    <row r="1928" spans="9:22" x14ac:dyDescent="0.45">
      <c r="I1928" t="s">
        <v>196</v>
      </c>
      <c r="J1928" t="s">
        <v>291</v>
      </c>
      <c r="K1928">
        <v>7.7038546338338851E-3</v>
      </c>
      <c r="L1928" t="s">
        <v>166</v>
      </c>
      <c r="S1928" t="s">
        <v>237</v>
      </c>
      <c r="T1928" t="s">
        <v>291</v>
      </c>
      <c r="U1928">
        <v>3.6620458419708434E-3</v>
      </c>
      <c r="V1928" t="s">
        <v>166</v>
      </c>
    </row>
    <row r="1929" spans="9:22" x14ac:dyDescent="0.45">
      <c r="I1929" t="s">
        <v>196</v>
      </c>
      <c r="J1929" t="s">
        <v>292</v>
      </c>
      <c r="K1929">
        <v>5.3035232496564701E-3</v>
      </c>
      <c r="L1929" t="s">
        <v>166</v>
      </c>
      <c r="S1929" t="s">
        <v>237</v>
      </c>
      <c r="T1929" t="s">
        <v>292</v>
      </c>
      <c r="U1929">
        <v>5.9571452102586209E-3</v>
      </c>
      <c r="V1929" t="s">
        <v>166</v>
      </c>
    </row>
    <row r="1930" spans="9:22" x14ac:dyDescent="0.45">
      <c r="I1930" t="s">
        <v>196</v>
      </c>
      <c r="J1930" t="s">
        <v>293</v>
      </c>
      <c r="K1930">
        <v>0</v>
      </c>
      <c r="L1930" t="s">
        <v>166</v>
      </c>
      <c r="S1930" t="s">
        <v>237</v>
      </c>
      <c r="T1930" t="s">
        <v>293</v>
      </c>
      <c r="U1930">
        <v>1.899001093942914E-2</v>
      </c>
      <c r="V1930" t="s">
        <v>166</v>
      </c>
    </row>
    <row r="1931" spans="9:22" x14ac:dyDescent="0.45">
      <c r="I1931" t="s">
        <v>197</v>
      </c>
      <c r="J1931" t="s">
        <v>165</v>
      </c>
      <c r="K1931">
        <v>4.547285329731623E-3</v>
      </c>
      <c r="L1931" t="s">
        <v>166</v>
      </c>
      <c r="S1931" t="s">
        <v>238</v>
      </c>
      <c r="T1931" t="s">
        <v>165</v>
      </c>
      <c r="U1931">
        <v>9.2370860279143457E-2</v>
      </c>
      <c r="V1931" t="s">
        <v>166</v>
      </c>
    </row>
    <row r="1932" spans="9:22" x14ac:dyDescent="0.45">
      <c r="I1932" t="s">
        <v>197</v>
      </c>
      <c r="J1932" t="s">
        <v>167</v>
      </c>
      <c r="K1932">
        <v>1.2957411728920299E-2</v>
      </c>
      <c r="L1932" t="s">
        <v>166</v>
      </c>
      <c r="S1932" t="s">
        <v>238</v>
      </c>
      <c r="T1932" t="s">
        <v>167</v>
      </c>
      <c r="U1932">
        <v>1.0897606421242316E-2</v>
      </c>
      <c r="V1932" t="s">
        <v>166</v>
      </c>
    </row>
    <row r="1933" spans="9:22" x14ac:dyDescent="0.45">
      <c r="I1933" t="s">
        <v>197</v>
      </c>
      <c r="J1933" t="s">
        <v>168</v>
      </c>
      <c r="K1933">
        <v>0.24371283263669188</v>
      </c>
      <c r="L1933" t="s">
        <v>166</v>
      </c>
      <c r="S1933" t="s">
        <v>238</v>
      </c>
      <c r="T1933" t="s">
        <v>168</v>
      </c>
      <c r="U1933">
        <v>7.8906114632124824E-2</v>
      </c>
      <c r="V1933" t="s">
        <v>166</v>
      </c>
    </row>
    <row r="1934" spans="9:22" x14ac:dyDescent="0.45">
      <c r="I1934" t="s">
        <v>197</v>
      </c>
      <c r="J1934" t="s">
        <v>258</v>
      </c>
      <c r="K1934">
        <v>2.922553779307998E-2</v>
      </c>
      <c r="L1934" t="s">
        <v>166</v>
      </c>
      <c r="S1934" t="s">
        <v>238</v>
      </c>
      <c r="T1934" t="s">
        <v>258</v>
      </c>
      <c r="U1934">
        <v>1.3340498412510964E-2</v>
      </c>
      <c r="V1934" t="s">
        <v>166</v>
      </c>
    </row>
    <row r="1935" spans="9:22" x14ac:dyDescent="0.45">
      <c r="I1935" t="s">
        <v>197</v>
      </c>
      <c r="J1935" t="s">
        <v>259</v>
      </c>
      <c r="K1935">
        <v>3.5806874355849484E-2</v>
      </c>
      <c r="L1935" t="s">
        <v>166</v>
      </c>
      <c r="S1935" t="s">
        <v>238</v>
      </c>
      <c r="T1935" t="s">
        <v>259</v>
      </c>
      <c r="U1935">
        <v>2.7753793414560975E-2</v>
      </c>
      <c r="V1935" t="s">
        <v>166</v>
      </c>
    </row>
    <row r="1936" spans="9:22" x14ac:dyDescent="0.45">
      <c r="I1936" t="s">
        <v>197</v>
      </c>
      <c r="J1936" t="s">
        <v>260</v>
      </c>
      <c r="K1936">
        <v>0</v>
      </c>
      <c r="L1936" t="s">
        <v>166</v>
      </c>
      <c r="S1936" t="s">
        <v>238</v>
      </c>
      <c r="T1936" t="s">
        <v>260</v>
      </c>
      <c r="U1936">
        <v>7.4093211376615703E-2</v>
      </c>
      <c r="V1936" t="s">
        <v>166</v>
      </c>
    </row>
    <row r="1937" spans="9:22" x14ac:dyDescent="0.45">
      <c r="I1937" t="s">
        <v>197</v>
      </c>
      <c r="J1937" t="s">
        <v>346</v>
      </c>
      <c r="K1937">
        <v>0</v>
      </c>
      <c r="L1937" t="s">
        <v>166</v>
      </c>
      <c r="S1937" t="s">
        <v>238</v>
      </c>
      <c r="T1937" t="s">
        <v>346</v>
      </c>
      <c r="U1937">
        <v>2.5062098381858173E-5</v>
      </c>
      <c r="V1937" t="s">
        <v>166</v>
      </c>
    </row>
    <row r="1938" spans="9:22" x14ac:dyDescent="0.45">
      <c r="I1938" t="s">
        <v>197</v>
      </c>
      <c r="J1938" t="s">
        <v>347</v>
      </c>
      <c r="K1938">
        <v>0</v>
      </c>
      <c r="L1938" t="s">
        <v>166</v>
      </c>
      <c r="S1938" t="s">
        <v>238</v>
      </c>
      <c r="T1938" t="s">
        <v>347</v>
      </c>
      <c r="U1938">
        <v>3.0273024017361491E-5</v>
      </c>
      <c r="V1938" t="s">
        <v>166</v>
      </c>
    </row>
    <row r="1939" spans="9:22" x14ac:dyDescent="0.45">
      <c r="I1939" t="s">
        <v>197</v>
      </c>
      <c r="J1939" t="s">
        <v>348</v>
      </c>
      <c r="K1939">
        <v>0</v>
      </c>
      <c r="L1939" t="s">
        <v>166</v>
      </c>
      <c r="S1939" t="s">
        <v>238</v>
      </c>
      <c r="T1939" t="s">
        <v>348</v>
      </c>
      <c r="U1939">
        <v>3.0605975560260676E-5</v>
      </c>
      <c r="V1939" t="s">
        <v>166</v>
      </c>
    </row>
    <row r="1940" spans="9:22" x14ac:dyDescent="0.45">
      <c r="I1940" t="s">
        <v>197</v>
      </c>
      <c r="J1940" t="s">
        <v>349</v>
      </c>
      <c r="K1940">
        <v>0</v>
      </c>
      <c r="L1940" t="s">
        <v>166</v>
      </c>
      <c r="S1940" t="s">
        <v>238</v>
      </c>
      <c r="T1940" t="s">
        <v>349</v>
      </c>
      <c r="U1940">
        <v>3.0015487126207393E-5</v>
      </c>
      <c r="V1940" t="s">
        <v>166</v>
      </c>
    </row>
    <row r="1941" spans="9:22" x14ac:dyDescent="0.45">
      <c r="I1941" t="s">
        <v>197</v>
      </c>
      <c r="J1941" t="s">
        <v>350</v>
      </c>
      <c r="K1941">
        <v>0</v>
      </c>
      <c r="L1941" t="s">
        <v>166</v>
      </c>
      <c r="S1941" t="s">
        <v>238</v>
      </c>
      <c r="T1941" t="s">
        <v>350</v>
      </c>
      <c r="U1941">
        <v>2.9203332317592103E-5</v>
      </c>
      <c r="V1941" t="s">
        <v>166</v>
      </c>
    </row>
    <row r="1942" spans="9:22" x14ac:dyDescent="0.45">
      <c r="I1942" t="s">
        <v>197</v>
      </c>
      <c r="J1942" t="s">
        <v>351</v>
      </c>
      <c r="K1942">
        <v>0</v>
      </c>
      <c r="L1942" t="s">
        <v>166</v>
      </c>
      <c r="S1942" t="s">
        <v>238</v>
      </c>
      <c r="T1942" t="s">
        <v>351</v>
      </c>
      <c r="U1942">
        <v>3.0989215541360189E-5</v>
      </c>
      <c r="V1942" t="s">
        <v>166</v>
      </c>
    </row>
    <row r="1943" spans="9:22" x14ac:dyDescent="0.45">
      <c r="I1943" t="s">
        <v>197</v>
      </c>
      <c r="J1943" t="s">
        <v>352</v>
      </c>
      <c r="K1943">
        <v>0</v>
      </c>
      <c r="L1943" t="s">
        <v>166</v>
      </c>
      <c r="S1943" t="s">
        <v>238</v>
      </c>
      <c r="T1943" t="s">
        <v>352</v>
      </c>
      <c r="U1943">
        <v>3.6219854440261694E-5</v>
      </c>
      <c r="V1943" t="s">
        <v>166</v>
      </c>
    </row>
    <row r="1944" spans="9:22" x14ac:dyDescent="0.45">
      <c r="I1944" t="s">
        <v>197</v>
      </c>
      <c r="J1944" t="s">
        <v>353</v>
      </c>
      <c r="K1944">
        <v>0</v>
      </c>
      <c r="L1944" t="s">
        <v>166</v>
      </c>
      <c r="S1944" t="s">
        <v>238</v>
      </c>
      <c r="T1944" t="s">
        <v>353</v>
      </c>
      <c r="U1944">
        <v>3.9393503414132998E-5</v>
      </c>
      <c r="V1944" t="s">
        <v>166</v>
      </c>
    </row>
    <row r="1945" spans="9:22" x14ac:dyDescent="0.45">
      <c r="I1945" t="s">
        <v>197</v>
      </c>
      <c r="J1945" t="s">
        <v>354</v>
      </c>
      <c r="K1945">
        <v>7.0062986832250598E-6</v>
      </c>
      <c r="L1945" t="s">
        <v>166</v>
      </c>
      <c r="S1945" t="s">
        <v>238</v>
      </c>
      <c r="T1945" t="s">
        <v>354</v>
      </c>
      <c r="U1945">
        <v>3.8622606233198885E-5</v>
      </c>
      <c r="V1945" t="s">
        <v>166</v>
      </c>
    </row>
    <row r="1946" spans="9:22" x14ac:dyDescent="0.45">
      <c r="I1946" t="s">
        <v>197</v>
      </c>
      <c r="J1946" t="s">
        <v>355</v>
      </c>
      <c r="K1946">
        <v>4.0466749607185665E-5</v>
      </c>
      <c r="L1946" t="s">
        <v>166</v>
      </c>
      <c r="S1946" t="s">
        <v>238</v>
      </c>
      <c r="T1946" t="s">
        <v>355</v>
      </c>
      <c r="U1946">
        <v>4.1011027526364967E-5</v>
      </c>
      <c r="V1946" t="s">
        <v>166</v>
      </c>
    </row>
    <row r="1947" spans="9:22" x14ac:dyDescent="0.45">
      <c r="I1947" t="s">
        <v>197</v>
      </c>
      <c r="J1947" t="s">
        <v>356</v>
      </c>
      <c r="K1947">
        <v>9.9292779151591442E-5</v>
      </c>
      <c r="L1947" t="s">
        <v>166</v>
      </c>
      <c r="S1947" t="s">
        <v>238</v>
      </c>
      <c r="T1947" t="s">
        <v>356</v>
      </c>
      <c r="U1947">
        <v>3.9211911040812222E-5</v>
      </c>
      <c r="V1947" t="s">
        <v>166</v>
      </c>
    </row>
    <row r="1948" spans="9:22" x14ac:dyDescent="0.45">
      <c r="I1948" t="s">
        <v>197</v>
      </c>
      <c r="J1948" t="s">
        <v>357</v>
      </c>
      <c r="K1948">
        <v>1.5071594390492275E-4</v>
      </c>
      <c r="L1948" t="s">
        <v>166</v>
      </c>
      <c r="S1948" t="s">
        <v>238</v>
      </c>
      <c r="T1948" t="s">
        <v>357</v>
      </c>
      <c r="U1948">
        <v>3.7903854430654138E-5</v>
      </c>
      <c r="V1948" t="s">
        <v>166</v>
      </c>
    </row>
    <row r="1949" spans="9:22" x14ac:dyDescent="0.45">
      <c r="I1949" t="s">
        <v>197</v>
      </c>
      <c r="J1949" t="s">
        <v>358</v>
      </c>
      <c r="K1949">
        <v>1.8152501389390145E-4</v>
      </c>
      <c r="L1949" t="s">
        <v>166</v>
      </c>
      <c r="S1949" t="s">
        <v>238</v>
      </c>
      <c r="T1949" t="s">
        <v>358</v>
      </c>
      <c r="U1949">
        <v>3.4329351284865464E-5</v>
      </c>
      <c r="V1949" t="s">
        <v>166</v>
      </c>
    </row>
    <row r="1950" spans="9:22" x14ac:dyDescent="0.45">
      <c r="I1950" t="s">
        <v>197</v>
      </c>
      <c r="J1950" t="s">
        <v>359</v>
      </c>
      <c r="K1950">
        <v>1.8279030210369496E-4</v>
      </c>
      <c r="L1950" t="s">
        <v>166</v>
      </c>
      <c r="S1950" t="s">
        <v>238</v>
      </c>
      <c r="T1950" t="s">
        <v>359</v>
      </c>
      <c r="U1950">
        <v>3.1002533435446144E-5</v>
      </c>
      <c r="V1950" t="s">
        <v>166</v>
      </c>
    </row>
    <row r="1951" spans="9:22" x14ac:dyDescent="0.45">
      <c r="I1951" t="s">
        <v>197</v>
      </c>
      <c r="J1951" t="s">
        <v>360</v>
      </c>
      <c r="K1951">
        <v>2.2397609554240298E-4</v>
      </c>
      <c r="L1951" t="s">
        <v>166</v>
      </c>
      <c r="S1951" t="s">
        <v>238</v>
      </c>
      <c r="T1951" t="s">
        <v>360</v>
      </c>
      <c r="U1951">
        <v>2.516362085931736E-5</v>
      </c>
      <c r="V1951" t="s">
        <v>166</v>
      </c>
    </row>
    <row r="1952" spans="9:22" x14ac:dyDescent="0.45">
      <c r="I1952" t="s">
        <v>197</v>
      </c>
      <c r="J1952" t="s">
        <v>361</v>
      </c>
      <c r="K1952">
        <v>1.9114395843770595E-4</v>
      </c>
      <c r="L1952" t="s">
        <v>166</v>
      </c>
      <c r="S1952" t="s">
        <v>238</v>
      </c>
      <c r="T1952" t="s">
        <v>361</v>
      </c>
      <c r="U1952">
        <v>1.7935781944099742E-5</v>
      </c>
      <c r="V1952" t="s">
        <v>166</v>
      </c>
    </row>
    <row r="1953" spans="9:22" x14ac:dyDescent="0.45">
      <c r="I1953" t="s">
        <v>197</v>
      </c>
      <c r="J1953" t="s">
        <v>362</v>
      </c>
      <c r="K1953">
        <v>1.3471987976185088E-4</v>
      </c>
      <c r="L1953" t="s">
        <v>166</v>
      </c>
      <c r="S1953" t="s">
        <v>238</v>
      </c>
      <c r="T1953" t="s">
        <v>362</v>
      </c>
      <c r="U1953">
        <v>1.2689567193427545E-5</v>
      </c>
      <c r="V1953" t="s">
        <v>166</v>
      </c>
    </row>
    <row r="1954" spans="9:22" x14ac:dyDescent="0.45">
      <c r="I1954" t="s">
        <v>197</v>
      </c>
      <c r="J1954" t="s">
        <v>363</v>
      </c>
      <c r="K1954">
        <v>8.65872513306562E-5</v>
      </c>
      <c r="L1954" t="s">
        <v>166</v>
      </c>
      <c r="S1954" t="s">
        <v>238</v>
      </c>
      <c r="T1954" t="s">
        <v>363</v>
      </c>
      <c r="U1954">
        <v>1.7053416447850652E-5</v>
      </c>
      <c r="V1954" t="s">
        <v>166</v>
      </c>
    </row>
    <row r="1955" spans="9:22" x14ac:dyDescent="0.45">
      <c r="I1955" t="s">
        <v>197</v>
      </c>
      <c r="J1955" t="s">
        <v>364</v>
      </c>
      <c r="K1955">
        <v>6.9559740325093888E-5</v>
      </c>
      <c r="L1955" t="s">
        <v>166</v>
      </c>
      <c r="S1955" t="s">
        <v>238</v>
      </c>
      <c r="T1955" t="s">
        <v>364</v>
      </c>
      <c r="U1955">
        <v>1.9153821370673436E-5</v>
      </c>
      <c r="V1955" t="s">
        <v>166</v>
      </c>
    </row>
    <row r="1956" spans="9:22" x14ac:dyDescent="0.45">
      <c r="I1956" t="s">
        <v>197</v>
      </c>
      <c r="J1956" t="s">
        <v>365</v>
      </c>
      <c r="K1956">
        <v>0</v>
      </c>
      <c r="L1956" t="s">
        <v>166</v>
      </c>
      <c r="S1956" t="s">
        <v>238</v>
      </c>
      <c r="T1956" t="s">
        <v>365</v>
      </c>
      <c r="U1956">
        <v>1.7685138835177154E-5</v>
      </c>
      <c r="V1956" t="s">
        <v>166</v>
      </c>
    </row>
    <row r="1957" spans="9:22" x14ac:dyDescent="0.45">
      <c r="I1957" t="s">
        <v>197</v>
      </c>
      <c r="J1957" t="s">
        <v>366</v>
      </c>
      <c r="K1957">
        <v>0</v>
      </c>
      <c r="L1957" t="s">
        <v>166</v>
      </c>
      <c r="S1957" t="s">
        <v>238</v>
      </c>
      <c r="T1957" t="s">
        <v>366</v>
      </c>
      <c r="U1957">
        <v>1.2979370015666155E-5</v>
      </c>
      <c r="V1957" t="s">
        <v>166</v>
      </c>
    </row>
    <row r="1958" spans="9:22" x14ac:dyDescent="0.45">
      <c r="I1958" t="s">
        <v>197</v>
      </c>
      <c r="J1958" t="s">
        <v>367</v>
      </c>
      <c r="K1958">
        <v>0</v>
      </c>
      <c r="L1958" t="s">
        <v>166</v>
      </c>
      <c r="S1958" t="s">
        <v>238</v>
      </c>
      <c r="T1958" t="s">
        <v>367</v>
      </c>
      <c r="U1958">
        <v>9.32230769018058E-6</v>
      </c>
      <c r="V1958" t="s">
        <v>166</v>
      </c>
    </row>
    <row r="1959" spans="9:22" x14ac:dyDescent="0.45">
      <c r="I1959" t="s">
        <v>197</v>
      </c>
      <c r="J1959" t="s">
        <v>368</v>
      </c>
      <c r="K1959">
        <v>0</v>
      </c>
      <c r="L1959" t="s">
        <v>166</v>
      </c>
      <c r="S1959" t="s">
        <v>238</v>
      </c>
      <c r="T1959" t="s">
        <v>368</v>
      </c>
      <c r="U1959">
        <v>8.0264620136396627E-6</v>
      </c>
      <c r="V1959" t="s">
        <v>166</v>
      </c>
    </row>
    <row r="1960" spans="9:22" x14ac:dyDescent="0.45">
      <c r="I1960" t="s">
        <v>197</v>
      </c>
      <c r="J1960" t="s">
        <v>369</v>
      </c>
      <c r="K1960">
        <v>0</v>
      </c>
      <c r="L1960" t="s">
        <v>166</v>
      </c>
      <c r="S1960" t="s">
        <v>238</v>
      </c>
      <c r="T1960" t="s">
        <v>369</v>
      </c>
      <c r="U1960">
        <v>7.442483770399352E-6</v>
      </c>
      <c r="V1960" t="s">
        <v>166</v>
      </c>
    </row>
    <row r="1961" spans="9:22" x14ac:dyDescent="0.45">
      <c r="I1961" t="s">
        <v>197</v>
      </c>
      <c r="J1961" t="s">
        <v>370</v>
      </c>
      <c r="K1961">
        <v>0</v>
      </c>
      <c r="L1961" t="s">
        <v>166</v>
      </c>
      <c r="S1961" t="s">
        <v>238</v>
      </c>
      <c r="T1961" t="s">
        <v>370</v>
      </c>
      <c r="U1961">
        <v>1.4755193609817651E-4</v>
      </c>
      <c r="V1961" t="s">
        <v>166</v>
      </c>
    </row>
    <row r="1962" spans="9:22" x14ac:dyDescent="0.45">
      <c r="I1962" t="s">
        <v>197</v>
      </c>
      <c r="J1962" t="s">
        <v>371</v>
      </c>
      <c r="K1962">
        <v>0</v>
      </c>
      <c r="L1962" t="s">
        <v>166</v>
      </c>
      <c r="S1962" t="s">
        <v>238</v>
      </c>
      <c r="T1962" t="s">
        <v>371</v>
      </c>
      <c r="U1962">
        <v>1.2931298759644849E-4</v>
      </c>
      <c r="V1962" t="s">
        <v>166</v>
      </c>
    </row>
    <row r="1963" spans="9:22" x14ac:dyDescent="0.45">
      <c r="I1963" t="s">
        <v>197</v>
      </c>
      <c r="J1963" t="s">
        <v>372</v>
      </c>
      <c r="K1963">
        <v>0</v>
      </c>
      <c r="L1963" t="s">
        <v>166</v>
      </c>
      <c r="S1963" t="s">
        <v>238</v>
      </c>
      <c r="T1963" t="s">
        <v>372</v>
      </c>
      <c r="U1963">
        <v>1.1069876942742011E-4</v>
      </c>
      <c r="V1963" t="s">
        <v>166</v>
      </c>
    </row>
    <row r="1964" spans="9:22" x14ac:dyDescent="0.45">
      <c r="I1964" t="s">
        <v>197</v>
      </c>
      <c r="J1964" t="s">
        <v>373</v>
      </c>
      <c r="K1964">
        <v>0</v>
      </c>
      <c r="L1964" t="s">
        <v>166</v>
      </c>
      <c r="S1964" t="s">
        <v>238</v>
      </c>
      <c r="T1964" t="s">
        <v>373</v>
      </c>
      <c r="U1964">
        <v>9.3905663281327123E-5</v>
      </c>
      <c r="V1964" t="s">
        <v>166</v>
      </c>
    </row>
    <row r="1965" spans="9:22" x14ac:dyDescent="0.45">
      <c r="I1965" t="s">
        <v>197</v>
      </c>
      <c r="J1965" t="s">
        <v>374</v>
      </c>
      <c r="K1965">
        <v>0</v>
      </c>
      <c r="L1965" t="s">
        <v>166</v>
      </c>
      <c r="S1965" t="s">
        <v>238</v>
      </c>
      <c r="T1965" t="s">
        <v>374</v>
      </c>
      <c r="U1965">
        <v>9.0515450818833825E-5</v>
      </c>
      <c r="V1965" t="s">
        <v>166</v>
      </c>
    </row>
    <row r="1966" spans="9:22" x14ac:dyDescent="0.45">
      <c r="I1966" t="s">
        <v>197</v>
      </c>
      <c r="J1966" t="s">
        <v>375</v>
      </c>
      <c r="K1966">
        <v>0</v>
      </c>
      <c r="L1966" t="s">
        <v>166</v>
      </c>
      <c r="S1966" t="s">
        <v>238</v>
      </c>
      <c r="T1966" t="s">
        <v>375</v>
      </c>
      <c r="U1966">
        <v>8.2117239984648541E-5</v>
      </c>
      <c r="V1966" t="s">
        <v>166</v>
      </c>
    </row>
    <row r="1967" spans="9:22" x14ac:dyDescent="0.45">
      <c r="I1967" t="s">
        <v>197</v>
      </c>
      <c r="J1967" t="s">
        <v>376</v>
      </c>
      <c r="K1967">
        <v>0</v>
      </c>
      <c r="L1967" t="s">
        <v>166</v>
      </c>
      <c r="S1967" t="s">
        <v>238</v>
      </c>
      <c r="T1967" t="s">
        <v>376</v>
      </c>
      <c r="U1967">
        <v>6.7335480131309675E-5</v>
      </c>
      <c r="V1967" t="s">
        <v>166</v>
      </c>
    </row>
    <row r="1968" spans="9:22" x14ac:dyDescent="0.45">
      <c r="I1968" t="s">
        <v>197</v>
      </c>
      <c r="J1968" t="s">
        <v>377</v>
      </c>
      <c r="K1968">
        <v>0</v>
      </c>
      <c r="L1968" t="s">
        <v>166</v>
      </c>
      <c r="S1968" t="s">
        <v>238</v>
      </c>
      <c r="T1968" t="s">
        <v>377</v>
      </c>
      <c r="U1968">
        <v>4.7754515160396543E-5</v>
      </c>
      <c r="V1968" t="s">
        <v>166</v>
      </c>
    </row>
    <row r="1969" spans="9:22" x14ac:dyDescent="0.45">
      <c r="I1969" t="s">
        <v>197</v>
      </c>
      <c r="J1969" t="s">
        <v>378</v>
      </c>
      <c r="K1969">
        <v>1.2363752918358832E-4</v>
      </c>
      <c r="L1969" t="s">
        <v>166</v>
      </c>
      <c r="S1969" t="s">
        <v>238</v>
      </c>
      <c r="T1969" t="s">
        <v>378</v>
      </c>
      <c r="U1969">
        <v>3.7885062145876221E-5</v>
      </c>
      <c r="V1969" t="s">
        <v>166</v>
      </c>
    </row>
    <row r="1970" spans="9:22" x14ac:dyDescent="0.45">
      <c r="I1970" t="s">
        <v>197</v>
      </c>
      <c r="J1970" t="s">
        <v>379</v>
      </c>
      <c r="K1970">
        <v>2.5389063074535769E-4</v>
      </c>
      <c r="L1970" t="s">
        <v>166</v>
      </c>
      <c r="S1970" t="s">
        <v>238</v>
      </c>
      <c r="T1970" t="s">
        <v>379</v>
      </c>
      <c r="U1970">
        <v>3.3303293465826641E-5</v>
      </c>
      <c r="V1970" t="s">
        <v>166</v>
      </c>
    </row>
    <row r="1971" spans="9:22" x14ac:dyDescent="0.45">
      <c r="I1971" t="s">
        <v>197</v>
      </c>
      <c r="J1971" t="s">
        <v>380</v>
      </c>
      <c r="K1971">
        <v>3.7163271922380453E-4</v>
      </c>
      <c r="L1971" t="s">
        <v>166</v>
      </c>
      <c r="S1971" t="s">
        <v>238</v>
      </c>
      <c r="T1971" t="s">
        <v>380</v>
      </c>
      <c r="U1971">
        <v>3.2888071963878054E-5</v>
      </c>
      <c r="V1971" t="s">
        <v>166</v>
      </c>
    </row>
    <row r="1972" spans="9:22" x14ac:dyDescent="0.45">
      <c r="I1972" t="s">
        <v>197</v>
      </c>
      <c r="J1972" t="s">
        <v>381</v>
      </c>
      <c r="K1972">
        <v>4.158473781863619E-4</v>
      </c>
      <c r="L1972" t="s">
        <v>166</v>
      </c>
      <c r="S1972" t="s">
        <v>238</v>
      </c>
      <c r="T1972" t="s">
        <v>381</v>
      </c>
      <c r="U1972">
        <v>3.8290404350648885E-5</v>
      </c>
      <c r="V1972" t="s">
        <v>166</v>
      </c>
    </row>
    <row r="1973" spans="9:22" x14ac:dyDescent="0.45">
      <c r="I1973" t="s">
        <v>197</v>
      </c>
      <c r="J1973" t="s">
        <v>382</v>
      </c>
      <c r="K1973">
        <v>4.1085907335430431E-4</v>
      </c>
      <c r="L1973" t="s">
        <v>166</v>
      </c>
      <c r="S1973" t="s">
        <v>238</v>
      </c>
      <c r="T1973" t="s">
        <v>382</v>
      </c>
      <c r="U1973">
        <v>4.0463720053037671E-5</v>
      </c>
      <c r="V1973" t="s">
        <v>166</v>
      </c>
    </row>
    <row r="1974" spans="9:22" x14ac:dyDescent="0.45">
      <c r="I1974" t="s">
        <v>197</v>
      </c>
      <c r="J1974" t="s">
        <v>383</v>
      </c>
      <c r="K1974">
        <v>3.6668582849131147E-4</v>
      </c>
      <c r="L1974" t="s">
        <v>166</v>
      </c>
      <c r="S1974" t="s">
        <v>238</v>
      </c>
      <c r="T1974" t="s">
        <v>383</v>
      </c>
      <c r="U1974">
        <v>2.9844800202633018E-5</v>
      </c>
      <c r="V1974" t="s">
        <v>166</v>
      </c>
    </row>
    <row r="1975" spans="9:22" x14ac:dyDescent="0.45">
      <c r="I1975" t="s">
        <v>197</v>
      </c>
      <c r="J1975" t="s">
        <v>384</v>
      </c>
      <c r="K1975">
        <v>3.5523489426196267E-4</v>
      </c>
      <c r="L1975" t="s">
        <v>166</v>
      </c>
      <c r="S1975" t="s">
        <v>238</v>
      </c>
      <c r="T1975" t="s">
        <v>384</v>
      </c>
      <c r="U1975">
        <v>2.6710808373243114E-5</v>
      </c>
      <c r="V1975" t="s">
        <v>166</v>
      </c>
    </row>
    <row r="1976" spans="9:22" x14ac:dyDescent="0.45">
      <c r="I1976" t="s">
        <v>197</v>
      </c>
      <c r="J1976" t="s">
        <v>385</v>
      </c>
      <c r="K1976">
        <v>2.700594980077376E-4</v>
      </c>
      <c r="L1976" t="s">
        <v>166</v>
      </c>
      <c r="S1976" t="s">
        <v>238</v>
      </c>
      <c r="T1976" t="s">
        <v>385</v>
      </c>
      <c r="U1976">
        <v>4.3631994108436021E-5</v>
      </c>
      <c r="V1976" t="s">
        <v>166</v>
      </c>
    </row>
    <row r="1977" spans="9:22" x14ac:dyDescent="0.45">
      <c r="I1977" t="s">
        <v>197</v>
      </c>
      <c r="J1977" t="s">
        <v>386</v>
      </c>
      <c r="K1977">
        <v>2.8669676877638567E-4</v>
      </c>
      <c r="L1977" t="s">
        <v>166</v>
      </c>
      <c r="S1977" t="s">
        <v>238</v>
      </c>
      <c r="T1977" t="s">
        <v>386</v>
      </c>
      <c r="U1977">
        <v>7.8101047715972737E-5</v>
      </c>
      <c r="V1977" t="s">
        <v>166</v>
      </c>
    </row>
    <row r="1978" spans="9:22" x14ac:dyDescent="0.45">
      <c r="I1978" t="s">
        <v>197</v>
      </c>
      <c r="J1978" t="s">
        <v>387</v>
      </c>
      <c r="K1978">
        <v>2.2474132353816534E-4</v>
      </c>
      <c r="L1978" t="s">
        <v>166</v>
      </c>
      <c r="S1978" t="s">
        <v>238</v>
      </c>
      <c r="T1978" t="s">
        <v>387</v>
      </c>
      <c r="U1978">
        <v>8.9477043708175667E-5</v>
      </c>
      <c r="V1978" t="s">
        <v>166</v>
      </c>
    </row>
    <row r="1979" spans="9:22" x14ac:dyDescent="0.45">
      <c r="I1979" t="s">
        <v>197</v>
      </c>
      <c r="J1979" t="s">
        <v>388</v>
      </c>
      <c r="K1979">
        <v>5.8793982283921457E-5</v>
      </c>
      <c r="L1979" t="s">
        <v>166</v>
      </c>
      <c r="S1979" t="s">
        <v>238</v>
      </c>
      <c r="T1979" t="s">
        <v>388</v>
      </c>
      <c r="U1979">
        <v>1.0393708396482015E-4</v>
      </c>
      <c r="V1979" t="s">
        <v>166</v>
      </c>
    </row>
    <row r="1980" spans="9:22" x14ac:dyDescent="0.45">
      <c r="I1980" t="s">
        <v>197</v>
      </c>
      <c r="J1980" t="s">
        <v>389</v>
      </c>
      <c r="K1980">
        <v>0</v>
      </c>
      <c r="L1980" t="s">
        <v>166</v>
      </c>
      <c r="S1980" t="s">
        <v>238</v>
      </c>
      <c r="T1980" t="s">
        <v>389</v>
      </c>
      <c r="U1980">
        <v>9.1702291127836042E-5</v>
      </c>
      <c r="V1980" t="s">
        <v>166</v>
      </c>
    </row>
    <row r="1981" spans="9:22" x14ac:dyDescent="0.45">
      <c r="I1981" t="s">
        <v>197</v>
      </c>
      <c r="J1981" t="s">
        <v>390</v>
      </c>
      <c r="K1981">
        <v>0</v>
      </c>
      <c r="L1981" t="s">
        <v>166</v>
      </c>
      <c r="S1981" t="s">
        <v>238</v>
      </c>
      <c r="T1981" t="s">
        <v>390</v>
      </c>
      <c r="U1981">
        <v>8.5228626287011622E-5</v>
      </c>
      <c r="V1981" t="s">
        <v>166</v>
      </c>
    </row>
    <row r="1982" spans="9:22" x14ac:dyDescent="0.45">
      <c r="I1982" t="s">
        <v>197</v>
      </c>
      <c r="J1982" t="s">
        <v>391</v>
      </c>
      <c r="K1982">
        <v>0</v>
      </c>
      <c r="L1982" t="s">
        <v>166</v>
      </c>
      <c r="S1982" t="s">
        <v>238</v>
      </c>
      <c r="T1982" t="s">
        <v>391</v>
      </c>
      <c r="U1982">
        <v>8.8971157841636556E-5</v>
      </c>
      <c r="V1982" t="s">
        <v>166</v>
      </c>
    </row>
    <row r="1983" spans="9:22" x14ac:dyDescent="0.45">
      <c r="I1983" t="s">
        <v>197</v>
      </c>
      <c r="J1983" t="s">
        <v>392</v>
      </c>
      <c r="K1983">
        <v>0</v>
      </c>
      <c r="L1983" t="s">
        <v>166</v>
      </c>
      <c r="S1983" t="s">
        <v>238</v>
      </c>
      <c r="T1983" t="s">
        <v>392</v>
      </c>
      <c r="U1983">
        <v>9.8879486776183909E-5</v>
      </c>
      <c r="V1983" t="s">
        <v>166</v>
      </c>
    </row>
    <row r="1984" spans="9:22" x14ac:dyDescent="0.45">
      <c r="I1984" t="s">
        <v>197</v>
      </c>
      <c r="J1984" t="s">
        <v>393</v>
      </c>
      <c r="K1984">
        <v>0</v>
      </c>
      <c r="L1984" t="s">
        <v>166</v>
      </c>
      <c r="S1984" t="s">
        <v>238</v>
      </c>
      <c r="T1984" t="s">
        <v>393</v>
      </c>
      <c r="U1984">
        <v>9.7261677023358859E-5</v>
      </c>
      <c r="V1984" t="s">
        <v>166</v>
      </c>
    </row>
    <row r="1985" spans="9:22" x14ac:dyDescent="0.45">
      <c r="I1985" t="s">
        <v>197</v>
      </c>
      <c r="J1985" t="s">
        <v>169</v>
      </c>
      <c r="K1985">
        <v>3.3909000948263946E-3</v>
      </c>
      <c r="L1985" t="s">
        <v>166</v>
      </c>
      <c r="S1985" t="s">
        <v>238</v>
      </c>
      <c r="T1985" t="s">
        <v>169</v>
      </c>
      <c r="U1985">
        <v>2.0984840947277723E-2</v>
      </c>
      <c r="V1985" t="s">
        <v>166</v>
      </c>
    </row>
    <row r="1986" spans="9:22" x14ac:dyDescent="0.45">
      <c r="I1986" t="s">
        <v>197</v>
      </c>
      <c r="J1986" t="s">
        <v>170</v>
      </c>
      <c r="K1986">
        <v>6.3347085315733683E-3</v>
      </c>
      <c r="L1986" t="s">
        <v>166</v>
      </c>
      <c r="S1986" t="s">
        <v>238</v>
      </c>
      <c r="T1986" t="s">
        <v>170</v>
      </c>
      <c r="U1986">
        <v>1.9133561772784811E-3</v>
      </c>
      <c r="V1986" t="s">
        <v>166</v>
      </c>
    </row>
    <row r="1987" spans="9:22" x14ac:dyDescent="0.45">
      <c r="I1987" t="s">
        <v>197</v>
      </c>
      <c r="J1987" t="s">
        <v>171</v>
      </c>
      <c r="K1987">
        <v>7.831506434593502E-2</v>
      </c>
      <c r="L1987" t="s">
        <v>166</v>
      </c>
      <c r="S1987" t="s">
        <v>238</v>
      </c>
      <c r="T1987" t="s">
        <v>171</v>
      </c>
      <c r="U1987">
        <v>1.0809069961421822E-2</v>
      </c>
      <c r="V1987" t="s">
        <v>166</v>
      </c>
    </row>
    <row r="1988" spans="9:22" x14ac:dyDescent="0.45">
      <c r="I1988" t="s">
        <v>197</v>
      </c>
      <c r="J1988" t="s">
        <v>261</v>
      </c>
      <c r="K1988">
        <v>7.9919345889306881E-3</v>
      </c>
      <c r="L1988" t="s">
        <v>166</v>
      </c>
      <c r="S1988" t="s">
        <v>238</v>
      </c>
      <c r="T1988" t="s">
        <v>261</v>
      </c>
      <c r="U1988">
        <v>2.0003410068762861E-3</v>
      </c>
      <c r="V1988" t="s">
        <v>166</v>
      </c>
    </row>
    <row r="1989" spans="9:22" x14ac:dyDescent="0.45">
      <c r="I1989" t="s">
        <v>197</v>
      </c>
      <c r="J1989" t="s">
        <v>262</v>
      </c>
      <c r="K1989">
        <v>9.2247624721832778E-3</v>
      </c>
      <c r="L1989" t="s">
        <v>166</v>
      </c>
      <c r="S1989" t="s">
        <v>238</v>
      </c>
      <c r="T1989" t="s">
        <v>262</v>
      </c>
      <c r="U1989">
        <v>4.5867086973116278E-3</v>
      </c>
      <c r="V1989" t="s">
        <v>166</v>
      </c>
    </row>
    <row r="1990" spans="9:22" x14ac:dyDescent="0.45">
      <c r="I1990" t="s">
        <v>197</v>
      </c>
      <c r="J1990" t="s">
        <v>263</v>
      </c>
      <c r="K1990">
        <v>5.8492713816708923E-5</v>
      </c>
      <c r="L1990" t="s">
        <v>166</v>
      </c>
      <c r="S1990" t="s">
        <v>238</v>
      </c>
      <c r="T1990" t="s">
        <v>263</v>
      </c>
      <c r="U1990">
        <v>1.8326087034523611E-2</v>
      </c>
      <c r="V1990" t="s">
        <v>166</v>
      </c>
    </row>
    <row r="1991" spans="9:22" x14ac:dyDescent="0.45">
      <c r="I1991" t="s">
        <v>197</v>
      </c>
      <c r="J1991" t="s">
        <v>172</v>
      </c>
      <c r="K1991">
        <v>3.7504118808646346E-3</v>
      </c>
      <c r="L1991" t="s">
        <v>166</v>
      </c>
      <c r="S1991" t="s">
        <v>238</v>
      </c>
      <c r="T1991" t="s">
        <v>172</v>
      </c>
      <c r="U1991">
        <v>3.1788509155154999E-2</v>
      </c>
      <c r="V1991" t="s">
        <v>166</v>
      </c>
    </row>
    <row r="1992" spans="9:22" x14ac:dyDescent="0.45">
      <c r="I1992" t="s">
        <v>197</v>
      </c>
      <c r="J1992" t="s">
        <v>173</v>
      </c>
      <c r="K1992">
        <v>5.8500357096861249E-3</v>
      </c>
      <c r="L1992" t="s">
        <v>166</v>
      </c>
      <c r="S1992" t="s">
        <v>238</v>
      </c>
      <c r="T1992" t="s">
        <v>173</v>
      </c>
      <c r="U1992">
        <v>3.3606905616478822E-3</v>
      </c>
      <c r="V1992" t="s">
        <v>166</v>
      </c>
    </row>
    <row r="1993" spans="9:22" x14ac:dyDescent="0.45">
      <c r="I1993" t="s">
        <v>197</v>
      </c>
      <c r="J1993" t="s">
        <v>174</v>
      </c>
      <c r="K1993">
        <v>6.9421591865225063E-2</v>
      </c>
      <c r="L1993" t="s">
        <v>166</v>
      </c>
      <c r="S1993" t="s">
        <v>238</v>
      </c>
      <c r="T1993" t="s">
        <v>174</v>
      </c>
      <c r="U1993">
        <v>2.3098950102014668E-2</v>
      </c>
      <c r="V1993" t="s">
        <v>166</v>
      </c>
    </row>
    <row r="1994" spans="9:22" x14ac:dyDescent="0.45">
      <c r="I1994" t="s">
        <v>197</v>
      </c>
      <c r="J1994" t="s">
        <v>264</v>
      </c>
      <c r="K1994">
        <v>7.1974470240799351E-3</v>
      </c>
      <c r="L1994" t="s">
        <v>166</v>
      </c>
      <c r="S1994" t="s">
        <v>238</v>
      </c>
      <c r="T1994" t="s">
        <v>264</v>
      </c>
      <c r="U1994">
        <v>3.8168243957441813E-3</v>
      </c>
      <c r="V1994" t="s">
        <v>166</v>
      </c>
    </row>
    <row r="1995" spans="9:22" x14ac:dyDescent="0.45">
      <c r="I1995" t="s">
        <v>197</v>
      </c>
      <c r="J1995" t="s">
        <v>265</v>
      </c>
      <c r="K1995">
        <v>8.6249483733009374E-3</v>
      </c>
      <c r="L1995" t="s">
        <v>166</v>
      </c>
      <c r="S1995" t="s">
        <v>238</v>
      </c>
      <c r="T1995" t="s">
        <v>265</v>
      </c>
      <c r="U1995">
        <v>6.7701568966887869E-3</v>
      </c>
      <c r="V1995" t="s">
        <v>166</v>
      </c>
    </row>
    <row r="1996" spans="9:22" x14ac:dyDescent="0.45">
      <c r="I1996" t="s">
        <v>197</v>
      </c>
      <c r="J1996" t="s">
        <v>266</v>
      </c>
      <c r="K1996">
        <v>1.8463411978041533E-3</v>
      </c>
      <c r="L1996" t="s">
        <v>166</v>
      </c>
      <c r="S1996" t="s">
        <v>238</v>
      </c>
      <c r="T1996" t="s">
        <v>266</v>
      </c>
      <c r="U1996">
        <v>2.2272093903713101E-2</v>
      </c>
      <c r="V1996" t="s">
        <v>166</v>
      </c>
    </row>
    <row r="1997" spans="9:22" x14ac:dyDescent="0.45">
      <c r="I1997" t="s">
        <v>197</v>
      </c>
      <c r="J1997" t="s">
        <v>175</v>
      </c>
      <c r="K1997">
        <v>1.6323120367591982E-3</v>
      </c>
      <c r="L1997" t="s">
        <v>166</v>
      </c>
      <c r="S1997" t="s">
        <v>238</v>
      </c>
      <c r="T1997" t="s">
        <v>175</v>
      </c>
      <c r="U1997">
        <v>2.4724307362735364E-2</v>
      </c>
      <c r="V1997" t="s">
        <v>166</v>
      </c>
    </row>
    <row r="1998" spans="9:22" x14ac:dyDescent="0.45">
      <c r="I1998" t="s">
        <v>197</v>
      </c>
      <c r="J1998" t="s">
        <v>176</v>
      </c>
      <c r="K1998">
        <v>4.1271511468375602E-3</v>
      </c>
      <c r="L1998" t="s">
        <v>166</v>
      </c>
      <c r="S1998" t="s">
        <v>238</v>
      </c>
      <c r="T1998" t="s">
        <v>176</v>
      </c>
      <c r="U1998">
        <v>2.3725206069081487E-3</v>
      </c>
      <c r="V1998" t="s">
        <v>166</v>
      </c>
    </row>
    <row r="1999" spans="9:22" x14ac:dyDescent="0.45">
      <c r="I1999" t="s">
        <v>197</v>
      </c>
      <c r="J1999" t="s">
        <v>177</v>
      </c>
      <c r="K1999">
        <v>6.1033766090173407E-2</v>
      </c>
      <c r="L1999" t="s">
        <v>166</v>
      </c>
      <c r="S1999" t="s">
        <v>238</v>
      </c>
      <c r="T1999" t="s">
        <v>177</v>
      </c>
      <c r="U1999">
        <v>1.3609458205207474E-2</v>
      </c>
      <c r="V1999" t="s">
        <v>166</v>
      </c>
    </row>
    <row r="2000" spans="9:22" x14ac:dyDescent="0.45">
      <c r="I2000" t="s">
        <v>197</v>
      </c>
      <c r="J2000" t="s">
        <v>267</v>
      </c>
      <c r="K2000">
        <v>5.4976243259049398E-3</v>
      </c>
      <c r="L2000" t="s">
        <v>166</v>
      </c>
      <c r="S2000" t="s">
        <v>238</v>
      </c>
      <c r="T2000" t="s">
        <v>267</v>
      </c>
      <c r="U2000">
        <v>2.4550927261527372E-3</v>
      </c>
      <c r="V2000" t="s">
        <v>166</v>
      </c>
    </row>
    <row r="2001" spans="9:22" x14ac:dyDescent="0.45">
      <c r="I2001" t="s">
        <v>197</v>
      </c>
      <c r="J2001" t="s">
        <v>268</v>
      </c>
      <c r="K2001">
        <v>5.6841097958760002E-3</v>
      </c>
      <c r="L2001" t="s">
        <v>166</v>
      </c>
      <c r="S2001" t="s">
        <v>238</v>
      </c>
      <c r="T2001" t="s">
        <v>268</v>
      </c>
      <c r="U2001">
        <v>5.1070487571499385E-3</v>
      </c>
      <c r="V2001" t="s">
        <v>166</v>
      </c>
    </row>
    <row r="2002" spans="9:22" x14ac:dyDescent="0.45">
      <c r="I2002" t="s">
        <v>197</v>
      </c>
      <c r="J2002" t="s">
        <v>269</v>
      </c>
      <c r="K2002">
        <v>9.1851628139145048E-4</v>
      </c>
      <c r="L2002" t="s">
        <v>166</v>
      </c>
      <c r="S2002" t="s">
        <v>238</v>
      </c>
      <c r="T2002" t="s">
        <v>269</v>
      </c>
      <c r="U2002">
        <v>1.7925673866318884E-2</v>
      </c>
      <c r="V2002" t="s">
        <v>166</v>
      </c>
    </row>
    <row r="2003" spans="9:22" x14ac:dyDescent="0.45">
      <c r="I2003" t="s">
        <v>197</v>
      </c>
      <c r="J2003" t="s">
        <v>270</v>
      </c>
      <c r="K2003">
        <v>1.9965838995093864E-3</v>
      </c>
      <c r="L2003" t="s">
        <v>166</v>
      </c>
      <c r="S2003" t="s">
        <v>238</v>
      </c>
      <c r="T2003" t="s">
        <v>270</v>
      </c>
      <c r="U2003">
        <v>4.0977689779253458E-2</v>
      </c>
      <c r="V2003" t="s">
        <v>166</v>
      </c>
    </row>
    <row r="2004" spans="9:22" x14ac:dyDescent="0.45">
      <c r="I2004" t="s">
        <v>197</v>
      </c>
      <c r="J2004" t="s">
        <v>271</v>
      </c>
      <c r="K2004">
        <v>4.8862445127735334E-3</v>
      </c>
      <c r="L2004" t="s">
        <v>166</v>
      </c>
      <c r="S2004" t="s">
        <v>238</v>
      </c>
      <c r="T2004" t="s">
        <v>271</v>
      </c>
      <c r="U2004">
        <v>4.9189388571440808E-3</v>
      </c>
      <c r="V2004" t="s">
        <v>166</v>
      </c>
    </row>
    <row r="2005" spans="9:22" x14ac:dyDescent="0.45">
      <c r="I2005" t="s">
        <v>197</v>
      </c>
      <c r="J2005" t="s">
        <v>272</v>
      </c>
      <c r="K2005">
        <v>6.8156771341673555E-2</v>
      </c>
      <c r="L2005" t="s">
        <v>166</v>
      </c>
      <c r="S2005" t="s">
        <v>238</v>
      </c>
      <c r="T2005" t="s">
        <v>272</v>
      </c>
      <c r="U2005">
        <v>2.9575660946095914E-2</v>
      </c>
      <c r="V2005" t="s">
        <v>166</v>
      </c>
    </row>
    <row r="2006" spans="9:22" x14ac:dyDescent="0.45">
      <c r="I2006" t="s">
        <v>197</v>
      </c>
      <c r="J2006" t="s">
        <v>273</v>
      </c>
      <c r="K2006">
        <v>6.9310865169431458E-3</v>
      </c>
      <c r="L2006" t="s">
        <v>166</v>
      </c>
      <c r="S2006" t="s">
        <v>238</v>
      </c>
      <c r="T2006" t="s">
        <v>273</v>
      </c>
      <c r="U2006">
        <v>3.4896601180727251E-3</v>
      </c>
      <c r="V2006" t="s">
        <v>166</v>
      </c>
    </row>
    <row r="2007" spans="9:22" x14ac:dyDescent="0.45">
      <c r="I2007" t="s">
        <v>197</v>
      </c>
      <c r="J2007" t="s">
        <v>274</v>
      </c>
      <c r="K2007">
        <v>7.4414989535482355E-3</v>
      </c>
      <c r="L2007" t="s">
        <v>166</v>
      </c>
      <c r="S2007" t="s">
        <v>238</v>
      </c>
      <c r="T2007" t="s">
        <v>274</v>
      </c>
      <c r="U2007">
        <v>6.8689435837456791E-3</v>
      </c>
      <c r="V2007" t="s">
        <v>166</v>
      </c>
    </row>
    <row r="2008" spans="9:22" x14ac:dyDescent="0.45">
      <c r="I2008" t="s">
        <v>197</v>
      </c>
      <c r="J2008" t="s">
        <v>275</v>
      </c>
      <c r="K2008">
        <v>2.1621121000803059E-4</v>
      </c>
      <c r="L2008" t="s">
        <v>166</v>
      </c>
      <c r="S2008" t="s">
        <v>238</v>
      </c>
      <c r="T2008" t="s">
        <v>275</v>
      </c>
      <c r="U2008">
        <v>2.2600028305579452E-2</v>
      </c>
      <c r="V2008" t="s">
        <v>166</v>
      </c>
    </row>
    <row r="2009" spans="9:22" x14ac:dyDescent="0.45">
      <c r="I2009" t="s">
        <v>197</v>
      </c>
      <c r="J2009" t="s">
        <v>276</v>
      </c>
      <c r="K2009">
        <v>4.400728531267729E-3</v>
      </c>
      <c r="L2009" t="s">
        <v>166</v>
      </c>
      <c r="S2009" t="s">
        <v>238</v>
      </c>
      <c r="T2009" t="s">
        <v>276</v>
      </c>
      <c r="U2009">
        <v>4.6259013835088458E-2</v>
      </c>
      <c r="V2009" t="s">
        <v>166</v>
      </c>
    </row>
    <row r="2010" spans="9:22" x14ac:dyDescent="0.45">
      <c r="I2010" t="s">
        <v>197</v>
      </c>
      <c r="J2010" t="s">
        <v>277</v>
      </c>
      <c r="K2010">
        <v>9.1545445025392694E-3</v>
      </c>
      <c r="L2010" t="s">
        <v>166</v>
      </c>
      <c r="S2010" t="s">
        <v>238</v>
      </c>
      <c r="T2010" t="s">
        <v>277</v>
      </c>
      <c r="U2010">
        <v>5.917819091215264E-3</v>
      </c>
      <c r="V2010" t="s">
        <v>166</v>
      </c>
    </row>
    <row r="2011" spans="9:22" x14ac:dyDescent="0.45">
      <c r="I2011" t="s">
        <v>197</v>
      </c>
      <c r="J2011" t="s">
        <v>278</v>
      </c>
      <c r="K2011">
        <v>0.11482092625495022</v>
      </c>
      <c r="L2011" t="s">
        <v>166</v>
      </c>
      <c r="S2011" t="s">
        <v>238</v>
      </c>
      <c r="T2011" t="s">
        <v>278</v>
      </c>
      <c r="U2011">
        <v>4.0726216459632689E-2</v>
      </c>
      <c r="V2011" t="s">
        <v>166</v>
      </c>
    </row>
    <row r="2012" spans="9:22" x14ac:dyDescent="0.45">
      <c r="I2012" t="s">
        <v>197</v>
      </c>
      <c r="J2012" t="s">
        <v>279</v>
      </c>
      <c r="K2012">
        <v>1.1876025791966435E-2</v>
      </c>
      <c r="L2012" t="s">
        <v>166</v>
      </c>
      <c r="S2012" t="s">
        <v>238</v>
      </c>
      <c r="T2012" t="s">
        <v>279</v>
      </c>
      <c r="U2012">
        <v>5.6922383580841592E-3</v>
      </c>
      <c r="V2012" t="s">
        <v>166</v>
      </c>
    </row>
    <row r="2013" spans="9:22" x14ac:dyDescent="0.45">
      <c r="I2013" t="s">
        <v>197</v>
      </c>
      <c r="J2013" t="s">
        <v>280</v>
      </c>
      <c r="K2013">
        <v>1.3118242563791932E-2</v>
      </c>
      <c r="L2013" t="s">
        <v>166</v>
      </c>
      <c r="S2013" t="s">
        <v>238</v>
      </c>
      <c r="T2013" t="s">
        <v>280</v>
      </c>
      <c r="U2013">
        <v>1.0900281820325477E-2</v>
      </c>
      <c r="V2013" t="s">
        <v>166</v>
      </c>
    </row>
    <row r="2014" spans="9:22" x14ac:dyDescent="0.45">
      <c r="I2014" t="s">
        <v>197</v>
      </c>
      <c r="J2014" t="s">
        <v>281</v>
      </c>
      <c r="K2014">
        <v>0</v>
      </c>
      <c r="L2014" t="s">
        <v>166</v>
      </c>
      <c r="S2014" t="s">
        <v>238</v>
      </c>
      <c r="T2014" t="s">
        <v>281</v>
      </c>
      <c r="U2014">
        <v>2.9155757268363378E-2</v>
      </c>
      <c r="V2014" t="s">
        <v>166</v>
      </c>
    </row>
    <row r="2015" spans="9:22" x14ac:dyDescent="0.45">
      <c r="I2015" t="s">
        <v>197</v>
      </c>
      <c r="J2015" t="s">
        <v>282</v>
      </c>
      <c r="K2015">
        <v>8.9192587526137554E-4</v>
      </c>
      <c r="L2015" t="s">
        <v>166</v>
      </c>
      <c r="S2015" t="s">
        <v>238</v>
      </c>
      <c r="T2015" t="s">
        <v>282</v>
      </c>
      <c r="U2015">
        <v>3.8550475509995186E-2</v>
      </c>
      <c r="V2015" t="s">
        <v>166</v>
      </c>
    </row>
    <row r="2016" spans="9:22" x14ac:dyDescent="0.45">
      <c r="I2016" t="s">
        <v>197</v>
      </c>
      <c r="J2016" t="s">
        <v>283</v>
      </c>
      <c r="K2016">
        <v>2.2090321617691164E-3</v>
      </c>
      <c r="L2016" t="s">
        <v>166</v>
      </c>
      <c r="S2016" t="s">
        <v>238</v>
      </c>
      <c r="T2016" t="s">
        <v>283</v>
      </c>
      <c r="U2016">
        <v>5.3189787992630883E-3</v>
      </c>
      <c r="V2016" t="s">
        <v>166</v>
      </c>
    </row>
    <row r="2017" spans="9:22" x14ac:dyDescent="0.45">
      <c r="I2017" t="s">
        <v>197</v>
      </c>
      <c r="J2017" t="s">
        <v>284</v>
      </c>
      <c r="K2017">
        <v>3.9455389758597012E-2</v>
      </c>
      <c r="L2017" t="s">
        <v>166</v>
      </c>
      <c r="S2017" t="s">
        <v>238</v>
      </c>
      <c r="T2017" t="s">
        <v>284</v>
      </c>
      <c r="U2017">
        <v>3.6251074198353515E-2</v>
      </c>
      <c r="V2017" t="s">
        <v>166</v>
      </c>
    </row>
    <row r="2018" spans="9:22" x14ac:dyDescent="0.45">
      <c r="I2018" t="s">
        <v>197</v>
      </c>
      <c r="J2018" t="s">
        <v>285</v>
      </c>
      <c r="K2018">
        <v>3.8051982549872159E-3</v>
      </c>
      <c r="L2018" t="s">
        <v>166</v>
      </c>
      <c r="S2018" t="s">
        <v>238</v>
      </c>
      <c r="T2018" t="s">
        <v>285</v>
      </c>
      <c r="U2018">
        <v>4.8833560247635898E-3</v>
      </c>
      <c r="V2018" t="s">
        <v>166</v>
      </c>
    </row>
    <row r="2019" spans="9:22" x14ac:dyDescent="0.45">
      <c r="I2019" t="s">
        <v>197</v>
      </c>
      <c r="J2019" t="s">
        <v>286</v>
      </c>
      <c r="K2019">
        <v>2.4619062417352362E-3</v>
      </c>
      <c r="L2019" t="s">
        <v>166</v>
      </c>
      <c r="S2019" t="s">
        <v>238</v>
      </c>
      <c r="T2019" t="s">
        <v>286</v>
      </c>
      <c r="U2019">
        <v>8.704238611375488E-3</v>
      </c>
      <c r="V2019" t="s">
        <v>166</v>
      </c>
    </row>
    <row r="2020" spans="9:22" x14ac:dyDescent="0.45">
      <c r="I2020" t="s">
        <v>197</v>
      </c>
      <c r="J2020" t="s">
        <v>287</v>
      </c>
      <c r="K2020">
        <v>0</v>
      </c>
      <c r="L2020" t="s">
        <v>166</v>
      </c>
      <c r="S2020" t="s">
        <v>238</v>
      </c>
      <c r="T2020" t="s">
        <v>287</v>
      </c>
      <c r="U2020">
        <v>2.3522863086070097E-2</v>
      </c>
      <c r="V2020" t="s">
        <v>166</v>
      </c>
    </row>
    <row r="2021" spans="9:22" x14ac:dyDescent="0.45">
      <c r="I2021" t="s">
        <v>197</v>
      </c>
      <c r="J2021" t="s">
        <v>288</v>
      </c>
      <c r="K2021">
        <v>3.0974516845948876E-4</v>
      </c>
      <c r="L2021" t="s">
        <v>166</v>
      </c>
      <c r="S2021" t="s">
        <v>238</v>
      </c>
      <c r="T2021" t="s">
        <v>288</v>
      </c>
      <c r="U2021">
        <v>4.1500460108803983E-2</v>
      </c>
      <c r="V2021" t="s">
        <v>166</v>
      </c>
    </row>
    <row r="2022" spans="9:22" x14ac:dyDescent="0.45">
      <c r="I2022" t="s">
        <v>197</v>
      </c>
      <c r="J2022" t="s">
        <v>289</v>
      </c>
      <c r="K2022">
        <v>5.6395436771236153E-3</v>
      </c>
      <c r="L2022" t="s">
        <v>166</v>
      </c>
      <c r="S2022" t="s">
        <v>238</v>
      </c>
      <c r="T2022" t="s">
        <v>289</v>
      </c>
      <c r="U2022">
        <v>5.7802092777342554E-3</v>
      </c>
      <c r="V2022" t="s">
        <v>166</v>
      </c>
    </row>
    <row r="2023" spans="9:22" x14ac:dyDescent="0.45">
      <c r="I2023" t="s">
        <v>197</v>
      </c>
      <c r="J2023" t="s">
        <v>290</v>
      </c>
      <c r="K2023">
        <v>7.6694292893456736E-2</v>
      </c>
      <c r="L2023" t="s">
        <v>166</v>
      </c>
      <c r="S2023" t="s">
        <v>238</v>
      </c>
      <c r="T2023" t="s">
        <v>290</v>
      </c>
      <c r="U2023">
        <v>4.0136883758415266E-2</v>
      </c>
      <c r="V2023" t="s">
        <v>166</v>
      </c>
    </row>
    <row r="2024" spans="9:22" x14ac:dyDescent="0.45">
      <c r="I2024" t="s">
        <v>197</v>
      </c>
      <c r="J2024" t="s">
        <v>291</v>
      </c>
      <c r="K2024">
        <v>8.2683180706056708E-3</v>
      </c>
      <c r="L2024" t="s">
        <v>166</v>
      </c>
      <c r="S2024" t="s">
        <v>238</v>
      </c>
      <c r="T2024" t="s">
        <v>291</v>
      </c>
      <c r="U2024">
        <v>4.9470456818369851E-3</v>
      </c>
      <c r="V2024" t="s">
        <v>166</v>
      </c>
    </row>
    <row r="2025" spans="9:22" x14ac:dyDescent="0.45">
      <c r="I2025" t="s">
        <v>197</v>
      </c>
      <c r="J2025" t="s">
        <v>292</v>
      </c>
      <c r="K2025">
        <v>5.6098598607983953E-3</v>
      </c>
      <c r="L2025" t="s">
        <v>166</v>
      </c>
      <c r="S2025" t="s">
        <v>238</v>
      </c>
      <c r="T2025" t="s">
        <v>292</v>
      </c>
      <c r="U2025">
        <v>8.0694140928441859E-3</v>
      </c>
      <c r="V2025" t="s">
        <v>166</v>
      </c>
    </row>
    <row r="2026" spans="9:22" x14ac:dyDescent="0.45">
      <c r="I2026" t="s">
        <v>197</v>
      </c>
      <c r="J2026" t="s">
        <v>293</v>
      </c>
      <c r="K2026">
        <v>0</v>
      </c>
      <c r="L2026" t="s">
        <v>166</v>
      </c>
      <c r="S2026" t="s">
        <v>238</v>
      </c>
      <c r="T2026" t="s">
        <v>293</v>
      </c>
      <c r="U2026">
        <v>1.9561873171123036E-2</v>
      </c>
      <c r="V2026" t="s">
        <v>166</v>
      </c>
    </row>
    <row r="2027" spans="9:22" x14ac:dyDescent="0.45">
      <c r="I2027" t="s">
        <v>198</v>
      </c>
      <c r="J2027" t="s">
        <v>165</v>
      </c>
      <c r="K2027">
        <v>6.1229308312345382E-3</v>
      </c>
      <c r="L2027" t="s">
        <v>166</v>
      </c>
      <c r="S2027" t="s">
        <v>239</v>
      </c>
      <c r="T2027" t="s">
        <v>165</v>
      </c>
      <c r="U2027">
        <v>0.11966288288576642</v>
      </c>
      <c r="V2027" t="s">
        <v>166</v>
      </c>
    </row>
    <row r="2028" spans="9:22" x14ac:dyDescent="0.45">
      <c r="I2028" t="s">
        <v>198</v>
      </c>
      <c r="J2028" t="s">
        <v>167</v>
      </c>
      <c r="K2028">
        <v>1.4269803457607614E-2</v>
      </c>
      <c r="L2028" t="s">
        <v>166</v>
      </c>
      <c r="S2028" t="s">
        <v>239</v>
      </c>
      <c r="T2028" t="s">
        <v>167</v>
      </c>
      <c r="U2028">
        <v>1.4215752387120473E-2</v>
      </c>
      <c r="V2028" t="s">
        <v>166</v>
      </c>
    </row>
    <row r="2029" spans="9:22" x14ac:dyDescent="0.45">
      <c r="I2029" t="s">
        <v>198</v>
      </c>
      <c r="J2029" t="s">
        <v>168</v>
      </c>
      <c r="K2029">
        <v>0.23119847705304211</v>
      </c>
      <c r="L2029" t="s">
        <v>166</v>
      </c>
      <c r="S2029" t="s">
        <v>239</v>
      </c>
      <c r="T2029" t="s">
        <v>168</v>
      </c>
      <c r="U2029">
        <v>8.9112467829483455E-2</v>
      </c>
      <c r="V2029" t="s">
        <v>166</v>
      </c>
    </row>
    <row r="2030" spans="9:22" x14ac:dyDescent="0.45">
      <c r="I2030" t="s">
        <v>198</v>
      </c>
      <c r="J2030" t="s">
        <v>258</v>
      </c>
      <c r="K2030">
        <v>2.6386415079269167E-2</v>
      </c>
      <c r="L2030" t="s">
        <v>166</v>
      </c>
      <c r="S2030" t="s">
        <v>239</v>
      </c>
      <c r="T2030" t="s">
        <v>258</v>
      </c>
      <c r="U2030">
        <v>1.3948460009092363E-2</v>
      </c>
      <c r="V2030" t="s">
        <v>166</v>
      </c>
    </row>
    <row r="2031" spans="9:22" x14ac:dyDescent="0.45">
      <c r="I2031" t="s">
        <v>198</v>
      </c>
      <c r="J2031" t="s">
        <v>259</v>
      </c>
      <c r="K2031">
        <v>2.8889571641716572E-2</v>
      </c>
      <c r="L2031" t="s">
        <v>166</v>
      </c>
      <c r="S2031" t="s">
        <v>239</v>
      </c>
      <c r="T2031" t="s">
        <v>259</v>
      </c>
      <c r="U2031">
        <v>2.870305043567957E-2</v>
      </c>
      <c r="V2031" t="s">
        <v>166</v>
      </c>
    </row>
    <row r="2032" spans="9:22" x14ac:dyDescent="0.45">
      <c r="I2032" t="s">
        <v>198</v>
      </c>
      <c r="J2032" t="s">
        <v>260</v>
      </c>
      <c r="K2032">
        <v>0</v>
      </c>
      <c r="L2032" t="s">
        <v>166</v>
      </c>
      <c r="S2032" t="s">
        <v>239</v>
      </c>
      <c r="T2032" t="s">
        <v>260</v>
      </c>
      <c r="U2032">
        <v>8.7300531694093852E-2</v>
      </c>
      <c r="V2032" t="s">
        <v>166</v>
      </c>
    </row>
    <row r="2033" spans="9:22" x14ac:dyDescent="0.45">
      <c r="I2033" t="s">
        <v>198</v>
      </c>
      <c r="J2033" t="s">
        <v>346</v>
      </c>
      <c r="K2033">
        <v>0</v>
      </c>
      <c r="L2033" t="s">
        <v>166</v>
      </c>
      <c r="S2033" t="s">
        <v>239</v>
      </c>
      <c r="T2033" t="s">
        <v>346</v>
      </c>
      <c r="U2033">
        <v>1.4459992102723677E-4</v>
      </c>
      <c r="V2033" t="s">
        <v>166</v>
      </c>
    </row>
    <row r="2034" spans="9:22" x14ac:dyDescent="0.45">
      <c r="I2034" t="s">
        <v>198</v>
      </c>
      <c r="J2034" t="s">
        <v>347</v>
      </c>
      <c r="K2034">
        <v>0</v>
      </c>
      <c r="L2034" t="s">
        <v>166</v>
      </c>
      <c r="S2034" t="s">
        <v>239</v>
      </c>
      <c r="T2034" t="s">
        <v>347</v>
      </c>
      <c r="U2034">
        <v>1.4687006671945804E-4</v>
      </c>
      <c r="V2034" t="s">
        <v>166</v>
      </c>
    </row>
    <row r="2035" spans="9:22" x14ac:dyDescent="0.45">
      <c r="I2035" t="s">
        <v>198</v>
      </c>
      <c r="J2035" t="s">
        <v>348</v>
      </c>
      <c r="K2035">
        <v>0</v>
      </c>
      <c r="L2035" t="s">
        <v>166</v>
      </c>
      <c r="S2035" t="s">
        <v>239</v>
      </c>
      <c r="T2035" t="s">
        <v>348</v>
      </c>
      <c r="U2035">
        <v>1.4030909909533635E-4</v>
      </c>
      <c r="V2035" t="s">
        <v>166</v>
      </c>
    </row>
    <row r="2036" spans="9:22" x14ac:dyDescent="0.45">
      <c r="I2036" t="s">
        <v>198</v>
      </c>
      <c r="J2036" t="s">
        <v>349</v>
      </c>
      <c r="K2036">
        <v>0</v>
      </c>
      <c r="L2036" t="s">
        <v>166</v>
      </c>
      <c r="S2036" t="s">
        <v>239</v>
      </c>
      <c r="T2036" t="s">
        <v>349</v>
      </c>
      <c r="U2036">
        <v>1.3347551796581328E-4</v>
      </c>
      <c r="V2036" t="s">
        <v>166</v>
      </c>
    </row>
    <row r="2037" spans="9:22" x14ac:dyDescent="0.45">
      <c r="I2037" t="s">
        <v>198</v>
      </c>
      <c r="J2037" t="s">
        <v>350</v>
      </c>
      <c r="K2037">
        <v>0</v>
      </c>
      <c r="L2037" t="s">
        <v>166</v>
      </c>
      <c r="S2037" t="s">
        <v>239</v>
      </c>
      <c r="T2037" t="s">
        <v>350</v>
      </c>
      <c r="U2037">
        <v>1.3432629494349068E-4</v>
      </c>
      <c r="V2037" t="s">
        <v>166</v>
      </c>
    </row>
    <row r="2038" spans="9:22" x14ac:dyDescent="0.45">
      <c r="I2038" t="s">
        <v>198</v>
      </c>
      <c r="J2038" t="s">
        <v>351</v>
      </c>
      <c r="K2038">
        <v>0</v>
      </c>
      <c r="L2038" t="s">
        <v>166</v>
      </c>
      <c r="S2038" t="s">
        <v>239</v>
      </c>
      <c r="T2038" t="s">
        <v>351</v>
      </c>
      <c r="U2038">
        <v>1.2480101942099599E-4</v>
      </c>
      <c r="V2038" t="s">
        <v>166</v>
      </c>
    </row>
    <row r="2039" spans="9:22" x14ac:dyDescent="0.45">
      <c r="I2039" t="s">
        <v>198</v>
      </c>
      <c r="J2039" t="s">
        <v>352</v>
      </c>
      <c r="K2039">
        <v>0</v>
      </c>
      <c r="L2039" t="s">
        <v>166</v>
      </c>
      <c r="S2039" t="s">
        <v>239</v>
      </c>
      <c r="T2039" t="s">
        <v>352</v>
      </c>
      <c r="U2039">
        <v>1.3178552407880744E-4</v>
      </c>
      <c r="V2039" t="s">
        <v>166</v>
      </c>
    </row>
    <row r="2040" spans="9:22" x14ac:dyDescent="0.45">
      <c r="I2040" t="s">
        <v>198</v>
      </c>
      <c r="J2040" t="s">
        <v>353</v>
      </c>
      <c r="K2040">
        <v>0</v>
      </c>
      <c r="L2040" t="s">
        <v>166</v>
      </c>
      <c r="S2040" t="s">
        <v>239</v>
      </c>
      <c r="T2040" t="s">
        <v>353</v>
      </c>
      <c r="U2040">
        <v>1.4770861334845943E-4</v>
      </c>
      <c r="V2040" t="s">
        <v>166</v>
      </c>
    </row>
    <row r="2041" spans="9:22" x14ac:dyDescent="0.45">
      <c r="I2041" t="s">
        <v>198</v>
      </c>
      <c r="J2041" t="s">
        <v>354</v>
      </c>
      <c r="K2041">
        <v>2.2662174976873886E-5</v>
      </c>
      <c r="L2041" t="s">
        <v>166</v>
      </c>
      <c r="S2041" t="s">
        <v>239</v>
      </c>
      <c r="T2041" t="s">
        <v>354</v>
      </c>
      <c r="U2041">
        <v>1.558032504126627E-4</v>
      </c>
      <c r="V2041" t="s">
        <v>166</v>
      </c>
    </row>
    <row r="2042" spans="9:22" x14ac:dyDescent="0.45">
      <c r="I2042" t="s">
        <v>198</v>
      </c>
      <c r="J2042" t="s">
        <v>355</v>
      </c>
      <c r="K2042">
        <v>5.1131099090166135E-5</v>
      </c>
      <c r="L2042" t="s">
        <v>166</v>
      </c>
      <c r="S2042" t="s">
        <v>239</v>
      </c>
      <c r="T2042" t="s">
        <v>355</v>
      </c>
      <c r="U2042">
        <v>1.483846710471362E-4</v>
      </c>
      <c r="V2042" t="s">
        <v>166</v>
      </c>
    </row>
    <row r="2043" spans="9:22" x14ac:dyDescent="0.45">
      <c r="I2043" t="s">
        <v>198</v>
      </c>
      <c r="J2043" t="s">
        <v>356</v>
      </c>
      <c r="K2043">
        <v>1.3672513334685743E-4</v>
      </c>
      <c r="L2043" t="s">
        <v>166</v>
      </c>
      <c r="S2043" t="s">
        <v>239</v>
      </c>
      <c r="T2043" t="s">
        <v>356</v>
      </c>
      <c r="U2043">
        <v>1.3095820679641615E-4</v>
      </c>
      <c r="V2043" t="s">
        <v>166</v>
      </c>
    </row>
    <row r="2044" spans="9:22" x14ac:dyDescent="0.45">
      <c r="I2044" t="s">
        <v>198</v>
      </c>
      <c r="J2044" t="s">
        <v>357</v>
      </c>
      <c r="K2044">
        <v>1.6591440474903843E-4</v>
      </c>
      <c r="L2044" t="s">
        <v>166</v>
      </c>
      <c r="S2044" t="s">
        <v>239</v>
      </c>
      <c r="T2044" t="s">
        <v>357</v>
      </c>
      <c r="U2044">
        <v>1.1783607258188518E-4</v>
      </c>
      <c r="V2044" t="s">
        <v>166</v>
      </c>
    </row>
    <row r="2045" spans="9:22" x14ac:dyDescent="0.45">
      <c r="I2045" t="s">
        <v>198</v>
      </c>
      <c r="J2045" t="s">
        <v>358</v>
      </c>
      <c r="K2045">
        <v>1.7953181619928559E-4</v>
      </c>
      <c r="L2045" t="s">
        <v>166</v>
      </c>
      <c r="S2045" t="s">
        <v>239</v>
      </c>
      <c r="T2045" t="s">
        <v>358</v>
      </c>
      <c r="U2045">
        <v>1.0628417394109787E-4</v>
      </c>
      <c r="V2045" t="s">
        <v>166</v>
      </c>
    </row>
    <row r="2046" spans="9:22" x14ac:dyDescent="0.45">
      <c r="I2046" t="s">
        <v>198</v>
      </c>
      <c r="J2046" t="s">
        <v>359</v>
      </c>
      <c r="K2046">
        <v>1.6121423101571271E-4</v>
      </c>
      <c r="L2046" t="s">
        <v>166</v>
      </c>
      <c r="S2046" t="s">
        <v>239</v>
      </c>
      <c r="T2046" t="s">
        <v>359</v>
      </c>
      <c r="U2046">
        <v>9.7669970566838192E-5</v>
      </c>
      <c r="V2046" t="s">
        <v>166</v>
      </c>
    </row>
    <row r="2047" spans="9:22" x14ac:dyDescent="0.45">
      <c r="I2047" t="s">
        <v>198</v>
      </c>
      <c r="J2047" t="s">
        <v>360</v>
      </c>
      <c r="K2047">
        <v>1.9234414799227127E-4</v>
      </c>
      <c r="L2047" t="s">
        <v>166</v>
      </c>
      <c r="S2047" t="s">
        <v>239</v>
      </c>
      <c r="T2047" t="s">
        <v>360</v>
      </c>
      <c r="U2047">
        <v>8.4548067806576005E-5</v>
      </c>
      <c r="V2047" t="s">
        <v>166</v>
      </c>
    </row>
    <row r="2048" spans="9:22" x14ac:dyDescent="0.45">
      <c r="I2048" t="s">
        <v>198</v>
      </c>
      <c r="J2048" t="s">
        <v>361</v>
      </c>
      <c r="K2048">
        <v>1.7259032746524291E-4</v>
      </c>
      <c r="L2048" t="s">
        <v>166</v>
      </c>
      <c r="S2048" t="s">
        <v>239</v>
      </c>
      <c r="T2048" t="s">
        <v>361</v>
      </c>
      <c r="U2048">
        <v>6.6243512082502225E-5</v>
      </c>
      <c r="V2048" t="s">
        <v>166</v>
      </c>
    </row>
    <row r="2049" spans="9:22" x14ac:dyDescent="0.45">
      <c r="I2049" t="s">
        <v>198</v>
      </c>
      <c r="J2049" t="s">
        <v>362</v>
      </c>
      <c r="K2049">
        <v>1.1110368619925242E-4</v>
      </c>
      <c r="L2049" t="s">
        <v>166</v>
      </c>
      <c r="S2049" t="s">
        <v>239</v>
      </c>
      <c r="T2049" t="s">
        <v>362</v>
      </c>
      <c r="U2049">
        <v>5.7231189284014882E-5</v>
      </c>
      <c r="V2049" t="s">
        <v>166</v>
      </c>
    </row>
    <row r="2050" spans="9:22" x14ac:dyDescent="0.45">
      <c r="I2050" t="s">
        <v>198</v>
      </c>
      <c r="J2050" t="s">
        <v>363</v>
      </c>
      <c r="K2050">
        <v>7.1883531397780952E-5</v>
      </c>
      <c r="L2050" t="s">
        <v>166</v>
      </c>
      <c r="S2050" t="s">
        <v>239</v>
      </c>
      <c r="T2050" t="s">
        <v>363</v>
      </c>
      <c r="U2050">
        <v>5.527949432827296E-5</v>
      </c>
      <c r="V2050" t="s">
        <v>166</v>
      </c>
    </row>
    <row r="2051" spans="9:22" x14ac:dyDescent="0.45">
      <c r="I2051" t="s">
        <v>198</v>
      </c>
      <c r="J2051" t="s">
        <v>364</v>
      </c>
      <c r="K2051">
        <v>6.2718512470542596E-5</v>
      </c>
      <c r="L2051" t="s">
        <v>166</v>
      </c>
      <c r="S2051" t="s">
        <v>239</v>
      </c>
      <c r="T2051" t="s">
        <v>364</v>
      </c>
      <c r="U2051">
        <v>6.0716247854173233E-5</v>
      </c>
      <c r="V2051" t="s">
        <v>166</v>
      </c>
    </row>
    <row r="2052" spans="9:22" x14ac:dyDescent="0.45">
      <c r="I2052" t="s">
        <v>198</v>
      </c>
      <c r="J2052" t="s">
        <v>365</v>
      </c>
      <c r="K2052">
        <v>0</v>
      </c>
      <c r="L2052" t="s">
        <v>166</v>
      </c>
      <c r="S2052" t="s">
        <v>239</v>
      </c>
      <c r="T2052" t="s">
        <v>365</v>
      </c>
      <c r="U2052">
        <v>5.7171156567119795E-5</v>
      </c>
      <c r="V2052" t="s">
        <v>166</v>
      </c>
    </row>
    <row r="2053" spans="9:22" x14ac:dyDescent="0.45">
      <c r="I2053" t="s">
        <v>198</v>
      </c>
      <c r="J2053" t="s">
        <v>366</v>
      </c>
      <c r="K2053">
        <v>0</v>
      </c>
      <c r="L2053" t="s">
        <v>166</v>
      </c>
      <c r="S2053" t="s">
        <v>239</v>
      </c>
      <c r="T2053" t="s">
        <v>366</v>
      </c>
      <c r="U2053">
        <v>5.8653138623818434E-5</v>
      </c>
      <c r="V2053" t="s">
        <v>166</v>
      </c>
    </row>
    <row r="2054" spans="9:22" x14ac:dyDescent="0.45">
      <c r="I2054" t="s">
        <v>198</v>
      </c>
      <c r="J2054" t="s">
        <v>367</v>
      </c>
      <c r="K2054">
        <v>0</v>
      </c>
      <c r="L2054" t="s">
        <v>166</v>
      </c>
      <c r="S2054" t="s">
        <v>239</v>
      </c>
      <c r="T2054" t="s">
        <v>367</v>
      </c>
      <c r="U2054">
        <v>6.1572146652433388E-5</v>
      </c>
      <c r="V2054" t="s">
        <v>166</v>
      </c>
    </row>
    <row r="2055" spans="9:22" x14ac:dyDescent="0.45">
      <c r="I2055" t="s">
        <v>198</v>
      </c>
      <c r="J2055" t="s">
        <v>368</v>
      </c>
      <c r="K2055">
        <v>0</v>
      </c>
      <c r="L2055" t="s">
        <v>166</v>
      </c>
      <c r="S2055" t="s">
        <v>239</v>
      </c>
      <c r="T2055" t="s">
        <v>368</v>
      </c>
      <c r="U2055">
        <v>6.755825752720989E-5</v>
      </c>
      <c r="V2055" t="s">
        <v>166</v>
      </c>
    </row>
    <row r="2056" spans="9:22" x14ac:dyDescent="0.45">
      <c r="I2056" t="s">
        <v>198</v>
      </c>
      <c r="J2056" t="s">
        <v>369</v>
      </c>
      <c r="K2056">
        <v>0</v>
      </c>
      <c r="L2056" t="s">
        <v>166</v>
      </c>
      <c r="S2056" t="s">
        <v>239</v>
      </c>
      <c r="T2056" t="s">
        <v>369</v>
      </c>
      <c r="U2056">
        <v>7.2386884426243878E-5</v>
      </c>
      <c r="V2056" t="s">
        <v>166</v>
      </c>
    </row>
    <row r="2057" spans="9:22" x14ac:dyDescent="0.45">
      <c r="I2057" t="s">
        <v>198</v>
      </c>
      <c r="J2057" t="s">
        <v>370</v>
      </c>
      <c r="K2057">
        <v>0</v>
      </c>
      <c r="L2057" t="s">
        <v>166</v>
      </c>
      <c r="S2057" t="s">
        <v>239</v>
      </c>
      <c r="T2057" t="s">
        <v>370</v>
      </c>
      <c r="U2057">
        <v>2.8398347787689693E-4</v>
      </c>
      <c r="V2057" t="s">
        <v>166</v>
      </c>
    </row>
    <row r="2058" spans="9:22" x14ac:dyDescent="0.45">
      <c r="I2058" t="s">
        <v>198</v>
      </c>
      <c r="J2058" t="s">
        <v>371</v>
      </c>
      <c r="K2058">
        <v>0</v>
      </c>
      <c r="L2058" t="s">
        <v>166</v>
      </c>
      <c r="S2058" t="s">
        <v>239</v>
      </c>
      <c r="T2058" t="s">
        <v>371</v>
      </c>
      <c r="U2058">
        <v>2.7289769406488253E-4</v>
      </c>
      <c r="V2058" t="s">
        <v>166</v>
      </c>
    </row>
    <row r="2059" spans="9:22" x14ac:dyDescent="0.45">
      <c r="I2059" t="s">
        <v>198</v>
      </c>
      <c r="J2059" t="s">
        <v>372</v>
      </c>
      <c r="K2059">
        <v>0</v>
      </c>
      <c r="L2059" t="s">
        <v>166</v>
      </c>
      <c r="S2059" t="s">
        <v>239</v>
      </c>
      <c r="T2059" t="s">
        <v>372</v>
      </c>
      <c r="U2059">
        <v>2.5061139837472918E-4</v>
      </c>
      <c r="V2059" t="s">
        <v>166</v>
      </c>
    </row>
    <row r="2060" spans="9:22" x14ac:dyDescent="0.45">
      <c r="I2060" t="s">
        <v>198</v>
      </c>
      <c r="J2060" t="s">
        <v>373</v>
      </c>
      <c r="K2060">
        <v>0</v>
      </c>
      <c r="L2060" t="s">
        <v>166</v>
      </c>
      <c r="S2060" t="s">
        <v>239</v>
      </c>
      <c r="T2060" t="s">
        <v>373</v>
      </c>
      <c r="U2060">
        <v>2.3304408577278949E-4</v>
      </c>
      <c r="V2060" t="s">
        <v>166</v>
      </c>
    </row>
    <row r="2061" spans="9:22" x14ac:dyDescent="0.45">
      <c r="I2061" t="s">
        <v>198</v>
      </c>
      <c r="J2061" t="s">
        <v>374</v>
      </c>
      <c r="K2061">
        <v>0</v>
      </c>
      <c r="L2061" t="s">
        <v>166</v>
      </c>
      <c r="S2061" t="s">
        <v>239</v>
      </c>
      <c r="T2061" t="s">
        <v>374</v>
      </c>
      <c r="U2061">
        <v>2.1085534184207591E-4</v>
      </c>
      <c r="V2061" t="s">
        <v>166</v>
      </c>
    </row>
    <row r="2062" spans="9:22" x14ac:dyDescent="0.45">
      <c r="I2062" t="s">
        <v>198</v>
      </c>
      <c r="J2062" t="s">
        <v>375</v>
      </c>
      <c r="K2062">
        <v>0</v>
      </c>
      <c r="L2062" t="s">
        <v>166</v>
      </c>
      <c r="S2062" t="s">
        <v>239</v>
      </c>
      <c r="T2062" t="s">
        <v>375</v>
      </c>
      <c r="U2062">
        <v>1.5010457198802891E-4</v>
      </c>
      <c r="V2062" t="s">
        <v>166</v>
      </c>
    </row>
    <row r="2063" spans="9:22" x14ac:dyDescent="0.45">
      <c r="I2063" t="s">
        <v>198</v>
      </c>
      <c r="J2063" t="s">
        <v>376</v>
      </c>
      <c r="K2063">
        <v>0</v>
      </c>
      <c r="L2063" t="s">
        <v>166</v>
      </c>
      <c r="S2063" t="s">
        <v>239</v>
      </c>
      <c r="T2063" t="s">
        <v>376</v>
      </c>
      <c r="U2063">
        <v>1.2245211506830951E-4</v>
      </c>
      <c r="V2063" t="s">
        <v>166</v>
      </c>
    </row>
    <row r="2064" spans="9:22" x14ac:dyDescent="0.45">
      <c r="I2064" t="s">
        <v>198</v>
      </c>
      <c r="J2064" t="s">
        <v>377</v>
      </c>
      <c r="K2064">
        <v>5.3287228666826705E-5</v>
      </c>
      <c r="L2064" t="s">
        <v>166</v>
      </c>
      <c r="S2064" t="s">
        <v>239</v>
      </c>
      <c r="T2064" t="s">
        <v>377</v>
      </c>
      <c r="U2064">
        <v>1.0788402556773203E-4</v>
      </c>
      <c r="V2064" t="s">
        <v>166</v>
      </c>
    </row>
    <row r="2065" spans="9:22" x14ac:dyDescent="0.45">
      <c r="I2065" t="s">
        <v>198</v>
      </c>
      <c r="J2065" t="s">
        <v>378</v>
      </c>
      <c r="K2065">
        <v>9.2512906560718745E-5</v>
      </c>
      <c r="L2065" t="s">
        <v>166</v>
      </c>
      <c r="S2065" t="s">
        <v>239</v>
      </c>
      <c r="T2065" t="s">
        <v>378</v>
      </c>
      <c r="U2065">
        <v>1.0327790370653995E-4</v>
      </c>
      <c r="V2065" t="s">
        <v>166</v>
      </c>
    </row>
    <row r="2066" spans="9:22" x14ac:dyDescent="0.45">
      <c r="I2066" t="s">
        <v>198</v>
      </c>
      <c r="J2066" t="s">
        <v>379</v>
      </c>
      <c r="K2066">
        <v>2.2890801777526691E-4</v>
      </c>
      <c r="L2066" t="s">
        <v>166</v>
      </c>
      <c r="S2066" t="s">
        <v>239</v>
      </c>
      <c r="T2066" t="s">
        <v>379</v>
      </c>
      <c r="U2066">
        <v>1.0451120623335676E-4</v>
      </c>
      <c r="V2066" t="s">
        <v>166</v>
      </c>
    </row>
    <row r="2067" spans="9:22" x14ac:dyDescent="0.45">
      <c r="I2067" t="s">
        <v>198</v>
      </c>
      <c r="J2067" t="s">
        <v>380</v>
      </c>
      <c r="K2067">
        <v>3.4347768091644711E-4</v>
      </c>
      <c r="L2067" t="s">
        <v>166</v>
      </c>
      <c r="S2067" t="s">
        <v>239</v>
      </c>
      <c r="T2067" t="s">
        <v>380</v>
      </c>
      <c r="U2067">
        <v>1.201391561284896E-4</v>
      </c>
      <c r="V2067" t="s">
        <v>166</v>
      </c>
    </row>
    <row r="2068" spans="9:22" x14ac:dyDescent="0.45">
      <c r="I2068" t="s">
        <v>198</v>
      </c>
      <c r="J2068" t="s">
        <v>381</v>
      </c>
      <c r="K2068">
        <v>4.150485886533355E-4</v>
      </c>
      <c r="L2068" t="s">
        <v>166</v>
      </c>
      <c r="S2068" t="s">
        <v>239</v>
      </c>
      <c r="T2068" t="s">
        <v>381</v>
      </c>
      <c r="U2068">
        <v>1.2863181540230038E-4</v>
      </c>
      <c r="V2068" t="s">
        <v>166</v>
      </c>
    </row>
    <row r="2069" spans="9:22" x14ac:dyDescent="0.45">
      <c r="I2069" t="s">
        <v>198</v>
      </c>
      <c r="J2069" t="s">
        <v>382</v>
      </c>
      <c r="K2069">
        <v>4.359416104150106E-4</v>
      </c>
      <c r="L2069" t="s">
        <v>166</v>
      </c>
      <c r="S2069" t="s">
        <v>239</v>
      </c>
      <c r="T2069" t="s">
        <v>382</v>
      </c>
      <c r="U2069">
        <v>1.1451887499026501E-4</v>
      </c>
      <c r="V2069" t="s">
        <v>166</v>
      </c>
    </row>
    <row r="2070" spans="9:22" x14ac:dyDescent="0.45">
      <c r="I2070" t="s">
        <v>198</v>
      </c>
      <c r="J2070" t="s">
        <v>383</v>
      </c>
      <c r="K2070">
        <v>4.1377213047553345E-4</v>
      </c>
      <c r="L2070" t="s">
        <v>166</v>
      </c>
      <c r="S2070" t="s">
        <v>239</v>
      </c>
      <c r="T2070" t="s">
        <v>383</v>
      </c>
      <c r="U2070">
        <v>8.8259271489592089E-5</v>
      </c>
      <c r="V2070" t="s">
        <v>166</v>
      </c>
    </row>
    <row r="2071" spans="9:22" x14ac:dyDescent="0.45">
      <c r="I2071" t="s">
        <v>198</v>
      </c>
      <c r="J2071" t="s">
        <v>384</v>
      </c>
      <c r="K2071">
        <v>4.0505004918221077E-4</v>
      </c>
      <c r="L2071" t="s">
        <v>166</v>
      </c>
      <c r="S2071" t="s">
        <v>239</v>
      </c>
      <c r="T2071" t="s">
        <v>384</v>
      </c>
      <c r="U2071">
        <v>8.4509298968633609E-5</v>
      </c>
      <c r="V2071" t="s">
        <v>166</v>
      </c>
    </row>
    <row r="2072" spans="9:22" x14ac:dyDescent="0.45">
      <c r="I2072" t="s">
        <v>198</v>
      </c>
      <c r="J2072" t="s">
        <v>385</v>
      </c>
      <c r="K2072">
        <v>3.8014556345690269E-4</v>
      </c>
      <c r="L2072" t="s">
        <v>166</v>
      </c>
      <c r="S2072" t="s">
        <v>239</v>
      </c>
      <c r="T2072" t="s">
        <v>385</v>
      </c>
      <c r="U2072">
        <v>1.0104303418417036E-4</v>
      </c>
      <c r="V2072" t="s">
        <v>166</v>
      </c>
    </row>
    <row r="2073" spans="9:22" x14ac:dyDescent="0.45">
      <c r="I2073" t="s">
        <v>198</v>
      </c>
      <c r="J2073" t="s">
        <v>386</v>
      </c>
      <c r="K2073">
        <v>3.6151023978426802E-4</v>
      </c>
      <c r="L2073" t="s">
        <v>166</v>
      </c>
      <c r="S2073" t="s">
        <v>239</v>
      </c>
      <c r="T2073" t="s">
        <v>386</v>
      </c>
      <c r="U2073">
        <v>1.1712562344430839E-4</v>
      </c>
      <c r="V2073" t="s">
        <v>166</v>
      </c>
    </row>
    <row r="2074" spans="9:22" x14ac:dyDescent="0.45">
      <c r="I2074" t="s">
        <v>198</v>
      </c>
      <c r="J2074" t="s">
        <v>387</v>
      </c>
      <c r="K2074">
        <v>2.6429056369303808E-4</v>
      </c>
      <c r="L2074" t="s">
        <v>166</v>
      </c>
      <c r="S2074" t="s">
        <v>239</v>
      </c>
      <c r="T2074" t="s">
        <v>387</v>
      </c>
      <c r="U2074">
        <v>1.0484745835628033E-4</v>
      </c>
      <c r="V2074" t="s">
        <v>166</v>
      </c>
    </row>
    <row r="2075" spans="9:22" x14ac:dyDescent="0.45">
      <c r="I2075" t="s">
        <v>198</v>
      </c>
      <c r="J2075" t="s">
        <v>388</v>
      </c>
      <c r="K2075">
        <v>1.3385877290975033E-4</v>
      </c>
      <c r="L2075" t="s">
        <v>166</v>
      </c>
      <c r="S2075" t="s">
        <v>239</v>
      </c>
      <c r="T2075" t="s">
        <v>388</v>
      </c>
      <c r="U2075">
        <v>1.1636116813755669E-4</v>
      </c>
      <c r="V2075" t="s">
        <v>166</v>
      </c>
    </row>
    <row r="2076" spans="9:22" x14ac:dyDescent="0.45">
      <c r="I2076" t="s">
        <v>198</v>
      </c>
      <c r="J2076" t="s">
        <v>389</v>
      </c>
      <c r="K2076">
        <v>0</v>
      </c>
      <c r="L2076" t="s">
        <v>166</v>
      </c>
      <c r="S2076" t="s">
        <v>239</v>
      </c>
      <c r="T2076" t="s">
        <v>389</v>
      </c>
      <c r="U2076">
        <v>1.3245310689986758E-4</v>
      </c>
      <c r="V2076" t="s">
        <v>166</v>
      </c>
    </row>
    <row r="2077" spans="9:22" x14ac:dyDescent="0.45">
      <c r="I2077" t="s">
        <v>198</v>
      </c>
      <c r="J2077" t="s">
        <v>390</v>
      </c>
      <c r="K2077">
        <v>0</v>
      </c>
      <c r="L2077" t="s">
        <v>166</v>
      </c>
      <c r="S2077" t="s">
        <v>239</v>
      </c>
      <c r="T2077" t="s">
        <v>390</v>
      </c>
      <c r="U2077">
        <v>1.4240760879375672E-4</v>
      </c>
      <c r="V2077" t="s">
        <v>166</v>
      </c>
    </row>
    <row r="2078" spans="9:22" x14ac:dyDescent="0.45">
      <c r="I2078" t="s">
        <v>198</v>
      </c>
      <c r="J2078" t="s">
        <v>391</v>
      </c>
      <c r="K2078">
        <v>0</v>
      </c>
      <c r="L2078" t="s">
        <v>166</v>
      </c>
      <c r="S2078" t="s">
        <v>239</v>
      </c>
      <c r="T2078" t="s">
        <v>391</v>
      </c>
      <c r="U2078">
        <v>1.5055248080919639E-4</v>
      </c>
      <c r="V2078" t="s">
        <v>166</v>
      </c>
    </row>
    <row r="2079" spans="9:22" x14ac:dyDescent="0.45">
      <c r="I2079" t="s">
        <v>198</v>
      </c>
      <c r="J2079" t="s">
        <v>392</v>
      </c>
      <c r="K2079">
        <v>0</v>
      </c>
      <c r="L2079" t="s">
        <v>166</v>
      </c>
      <c r="S2079" t="s">
        <v>239</v>
      </c>
      <c r="T2079" t="s">
        <v>392</v>
      </c>
      <c r="U2079">
        <v>1.4699432947751673E-4</v>
      </c>
      <c r="V2079" t="s">
        <v>166</v>
      </c>
    </row>
    <row r="2080" spans="9:22" x14ac:dyDescent="0.45">
      <c r="I2080" t="s">
        <v>198</v>
      </c>
      <c r="J2080" t="s">
        <v>393</v>
      </c>
      <c r="K2080">
        <v>0</v>
      </c>
      <c r="L2080" t="s">
        <v>166</v>
      </c>
      <c r="S2080" t="s">
        <v>239</v>
      </c>
      <c r="T2080" t="s">
        <v>393</v>
      </c>
      <c r="U2080">
        <v>1.4189470933723171E-4</v>
      </c>
      <c r="V2080" t="s">
        <v>166</v>
      </c>
    </row>
    <row r="2081" spans="9:22" x14ac:dyDescent="0.45">
      <c r="I2081" t="s">
        <v>198</v>
      </c>
      <c r="J2081" t="s">
        <v>169</v>
      </c>
      <c r="K2081">
        <v>6.9701212018476516E-3</v>
      </c>
      <c r="L2081" t="s">
        <v>166</v>
      </c>
      <c r="S2081" t="s">
        <v>239</v>
      </c>
      <c r="T2081" t="s">
        <v>169</v>
      </c>
      <c r="U2081">
        <v>2.035292550111362E-2</v>
      </c>
      <c r="V2081" t="s">
        <v>166</v>
      </c>
    </row>
    <row r="2082" spans="9:22" x14ac:dyDescent="0.45">
      <c r="I2082" t="s">
        <v>198</v>
      </c>
      <c r="J2082" t="s">
        <v>170</v>
      </c>
      <c r="K2082">
        <v>7.8710835753815055E-3</v>
      </c>
      <c r="L2082" t="s">
        <v>166</v>
      </c>
      <c r="S2082" t="s">
        <v>239</v>
      </c>
      <c r="T2082" t="s">
        <v>170</v>
      </c>
      <c r="U2082">
        <v>1.7153420658871303E-3</v>
      </c>
      <c r="V2082" t="s">
        <v>166</v>
      </c>
    </row>
    <row r="2083" spans="9:22" x14ac:dyDescent="0.45">
      <c r="I2083" t="s">
        <v>198</v>
      </c>
      <c r="J2083" t="s">
        <v>171</v>
      </c>
      <c r="K2083">
        <v>8.5360545472910096E-2</v>
      </c>
      <c r="L2083" t="s">
        <v>166</v>
      </c>
      <c r="S2083" t="s">
        <v>239</v>
      </c>
      <c r="T2083" t="s">
        <v>171</v>
      </c>
      <c r="U2083">
        <v>1.0057248937707793E-2</v>
      </c>
      <c r="V2083" t="s">
        <v>166</v>
      </c>
    </row>
    <row r="2084" spans="9:22" x14ac:dyDescent="0.45">
      <c r="I2084" t="s">
        <v>198</v>
      </c>
      <c r="J2084" t="s">
        <v>261</v>
      </c>
      <c r="K2084">
        <v>8.8933787463043746E-3</v>
      </c>
      <c r="L2084" t="s">
        <v>166</v>
      </c>
      <c r="S2084" t="s">
        <v>239</v>
      </c>
      <c r="T2084" t="s">
        <v>261</v>
      </c>
      <c r="U2084">
        <v>1.8123590138944018E-3</v>
      </c>
      <c r="V2084" t="s">
        <v>166</v>
      </c>
    </row>
    <row r="2085" spans="9:22" x14ac:dyDescent="0.45">
      <c r="I2085" t="s">
        <v>198</v>
      </c>
      <c r="J2085" t="s">
        <v>262</v>
      </c>
      <c r="K2085">
        <v>1.1088816961340042E-2</v>
      </c>
      <c r="L2085" t="s">
        <v>166</v>
      </c>
      <c r="S2085" t="s">
        <v>239</v>
      </c>
      <c r="T2085" t="s">
        <v>262</v>
      </c>
      <c r="U2085">
        <v>4.2622164563508903E-3</v>
      </c>
      <c r="V2085" t="s">
        <v>166</v>
      </c>
    </row>
    <row r="2086" spans="9:22" x14ac:dyDescent="0.45">
      <c r="I2086" t="s">
        <v>198</v>
      </c>
      <c r="J2086" t="s">
        <v>263</v>
      </c>
      <c r="K2086">
        <v>0</v>
      </c>
      <c r="L2086" t="s">
        <v>166</v>
      </c>
      <c r="S2086" t="s">
        <v>239</v>
      </c>
      <c r="T2086" t="s">
        <v>263</v>
      </c>
      <c r="U2086">
        <v>1.9915835760397044E-2</v>
      </c>
      <c r="V2086" t="s">
        <v>166</v>
      </c>
    </row>
    <row r="2087" spans="9:22" x14ac:dyDescent="0.45">
      <c r="I2087" t="s">
        <v>198</v>
      </c>
      <c r="J2087" t="s">
        <v>172</v>
      </c>
      <c r="K2087">
        <v>7.2459818912432843E-3</v>
      </c>
      <c r="L2087" t="s">
        <v>166</v>
      </c>
      <c r="S2087" t="s">
        <v>239</v>
      </c>
      <c r="T2087" t="s">
        <v>172</v>
      </c>
      <c r="U2087">
        <v>2.9436470292130174E-2</v>
      </c>
      <c r="V2087" t="s">
        <v>166</v>
      </c>
    </row>
    <row r="2088" spans="9:22" x14ac:dyDescent="0.45">
      <c r="I2088" t="s">
        <v>198</v>
      </c>
      <c r="J2088" t="s">
        <v>173</v>
      </c>
      <c r="K2088">
        <v>7.1975842134359824E-3</v>
      </c>
      <c r="L2088" t="s">
        <v>166</v>
      </c>
      <c r="S2088" t="s">
        <v>239</v>
      </c>
      <c r="T2088" t="s">
        <v>173</v>
      </c>
      <c r="U2088">
        <v>3.3919596565603186E-3</v>
      </c>
      <c r="V2088" t="s">
        <v>166</v>
      </c>
    </row>
    <row r="2089" spans="9:22" x14ac:dyDescent="0.45">
      <c r="I2089" t="s">
        <v>198</v>
      </c>
      <c r="J2089" t="s">
        <v>174</v>
      </c>
      <c r="K2089">
        <v>7.6171002565732795E-2</v>
      </c>
      <c r="L2089" t="s">
        <v>166</v>
      </c>
      <c r="S2089" t="s">
        <v>239</v>
      </c>
      <c r="T2089" t="s">
        <v>174</v>
      </c>
      <c r="U2089">
        <v>2.1497171880425835E-2</v>
      </c>
      <c r="V2089" t="s">
        <v>166</v>
      </c>
    </row>
    <row r="2090" spans="9:22" x14ac:dyDescent="0.45">
      <c r="I2090" t="s">
        <v>198</v>
      </c>
      <c r="J2090" t="s">
        <v>264</v>
      </c>
      <c r="K2090">
        <v>8.5056113342876043E-3</v>
      </c>
      <c r="L2090" t="s">
        <v>166</v>
      </c>
      <c r="S2090" t="s">
        <v>239</v>
      </c>
      <c r="T2090" t="s">
        <v>264</v>
      </c>
      <c r="U2090">
        <v>3.1726900348622777E-3</v>
      </c>
      <c r="V2090" t="s">
        <v>166</v>
      </c>
    </row>
    <row r="2091" spans="9:22" x14ac:dyDescent="0.45">
      <c r="I2091" t="s">
        <v>198</v>
      </c>
      <c r="J2091" t="s">
        <v>265</v>
      </c>
      <c r="K2091">
        <v>1.1588427776950452E-2</v>
      </c>
      <c r="L2091" t="s">
        <v>166</v>
      </c>
      <c r="S2091" t="s">
        <v>239</v>
      </c>
      <c r="T2091" t="s">
        <v>265</v>
      </c>
      <c r="U2091">
        <v>6.2672512300841615E-3</v>
      </c>
      <c r="V2091" t="s">
        <v>166</v>
      </c>
    </row>
    <row r="2092" spans="9:22" x14ac:dyDescent="0.45">
      <c r="I2092" t="s">
        <v>198</v>
      </c>
      <c r="J2092" t="s">
        <v>266</v>
      </c>
      <c r="K2092">
        <v>0</v>
      </c>
      <c r="L2092" t="s">
        <v>166</v>
      </c>
      <c r="S2092" t="s">
        <v>239</v>
      </c>
      <c r="T2092" t="s">
        <v>266</v>
      </c>
      <c r="U2092">
        <v>2.1428428988858727E-2</v>
      </c>
      <c r="V2092" t="s">
        <v>166</v>
      </c>
    </row>
    <row r="2093" spans="9:22" x14ac:dyDescent="0.45">
      <c r="I2093" t="s">
        <v>198</v>
      </c>
      <c r="J2093" t="s">
        <v>175</v>
      </c>
      <c r="K2093">
        <v>3.0706095638645256E-3</v>
      </c>
      <c r="L2093" t="s">
        <v>166</v>
      </c>
      <c r="S2093" t="s">
        <v>239</v>
      </c>
      <c r="T2093" t="s">
        <v>175</v>
      </c>
      <c r="U2093">
        <v>2.2148666453785874E-2</v>
      </c>
      <c r="V2093" t="s">
        <v>166</v>
      </c>
    </row>
    <row r="2094" spans="9:22" x14ac:dyDescent="0.45">
      <c r="I2094" t="s">
        <v>198</v>
      </c>
      <c r="J2094" t="s">
        <v>176</v>
      </c>
      <c r="K2094">
        <v>5.3858916106423634E-3</v>
      </c>
      <c r="L2094" t="s">
        <v>166</v>
      </c>
      <c r="S2094" t="s">
        <v>239</v>
      </c>
      <c r="T2094" t="s">
        <v>176</v>
      </c>
      <c r="U2094">
        <v>2.1615539868045609E-3</v>
      </c>
      <c r="V2094" t="s">
        <v>166</v>
      </c>
    </row>
    <row r="2095" spans="9:22" x14ac:dyDescent="0.45">
      <c r="I2095" t="s">
        <v>198</v>
      </c>
      <c r="J2095" t="s">
        <v>177</v>
      </c>
      <c r="K2095">
        <v>6.9460390205228151E-2</v>
      </c>
      <c r="L2095" t="s">
        <v>166</v>
      </c>
      <c r="S2095" t="s">
        <v>239</v>
      </c>
      <c r="T2095" t="s">
        <v>177</v>
      </c>
      <c r="U2095">
        <v>1.337809780538146E-2</v>
      </c>
      <c r="V2095" t="s">
        <v>166</v>
      </c>
    </row>
    <row r="2096" spans="9:22" x14ac:dyDescent="0.45">
      <c r="I2096" t="s">
        <v>198</v>
      </c>
      <c r="J2096" t="s">
        <v>267</v>
      </c>
      <c r="K2096">
        <v>7.6840958508200231E-3</v>
      </c>
      <c r="L2096" t="s">
        <v>166</v>
      </c>
      <c r="S2096" t="s">
        <v>239</v>
      </c>
      <c r="T2096" t="s">
        <v>267</v>
      </c>
      <c r="U2096">
        <v>2.1299880382815734E-3</v>
      </c>
      <c r="V2096" t="s">
        <v>166</v>
      </c>
    </row>
    <row r="2097" spans="9:22" x14ac:dyDescent="0.45">
      <c r="I2097" t="s">
        <v>198</v>
      </c>
      <c r="J2097" t="s">
        <v>268</v>
      </c>
      <c r="K2097">
        <v>9.7465441337140756E-3</v>
      </c>
      <c r="L2097" t="s">
        <v>166</v>
      </c>
      <c r="S2097" t="s">
        <v>239</v>
      </c>
      <c r="T2097" t="s">
        <v>268</v>
      </c>
      <c r="U2097">
        <v>4.3573777370508335E-3</v>
      </c>
      <c r="V2097" t="s">
        <v>166</v>
      </c>
    </row>
    <row r="2098" spans="9:22" x14ac:dyDescent="0.45">
      <c r="I2098" t="s">
        <v>198</v>
      </c>
      <c r="J2098" t="s">
        <v>269</v>
      </c>
      <c r="K2098">
        <v>0</v>
      </c>
      <c r="L2098" t="s">
        <v>166</v>
      </c>
      <c r="S2098" t="s">
        <v>239</v>
      </c>
      <c r="T2098" t="s">
        <v>269</v>
      </c>
      <c r="U2098">
        <v>1.7422322313317581E-2</v>
      </c>
      <c r="V2098" t="s">
        <v>166</v>
      </c>
    </row>
    <row r="2099" spans="9:22" x14ac:dyDescent="0.45">
      <c r="I2099" t="s">
        <v>198</v>
      </c>
      <c r="J2099" t="s">
        <v>270</v>
      </c>
      <c r="K2099">
        <v>3.13841016500689E-3</v>
      </c>
      <c r="L2099" t="s">
        <v>166</v>
      </c>
      <c r="S2099" t="s">
        <v>239</v>
      </c>
      <c r="T2099" t="s">
        <v>270</v>
      </c>
      <c r="U2099">
        <v>3.8114900567435571E-2</v>
      </c>
      <c r="V2099" t="s">
        <v>166</v>
      </c>
    </row>
    <row r="2100" spans="9:22" x14ac:dyDescent="0.45">
      <c r="I2100" t="s">
        <v>198</v>
      </c>
      <c r="J2100" t="s">
        <v>271</v>
      </c>
      <c r="K2100">
        <v>5.9391513245841592E-3</v>
      </c>
      <c r="L2100" t="s">
        <v>166</v>
      </c>
      <c r="S2100" t="s">
        <v>239</v>
      </c>
      <c r="T2100" t="s">
        <v>271</v>
      </c>
      <c r="U2100">
        <v>4.8878843570902275E-3</v>
      </c>
      <c r="V2100" t="s">
        <v>166</v>
      </c>
    </row>
    <row r="2101" spans="9:22" x14ac:dyDescent="0.45">
      <c r="I2101" t="s">
        <v>198</v>
      </c>
      <c r="J2101" t="s">
        <v>272</v>
      </c>
      <c r="K2101">
        <v>7.2653477185249588E-2</v>
      </c>
      <c r="L2101" t="s">
        <v>166</v>
      </c>
      <c r="S2101" t="s">
        <v>239</v>
      </c>
      <c r="T2101" t="s">
        <v>272</v>
      </c>
      <c r="U2101">
        <v>2.9693716533663646E-2</v>
      </c>
      <c r="V2101" t="s">
        <v>166</v>
      </c>
    </row>
    <row r="2102" spans="9:22" x14ac:dyDescent="0.45">
      <c r="I2102" t="s">
        <v>198</v>
      </c>
      <c r="J2102" t="s">
        <v>273</v>
      </c>
      <c r="K2102">
        <v>8.0863417116710801E-3</v>
      </c>
      <c r="L2102" t="s">
        <v>166</v>
      </c>
      <c r="S2102" t="s">
        <v>239</v>
      </c>
      <c r="T2102" t="s">
        <v>273</v>
      </c>
      <c r="U2102">
        <v>3.2488302822638406E-3</v>
      </c>
      <c r="V2102" t="s">
        <v>166</v>
      </c>
    </row>
    <row r="2103" spans="9:22" x14ac:dyDescent="0.45">
      <c r="I2103" t="s">
        <v>198</v>
      </c>
      <c r="J2103" t="s">
        <v>274</v>
      </c>
      <c r="K2103">
        <v>8.7962846507425949E-3</v>
      </c>
      <c r="L2103" t="s">
        <v>166</v>
      </c>
      <c r="S2103" t="s">
        <v>239</v>
      </c>
      <c r="T2103" t="s">
        <v>274</v>
      </c>
      <c r="U2103">
        <v>6.5730971197306802E-3</v>
      </c>
      <c r="V2103" t="s">
        <v>166</v>
      </c>
    </row>
    <row r="2104" spans="9:22" x14ac:dyDescent="0.45">
      <c r="I2104" t="s">
        <v>198</v>
      </c>
      <c r="J2104" t="s">
        <v>275</v>
      </c>
      <c r="K2104">
        <v>0</v>
      </c>
      <c r="L2104" t="s">
        <v>166</v>
      </c>
      <c r="S2104" t="s">
        <v>239</v>
      </c>
      <c r="T2104" t="s">
        <v>275</v>
      </c>
      <c r="U2104">
        <v>2.0924429528321069E-2</v>
      </c>
      <c r="V2104" t="s">
        <v>166</v>
      </c>
    </row>
    <row r="2105" spans="9:22" x14ac:dyDescent="0.45">
      <c r="I2105" t="s">
        <v>198</v>
      </c>
      <c r="J2105" t="s">
        <v>276</v>
      </c>
      <c r="K2105">
        <v>5.0403015569518046E-3</v>
      </c>
      <c r="L2105" t="s">
        <v>166</v>
      </c>
      <c r="S2105" t="s">
        <v>239</v>
      </c>
      <c r="T2105" t="s">
        <v>276</v>
      </c>
      <c r="U2105">
        <v>4.8041999826770224E-2</v>
      </c>
      <c r="V2105" t="s">
        <v>166</v>
      </c>
    </row>
    <row r="2106" spans="9:22" x14ac:dyDescent="0.45">
      <c r="I2106" t="s">
        <v>198</v>
      </c>
      <c r="J2106" t="s">
        <v>277</v>
      </c>
      <c r="K2106">
        <v>9.6310843754998082E-3</v>
      </c>
      <c r="L2106" t="s">
        <v>166</v>
      </c>
      <c r="S2106" t="s">
        <v>239</v>
      </c>
      <c r="T2106" t="s">
        <v>277</v>
      </c>
      <c r="U2106">
        <v>5.6700512843321765E-3</v>
      </c>
      <c r="V2106" t="s">
        <v>166</v>
      </c>
    </row>
    <row r="2107" spans="9:22" x14ac:dyDescent="0.45">
      <c r="I2107" t="s">
        <v>198</v>
      </c>
      <c r="J2107" t="s">
        <v>278</v>
      </c>
      <c r="K2107">
        <v>0.1158388599148653</v>
      </c>
      <c r="L2107" t="s">
        <v>166</v>
      </c>
      <c r="S2107" t="s">
        <v>239</v>
      </c>
      <c r="T2107" t="s">
        <v>278</v>
      </c>
      <c r="U2107">
        <v>3.7098984655827311E-2</v>
      </c>
      <c r="V2107" t="s">
        <v>166</v>
      </c>
    </row>
    <row r="2108" spans="9:22" x14ac:dyDescent="0.45">
      <c r="I2108" t="s">
        <v>198</v>
      </c>
      <c r="J2108" t="s">
        <v>279</v>
      </c>
      <c r="K2108">
        <v>1.2329372334650254E-2</v>
      </c>
      <c r="L2108" t="s">
        <v>166</v>
      </c>
      <c r="S2108" t="s">
        <v>239</v>
      </c>
      <c r="T2108" t="s">
        <v>279</v>
      </c>
      <c r="U2108">
        <v>5.4950070701853858E-3</v>
      </c>
      <c r="V2108" t="s">
        <v>166</v>
      </c>
    </row>
    <row r="2109" spans="9:22" x14ac:dyDescent="0.45">
      <c r="I2109" t="s">
        <v>198</v>
      </c>
      <c r="J2109" t="s">
        <v>280</v>
      </c>
      <c r="K2109">
        <v>1.0962537050551301E-2</v>
      </c>
      <c r="L2109" t="s">
        <v>166</v>
      </c>
      <c r="S2109" t="s">
        <v>239</v>
      </c>
      <c r="T2109" t="s">
        <v>280</v>
      </c>
      <c r="U2109">
        <v>1.0885485264630913E-2</v>
      </c>
      <c r="V2109" t="s">
        <v>166</v>
      </c>
    </row>
    <row r="2110" spans="9:22" x14ac:dyDescent="0.45">
      <c r="I2110" t="s">
        <v>198</v>
      </c>
      <c r="J2110" t="s">
        <v>281</v>
      </c>
      <c r="K2110">
        <v>0</v>
      </c>
      <c r="L2110" t="s">
        <v>166</v>
      </c>
      <c r="S2110" t="s">
        <v>239</v>
      </c>
      <c r="T2110" t="s">
        <v>281</v>
      </c>
      <c r="U2110">
        <v>3.1488577319233858E-2</v>
      </c>
      <c r="V2110" t="s">
        <v>166</v>
      </c>
    </row>
    <row r="2111" spans="9:22" x14ac:dyDescent="0.45">
      <c r="I2111" t="s">
        <v>198</v>
      </c>
      <c r="J2111" t="s">
        <v>282</v>
      </c>
      <c r="K2111">
        <v>1.1140840686219512E-3</v>
      </c>
      <c r="L2111" t="s">
        <v>166</v>
      </c>
      <c r="S2111" t="s">
        <v>239</v>
      </c>
      <c r="T2111" t="s">
        <v>282</v>
      </c>
      <c r="U2111">
        <v>3.5505599619277767E-2</v>
      </c>
      <c r="V2111" t="s">
        <v>166</v>
      </c>
    </row>
    <row r="2112" spans="9:22" x14ac:dyDescent="0.45">
      <c r="I2112" t="s">
        <v>198</v>
      </c>
      <c r="J2112" t="s">
        <v>283</v>
      </c>
      <c r="K2112">
        <v>2.4282784170506872E-3</v>
      </c>
      <c r="L2112" t="s">
        <v>166</v>
      </c>
      <c r="S2112" t="s">
        <v>239</v>
      </c>
      <c r="T2112" t="s">
        <v>283</v>
      </c>
      <c r="U2112">
        <v>4.7672753823561394E-3</v>
      </c>
      <c r="V2112" t="s">
        <v>166</v>
      </c>
    </row>
    <row r="2113" spans="9:22" x14ac:dyDescent="0.45">
      <c r="I2113" t="s">
        <v>198</v>
      </c>
      <c r="J2113" t="s">
        <v>284</v>
      </c>
      <c r="K2113">
        <v>4.0435151228764017E-2</v>
      </c>
      <c r="L2113" t="s">
        <v>166</v>
      </c>
      <c r="S2113" t="s">
        <v>239</v>
      </c>
      <c r="T2113" t="s">
        <v>284</v>
      </c>
      <c r="U2113">
        <v>2.8895774711221754E-2</v>
      </c>
      <c r="V2113" t="s">
        <v>166</v>
      </c>
    </row>
    <row r="2114" spans="9:22" x14ac:dyDescent="0.45">
      <c r="I2114" t="s">
        <v>198</v>
      </c>
      <c r="J2114" t="s">
        <v>285</v>
      </c>
      <c r="K2114">
        <v>3.7143052698656387E-3</v>
      </c>
      <c r="L2114" t="s">
        <v>166</v>
      </c>
      <c r="S2114" t="s">
        <v>239</v>
      </c>
      <c r="T2114" t="s">
        <v>285</v>
      </c>
      <c r="U2114">
        <v>3.9711988449164385E-3</v>
      </c>
      <c r="V2114" t="s">
        <v>166</v>
      </c>
    </row>
    <row r="2115" spans="9:22" x14ac:dyDescent="0.45">
      <c r="I2115" t="s">
        <v>198</v>
      </c>
      <c r="J2115" t="s">
        <v>286</v>
      </c>
      <c r="K2115">
        <v>2.0896559958314478E-3</v>
      </c>
      <c r="L2115" t="s">
        <v>166</v>
      </c>
      <c r="S2115" t="s">
        <v>239</v>
      </c>
      <c r="T2115" t="s">
        <v>286</v>
      </c>
      <c r="U2115">
        <v>7.16840788390117E-3</v>
      </c>
      <c r="V2115" t="s">
        <v>166</v>
      </c>
    </row>
    <row r="2116" spans="9:22" x14ac:dyDescent="0.45">
      <c r="I2116" t="s">
        <v>198</v>
      </c>
      <c r="J2116" t="s">
        <v>287</v>
      </c>
      <c r="K2116">
        <v>0</v>
      </c>
      <c r="L2116" t="s">
        <v>166</v>
      </c>
      <c r="S2116" t="s">
        <v>239</v>
      </c>
      <c r="T2116" t="s">
        <v>287</v>
      </c>
      <c r="U2116">
        <v>2.2568046609523704E-2</v>
      </c>
      <c r="V2116" t="s">
        <v>166</v>
      </c>
    </row>
    <row r="2117" spans="9:22" x14ac:dyDescent="0.45">
      <c r="I2117" t="s">
        <v>198</v>
      </c>
      <c r="J2117" t="s">
        <v>288</v>
      </c>
      <c r="K2117">
        <v>1.167836849000476E-3</v>
      </c>
      <c r="L2117" t="s">
        <v>166</v>
      </c>
      <c r="S2117" t="s">
        <v>239</v>
      </c>
      <c r="T2117" t="s">
        <v>288</v>
      </c>
      <c r="U2117">
        <v>3.1678964676430728E-2</v>
      </c>
      <c r="V2117" t="s">
        <v>166</v>
      </c>
    </row>
    <row r="2118" spans="9:22" x14ac:dyDescent="0.45">
      <c r="I2118" t="s">
        <v>198</v>
      </c>
      <c r="J2118" t="s">
        <v>289</v>
      </c>
      <c r="K2118">
        <v>3.1366202933521773E-3</v>
      </c>
      <c r="L2118" t="s">
        <v>166</v>
      </c>
      <c r="S2118" t="s">
        <v>239</v>
      </c>
      <c r="T2118" t="s">
        <v>289</v>
      </c>
      <c r="U2118">
        <v>4.3930837582876938E-3</v>
      </c>
      <c r="V2118" t="s">
        <v>166</v>
      </c>
    </row>
    <row r="2119" spans="9:22" x14ac:dyDescent="0.45">
      <c r="I2119" t="s">
        <v>198</v>
      </c>
      <c r="J2119" t="s">
        <v>290</v>
      </c>
      <c r="K2119">
        <v>4.8124614984440282E-2</v>
      </c>
      <c r="L2119" t="s">
        <v>166</v>
      </c>
      <c r="S2119" t="s">
        <v>239</v>
      </c>
      <c r="T2119" t="s">
        <v>290</v>
      </c>
      <c r="U2119">
        <v>2.7851172839048335E-2</v>
      </c>
      <c r="V2119" t="s">
        <v>166</v>
      </c>
    </row>
    <row r="2120" spans="9:22" x14ac:dyDescent="0.45">
      <c r="I2120" t="s">
        <v>198</v>
      </c>
      <c r="J2120" t="s">
        <v>291</v>
      </c>
      <c r="K2120">
        <v>4.5427013343396763E-3</v>
      </c>
      <c r="L2120" t="s">
        <v>166</v>
      </c>
      <c r="S2120" t="s">
        <v>239</v>
      </c>
      <c r="T2120" t="s">
        <v>291</v>
      </c>
      <c r="U2120">
        <v>3.7494899462256369E-3</v>
      </c>
      <c r="V2120" t="s">
        <v>166</v>
      </c>
    </row>
    <row r="2121" spans="9:22" x14ac:dyDescent="0.45">
      <c r="I2121" t="s">
        <v>198</v>
      </c>
      <c r="J2121" t="s">
        <v>292</v>
      </c>
      <c r="K2121">
        <v>2.8680257049956402E-3</v>
      </c>
      <c r="L2121" t="s">
        <v>166</v>
      </c>
      <c r="S2121" t="s">
        <v>239</v>
      </c>
      <c r="T2121" t="s">
        <v>292</v>
      </c>
      <c r="U2121">
        <v>6.5741386299185351E-3</v>
      </c>
      <c r="V2121" t="s">
        <v>166</v>
      </c>
    </row>
    <row r="2122" spans="9:22" x14ac:dyDescent="0.45">
      <c r="I2122" t="s">
        <v>198</v>
      </c>
      <c r="J2122" t="s">
        <v>293</v>
      </c>
      <c r="K2122">
        <v>0</v>
      </c>
      <c r="L2122" t="s">
        <v>166</v>
      </c>
      <c r="S2122" t="s">
        <v>239</v>
      </c>
      <c r="T2122" t="s">
        <v>293</v>
      </c>
      <c r="U2122">
        <v>1.6871299641264978E-2</v>
      </c>
      <c r="V2122" t="s">
        <v>166</v>
      </c>
    </row>
    <row r="2123" spans="9:22" x14ac:dyDescent="0.45">
      <c r="I2123" t="s">
        <v>199</v>
      </c>
      <c r="J2123" t="s">
        <v>165</v>
      </c>
      <c r="K2123">
        <v>6.3845264802997381E-3</v>
      </c>
      <c r="L2123" t="s">
        <v>166</v>
      </c>
    </row>
    <row r="2124" spans="9:22" x14ac:dyDescent="0.45">
      <c r="I2124" t="s">
        <v>199</v>
      </c>
      <c r="J2124" t="s">
        <v>167</v>
      </c>
      <c r="K2124">
        <v>1.9092952619959927E-2</v>
      </c>
      <c r="L2124" t="s">
        <v>166</v>
      </c>
    </row>
    <row r="2125" spans="9:22" x14ac:dyDescent="0.45">
      <c r="I2125" t="s">
        <v>199</v>
      </c>
      <c r="J2125" t="s">
        <v>168</v>
      </c>
      <c r="K2125">
        <v>0.27562331504572557</v>
      </c>
      <c r="L2125" t="s">
        <v>166</v>
      </c>
    </row>
    <row r="2126" spans="9:22" x14ac:dyDescent="0.45">
      <c r="I2126" t="s">
        <v>199</v>
      </c>
      <c r="J2126" t="s">
        <v>258</v>
      </c>
      <c r="K2126">
        <v>3.2192377508081946E-2</v>
      </c>
      <c r="L2126" t="s">
        <v>166</v>
      </c>
    </row>
    <row r="2127" spans="9:22" x14ac:dyDescent="0.45">
      <c r="I2127" t="s">
        <v>199</v>
      </c>
      <c r="J2127" t="s">
        <v>259</v>
      </c>
      <c r="K2127">
        <v>4.0837970855251433E-2</v>
      </c>
      <c r="L2127" t="s">
        <v>166</v>
      </c>
    </row>
    <row r="2128" spans="9:22" x14ac:dyDescent="0.45">
      <c r="I2128" t="s">
        <v>199</v>
      </c>
      <c r="J2128" t="s">
        <v>260</v>
      </c>
      <c r="K2128">
        <v>0</v>
      </c>
      <c r="L2128" t="s">
        <v>166</v>
      </c>
    </row>
    <row r="2129" spans="9:12" x14ac:dyDescent="0.45">
      <c r="I2129" t="s">
        <v>199</v>
      </c>
      <c r="J2129" t="s">
        <v>346</v>
      </c>
      <c r="K2129">
        <v>0</v>
      </c>
      <c r="L2129" t="s">
        <v>166</v>
      </c>
    </row>
    <row r="2130" spans="9:12" x14ac:dyDescent="0.45">
      <c r="I2130" t="s">
        <v>199</v>
      </c>
      <c r="J2130" t="s">
        <v>347</v>
      </c>
      <c r="K2130">
        <v>0</v>
      </c>
      <c r="L2130" t="s">
        <v>166</v>
      </c>
    </row>
    <row r="2131" spans="9:12" x14ac:dyDescent="0.45">
      <c r="I2131" t="s">
        <v>199</v>
      </c>
      <c r="J2131" t="s">
        <v>348</v>
      </c>
      <c r="K2131">
        <v>0</v>
      </c>
      <c r="L2131" t="s">
        <v>166</v>
      </c>
    </row>
    <row r="2132" spans="9:12" x14ac:dyDescent="0.45">
      <c r="I2132" t="s">
        <v>199</v>
      </c>
      <c r="J2132" t="s">
        <v>349</v>
      </c>
      <c r="K2132">
        <v>0</v>
      </c>
      <c r="L2132" t="s">
        <v>166</v>
      </c>
    </row>
    <row r="2133" spans="9:12" x14ac:dyDescent="0.45">
      <c r="I2133" t="s">
        <v>199</v>
      </c>
      <c r="J2133" t="s">
        <v>350</v>
      </c>
      <c r="K2133">
        <v>0</v>
      </c>
      <c r="L2133" t="s">
        <v>166</v>
      </c>
    </row>
    <row r="2134" spans="9:12" x14ac:dyDescent="0.45">
      <c r="I2134" t="s">
        <v>199</v>
      </c>
      <c r="J2134" t="s">
        <v>351</v>
      </c>
      <c r="K2134">
        <v>0</v>
      </c>
      <c r="L2134" t="s">
        <v>166</v>
      </c>
    </row>
    <row r="2135" spans="9:12" x14ac:dyDescent="0.45">
      <c r="I2135" t="s">
        <v>199</v>
      </c>
      <c r="J2135" t="s">
        <v>352</v>
      </c>
      <c r="K2135">
        <v>0</v>
      </c>
      <c r="L2135" t="s">
        <v>166</v>
      </c>
    </row>
    <row r="2136" spans="9:12" x14ac:dyDescent="0.45">
      <c r="I2136" t="s">
        <v>199</v>
      </c>
      <c r="J2136" t="s">
        <v>353</v>
      </c>
      <c r="K2136">
        <v>0</v>
      </c>
      <c r="L2136" t="s">
        <v>166</v>
      </c>
    </row>
    <row r="2137" spans="9:12" x14ac:dyDescent="0.45">
      <c r="I2137" t="s">
        <v>199</v>
      </c>
      <c r="J2137" t="s">
        <v>354</v>
      </c>
      <c r="K2137">
        <v>4.9282433067419673E-5</v>
      </c>
      <c r="L2137" t="s">
        <v>166</v>
      </c>
    </row>
    <row r="2138" spans="9:12" x14ac:dyDescent="0.45">
      <c r="I2138" t="s">
        <v>199</v>
      </c>
      <c r="J2138" t="s">
        <v>355</v>
      </c>
      <c r="K2138">
        <v>9.9471277091548298E-5</v>
      </c>
      <c r="L2138" t="s">
        <v>166</v>
      </c>
    </row>
    <row r="2139" spans="9:12" x14ac:dyDescent="0.45">
      <c r="I2139" t="s">
        <v>199</v>
      </c>
      <c r="J2139" t="s">
        <v>356</v>
      </c>
      <c r="K2139">
        <v>2.2609404840776335E-4</v>
      </c>
      <c r="L2139" t="s">
        <v>166</v>
      </c>
    </row>
    <row r="2140" spans="9:12" x14ac:dyDescent="0.45">
      <c r="I2140" t="s">
        <v>199</v>
      </c>
      <c r="J2140" t="s">
        <v>357</v>
      </c>
      <c r="K2140">
        <v>2.9647309732758637E-4</v>
      </c>
      <c r="L2140" t="s">
        <v>166</v>
      </c>
    </row>
    <row r="2141" spans="9:12" x14ac:dyDescent="0.45">
      <c r="I2141" t="s">
        <v>199</v>
      </c>
      <c r="J2141" t="s">
        <v>358</v>
      </c>
      <c r="K2141">
        <v>2.8003497985954189E-4</v>
      </c>
      <c r="L2141" t="s">
        <v>166</v>
      </c>
    </row>
    <row r="2142" spans="9:12" x14ac:dyDescent="0.45">
      <c r="I2142" t="s">
        <v>199</v>
      </c>
      <c r="J2142" t="s">
        <v>359</v>
      </c>
      <c r="K2142">
        <v>2.6328624953776843E-4</v>
      </c>
      <c r="L2142" t="s">
        <v>166</v>
      </c>
    </row>
    <row r="2143" spans="9:12" x14ac:dyDescent="0.45">
      <c r="I2143" t="s">
        <v>199</v>
      </c>
      <c r="J2143" t="s">
        <v>360</v>
      </c>
      <c r="K2143">
        <v>2.713435105650823E-4</v>
      </c>
      <c r="L2143" t="s">
        <v>166</v>
      </c>
    </row>
    <row r="2144" spans="9:12" x14ac:dyDescent="0.45">
      <c r="I2144" t="s">
        <v>199</v>
      </c>
      <c r="J2144" t="s">
        <v>361</v>
      </c>
      <c r="K2144">
        <v>1.7221724803755052E-4</v>
      </c>
      <c r="L2144" t="s">
        <v>166</v>
      </c>
    </row>
    <row r="2145" spans="9:12" x14ac:dyDescent="0.45">
      <c r="I2145" t="s">
        <v>199</v>
      </c>
      <c r="J2145" t="s">
        <v>362</v>
      </c>
      <c r="K2145">
        <v>1.4753689012624499E-4</v>
      </c>
      <c r="L2145" t="s">
        <v>166</v>
      </c>
    </row>
    <row r="2146" spans="9:12" x14ac:dyDescent="0.45">
      <c r="I2146" t="s">
        <v>199</v>
      </c>
      <c r="J2146" t="s">
        <v>363</v>
      </c>
      <c r="K2146">
        <v>1.1707128444649626E-4</v>
      </c>
      <c r="L2146" t="s">
        <v>166</v>
      </c>
    </row>
    <row r="2147" spans="9:12" x14ac:dyDescent="0.45">
      <c r="I2147" t="s">
        <v>199</v>
      </c>
      <c r="J2147" t="s">
        <v>364</v>
      </c>
      <c r="K2147">
        <v>5.722857906815807E-5</v>
      </c>
      <c r="L2147" t="s">
        <v>166</v>
      </c>
    </row>
    <row r="2148" spans="9:12" x14ac:dyDescent="0.45">
      <c r="I2148" t="s">
        <v>199</v>
      </c>
      <c r="J2148" t="s">
        <v>365</v>
      </c>
      <c r="K2148">
        <v>0</v>
      </c>
      <c r="L2148" t="s">
        <v>166</v>
      </c>
    </row>
    <row r="2149" spans="9:12" x14ac:dyDescent="0.45">
      <c r="I2149" t="s">
        <v>199</v>
      </c>
      <c r="J2149" t="s">
        <v>366</v>
      </c>
      <c r="K2149">
        <v>0</v>
      </c>
      <c r="L2149" t="s">
        <v>166</v>
      </c>
    </row>
    <row r="2150" spans="9:12" x14ac:dyDescent="0.45">
      <c r="I2150" t="s">
        <v>199</v>
      </c>
      <c r="J2150" t="s">
        <v>367</v>
      </c>
      <c r="K2150">
        <v>0</v>
      </c>
      <c r="L2150" t="s">
        <v>166</v>
      </c>
    </row>
    <row r="2151" spans="9:12" x14ac:dyDescent="0.45">
      <c r="I2151" t="s">
        <v>199</v>
      </c>
      <c r="J2151" t="s">
        <v>368</v>
      </c>
      <c r="K2151">
        <v>0</v>
      </c>
      <c r="L2151" t="s">
        <v>166</v>
      </c>
    </row>
    <row r="2152" spans="9:12" x14ac:dyDescent="0.45">
      <c r="I2152" t="s">
        <v>199</v>
      </c>
      <c r="J2152" t="s">
        <v>369</v>
      </c>
      <c r="K2152">
        <v>0</v>
      </c>
      <c r="L2152" t="s">
        <v>166</v>
      </c>
    </row>
    <row r="2153" spans="9:12" x14ac:dyDescent="0.45">
      <c r="I2153" t="s">
        <v>199</v>
      </c>
      <c r="J2153" t="s">
        <v>370</v>
      </c>
      <c r="K2153">
        <v>0</v>
      </c>
      <c r="L2153" t="s">
        <v>166</v>
      </c>
    </row>
    <row r="2154" spans="9:12" x14ac:dyDescent="0.45">
      <c r="I2154" t="s">
        <v>199</v>
      </c>
      <c r="J2154" t="s">
        <v>371</v>
      </c>
      <c r="K2154">
        <v>0</v>
      </c>
      <c r="L2154" t="s">
        <v>166</v>
      </c>
    </row>
    <row r="2155" spans="9:12" x14ac:dyDescent="0.45">
      <c r="I2155" t="s">
        <v>199</v>
      </c>
      <c r="J2155" t="s">
        <v>372</v>
      </c>
      <c r="K2155">
        <v>0</v>
      </c>
      <c r="L2155" t="s">
        <v>166</v>
      </c>
    </row>
    <row r="2156" spans="9:12" x14ac:dyDescent="0.45">
      <c r="I2156" t="s">
        <v>199</v>
      </c>
      <c r="J2156" t="s">
        <v>373</v>
      </c>
      <c r="K2156">
        <v>0</v>
      </c>
      <c r="L2156" t="s">
        <v>166</v>
      </c>
    </row>
    <row r="2157" spans="9:12" x14ac:dyDescent="0.45">
      <c r="I2157" t="s">
        <v>199</v>
      </c>
      <c r="J2157" t="s">
        <v>374</v>
      </c>
      <c r="K2157">
        <v>0</v>
      </c>
      <c r="L2157" t="s">
        <v>166</v>
      </c>
    </row>
    <row r="2158" spans="9:12" x14ac:dyDescent="0.45">
      <c r="I2158" t="s">
        <v>199</v>
      </c>
      <c r="J2158" t="s">
        <v>375</v>
      </c>
      <c r="K2158">
        <v>0</v>
      </c>
      <c r="L2158" t="s">
        <v>166</v>
      </c>
    </row>
    <row r="2159" spans="9:12" x14ac:dyDescent="0.45">
      <c r="I2159" t="s">
        <v>199</v>
      </c>
      <c r="J2159" t="s">
        <v>376</v>
      </c>
      <c r="K2159">
        <v>0</v>
      </c>
      <c r="L2159" t="s">
        <v>166</v>
      </c>
    </row>
    <row r="2160" spans="9:12" x14ac:dyDescent="0.45">
      <c r="I2160" t="s">
        <v>199</v>
      </c>
      <c r="J2160" t="s">
        <v>377</v>
      </c>
      <c r="K2160">
        <v>0</v>
      </c>
      <c r="L2160" t="s">
        <v>166</v>
      </c>
    </row>
    <row r="2161" spans="9:12" x14ac:dyDescent="0.45">
      <c r="I2161" t="s">
        <v>199</v>
      </c>
      <c r="J2161" t="s">
        <v>378</v>
      </c>
      <c r="K2161">
        <v>2.0040530283219394E-4</v>
      </c>
      <c r="L2161" t="s">
        <v>166</v>
      </c>
    </row>
    <row r="2162" spans="9:12" x14ac:dyDescent="0.45">
      <c r="I2162" t="s">
        <v>199</v>
      </c>
      <c r="J2162" t="s">
        <v>379</v>
      </c>
      <c r="K2162">
        <v>3.3338525458358615E-4</v>
      </c>
      <c r="L2162" t="s">
        <v>166</v>
      </c>
    </row>
    <row r="2163" spans="9:12" x14ac:dyDescent="0.45">
      <c r="I2163" t="s">
        <v>199</v>
      </c>
      <c r="J2163" t="s">
        <v>380</v>
      </c>
      <c r="K2163">
        <v>3.9301792492739049E-4</v>
      </c>
      <c r="L2163" t="s">
        <v>166</v>
      </c>
    </row>
    <row r="2164" spans="9:12" x14ac:dyDescent="0.45">
      <c r="I2164" t="s">
        <v>199</v>
      </c>
      <c r="J2164" t="s">
        <v>381</v>
      </c>
      <c r="K2164">
        <v>4.347403382970768E-4</v>
      </c>
      <c r="L2164" t="s">
        <v>166</v>
      </c>
    </row>
    <row r="2165" spans="9:12" x14ac:dyDescent="0.45">
      <c r="I2165" t="s">
        <v>199</v>
      </c>
      <c r="J2165" t="s">
        <v>382</v>
      </c>
      <c r="K2165">
        <v>4.2465918866381621E-4</v>
      </c>
      <c r="L2165" t="s">
        <v>166</v>
      </c>
    </row>
    <row r="2166" spans="9:12" x14ac:dyDescent="0.45">
      <c r="I2166" t="s">
        <v>199</v>
      </c>
      <c r="J2166" t="s">
        <v>383</v>
      </c>
      <c r="K2166">
        <v>3.540806233562845E-4</v>
      </c>
      <c r="L2166" t="s">
        <v>166</v>
      </c>
    </row>
    <row r="2167" spans="9:12" x14ac:dyDescent="0.45">
      <c r="I2167" t="s">
        <v>199</v>
      </c>
      <c r="J2167" t="s">
        <v>384</v>
      </c>
      <c r="K2167">
        <v>3.6604437043271732E-4</v>
      </c>
      <c r="L2167" t="s">
        <v>166</v>
      </c>
    </row>
    <row r="2168" spans="9:12" x14ac:dyDescent="0.45">
      <c r="I2168" t="s">
        <v>199</v>
      </c>
      <c r="J2168" t="s">
        <v>385</v>
      </c>
      <c r="K2168">
        <v>3.157816808735258E-4</v>
      </c>
      <c r="L2168" t="s">
        <v>166</v>
      </c>
    </row>
    <row r="2169" spans="9:12" x14ac:dyDescent="0.45">
      <c r="I2169" t="s">
        <v>199</v>
      </c>
      <c r="J2169" t="s">
        <v>386</v>
      </c>
      <c r="K2169">
        <v>2.8208054937671961E-4</v>
      </c>
      <c r="L2169" t="s">
        <v>166</v>
      </c>
    </row>
    <row r="2170" spans="9:12" x14ac:dyDescent="0.45">
      <c r="I2170" t="s">
        <v>199</v>
      </c>
      <c r="J2170" t="s">
        <v>387</v>
      </c>
      <c r="K2170">
        <v>2.2671668065774112E-4</v>
      </c>
      <c r="L2170" t="s">
        <v>166</v>
      </c>
    </row>
    <row r="2171" spans="9:12" x14ac:dyDescent="0.45">
      <c r="I2171" t="s">
        <v>199</v>
      </c>
      <c r="J2171" t="s">
        <v>388</v>
      </c>
      <c r="K2171">
        <v>9.5280474470454404E-5</v>
      </c>
      <c r="L2171" t="s">
        <v>166</v>
      </c>
    </row>
    <row r="2172" spans="9:12" x14ac:dyDescent="0.45">
      <c r="I2172" t="s">
        <v>199</v>
      </c>
      <c r="J2172" t="s">
        <v>389</v>
      </c>
      <c r="K2172">
        <v>0</v>
      </c>
      <c r="L2172" t="s">
        <v>166</v>
      </c>
    </row>
    <row r="2173" spans="9:12" x14ac:dyDescent="0.45">
      <c r="I2173" t="s">
        <v>199</v>
      </c>
      <c r="J2173" t="s">
        <v>390</v>
      </c>
      <c r="K2173">
        <v>0</v>
      </c>
      <c r="L2173" t="s">
        <v>166</v>
      </c>
    </row>
    <row r="2174" spans="9:12" x14ac:dyDescent="0.45">
      <c r="I2174" t="s">
        <v>199</v>
      </c>
      <c r="J2174" t="s">
        <v>391</v>
      </c>
      <c r="K2174">
        <v>0</v>
      </c>
      <c r="L2174" t="s">
        <v>166</v>
      </c>
    </row>
    <row r="2175" spans="9:12" x14ac:dyDescent="0.45">
      <c r="I2175" t="s">
        <v>199</v>
      </c>
      <c r="J2175" t="s">
        <v>392</v>
      </c>
      <c r="K2175">
        <v>0</v>
      </c>
      <c r="L2175" t="s">
        <v>166</v>
      </c>
    </row>
    <row r="2176" spans="9:12" x14ac:dyDescent="0.45">
      <c r="I2176" t="s">
        <v>199</v>
      </c>
      <c r="J2176" t="s">
        <v>393</v>
      </c>
      <c r="K2176">
        <v>0</v>
      </c>
      <c r="L2176" t="s">
        <v>166</v>
      </c>
    </row>
    <row r="2177" spans="9:12" x14ac:dyDescent="0.45">
      <c r="I2177" t="s">
        <v>199</v>
      </c>
      <c r="J2177" t="s">
        <v>169</v>
      </c>
      <c r="K2177">
        <v>2.2455114464790126E-3</v>
      </c>
      <c r="L2177" t="s">
        <v>166</v>
      </c>
    </row>
    <row r="2178" spans="9:12" x14ac:dyDescent="0.45">
      <c r="I2178" t="s">
        <v>199</v>
      </c>
      <c r="J2178" t="s">
        <v>170</v>
      </c>
      <c r="K2178">
        <v>4.5720720030298012E-3</v>
      </c>
      <c r="L2178" t="s">
        <v>166</v>
      </c>
    </row>
    <row r="2179" spans="9:12" x14ac:dyDescent="0.45">
      <c r="I2179" t="s">
        <v>199</v>
      </c>
      <c r="J2179" t="s">
        <v>171</v>
      </c>
      <c r="K2179">
        <v>6.6456712836150622E-2</v>
      </c>
      <c r="L2179" t="s">
        <v>166</v>
      </c>
    </row>
    <row r="2180" spans="9:12" x14ac:dyDescent="0.45">
      <c r="I2180" t="s">
        <v>199</v>
      </c>
      <c r="J2180" t="s">
        <v>261</v>
      </c>
      <c r="K2180">
        <v>6.8233108726575582E-3</v>
      </c>
      <c r="L2180" t="s">
        <v>166</v>
      </c>
    </row>
    <row r="2181" spans="9:12" x14ac:dyDescent="0.45">
      <c r="I2181" t="s">
        <v>199</v>
      </c>
      <c r="J2181" t="s">
        <v>262</v>
      </c>
      <c r="K2181">
        <v>8.6832836226162502E-3</v>
      </c>
      <c r="L2181" t="s">
        <v>166</v>
      </c>
    </row>
    <row r="2182" spans="9:12" x14ac:dyDescent="0.45">
      <c r="I2182" t="s">
        <v>199</v>
      </c>
      <c r="J2182" t="s">
        <v>263</v>
      </c>
      <c r="K2182">
        <v>6.7142390784360833E-5</v>
      </c>
      <c r="L2182" t="s">
        <v>166</v>
      </c>
    </row>
    <row r="2183" spans="9:12" x14ac:dyDescent="0.45">
      <c r="I2183" t="s">
        <v>199</v>
      </c>
      <c r="J2183" t="s">
        <v>172</v>
      </c>
      <c r="K2183">
        <v>2.1826469615477419E-3</v>
      </c>
      <c r="L2183" t="s">
        <v>166</v>
      </c>
    </row>
    <row r="2184" spans="9:12" x14ac:dyDescent="0.45">
      <c r="I2184" t="s">
        <v>199</v>
      </c>
      <c r="J2184" t="s">
        <v>173</v>
      </c>
      <c r="K2184">
        <v>4.5212108100066619E-3</v>
      </c>
      <c r="L2184" t="s">
        <v>166</v>
      </c>
    </row>
    <row r="2185" spans="9:12" x14ac:dyDescent="0.45">
      <c r="I2185" t="s">
        <v>199</v>
      </c>
      <c r="J2185" t="s">
        <v>174</v>
      </c>
      <c r="K2185">
        <v>5.7066748495211934E-2</v>
      </c>
      <c r="L2185" t="s">
        <v>166</v>
      </c>
    </row>
    <row r="2186" spans="9:12" x14ac:dyDescent="0.45">
      <c r="I2186" t="s">
        <v>199</v>
      </c>
      <c r="J2186" t="s">
        <v>264</v>
      </c>
      <c r="K2186">
        <v>5.8707298462821345E-3</v>
      </c>
      <c r="L2186" t="s">
        <v>166</v>
      </c>
    </row>
    <row r="2187" spans="9:12" x14ac:dyDescent="0.45">
      <c r="I2187" t="s">
        <v>199</v>
      </c>
      <c r="J2187" t="s">
        <v>265</v>
      </c>
      <c r="K2187">
        <v>7.4892808019627957E-3</v>
      </c>
      <c r="L2187" t="s">
        <v>166</v>
      </c>
    </row>
    <row r="2188" spans="9:12" x14ac:dyDescent="0.45">
      <c r="I2188" t="s">
        <v>199</v>
      </c>
      <c r="J2188" t="s">
        <v>266</v>
      </c>
      <c r="K2188">
        <v>1.763293908300184E-3</v>
      </c>
      <c r="L2188" t="s">
        <v>166</v>
      </c>
    </row>
    <row r="2189" spans="9:12" x14ac:dyDescent="0.45">
      <c r="I2189" t="s">
        <v>199</v>
      </c>
      <c r="J2189" t="s">
        <v>175</v>
      </c>
      <c r="K2189">
        <v>1.0372899951570102E-3</v>
      </c>
      <c r="L2189" t="s">
        <v>166</v>
      </c>
    </row>
    <row r="2190" spans="9:12" x14ac:dyDescent="0.45">
      <c r="I2190" t="s">
        <v>199</v>
      </c>
      <c r="J2190" t="s">
        <v>176</v>
      </c>
      <c r="K2190">
        <v>2.7773860141739647E-3</v>
      </c>
      <c r="L2190" t="s">
        <v>166</v>
      </c>
    </row>
    <row r="2191" spans="9:12" x14ac:dyDescent="0.45">
      <c r="I2191" t="s">
        <v>199</v>
      </c>
      <c r="J2191" t="s">
        <v>177</v>
      </c>
      <c r="K2191">
        <v>4.8211428482860974E-2</v>
      </c>
      <c r="L2191" t="s">
        <v>166</v>
      </c>
    </row>
    <row r="2192" spans="9:12" x14ac:dyDescent="0.45">
      <c r="I2192" t="s">
        <v>199</v>
      </c>
      <c r="J2192" t="s">
        <v>267</v>
      </c>
      <c r="K2192">
        <v>4.9395838900343396E-3</v>
      </c>
      <c r="L2192" t="s">
        <v>166</v>
      </c>
    </row>
    <row r="2193" spans="9:12" x14ac:dyDescent="0.45">
      <c r="I2193" t="s">
        <v>199</v>
      </c>
      <c r="J2193" t="s">
        <v>268</v>
      </c>
      <c r="K2193">
        <v>5.4064565909460582E-3</v>
      </c>
      <c r="L2193" t="s">
        <v>166</v>
      </c>
    </row>
    <row r="2194" spans="9:12" x14ac:dyDescent="0.45">
      <c r="I2194" t="s">
        <v>199</v>
      </c>
      <c r="J2194" t="s">
        <v>269</v>
      </c>
      <c r="K2194">
        <v>8.701275635752977E-4</v>
      </c>
      <c r="L2194" t="s">
        <v>166</v>
      </c>
    </row>
    <row r="2195" spans="9:12" x14ac:dyDescent="0.45">
      <c r="I2195" t="s">
        <v>199</v>
      </c>
      <c r="J2195" t="s">
        <v>270</v>
      </c>
      <c r="K2195">
        <v>1.3553196016086861E-3</v>
      </c>
      <c r="L2195" t="s">
        <v>166</v>
      </c>
    </row>
    <row r="2196" spans="9:12" x14ac:dyDescent="0.45">
      <c r="I2196" t="s">
        <v>199</v>
      </c>
      <c r="J2196" t="s">
        <v>271</v>
      </c>
      <c r="K2196">
        <v>3.43415826155583E-3</v>
      </c>
      <c r="L2196" t="s">
        <v>166</v>
      </c>
    </row>
    <row r="2197" spans="9:12" x14ac:dyDescent="0.45">
      <c r="I2197" t="s">
        <v>199</v>
      </c>
      <c r="J2197" t="s">
        <v>272</v>
      </c>
      <c r="K2197">
        <v>5.6581370716872983E-2</v>
      </c>
      <c r="L2197" t="s">
        <v>166</v>
      </c>
    </row>
    <row r="2198" spans="9:12" x14ac:dyDescent="0.45">
      <c r="I2198" t="s">
        <v>199</v>
      </c>
      <c r="J2198" t="s">
        <v>273</v>
      </c>
      <c r="K2198">
        <v>5.3308010698942324E-3</v>
      </c>
      <c r="L2198" t="s">
        <v>166</v>
      </c>
    </row>
    <row r="2199" spans="9:12" x14ac:dyDescent="0.45">
      <c r="I2199" t="s">
        <v>199</v>
      </c>
      <c r="J2199" t="s">
        <v>274</v>
      </c>
      <c r="K2199">
        <v>5.5881429887464874E-3</v>
      </c>
      <c r="L2199" t="s">
        <v>166</v>
      </c>
    </row>
    <row r="2200" spans="9:12" x14ac:dyDescent="0.45">
      <c r="I2200" t="s">
        <v>199</v>
      </c>
      <c r="J2200" t="s">
        <v>275</v>
      </c>
      <c r="K2200">
        <v>8.0636521662104483E-5</v>
      </c>
      <c r="L2200" t="s">
        <v>166</v>
      </c>
    </row>
    <row r="2201" spans="9:12" x14ac:dyDescent="0.45">
      <c r="I2201" t="s">
        <v>199</v>
      </c>
      <c r="J2201" t="s">
        <v>276</v>
      </c>
      <c r="K2201">
        <v>4.4978564520319342E-3</v>
      </c>
      <c r="L2201" t="s">
        <v>166</v>
      </c>
    </row>
    <row r="2202" spans="9:12" x14ac:dyDescent="0.45">
      <c r="I2202" t="s">
        <v>199</v>
      </c>
      <c r="J2202" t="s">
        <v>277</v>
      </c>
      <c r="K2202">
        <v>9.0634359444570836E-3</v>
      </c>
      <c r="L2202" t="s">
        <v>166</v>
      </c>
    </row>
    <row r="2203" spans="9:12" x14ac:dyDescent="0.45">
      <c r="I2203" t="s">
        <v>199</v>
      </c>
      <c r="J2203" t="s">
        <v>278</v>
      </c>
      <c r="K2203">
        <v>0.11341567042896374</v>
      </c>
      <c r="L2203" t="s">
        <v>166</v>
      </c>
    </row>
    <row r="2204" spans="9:12" x14ac:dyDescent="0.45">
      <c r="I2204" t="s">
        <v>199</v>
      </c>
      <c r="J2204" t="s">
        <v>279</v>
      </c>
      <c r="K2204">
        <v>1.1810973754329797E-2</v>
      </c>
      <c r="L2204" t="s">
        <v>166</v>
      </c>
    </row>
    <row r="2205" spans="9:12" x14ac:dyDescent="0.45">
      <c r="I2205" t="s">
        <v>199</v>
      </c>
      <c r="J2205" t="s">
        <v>280</v>
      </c>
      <c r="K2205">
        <v>1.2352192886392171E-2</v>
      </c>
      <c r="L2205" t="s">
        <v>166</v>
      </c>
    </row>
    <row r="2206" spans="9:12" x14ac:dyDescent="0.45">
      <c r="I2206" t="s">
        <v>199</v>
      </c>
      <c r="J2206" t="s">
        <v>281</v>
      </c>
      <c r="K2206">
        <v>0</v>
      </c>
      <c r="L2206" t="s">
        <v>166</v>
      </c>
    </row>
    <row r="2207" spans="9:12" x14ac:dyDescent="0.45">
      <c r="I2207" t="s">
        <v>199</v>
      </c>
      <c r="J2207" t="s">
        <v>282</v>
      </c>
      <c r="K2207">
        <v>1.4804900051733287E-3</v>
      </c>
      <c r="L2207" t="s">
        <v>166</v>
      </c>
    </row>
    <row r="2208" spans="9:12" x14ac:dyDescent="0.45">
      <c r="I2208" t="s">
        <v>199</v>
      </c>
      <c r="J2208" t="s">
        <v>283</v>
      </c>
      <c r="K2208">
        <v>3.3848126181282245E-3</v>
      </c>
      <c r="L2208" t="s">
        <v>166</v>
      </c>
    </row>
    <row r="2209" spans="9:12" x14ac:dyDescent="0.45">
      <c r="I2209" t="s">
        <v>199</v>
      </c>
      <c r="J2209" t="s">
        <v>284</v>
      </c>
      <c r="K2209">
        <v>5.2501608491182822E-2</v>
      </c>
      <c r="L2209" t="s">
        <v>166</v>
      </c>
    </row>
    <row r="2210" spans="9:12" x14ac:dyDescent="0.45">
      <c r="I2210" t="s">
        <v>199</v>
      </c>
      <c r="J2210" t="s">
        <v>285</v>
      </c>
      <c r="K2210">
        <v>5.2509946613721586E-3</v>
      </c>
      <c r="L2210" t="s">
        <v>166</v>
      </c>
    </row>
    <row r="2211" spans="9:12" x14ac:dyDescent="0.45">
      <c r="I2211" t="s">
        <v>199</v>
      </c>
      <c r="J2211" t="s">
        <v>286</v>
      </c>
      <c r="K2211">
        <v>3.3632128252654887E-3</v>
      </c>
      <c r="L2211" t="s">
        <v>166</v>
      </c>
    </row>
    <row r="2212" spans="9:12" x14ac:dyDescent="0.45">
      <c r="I2212" t="s">
        <v>199</v>
      </c>
      <c r="J2212" t="s">
        <v>287</v>
      </c>
      <c r="K2212">
        <v>0</v>
      </c>
      <c r="L2212" t="s">
        <v>166</v>
      </c>
    </row>
    <row r="2213" spans="9:12" x14ac:dyDescent="0.45">
      <c r="I2213" t="s">
        <v>199</v>
      </c>
      <c r="J2213" t="s">
        <v>288</v>
      </c>
      <c r="K2213">
        <v>4.8152947063763571E-4</v>
      </c>
      <c r="L2213" t="s">
        <v>166</v>
      </c>
    </row>
    <row r="2214" spans="9:12" x14ac:dyDescent="0.45">
      <c r="I2214" t="s">
        <v>199</v>
      </c>
      <c r="J2214" t="s">
        <v>289</v>
      </c>
      <c r="K2214">
        <v>6.152018745650043E-3</v>
      </c>
      <c r="L2214" t="s">
        <v>166</v>
      </c>
    </row>
    <row r="2215" spans="9:12" x14ac:dyDescent="0.45">
      <c r="I2215" t="s">
        <v>199</v>
      </c>
      <c r="J2215" t="s">
        <v>290</v>
      </c>
      <c r="K2215">
        <v>7.7950300950090257E-2</v>
      </c>
      <c r="L2215" t="s">
        <v>166</v>
      </c>
    </row>
    <row r="2216" spans="9:12" x14ac:dyDescent="0.45">
      <c r="I2216" t="s">
        <v>199</v>
      </c>
      <c r="J2216" t="s">
        <v>291</v>
      </c>
      <c r="K2216">
        <v>9.0572868444058381E-3</v>
      </c>
      <c r="L2216" t="s">
        <v>166</v>
      </c>
    </row>
    <row r="2217" spans="9:12" x14ac:dyDescent="0.45">
      <c r="I2217" t="s">
        <v>199</v>
      </c>
      <c r="J2217" t="s">
        <v>292</v>
      </c>
      <c r="K2217">
        <v>6.3455957344781301E-3</v>
      </c>
      <c r="L2217" t="s">
        <v>166</v>
      </c>
    </row>
    <row r="2218" spans="9:12" x14ac:dyDescent="0.45">
      <c r="I2218" t="s">
        <v>199</v>
      </c>
      <c r="J2218" t="s">
        <v>293</v>
      </c>
      <c r="K2218">
        <v>0</v>
      </c>
      <c r="L2218" t="s">
        <v>166</v>
      </c>
    </row>
    <row r="2219" spans="9:12" x14ac:dyDescent="0.45">
      <c r="I2219" t="s">
        <v>200</v>
      </c>
      <c r="J2219" t="s">
        <v>165</v>
      </c>
      <c r="K2219">
        <v>7.2907597266764178E-3</v>
      </c>
      <c r="L2219" t="s">
        <v>166</v>
      </c>
    </row>
    <row r="2220" spans="9:12" x14ac:dyDescent="0.45">
      <c r="I2220" t="s">
        <v>200</v>
      </c>
      <c r="J2220" t="s">
        <v>167</v>
      </c>
      <c r="K2220">
        <v>1.8637413821171619E-2</v>
      </c>
      <c r="L2220" t="s">
        <v>166</v>
      </c>
    </row>
    <row r="2221" spans="9:12" x14ac:dyDescent="0.45">
      <c r="I2221" t="s">
        <v>200</v>
      </c>
      <c r="J2221" t="s">
        <v>168</v>
      </c>
      <c r="K2221">
        <v>0.26603204757370086</v>
      </c>
      <c r="L2221" t="s">
        <v>166</v>
      </c>
    </row>
    <row r="2222" spans="9:12" x14ac:dyDescent="0.45">
      <c r="I2222" t="s">
        <v>200</v>
      </c>
      <c r="J2222" t="s">
        <v>258</v>
      </c>
      <c r="K2222">
        <v>3.0594615754169521E-2</v>
      </c>
      <c r="L2222" t="s">
        <v>166</v>
      </c>
    </row>
    <row r="2223" spans="9:12" x14ac:dyDescent="0.45">
      <c r="I2223" t="s">
        <v>200</v>
      </c>
      <c r="J2223" t="s">
        <v>259</v>
      </c>
      <c r="K2223">
        <v>3.5317375181324162E-2</v>
      </c>
      <c r="L2223" t="s">
        <v>166</v>
      </c>
    </row>
    <row r="2224" spans="9:12" x14ac:dyDescent="0.45">
      <c r="I2224" t="s">
        <v>200</v>
      </c>
      <c r="J2224" t="s">
        <v>260</v>
      </c>
      <c r="K2224">
        <v>0</v>
      </c>
      <c r="L2224" t="s">
        <v>166</v>
      </c>
    </row>
    <row r="2225" spans="9:12" x14ac:dyDescent="0.45">
      <c r="I2225" t="s">
        <v>200</v>
      </c>
      <c r="J2225" t="s">
        <v>346</v>
      </c>
      <c r="K2225">
        <v>0</v>
      </c>
      <c r="L2225" t="s">
        <v>166</v>
      </c>
    </row>
    <row r="2226" spans="9:12" x14ac:dyDescent="0.45">
      <c r="I2226" t="s">
        <v>200</v>
      </c>
      <c r="J2226" t="s">
        <v>347</v>
      </c>
      <c r="K2226">
        <v>0</v>
      </c>
      <c r="L2226" t="s">
        <v>166</v>
      </c>
    </row>
    <row r="2227" spans="9:12" x14ac:dyDescent="0.45">
      <c r="I2227" t="s">
        <v>200</v>
      </c>
      <c r="J2227" t="s">
        <v>348</v>
      </c>
      <c r="K2227">
        <v>0</v>
      </c>
      <c r="L2227" t="s">
        <v>166</v>
      </c>
    </row>
    <row r="2228" spans="9:12" x14ac:dyDescent="0.45">
      <c r="I2228" t="s">
        <v>200</v>
      </c>
      <c r="J2228" t="s">
        <v>349</v>
      </c>
      <c r="K2228">
        <v>0</v>
      </c>
      <c r="L2228" t="s">
        <v>166</v>
      </c>
    </row>
    <row r="2229" spans="9:12" x14ac:dyDescent="0.45">
      <c r="I2229" t="s">
        <v>200</v>
      </c>
      <c r="J2229" t="s">
        <v>350</v>
      </c>
      <c r="K2229">
        <v>0</v>
      </c>
      <c r="L2229" t="s">
        <v>166</v>
      </c>
    </row>
    <row r="2230" spans="9:12" x14ac:dyDescent="0.45">
      <c r="I2230" t="s">
        <v>200</v>
      </c>
      <c r="J2230" t="s">
        <v>351</v>
      </c>
      <c r="K2230">
        <v>0</v>
      </c>
      <c r="L2230" t="s">
        <v>166</v>
      </c>
    </row>
    <row r="2231" spans="9:12" x14ac:dyDescent="0.45">
      <c r="I2231" t="s">
        <v>200</v>
      </c>
      <c r="J2231" t="s">
        <v>352</v>
      </c>
      <c r="K2231">
        <v>0</v>
      </c>
      <c r="L2231" t="s">
        <v>166</v>
      </c>
    </row>
    <row r="2232" spans="9:12" x14ac:dyDescent="0.45">
      <c r="I2232" t="s">
        <v>200</v>
      </c>
      <c r="J2232" t="s">
        <v>353</v>
      </c>
      <c r="K2232">
        <v>0</v>
      </c>
      <c r="L2232" t="s">
        <v>166</v>
      </c>
    </row>
    <row r="2233" spans="9:12" x14ac:dyDescent="0.45">
      <c r="I2233" t="s">
        <v>200</v>
      </c>
      <c r="J2233" t="s">
        <v>354</v>
      </c>
      <c r="K2233">
        <v>5.5304912323438683E-5</v>
      </c>
      <c r="L2233" t="s">
        <v>166</v>
      </c>
    </row>
    <row r="2234" spans="9:12" x14ac:dyDescent="0.45">
      <c r="I2234" t="s">
        <v>200</v>
      </c>
      <c r="J2234" t="s">
        <v>355</v>
      </c>
      <c r="K2234">
        <v>1.0755047296797318E-4</v>
      </c>
      <c r="L2234" t="s">
        <v>166</v>
      </c>
    </row>
    <row r="2235" spans="9:12" x14ac:dyDescent="0.45">
      <c r="I2235" t="s">
        <v>200</v>
      </c>
      <c r="J2235" t="s">
        <v>356</v>
      </c>
      <c r="K2235">
        <v>2.2240990490761026E-4</v>
      </c>
      <c r="L2235" t="s">
        <v>166</v>
      </c>
    </row>
    <row r="2236" spans="9:12" x14ac:dyDescent="0.45">
      <c r="I2236" t="s">
        <v>200</v>
      </c>
      <c r="J2236" t="s">
        <v>357</v>
      </c>
      <c r="K2236">
        <v>2.4617686434027516E-4</v>
      </c>
      <c r="L2236" t="s">
        <v>166</v>
      </c>
    </row>
    <row r="2237" spans="9:12" x14ac:dyDescent="0.45">
      <c r="I2237" t="s">
        <v>200</v>
      </c>
      <c r="J2237" t="s">
        <v>358</v>
      </c>
      <c r="K2237">
        <v>2.6132436266756423E-4</v>
      </c>
      <c r="L2237" t="s">
        <v>166</v>
      </c>
    </row>
    <row r="2238" spans="9:12" x14ac:dyDescent="0.45">
      <c r="I2238" t="s">
        <v>200</v>
      </c>
      <c r="J2238" t="s">
        <v>359</v>
      </c>
      <c r="K2238">
        <v>2.5920586271777882E-4</v>
      </c>
      <c r="L2238" t="s">
        <v>166</v>
      </c>
    </row>
    <row r="2239" spans="9:12" x14ac:dyDescent="0.45">
      <c r="I2239" t="s">
        <v>200</v>
      </c>
      <c r="J2239" t="s">
        <v>360</v>
      </c>
      <c r="K2239">
        <v>2.1860588419473574E-4</v>
      </c>
      <c r="L2239" t="s">
        <v>166</v>
      </c>
    </row>
    <row r="2240" spans="9:12" x14ac:dyDescent="0.45">
      <c r="I2240" t="s">
        <v>200</v>
      </c>
      <c r="J2240" t="s">
        <v>361</v>
      </c>
      <c r="K2240">
        <v>1.788455807728759E-4</v>
      </c>
      <c r="L2240" t="s">
        <v>166</v>
      </c>
    </row>
    <row r="2241" spans="9:12" x14ac:dyDescent="0.45">
      <c r="I2241" t="s">
        <v>200</v>
      </c>
      <c r="J2241" t="s">
        <v>362</v>
      </c>
      <c r="K2241">
        <v>1.4850139186159707E-4</v>
      </c>
      <c r="L2241" t="s">
        <v>166</v>
      </c>
    </row>
    <row r="2242" spans="9:12" x14ac:dyDescent="0.45">
      <c r="I2242" t="s">
        <v>200</v>
      </c>
      <c r="J2242" t="s">
        <v>363</v>
      </c>
      <c r="K2242">
        <v>1.2203369746918983E-4</v>
      </c>
      <c r="L2242" t="s">
        <v>166</v>
      </c>
    </row>
    <row r="2243" spans="9:12" x14ac:dyDescent="0.45">
      <c r="I2243" t="s">
        <v>200</v>
      </c>
      <c r="J2243" t="s">
        <v>364</v>
      </c>
      <c r="K2243">
        <v>7.1945072427432029E-5</v>
      </c>
      <c r="L2243" t="s">
        <v>166</v>
      </c>
    </row>
    <row r="2244" spans="9:12" x14ac:dyDescent="0.45">
      <c r="I2244" t="s">
        <v>200</v>
      </c>
      <c r="J2244" t="s">
        <v>365</v>
      </c>
      <c r="K2244">
        <v>0</v>
      </c>
      <c r="L2244" t="s">
        <v>166</v>
      </c>
    </row>
    <row r="2245" spans="9:12" x14ac:dyDescent="0.45">
      <c r="I2245" t="s">
        <v>200</v>
      </c>
      <c r="J2245" t="s">
        <v>366</v>
      </c>
      <c r="K2245">
        <v>0</v>
      </c>
      <c r="L2245" t="s">
        <v>166</v>
      </c>
    </row>
    <row r="2246" spans="9:12" x14ac:dyDescent="0.45">
      <c r="I2246" t="s">
        <v>200</v>
      </c>
      <c r="J2246" t="s">
        <v>367</v>
      </c>
      <c r="K2246">
        <v>0</v>
      </c>
      <c r="L2246" t="s">
        <v>166</v>
      </c>
    </row>
    <row r="2247" spans="9:12" x14ac:dyDescent="0.45">
      <c r="I2247" t="s">
        <v>200</v>
      </c>
      <c r="J2247" t="s">
        <v>368</v>
      </c>
      <c r="K2247">
        <v>0</v>
      </c>
      <c r="L2247" t="s">
        <v>166</v>
      </c>
    </row>
    <row r="2248" spans="9:12" x14ac:dyDescent="0.45">
      <c r="I2248" t="s">
        <v>200</v>
      </c>
      <c r="J2248" t="s">
        <v>369</v>
      </c>
      <c r="K2248">
        <v>0</v>
      </c>
      <c r="L2248" t="s">
        <v>166</v>
      </c>
    </row>
    <row r="2249" spans="9:12" x14ac:dyDescent="0.45">
      <c r="I2249" t="s">
        <v>200</v>
      </c>
      <c r="J2249" t="s">
        <v>370</v>
      </c>
      <c r="K2249">
        <v>0</v>
      </c>
      <c r="L2249" t="s">
        <v>166</v>
      </c>
    </row>
    <row r="2250" spans="9:12" x14ac:dyDescent="0.45">
      <c r="I2250" t="s">
        <v>200</v>
      </c>
      <c r="J2250" t="s">
        <v>371</v>
      </c>
      <c r="K2250">
        <v>0</v>
      </c>
      <c r="L2250" t="s">
        <v>166</v>
      </c>
    </row>
    <row r="2251" spans="9:12" x14ac:dyDescent="0.45">
      <c r="I2251" t="s">
        <v>200</v>
      </c>
      <c r="J2251" t="s">
        <v>372</v>
      </c>
      <c r="K2251">
        <v>0</v>
      </c>
      <c r="L2251" t="s">
        <v>166</v>
      </c>
    </row>
    <row r="2252" spans="9:12" x14ac:dyDescent="0.45">
      <c r="I2252" t="s">
        <v>200</v>
      </c>
      <c r="J2252" t="s">
        <v>373</v>
      </c>
      <c r="K2252">
        <v>0</v>
      </c>
      <c r="L2252" t="s">
        <v>166</v>
      </c>
    </row>
    <row r="2253" spans="9:12" x14ac:dyDescent="0.45">
      <c r="I2253" t="s">
        <v>200</v>
      </c>
      <c r="J2253" t="s">
        <v>374</v>
      </c>
      <c r="K2253">
        <v>0</v>
      </c>
      <c r="L2253" t="s">
        <v>166</v>
      </c>
    </row>
    <row r="2254" spans="9:12" x14ac:dyDescent="0.45">
      <c r="I2254" t="s">
        <v>200</v>
      </c>
      <c r="J2254" t="s">
        <v>375</v>
      </c>
      <c r="K2254">
        <v>0</v>
      </c>
      <c r="L2254" t="s">
        <v>166</v>
      </c>
    </row>
    <row r="2255" spans="9:12" x14ac:dyDescent="0.45">
      <c r="I2255" t="s">
        <v>200</v>
      </c>
      <c r="J2255" t="s">
        <v>376</v>
      </c>
      <c r="K2255">
        <v>0</v>
      </c>
      <c r="L2255" t="s">
        <v>166</v>
      </c>
    </row>
    <row r="2256" spans="9:12" x14ac:dyDescent="0.45">
      <c r="I2256" t="s">
        <v>200</v>
      </c>
      <c r="J2256" t="s">
        <v>377</v>
      </c>
      <c r="K2256">
        <v>4.772934826583434E-5</v>
      </c>
      <c r="L2256" t="s">
        <v>166</v>
      </c>
    </row>
    <row r="2257" spans="9:12" x14ac:dyDescent="0.45">
      <c r="I2257" t="s">
        <v>200</v>
      </c>
      <c r="J2257" t="s">
        <v>378</v>
      </c>
      <c r="K2257">
        <v>1.9347318858847854E-4</v>
      </c>
      <c r="L2257" t="s">
        <v>166</v>
      </c>
    </row>
    <row r="2258" spans="9:12" x14ac:dyDescent="0.45">
      <c r="I2258" t="s">
        <v>200</v>
      </c>
      <c r="J2258" t="s">
        <v>379</v>
      </c>
      <c r="K2258">
        <v>3.2896681361361835E-4</v>
      </c>
      <c r="L2258" t="s">
        <v>166</v>
      </c>
    </row>
    <row r="2259" spans="9:12" x14ac:dyDescent="0.45">
      <c r="I2259" t="s">
        <v>200</v>
      </c>
      <c r="J2259" t="s">
        <v>380</v>
      </c>
      <c r="K2259">
        <v>4.3122124383510816E-4</v>
      </c>
      <c r="L2259" t="s">
        <v>166</v>
      </c>
    </row>
    <row r="2260" spans="9:12" x14ac:dyDescent="0.45">
      <c r="I2260" t="s">
        <v>200</v>
      </c>
      <c r="J2260" t="s">
        <v>381</v>
      </c>
      <c r="K2260">
        <v>4.7148111981583867E-4</v>
      </c>
      <c r="L2260" t="s">
        <v>166</v>
      </c>
    </row>
    <row r="2261" spans="9:12" x14ac:dyDescent="0.45">
      <c r="I2261" t="s">
        <v>200</v>
      </c>
      <c r="J2261" t="s">
        <v>382</v>
      </c>
      <c r="K2261">
        <v>4.6282312353172148E-4</v>
      </c>
      <c r="L2261" t="s">
        <v>166</v>
      </c>
    </row>
    <row r="2262" spans="9:12" x14ac:dyDescent="0.45">
      <c r="I2262" t="s">
        <v>200</v>
      </c>
      <c r="J2262" t="s">
        <v>383</v>
      </c>
      <c r="K2262">
        <v>4.3655629839328041E-4</v>
      </c>
      <c r="L2262" t="s">
        <v>166</v>
      </c>
    </row>
    <row r="2263" spans="9:12" x14ac:dyDescent="0.45">
      <c r="I2263" t="s">
        <v>200</v>
      </c>
      <c r="J2263" t="s">
        <v>384</v>
      </c>
      <c r="K2263">
        <v>4.0214583156736832E-4</v>
      </c>
      <c r="L2263" t="s">
        <v>166</v>
      </c>
    </row>
    <row r="2264" spans="9:12" x14ac:dyDescent="0.45">
      <c r="I2264" t="s">
        <v>200</v>
      </c>
      <c r="J2264" t="s">
        <v>385</v>
      </c>
      <c r="K2264">
        <v>3.6626804107141997E-4</v>
      </c>
      <c r="L2264" t="s">
        <v>166</v>
      </c>
    </row>
    <row r="2265" spans="9:12" x14ac:dyDescent="0.45">
      <c r="I2265" t="s">
        <v>200</v>
      </c>
      <c r="J2265" t="s">
        <v>386</v>
      </c>
      <c r="K2265">
        <v>3.1466196582850749E-4</v>
      </c>
      <c r="L2265" t="s">
        <v>166</v>
      </c>
    </row>
    <row r="2266" spans="9:12" x14ac:dyDescent="0.45">
      <c r="I2266" t="s">
        <v>200</v>
      </c>
      <c r="J2266" t="s">
        <v>387</v>
      </c>
      <c r="K2266">
        <v>2.6749726865092996E-4</v>
      </c>
      <c r="L2266" t="s">
        <v>166</v>
      </c>
    </row>
    <row r="2267" spans="9:12" x14ac:dyDescent="0.45">
      <c r="I2267" t="s">
        <v>200</v>
      </c>
      <c r="J2267" t="s">
        <v>388</v>
      </c>
      <c r="K2267">
        <v>1.2462946945669974E-4</v>
      </c>
      <c r="L2267" t="s">
        <v>166</v>
      </c>
    </row>
    <row r="2268" spans="9:12" x14ac:dyDescent="0.45">
      <c r="I2268" t="s">
        <v>200</v>
      </c>
      <c r="J2268" t="s">
        <v>389</v>
      </c>
      <c r="K2268">
        <v>0</v>
      </c>
      <c r="L2268" t="s">
        <v>166</v>
      </c>
    </row>
    <row r="2269" spans="9:12" x14ac:dyDescent="0.45">
      <c r="I2269" t="s">
        <v>200</v>
      </c>
      <c r="J2269" t="s">
        <v>390</v>
      </c>
      <c r="K2269">
        <v>0</v>
      </c>
      <c r="L2269" t="s">
        <v>166</v>
      </c>
    </row>
    <row r="2270" spans="9:12" x14ac:dyDescent="0.45">
      <c r="I2270" t="s">
        <v>200</v>
      </c>
      <c r="J2270" t="s">
        <v>391</v>
      </c>
      <c r="K2270">
        <v>0</v>
      </c>
      <c r="L2270" t="s">
        <v>166</v>
      </c>
    </row>
    <row r="2271" spans="9:12" x14ac:dyDescent="0.45">
      <c r="I2271" t="s">
        <v>200</v>
      </c>
      <c r="J2271" t="s">
        <v>392</v>
      </c>
      <c r="K2271">
        <v>0</v>
      </c>
      <c r="L2271" t="s">
        <v>166</v>
      </c>
    </row>
    <row r="2272" spans="9:12" x14ac:dyDescent="0.45">
      <c r="I2272" t="s">
        <v>200</v>
      </c>
      <c r="J2272" t="s">
        <v>393</v>
      </c>
      <c r="K2272">
        <v>0</v>
      </c>
      <c r="L2272" t="s">
        <v>166</v>
      </c>
    </row>
    <row r="2273" spans="9:12" x14ac:dyDescent="0.45">
      <c r="I2273" t="s">
        <v>200</v>
      </c>
      <c r="J2273" t="s">
        <v>169</v>
      </c>
      <c r="K2273">
        <v>3.875710758067882E-3</v>
      </c>
      <c r="L2273" t="s">
        <v>166</v>
      </c>
    </row>
    <row r="2274" spans="9:12" x14ac:dyDescent="0.45">
      <c r="I2274" t="s">
        <v>200</v>
      </c>
      <c r="J2274" t="s">
        <v>170</v>
      </c>
      <c r="K2274">
        <v>5.9085433226521338E-3</v>
      </c>
      <c r="L2274" t="s">
        <v>166</v>
      </c>
    </row>
    <row r="2275" spans="9:12" x14ac:dyDescent="0.45">
      <c r="I2275" t="s">
        <v>200</v>
      </c>
      <c r="J2275" t="s">
        <v>171</v>
      </c>
      <c r="K2275">
        <v>7.1477461947010296E-2</v>
      </c>
      <c r="L2275" t="s">
        <v>166</v>
      </c>
    </row>
    <row r="2276" spans="9:12" x14ac:dyDescent="0.45">
      <c r="I2276" t="s">
        <v>200</v>
      </c>
      <c r="J2276" t="s">
        <v>261</v>
      </c>
      <c r="K2276">
        <v>7.4811746105818908E-3</v>
      </c>
      <c r="L2276" t="s">
        <v>166</v>
      </c>
    </row>
    <row r="2277" spans="9:12" x14ac:dyDescent="0.45">
      <c r="I2277" t="s">
        <v>200</v>
      </c>
      <c r="J2277" t="s">
        <v>262</v>
      </c>
      <c r="K2277">
        <v>9.7152252853131803E-3</v>
      </c>
      <c r="L2277" t="s">
        <v>166</v>
      </c>
    </row>
    <row r="2278" spans="9:12" x14ac:dyDescent="0.45">
      <c r="I2278" t="s">
        <v>200</v>
      </c>
      <c r="J2278" t="s">
        <v>263</v>
      </c>
      <c r="K2278">
        <v>0</v>
      </c>
      <c r="L2278" t="s">
        <v>166</v>
      </c>
    </row>
    <row r="2279" spans="9:12" x14ac:dyDescent="0.45">
      <c r="I2279" t="s">
        <v>200</v>
      </c>
      <c r="J2279" t="s">
        <v>172</v>
      </c>
      <c r="K2279">
        <v>4.1397650835791758E-3</v>
      </c>
      <c r="L2279" t="s">
        <v>166</v>
      </c>
    </row>
    <row r="2280" spans="9:12" x14ac:dyDescent="0.45">
      <c r="I2280" t="s">
        <v>200</v>
      </c>
      <c r="J2280" t="s">
        <v>173</v>
      </c>
      <c r="K2280">
        <v>5.4280466686335172E-3</v>
      </c>
      <c r="L2280" t="s">
        <v>166</v>
      </c>
    </row>
    <row r="2281" spans="9:12" x14ac:dyDescent="0.45">
      <c r="I2281" t="s">
        <v>200</v>
      </c>
      <c r="J2281" t="s">
        <v>174</v>
      </c>
      <c r="K2281">
        <v>6.379762139128109E-2</v>
      </c>
      <c r="L2281" t="s">
        <v>166</v>
      </c>
    </row>
    <row r="2282" spans="9:12" x14ac:dyDescent="0.45">
      <c r="I2282" t="s">
        <v>200</v>
      </c>
      <c r="J2282" t="s">
        <v>264</v>
      </c>
      <c r="K2282">
        <v>7.0877623938683998E-3</v>
      </c>
      <c r="L2282" t="s">
        <v>166</v>
      </c>
    </row>
    <row r="2283" spans="9:12" x14ac:dyDescent="0.45">
      <c r="I2283" t="s">
        <v>200</v>
      </c>
      <c r="J2283" t="s">
        <v>265</v>
      </c>
      <c r="K2283">
        <v>9.6329298451130526E-3</v>
      </c>
      <c r="L2283" t="s">
        <v>166</v>
      </c>
    </row>
    <row r="2284" spans="9:12" x14ac:dyDescent="0.45">
      <c r="I2284" t="s">
        <v>200</v>
      </c>
      <c r="J2284" t="s">
        <v>266</v>
      </c>
      <c r="K2284">
        <v>1.4439946798211999E-4</v>
      </c>
      <c r="L2284" t="s">
        <v>166</v>
      </c>
    </row>
    <row r="2285" spans="9:12" x14ac:dyDescent="0.45">
      <c r="I2285" t="s">
        <v>200</v>
      </c>
      <c r="J2285" t="s">
        <v>175</v>
      </c>
      <c r="K2285">
        <v>1.640001322237963E-3</v>
      </c>
      <c r="L2285" t="s">
        <v>166</v>
      </c>
    </row>
    <row r="2286" spans="9:12" x14ac:dyDescent="0.45">
      <c r="I2286" t="s">
        <v>200</v>
      </c>
      <c r="J2286" t="s">
        <v>176</v>
      </c>
      <c r="K2286">
        <v>3.540253458408844E-3</v>
      </c>
      <c r="L2286" t="s">
        <v>166</v>
      </c>
    </row>
    <row r="2287" spans="9:12" x14ac:dyDescent="0.45">
      <c r="I2287" t="s">
        <v>200</v>
      </c>
      <c r="J2287" t="s">
        <v>177</v>
      </c>
      <c r="K2287">
        <v>5.5334952046312356E-2</v>
      </c>
      <c r="L2287" t="s">
        <v>166</v>
      </c>
    </row>
    <row r="2288" spans="9:12" x14ac:dyDescent="0.45">
      <c r="I2288" t="s">
        <v>200</v>
      </c>
      <c r="J2288" t="s">
        <v>267</v>
      </c>
      <c r="K2288">
        <v>6.1461546118780734E-3</v>
      </c>
      <c r="L2288" t="s">
        <v>166</v>
      </c>
    </row>
    <row r="2289" spans="9:12" x14ac:dyDescent="0.45">
      <c r="I2289" t="s">
        <v>200</v>
      </c>
      <c r="J2289" t="s">
        <v>268</v>
      </c>
      <c r="K2289">
        <v>7.8199127641910716E-3</v>
      </c>
      <c r="L2289" t="s">
        <v>166</v>
      </c>
    </row>
    <row r="2290" spans="9:12" x14ac:dyDescent="0.45">
      <c r="I2290" t="s">
        <v>200</v>
      </c>
      <c r="J2290" t="s">
        <v>269</v>
      </c>
      <c r="K2290">
        <v>3.3192205955512527E-4</v>
      </c>
      <c r="L2290" t="s">
        <v>166</v>
      </c>
    </row>
    <row r="2291" spans="9:12" x14ac:dyDescent="0.45">
      <c r="I2291" t="s">
        <v>200</v>
      </c>
      <c r="J2291" t="s">
        <v>270</v>
      </c>
      <c r="K2291">
        <v>1.9059792576516107E-3</v>
      </c>
      <c r="L2291" t="s">
        <v>166</v>
      </c>
    </row>
    <row r="2292" spans="9:12" x14ac:dyDescent="0.45">
      <c r="I2292" t="s">
        <v>200</v>
      </c>
      <c r="J2292" t="s">
        <v>271</v>
      </c>
      <c r="K2292">
        <v>4.1061702309560426E-3</v>
      </c>
      <c r="L2292" t="s">
        <v>166</v>
      </c>
    </row>
    <row r="2293" spans="9:12" x14ac:dyDescent="0.45">
      <c r="I2293" t="s">
        <v>200</v>
      </c>
      <c r="J2293" t="s">
        <v>272</v>
      </c>
      <c r="K2293">
        <v>5.8999430930642464E-2</v>
      </c>
      <c r="L2293" t="s">
        <v>166</v>
      </c>
    </row>
    <row r="2294" spans="9:12" x14ac:dyDescent="0.45">
      <c r="I2294" t="s">
        <v>200</v>
      </c>
      <c r="J2294" t="s">
        <v>273</v>
      </c>
      <c r="K2294">
        <v>6.2172145374644206E-3</v>
      </c>
      <c r="L2294" t="s">
        <v>166</v>
      </c>
    </row>
    <row r="2295" spans="9:12" x14ac:dyDescent="0.45">
      <c r="I2295" t="s">
        <v>200</v>
      </c>
      <c r="J2295" t="s">
        <v>274</v>
      </c>
      <c r="K2295">
        <v>6.6357509986032801E-3</v>
      </c>
      <c r="L2295" t="s">
        <v>166</v>
      </c>
    </row>
    <row r="2296" spans="9:12" x14ac:dyDescent="0.45">
      <c r="I2296" t="s">
        <v>200</v>
      </c>
      <c r="J2296" t="s">
        <v>275</v>
      </c>
      <c r="K2296">
        <v>0</v>
      </c>
      <c r="L2296" t="s">
        <v>166</v>
      </c>
    </row>
    <row r="2297" spans="9:12" x14ac:dyDescent="0.45">
      <c r="I2297" t="s">
        <v>200</v>
      </c>
      <c r="J2297" t="s">
        <v>276</v>
      </c>
      <c r="K2297">
        <v>4.8703029926022929E-3</v>
      </c>
      <c r="L2297" t="s">
        <v>166</v>
      </c>
    </row>
    <row r="2298" spans="9:12" x14ac:dyDescent="0.45">
      <c r="I2298" t="s">
        <v>200</v>
      </c>
      <c r="J2298" t="s">
        <v>277</v>
      </c>
      <c r="K2298">
        <v>1.0010487388460058E-2</v>
      </c>
      <c r="L2298" t="s">
        <v>166</v>
      </c>
    </row>
    <row r="2299" spans="9:12" x14ac:dyDescent="0.45">
      <c r="I2299" t="s">
        <v>200</v>
      </c>
      <c r="J2299" t="s">
        <v>278</v>
      </c>
      <c r="K2299">
        <v>0.11109199074713452</v>
      </c>
      <c r="L2299" t="s">
        <v>166</v>
      </c>
    </row>
    <row r="2300" spans="9:12" x14ac:dyDescent="0.45">
      <c r="I2300" t="s">
        <v>200</v>
      </c>
      <c r="J2300" t="s">
        <v>279</v>
      </c>
      <c r="K2300">
        <v>1.1314344247058811E-2</v>
      </c>
      <c r="L2300" t="s">
        <v>166</v>
      </c>
    </row>
    <row r="2301" spans="9:12" x14ac:dyDescent="0.45">
      <c r="I2301" t="s">
        <v>200</v>
      </c>
      <c r="J2301" t="s">
        <v>280</v>
      </c>
      <c r="K2301">
        <v>1.1014727765261125E-2</v>
      </c>
      <c r="L2301" t="s">
        <v>166</v>
      </c>
    </row>
    <row r="2302" spans="9:12" x14ac:dyDescent="0.45">
      <c r="I2302" t="s">
        <v>200</v>
      </c>
      <c r="J2302" t="s">
        <v>281</v>
      </c>
      <c r="K2302">
        <v>0</v>
      </c>
      <c r="L2302" t="s">
        <v>166</v>
      </c>
    </row>
    <row r="2303" spans="9:12" x14ac:dyDescent="0.45">
      <c r="I2303" t="s">
        <v>200</v>
      </c>
      <c r="J2303" t="s">
        <v>282</v>
      </c>
      <c r="K2303">
        <v>1.7260697778933107E-3</v>
      </c>
      <c r="L2303" t="s">
        <v>166</v>
      </c>
    </row>
    <row r="2304" spans="9:12" x14ac:dyDescent="0.45">
      <c r="I2304" t="s">
        <v>200</v>
      </c>
      <c r="J2304" t="s">
        <v>283</v>
      </c>
      <c r="K2304">
        <v>3.7466450895406902E-3</v>
      </c>
      <c r="L2304" t="s">
        <v>166</v>
      </c>
    </row>
    <row r="2305" spans="9:12" x14ac:dyDescent="0.45">
      <c r="I2305" t="s">
        <v>200</v>
      </c>
      <c r="J2305" t="s">
        <v>284</v>
      </c>
      <c r="K2305">
        <v>5.012646139917893E-2</v>
      </c>
      <c r="L2305" t="s">
        <v>166</v>
      </c>
    </row>
    <row r="2306" spans="9:12" x14ac:dyDescent="0.45">
      <c r="I2306" t="s">
        <v>200</v>
      </c>
      <c r="J2306" t="s">
        <v>285</v>
      </c>
      <c r="K2306">
        <v>4.8094719001495851E-3</v>
      </c>
      <c r="L2306" t="s">
        <v>166</v>
      </c>
    </row>
    <row r="2307" spans="9:12" x14ac:dyDescent="0.45">
      <c r="I2307" t="s">
        <v>200</v>
      </c>
      <c r="J2307" t="s">
        <v>286</v>
      </c>
      <c r="K2307">
        <v>2.7638931900178963E-3</v>
      </c>
      <c r="L2307" t="s">
        <v>166</v>
      </c>
    </row>
    <row r="2308" spans="9:12" x14ac:dyDescent="0.45">
      <c r="I2308" t="s">
        <v>200</v>
      </c>
      <c r="J2308" t="s">
        <v>287</v>
      </c>
      <c r="K2308">
        <v>0</v>
      </c>
      <c r="L2308" t="s">
        <v>166</v>
      </c>
    </row>
    <row r="2309" spans="9:12" x14ac:dyDescent="0.45">
      <c r="I2309" t="s">
        <v>200</v>
      </c>
      <c r="J2309" t="s">
        <v>288</v>
      </c>
      <c r="K2309">
        <v>1.6680372801562674E-3</v>
      </c>
      <c r="L2309" t="s">
        <v>166</v>
      </c>
    </row>
    <row r="2310" spans="9:12" x14ac:dyDescent="0.45">
      <c r="I2310" t="s">
        <v>200</v>
      </c>
      <c r="J2310" t="s">
        <v>289</v>
      </c>
      <c r="K2310">
        <v>5.2888323870025605E-3</v>
      </c>
      <c r="L2310" t="s">
        <v>166</v>
      </c>
    </row>
    <row r="2311" spans="9:12" x14ac:dyDescent="0.45">
      <c r="I2311" t="s">
        <v>200</v>
      </c>
      <c r="J2311" t="s">
        <v>290</v>
      </c>
      <c r="K2311">
        <v>6.5261466474862723E-2</v>
      </c>
      <c r="L2311" t="s">
        <v>166</v>
      </c>
    </row>
    <row r="2312" spans="9:12" x14ac:dyDescent="0.45">
      <c r="I2312" t="s">
        <v>200</v>
      </c>
      <c r="J2312" t="s">
        <v>291</v>
      </c>
      <c r="K2312">
        <v>6.6850926459074249E-3</v>
      </c>
      <c r="L2312" t="s">
        <v>166</v>
      </c>
    </row>
    <row r="2313" spans="9:12" x14ac:dyDescent="0.45">
      <c r="I2313" t="s">
        <v>200</v>
      </c>
      <c r="J2313" t="s">
        <v>292</v>
      </c>
      <c r="K2313">
        <v>4.6442239464767878E-3</v>
      </c>
      <c r="L2313" t="s">
        <v>166</v>
      </c>
    </row>
    <row r="2314" spans="9:12" x14ac:dyDescent="0.45">
      <c r="I2314" t="s">
        <v>200</v>
      </c>
      <c r="J2314" t="s">
        <v>293</v>
      </c>
      <c r="K2314">
        <v>0</v>
      </c>
      <c r="L2314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5D15-EE67-46B7-A194-EA3D690F091C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240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246</v>
      </c>
      <c r="AK10" t="s">
        <v>47</v>
      </c>
      <c r="AL10" t="s">
        <v>121</v>
      </c>
      <c r="AM10" t="s">
        <v>247</v>
      </c>
      <c r="AN10" t="s">
        <v>248</v>
      </c>
    </row>
    <row r="11" spans="1:40" x14ac:dyDescent="0.45">
      <c r="A11" t="str">
        <f>IFERROR(IF(Veda!D5=A10,"ok","x"),"")</f>
        <v>ok</v>
      </c>
      <c r="C11" t="s">
        <v>396</v>
      </c>
      <c r="D11" t="s">
        <v>155</v>
      </c>
      <c r="E11" t="s">
        <v>397</v>
      </c>
      <c r="F11" t="s">
        <v>396</v>
      </c>
      <c r="G11" t="s">
        <v>155</v>
      </c>
      <c r="I11" t="s">
        <v>164</v>
      </c>
      <c r="J11" t="s">
        <v>398</v>
      </c>
      <c r="K11">
        <v>1.0000000000000007</v>
      </c>
      <c r="L11" t="s">
        <v>166</v>
      </c>
      <c r="N11" t="s">
        <v>201</v>
      </c>
      <c r="O11" t="s">
        <v>398</v>
      </c>
      <c r="P11">
        <v>0.99999999999999933</v>
      </c>
      <c r="Q11" t="s">
        <v>166</v>
      </c>
      <c r="S11" t="s">
        <v>218</v>
      </c>
      <c r="T11" t="s">
        <v>398</v>
      </c>
      <c r="U11">
        <v>0.99999999999999822</v>
      </c>
      <c r="V11" t="s">
        <v>166</v>
      </c>
      <c r="X11">
        <v>1</v>
      </c>
      <c r="Y11">
        <v>1.0000000000000002</v>
      </c>
      <c r="Z11" t="s">
        <v>398</v>
      </c>
      <c r="AA11" t="s">
        <v>25</v>
      </c>
      <c r="AC11" t="s">
        <v>22</v>
      </c>
      <c r="AD11" t="s">
        <v>398</v>
      </c>
      <c r="AE11">
        <v>1</v>
      </c>
      <c r="AG11" t="s">
        <v>96</v>
      </c>
      <c r="AH11" t="s">
        <v>398</v>
      </c>
      <c r="AI11">
        <v>0.37964639967993397</v>
      </c>
      <c r="AK11">
        <v>2020</v>
      </c>
      <c r="AL11" t="s">
        <v>396</v>
      </c>
      <c r="AM11">
        <v>0.4155274008909145</v>
      </c>
      <c r="AN11" t="s">
        <v>249</v>
      </c>
    </row>
    <row r="12" spans="1:40" x14ac:dyDescent="0.45">
      <c r="I12" t="s">
        <v>178</v>
      </c>
      <c r="J12" t="s">
        <v>398</v>
      </c>
      <c r="K12">
        <v>0.99999999999999889</v>
      </c>
      <c r="L12" t="s">
        <v>166</v>
      </c>
      <c r="N12" t="s">
        <v>202</v>
      </c>
      <c r="O12" t="s">
        <v>398</v>
      </c>
      <c r="P12">
        <v>0.99999999999999867</v>
      </c>
      <c r="Q12" t="s">
        <v>166</v>
      </c>
      <c r="S12" t="s">
        <v>219</v>
      </c>
      <c r="T12" t="s">
        <v>398</v>
      </c>
      <c r="U12">
        <v>0.99999999999999911</v>
      </c>
      <c r="V12" t="s">
        <v>166</v>
      </c>
      <c r="AC12" t="s">
        <v>19</v>
      </c>
      <c r="AD12" t="s">
        <v>398</v>
      </c>
      <c r="AE12">
        <v>1</v>
      </c>
      <c r="AK12">
        <v>2021</v>
      </c>
      <c r="AL12" t="s">
        <v>396</v>
      </c>
      <c r="AM12">
        <v>0.41165704017719223</v>
      </c>
      <c r="AN12" t="s">
        <v>249</v>
      </c>
    </row>
    <row r="13" spans="1:40" x14ac:dyDescent="0.45">
      <c r="I13" t="s">
        <v>179</v>
      </c>
      <c r="J13" t="s">
        <v>398</v>
      </c>
      <c r="K13">
        <v>0.99999999999999867</v>
      </c>
      <c r="L13" t="s">
        <v>166</v>
      </c>
      <c r="N13" t="s">
        <v>203</v>
      </c>
      <c r="O13" t="s">
        <v>398</v>
      </c>
      <c r="P13">
        <v>1.0000000000000016</v>
      </c>
      <c r="Q13" t="s">
        <v>166</v>
      </c>
      <c r="S13" t="s">
        <v>220</v>
      </c>
      <c r="T13" t="s">
        <v>398</v>
      </c>
      <c r="U13">
        <v>0.99999999999999922</v>
      </c>
      <c r="V13" t="s">
        <v>166</v>
      </c>
      <c r="AK13">
        <v>2022</v>
      </c>
      <c r="AL13" t="s">
        <v>396</v>
      </c>
      <c r="AM13">
        <v>0.51807842998889353</v>
      </c>
      <c r="AN13" t="s">
        <v>249</v>
      </c>
    </row>
    <row r="14" spans="1:40" x14ac:dyDescent="0.45">
      <c r="I14" t="s">
        <v>180</v>
      </c>
      <c r="J14" t="s">
        <v>398</v>
      </c>
      <c r="K14">
        <v>0.99999999999999889</v>
      </c>
      <c r="L14" t="s">
        <v>166</v>
      </c>
      <c r="N14" t="s">
        <v>204</v>
      </c>
      <c r="O14" t="s">
        <v>398</v>
      </c>
      <c r="P14">
        <v>1.0000000000000004</v>
      </c>
      <c r="Q14" t="s">
        <v>166</v>
      </c>
      <c r="S14" t="s">
        <v>221</v>
      </c>
      <c r="T14" t="s">
        <v>398</v>
      </c>
      <c r="U14">
        <v>0.99999999999999845</v>
      </c>
      <c r="V14" t="s">
        <v>166</v>
      </c>
      <c r="AK14">
        <v>2025</v>
      </c>
      <c r="AL14" t="s">
        <v>396</v>
      </c>
      <c r="AM14">
        <v>0.42825833333333341</v>
      </c>
      <c r="AN14" t="s">
        <v>249</v>
      </c>
    </row>
    <row r="15" spans="1:40" x14ac:dyDescent="0.45">
      <c r="I15" t="s">
        <v>181</v>
      </c>
      <c r="J15" t="s">
        <v>398</v>
      </c>
      <c r="K15">
        <v>1.0000000000000018</v>
      </c>
      <c r="L15" t="s">
        <v>166</v>
      </c>
      <c r="N15" t="s">
        <v>205</v>
      </c>
      <c r="O15" t="s">
        <v>398</v>
      </c>
      <c r="P15">
        <v>0.99999999999999933</v>
      </c>
      <c r="Q15" t="s">
        <v>166</v>
      </c>
      <c r="S15" t="s">
        <v>222</v>
      </c>
      <c r="T15" t="s">
        <v>398</v>
      </c>
      <c r="U15">
        <v>0.99999999999999889</v>
      </c>
      <c r="V15" t="s">
        <v>166</v>
      </c>
      <c r="AK15">
        <v>2026</v>
      </c>
      <c r="AL15" t="s">
        <v>396</v>
      </c>
      <c r="AM15">
        <v>0.44092500000000001</v>
      </c>
      <c r="AN15" t="s">
        <v>249</v>
      </c>
    </row>
    <row r="16" spans="1:40" x14ac:dyDescent="0.45">
      <c r="I16" t="s">
        <v>182</v>
      </c>
      <c r="J16" t="s">
        <v>398</v>
      </c>
      <c r="K16">
        <v>1.0000000000000013</v>
      </c>
      <c r="L16" t="s">
        <v>166</v>
      </c>
      <c r="N16" t="s">
        <v>206</v>
      </c>
      <c r="O16" t="s">
        <v>398</v>
      </c>
      <c r="P16">
        <v>0.999999999999997</v>
      </c>
      <c r="Q16" t="s">
        <v>166</v>
      </c>
      <c r="S16" t="s">
        <v>223</v>
      </c>
      <c r="T16" t="s">
        <v>398</v>
      </c>
      <c r="U16">
        <v>1.0000000000000049</v>
      </c>
      <c r="V16" t="s">
        <v>166</v>
      </c>
      <c r="AK16">
        <v>2027</v>
      </c>
      <c r="AL16" t="s">
        <v>396</v>
      </c>
      <c r="AM16">
        <v>0.43268333333333331</v>
      </c>
      <c r="AN16" t="s">
        <v>249</v>
      </c>
    </row>
    <row r="17" spans="9:40" x14ac:dyDescent="0.45">
      <c r="I17" t="s">
        <v>183</v>
      </c>
      <c r="J17" t="s">
        <v>398</v>
      </c>
      <c r="K17">
        <v>0.99999999999999956</v>
      </c>
      <c r="L17" t="s">
        <v>166</v>
      </c>
      <c r="N17" t="s">
        <v>207</v>
      </c>
      <c r="O17" t="s">
        <v>398</v>
      </c>
      <c r="P17">
        <v>1.0000000000000022</v>
      </c>
      <c r="Q17" t="s">
        <v>166</v>
      </c>
      <c r="S17" t="s">
        <v>224</v>
      </c>
      <c r="T17" t="s">
        <v>398</v>
      </c>
      <c r="U17">
        <v>1.0000000000000004</v>
      </c>
      <c r="V17" t="s">
        <v>166</v>
      </c>
      <c r="AK17">
        <v>2028</v>
      </c>
      <c r="AL17" t="s">
        <v>396</v>
      </c>
      <c r="AM17">
        <v>0.43855833333333333</v>
      </c>
      <c r="AN17" t="s">
        <v>249</v>
      </c>
    </row>
    <row r="18" spans="9:40" x14ac:dyDescent="0.45">
      <c r="I18" t="s">
        <v>184</v>
      </c>
      <c r="J18" t="s">
        <v>398</v>
      </c>
      <c r="K18">
        <v>0.99999999999999756</v>
      </c>
      <c r="L18" t="s">
        <v>166</v>
      </c>
      <c r="N18" t="s">
        <v>208</v>
      </c>
      <c r="O18" t="s">
        <v>398</v>
      </c>
      <c r="P18">
        <v>1.0000000000000009</v>
      </c>
      <c r="Q18" t="s">
        <v>166</v>
      </c>
      <c r="S18" t="s">
        <v>225</v>
      </c>
      <c r="T18" t="s">
        <v>398</v>
      </c>
      <c r="U18">
        <v>1.0000000000000042</v>
      </c>
      <c r="V18" t="s">
        <v>166</v>
      </c>
      <c r="AK18">
        <v>2029</v>
      </c>
      <c r="AL18" t="s">
        <v>396</v>
      </c>
      <c r="AM18">
        <v>0.43674166666666675</v>
      </c>
      <c r="AN18" t="s">
        <v>249</v>
      </c>
    </row>
    <row r="19" spans="9:40" x14ac:dyDescent="0.45">
      <c r="I19" t="s">
        <v>185</v>
      </c>
      <c r="J19" t="s">
        <v>398</v>
      </c>
      <c r="K19">
        <v>0.99999999999999978</v>
      </c>
      <c r="L19" t="s">
        <v>166</v>
      </c>
      <c r="N19" t="s">
        <v>209</v>
      </c>
      <c r="O19" t="s">
        <v>398</v>
      </c>
      <c r="P19">
        <v>0.99999999999999856</v>
      </c>
      <c r="Q19" t="s">
        <v>166</v>
      </c>
      <c r="S19" t="s">
        <v>226</v>
      </c>
      <c r="T19" t="s">
        <v>398</v>
      </c>
      <c r="U19">
        <v>0.999999999999998</v>
      </c>
      <c r="V19" t="s">
        <v>166</v>
      </c>
      <c r="AK19">
        <v>2030</v>
      </c>
      <c r="AL19" t="s">
        <v>396</v>
      </c>
      <c r="AM19">
        <v>0.44109166666666672</v>
      </c>
      <c r="AN19" t="s">
        <v>249</v>
      </c>
    </row>
    <row r="20" spans="9:40" x14ac:dyDescent="0.45">
      <c r="I20" t="s">
        <v>186</v>
      </c>
      <c r="J20" t="s">
        <v>398</v>
      </c>
      <c r="K20">
        <v>0.99999999999999989</v>
      </c>
      <c r="L20" t="s">
        <v>166</v>
      </c>
      <c r="N20" t="s">
        <v>210</v>
      </c>
      <c r="O20" t="s">
        <v>398</v>
      </c>
      <c r="P20">
        <v>0.99999999999999922</v>
      </c>
      <c r="Q20" t="s">
        <v>166</v>
      </c>
      <c r="S20" t="s">
        <v>227</v>
      </c>
      <c r="T20" t="s">
        <v>398</v>
      </c>
      <c r="U20">
        <v>0.99999999999999889</v>
      </c>
      <c r="V20" t="s">
        <v>166</v>
      </c>
      <c r="AK20">
        <v>2031</v>
      </c>
      <c r="AL20" t="s">
        <v>396</v>
      </c>
      <c r="AM20">
        <v>0.43714999999999998</v>
      </c>
      <c r="AN20" t="s">
        <v>249</v>
      </c>
    </row>
    <row r="21" spans="9:40" x14ac:dyDescent="0.45">
      <c r="I21" t="s">
        <v>187</v>
      </c>
      <c r="J21" t="s">
        <v>398</v>
      </c>
      <c r="K21">
        <v>1.0000000000000002</v>
      </c>
      <c r="L21" t="s">
        <v>166</v>
      </c>
      <c r="N21" t="s">
        <v>211</v>
      </c>
      <c r="O21" t="s">
        <v>398</v>
      </c>
      <c r="P21">
        <v>0.99999999999999833</v>
      </c>
      <c r="Q21" t="s">
        <v>166</v>
      </c>
      <c r="S21" t="s">
        <v>228</v>
      </c>
      <c r="T21" t="s">
        <v>398</v>
      </c>
      <c r="U21">
        <v>0.99999999999999689</v>
      </c>
      <c r="V21" t="s">
        <v>166</v>
      </c>
      <c r="AK21">
        <v>2032</v>
      </c>
      <c r="AL21" t="s">
        <v>396</v>
      </c>
      <c r="AM21">
        <v>0.36720000000000003</v>
      </c>
      <c r="AN21" t="s">
        <v>249</v>
      </c>
    </row>
    <row r="22" spans="9:40" x14ac:dyDescent="0.45">
      <c r="I22" t="s">
        <v>188</v>
      </c>
      <c r="J22" t="s">
        <v>398</v>
      </c>
      <c r="K22">
        <v>0.99999999999999867</v>
      </c>
      <c r="L22" t="s">
        <v>166</v>
      </c>
      <c r="N22" t="s">
        <v>212</v>
      </c>
      <c r="O22" t="s">
        <v>398</v>
      </c>
      <c r="P22">
        <v>0.99999999999999845</v>
      </c>
      <c r="Q22" t="s">
        <v>166</v>
      </c>
      <c r="S22" t="s">
        <v>229</v>
      </c>
      <c r="T22" t="s">
        <v>398</v>
      </c>
      <c r="U22">
        <v>0.99999999999999822</v>
      </c>
      <c r="V22" t="s">
        <v>166</v>
      </c>
      <c r="AK22">
        <v>2033</v>
      </c>
      <c r="AL22" t="s">
        <v>396</v>
      </c>
      <c r="AM22">
        <v>0.36895833333333328</v>
      </c>
      <c r="AN22" t="s">
        <v>249</v>
      </c>
    </row>
    <row r="23" spans="9:40" x14ac:dyDescent="0.45">
      <c r="I23" t="s">
        <v>189</v>
      </c>
      <c r="J23" t="s">
        <v>398</v>
      </c>
      <c r="K23">
        <v>0.99999999999999933</v>
      </c>
      <c r="L23" t="s">
        <v>166</v>
      </c>
      <c r="N23" t="s">
        <v>213</v>
      </c>
      <c r="O23" t="s">
        <v>398</v>
      </c>
      <c r="P23">
        <v>1.0000000000000016</v>
      </c>
      <c r="Q23" t="s">
        <v>166</v>
      </c>
      <c r="S23" t="s">
        <v>230</v>
      </c>
      <c r="T23" t="s">
        <v>398</v>
      </c>
      <c r="U23">
        <v>1.0000000000000022</v>
      </c>
      <c r="V23" t="s">
        <v>166</v>
      </c>
      <c r="AK23">
        <v>2034</v>
      </c>
      <c r="AL23" t="s">
        <v>396</v>
      </c>
      <c r="AM23">
        <v>0.36294166666666666</v>
      </c>
      <c r="AN23" t="s">
        <v>249</v>
      </c>
    </row>
    <row r="24" spans="9:40" x14ac:dyDescent="0.45">
      <c r="I24" t="s">
        <v>190</v>
      </c>
      <c r="J24" t="s">
        <v>398</v>
      </c>
      <c r="K24">
        <v>0.99999999999999911</v>
      </c>
      <c r="L24" t="s">
        <v>166</v>
      </c>
      <c r="N24" t="s">
        <v>214</v>
      </c>
      <c r="O24" t="s">
        <v>398</v>
      </c>
      <c r="P24">
        <v>1.0000000000000007</v>
      </c>
      <c r="Q24" t="s">
        <v>166</v>
      </c>
      <c r="S24" t="s">
        <v>231</v>
      </c>
      <c r="T24" t="s">
        <v>398</v>
      </c>
      <c r="U24">
        <v>1.0000000000000042</v>
      </c>
      <c r="V24" t="s">
        <v>166</v>
      </c>
      <c r="AK24">
        <v>2035</v>
      </c>
      <c r="AL24" t="s">
        <v>396</v>
      </c>
      <c r="AM24">
        <v>0.42939999999999995</v>
      </c>
      <c r="AN24" t="s">
        <v>249</v>
      </c>
    </row>
    <row r="25" spans="9:40" x14ac:dyDescent="0.45">
      <c r="I25" t="s">
        <v>191</v>
      </c>
      <c r="J25" t="s">
        <v>398</v>
      </c>
      <c r="K25">
        <v>0.99999999999999811</v>
      </c>
      <c r="L25" t="s">
        <v>166</v>
      </c>
      <c r="N25" t="s">
        <v>215</v>
      </c>
      <c r="O25" t="s">
        <v>398</v>
      </c>
      <c r="P25">
        <v>1.0000000000000053</v>
      </c>
      <c r="Q25" t="s">
        <v>166</v>
      </c>
      <c r="S25" t="s">
        <v>232</v>
      </c>
      <c r="T25" t="s">
        <v>398</v>
      </c>
      <c r="U25">
        <v>0.999999999999996</v>
      </c>
      <c r="V25" t="s">
        <v>166</v>
      </c>
      <c r="AK25">
        <v>2036</v>
      </c>
      <c r="AL25" t="s">
        <v>396</v>
      </c>
      <c r="AM25">
        <v>0.43345833333333328</v>
      </c>
      <c r="AN25" t="s">
        <v>249</v>
      </c>
    </row>
    <row r="26" spans="9:40" x14ac:dyDescent="0.45">
      <c r="I26" t="s">
        <v>192</v>
      </c>
      <c r="J26" t="s">
        <v>398</v>
      </c>
      <c r="K26">
        <v>0.99999999999999967</v>
      </c>
      <c r="L26" t="s">
        <v>166</v>
      </c>
      <c r="N26" t="s">
        <v>216</v>
      </c>
      <c r="O26" t="s">
        <v>398</v>
      </c>
      <c r="P26">
        <v>0.999999999999999</v>
      </c>
      <c r="Q26" t="s">
        <v>166</v>
      </c>
      <c r="S26" t="s">
        <v>233</v>
      </c>
      <c r="T26" t="s">
        <v>398</v>
      </c>
      <c r="U26">
        <v>1</v>
      </c>
      <c r="V26" t="s">
        <v>166</v>
      </c>
      <c r="AK26">
        <v>2037</v>
      </c>
      <c r="AL26" t="s">
        <v>396</v>
      </c>
      <c r="AM26">
        <v>0.42721666666666663</v>
      </c>
      <c r="AN26" t="s">
        <v>249</v>
      </c>
    </row>
    <row r="27" spans="9:40" x14ac:dyDescent="0.45">
      <c r="I27" t="s">
        <v>193</v>
      </c>
      <c r="J27" t="s">
        <v>398</v>
      </c>
      <c r="K27">
        <v>0.99999999999999878</v>
      </c>
      <c r="L27" t="s">
        <v>166</v>
      </c>
      <c r="N27" t="s">
        <v>217</v>
      </c>
      <c r="O27" t="s">
        <v>398</v>
      </c>
      <c r="P27">
        <v>0.999999999999999</v>
      </c>
      <c r="Q27" t="s">
        <v>166</v>
      </c>
      <c r="S27" t="s">
        <v>234</v>
      </c>
      <c r="T27" t="s">
        <v>398</v>
      </c>
      <c r="U27">
        <v>1.0000000000000031</v>
      </c>
      <c r="V27" t="s">
        <v>166</v>
      </c>
      <c r="AK27">
        <v>2038</v>
      </c>
      <c r="AL27" t="s">
        <v>396</v>
      </c>
      <c r="AM27">
        <v>0.35737500000000005</v>
      </c>
      <c r="AN27" t="s">
        <v>249</v>
      </c>
    </row>
    <row r="28" spans="9:40" x14ac:dyDescent="0.45">
      <c r="I28" t="s">
        <v>194</v>
      </c>
      <c r="J28" t="s">
        <v>398</v>
      </c>
      <c r="K28">
        <v>0.99999999999999778</v>
      </c>
      <c r="L28" t="s">
        <v>166</v>
      </c>
      <c r="S28" t="s">
        <v>235</v>
      </c>
      <c r="T28" t="s">
        <v>398</v>
      </c>
      <c r="U28">
        <v>0.999999999999999</v>
      </c>
      <c r="V28" t="s">
        <v>166</v>
      </c>
      <c r="AK28">
        <v>2039</v>
      </c>
      <c r="AL28" t="s">
        <v>396</v>
      </c>
      <c r="AM28">
        <v>0.36259166666666665</v>
      </c>
      <c r="AN28" t="s">
        <v>249</v>
      </c>
    </row>
    <row r="29" spans="9:40" x14ac:dyDescent="0.45">
      <c r="I29" t="s">
        <v>195</v>
      </c>
      <c r="J29" t="s">
        <v>398</v>
      </c>
      <c r="K29">
        <v>1.0000000000000016</v>
      </c>
      <c r="L29" t="s">
        <v>166</v>
      </c>
      <c r="S29" t="s">
        <v>236</v>
      </c>
      <c r="T29" t="s">
        <v>398</v>
      </c>
      <c r="U29">
        <v>0.99999999999999789</v>
      </c>
      <c r="V29" t="s">
        <v>166</v>
      </c>
      <c r="AK29">
        <v>2040</v>
      </c>
      <c r="AL29" t="s">
        <v>396</v>
      </c>
      <c r="AM29">
        <v>0.43145833333333333</v>
      </c>
      <c r="AN29" t="s">
        <v>249</v>
      </c>
    </row>
    <row r="30" spans="9:40" x14ac:dyDescent="0.45">
      <c r="I30" t="s">
        <v>196</v>
      </c>
      <c r="J30" t="s">
        <v>398</v>
      </c>
      <c r="K30">
        <v>1.0000000000000013</v>
      </c>
      <c r="L30" t="s">
        <v>166</v>
      </c>
      <c r="S30" t="s">
        <v>237</v>
      </c>
      <c r="T30" t="s">
        <v>398</v>
      </c>
      <c r="U30">
        <v>0.99999999999999878</v>
      </c>
      <c r="V30" t="s">
        <v>166</v>
      </c>
      <c r="AK30">
        <v>2041</v>
      </c>
      <c r="AL30" t="s">
        <v>396</v>
      </c>
      <c r="AM30">
        <v>0.4381916666666667</v>
      </c>
      <c r="AN30" t="s">
        <v>249</v>
      </c>
    </row>
    <row r="31" spans="9:40" x14ac:dyDescent="0.45">
      <c r="I31" t="s">
        <v>197</v>
      </c>
      <c r="J31" t="s">
        <v>398</v>
      </c>
      <c r="K31">
        <v>1.0000000000000027</v>
      </c>
      <c r="L31" t="s">
        <v>166</v>
      </c>
      <c r="S31" t="s">
        <v>238</v>
      </c>
      <c r="T31" t="s">
        <v>398</v>
      </c>
      <c r="U31">
        <v>1.0000000000000013</v>
      </c>
      <c r="V31" t="s">
        <v>166</v>
      </c>
      <c r="AK31">
        <v>2042</v>
      </c>
      <c r="AL31" t="s">
        <v>396</v>
      </c>
      <c r="AM31">
        <v>0.42312500000000003</v>
      </c>
      <c r="AN31" t="s">
        <v>249</v>
      </c>
    </row>
    <row r="32" spans="9:40" x14ac:dyDescent="0.45">
      <c r="I32" t="s">
        <v>198</v>
      </c>
      <c r="J32" t="s">
        <v>398</v>
      </c>
      <c r="K32">
        <v>1</v>
      </c>
      <c r="L32" t="s">
        <v>166</v>
      </c>
      <c r="S32" t="s">
        <v>239</v>
      </c>
      <c r="T32" t="s">
        <v>398</v>
      </c>
      <c r="U32">
        <v>1.0000000000000007</v>
      </c>
      <c r="V32" t="s">
        <v>166</v>
      </c>
      <c r="AK32">
        <v>2043</v>
      </c>
      <c r="AL32" t="s">
        <v>396</v>
      </c>
      <c r="AM32">
        <v>0.432475</v>
      </c>
      <c r="AN32" t="s">
        <v>249</v>
      </c>
    </row>
    <row r="33" spans="9:40" x14ac:dyDescent="0.45">
      <c r="I33" t="s">
        <v>199</v>
      </c>
      <c r="J33" t="s">
        <v>398</v>
      </c>
      <c r="K33">
        <v>1.0000000000000009</v>
      </c>
      <c r="L33" t="s">
        <v>166</v>
      </c>
      <c r="AK33">
        <v>2044</v>
      </c>
      <c r="AL33" t="s">
        <v>396</v>
      </c>
      <c r="AM33">
        <v>0.43867500000000009</v>
      </c>
      <c r="AN33" t="s">
        <v>249</v>
      </c>
    </row>
    <row r="34" spans="9:40" x14ac:dyDescent="0.45">
      <c r="I34" t="s">
        <v>200</v>
      </c>
      <c r="J34" t="s">
        <v>398</v>
      </c>
      <c r="K34">
        <v>0.99999999999999889</v>
      </c>
      <c r="L34" t="s">
        <v>166</v>
      </c>
      <c r="AK34">
        <v>2045</v>
      </c>
      <c r="AL34" t="s">
        <v>396</v>
      </c>
      <c r="AM34">
        <v>0.42349999999999999</v>
      </c>
      <c r="AN34" t="s">
        <v>249</v>
      </c>
    </row>
    <row r="35" spans="9:40" x14ac:dyDescent="0.45">
      <c r="AK35">
        <v>2046</v>
      </c>
      <c r="AL35" t="s">
        <v>396</v>
      </c>
      <c r="AM35">
        <v>0.43248333333333333</v>
      </c>
      <c r="AN35" t="s">
        <v>249</v>
      </c>
    </row>
    <row r="36" spans="9:40" x14ac:dyDescent="0.45">
      <c r="AK36">
        <v>2047</v>
      </c>
      <c r="AL36" t="s">
        <v>396</v>
      </c>
      <c r="AM36">
        <v>0.42099999999999999</v>
      </c>
      <c r="AN36" t="s">
        <v>249</v>
      </c>
    </row>
    <row r="37" spans="9:40" x14ac:dyDescent="0.45">
      <c r="AK37">
        <v>2048</v>
      </c>
      <c r="AL37" t="s">
        <v>396</v>
      </c>
      <c r="AM37">
        <v>0.42294999999999999</v>
      </c>
      <c r="AN37" t="s">
        <v>249</v>
      </c>
    </row>
    <row r="38" spans="9:40" x14ac:dyDescent="0.45">
      <c r="AK38">
        <v>2049</v>
      </c>
      <c r="AL38" t="s">
        <v>396</v>
      </c>
      <c r="AM38">
        <v>0.41880000000000001</v>
      </c>
      <c r="AN38" t="s">
        <v>249</v>
      </c>
    </row>
    <row r="39" spans="9:40" x14ac:dyDescent="0.45">
      <c r="AK39">
        <v>2050</v>
      </c>
      <c r="AL39" t="s">
        <v>396</v>
      </c>
      <c r="AM39">
        <v>0.41968333333333335</v>
      </c>
      <c r="AN39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F271-B57D-49E8-95FF-530FB6508ED7}">
  <dimension ref="A9:AN29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240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246</v>
      </c>
      <c r="AK10" t="s">
        <v>47</v>
      </c>
      <c r="AL10" t="s">
        <v>121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399</v>
      </c>
      <c r="D11" t="s">
        <v>155</v>
      </c>
      <c r="E11" t="s">
        <v>242</v>
      </c>
      <c r="F11" t="s">
        <v>400</v>
      </c>
      <c r="G11" t="s">
        <v>155</v>
      </c>
      <c r="I11" t="s">
        <v>164</v>
      </c>
      <c r="J11" t="s">
        <v>405</v>
      </c>
      <c r="K11">
        <v>0.19494772669036189</v>
      </c>
      <c r="L11" t="s">
        <v>166</v>
      </c>
      <c r="N11" t="s">
        <v>201</v>
      </c>
      <c r="O11" t="s">
        <v>405</v>
      </c>
      <c r="P11">
        <v>0.12677631611385384</v>
      </c>
      <c r="Q11" t="s">
        <v>166</v>
      </c>
      <c r="S11" t="s">
        <v>218</v>
      </c>
      <c r="T11" t="s">
        <v>405</v>
      </c>
      <c r="U11">
        <v>0.10354241647724645</v>
      </c>
      <c r="V11" t="s">
        <v>166</v>
      </c>
      <c r="X11">
        <v>0.11426940639269406</v>
      </c>
      <c r="Y11">
        <v>0.16087081189037786</v>
      </c>
      <c r="Z11" t="s">
        <v>405</v>
      </c>
      <c r="AA11" t="s">
        <v>25</v>
      </c>
      <c r="AC11" t="s">
        <v>22</v>
      </c>
      <c r="AD11" t="s">
        <v>405</v>
      </c>
      <c r="AE11">
        <v>0.13545720651176571</v>
      </c>
      <c r="AG11" t="s">
        <v>96</v>
      </c>
      <c r="AH11" t="s">
        <v>405</v>
      </c>
      <c r="AI11">
        <v>0.25619513636299418</v>
      </c>
      <c r="AK11">
        <v>2020</v>
      </c>
      <c r="AL11" t="s">
        <v>399</v>
      </c>
      <c r="AM11">
        <v>0.61128010815811018</v>
      </c>
      <c r="AN11" t="s">
        <v>249</v>
      </c>
    </row>
    <row r="12" spans="1:40" x14ac:dyDescent="0.45">
      <c r="C12" t="s">
        <v>401</v>
      </c>
      <c r="E12" t="s">
        <v>244</v>
      </c>
      <c r="G12" t="s">
        <v>155</v>
      </c>
      <c r="I12" t="s">
        <v>164</v>
      </c>
      <c r="J12" t="s">
        <v>406</v>
      </c>
      <c r="K12">
        <v>0</v>
      </c>
      <c r="L12" t="s">
        <v>166</v>
      </c>
      <c r="N12" t="s">
        <v>201</v>
      </c>
      <c r="O12" t="s">
        <v>406</v>
      </c>
      <c r="P12">
        <v>0.11818504368406052</v>
      </c>
      <c r="Q12" t="s">
        <v>166</v>
      </c>
      <c r="S12" t="s">
        <v>218</v>
      </c>
      <c r="T12" t="s">
        <v>406</v>
      </c>
      <c r="U12">
        <v>0.10157396035399124</v>
      </c>
      <c r="V12" t="s">
        <v>166</v>
      </c>
      <c r="X12">
        <v>0.11426940639269406</v>
      </c>
      <c r="Y12">
        <v>5.2547713165767528E-2</v>
      </c>
      <c r="Z12" t="s">
        <v>406</v>
      </c>
      <c r="AA12" t="s">
        <v>25</v>
      </c>
      <c r="AC12" t="s">
        <v>22</v>
      </c>
      <c r="AD12" t="s">
        <v>406</v>
      </c>
      <c r="AE12">
        <v>9.3349940003620888E-2</v>
      </c>
      <c r="AG12" t="s">
        <v>96</v>
      </c>
      <c r="AH12" t="s">
        <v>406</v>
      </c>
      <c r="AI12">
        <v>0.2693913980629461</v>
      </c>
      <c r="AK12">
        <v>2020</v>
      </c>
      <c r="AL12" t="s">
        <v>401</v>
      </c>
      <c r="AM12">
        <v>0.21151171158143364</v>
      </c>
      <c r="AN12" t="s">
        <v>249</v>
      </c>
    </row>
    <row r="13" spans="1:40" x14ac:dyDescent="0.45">
      <c r="C13" t="s">
        <v>402</v>
      </c>
      <c r="E13" t="s">
        <v>403</v>
      </c>
      <c r="G13" t="s">
        <v>155</v>
      </c>
      <c r="I13" t="s">
        <v>164</v>
      </c>
      <c r="J13" t="s">
        <v>407</v>
      </c>
      <c r="K13">
        <v>1.0838702708988571E-2</v>
      </c>
      <c r="L13" t="s">
        <v>166</v>
      </c>
      <c r="N13" t="s">
        <v>201</v>
      </c>
      <c r="O13" t="s">
        <v>407</v>
      </c>
      <c r="P13">
        <v>1.7592354017083756E-2</v>
      </c>
      <c r="Q13" t="s">
        <v>166</v>
      </c>
      <c r="S13" t="s">
        <v>218</v>
      </c>
      <c r="T13" t="s">
        <v>407</v>
      </c>
      <c r="U13">
        <v>1.7894352862682573E-2</v>
      </c>
      <c r="V13" t="s">
        <v>166</v>
      </c>
      <c r="X13">
        <v>2.0776255707762557E-2</v>
      </c>
      <c r="Y13">
        <v>3.5896543437005365E-2</v>
      </c>
      <c r="Z13" t="s">
        <v>407</v>
      </c>
      <c r="AA13" t="s">
        <v>25</v>
      </c>
      <c r="AC13" t="s">
        <v>22</v>
      </c>
      <c r="AD13" t="s">
        <v>407</v>
      </c>
      <c r="AE13">
        <v>7.5432928464756856E-3</v>
      </c>
      <c r="AG13" t="s">
        <v>96</v>
      </c>
      <c r="AH13" t="s">
        <v>407</v>
      </c>
      <c r="AI13">
        <v>8.3008645097086386E-2</v>
      </c>
      <c r="AK13">
        <v>2020</v>
      </c>
      <c r="AL13" t="s">
        <v>402</v>
      </c>
      <c r="AM13">
        <v>0.50579324172488305</v>
      </c>
      <c r="AN13" t="s">
        <v>249</v>
      </c>
    </row>
    <row r="14" spans="1:40" x14ac:dyDescent="0.45">
      <c r="C14" t="s">
        <v>404</v>
      </c>
      <c r="I14" t="s">
        <v>164</v>
      </c>
      <c r="J14" t="s">
        <v>408</v>
      </c>
      <c r="K14">
        <v>0.2905168116945242</v>
      </c>
      <c r="L14" t="s">
        <v>166</v>
      </c>
      <c r="N14" t="s">
        <v>201</v>
      </c>
      <c r="O14" t="s">
        <v>408</v>
      </c>
      <c r="P14">
        <v>0.10877381291550542</v>
      </c>
      <c r="Q14" t="s">
        <v>166</v>
      </c>
      <c r="S14" t="s">
        <v>218</v>
      </c>
      <c r="T14" t="s">
        <v>408</v>
      </c>
      <c r="U14">
        <v>4.9845364563812188E-2</v>
      </c>
      <c r="V14" t="s">
        <v>166</v>
      </c>
      <c r="X14">
        <v>0.11552511415525114</v>
      </c>
      <c r="Y14">
        <v>0.16263862301005233</v>
      </c>
      <c r="Z14" t="s">
        <v>408</v>
      </c>
      <c r="AA14" t="s">
        <v>25</v>
      </c>
      <c r="AC14" t="s">
        <v>22</v>
      </c>
      <c r="AD14" t="s">
        <v>408</v>
      </c>
      <c r="AE14">
        <v>0.1550365768638842</v>
      </c>
      <c r="AG14" t="s">
        <v>96</v>
      </c>
      <c r="AH14" t="s">
        <v>408</v>
      </c>
      <c r="AI14">
        <v>0.18443511609697061</v>
      </c>
      <c r="AK14">
        <v>2020</v>
      </c>
      <c r="AL14" t="s">
        <v>404</v>
      </c>
      <c r="AM14">
        <v>0.33352454209923127</v>
      </c>
      <c r="AN14" t="s">
        <v>249</v>
      </c>
    </row>
    <row r="15" spans="1:40" x14ac:dyDescent="0.45">
      <c r="I15" t="s">
        <v>164</v>
      </c>
      <c r="J15" t="s">
        <v>409</v>
      </c>
      <c r="K15">
        <v>0</v>
      </c>
      <c r="L15" t="s">
        <v>166</v>
      </c>
      <c r="N15" t="s">
        <v>201</v>
      </c>
      <c r="O15" t="s">
        <v>409</v>
      </c>
      <c r="P15">
        <v>0.1312131602726998</v>
      </c>
      <c r="Q15" t="s">
        <v>166</v>
      </c>
      <c r="S15" t="s">
        <v>218</v>
      </c>
      <c r="T15" t="s">
        <v>409</v>
      </c>
      <c r="U15">
        <v>4.3970188439118166E-2</v>
      </c>
      <c r="V15" t="s">
        <v>166</v>
      </c>
      <c r="X15">
        <v>0.11552511415525114</v>
      </c>
      <c r="Y15">
        <v>5.3125160563193538E-2</v>
      </c>
      <c r="Z15" t="s">
        <v>409</v>
      </c>
      <c r="AA15" t="s">
        <v>25</v>
      </c>
      <c r="AC15" t="s">
        <v>22</v>
      </c>
      <c r="AD15" t="s">
        <v>409</v>
      </c>
      <c r="AE15">
        <v>0.12091343027759772</v>
      </c>
      <c r="AG15" t="s">
        <v>96</v>
      </c>
      <c r="AH15" t="s">
        <v>409</v>
      </c>
      <c r="AI15">
        <v>0.25318994682351659</v>
      </c>
      <c r="AK15">
        <v>2021</v>
      </c>
      <c r="AL15" t="s">
        <v>399</v>
      </c>
      <c r="AM15">
        <v>0.5351259948218684</v>
      </c>
      <c r="AN15" t="s">
        <v>249</v>
      </c>
    </row>
    <row r="16" spans="1:40" x14ac:dyDescent="0.45">
      <c r="I16" t="s">
        <v>164</v>
      </c>
      <c r="J16" t="s">
        <v>410</v>
      </c>
      <c r="K16">
        <v>2.5416246707981219E-2</v>
      </c>
      <c r="L16" t="s">
        <v>166</v>
      </c>
      <c r="N16" t="s">
        <v>201</v>
      </c>
      <c r="O16" t="s">
        <v>410</v>
      </c>
      <c r="P16">
        <v>1.9406191227730706E-2</v>
      </c>
      <c r="Q16" t="s">
        <v>166</v>
      </c>
      <c r="S16" t="s">
        <v>218</v>
      </c>
      <c r="T16" t="s">
        <v>410</v>
      </c>
      <c r="U16">
        <v>7.6338596012169666E-3</v>
      </c>
      <c r="V16" t="s">
        <v>166</v>
      </c>
      <c r="X16">
        <v>2.1004566210045664E-2</v>
      </c>
      <c r="Y16">
        <v>3.6291010947302131E-2</v>
      </c>
      <c r="Z16" t="s">
        <v>410</v>
      </c>
      <c r="AA16" t="s">
        <v>25</v>
      </c>
      <c r="AC16" t="s">
        <v>22</v>
      </c>
      <c r="AD16" t="s">
        <v>410</v>
      </c>
      <c r="AE16">
        <v>1.8372446878152853E-2</v>
      </c>
      <c r="AG16" t="s">
        <v>96</v>
      </c>
      <c r="AH16" t="s">
        <v>410</v>
      </c>
      <c r="AI16">
        <v>0.14051414178315302</v>
      </c>
      <c r="AK16">
        <v>2021</v>
      </c>
      <c r="AL16" t="s">
        <v>401</v>
      </c>
      <c r="AM16">
        <v>0.30410587009834078</v>
      </c>
      <c r="AN16" t="s">
        <v>249</v>
      </c>
    </row>
    <row r="17" spans="9:40" x14ac:dyDescent="0.45">
      <c r="I17" t="s">
        <v>164</v>
      </c>
      <c r="J17" t="s">
        <v>411</v>
      </c>
      <c r="K17">
        <v>0.24757050413462872</v>
      </c>
      <c r="L17" t="s">
        <v>166</v>
      </c>
      <c r="N17" t="s">
        <v>201</v>
      </c>
      <c r="O17" t="s">
        <v>411</v>
      </c>
      <c r="P17">
        <v>0.10458432438715862</v>
      </c>
      <c r="Q17" t="s">
        <v>166</v>
      </c>
      <c r="S17" t="s">
        <v>218</v>
      </c>
      <c r="T17" t="s">
        <v>411</v>
      </c>
      <c r="U17">
        <v>7.3167846516650537E-2</v>
      </c>
      <c r="V17" t="s">
        <v>166</v>
      </c>
      <c r="X17">
        <v>0.11552511415525114</v>
      </c>
      <c r="Y17">
        <v>0.16263862301005233</v>
      </c>
      <c r="Z17" t="s">
        <v>411</v>
      </c>
      <c r="AA17" t="s">
        <v>25</v>
      </c>
      <c r="AC17" t="s">
        <v>22</v>
      </c>
      <c r="AD17" t="s">
        <v>411</v>
      </c>
      <c r="AE17">
        <v>0.15268850304500023</v>
      </c>
      <c r="AG17" t="s">
        <v>96</v>
      </c>
      <c r="AH17" t="s">
        <v>411</v>
      </c>
      <c r="AI17">
        <v>0.20123802735209728</v>
      </c>
      <c r="AK17">
        <v>2021</v>
      </c>
      <c r="AL17" t="s">
        <v>402</v>
      </c>
      <c r="AM17">
        <v>0.46556023063736945</v>
      </c>
      <c r="AN17" t="s">
        <v>249</v>
      </c>
    </row>
    <row r="18" spans="9:40" x14ac:dyDescent="0.45">
      <c r="I18" t="s">
        <v>164</v>
      </c>
      <c r="J18" t="s">
        <v>412</v>
      </c>
      <c r="K18">
        <v>0</v>
      </c>
      <c r="L18" t="s">
        <v>166</v>
      </c>
      <c r="N18" t="s">
        <v>201</v>
      </c>
      <c r="O18" t="s">
        <v>412</v>
      </c>
      <c r="P18">
        <v>0.12785972101297871</v>
      </c>
      <c r="Q18" t="s">
        <v>166</v>
      </c>
      <c r="S18" t="s">
        <v>218</v>
      </c>
      <c r="T18" t="s">
        <v>412</v>
      </c>
      <c r="U18">
        <v>4.911219474495479E-2</v>
      </c>
      <c r="V18" t="s">
        <v>166</v>
      </c>
      <c r="X18">
        <v>0.11552511415525114</v>
      </c>
      <c r="Y18">
        <v>5.3125160563193538E-2</v>
      </c>
      <c r="Z18" t="s">
        <v>412</v>
      </c>
      <c r="AA18" t="s">
        <v>25</v>
      </c>
      <c r="AC18" t="s">
        <v>22</v>
      </c>
      <c r="AD18" t="s">
        <v>412</v>
      </c>
      <c r="AE18">
        <v>0.10288824917969137</v>
      </c>
      <c r="AG18" t="s">
        <v>96</v>
      </c>
      <c r="AH18" t="s">
        <v>412</v>
      </c>
      <c r="AI18">
        <v>0.31258787289428214</v>
      </c>
      <c r="AK18">
        <v>2021</v>
      </c>
      <c r="AL18" t="s">
        <v>404</v>
      </c>
      <c r="AM18">
        <v>0.34183606515119019</v>
      </c>
      <c r="AN18" t="s">
        <v>249</v>
      </c>
    </row>
    <row r="19" spans="9:40" x14ac:dyDescent="0.45">
      <c r="I19" t="s">
        <v>164</v>
      </c>
      <c r="J19" t="s">
        <v>413</v>
      </c>
      <c r="K19">
        <v>2.3337634965484844E-2</v>
      </c>
      <c r="L19" t="s">
        <v>166</v>
      </c>
      <c r="N19" t="s">
        <v>201</v>
      </c>
      <c r="O19" t="s">
        <v>413</v>
      </c>
      <c r="P19">
        <v>1.7652697086102207E-2</v>
      </c>
      <c r="Q19" t="s">
        <v>166</v>
      </c>
      <c r="S19" t="s">
        <v>218</v>
      </c>
      <c r="T19" t="s">
        <v>413</v>
      </c>
      <c r="U19">
        <v>8.7416185215484655E-3</v>
      </c>
      <c r="V19" t="s">
        <v>166</v>
      </c>
      <c r="X19">
        <v>2.1004566210045664E-2</v>
      </c>
      <c r="Y19">
        <v>3.6291010947302131E-2</v>
      </c>
      <c r="Z19" t="s">
        <v>413</v>
      </c>
      <c r="AA19" t="s">
        <v>25</v>
      </c>
      <c r="AC19" t="s">
        <v>22</v>
      </c>
      <c r="AD19" t="s">
        <v>413</v>
      </c>
      <c r="AE19">
        <v>9.6496597341706927E-3</v>
      </c>
      <c r="AG19" t="s">
        <v>96</v>
      </c>
      <c r="AH19" t="s">
        <v>413</v>
      </c>
      <c r="AI19">
        <v>0.10071921178105203</v>
      </c>
      <c r="AK19">
        <v>2022</v>
      </c>
      <c r="AL19" t="s">
        <v>399</v>
      </c>
      <c r="AM19">
        <v>0.58992099210875615</v>
      </c>
      <c r="AN19" t="s">
        <v>249</v>
      </c>
    </row>
    <row r="20" spans="9:40" x14ac:dyDescent="0.45">
      <c r="I20" t="s">
        <v>164</v>
      </c>
      <c r="J20" t="s">
        <v>414</v>
      </c>
      <c r="K20">
        <v>0.19090932201811364</v>
      </c>
      <c r="L20" t="s">
        <v>166</v>
      </c>
      <c r="N20" t="s">
        <v>201</v>
      </c>
      <c r="O20" t="s">
        <v>414</v>
      </c>
      <c r="P20">
        <v>0.11009909788729345</v>
      </c>
      <c r="Q20" t="s">
        <v>166</v>
      </c>
      <c r="S20" t="s">
        <v>218</v>
      </c>
      <c r="T20" t="s">
        <v>414</v>
      </c>
      <c r="U20">
        <v>0.25573402068271739</v>
      </c>
      <c r="V20" t="s">
        <v>166</v>
      </c>
      <c r="X20">
        <v>0.11301369863013698</v>
      </c>
      <c r="Y20">
        <v>0.15910300077070333</v>
      </c>
      <c r="Z20" t="s">
        <v>414</v>
      </c>
      <c r="AA20" t="s">
        <v>25</v>
      </c>
      <c r="AC20" t="s">
        <v>22</v>
      </c>
      <c r="AD20" t="s">
        <v>414</v>
      </c>
      <c r="AE20">
        <v>0.11913107360979787</v>
      </c>
      <c r="AG20" t="s">
        <v>96</v>
      </c>
      <c r="AH20" t="s">
        <v>414</v>
      </c>
      <c r="AI20">
        <v>0.26729173008459894</v>
      </c>
      <c r="AK20">
        <v>2022</v>
      </c>
      <c r="AL20" t="s">
        <v>401</v>
      </c>
      <c r="AM20">
        <v>0.39515877144558614</v>
      </c>
      <c r="AN20" t="s">
        <v>249</v>
      </c>
    </row>
    <row r="21" spans="9:40" x14ac:dyDescent="0.45">
      <c r="I21" t="s">
        <v>164</v>
      </c>
      <c r="J21" t="s">
        <v>415</v>
      </c>
      <c r="K21">
        <v>0</v>
      </c>
      <c r="L21" t="s">
        <v>166</v>
      </c>
      <c r="N21" t="s">
        <v>201</v>
      </c>
      <c r="O21" t="s">
        <v>415</v>
      </c>
      <c r="P21">
        <v>0.102625680857099</v>
      </c>
      <c r="Q21" t="s">
        <v>166</v>
      </c>
      <c r="S21" t="s">
        <v>218</v>
      </c>
      <c r="T21" t="s">
        <v>415</v>
      </c>
      <c r="U21">
        <v>0.24562788870810043</v>
      </c>
      <c r="V21" t="s">
        <v>166</v>
      </c>
      <c r="X21">
        <v>0.11301369863013698</v>
      </c>
      <c r="Y21">
        <v>5.197026576834151E-2</v>
      </c>
      <c r="Z21" t="s">
        <v>415</v>
      </c>
      <c r="AA21" t="s">
        <v>25</v>
      </c>
      <c r="AC21" t="s">
        <v>22</v>
      </c>
      <c r="AD21" t="s">
        <v>415</v>
      </c>
      <c r="AE21">
        <v>7.8662467537218062E-2</v>
      </c>
      <c r="AG21" t="s">
        <v>96</v>
      </c>
      <c r="AH21" t="s">
        <v>415</v>
      </c>
      <c r="AI21">
        <v>0.35326775622143591</v>
      </c>
      <c r="AK21">
        <v>2022</v>
      </c>
      <c r="AL21" t="s">
        <v>402</v>
      </c>
      <c r="AM21">
        <v>0.65799032857292106</v>
      </c>
      <c r="AN21" t="s">
        <v>249</v>
      </c>
    </row>
    <row r="22" spans="9:40" x14ac:dyDescent="0.45">
      <c r="I22" t="s">
        <v>164</v>
      </c>
      <c r="J22" t="s">
        <v>416</v>
      </c>
      <c r="K22">
        <v>1.6463051079917596E-2</v>
      </c>
      <c r="L22" t="s">
        <v>166</v>
      </c>
      <c r="N22" t="s">
        <v>201</v>
      </c>
      <c r="O22" t="s">
        <v>416</v>
      </c>
      <c r="P22">
        <v>1.5231600538433306E-2</v>
      </c>
      <c r="Q22" t="s">
        <v>166</v>
      </c>
      <c r="S22" t="s">
        <v>218</v>
      </c>
      <c r="T22" t="s">
        <v>416</v>
      </c>
      <c r="U22">
        <v>4.3156288527959025E-2</v>
      </c>
      <c r="V22" t="s">
        <v>166</v>
      </c>
      <c r="X22">
        <v>2.0547945205479451E-2</v>
      </c>
      <c r="Y22">
        <v>3.5502075926708607E-2</v>
      </c>
      <c r="Z22" t="s">
        <v>416</v>
      </c>
      <c r="AA22" t="s">
        <v>25</v>
      </c>
      <c r="AC22" t="s">
        <v>22</v>
      </c>
      <c r="AD22" t="s">
        <v>416</v>
      </c>
      <c r="AE22">
        <v>6.3071535126247667E-3</v>
      </c>
      <c r="AG22" t="s">
        <v>96</v>
      </c>
      <c r="AH22" t="s">
        <v>416</v>
      </c>
      <c r="AI22">
        <v>0.31639472233144028</v>
      </c>
      <c r="AK22">
        <v>2022</v>
      </c>
      <c r="AL22" t="s">
        <v>404</v>
      </c>
      <c r="AM22">
        <v>0.42924362782831055</v>
      </c>
      <c r="AN22" t="s">
        <v>249</v>
      </c>
    </row>
    <row r="23" spans="9:40" x14ac:dyDescent="0.45">
      <c r="I23" t="s">
        <v>178</v>
      </c>
      <c r="J23" t="s">
        <v>405</v>
      </c>
      <c r="K23">
        <v>0.20016755210667059</v>
      </c>
      <c r="L23" t="s">
        <v>166</v>
      </c>
      <c r="N23" t="s">
        <v>202</v>
      </c>
      <c r="O23" t="s">
        <v>405</v>
      </c>
      <c r="P23">
        <v>0.10886040952652321</v>
      </c>
      <c r="Q23" t="s">
        <v>166</v>
      </c>
      <c r="S23" t="s">
        <v>219</v>
      </c>
      <c r="T23" t="s">
        <v>405</v>
      </c>
      <c r="U23">
        <v>0.11956541321648428</v>
      </c>
      <c r="V23" t="s">
        <v>166</v>
      </c>
      <c r="AC23" t="s">
        <v>19</v>
      </c>
      <c r="AD23" t="s">
        <v>405</v>
      </c>
      <c r="AE23">
        <v>0.11550610902821798</v>
      </c>
      <c r="AK23">
        <v>2025</v>
      </c>
      <c r="AL23" t="s">
        <v>399</v>
      </c>
      <c r="AM23">
        <v>0.53883333333333339</v>
      </c>
      <c r="AN23" t="s">
        <v>249</v>
      </c>
    </row>
    <row r="24" spans="9:40" x14ac:dyDescent="0.45">
      <c r="I24" t="s">
        <v>178</v>
      </c>
      <c r="J24" t="s">
        <v>406</v>
      </c>
      <c r="K24">
        <v>0</v>
      </c>
      <c r="L24" t="s">
        <v>166</v>
      </c>
      <c r="N24" t="s">
        <v>202</v>
      </c>
      <c r="O24" t="s">
        <v>406</v>
      </c>
      <c r="P24">
        <v>0.10032916494529727</v>
      </c>
      <c r="Q24" t="s">
        <v>166</v>
      </c>
      <c r="S24" t="s">
        <v>219</v>
      </c>
      <c r="T24" t="s">
        <v>406</v>
      </c>
      <c r="U24">
        <v>0.11596843136898634</v>
      </c>
      <c r="V24" t="s">
        <v>166</v>
      </c>
      <c r="AC24" t="s">
        <v>19</v>
      </c>
      <c r="AD24" t="s">
        <v>406</v>
      </c>
      <c r="AE24">
        <v>0.11354591755466498</v>
      </c>
      <c r="AK24">
        <v>2025</v>
      </c>
      <c r="AL24" t="s">
        <v>401</v>
      </c>
      <c r="AM24">
        <v>0.30596666666666666</v>
      </c>
      <c r="AN24" t="s">
        <v>249</v>
      </c>
    </row>
    <row r="25" spans="9:40" x14ac:dyDescent="0.45">
      <c r="I25" t="s">
        <v>178</v>
      </c>
      <c r="J25" t="s">
        <v>407</v>
      </c>
      <c r="K25">
        <v>1.0558708840357247E-2</v>
      </c>
      <c r="L25" t="s">
        <v>166</v>
      </c>
      <c r="N25" t="s">
        <v>202</v>
      </c>
      <c r="O25" t="s">
        <v>407</v>
      </c>
      <c r="P25">
        <v>1.6167796361500005E-2</v>
      </c>
      <c r="Q25" t="s">
        <v>166</v>
      </c>
      <c r="S25" t="s">
        <v>219</v>
      </c>
      <c r="T25" t="s">
        <v>407</v>
      </c>
      <c r="U25">
        <v>2.0192764761385533E-2</v>
      </c>
      <c r="V25" t="s">
        <v>166</v>
      </c>
      <c r="AC25" t="s">
        <v>19</v>
      </c>
      <c r="AD25" t="s">
        <v>407</v>
      </c>
      <c r="AE25">
        <v>2.0205750623244145E-2</v>
      </c>
      <c r="AK25">
        <v>2025</v>
      </c>
      <c r="AL25" t="s">
        <v>402</v>
      </c>
      <c r="AM25">
        <v>0.49146666666666672</v>
      </c>
      <c r="AN25" t="s">
        <v>249</v>
      </c>
    </row>
    <row r="26" spans="9:40" x14ac:dyDescent="0.45">
      <c r="I26" t="s">
        <v>178</v>
      </c>
      <c r="J26" t="s">
        <v>408</v>
      </c>
      <c r="K26">
        <v>0.2928778446572361</v>
      </c>
      <c r="L26" t="s">
        <v>166</v>
      </c>
      <c r="N26" t="s">
        <v>202</v>
      </c>
      <c r="O26" t="s">
        <v>408</v>
      </c>
      <c r="P26">
        <v>0.14657238629820757</v>
      </c>
      <c r="Q26" t="s">
        <v>166</v>
      </c>
      <c r="S26" t="s">
        <v>219</v>
      </c>
      <c r="T26" t="s">
        <v>408</v>
      </c>
      <c r="U26">
        <v>5.5768557818796041E-2</v>
      </c>
      <c r="V26" t="s">
        <v>166</v>
      </c>
      <c r="AC26" t="s">
        <v>19</v>
      </c>
      <c r="AD26" t="s">
        <v>408</v>
      </c>
      <c r="AE26">
        <v>0.11654823033607667</v>
      </c>
      <c r="AK26">
        <v>2025</v>
      </c>
      <c r="AL26" t="s">
        <v>404</v>
      </c>
      <c r="AM26">
        <v>0.37676666666666669</v>
      </c>
      <c r="AN26" t="s">
        <v>249</v>
      </c>
    </row>
    <row r="27" spans="9:40" x14ac:dyDescent="0.45">
      <c r="I27" t="s">
        <v>178</v>
      </c>
      <c r="J27" t="s">
        <v>409</v>
      </c>
      <c r="K27">
        <v>0</v>
      </c>
      <c r="L27" t="s">
        <v>166</v>
      </c>
      <c r="N27" t="s">
        <v>202</v>
      </c>
      <c r="O27" t="s">
        <v>409</v>
      </c>
      <c r="P27">
        <v>0.14115661840874444</v>
      </c>
      <c r="Q27" t="s">
        <v>166</v>
      </c>
      <c r="S27" t="s">
        <v>219</v>
      </c>
      <c r="T27" t="s">
        <v>409</v>
      </c>
      <c r="U27">
        <v>4.6247354686449402E-2</v>
      </c>
      <c r="V27" t="s">
        <v>166</v>
      </c>
      <c r="AC27" t="s">
        <v>19</v>
      </c>
      <c r="AD27" t="s">
        <v>409</v>
      </c>
      <c r="AE27">
        <v>0.1149597182683009</v>
      </c>
      <c r="AK27">
        <v>2026</v>
      </c>
      <c r="AL27" t="s">
        <v>399</v>
      </c>
      <c r="AM27">
        <v>0.56296666666666673</v>
      </c>
      <c r="AN27" t="s">
        <v>249</v>
      </c>
    </row>
    <row r="28" spans="9:40" x14ac:dyDescent="0.45">
      <c r="I28" t="s">
        <v>178</v>
      </c>
      <c r="J28" t="s">
        <v>410</v>
      </c>
      <c r="K28">
        <v>2.297641788740493E-2</v>
      </c>
      <c r="L28" t="s">
        <v>166</v>
      </c>
      <c r="N28" t="s">
        <v>202</v>
      </c>
      <c r="O28" t="s">
        <v>410</v>
      </c>
      <c r="P28">
        <v>2.5970854260939986E-2</v>
      </c>
      <c r="Q28" t="s">
        <v>166</v>
      </c>
      <c r="S28" t="s">
        <v>219</v>
      </c>
      <c r="T28" t="s">
        <v>410</v>
      </c>
      <c r="U28">
        <v>8.3142885959168033E-3</v>
      </c>
      <c r="V28" t="s">
        <v>166</v>
      </c>
      <c r="AC28" t="s">
        <v>19</v>
      </c>
      <c r="AD28" t="s">
        <v>410</v>
      </c>
      <c r="AE28">
        <v>2.0733628629941356E-2</v>
      </c>
      <c r="AK28">
        <v>2026</v>
      </c>
      <c r="AL28" t="s">
        <v>401</v>
      </c>
      <c r="AM28">
        <v>0.29803333333333332</v>
      </c>
      <c r="AN28" t="s">
        <v>249</v>
      </c>
    </row>
    <row r="29" spans="9:40" x14ac:dyDescent="0.45">
      <c r="I29" t="s">
        <v>178</v>
      </c>
      <c r="J29" t="s">
        <v>411</v>
      </c>
      <c r="K29">
        <v>0.24983125751275118</v>
      </c>
      <c r="L29" t="s">
        <v>166</v>
      </c>
      <c r="N29" t="s">
        <v>202</v>
      </c>
      <c r="O29" t="s">
        <v>411</v>
      </c>
      <c r="P29">
        <v>0.1020312390201107</v>
      </c>
      <c r="Q29" t="s">
        <v>166</v>
      </c>
      <c r="S29" t="s">
        <v>219</v>
      </c>
      <c r="T29" t="s">
        <v>411</v>
      </c>
      <c r="U29">
        <v>9.4009557438358773E-2</v>
      </c>
      <c r="V29" t="s">
        <v>166</v>
      </c>
      <c r="AC29" t="s">
        <v>19</v>
      </c>
      <c r="AD29" t="s">
        <v>411</v>
      </c>
      <c r="AE29">
        <v>0.11700079830576353</v>
      </c>
      <c r="AK29">
        <v>2026</v>
      </c>
      <c r="AL29" t="s">
        <v>402</v>
      </c>
      <c r="AM29">
        <v>0.52656666666666663</v>
      </c>
      <c r="AN29" t="s">
        <v>249</v>
      </c>
    </row>
    <row r="30" spans="9:40" x14ac:dyDescent="0.45">
      <c r="I30" t="s">
        <v>178</v>
      </c>
      <c r="J30" t="s">
        <v>412</v>
      </c>
      <c r="K30">
        <v>0</v>
      </c>
      <c r="L30" t="s">
        <v>166</v>
      </c>
      <c r="N30" t="s">
        <v>202</v>
      </c>
      <c r="O30" t="s">
        <v>412</v>
      </c>
      <c r="P30">
        <v>8.9422824812956062E-2</v>
      </c>
      <c r="Q30" t="s">
        <v>166</v>
      </c>
      <c r="S30" t="s">
        <v>219</v>
      </c>
      <c r="T30" t="s">
        <v>412</v>
      </c>
      <c r="U30">
        <v>7.0231886146576453E-2</v>
      </c>
      <c r="V30" t="s">
        <v>166</v>
      </c>
      <c r="AC30" t="s">
        <v>19</v>
      </c>
      <c r="AD30" t="s">
        <v>412</v>
      </c>
      <c r="AE30">
        <v>0.11468248032640312</v>
      </c>
      <c r="AK30">
        <v>2026</v>
      </c>
      <c r="AL30" t="s">
        <v>404</v>
      </c>
      <c r="AM30">
        <v>0.37613333333333338</v>
      </c>
      <c r="AN30" t="s">
        <v>249</v>
      </c>
    </row>
    <row r="31" spans="9:40" x14ac:dyDescent="0.45">
      <c r="I31" t="s">
        <v>178</v>
      </c>
      <c r="J31" t="s">
        <v>413</v>
      </c>
      <c r="K31">
        <v>2.1130329225912292E-2</v>
      </c>
      <c r="L31" t="s">
        <v>166</v>
      </c>
      <c r="N31" t="s">
        <v>202</v>
      </c>
      <c r="O31" t="s">
        <v>413</v>
      </c>
      <c r="P31">
        <v>1.3796379231346899E-2</v>
      </c>
      <c r="Q31" t="s">
        <v>166</v>
      </c>
      <c r="S31" t="s">
        <v>219</v>
      </c>
      <c r="T31" t="s">
        <v>413</v>
      </c>
      <c r="U31">
        <v>1.1648034429531879E-2</v>
      </c>
      <c r="V31" t="s">
        <v>166</v>
      </c>
      <c r="AC31" t="s">
        <v>19</v>
      </c>
      <c r="AD31" t="s">
        <v>413</v>
      </c>
      <c r="AE31">
        <v>2.0429721866167573E-2</v>
      </c>
      <c r="AK31">
        <v>2027</v>
      </c>
      <c r="AL31" t="s">
        <v>399</v>
      </c>
      <c r="AM31">
        <v>0.56896666666666673</v>
      </c>
      <c r="AN31" t="s">
        <v>249</v>
      </c>
    </row>
    <row r="32" spans="9:40" x14ac:dyDescent="0.45">
      <c r="I32" t="s">
        <v>178</v>
      </c>
      <c r="J32" t="s">
        <v>414</v>
      </c>
      <c r="K32">
        <v>0.18686595633340705</v>
      </c>
      <c r="L32" t="s">
        <v>166</v>
      </c>
      <c r="N32" t="s">
        <v>202</v>
      </c>
      <c r="O32" t="s">
        <v>414</v>
      </c>
      <c r="P32">
        <v>0.12664763365691648</v>
      </c>
      <c r="Q32" t="s">
        <v>166</v>
      </c>
      <c r="S32" t="s">
        <v>219</v>
      </c>
      <c r="T32" t="s">
        <v>414</v>
      </c>
      <c r="U32">
        <v>0.22153406983920568</v>
      </c>
      <c r="V32" t="s">
        <v>166</v>
      </c>
      <c r="AC32" t="s">
        <v>19</v>
      </c>
      <c r="AD32" t="s">
        <v>414</v>
      </c>
      <c r="AE32">
        <v>0.11411870844536401</v>
      </c>
      <c r="AK32">
        <v>2027</v>
      </c>
      <c r="AL32" t="s">
        <v>401</v>
      </c>
      <c r="AM32">
        <v>0.30506666666666665</v>
      </c>
      <c r="AN32" t="s">
        <v>249</v>
      </c>
    </row>
    <row r="33" spans="9:40" x14ac:dyDescent="0.45">
      <c r="I33" t="s">
        <v>178</v>
      </c>
      <c r="J33" t="s">
        <v>415</v>
      </c>
      <c r="K33">
        <v>0</v>
      </c>
      <c r="L33" t="s">
        <v>166</v>
      </c>
      <c r="N33" t="s">
        <v>202</v>
      </c>
      <c r="O33" t="s">
        <v>415</v>
      </c>
      <c r="P33">
        <v>0.10913145538885217</v>
      </c>
      <c r="Q33" t="s">
        <v>166</v>
      </c>
      <c r="S33" t="s">
        <v>219</v>
      </c>
      <c r="T33" t="s">
        <v>415</v>
      </c>
      <c r="U33">
        <v>0.20000908340471887</v>
      </c>
      <c r="V33" t="s">
        <v>166</v>
      </c>
      <c r="AC33" t="s">
        <v>19</v>
      </c>
      <c r="AD33" t="s">
        <v>415</v>
      </c>
      <c r="AE33">
        <v>0.11223480043735543</v>
      </c>
      <c r="AK33">
        <v>2027</v>
      </c>
      <c r="AL33" t="s">
        <v>402</v>
      </c>
      <c r="AM33">
        <v>0.51346666666666663</v>
      </c>
      <c r="AN33" t="s">
        <v>249</v>
      </c>
    </row>
    <row r="34" spans="9:40" x14ac:dyDescent="0.45">
      <c r="I34" t="s">
        <v>178</v>
      </c>
      <c r="J34" t="s">
        <v>416</v>
      </c>
      <c r="K34">
        <v>1.5591933436259515E-2</v>
      </c>
      <c r="L34" t="s">
        <v>166</v>
      </c>
      <c r="N34" t="s">
        <v>202</v>
      </c>
      <c r="O34" t="s">
        <v>416</v>
      </c>
      <c r="P34">
        <v>1.991323808860386E-2</v>
      </c>
      <c r="Q34" t="s">
        <v>166</v>
      </c>
      <c r="S34" t="s">
        <v>219</v>
      </c>
      <c r="T34" t="s">
        <v>416</v>
      </c>
      <c r="U34">
        <v>3.6510558293589068E-2</v>
      </c>
      <c r="V34" t="s">
        <v>166</v>
      </c>
      <c r="AC34" t="s">
        <v>19</v>
      </c>
      <c r="AD34" t="s">
        <v>416</v>
      </c>
      <c r="AE34">
        <v>2.0034136178500309E-2</v>
      </c>
      <c r="AK34">
        <v>2027</v>
      </c>
      <c r="AL34" t="s">
        <v>404</v>
      </c>
      <c r="AM34">
        <v>0.34323333333333333</v>
      </c>
      <c r="AN34" t="s">
        <v>249</v>
      </c>
    </row>
    <row r="35" spans="9:40" x14ac:dyDescent="0.45">
      <c r="I35" t="s">
        <v>179</v>
      </c>
      <c r="J35" t="s">
        <v>405</v>
      </c>
      <c r="K35">
        <v>0.20666319109543624</v>
      </c>
      <c r="L35" t="s">
        <v>166</v>
      </c>
      <c r="N35" t="s">
        <v>203</v>
      </c>
      <c r="O35" t="s">
        <v>405</v>
      </c>
      <c r="P35">
        <v>0.12520351408676167</v>
      </c>
      <c r="Q35" t="s">
        <v>166</v>
      </c>
      <c r="S35" t="s">
        <v>220</v>
      </c>
      <c r="T35" t="s">
        <v>405</v>
      </c>
      <c r="U35">
        <v>0.11165887607376197</v>
      </c>
      <c r="V35" t="s">
        <v>166</v>
      </c>
      <c r="AK35">
        <v>2028</v>
      </c>
      <c r="AL35" t="s">
        <v>399</v>
      </c>
      <c r="AM35">
        <v>0.5522999999999999</v>
      </c>
      <c r="AN35" t="s">
        <v>249</v>
      </c>
    </row>
    <row r="36" spans="9:40" x14ac:dyDescent="0.45">
      <c r="I36" t="s">
        <v>179</v>
      </c>
      <c r="J36" t="s">
        <v>406</v>
      </c>
      <c r="K36">
        <v>0</v>
      </c>
      <c r="L36" t="s">
        <v>166</v>
      </c>
      <c r="N36" t="s">
        <v>203</v>
      </c>
      <c r="O36" t="s">
        <v>406</v>
      </c>
      <c r="P36">
        <v>0.12400161216744542</v>
      </c>
      <c r="Q36" t="s">
        <v>166</v>
      </c>
      <c r="S36" t="s">
        <v>220</v>
      </c>
      <c r="T36" t="s">
        <v>406</v>
      </c>
      <c r="U36">
        <v>0.10418050526292817</v>
      </c>
      <c r="V36" t="s">
        <v>166</v>
      </c>
      <c r="AK36">
        <v>2028</v>
      </c>
      <c r="AL36" t="s">
        <v>401</v>
      </c>
      <c r="AM36">
        <v>0.32156666666666661</v>
      </c>
      <c r="AN36" t="s">
        <v>249</v>
      </c>
    </row>
    <row r="37" spans="9:40" x14ac:dyDescent="0.45">
      <c r="I37" t="s">
        <v>179</v>
      </c>
      <c r="J37" t="s">
        <v>407</v>
      </c>
      <c r="K37">
        <v>1.218148529452592E-2</v>
      </c>
      <c r="L37" t="s">
        <v>166</v>
      </c>
      <c r="N37" t="s">
        <v>203</v>
      </c>
      <c r="O37" t="s">
        <v>407</v>
      </c>
      <c r="P37">
        <v>1.715128409604175E-2</v>
      </c>
      <c r="Q37" t="s">
        <v>166</v>
      </c>
      <c r="S37" t="s">
        <v>220</v>
      </c>
      <c r="T37" t="s">
        <v>407</v>
      </c>
      <c r="U37">
        <v>1.9164042025789831E-2</v>
      </c>
      <c r="V37" t="s">
        <v>166</v>
      </c>
      <c r="AK37">
        <v>2028</v>
      </c>
      <c r="AL37" t="s">
        <v>402</v>
      </c>
      <c r="AM37">
        <v>0.51263333333333339</v>
      </c>
      <c r="AN37" t="s">
        <v>249</v>
      </c>
    </row>
    <row r="38" spans="9:40" x14ac:dyDescent="0.45">
      <c r="I38" t="s">
        <v>179</v>
      </c>
      <c r="J38" t="s">
        <v>408</v>
      </c>
      <c r="K38">
        <v>0.28896803077087618</v>
      </c>
      <c r="L38" t="s">
        <v>166</v>
      </c>
      <c r="N38" t="s">
        <v>203</v>
      </c>
      <c r="O38" t="s">
        <v>408</v>
      </c>
      <c r="P38">
        <v>0.12354888388626621</v>
      </c>
      <c r="Q38" t="s">
        <v>166</v>
      </c>
      <c r="S38" t="s">
        <v>220</v>
      </c>
      <c r="T38" t="s">
        <v>408</v>
      </c>
      <c r="U38">
        <v>4.9137217043786374E-2</v>
      </c>
      <c r="V38" t="s">
        <v>166</v>
      </c>
      <c r="AK38">
        <v>2028</v>
      </c>
      <c r="AL38" t="s">
        <v>404</v>
      </c>
      <c r="AM38">
        <v>0.3677333333333333</v>
      </c>
      <c r="AN38" t="s">
        <v>249</v>
      </c>
    </row>
    <row r="39" spans="9:40" x14ac:dyDescent="0.45">
      <c r="I39" t="s">
        <v>179</v>
      </c>
      <c r="J39" t="s">
        <v>409</v>
      </c>
      <c r="K39">
        <v>0</v>
      </c>
      <c r="L39" t="s">
        <v>166</v>
      </c>
      <c r="N39" t="s">
        <v>203</v>
      </c>
      <c r="O39" t="s">
        <v>409</v>
      </c>
      <c r="P39">
        <v>0.1316558618631892</v>
      </c>
      <c r="Q39" t="s">
        <v>166</v>
      </c>
      <c r="S39" t="s">
        <v>220</v>
      </c>
      <c r="T39" t="s">
        <v>409</v>
      </c>
      <c r="U39">
        <v>4.353745226179772E-2</v>
      </c>
      <c r="V39" t="s">
        <v>166</v>
      </c>
      <c r="AK39">
        <v>2029</v>
      </c>
      <c r="AL39" t="s">
        <v>399</v>
      </c>
      <c r="AM39">
        <v>0.56869999999999998</v>
      </c>
      <c r="AN39" t="s">
        <v>249</v>
      </c>
    </row>
    <row r="40" spans="9:40" x14ac:dyDescent="0.45">
      <c r="I40" t="s">
        <v>179</v>
      </c>
      <c r="J40" t="s">
        <v>410</v>
      </c>
      <c r="K40">
        <v>2.5034864011420695E-2</v>
      </c>
      <c r="L40" t="s">
        <v>166</v>
      </c>
      <c r="N40" t="s">
        <v>203</v>
      </c>
      <c r="O40" t="s">
        <v>410</v>
      </c>
      <c r="P40">
        <v>2.1895902241835241E-2</v>
      </c>
      <c r="Q40" t="s">
        <v>166</v>
      </c>
      <c r="S40" t="s">
        <v>220</v>
      </c>
      <c r="T40" t="s">
        <v>410</v>
      </c>
      <c r="U40">
        <v>7.6920328764718184E-3</v>
      </c>
      <c r="V40" t="s">
        <v>166</v>
      </c>
      <c r="AK40">
        <v>2029</v>
      </c>
      <c r="AL40" t="s">
        <v>401</v>
      </c>
      <c r="AM40">
        <v>0.31003333333333333</v>
      </c>
      <c r="AN40" t="s">
        <v>249</v>
      </c>
    </row>
    <row r="41" spans="9:40" x14ac:dyDescent="0.45">
      <c r="I41" t="s">
        <v>179</v>
      </c>
      <c r="J41" t="s">
        <v>411</v>
      </c>
      <c r="K41">
        <v>0.21796521763111831</v>
      </c>
      <c r="L41" t="s">
        <v>166</v>
      </c>
      <c r="N41" t="s">
        <v>203</v>
      </c>
      <c r="O41" t="s">
        <v>411</v>
      </c>
      <c r="P41">
        <v>9.610509627449125E-2</v>
      </c>
      <c r="Q41" t="s">
        <v>166</v>
      </c>
      <c r="S41" t="s">
        <v>220</v>
      </c>
      <c r="T41" t="s">
        <v>411</v>
      </c>
      <c r="U41">
        <v>9.4854917027232005E-2</v>
      </c>
      <c r="V41" t="s">
        <v>166</v>
      </c>
      <c r="AK41">
        <v>2029</v>
      </c>
      <c r="AL41" t="s">
        <v>402</v>
      </c>
      <c r="AM41">
        <v>0.49730000000000002</v>
      </c>
      <c r="AN41" t="s">
        <v>249</v>
      </c>
    </row>
    <row r="42" spans="9:40" x14ac:dyDescent="0.45">
      <c r="I42" t="s">
        <v>179</v>
      </c>
      <c r="J42" t="s">
        <v>412</v>
      </c>
      <c r="K42">
        <v>0</v>
      </c>
      <c r="L42" t="s">
        <v>166</v>
      </c>
      <c r="N42" t="s">
        <v>203</v>
      </c>
      <c r="O42" t="s">
        <v>412</v>
      </c>
      <c r="P42">
        <v>0.102709761216847</v>
      </c>
      <c r="Q42" t="s">
        <v>166</v>
      </c>
      <c r="S42" t="s">
        <v>220</v>
      </c>
      <c r="T42" t="s">
        <v>412</v>
      </c>
      <c r="U42">
        <v>7.1457320440506927E-2</v>
      </c>
      <c r="V42" t="s">
        <v>166</v>
      </c>
      <c r="AK42">
        <v>2029</v>
      </c>
      <c r="AL42" t="s">
        <v>404</v>
      </c>
      <c r="AM42">
        <v>0.37093333333333334</v>
      </c>
      <c r="AN42" t="s">
        <v>249</v>
      </c>
    </row>
    <row r="43" spans="9:40" x14ac:dyDescent="0.45">
      <c r="I43" t="s">
        <v>179</v>
      </c>
      <c r="J43" t="s">
        <v>413</v>
      </c>
      <c r="K43">
        <v>1.7756357746837179E-2</v>
      </c>
      <c r="L43" t="s">
        <v>166</v>
      </c>
      <c r="N43" t="s">
        <v>203</v>
      </c>
      <c r="O43" t="s">
        <v>413</v>
      </c>
      <c r="P43">
        <v>1.5354708665067992E-2</v>
      </c>
      <c r="Q43" t="s">
        <v>166</v>
      </c>
      <c r="S43" t="s">
        <v>220</v>
      </c>
      <c r="T43" t="s">
        <v>413</v>
      </c>
      <c r="U43">
        <v>1.5095090666905821E-2</v>
      </c>
      <c r="V43" t="s">
        <v>166</v>
      </c>
      <c r="AK43">
        <v>2030</v>
      </c>
      <c r="AL43" t="s">
        <v>399</v>
      </c>
      <c r="AM43">
        <v>0.54843333333333333</v>
      </c>
      <c r="AN43" t="s">
        <v>249</v>
      </c>
    </row>
    <row r="44" spans="9:40" x14ac:dyDescent="0.45">
      <c r="I44" t="s">
        <v>179</v>
      </c>
      <c r="J44" t="s">
        <v>414</v>
      </c>
      <c r="K44">
        <v>0.2100492230575858</v>
      </c>
      <c r="L44" t="s">
        <v>166</v>
      </c>
      <c r="N44" t="s">
        <v>203</v>
      </c>
      <c r="O44" t="s">
        <v>414</v>
      </c>
      <c r="P44">
        <v>0.11644513086517669</v>
      </c>
      <c r="Q44" t="s">
        <v>166</v>
      </c>
      <c r="S44" t="s">
        <v>220</v>
      </c>
      <c r="T44" t="s">
        <v>414</v>
      </c>
      <c r="U44">
        <v>0.22752381814338954</v>
      </c>
      <c r="V44" t="s">
        <v>166</v>
      </c>
      <c r="AK44">
        <v>2030</v>
      </c>
      <c r="AL44" t="s">
        <v>401</v>
      </c>
      <c r="AM44">
        <v>0.31090000000000001</v>
      </c>
      <c r="AN44" t="s">
        <v>249</v>
      </c>
    </row>
    <row r="45" spans="9:40" x14ac:dyDescent="0.45">
      <c r="I45" t="s">
        <v>179</v>
      </c>
      <c r="J45" t="s">
        <v>415</v>
      </c>
      <c r="K45">
        <v>0</v>
      </c>
      <c r="L45" t="s">
        <v>166</v>
      </c>
      <c r="N45" t="s">
        <v>203</v>
      </c>
      <c r="O45" t="s">
        <v>415</v>
      </c>
      <c r="P45">
        <v>0.10869270151737238</v>
      </c>
      <c r="Q45" t="s">
        <v>166</v>
      </c>
      <c r="S45" t="s">
        <v>220</v>
      </c>
      <c r="T45" t="s">
        <v>415</v>
      </c>
      <c r="U45">
        <v>0.21739783642645522</v>
      </c>
      <c r="V45" t="s">
        <v>166</v>
      </c>
      <c r="AK45">
        <v>2030</v>
      </c>
      <c r="AL45" t="s">
        <v>402</v>
      </c>
      <c r="AM45">
        <v>0.52766666666666662</v>
      </c>
      <c r="AN45" t="s">
        <v>249</v>
      </c>
    </row>
    <row r="46" spans="9:40" x14ac:dyDescent="0.45">
      <c r="I46" t="s">
        <v>179</v>
      </c>
      <c r="J46" t="s">
        <v>416</v>
      </c>
      <c r="K46">
        <v>2.1381630392198304E-2</v>
      </c>
      <c r="L46" t="s">
        <v>166</v>
      </c>
      <c r="N46" t="s">
        <v>203</v>
      </c>
      <c r="O46" t="s">
        <v>416</v>
      </c>
      <c r="P46">
        <v>1.7235543119506789E-2</v>
      </c>
      <c r="Q46" t="s">
        <v>166</v>
      </c>
      <c r="S46" t="s">
        <v>220</v>
      </c>
      <c r="T46" t="s">
        <v>416</v>
      </c>
      <c r="U46">
        <v>3.8300891750973863E-2</v>
      </c>
      <c r="V46" t="s">
        <v>166</v>
      </c>
      <c r="AK46">
        <v>2030</v>
      </c>
      <c r="AL46" t="s">
        <v>404</v>
      </c>
      <c r="AM46">
        <v>0.37736666666666663</v>
      </c>
      <c r="AN46" t="s">
        <v>249</v>
      </c>
    </row>
    <row r="47" spans="9:40" x14ac:dyDescent="0.45">
      <c r="I47" t="s">
        <v>180</v>
      </c>
      <c r="J47" t="s">
        <v>405</v>
      </c>
      <c r="K47">
        <v>0.20788707464265876</v>
      </c>
      <c r="L47" t="s">
        <v>166</v>
      </c>
      <c r="N47" t="s">
        <v>204</v>
      </c>
      <c r="O47" t="s">
        <v>405</v>
      </c>
      <c r="P47">
        <v>8.4050668516544386E-2</v>
      </c>
      <c r="Q47" t="s">
        <v>166</v>
      </c>
      <c r="S47" t="s">
        <v>221</v>
      </c>
      <c r="T47" t="s">
        <v>405</v>
      </c>
      <c r="U47">
        <v>0.11164191234870477</v>
      </c>
      <c r="V47" t="s">
        <v>166</v>
      </c>
      <c r="AK47">
        <v>2031</v>
      </c>
      <c r="AL47" t="s">
        <v>399</v>
      </c>
      <c r="AM47">
        <v>0.54159999999999997</v>
      </c>
      <c r="AN47" t="s">
        <v>249</v>
      </c>
    </row>
    <row r="48" spans="9:40" x14ac:dyDescent="0.45">
      <c r="I48" t="s">
        <v>180</v>
      </c>
      <c r="J48" t="s">
        <v>406</v>
      </c>
      <c r="K48">
        <v>0</v>
      </c>
      <c r="L48" t="s">
        <v>166</v>
      </c>
      <c r="N48" t="s">
        <v>204</v>
      </c>
      <c r="O48" t="s">
        <v>406</v>
      </c>
      <c r="P48">
        <v>7.8566611079931181E-2</v>
      </c>
      <c r="Q48" t="s">
        <v>166</v>
      </c>
      <c r="S48" t="s">
        <v>221</v>
      </c>
      <c r="T48" t="s">
        <v>406</v>
      </c>
      <c r="U48">
        <v>0.10904395000949313</v>
      </c>
      <c r="V48" t="s">
        <v>166</v>
      </c>
      <c r="AK48">
        <v>2031</v>
      </c>
      <c r="AL48" t="s">
        <v>401</v>
      </c>
      <c r="AM48">
        <v>0.31980000000000003</v>
      </c>
      <c r="AN48" t="s">
        <v>249</v>
      </c>
    </row>
    <row r="49" spans="9:40" x14ac:dyDescent="0.45">
      <c r="I49" t="s">
        <v>180</v>
      </c>
      <c r="J49" t="s">
        <v>407</v>
      </c>
      <c r="K49">
        <v>1.1293832240235694E-2</v>
      </c>
      <c r="L49" t="s">
        <v>166</v>
      </c>
      <c r="N49" t="s">
        <v>204</v>
      </c>
      <c r="O49" t="s">
        <v>407</v>
      </c>
      <c r="P49">
        <v>1.5621126394183333E-2</v>
      </c>
      <c r="Q49" t="s">
        <v>166</v>
      </c>
      <c r="S49" t="s">
        <v>221</v>
      </c>
      <c r="T49" t="s">
        <v>407</v>
      </c>
      <c r="U49">
        <v>2.0376140459609639E-2</v>
      </c>
      <c r="V49" t="s">
        <v>166</v>
      </c>
      <c r="AK49">
        <v>2031</v>
      </c>
      <c r="AL49" t="s">
        <v>402</v>
      </c>
      <c r="AM49">
        <v>0.4975</v>
      </c>
      <c r="AN49" t="s">
        <v>249</v>
      </c>
    </row>
    <row r="50" spans="9:40" x14ac:dyDescent="0.45">
      <c r="I50" t="s">
        <v>180</v>
      </c>
      <c r="J50" t="s">
        <v>408</v>
      </c>
      <c r="K50">
        <v>0.27098243043186282</v>
      </c>
      <c r="L50" t="s">
        <v>166</v>
      </c>
      <c r="N50" t="s">
        <v>204</v>
      </c>
      <c r="O50" t="s">
        <v>408</v>
      </c>
      <c r="P50">
        <v>8.5901229413899563E-2</v>
      </c>
      <c r="Q50" t="s">
        <v>166</v>
      </c>
      <c r="S50" t="s">
        <v>221</v>
      </c>
      <c r="T50" t="s">
        <v>408</v>
      </c>
      <c r="U50">
        <v>5.3682835208557239E-2</v>
      </c>
      <c r="V50" t="s">
        <v>166</v>
      </c>
      <c r="AK50">
        <v>2031</v>
      </c>
      <c r="AL50" t="s">
        <v>404</v>
      </c>
      <c r="AM50">
        <v>0.38969999999999999</v>
      </c>
      <c r="AN50" t="s">
        <v>249</v>
      </c>
    </row>
    <row r="51" spans="9:40" x14ac:dyDescent="0.45">
      <c r="I51" t="s">
        <v>180</v>
      </c>
      <c r="J51" t="s">
        <v>409</v>
      </c>
      <c r="K51">
        <v>0</v>
      </c>
      <c r="L51" t="s">
        <v>166</v>
      </c>
      <c r="N51" t="s">
        <v>204</v>
      </c>
      <c r="O51" t="s">
        <v>409</v>
      </c>
      <c r="P51">
        <v>0.10221004322876648</v>
      </c>
      <c r="Q51" t="s">
        <v>166</v>
      </c>
      <c r="S51" t="s">
        <v>221</v>
      </c>
      <c r="T51" t="s">
        <v>409</v>
      </c>
      <c r="U51">
        <v>5.1517196771309545E-2</v>
      </c>
      <c r="V51" t="s">
        <v>166</v>
      </c>
      <c r="AK51">
        <v>2032</v>
      </c>
      <c r="AL51" t="s">
        <v>399</v>
      </c>
      <c r="AM51">
        <v>0.44513333333333333</v>
      </c>
      <c r="AN51" t="s">
        <v>249</v>
      </c>
    </row>
    <row r="52" spans="9:40" x14ac:dyDescent="0.45">
      <c r="I52" t="s">
        <v>180</v>
      </c>
      <c r="J52" t="s">
        <v>410</v>
      </c>
      <c r="K52">
        <v>2.4091728207941174E-2</v>
      </c>
      <c r="L52" t="s">
        <v>166</v>
      </c>
      <c r="N52" t="s">
        <v>204</v>
      </c>
      <c r="O52" t="s">
        <v>410</v>
      </c>
      <c r="P52">
        <v>2.2898805572350956E-2</v>
      </c>
      <c r="Q52" t="s">
        <v>166</v>
      </c>
      <c r="S52" t="s">
        <v>221</v>
      </c>
      <c r="T52" t="s">
        <v>410</v>
      </c>
      <c r="U52">
        <v>1.0081396403780337E-2</v>
      </c>
      <c r="V52" t="s">
        <v>166</v>
      </c>
      <c r="AK52">
        <v>2032</v>
      </c>
      <c r="AL52" t="s">
        <v>401</v>
      </c>
      <c r="AM52">
        <v>0.25176666666666664</v>
      </c>
      <c r="AN52" t="s">
        <v>249</v>
      </c>
    </row>
    <row r="53" spans="9:40" x14ac:dyDescent="0.45">
      <c r="I53" t="s">
        <v>180</v>
      </c>
      <c r="J53" t="s">
        <v>411</v>
      </c>
      <c r="K53">
        <v>0.17753342283837442</v>
      </c>
      <c r="L53" t="s">
        <v>166</v>
      </c>
      <c r="N53" t="s">
        <v>204</v>
      </c>
      <c r="O53" t="s">
        <v>411</v>
      </c>
      <c r="P53">
        <v>0.1278232354101031</v>
      </c>
      <c r="Q53" t="s">
        <v>166</v>
      </c>
      <c r="S53" t="s">
        <v>221</v>
      </c>
      <c r="T53" t="s">
        <v>411</v>
      </c>
      <c r="U53">
        <v>0.10384579471352091</v>
      </c>
      <c r="V53" t="s">
        <v>166</v>
      </c>
      <c r="AK53">
        <v>2032</v>
      </c>
      <c r="AL53" t="s">
        <v>402</v>
      </c>
      <c r="AM53">
        <v>0.45850000000000007</v>
      </c>
      <c r="AN53" t="s">
        <v>249</v>
      </c>
    </row>
    <row r="54" spans="9:40" x14ac:dyDescent="0.45">
      <c r="I54" t="s">
        <v>180</v>
      </c>
      <c r="J54" t="s">
        <v>412</v>
      </c>
      <c r="K54">
        <v>0</v>
      </c>
      <c r="L54" t="s">
        <v>166</v>
      </c>
      <c r="N54" t="s">
        <v>204</v>
      </c>
      <c r="O54" t="s">
        <v>412</v>
      </c>
      <c r="P54">
        <v>0.12459778663682103</v>
      </c>
      <c r="Q54" t="s">
        <v>166</v>
      </c>
      <c r="S54" t="s">
        <v>221</v>
      </c>
      <c r="T54" t="s">
        <v>412</v>
      </c>
      <c r="U54">
        <v>0.11423719408240597</v>
      </c>
      <c r="V54" t="s">
        <v>166</v>
      </c>
      <c r="AK54">
        <v>2032</v>
      </c>
      <c r="AL54" t="s">
        <v>404</v>
      </c>
      <c r="AM54">
        <v>0.31340000000000001</v>
      </c>
      <c r="AN54" t="s">
        <v>249</v>
      </c>
    </row>
    <row r="55" spans="9:40" x14ac:dyDescent="0.45">
      <c r="I55" t="s">
        <v>180</v>
      </c>
      <c r="J55" t="s">
        <v>413</v>
      </c>
      <c r="K55">
        <v>1.5459455583983379E-2</v>
      </c>
      <c r="L55" t="s">
        <v>166</v>
      </c>
      <c r="N55" t="s">
        <v>204</v>
      </c>
      <c r="O55" t="s">
        <v>413</v>
      </c>
      <c r="P55">
        <v>2.2422507618192363E-2</v>
      </c>
      <c r="Q55" t="s">
        <v>166</v>
      </c>
      <c r="S55" t="s">
        <v>221</v>
      </c>
      <c r="T55" t="s">
        <v>413</v>
      </c>
      <c r="U55">
        <v>1.9418922906940431E-2</v>
      </c>
      <c r="V55" t="s">
        <v>166</v>
      </c>
      <c r="AK55">
        <v>2033</v>
      </c>
      <c r="AL55" t="s">
        <v>399</v>
      </c>
      <c r="AM55">
        <v>0.47943333333333332</v>
      </c>
      <c r="AN55" t="s">
        <v>249</v>
      </c>
    </row>
    <row r="56" spans="9:40" x14ac:dyDescent="0.45">
      <c r="I56" t="s">
        <v>180</v>
      </c>
      <c r="J56" t="s">
        <v>414</v>
      </c>
      <c r="K56">
        <v>0.26901781760033733</v>
      </c>
      <c r="L56" t="s">
        <v>166</v>
      </c>
      <c r="N56" t="s">
        <v>204</v>
      </c>
      <c r="O56" t="s">
        <v>414</v>
      </c>
      <c r="P56">
        <v>0.10649962354973763</v>
      </c>
      <c r="Q56" t="s">
        <v>166</v>
      </c>
      <c r="S56" t="s">
        <v>221</v>
      </c>
      <c r="T56" t="s">
        <v>414</v>
      </c>
      <c r="U56">
        <v>0.18826984487288717</v>
      </c>
      <c r="V56" t="s">
        <v>166</v>
      </c>
      <c r="AK56">
        <v>2033</v>
      </c>
      <c r="AL56" t="s">
        <v>401</v>
      </c>
      <c r="AM56">
        <v>0.24853333333333336</v>
      </c>
      <c r="AN56" t="s">
        <v>249</v>
      </c>
    </row>
    <row r="57" spans="9:40" x14ac:dyDescent="0.45">
      <c r="I57" t="s">
        <v>180</v>
      </c>
      <c r="J57" t="s">
        <v>415</v>
      </c>
      <c r="K57">
        <v>0</v>
      </c>
      <c r="L57" t="s">
        <v>166</v>
      </c>
      <c r="N57" t="s">
        <v>204</v>
      </c>
      <c r="O57" t="s">
        <v>415</v>
      </c>
      <c r="P57">
        <v>0.19691545659274379</v>
      </c>
      <c r="Q57" t="s">
        <v>166</v>
      </c>
      <c r="S57" t="s">
        <v>221</v>
      </c>
      <c r="T57" t="s">
        <v>415</v>
      </c>
      <c r="U57">
        <v>0.18394719917203434</v>
      </c>
      <c r="V57" t="s">
        <v>166</v>
      </c>
      <c r="AK57">
        <v>2033</v>
      </c>
      <c r="AL57" t="s">
        <v>402</v>
      </c>
      <c r="AM57">
        <v>0.43823333333333331</v>
      </c>
      <c r="AN57" t="s">
        <v>249</v>
      </c>
    </row>
    <row r="58" spans="9:40" x14ac:dyDescent="0.45">
      <c r="I58" t="s">
        <v>180</v>
      </c>
      <c r="J58" t="s">
        <v>416</v>
      </c>
      <c r="K58">
        <v>2.3734238454605372E-2</v>
      </c>
      <c r="L58" t="s">
        <v>166</v>
      </c>
      <c r="N58" t="s">
        <v>204</v>
      </c>
      <c r="O58" t="s">
        <v>416</v>
      </c>
      <c r="P58">
        <v>3.2492905986726592E-2</v>
      </c>
      <c r="Q58" t="s">
        <v>166</v>
      </c>
      <c r="S58" t="s">
        <v>221</v>
      </c>
      <c r="T58" t="s">
        <v>416</v>
      </c>
      <c r="U58">
        <v>3.393761305075494E-2</v>
      </c>
      <c r="V58" t="s">
        <v>166</v>
      </c>
      <c r="AK58">
        <v>2033</v>
      </c>
      <c r="AL58" t="s">
        <v>404</v>
      </c>
      <c r="AM58">
        <v>0.30963333333333337</v>
      </c>
      <c r="AN58" t="s">
        <v>249</v>
      </c>
    </row>
    <row r="59" spans="9:40" x14ac:dyDescent="0.45">
      <c r="I59" t="s">
        <v>181</v>
      </c>
      <c r="J59" t="s">
        <v>405</v>
      </c>
      <c r="K59">
        <v>0.20261729300999373</v>
      </c>
      <c r="L59" t="s">
        <v>166</v>
      </c>
      <c r="N59" t="s">
        <v>205</v>
      </c>
      <c r="O59" t="s">
        <v>405</v>
      </c>
      <c r="P59">
        <v>0.10568571132916843</v>
      </c>
      <c r="Q59" t="s">
        <v>166</v>
      </c>
      <c r="S59" t="s">
        <v>222</v>
      </c>
      <c r="T59" t="s">
        <v>405</v>
      </c>
      <c r="U59">
        <v>0.10994309469612028</v>
      </c>
      <c r="V59" t="s">
        <v>166</v>
      </c>
      <c r="AK59">
        <v>2034</v>
      </c>
      <c r="AL59" t="s">
        <v>399</v>
      </c>
      <c r="AM59">
        <v>0.44593333333333335</v>
      </c>
      <c r="AN59" t="s">
        <v>249</v>
      </c>
    </row>
    <row r="60" spans="9:40" x14ac:dyDescent="0.45">
      <c r="I60" t="s">
        <v>181</v>
      </c>
      <c r="J60" t="s">
        <v>406</v>
      </c>
      <c r="K60">
        <v>0</v>
      </c>
      <c r="L60" t="s">
        <v>166</v>
      </c>
      <c r="N60" t="s">
        <v>205</v>
      </c>
      <c r="O60" t="s">
        <v>406</v>
      </c>
      <c r="P60">
        <v>0.10001298176509105</v>
      </c>
      <c r="Q60" t="s">
        <v>166</v>
      </c>
      <c r="S60" t="s">
        <v>222</v>
      </c>
      <c r="T60" t="s">
        <v>406</v>
      </c>
      <c r="U60">
        <v>0.11186618414578925</v>
      </c>
      <c r="V60" t="s">
        <v>166</v>
      </c>
      <c r="AK60">
        <v>2034</v>
      </c>
      <c r="AL60" t="s">
        <v>401</v>
      </c>
      <c r="AM60">
        <v>0.25723333333333337</v>
      </c>
      <c r="AN60" t="s">
        <v>249</v>
      </c>
    </row>
    <row r="61" spans="9:40" x14ac:dyDescent="0.45">
      <c r="I61" t="s">
        <v>181</v>
      </c>
      <c r="J61" t="s">
        <v>407</v>
      </c>
      <c r="K61">
        <v>1.1066259952747206E-2</v>
      </c>
      <c r="L61" t="s">
        <v>166</v>
      </c>
      <c r="N61" t="s">
        <v>205</v>
      </c>
      <c r="O61" t="s">
        <v>407</v>
      </c>
      <c r="P61">
        <v>1.9584224243067286E-2</v>
      </c>
      <c r="Q61" t="s">
        <v>166</v>
      </c>
      <c r="S61" t="s">
        <v>222</v>
      </c>
      <c r="T61" t="s">
        <v>407</v>
      </c>
      <c r="U61">
        <v>2.0766175425642592E-2</v>
      </c>
      <c r="V61" t="s">
        <v>166</v>
      </c>
      <c r="AK61">
        <v>2034</v>
      </c>
      <c r="AL61" t="s">
        <v>402</v>
      </c>
      <c r="AM61">
        <v>0.41536666666666666</v>
      </c>
      <c r="AN61" t="s">
        <v>249</v>
      </c>
    </row>
    <row r="62" spans="9:40" x14ac:dyDescent="0.45">
      <c r="I62" t="s">
        <v>181</v>
      </c>
      <c r="J62" t="s">
        <v>408</v>
      </c>
      <c r="K62">
        <v>0.28389324690213247</v>
      </c>
      <c r="L62" t="s">
        <v>166</v>
      </c>
      <c r="N62" t="s">
        <v>205</v>
      </c>
      <c r="O62" t="s">
        <v>408</v>
      </c>
      <c r="P62">
        <v>6.9734181504279319E-2</v>
      </c>
      <c r="Q62" t="s">
        <v>166</v>
      </c>
      <c r="S62" t="s">
        <v>222</v>
      </c>
      <c r="T62" t="s">
        <v>408</v>
      </c>
      <c r="U62">
        <v>4.3160352802397821E-2</v>
      </c>
      <c r="V62" t="s">
        <v>166</v>
      </c>
      <c r="AK62">
        <v>2034</v>
      </c>
      <c r="AL62" t="s">
        <v>404</v>
      </c>
      <c r="AM62">
        <v>0.33323333333333333</v>
      </c>
      <c r="AN62" t="s">
        <v>249</v>
      </c>
    </row>
    <row r="63" spans="9:40" x14ac:dyDescent="0.45">
      <c r="I63" t="s">
        <v>181</v>
      </c>
      <c r="J63" t="s">
        <v>409</v>
      </c>
      <c r="K63">
        <v>0</v>
      </c>
      <c r="L63" t="s">
        <v>166</v>
      </c>
      <c r="N63" t="s">
        <v>205</v>
      </c>
      <c r="O63" t="s">
        <v>409</v>
      </c>
      <c r="P63">
        <v>6.2651182714856465E-2</v>
      </c>
      <c r="Q63" t="s">
        <v>166</v>
      </c>
      <c r="S63" t="s">
        <v>222</v>
      </c>
      <c r="T63" t="s">
        <v>409</v>
      </c>
      <c r="U63">
        <v>4.530886475097784E-2</v>
      </c>
      <c r="V63" t="s">
        <v>166</v>
      </c>
      <c r="AK63">
        <v>2035</v>
      </c>
      <c r="AL63" t="s">
        <v>399</v>
      </c>
      <c r="AM63">
        <v>0.53406666666666658</v>
      </c>
      <c r="AN63" t="s">
        <v>249</v>
      </c>
    </row>
    <row r="64" spans="9:40" x14ac:dyDescent="0.45">
      <c r="I64" t="s">
        <v>181</v>
      </c>
      <c r="J64" t="s">
        <v>410</v>
      </c>
      <c r="K64">
        <v>2.3200611623491258E-2</v>
      </c>
      <c r="L64" t="s">
        <v>166</v>
      </c>
      <c r="N64" t="s">
        <v>205</v>
      </c>
      <c r="O64" t="s">
        <v>410</v>
      </c>
      <c r="P64">
        <v>1.2861611218479074E-2</v>
      </c>
      <c r="Q64" t="s">
        <v>166</v>
      </c>
      <c r="S64" t="s">
        <v>222</v>
      </c>
      <c r="T64" t="s">
        <v>410</v>
      </c>
      <c r="U64">
        <v>7.9887357112050292E-3</v>
      </c>
      <c r="V64" t="s">
        <v>166</v>
      </c>
      <c r="AK64">
        <v>2035</v>
      </c>
      <c r="AL64" t="s">
        <v>401</v>
      </c>
      <c r="AM64">
        <v>0.31593333333333334</v>
      </c>
      <c r="AN64" t="s">
        <v>249</v>
      </c>
    </row>
    <row r="65" spans="9:40" x14ac:dyDescent="0.45">
      <c r="I65" t="s">
        <v>181</v>
      </c>
      <c r="J65" t="s">
        <v>411</v>
      </c>
      <c r="K65">
        <v>0.20912245387876935</v>
      </c>
      <c r="L65" t="s">
        <v>166</v>
      </c>
      <c r="N65" t="s">
        <v>205</v>
      </c>
      <c r="O65" t="s">
        <v>411</v>
      </c>
      <c r="P65">
        <v>0.12637159445327673</v>
      </c>
      <c r="Q65" t="s">
        <v>166</v>
      </c>
      <c r="S65" t="s">
        <v>222</v>
      </c>
      <c r="T65" t="s">
        <v>411</v>
      </c>
      <c r="U65">
        <v>0.11417892136214741</v>
      </c>
      <c r="V65" t="s">
        <v>166</v>
      </c>
      <c r="AK65">
        <v>2035</v>
      </c>
      <c r="AL65" t="s">
        <v>402</v>
      </c>
      <c r="AM65">
        <v>0.50223333333333331</v>
      </c>
      <c r="AN65" t="s">
        <v>249</v>
      </c>
    </row>
    <row r="66" spans="9:40" x14ac:dyDescent="0.45">
      <c r="I66" t="s">
        <v>181</v>
      </c>
      <c r="J66" t="s">
        <v>412</v>
      </c>
      <c r="K66">
        <v>0</v>
      </c>
      <c r="L66" t="s">
        <v>166</v>
      </c>
      <c r="N66" t="s">
        <v>205</v>
      </c>
      <c r="O66" t="s">
        <v>412</v>
      </c>
      <c r="P66">
        <v>0.10855246898596257</v>
      </c>
      <c r="Q66" t="s">
        <v>166</v>
      </c>
      <c r="S66" t="s">
        <v>222</v>
      </c>
      <c r="T66" t="s">
        <v>412</v>
      </c>
      <c r="U66">
        <v>0.11543208157865981</v>
      </c>
      <c r="V66" t="s">
        <v>166</v>
      </c>
      <c r="AK66">
        <v>2035</v>
      </c>
      <c r="AL66" t="s">
        <v>404</v>
      </c>
      <c r="AM66">
        <v>0.36536666666666667</v>
      </c>
      <c r="AN66" t="s">
        <v>249</v>
      </c>
    </row>
    <row r="67" spans="9:40" x14ac:dyDescent="0.45">
      <c r="I67" t="s">
        <v>181</v>
      </c>
      <c r="J67" t="s">
        <v>413</v>
      </c>
      <c r="K67">
        <v>1.6463487443806383E-2</v>
      </c>
      <c r="L67" t="s">
        <v>166</v>
      </c>
      <c r="N67" t="s">
        <v>205</v>
      </c>
      <c r="O67" t="s">
        <v>413</v>
      </c>
      <c r="P67">
        <v>2.1842602999572476E-2</v>
      </c>
      <c r="Q67" t="s">
        <v>166</v>
      </c>
      <c r="S67" t="s">
        <v>222</v>
      </c>
      <c r="T67" t="s">
        <v>413</v>
      </c>
      <c r="U67">
        <v>2.0808826126287226E-2</v>
      </c>
      <c r="V67" t="s">
        <v>166</v>
      </c>
      <c r="AK67">
        <v>2036</v>
      </c>
      <c r="AL67" t="s">
        <v>399</v>
      </c>
      <c r="AM67">
        <v>0.55756666666666665</v>
      </c>
      <c r="AN67" t="s">
        <v>249</v>
      </c>
    </row>
    <row r="68" spans="9:40" x14ac:dyDescent="0.45">
      <c r="I68" t="s">
        <v>181</v>
      </c>
      <c r="J68" t="s">
        <v>414</v>
      </c>
      <c r="K68">
        <v>0.23246596739282718</v>
      </c>
      <c r="L68" t="s">
        <v>166</v>
      </c>
      <c r="N68" t="s">
        <v>205</v>
      </c>
      <c r="O68" t="s">
        <v>414</v>
      </c>
      <c r="P68">
        <v>0.16831302836901241</v>
      </c>
      <c r="Q68" t="s">
        <v>166</v>
      </c>
      <c r="S68" t="s">
        <v>222</v>
      </c>
      <c r="T68" t="s">
        <v>414</v>
      </c>
      <c r="U68">
        <v>0.18726252421222686</v>
      </c>
      <c r="V68" t="s">
        <v>166</v>
      </c>
      <c r="AK68">
        <v>2036</v>
      </c>
      <c r="AL68" t="s">
        <v>401</v>
      </c>
      <c r="AM68">
        <v>0.29596666666666666</v>
      </c>
      <c r="AN68" t="s">
        <v>249</v>
      </c>
    </row>
    <row r="69" spans="9:40" x14ac:dyDescent="0.45">
      <c r="I69" t="s">
        <v>181</v>
      </c>
      <c r="J69" t="s">
        <v>415</v>
      </c>
      <c r="K69">
        <v>0</v>
      </c>
      <c r="L69" t="s">
        <v>166</v>
      </c>
      <c r="N69" t="s">
        <v>205</v>
      </c>
      <c r="O69" t="s">
        <v>415</v>
      </c>
      <c r="P69">
        <v>0.17321491536231565</v>
      </c>
      <c r="Q69" t="s">
        <v>166</v>
      </c>
      <c r="S69" t="s">
        <v>222</v>
      </c>
      <c r="T69" t="s">
        <v>415</v>
      </c>
      <c r="U69">
        <v>0.18948228193167171</v>
      </c>
      <c r="V69" t="s">
        <v>166</v>
      </c>
      <c r="AK69">
        <v>2036</v>
      </c>
      <c r="AL69" t="s">
        <v>402</v>
      </c>
      <c r="AM69">
        <v>0.52283333333333337</v>
      </c>
      <c r="AN69" t="s">
        <v>249</v>
      </c>
    </row>
    <row r="70" spans="9:40" x14ac:dyDescent="0.45">
      <c r="I70" t="s">
        <v>181</v>
      </c>
      <c r="J70" t="s">
        <v>416</v>
      </c>
      <c r="K70">
        <v>2.1170679796234222E-2</v>
      </c>
      <c r="L70" t="s">
        <v>166</v>
      </c>
      <c r="N70" t="s">
        <v>205</v>
      </c>
      <c r="O70" t="s">
        <v>416</v>
      </c>
      <c r="P70">
        <v>3.1175497054917931E-2</v>
      </c>
      <c r="Q70" t="s">
        <v>166</v>
      </c>
      <c r="S70" t="s">
        <v>222</v>
      </c>
      <c r="T70" t="s">
        <v>416</v>
      </c>
      <c r="U70">
        <v>3.3801957256873044E-2</v>
      </c>
      <c r="V70" t="s">
        <v>166</v>
      </c>
      <c r="AK70">
        <v>2036</v>
      </c>
      <c r="AL70" t="s">
        <v>404</v>
      </c>
      <c r="AM70">
        <v>0.35746666666666665</v>
      </c>
      <c r="AN70" t="s">
        <v>249</v>
      </c>
    </row>
    <row r="71" spans="9:40" x14ac:dyDescent="0.45">
      <c r="I71" t="s">
        <v>182</v>
      </c>
      <c r="J71" t="s">
        <v>405</v>
      </c>
      <c r="K71">
        <v>0.22225324065187252</v>
      </c>
      <c r="L71" t="s">
        <v>166</v>
      </c>
      <c r="N71" t="s">
        <v>206</v>
      </c>
      <c r="O71" t="s">
        <v>405</v>
      </c>
      <c r="P71">
        <v>9.920076866668473E-2</v>
      </c>
      <c r="Q71" t="s">
        <v>166</v>
      </c>
      <c r="S71" t="s">
        <v>223</v>
      </c>
      <c r="T71" t="s">
        <v>405</v>
      </c>
      <c r="U71">
        <v>0.10127917789878656</v>
      </c>
      <c r="V71" t="s">
        <v>166</v>
      </c>
      <c r="AK71">
        <v>2037</v>
      </c>
      <c r="AL71" t="s">
        <v>399</v>
      </c>
      <c r="AM71">
        <v>0.5326333333333334</v>
      </c>
      <c r="AN71" t="s">
        <v>249</v>
      </c>
    </row>
    <row r="72" spans="9:40" x14ac:dyDescent="0.45">
      <c r="I72" t="s">
        <v>182</v>
      </c>
      <c r="J72" t="s">
        <v>406</v>
      </c>
      <c r="K72">
        <v>0</v>
      </c>
      <c r="L72" t="s">
        <v>166</v>
      </c>
      <c r="N72" t="s">
        <v>206</v>
      </c>
      <c r="O72" t="s">
        <v>406</v>
      </c>
      <c r="P72">
        <v>8.8864222215755975E-2</v>
      </c>
      <c r="Q72" t="s">
        <v>166</v>
      </c>
      <c r="S72" t="s">
        <v>223</v>
      </c>
      <c r="T72" t="s">
        <v>406</v>
      </c>
      <c r="U72">
        <v>9.6380180272978067E-2</v>
      </c>
      <c r="V72" t="s">
        <v>166</v>
      </c>
      <c r="AK72">
        <v>2037</v>
      </c>
      <c r="AL72" t="s">
        <v>401</v>
      </c>
      <c r="AM72">
        <v>0.31293333333333334</v>
      </c>
      <c r="AN72" t="s">
        <v>249</v>
      </c>
    </row>
    <row r="73" spans="9:40" x14ac:dyDescent="0.45">
      <c r="I73" t="s">
        <v>182</v>
      </c>
      <c r="J73" t="s">
        <v>407</v>
      </c>
      <c r="K73">
        <v>1.4563655110500815E-2</v>
      </c>
      <c r="L73" t="s">
        <v>166</v>
      </c>
      <c r="N73" t="s">
        <v>206</v>
      </c>
      <c r="O73" t="s">
        <v>407</v>
      </c>
      <c r="P73">
        <v>1.5325748689024907E-2</v>
      </c>
      <c r="Q73" t="s">
        <v>166</v>
      </c>
      <c r="S73" t="s">
        <v>223</v>
      </c>
      <c r="T73" t="s">
        <v>407</v>
      </c>
      <c r="U73">
        <v>1.7967976645610017E-2</v>
      </c>
      <c r="V73" t="s">
        <v>166</v>
      </c>
      <c r="AK73">
        <v>2037</v>
      </c>
      <c r="AL73" t="s">
        <v>402</v>
      </c>
      <c r="AM73">
        <v>0.49736666666666668</v>
      </c>
      <c r="AN73" t="s">
        <v>249</v>
      </c>
    </row>
    <row r="74" spans="9:40" x14ac:dyDescent="0.45">
      <c r="I74" t="s">
        <v>182</v>
      </c>
      <c r="J74" t="s">
        <v>408</v>
      </c>
      <c r="K74">
        <v>0.25510768913867166</v>
      </c>
      <c r="L74" t="s">
        <v>166</v>
      </c>
      <c r="N74" t="s">
        <v>206</v>
      </c>
      <c r="O74" t="s">
        <v>408</v>
      </c>
      <c r="P74">
        <v>4.3229730561160015E-2</v>
      </c>
      <c r="Q74" t="s">
        <v>166</v>
      </c>
      <c r="S74" t="s">
        <v>223</v>
      </c>
      <c r="T74" t="s">
        <v>408</v>
      </c>
      <c r="U74">
        <v>3.7368433895116258E-2</v>
      </c>
      <c r="V74" t="s">
        <v>166</v>
      </c>
      <c r="AK74">
        <v>2037</v>
      </c>
      <c r="AL74" t="s">
        <v>404</v>
      </c>
      <c r="AM74">
        <v>0.36593333333333328</v>
      </c>
      <c r="AN74" t="s">
        <v>249</v>
      </c>
    </row>
    <row r="75" spans="9:40" x14ac:dyDescent="0.45">
      <c r="I75" t="s">
        <v>182</v>
      </c>
      <c r="J75" t="s">
        <v>409</v>
      </c>
      <c r="K75">
        <v>0</v>
      </c>
      <c r="L75" t="s">
        <v>166</v>
      </c>
      <c r="N75" t="s">
        <v>206</v>
      </c>
      <c r="O75" t="s">
        <v>409</v>
      </c>
      <c r="P75">
        <v>8.0329211365097727E-2</v>
      </c>
      <c r="Q75" t="s">
        <v>166</v>
      </c>
      <c r="S75" t="s">
        <v>223</v>
      </c>
      <c r="T75" t="s">
        <v>409</v>
      </c>
      <c r="U75">
        <v>4.037148705748763E-2</v>
      </c>
      <c r="V75" t="s">
        <v>166</v>
      </c>
      <c r="AK75">
        <v>2038</v>
      </c>
      <c r="AL75" t="s">
        <v>399</v>
      </c>
      <c r="AM75">
        <v>0.45</v>
      </c>
      <c r="AN75" t="s">
        <v>249</v>
      </c>
    </row>
    <row r="76" spans="9:40" x14ac:dyDescent="0.45">
      <c r="I76" t="s">
        <v>182</v>
      </c>
      <c r="J76" t="s">
        <v>410</v>
      </c>
      <c r="K76">
        <v>2.6825145507533555E-2</v>
      </c>
      <c r="L76" t="s">
        <v>166</v>
      </c>
      <c r="N76" t="s">
        <v>206</v>
      </c>
      <c r="O76" t="s">
        <v>410</v>
      </c>
      <c r="P76">
        <v>1.4777811758125524E-2</v>
      </c>
      <c r="Q76" t="s">
        <v>166</v>
      </c>
      <c r="S76" t="s">
        <v>223</v>
      </c>
      <c r="T76" t="s">
        <v>410</v>
      </c>
      <c r="U76">
        <v>6.1758457993410761E-3</v>
      </c>
      <c r="V76" t="s">
        <v>166</v>
      </c>
      <c r="AK76">
        <v>2038</v>
      </c>
      <c r="AL76" t="s">
        <v>401</v>
      </c>
      <c r="AM76">
        <v>0.24526666666666666</v>
      </c>
      <c r="AN76" t="s">
        <v>249</v>
      </c>
    </row>
    <row r="77" spans="9:40" x14ac:dyDescent="0.45">
      <c r="I77" t="s">
        <v>182</v>
      </c>
      <c r="J77" t="s">
        <v>411</v>
      </c>
      <c r="K77">
        <v>0.19867129187103799</v>
      </c>
      <c r="L77" t="s">
        <v>166</v>
      </c>
      <c r="N77" t="s">
        <v>206</v>
      </c>
      <c r="O77" t="s">
        <v>411</v>
      </c>
      <c r="P77">
        <v>0.19708339486378798</v>
      </c>
      <c r="Q77" t="s">
        <v>166</v>
      </c>
      <c r="S77" t="s">
        <v>223</v>
      </c>
      <c r="T77" t="s">
        <v>411</v>
      </c>
      <c r="U77">
        <v>0.10421361104137515</v>
      </c>
      <c r="V77" t="s">
        <v>166</v>
      </c>
      <c r="AK77">
        <v>2038</v>
      </c>
      <c r="AL77" t="s">
        <v>402</v>
      </c>
      <c r="AM77">
        <v>0.42276666666666668</v>
      </c>
      <c r="AN77" t="s">
        <v>249</v>
      </c>
    </row>
    <row r="78" spans="9:40" x14ac:dyDescent="0.45">
      <c r="I78" t="s">
        <v>182</v>
      </c>
      <c r="J78" t="s">
        <v>412</v>
      </c>
      <c r="K78">
        <v>0</v>
      </c>
      <c r="L78" t="s">
        <v>166</v>
      </c>
      <c r="N78" t="s">
        <v>206</v>
      </c>
      <c r="O78" t="s">
        <v>412</v>
      </c>
      <c r="P78">
        <v>0.18747149114940923</v>
      </c>
      <c r="Q78" t="s">
        <v>166</v>
      </c>
      <c r="S78" t="s">
        <v>223</v>
      </c>
      <c r="T78" t="s">
        <v>412</v>
      </c>
      <c r="U78">
        <v>0.10098638774044744</v>
      </c>
      <c r="V78" t="s">
        <v>166</v>
      </c>
      <c r="AK78">
        <v>2038</v>
      </c>
      <c r="AL78" t="s">
        <v>404</v>
      </c>
      <c r="AM78">
        <v>0.31146666666666661</v>
      </c>
      <c r="AN78" t="s">
        <v>249</v>
      </c>
    </row>
    <row r="79" spans="9:40" x14ac:dyDescent="0.45">
      <c r="I79" t="s">
        <v>182</v>
      </c>
      <c r="J79" t="s">
        <v>413</v>
      </c>
      <c r="K79">
        <v>1.6410098113496002E-2</v>
      </c>
      <c r="L79" t="s">
        <v>166</v>
      </c>
      <c r="N79" t="s">
        <v>206</v>
      </c>
      <c r="O79" t="s">
        <v>413</v>
      </c>
      <c r="P79">
        <v>3.4466216644879144E-2</v>
      </c>
      <c r="Q79" t="s">
        <v>166</v>
      </c>
      <c r="S79" t="s">
        <v>223</v>
      </c>
      <c r="T79" t="s">
        <v>413</v>
      </c>
      <c r="U79">
        <v>1.8395856276549924E-2</v>
      </c>
      <c r="V79" t="s">
        <v>166</v>
      </c>
      <c r="AK79">
        <v>2039</v>
      </c>
      <c r="AL79" t="s">
        <v>399</v>
      </c>
      <c r="AM79">
        <v>0.4709666666666667</v>
      </c>
      <c r="AN79" t="s">
        <v>249</v>
      </c>
    </row>
    <row r="80" spans="9:40" x14ac:dyDescent="0.45">
      <c r="I80" t="s">
        <v>182</v>
      </c>
      <c r="J80" t="s">
        <v>414</v>
      </c>
      <c r="K80">
        <v>0.24048526243606963</v>
      </c>
      <c r="L80" t="s">
        <v>166</v>
      </c>
      <c r="N80" t="s">
        <v>206</v>
      </c>
      <c r="O80" t="s">
        <v>414</v>
      </c>
      <c r="P80">
        <v>7.8332786077036545E-2</v>
      </c>
      <c r="Q80" t="s">
        <v>166</v>
      </c>
      <c r="S80" t="s">
        <v>223</v>
      </c>
      <c r="T80" t="s">
        <v>414</v>
      </c>
      <c r="U80">
        <v>0.21655096391868728</v>
      </c>
      <c r="V80" t="s">
        <v>166</v>
      </c>
      <c r="AK80">
        <v>2039</v>
      </c>
      <c r="AL80" t="s">
        <v>401</v>
      </c>
      <c r="AM80">
        <v>0.26450000000000001</v>
      </c>
      <c r="AN80" t="s">
        <v>249</v>
      </c>
    </row>
    <row r="81" spans="9:40" x14ac:dyDescent="0.45">
      <c r="I81" t="s">
        <v>182</v>
      </c>
      <c r="J81" t="s">
        <v>415</v>
      </c>
      <c r="K81">
        <v>0</v>
      </c>
      <c r="L81" t="s">
        <v>166</v>
      </c>
      <c r="N81" t="s">
        <v>206</v>
      </c>
      <c r="O81" t="s">
        <v>415</v>
      </c>
      <c r="P81">
        <v>0.14814913688928219</v>
      </c>
      <c r="Q81" t="s">
        <v>166</v>
      </c>
      <c r="S81" t="s">
        <v>223</v>
      </c>
      <c r="T81" t="s">
        <v>415</v>
      </c>
      <c r="U81">
        <v>0.22287006985269434</v>
      </c>
      <c r="V81" t="s">
        <v>166</v>
      </c>
      <c r="AK81">
        <v>2039</v>
      </c>
      <c r="AL81" t="s">
        <v>402</v>
      </c>
      <c r="AM81">
        <v>0.41533333333333333</v>
      </c>
      <c r="AN81" t="s">
        <v>249</v>
      </c>
    </row>
    <row r="82" spans="9:40" x14ac:dyDescent="0.45">
      <c r="I82" t="s">
        <v>182</v>
      </c>
      <c r="J82" t="s">
        <v>416</v>
      </c>
      <c r="K82">
        <v>2.5683617170819191E-2</v>
      </c>
      <c r="L82" t="s">
        <v>166</v>
      </c>
      <c r="N82" t="s">
        <v>206</v>
      </c>
      <c r="O82" t="s">
        <v>416</v>
      </c>
      <c r="P82">
        <v>1.276948111975303E-2</v>
      </c>
      <c r="Q82" t="s">
        <v>166</v>
      </c>
      <c r="S82" t="s">
        <v>223</v>
      </c>
      <c r="T82" t="s">
        <v>416</v>
      </c>
      <c r="U82">
        <v>3.7440009600931155E-2</v>
      </c>
      <c r="V82" t="s">
        <v>166</v>
      </c>
      <c r="AK82">
        <v>2039</v>
      </c>
      <c r="AL82" t="s">
        <v>404</v>
      </c>
      <c r="AM82">
        <v>0.29956666666666665</v>
      </c>
      <c r="AN82" t="s">
        <v>249</v>
      </c>
    </row>
    <row r="83" spans="9:40" x14ac:dyDescent="0.45">
      <c r="I83" t="s">
        <v>183</v>
      </c>
      <c r="J83" t="s">
        <v>405</v>
      </c>
      <c r="K83">
        <v>0.21834639530661101</v>
      </c>
      <c r="L83" t="s">
        <v>166</v>
      </c>
      <c r="N83" t="s">
        <v>207</v>
      </c>
      <c r="O83" t="s">
        <v>405</v>
      </c>
      <c r="P83">
        <v>0.1267090845527887</v>
      </c>
      <c r="Q83" t="s">
        <v>166</v>
      </c>
      <c r="S83" t="s">
        <v>224</v>
      </c>
      <c r="T83" t="s">
        <v>405</v>
      </c>
      <c r="U83">
        <v>0.1028587459977594</v>
      </c>
      <c r="V83" t="s">
        <v>166</v>
      </c>
      <c r="AK83">
        <v>2040</v>
      </c>
      <c r="AL83" t="s">
        <v>399</v>
      </c>
      <c r="AM83">
        <v>0.55369999999999997</v>
      </c>
      <c r="AN83" t="s">
        <v>249</v>
      </c>
    </row>
    <row r="84" spans="9:40" x14ac:dyDescent="0.45">
      <c r="I84" t="s">
        <v>183</v>
      </c>
      <c r="J84" t="s">
        <v>406</v>
      </c>
      <c r="K84">
        <v>0</v>
      </c>
      <c r="L84" t="s">
        <v>166</v>
      </c>
      <c r="N84" t="s">
        <v>207</v>
      </c>
      <c r="O84" t="s">
        <v>406</v>
      </c>
      <c r="P84">
        <v>0.10900771056000445</v>
      </c>
      <c r="Q84" t="s">
        <v>166</v>
      </c>
      <c r="S84" t="s">
        <v>224</v>
      </c>
      <c r="T84" t="s">
        <v>406</v>
      </c>
      <c r="U84">
        <v>9.8078769636654989E-2</v>
      </c>
      <c r="V84" t="s">
        <v>166</v>
      </c>
      <c r="AK84">
        <v>2040</v>
      </c>
      <c r="AL84" t="s">
        <v>401</v>
      </c>
      <c r="AM84">
        <v>0.31153333333333327</v>
      </c>
      <c r="AN84" t="s">
        <v>249</v>
      </c>
    </row>
    <row r="85" spans="9:40" x14ac:dyDescent="0.45">
      <c r="I85" t="s">
        <v>183</v>
      </c>
      <c r="J85" t="s">
        <v>407</v>
      </c>
      <c r="K85">
        <v>1.4766737594521453E-2</v>
      </c>
      <c r="L85" t="s">
        <v>166</v>
      </c>
      <c r="N85" t="s">
        <v>207</v>
      </c>
      <c r="O85" t="s">
        <v>407</v>
      </c>
      <c r="P85">
        <v>1.9083602802363115E-2</v>
      </c>
      <c r="Q85" t="s">
        <v>166</v>
      </c>
      <c r="S85" t="s">
        <v>224</v>
      </c>
      <c r="T85" t="s">
        <v>407</v>
      </c>
      <c r="U85">
        <v>1.7609206801200983E-2</v>
      </c>
      <c r="V85" t="s">
        <v>166</v>
      </c>
      <c r="AK85">
        <v>2040</v>
      </c>
      <c r="AL85" t="s">
        <v>402</v>
      </c>
      <c r="AM85">
        <v>0.50613333333333332</v>
      </c>
      <c r="AN85" t="s">
        <v>249</v>
      </c>
    </row>
    <row r="86" spans="9:40" x14ac:dyDescent="0.45">
      <c r="I86" t="s">
        <v>183</v>
      </c>
      <c r="J86" t="s">
        <v>408</v>
      </c>
      <c r="K86">
        <v>0.25484159882582547</v>
      </c>
      <c r="L86" t="s">
        <v>166</v>
      </c>
      <c r="N86" t="s">
        <v>207</v>
      </c>
      <c r="O86" t="s">
        <v>408</v>
      </c>
      <c r="P86">
        <v>4.978507380735387E-2</v>
      </c>
      <c r="Q86" t="s">
        <v>166</v>
      </c>
      <c r="S86" t="s">
        <v>224</v>
      </c>
      <c r="T86" t="s">
        <v>408</v>
      </c>
      <c r="U86">
        <v>3.5517778714016443E-2</v>
      </c>
      <c r="V86" t="s">
        <v>166</v>
      </c>
      <c r="AK86">
        <v>2040</v>
      </c>
      <c r="AL86" t="s">
        <v>404</v>
      </c>
      <c r="AM86">
        <v>0.35446666666666671</v>
      </c>
      <c r="AN86" t="s">
        <v>249</v>
      </c>
    </row>
    <row r="87" spans="9:40" x14ac:dyDescent="0.45">
      <c r="I87" t="s">
        <v>183</v>
      </c>
      <c r="J87" t="s">
        <v>409</v>
      </c>
      <c r="K87">
        <v>0</v>
      </c>
      <c r="L87" t="s">
        <v>166</v>
      </c>
      <c r="N87" t="s">
        <v>207</v>
      </c>
      <c r="O87" t="s">
        <v>409</v>
      </c>
      <c r="P87">
        <v>4.4713279208548853E-2</v>
      </c>
      <c r="Q87" t="s">
        <v>166</v>
      </c>
      <c r="S87" t="s">
        <v>224</v>
      </c>
      <c r="T87" t="s">
        <v>409</v>
      </c>
      <c r="U87">
        <v>3.8765375178127677E-2</v>
      </c>
      <c r="V87" t="s">
        <v>166</v>
      </c>
      <c r="AK87">
        <v>2041</v>
      </c>
      <c r="AL87" t="s">
        <v>399</v>
      </c>
      <c r="AM87">
        <v>0.54463333333333341</v>
      </c>
      <c r="AN87" t="s">
        <v>249</v>
      </c>
    </row>
    <row r="88" spans="9:40" x14ac:dyDescent="0.45">
      <c r="I88" t="s">
        <v>183</v>
      </c>
      <c r="J88" t="s">
        <v>410</v>
      </c>
      <c r="K88">
        <v>2.6152774100116429E-2</v>
      </c>
      <c r="L88" t="s">
        <v>166</v>
      </c>
      <c r="N88" t="s">
        <v>207</v>
      </c>
      <c r="O88" t="s">
        <v>410</v>
      </c>
      <c r="P88">
        <v>7.8294394760035375E-3</v>
      </c>
      <c r="Q88" t="s">
        <v>166</v>
      </c>
      <c r="S88" t="s">
        <v>224</v>
      </c>
      <c r="T88" t="s">
        <v>410</v>
      </c>
      <c r="U88">
        <v>5.6803938689120375E-3</v>
      </c>
      <c r="V88" t="s">
        <v>166</v>
      </c>
      <c r="AK88">
        <v>2041</v>
      </c>
      <c r="AL88" t="s">
        <v>401</v>
      </c>
      <c r="AM88">
        <v>0.3271</v>
      </c>
      <c r="AN88" t="s">
        <v>249</v>
      </c>
    </row>
    <row r="89" spans="9:40" x14ac:dyDescent="0.45">
      <c r="I89" t="s">
        <v>183</v>
      </c>
      <c r="J89" t="s">
        <v>411</v>
      </c>
      <c r="K89">
        <v>0.19177100042680875</v>
      </c>
      <c r="L89" t="s">
        <v>166</v>
      </c>
      <c r="N89" t="s">
        <v>207</v>
      </c>
      <c r="O89" t="s">
        <v>411</v>
      </c>
      <c r="P89">
        <v>0.22158407422547488</v>
      </c>
      <c r="Q89" t="s">
        <v>166</v>
      </c>
      <c r="S89" t="s">
        <v>224</v>
      </c>
      <c r="T89" t="s">
        <v>411</v>
      </c>
      <c r="U89">
        <v>0.11798256862957887</v>
      </c>
      <c r="V89" t="s">
        <v>166</v>
      </c>
      <c r="AK89">
        <v>2041</v>
      </c>
      <c r="AL89" t="s">
        <v>402</v>
      </c>
      <c r="AM89">
        <v>0.49196666666666666</v>
      </c>
      <c r="AN89" t="s">
        <v>249</v>
      </c>
    </row>
    <row r="90" spans="9:40" x14ac:dyDescent="0.45">
      <c r="I90" t="s">
        <v>183</v>
      </c>
      <c r="J90" t="s">
        <v>412</v>
      </c>
      <c r="K90">
        <v>0</v>
      </c>
      <c r="L90" t="s">
        <v>166</v>
      </c>
      <c r="N90" t="s">
        <v>207</v>
      </c>
      <c r="O90" t="s">
        <v>412</v>
      </c>
      <c r="P90">
        <v>0.19599386212620326</v>
      </c>
      <c r="Q90" t="s">
        <v>166</v>
      </c>
      <c r="S90" t="s">
        <v>224</v>
      </c>
      <c r="T90" t="s">
        <v>412</v>
      </c>
      <c r="U90">
        <v>0.10951086732190982</v>
      </c>
      <c r="V90" t="s">
        <v>166</v>
      </c>
      <c r="AK90">
        <v>2041</v>
      </c>
      <c r="AL90" t="s">
        <v>404</v>
      </c>
      <c r="AM90">
        <v>0.38906666666666667</v>
      </c>
      <c r="AN90" t="s">
        <v>249</v>
      </c>
    </row>
    <row r="91" spans="9:40" x14ac:dyDescent="0.45">
      <c r="I91" t="s">
        <v>183</v>
      </c>
      <c r="J91" t="s">
        <v>413</v>
      </c>
      <c r="K91">
        <v>1.5091901027409965E-2</v>
      </c>
      <c r="L91" t="s">
        <v>166</v>
      </c>
      <c r="N91" t="s">
        <v>207</v>
      </c>
      <c r="O91" t="s">
        <v>413</v>
      </c>
      <c r="P91">
        <v>3.7805087230567788E-2</v>
      </c>
      <c r="Q91" t="s">
        <v>166</v>
      </c>
      <c r="S91" t="s">
        <v>224</v>
      </c>
      <c r="T91" t="s">
        <v>413</v>
      </c>
      <c r="U91">
        <v>1.9305471494753163E-2</v>
      </c>
      <c r="V91" t="s">
        <v>166</v>
      </c>
      <c r="AK91">
        <v>2042</v>
      </c>
      <c r="AL91" t="s">
        <v>399</v>
      </c>
      <c r="AM91">
        <v>0.50253333333333339</v>
      </c>
      <c r="AN91" t="s">
        <v>249</v>
      </c>
    </row>
    <row r="92" spans="9:40" x14ac:dyDescent="0.45">
      <c r="I92" t="s">
        <v>183</v>
      </c>
      <c r="J92" t="s">
        <v>414</v>
      </c>
      <c r="K92">
        <v>0.25170326131299053</v>
      </c>
      <c r="L92" t="s">
        <v>166</v>
      </c>
      <c r="N92" t="s">
        <v>207</v>
      </c>
      <c r="O92" t="s">
        <v>414</v>
      </c>
      <c r="P92">
        <v>0.10095732222112822</v>
      </c>
      <c r="Q92" t="s">
        <v>166</v>
      </c>
      <c r="S92" t="s">
        <v>224</v>
      </c>
      <c r="T92" t="s">
        <v>414</v>
      </c>
      <c r="U92">
        <v>0.20725489339641021</v>
      </c>
      <c r="V92" t="s">
        <v>166</v>
      </c>
      <c r="AK92">
        <v>2042</v>
      </c>
      <c r="AL92" t="s">
        <v>401</v>
      </c>
      <c r="AM92">
        <v>0.30173333333333335</v>
      </c>
      <c r="AN92" t="s">
        <v>249</v>
      </c>
    </row>
    <row r="93" spans="9:40" x14ac:dyDescent="0.45">
      <c r="I93" t="s">
        <v>183</v>
      </c>
      <c r="J93" t="s">
        <v>415</v>
      </c>
      <c r="K93">
        <v>0</v>
      </c>
      <c r="L93" t="s">
        <v>166</v>
      </c>
      <c r="N93" t="s">
        <v>207</v>
      </c>
      <c r="O93" t="s">
        <v>415</v>
      </c>
      <c r="P93">
        <v>7.8622451771956203E-2</v>
      </c>
      <c r="Q93" t="s">
        <v>166</v>
      </c>
      <c r="S93" t="s">
        <v>224</v>
      </c>
      <c r="T93" t="s">
        <v>415</v>
      </c>
      <c r="U93">
        <v>0.21246195925746533</v>
      </c>
      <c r="V93" t="s">
        <v>166</v>
      </c>
      <c r="AK93">
        <v>2042</v>
      </c>
      <c r="AL93" t="s">
        <v>402</v>
      </c>
      <c r="AM93">
        <v>0.50806666666666667</v>
      </c>
      <c r="AN93" t="s">
        <v>249</v>
      </c>
    </row>
    <row r="94" spans="9:40" x14ac:dyDescent="0.45">
      <c r="I94" t="s">
        <v>183</v>
      </c>
      <c r="J94" t="s">
        <v>416</v>
      </c>
      <c r="K94">
        <v>2.7326331405715883E-2</v>
      </c>
      <c r="L94" t="s">
        <v>166</v>
      </c>
      <c r="N94" t="s">
        <v>207</v>
      </c>
      <c r="O94" t="s">
        <v>416</v>
      </c>
      <c r="P94">
        <v>7.9090120176094278E-3</v>
      </c>
      <c r="Q94" t="s">
        <v>166</v>
      </c>
      <c r="S94" t="s">
        <v>224</v>
      </c>
      <c r="T94" t="s">
        <v>416</v>
      </c>
      <c r="U94">
        <v>3.4973969703211628E-2</v>
      </c>
      <c r="V94" t="s">
        <v>166</v>
      </c>
      <c r="AK94">
        <v>2042</v>
      </c>
      <c r="AL94" t="s">
        <v>404</v>
      </c>
      <c r="AM94">
        <v>0.38016666666666671</v>
      </c>
      <c r="AN94" t="s">
        <v>249</v>
      </c>
    </row>
    <row r="95" spans="9:40" x14ac:dyDescent="0.45">
      <c r="I95" t="s">
        <v>184</v>
      </c>
      <c r="J95" t="s">
        <v>405</v>
      </c>
      <c r="K95">
        <v>0.219776695397285</v>
      </c>
      <c r="L95" t="s">
        <v>166</v>
      </c>
      <c r="N95" t="s">
        <v>208</v>
      </c>
      <c r="O95" t="s">
        <v>405</v>
      </c>
      <c r="P95">
        <v>0.11869954947994406</v>
      </c>
      <c r="Q95" t="s">
        <v>166</v>
      </c>
      <c r="S95" t="s">
        <v>225</v>
      </c>
      <c r="T95" t="s">
        <v>405</v>
      </c>
      <c r="U95">
        <v>9.111341816296277E-2</v>
      </c>
      <c r="V95" t="s">
        <v>166</v>
      </c>
      <c r="AK95">
        <v>2043</v>
      </c>
      <c r="AL95" t="s">
        <v>399</v>
      </c>
      <c r="AM95">
        <v>0.56176666666666664</v>
      </c>
      <c r="AN95" t="s">
        <v>249</v>
      </c>
    </row>
    <row r="96" spans="9:40" x14ac:dyDescent="0.45">
      <c r="I96" t="s">
        <v>184</v>
      </c>
      <c r="J96" t="s">
        <v>406</v>
      </c>
      <c r="K96">
        <v>0</v>
      </c>
      <c r="L96" t="s">
        <v>166</v>
      </c>
      <c r="N96" t="s">
        <v>208</v>
      </c>
      <c r="O96" t="s">
        <v>406</v>
      </c>
      <c r="P96">
        <v>9.8606815547822663E-2</v>
      </c>
      <c r="Q96" t="s">
        <v>166</v>
      </c>
      <c r="S96" t="s">
        <v>225</v>
      </c>
      <c r="T96" t="s">
        <v>406</v>
      </c>
      <c r="U96">
        <v>8.3733503705591461E-2</v>
      </c>
      <c r="V96" t="s">
        <v>166</v>
      </c>
      <c r="AK96">
        <v>2043</v>
      </c>
      <c r="AL96" t="s">
        <v>401</v>
      </c>
      <c r="AM96">
        <v>0.31659999999999999</v>
      </c>
      <c r="AN96" t="s">
        <v>249</v>
      </c>
    </row>
    <row r="97" spans="9:40" x14ac:dyDescent="0.45">
      <c r="I97" t="s">
        <v>184</v>
      </c>
      <c r="J97" t="s">
        <v>407</v>
      </c>
      <c r="K97">
        <v>1.0419040648346393E-2</v>
      </c>
      <c r="L97" t="s">
        <v>166</v>
      </c>
      <c r="N97" t="s">
        <v>208</v>
      </c>
      <c r="O97" t="s">
        <v>407</v>
      </c>
      <c r="P97">
        <v>1.7867354156176747E-2</v>
      </c>
      <c r="Q97" t="s">
        <v>166</v>
      </c>
      <c r="S97" t="s">
        <v>225</v>
      </c>
      <c r="T97" t="s">
        <v>407</v>
      </c>
      <c r="U97">
        <v>1.5887457262558365E-2</v>
      </c>
      <c r="V97" t="s">
        <v>166</v>
      </c>
      <c r="AK97">
        <v>2043</v>
      </c>
      <c r="AL97" t="s">
        <v>402</v>
      </c>
      <c r="AM97">
        <v>0.4793</v>
      </c>
      <c r="AN97" t="s">
        <v>249</v>
      </c>
    </row>
    <row r="98" spans="9:40" x14ac:dyDescent="0.45">
      <c r="I98" t="s">
        <v>184</v>
      </c>
      <c r="J98" t="s">
        <v>408</v>
      </c>
      <c r="K98">
        <v>0.26215923365874377</v>
      </c>
      <c r="L98" t="s">
        <v>166</v>
      </c>
      <c r="N98" t="s">
        <v>208</v>
      </c>
      <c r="O98" t="s">
        <v>408</v>
      </c>
      <c r="P98">
        <v>6.0859635543435882E-2</v>
      </c>
      <c r="Q98" t="s">
        <v>166</v>
      </c>
      <c r="S98" t="s">
        <v>225</v>
      </c>
      <c r="T98" t="s">
        <v>408</v>
      </c>
      <c r="U98">
        <v>4.1568114763864281E-2</v>
      </c>
      <c r="V98" t="s">
        <v>166</v>
      </c>
      <c r="AK98">
        <v>2043</v>
      </c>
      <c r="AL98" t="s">
        <v>404</v>
      </c>
      <c r="AM98">
        <v>0.37223333333333336</v>
      </c>
      <c r="AN98" t="s">
        <v>249</v>
      </c>
    </row>
    <row r="99" spans="9:40" x14ac:dyDescent="0.45">
      <c r="I99" t="s">
        <v>184</v>
      </c>
      <c r="J99" t="s">
        <v>409</v>
      </c>
      <c r="K99">
        <v>0</v>
      </c>
      <c r="L99" t="s">
        <v>166</v>
      </c>
      <c r="N99" t="s">
        <v>208</v>
      </c>
      <c r="O99" t="s">
        <v>409</v>
      </c>
      <c r="P99">
        <v>5.4362393480661637E-2</v>
      </c>
      <c r="Q99" t="s">
        <v>166</v>
      </c>
      <c r="S99" t="s">
        <v>225</v>
      </c>
      <c r="T99" t="s">
        <v>409</v>
      </c>
      <c r="U99">
        <v>4.1197432804600281E-2</v>
      </c>
      <c r="V99" t="s">
        <v>166</v>
      </c>
      <c r="AK99">
        <v>2044</v>
      </c>
      <c r="AL99" t="s">
        <v>399</v>
      </c>
      <c r="AM99">
        <v>0.55223333333333335</v>
      </c>
      <c r="AN99" t="s">
        <v>249</v>
      </c>
    </row>
    <row r="100" spans="9:40" x14ac:dyDescent="0.45">
      <c r="I100" t="s">
        <v>184</v>
      </c>
      <c r="J100" t="s">
        <v>410</v>
      </c>
      <c r="K100">
        <v>2.268076020545897E-2</v>
      </c>
      <c r="L100" t="s">
        <v>166</v>
      </c>
      <c r="N100" t="s">
        <v>208</v>
      </c>
      <c r="O100" t="s">
        <v>410</v>
      </c>
      <c r="P100">
        <v>9.5714077342697948E-3</v>
      </c>
      <c r="Q100" t="s">
        <v>166</v>
      </c>
      <c r="S100" t="s">
        <v>225</v>
      </c>
      <c r="T100" t="s">
        <v>410</v>
      </c>
      <c r="U100">
        <v>6.894945807327451E-3</v>
      </c>
      <c r="V100" t="s">
        <v>166</v>
      </c>
      <c r="AK100">
        <v>2044</v>
      </c>
      <c r="AL100" t="s">
        <v>401</v>
      </c>
      <c r="AM100">
        <v>0.29553333333333331</v>
      </c>
      <c r="AN100" t="s">
        <v>249</v>
      </c>
    </row>
    <row r="101" spans="9:40" x14ac:dyDescent="0.45">
      <c r="I101" t="s">
        <v>184</v>
      </c>
      <c r="J101" t="s">
        <v>411</v>
      </c>
      <c r="K101">
        <v>0.19353086212829068</v>
      </c>
      <c r="L101" t="s">
        <v>166</v>
      </c>
      <c r="N101" t="s">
        <v>208</v>
      </c>
      <c r="O101" t="s">
        <v>411</v>
      </c>
      <c r="P101">
        <v>0.19113046365169961</v>
      </c>
      <c r="Q101" t="s">
        <v>166</v>
      </c>
      <c r="S101" t="s">
        <v>225</v>
      </c>
      <c r="T101" t="s">
        <v>411</v>
      </c>
      <c r="U101">
        <v>8.2301755282721184E-2</v>
      </c>
      <c r="V101" t="s">
        <v>166</v>
      </c>
      <c r="AK101">
        <v>2044</v>
      </c>
      <c r="AL101" t="s">
        <v>402</v>
      </c>
      <c r="AM101">
        <v>0.53156666666666663</v>
      </c>
      <c r="AN101" t="s">
        <v>249</v>
      </c>
    </row>
    <row r="102" spans="9:40" x14ac:dyDescent="0.45">
      <c r="I102" t="s">
        <v>184</v>
      </c>
      <c r="J102" t="s">
        <v>412</v>
      </c>
      <c r="K102">
        <v>0</v>
      </c>
      <c r="L102" t="s">
        <v>166</v>
      </c>
      <c r="N102" t="s">
        <v>208</v>
      </c>
      <c r="O102" t="s">
        <v>412</v>
      </c>
      <c r="P102">
        <v>0.1449875969364697</v>
      </c>
      <c r="Q102" t="s">
        <v>166</v>
      </c>
      <c r="S102" t="s">
        <v>225</v>
      </c>
      <c r="T102" t="s">
        <v>412</v>
      </c>
      <c r="U102">
        <v>6.0386404311356931E-2</v>
      </c>
      <c r="V102" t="s">
        <v>166</v>
      </c>
      <c r="AK102">
        <v>2044</v>
      </c>
      <c r="AL102" t="s">
        <v>404</v>
      </c>
      <c r="AM102">
        <v>0.37536666666666668</v>
      </c>
      <c r="AN102" t="s">
        <v>249</v>
      </c>
    </row>
    <row r="103" spans="9:40" x14ac:dyDescent="0.45">
      <c r="I103" t="s">
        <v>184</v>
      </c>
      <c r="J103" t="s">
        <v>413</v>
      </c>
      <c r="K103">
        <v>1.252411499713485E-2</v>
      </c>
      <c r="L103" t="s">
        <v>166</v>
      </c>
      <c r="N103" t="s">
        <v>208</v>
      </c>
      <c r="O103" t="s">
        <v>413</v>
      </c>
      <c r="P103">
        <v>2.9531851258833005E-2</v>
      </c>
      <c r="Q103" t="s">
        <v>166</v>
      </c>
      <c r="S103" t="s">
        <v>225</v>
      </c>
      <c r="T103" t="s">
        <v>413</v>
      </c>
      <c r="U103">
        <v>1.3521671001994646E-2</v>
      </c>
      <c r="V103" t="s">
        <v>166</v>
      </c>
      <c r="AK103">
        <v>2045</v>
      </c>
      <c r="AL103" t="s">
        <v>399</v>
      </c>
      <c r="AM103">
        <v>0.52776666666666661</v>
      </c>
      <c r="AN103" t="s">
        <v>249</v>
      </c>
    </row>
    <row r="104" spans="9:40" x14ac:dyDescent="0.45">
      <c r="I104" t="s">
        <v>184</v>
      </c>
      <c r="J104" t="s">
        <v>414</v>
      </c>
      <c r="K104">
        <v>0.25552446383142086</v>
      </c>
      <c r="L104" t="s">
        <v>166</v>
      </c>
      <c r="N104" t="s">
        <v>208</v>
      </c>
      <c r="O104" t="s">
        <v>414</v>
      </c>
      <c r="P104">
        <v>0.13202961956273107</v>
      </c>
      <c r="Q104" t="s">
        <v>166</v>
      </c>
      <c r="S104" t="s">
        <v>225</v>
      </c>
      <c r="T104" t="s">
        <v>414</v>
      </c>
      <c r="U104">
        <v>0.25921395175407275</v>
      </c>
      <c r="V104" t="s">
        <v>166</v>
      </c>
      <c r="AK104">
        <v>2045</v>
      </c>
      <c r="AL104" t="s">
        <v>401</v>
      </c>
      <c r="AM104">
        <v>0.30359999999999998</v>
      </c>
      <c r="AN104" t="s">
        <v>249</v>
      </c>
    </row>
    <row r="105" spans="9:40" x14ac:dyDescent="0.45">
      <c r="I105" t="s">
        <v>184</v>
      </c>
      <c r="J105" t="s">
        <v>415</v>
      </c>
      <c r="K105">
        <v>0</v>
      </c>
      <c r="L105" t="s">
        <v>166</v>
      </c>
      <c r="N105" t="s">
        <v>208</v>
      </c>
      <c r="O105" t="s">
        <v>415</v>
      </c>
      <c r="P105">
        <v>0.12511115319657617</v>
      </c>
      <c r="Q105" t="s">
        <v>166</v>
      </c>
      <c r="S105" t="s">
        <v>225</v>
      </c>
      <c r="T105" t="s">
        <v>415</v>
      </c>
      <c r="U105">
        <v>0.25964818437012493</v>
      </c>
      <c r="V105" t="s">
        <v>166</v>
      </c>
      <c r="AK105">
        <v>2045</v>
      </c>
      <c r="AL105" t="s">
        <v>402</v>
      </c>
      <c r="AM105">
        <v>0.5014333333333334</v>
      </c>
      <c r="AN105" t="s">
        <v>249</v>
      </c>
    </row>
    <row r="106" spans="9:40" x14ac:dyDescent="0.45">
      <c r="I106" t="s">
        <v>184</v>
      </c>
      <c r="J106" t="s">
        <v>416</v>
      </c>
      <c r="K106">
        <v>2.3384829133317016E-2</v>
      </c>
      <c r="L106" t="s">
        <v>166</v>
      </c>
      <c r="N106" t="s">
        <v>208</v>
      </c>
      <c r="O106" t="s">
        <v>416</v>
      </c>
      <c r="P106">
        <v>1.724215945138043E-2</v>
      </c>
      <c r="Q106" t="s">
        <v>166</v>
      </c>
      <c r="S106" t="s">
        <v>225</v>
      </c>
      <c r="T106" t="s">
        <v>416</v>
      </c>
      <c r="U106">
        <v>4.4533160772829226E-2</v>
      </c>
      <c r="V106" t="s">
        <v>166</v>
      </c>
      <c r="AK106">
        <v>2045</v>
      </c>
      <c r="AL106" t="s">
        <v>404</v>
      </c>
      <c r="AM106">
        <v>0.36120000000000002</v>
      </c>
      <c r="AN106" t="s">
        <v>249</v>
      </c>
    </row>
    <row r="107" spans="9:40" x14ac:dyDescent="0.45">
      <c r="I107" t="s">
        <v>185</v>
      </c>
      <c r="J107" t="s">
        <v>405</v>
      </c>
      <c r="K107">
        <v>0.21499593181447701</v>
      </c>
      <c r="L107" t="s">
        <v>166</v>
      </c>
      <c r="N107" t="s">
        <v>209</v>
      </c>
      <c r="O107" t="s">
        <v>405</v>
      </c>
      <c r="P107">
        <v>0.15382146681553838</v>
      </c>
      <c r="Q107" t="s">
        <v>166</v>
      </c>
      <c r="S107" t="s">
        <v>226</v>
      </c>
      <c r="T107" t="s">
        <v>405</v>
      </c>
      <c r="U107">
        <v>0.10458160750159907</v>
      </c>
      <c r="V107" t="s">
        <v>166</v>
      </c>
      <c r="AK107">
        <v>2046</v>
      </c>
      <c r="AL107" t="s">
        <v>399</v>
      </c>
      <c r="AM107">
        <v>0.5373</v>
      </c>
      <c r="AN107" t="s">
        <v>249</v>
      </c>
    </row>
    <row r="108" spans="9:40" x14ac:dyDescent="0.45">
      <c r="I108" t="s">
        <v>185</v>
      </c>
      <c r="J108" t="s">
        <v>406</v>
      </c>
      <c r="K108">
        <v>0</v>
      </c>
      <c r="L108" t="s">
        <v>166</v>
      </c>
      <c r="N108" t="s">
        <v>209</v>
      </c>
      <c r="O108" t="s">
        <v>406</v>
      </c>
      <c r="P108">
        <v>9.103608734569732E-2</v>
      </c>
      <c r="Q108" t="s">
        <v>166</v>
      </c>
      <c r="S108" t="s">
        <v>226</v>
      </c>
      <c r="T108" t="s">
        <v>406</v>
      </c>
      <c r="U108">
        <v>9.8301326760202784E-2</v>
      </c>
      <c r="V108" t="s">
        <v>166</v>
      </c>
      <c r="AK108">
        <v>2046</v>
      </c>
      <c r="AL108" t="s">
        <v>401</v>
      </c>
      <c r="AM108">
        <v>0.31409999999999999</v>
      </c>
      <c r="AN108" t="s">
        <v>249</v>
      </c>
    </row>
    <row r="109" spans="9:40" x14ac:dyDescent="0.45">
      <c r="I109" t="s">
        <v>185</v>
      </c>
      <c r="J109" t="s">
        <v>407</v>
      </c>
      <c r="K109">
        <v>1.0890311300943711E-2</v>
      </c>
      <c r="L109" t="s">
        <v>166</v>
      </c>
      <c r="N109" t="s">
        <v>209</v>
      </c>
      <c r="O109" t="s">
        <v>407</v>
      </c>
      <c r="P109">
        <v>1.7613009903062752E-2</v>
      </c>
      <c r="Q109" t="s">
        <v>166</v>
      </c>
      <c r="S109" t="s">
        <v>226</v>
      </c>
      <c r="T109" t="s">
        <v>407</v>
      </c>
      <c r="U109">
        <v>1.782073273918713E-2</v>
      </c>
      <c r="V109" t="s">
        <v>166</v>
      </c>
      <c r="AK109">
        <v>2046</v>
      </c>
      <c r="AL109" t="s">
        <v>402</v>
      </c>
      <c r="AM109">
        <v>0.51786666666666659</v>
      </c>
      <c r="AN109" t="s">
        <v>249</v>
      </c>
    </row>
    <row r="110" spans="9:40" x14ac:dyDescent="0.45">
      <c r="I110" t="s">
        <v>185</v>
      </c>
      <c r="J110" t="s">
        <v>408</v>
      </c>
      <c r="K110">
        <v>0.26960820086173093</v>
      </c>
      <c r="L110" t="s">
        <v>166</v>
      </c>
      <c r="N110" t="s">
        <v>209</v>
      </c>
      <c r="O110" t="s">
        <v>408</v>
      </c>
      <c r="P110">
        <v>5.5955930923702775E-2</v>
      </c>
      <c r="Q110" t="s">
        <v>166</v>
      </c>
      <c r="S110" t="s">
        <v>226</v>
      </c>
      <c r="T110" t="s">
        <v>408</v>
      </c>
      <c r="U110">
        <v>4.1986850929176214E-2</v>
      </c>
      <c r="V110" t="s">
        <v>166</v>
      </c>
      <c r="AK110">
        <v>2046</v>
      </c>
      <c r="AL110" t="s">
        <v>404</v>
      </c>
      <c r="AM110">
        <v>0.36066666666666669</v>
      </c>
      <c r="AN110" t="s">
        <v>249</v>
      </c>
    </row>
    <row r="111" spans="9:40" x14ac:dyDescent="0.45">
      <c r="I111" t="s">
        <v>185</v>
      </c>
      <c r="J111" t="s">
        <v>409</v>
      </c>
      <c r="K111">
        <v>0</v>
      </c>
      <c r="L111" t="s">
        <v>166</v>
      </c>
      <c r="N111" t="s">
        <v>209</v>
      </c>
      <c r="O111" t="s">
        <v>409</v>
      </c>
      <c r="P111">
        <v>2.6232888974704872E-2</v>
      </c>
      <c r="Q111" t="s">
        <v>166</v>
      </c>
      <c r="S111" t="s">
        <v>226</v>
      </c>
      <c r="T111" t="s">
        <v>409</v>
      </c>
      <c r="U111">
        <v>4.2495461081850081E-2</v>
      </c>
      <c r="V111" t="s">
        <v>166</v>
      </c>
      <c r="AK111">
        <v>2047</v>
      </c>
      <c r="AL111" t="s">
        <v>399</v>
      </c>
      <c r="AM111">
        <v>0.52539999999999998</v>
      </c>
      <c r="AN111" t="s">
        <v>249</v>
      </c>
    </row>
    <row r="112" spans="9:40" x14ac:dyDescent="0.45">
      <c r="I112" t="s">
        <v>185</v>
      </c>
      <c r="J112" t="s">
        <v>410</v>
      </c>
      <c r="K112">
        <v>2.0174902057786659E-2</v>
      </c>
      <c r="L112" t="s">
        <v>166</v>
      </c>
      <c r="N112" t="s">
        <v>209</v>
      </c>
      <c r="O112" t="s">
        <v>410</v>
      </c>
      <c r="P112">
        <v>9.639178101638753E-3</v>
      </c>
      <c r="Q112" t="s">
        <v>166</v>
      </c>
      <c r="S112" t="s">
        <v>226</v>
      </c>
      <c r="T112" t="s">
        <v>410</v>
      </c>
      <c r="U112">
        <v>6.8579234762440678E-3</v>
      </c>
      <c r="V112" t="s">
        <v>166</v>
      </c>
      <c r="AK112">
        <v>2047</v>
      </c>
      <c r="AL112" t="s">
        <v>401</v>
      </c>
      <c r="AM112">
        <v>0.3092333333333333</v>
      </c>
      <c r="AN112" t="s">
        <v>249</v>
      </c>
    </row>
    <row r="113" spans="9:40" x14ac:dyDescent="0.45">
      <c r="I113" t="s">
        <v>185</v>
      </c>
      <c r="J113" t="s">
        <v>411</v>
      </c>
      <c r="K113">
        <v>0.1871513640429458</v>
      </c>
      <c r="L113" t="s">
        <v>166</v>
      </c>
      <c r="N113" t="s">
        <v>209</v>
      </c>
      <c r="O113" t="s">
        <v>411</v>
      </c>
      <c r="P113">
        <v>0.16802951370429361</v>
      </c>
      <c r="Q113" t="s">
        <v>166</v>
      </c>
      <c r="S113" t="s">
        <v>226</v>
      </c>
      <c r="T113" t="s">
        <v>411</v>
      </c>
      <c r="U113">
        <v>9.3212203943142918E-2</v>
      </c>
      <c r="V113" t="s">
        <v>166</v>
      </c>
      <c r="AK113">
        <v>2047</v>
      </c>
      <c r="AL113" t="s">
        <v>402</v>
      </c>
      <c r="AM113">
        <v>0.49276666666666663</v>
      </c>
      <c r="AN113" t="s">
        <v>249</v>
      </c>
    </row>
    <row r="114" spans="9:40" x14ac:dyDescent="0.45">
      <c r="I114" t="s">
        <v>185</v>
      </c>
      <c r="J114" t="s">
        <v>412</v>
      </c>
      <c r="K114">
        <v>0</v>
      </c>
      <c r="L114" t="s">
        <v>166</v>
      </c>
      <c r="N114" t="s">
        <v>209</v>
      </c>
      <c r="O114" t="s">
        <v>412</v>
      </c>
      <c r="P114">
        <v>0.11979770019699548</v>
      </c>
      <c r="Q114" t="s">
        <v>166</v>
      </c>
      <c r="S114" t="s">
        <v>226</v>
      </c>
      <c r="T114" t="s">
        <v>412</v>
      </c>
      <c r="U114">
        <v>8.5772493198493616E-2</v>
      </c>
      <c r="V114" t="s">
        <v>166</v>
      </c>
      <c r="AK114">
        <v>2047</v>
      </c>
      <c r="AL114" t="s">
        <v>404</v>
      </c>
      <c r="AM114">
        <v>0.35659999999999997</v>
      </c>
      <c r="AN114" t="s">
        <v>249</v>
      </c>
    </row>
    <row r="115" spans="9:40" x14ac:dyDescent="0.45">
      <c r="I115" t="s">
        <v>185</v>
      </c>
      <c r="J115" t="s">
        <v>413</v>
      </c>
      <c r="K115">
        <v>1.3064670350359313E-2</v>
      </c>
      <c r="L115" t="s">
        <v>166</v>
      </c>
      <c r="N115" t="s">
        <v>209</v>
      </c>
      <c r="O115" t="s">
        <v>413</v>
      </c>
      <c r="P115">
        <v>1.4296925574279971E-2</v>
      </c>
      <c r="Q115" t="s">
        <v>166</v>
      </c>
      <c r="S115" t="s">
        <v>226</v>
      </c>
      <c r="T115" t="s">
        <v>413</v>
      </c>
      <c r="U115">
        <v>1.7568842633927429E-2</v>
      </c>
      <c r="V115" t="s">
        <v>166</v>
      </c>
      <c r="AK115">
        <v>2048</v>
      </c>
      <c r="AL115" t="s">
        <v>399</v>
      </c>
      <c r="AM115">
        <v>0.54559999999999997</v>
      </c>
      <c r="AN115" t="s">
        <v>249</v>
      </c>
    </row>
    <row r="116" spans="9:40" x14ac:dyDescent="0.45">
      <c r="I116" t="s">
        <v>185</v>
      </c>
      <c r="J116" t="s">
        <v>414</v>
      </c>
      <c r="K116">
        <v>0.2598672825882935</v>
      </c>
      <c r="L116" t="s">
        <v>166</v>
      </c>
      <c r="N116" t="s">
        <v>209</v>
      </c>
      <c r="O116" t="s">
        <v>414</v>
      </c>
      <c r="P116">
        <v>0.21524359065235604</v>
      </c>
      <c r="Q116" t="s">
        <v>166</v>
      </c>
      <c r="S116" t="s">
        <v>226</v>
      </c>
      <c r="T116" t="s">
        <v>414</v>
      </c>
      <c r="U116">
        <v>0.22600084798891507</v>
      </c>
      <c r="V116" t="s">
        <v>166</v>
      </c>
      <c r="AK116">
        <v>2048</v>
      </c>
      <c r="AL116" t="s">
        <v>401</v>
      </c>
      <c r="AM116">
        <v>0.3024</v>
      </c>
      <c r="AN116" t="s">
        <v>249</v>
      </c>
    </row>
    <row r="117" spans="9:40" x14ac:dyDescent="0.45">
      <c r="I117" t="s">
        <v>185</v>
      </c>
      <c r="J117" t="s">
        <v>415</v>
      </c>
      <c r="K117">
        <v>0</v>
      </c>
      <c r="L117" t="s">
        <v>166</v>
      </c>
      <c r="N117" t="s">
        <v>209</v>
      </c>
      <c r="O117" t="s">
        <v>415</v>
      </c>
      <c r="P117">
        <v>0.10414409304422047</v>
      </c>
      <c r="Q117" t="s">
        <v>166</v>
      </c>
      <c r="S117" t="s">
        <v>226</v>
      </c>
      <c r="T117" t="s">
        <v>415</v>
      </c>
      <c r="U117">
        <v>0.22624824427783033</v>
      </c>
      <c r="V117" t="s">
        <v>166</v>
      </c>
      <c r="AK117">
        <v>2048</v>
      </c>
      <c r="AL117" t="s">
        <v>402</v>
      </c>
      <c r="AM117">
        <v>0.501</v>
      </c>
      <c r="AN117" t="s">
        <v>249</v>
      </c>
    </row>
    <row r="118" spans="9:40" x14ac:dyDescent="0.45">
      <c r="I118" t="s">
        <v>185</v>
      </c>
      <c r="J118" t="s">
        <v>416</v>
      </c>
      <c r="K118">
        <v>2.4247336983462882E-2</v>
      </c>
      <c r="L118" t="s">
        <v>166</v>
      </c>
      <c r="N118" t="s">
        <v>209</v>
      </c>
      <c r="O118" t="s">
        <v>416</v>
      </c>
      <c r="P118">
        <v>2.4189614763508137E-2</v>
      </c>
      <c r="Q118" t="s">
        <v>166</v>
      </c>
      <c r="S118" t="s">
        <v>226</v>
      </c>
      <c r="T118" t="s">
        <v>416</v>
      </c>
      <c r="U118">
        <v>3.9153465469429327E-2</v>
      </c>
      <c r="V118" t="s">
        <v>166</v>
      </c>
      <c r="AK118">
        <v>2048</v>
      </c>
      <c r="AL118" t="s">
        <v>404</v>
      </c>
      <c r="AM118">
        <v>0.34279999999999999</v>
      </c>
      <c r="AN118" t="s">
        <v>249</v>
      </c>
    </row>
    <row r="119" spans="9:40" x14ac:dyDescent="0.45">
      <c r="I119" t="s">
        <v>186</v>
      </c>
      <c r="J119" t="s">
        <v>405</v>
      </c>
      <c r="K119">
        <v>0.22035628763995474</v>
      </c>
      <c r="L119" t="s">
        <v>166</v>
      </c>
      <c r="N119" t="s">
        <v>210</v>
      </c>
      <c r="O119" t="s">
        <v>405</v>
      </c>
      <c r="P119">
        <v>0.11578723421159805</v>
      </c>
      <c r="Q119" t="s">
        <v>166</v>
      </c>
      <c r="S119" t="s">
        <v>227</v>
      </c>
      <c r="T119" t="s">
        <v>405</v>
      </c>
      <c r="U119">
        <v>0.12189353288255103</v>
      </c>
      <c r="V119" t="s">
        <v>166</v>
      </c>
      <c r="AK119">
        <v>2049</v>
      </c>
      <c r="AL119" t="s">
        <v>399</v>
      </c>
      <c r="AM119">
        <v>0.53473333333333339</v>
      </c>
      <c r="AN119" t="s">
        <v>249</v>
      </c>
    </row>
    <row r="120" spans="9:40" x14ac:dyDescent="0.45">
      <c r="I120" t="s">
        <v>186</v>
      </c>
      <c r="J120" t="s">
        <v>406</v>
      </c>
      <c r="K120">
        <v>0</v>
      </c>
      <c r="L120" t="s">
        <v>166</v>
      </c>
      <c r="N120" t="s">
        <v>210</v>
      </c>
      <c r="O120" t="s">
        <v>406</v>
      </c>
      <c r="P120">
        <v>0.12059070017247883</v>
      </c>
      <c r="Q120" t="s">
        <v>166</v>
      </c>
      <c r="S120" t="s">
        <v>227</v>
      </c>
      <c r="T120" t="s">
        <v>406</v>
      </c>
      <c r="U120">
        <v>0.11102000919292614</v>
      </c>
      <c r="V120" t="s">
        <v>166</v>
      </c>
      <c r="AK120">
        <v>2049</v>
      </c>
      <c r="AL120" t="s">
        <v>401</v>
      </c>
      <c r="AM120">
        <v>0.29703333333333332</v>
      </c>
      <c r="AN120" t="s">
        <v>249</v>
      </c>
    </row>
    <row r="121" spans="9:40" x14ac:dyDescent="0.45">
      <c r="I121" t="s">
        <v>186</v>
      </c>
      <c r="J121" t="s">
        <v>407</v>
      </c>
      <c r="K121">
        <v>1.2414709127873838E-2</v>
      </c>
      <c r="L121" t="s">
        <v>166</v>
      </c>
      <c r="N121" t="s">
        <v>210</v>
      </c>
      <c r="O121" t="s">
        <v>407</v>
      </c>
      <c r="P121">
        <v>1.7480558708341885E-2</v>
      </c>
      <c r="Q121" t="s">
        <v>166</v>
      </c>
      <c r="S121" t="s">
        <v>227</v>
      </c>
      <c r="T121" t="s">
        <v>407</v>
      </c>
      <c r="U121">
        <v>2.2193068067209012E-2</v>
      </c>
      <c r="V121" t="s">
        <v>166</v>
      </c>
      <c r="AK121">
        <v>2049</v>
      </c>
      <c r="AL121" t="s">
        <v>402</v>
      </c>
      <c r="AM121">
        <v>0.49486666666666662</v>
      </c>
      <c r="AN121" t="s">
        <v>249</v>
      </c>
    </row>
    <row r="122" spans="9:40" x14ac:dyDescent="0.45">
      <c r="I122" t="s">
        <v>186</v>
      </c>
      <c r="J122" t="s">
        <v>408</v>
      </c>
      <c r="K122">
        <v>0.26013336492474359</v>
      </c>
      <c r="L122" t="s">
        <v>166</v>
      </c>
      <c r="N122" t="s">
        <v>210</v>
      </c>
      <c r="O122" t="s">
        <v>408</v>
      </c>
      <c r="P122">
        <v>3.7159965640195421E-2</v>
      </c>
      <c r="Q122" t="s">
        <v>166</v>
      </c>
      <c r="S122" t="s">
        <v>227</v>
      </c>
      <c r="T122" t="s">
        <v>408</v>
      </c>
      <c r="U122">
        <v>6.658766329611028E-2</v>
      </c>
      <c r="V122" t="s">
        <v>166</v>
      </c>
      <c r="AK122">
        <v>2049</v>
      </c>
      <c r="AL122" t="s">
        <v>404</v>
      </c>
      <c r="AM122">
        <v>0.34856666666666669</v>
      </c>
      <c r="AN122" t="s">
        <v>249</v>
      </c>
    </row>
    <row r="123" spans="9:40" x14ac:dyDescent="0.45">
      <c r="I123" t="s">
        <v>186</v>
      </c>
      <c r="J123" t="s">
        <v>409</v>
      </c>
      <c r="K123">
        <v>0</v>
      </c>
      <c r="L123" t="s">
        <v>166</v>
      </c>
      <c r="N123" t="s">
        <v>210</v>
      </c>
      <c r="O123" t="s">
        <v>409</v>
      </c>
      <c r="P123">
        <v>7.0390911992383454E-2</v>
      </c>
      <c r="Q123" t="s">
        <v>166</v>
      </c>
      <c r="S123" t="s">
        <v>227</v>
      </c>
      <c r="T123" t="s">
        <v>409</v>
      </c>
      <c r="U123">
        <v>6.522337175158778E-2</v>
      </c>
      <c r="V123" t="s">
        <v>166</v>
      </c>
      <c r="AK123">
        <v>2050</v>
      </c>
      <c r="AL123" t="s">
        <v>399</v>
      </c>
      <c r="AM123">
        <v>0.53549999999999998</v>
      </c>
      <c r="AN123" t="s">
        <v>249</v>
      </c>
    </row>
    <row r="124" spans="9:40" x14ac:dyDescent="0.45">
      <c r="I124" t="s">
        <v>186</v>
      </c>
      <c r="J124" t="s">
        <v>410</v>
      </c>
      <c r="K124">
        <v>2.5604855389052043E-2</v>
      </c>
      <c r="L124" t="s">
        <v>166</v>
      </c>
      <c r="N124" t="s">
        <v>210</v>
      </c>
      <c r="O124" t="s">
        <v>410</v>
      </c>
      <c r="P124">
        <v>9.9532593522895455E-3</v>
      </c>
      <c r="Q124" t="s">
        <v>166</v>
      </c>
      <c r="S124" t="s">
        <v>227</v>
      </c>
      <c r="T124" t="s">
        <v>410</v>
      </c>
      <c r="U124">
        <v>1.6277676592773526E-2</v>
      </c>
      <c r="V124" t="s">
        <v>166</v>
      </c>
      <c r="AK124">
        <v>2050</v>
      </c>
      <c r="AL124" t="s">
        <v>401</v>
      </c>
      <c r="AM124">
        <v>0.30299999999999999</v>
      </c>
      <c r="AN124" t="s">
        <v>249</v>
      </c>
    </row>
    <row r="125" spans="9:40" x14ac:dyDescent="0.45">
      <c r="I125" t="s">
        <v>186</v>
      </c>
      <c r="J125" t="s">
        <v>411</v>
      </c>
      <c r="K125">
        <v>0.20291205039749188</v>
      </c>
      <c r="L125" t="s">
        <v>166</v>
      </c>
      <c r="N125" t="s">
        <v>210</v>
      </c>
      <c r="O125" t="s">
        <v>411</v>
      </c>
      <c r="P125">
        <v>6.8840991973911025E-2</v>
      </c>
      <c r="Q125" t="s">
        <v>166</v>
      </c>
      <c r="S125" t="s">
        <v>227</v>
      </c>
      <c r="T125" t="s">
        <v>411</v>
      </c>
      <c r="U125">
        <v>6.1393468217192812E-2</v>
      </c>
      <c r="V125" t="s">
        <v>166</v>
      </c>
      <c r="AK125">
        <v>2050</v>
      </c>
      <c r="AL125" t="s">
        <v>402</v>
      </c>
      <c r="AM125">
        <v>0.47443333333333326</v>
      </c>
      <c r="AN125" t="s">
        <v>249</v>
      </c>
    </row>
    <row r="126" spans="9:40" x14ac:dyDescent="0.45">
      <c r="I126" t="s">
        <v>186</v>
      </c>
      <c r="J126" t="s">
        <v>412</v>
      </c>
      <c r="K126">
        <v>0</v>
      </c>
      <c r="L126" t="s">
        <v>166</v>
      </c>
      <c r="N126" t="s">
        <v>210</v>
      </c>
      <c r="O126" t="s">
        <v>412</v>
      </c>
      <c r="P126">
        <v>8.3820626382553901E-2</v>
      </c>
      <c r="Q126" t="s">
        <v>166</v>
      </c>
      <c r="S126" t="s">
        <v>227</v>
      </c>
      <c r="T126" t="s">
        <v>412</v>
      </c>
      <c r="U126">
        <v>7.2619689170041968E-2</v>
      </c>
      <c r="V126" t="s">
        <v>166</v>
      </c>
      <c r="AK126">
        <v>2050</v>
      </c>
      <c r="AL126" t="s">
        <v>404</v>
      </c>
      <c r="AM126">
        <v>0.36579999999999996</v>
      </c>
      <c r="AN126" t="s">
        <v>249</v>
      </c>
    </row>
    <row r="127" spans="9:40" x14ac:dyDescent="0.45">
      <c r="I127" t="s">
        <v>186</v>
      </c>
      <c r="J127" t="s">
        <v>413</v>
      </c>
      <c r="K127">
        <v>1.7285555472353289E-2</v>
      </c>
      <c r="L127" t="s">
        <v>166</v>
      </c>
      <c r="N127" t="s">
        <v>210</v>
      </c>
      <c r="O127" t="s">
        <v>413</v>
      </c>
      <c r="P127">
        <v>1.0701575457675404E-2</v>
      </c>
      <c r="Q127" t="s">
        <v>166</v>
      </c>
      <c r="S127" t="s">
        <v>227</v>
      </c>
      <c r="T127" t="s">
        <v>413</v>
      </c>
      <c r="U127">
        <v>1.3985950475988223E-2</v>
      </c>
      <c r="V127" t="s">
        <v>166</v>
      </c>
    </row>
    <row r="128" spans="9:40" x14ac:dyDescent="0.45">
      <c r="I128" t="s">
        <v>186</v>
      </c>
      <c r="J128" t="s">
        <v>414</v>
      </c>
      <c r="K128">
        <v>0.23820693962345257</v>
      </c>
      <c r="L128" t="s">
        <v>166</v>
      </c>
      <c r="N128" t="s">
        <v>210</v>
      </c>
      <c r="O128" t="s">
        <v>414</v>
      </c>
      <c r="P128">
        <v>0.16923826428191169</v>
      </c>
      <c r="Q128" t="s">
        <v>166</v>
      </c>
      <c r="S128" t="s">
        <v>227</v>
      </c>
      <c r="T128" t="s">
        <v>414</v>
      </c>
      <c r="U128">
        <v>0.21120876961536014</v>
      </c>
      <c r="V128" t="s">
        <v>166</v>
      </c>
    </row>
    <row r="129" spans="9:22" x14ac:dyDescent="0.45">
      <c r="I129" t="s">
        <v>186</v>
      </c>
      <c r="J129" t="s">
        <v>415</v>
      </c>
      <c r="K129">
        <v>0</v>
      </c>
      <c r="L129" t="s">
        <v>166</v>
      </c>
      <c r="N129" t="s">
        <v>210</v>
      </c>
      <c r="O129" t="s">
        <v>415</v>
      </c>
      <c r="P129">
        <v>0.26448360073291938</v>
      </c>
      <c r="Q129" t="s">
        <v>166</v>
      </c>
      <c r="S129" t="s">
        <v>227</v>
      </c>
      <c r="T129" t="s">
        <v>415</v>
      </c>
      <c r="U129">
        <v>0.20073870644514363</v>
      </c>
      <c r="V129" t="s">
        <v>166</v>
      </c>
    </row>
    <row r="130" spans="9:22" x14ac:dyDescent="0.45">
      <c r="I130" t="s">
        <v>186</v>
      </c>
      <c r="J130" t="s">
        <v>416</v>
      </c>
      <c r="K130">
        <v>2.3086237425077892E-2</v>
      </c>
      <c r="L130" t="s">
        <v>166</v>
      </c>
      <c r="N130" t="s">
        <v>210</v>
      </c>
      <c r="O130" t="s">
        <v>416</v>
      </c>
      <c r="P130">
        <v>3.1552311093740605E-2</v>
      </c>
      <c r="Q130" t="s">
        <v>166</v>
      </c>
      <c r="S130" t="s">
        <v>227</v>
      </c>
      <c r="T130" t="s">
        <v>416</v>
      </c>
      <c r="U130">
        <v>3.6858094293114298E-2</v>
      </c>
      <c r="V130" t="s">
        <v>166</v>
      </c>
    </row>
    <row r="131" spans="9:22" x14ac:dyDescent="0.45">
      <c r="I131" t="s">
        <v>187</v>
      </c>
      <c r="J131" t="s">
        <v>405</v>
      </c>
      <c r="K131">
        <v>0.22945387937613765</v>
      </c>
      <c r="L131" t="s">
        <v>166</v>
      </c>
      <c r="N131" t="s">
        <v>211</v>
      </c>
      <c r="O131" t="s">
        <v>405</v>
      </c>
      <c r="P131">
        <v>0.12681514917616901</v>
      </c>
      <c r="Q131" t="s">
        <v>166</v>
      </c>
      <c r="S131" t="s">
        <v>228</v>
      </c>
      <c r="T131" t="s">
        <v>405</v>
      </c>
      <c r="U131">
        <v>0.12601920180026593</v>
      </c>
      <c r="V131" t="s">
        <v>166</v>
      </c>
    </row>
    <row r="132" spans="9:22" x14ac:dyDescent="0.45">
      <c r="I132" t="s">
        <v>187</v>
      </c>
      <c r="J132" t="s">
        <v>406</v>
      </c>
      <c r="K132">
        <v>0</v>
      </c>
      <c r="L132" t="s">
        <v>166</v>
      </c>
      <c r="N132" t="s">
        <v>211</v>
      </c>
      <c r="O132" t="s">
        <v>406</v>
      </c>
      <c r="P132">
        <v>9.9398311984192578E-2</v>
      </c>
      <c r="Q132" t="s">
        <v>166</v>
      </c>
      <c r="S132" t="s">
        <v>228</v>
      </c>
      <c r="T132" t="s">
        <v>406</v>
      </c>
      <c r="U132">
        <v>0.11727696712347976</v>
      </c>
      <c r="V132" t="s">
        <v>166</v>
      </c>
    </row>
    <row r="133" spans="9:22" x14ac:dyDescent="0.45">
      <c r="I133" t="s">
        <v>187</v>
      </c>
      <c r="J133" t="s">
        <v>407</v>
      </c>
      <c r="K133">
        <v>1.4488173925572011E-2</v>
      </c>
      <c r="L133" t="s">
        <v>166</v>
      </c>
      <c r="N133" t="s">
        <v>211</v>
      </c>
      <c r="O133" t="s">
        <v>407</v>
      </c>
      <c r="P133">
        <v>1.9098617852378708E-2</v>
      </c>
      <c r="Q133" t="s">
        <v>166</v>
      </c>
      <c r="S133" t="s">
        <v>228</v>
      </c>
      <c r="T133" t="s">
        <v>407</v>
      </c>
      <c r="U133">
        <v>2.0259411236473981E-2</v>
      </c>
      <c r="V133" t="s">
        <v>166</v>
      </c>
    </row>
    <row r="134" spans="9:22" x14ac:dyDescent="0.45">
      <c r="I134" t="s">
        <v>187</v>
      </c>
      <c r="J134" t="s">
        <v>408</v>
      </c>
      <c r="K134">
        <v>0.25998326799333177</v>
      </c>
      <c r="L134" t="s">
        <v>166</v>
      </c>
      <c r="N134" t="s">
        <v>211</v>
      </c>
      <c r="O134" t="s">
        <v>408</v>
      </c>
      <c r="P134">
        <v>5.4597018504838828E-2</v>
      </c>
      <c r="Q134" t="s">
        <v>166</v>
      </c>
      <c r="S134" t="s">
        <v>228</v>
      </c>
      <c r="T134" t="s">
        <v>408</v>
      </c>
      <c r="U134">
        <v>7.4637814845112851E-2</v>
      </c>
      <c r="V134" t="s">
        <v>166</v>
      </c>
    </row>
    <row r="135" spans="9:22" x14ac:dyDescent="0.45">
      <c r="I135" t="s">
        <v>187</v>
      </c>
      <c r="J135" t="s">
        <v>409</v>
      </c>
      <c r="K135">
        <v>0</v>
      </c>
      <c r="L135" t="s">
        <v>166</v>
      </c>
      <c r="N135" t="s">
        <v>211</v>
      </c>
      <c r="O135" t="s">
        <v>409</v>
      </c>
      <c r="P135">
        <v>5.3590520035609532E-2</v>
      </c>
      <c r="Q135" t="s">
        <v>166</v>
      </c>
      <c r="S135" t="s">
        <v>228</v>
      </c>
      <c r="T135" t="s">
        <v>409</v>
      </c>
      <c r="U135">
        <v>7.7539999395026107E-2</v>
      </c>
      <c r="V135" t="s">
        <v>166</v>
      </c>
    </row>
    <row r="136" spans="9:22" x14ac:dyDescent="0.45">
      <c r="I136" t="s">
        <v>187</v>
      </c>
      <c r="J136" t="s">
        <v>410</v>
      </c>
      <c r="K136">
        <v>2.7710124294479117E-2</v>
      </c>
      <c r="L136" t="s">
        <v>166</v>
      </c>
      <c r="N136" t="s">
        <v>211</v>
      </c>
      <c r="O136" t="s">
        <v>410</v>
      </c>
      <c r="P136">
        <v>1.2133244900971256E-2</v>
      </c>
      <c r="Q136" t="s">
        <v>166</v>
      </c>
      <c r="S136" t="s">
        <v>228</v>
      </c>
      <c r="T136" t="s">
        <v>410</v>
      </c>
      <c r="U136">
        <v>1.0803830486150837E-2</v>
      </c>
      <c r="V136" t="s">
        <v>166</v>
      </c>
    </row>
    <row r="137" spans="9:22" x14ac:dyDescent="0.45">
      <c r="I137" t="s">
        <v>187</v>
      </c>
      <c r="J137" t="s">
        <v>411</v>
      </c>
      <c r="K137">
        <v>0.2391438918786204</v>
      </c>
      <c r="L137" t="s">
        <v>166</v>
      </c>
      <c r="N137" t="s">
        <v>211</v>
      </c>
      <c r="O137" t="s">
        <v>411</v>
      </c>
      <c r="P137">
        <v>9.2706191701760282E-2</v>
      </c>
      <c r="Q137" t="s">
        <v>166</v>
      </c>
      <c r="S137" t="s">
        <v>228</v>
      </c>
      <c r="T137" t="s">
        <v>411</v>
      </c>
      <c r="U137">
        <v>9.816149525090008E-2</v>
      </c>
      <c r="V137" t="s">
        <v>166</v>
      </c>
    </row>
    <row r="138" spans="9:22" x14ac:dyDescent="0.45">
      <c r="I138" t="s">
        <v>187</v>
      </c>
      <c r="J138" t="s">
        <v>412</v>
      </c>
      <c r="K138">
        <v>0</v>
      </c>
      <c r="L138" t="s">
        <v>166</v>
      </c>
      <c r="N138" t="s">
        <v>211</v>
      </c>
      <c r="O138" t="s">
        <v>412</v>
      </c>
      <c r="P138">
        <v>7.3302698235071725E-2</v>
      </c>
      <c r="Q138" t="s">
        <v>166</v>
      </c>
      <c r="S138" t="s">
        <v>228</v>
      </c>
      <c r="T138" t="s">
        <v>412</v>
      </c>
      <c r="U138">
        <v>0.10040463100733275</v>
      </c>
      <c r="V138" t="s">
        <v>166</v>
      </c>
    </row>
    <row r="139" spans="9:22" x14ac:dyDescent="0.45">
      <c r="I139" t="s">
        <v>187</v>
      </c>
      <c r="J139" t="s">
        <v>413</v>
      </c>
      <c r="K139">
        <v>2.7014258222725508E-2</v>
      </c>
      <c r="L139" t="s">
        <v>166</v>
      </c>
      <c r="N139" t="s">
        <v>211</v>
      </c>
      <c r="O139" t="s">
        <v>413</v>
      </c>
      <c r="P139">
        <v>1.1570099070657008E-2</v>
      </c>
      <c r="Q139" t="s">
        <v>166</v>
      </c>
      <c r="S139" t="s">
        <v>228</v>
      </c>
      <c r="T139" t="s">
        <v>413</v>
      </c>
      <c r="U139">
        <v>1.3095665574383906E-2</v>
      </c>
      <c r="V139" t="s">
        <v>166</v>
      </c>
    </row>
    <row r="140" spans="9:22" x14ac:dyDescent="0.45">
      <c r="I140" t="s">
        <v>187</v>
      </c>
      <c r="J140" t="s">
        <v>414</v>
      </c>
      <c r="K140">
        <v>0.18899689386751567</v>
      </c>
      <c r="L140" t="s">
        <v>166</v>
      </c>
      <c r="N140" t="s">
        <v>211</v>
      </c>
      <c r="O140" t="s">
        <v>414</v>
      </c>
      <c r="P140">
        <v>0.21118622389959271</v>
      </c>
      <c r="Q140" t="s">
        <v>166</v>
      </c>
      <c r="S140" t="s">
        <v>228</v>
      </c>
      <c r="T140" t="s">
        <v>414</v>
      </c>
      <c r="U140">
        <v>0.16944614874910732</v>
      </c>
      <c r="V140" t="s">
        <v>166</v>
      </c>
    </row>
    <row r="141" spans="9:22" x14ac:dyDescent="0.45">
      <c r="I141" t="s">
        <v>187</v>
      </c>
      <c r="J141" t="s">
        <v>415</v>
      </c>
      <c r="K141">
        <v>0</v>
      </c>
      <c r="L141" t="s">
        <v>166</v>
      </c>
      <c r="N141" t="s">
        <v>211</v>
      </c>
      <c r="O141" t="s">
        <v>415</v>
      </c>
      <c r="P141">
        <v>0.20538300548788754</v>
      </c>
      <c r="Q141" t="s">
        <v>166</v>
      </c>
      <c r="S141" t="s">
        <v>228</v>
      </c>
      <c r="T141" t="s">
        <v>415</v>
      </c>
      <c r="U141">
        <v>0.16357503216261332</v>
      </c>
      <c r="V141" t="s">
        <v>166</v>
      </c>
    </row>
    <row r="142" spans="9:22" x14ac:dyDescent="0.45">
      <c r="I142" t="s">
        <v>187</v>
      </c>
      <c r="J142" t="s">
        <v>416</v>
      </c>
      <c r="K142">
        <v>1.3209510441617972E-2</v>
      </c>
      <c r="L142" t="s">
        <v>166</v>
      </c>
      <c r="N142" t="s">
        <v>211</v>
      </c>
      <c r="O142" t="s">
        <v>416</v>
      </c>
      <c r="P142">
        <v>4.0218919150869219E-2</v>
      </c>
      <c r="Q142" t="s">
        <v>166</v>
      </c>
      <c r="S142" t="s">
        <v>228</v>
      </c>
      <c r="T142" t="s">
        <v>416</v>
      </c>
      <c r="U142">
        <v>2.8779802369150065E-2</v>
      </c>
      <c r="V142" t="s">
        <v>166</v>
      </c>
    </row>
    <row r="143" spans="9:22" x14ac:dyDescent="0.45">
      <c r="I143" t="s">
        <v>188</v>
      </c>
      <c r="J143" t="s">
        <v>405</v>
      </c>
      <c r="K143">
        <v>0.24360586703564521</v>
      </c>
      <c r="L143" t="s">
        <v>166</v>
      </c>
      <c r="N143" t="s">
        <v>212</v>
      </c>
      <c r="O143" t="s">
        <v>405</v>
      </c>
      <c r="P143">
        <v>0.13744725113061246</v>
      </c>
      <c r="Q143" t="s">
        <v>166</v>
      </c>
      <c r="S143" t="s">
        <v>229</v>
      </c>
      <c r="T143" t="s">
        <v>405</v>
      </c>
      <c r="U143">
        <v>0.12674342504094294</v>
      </c>
      <c r="V143" t="s">
        <v>166</v>
      </c>
    </row>
    <row r="144" spans="9:22" x14ac:dyDescent="0.45">
      <c r="I144" t="s">
        <v>188</v>
      </c>
      <c r="J144" t="s">
        <v>406</v>
      </c>
      <c r="K144">
        <v>0</v>
      </c>
      <c r="L144" t="s">
        <v>166</v>
      </c>
      <c r="N144" t="s">
        <v>212</v>
      </c>
      <c r="O144" t="s">
        <v>406</v>
      </c>
      <c r="P144">
        <v>9.6930763052618094E-2</v>
      </c>
      <c r="Q144" t="s">
        <v>166</v>
      </c>
      <c r="S144" t="s">
        <v>229</v>
      </c>
      <c r="T144" t="s">
        <v>406</v>
      </c>
      <c r="U144">
        <v>0.1186780198478723</v>
      </c>
      <c r="V144" t="s">
        <v>166</v>
      </c>
    </row>
    <row r="145" spans="9:22" x14ac:dyDescent="0.45">
      <c r="I145" t="s">
        <v>188</v>
      </c>
      <c r="J145" t="s">
        <v>407</v>
      </c>
      <c r="K145">
        <v>1.5618939061395202E-2</v>
      </c>
      <c r="L145" t="s">
        <v>166</v>
      </c>
      <c r="N145" t="s">
        <v>212</v>
      </c>
      <c r="O145" t="s">
        <v>407</v>
      </c>
      <c r="P145">
        <v>1.9977976367783715E-2</v>
      </c>
      <c r="Q145" t="s">
        <v>166</v>
      </c>
      <c r="S145" t="s">
        <v>229</v>
      </c>
      <c r="T145" t="s">
        <v>407</v>
      </c>
      <c r="U145">
        <v>2.0443914094023685E-2</v>
      </c>
      <c r="V145" t="s">
        <v>166</v>
      </c>
    </row>
    <row r="146" spans="9:22" x14ac:dyDescent="0.45">
      <c r="I146" t="s">
        <v>188</v>
      </c>
      <c r="J146" t="s">
        <v>408</v>
      </c>
      <c r="K146">
        <v>0.23803804964108721</v>
      </c>
      <c r="L146" t="s">
        <v>166</v>
      </c>
      <c r="N146" t="s">
        <v>212</v>
      </c>
      <c r="O146" t="s">
        <v>408</v>
      </c>
      <c r="P146">
        <v>8.4748999879514245E-2</v>
      </c>
      <c r="Q146" t="s">
        <v>166</v>
      </c>
      <c r="S146" t="s">
        <v>229</v>
      </c>
      <c r="T146" t="s">
        <v>408</v>
      </c>
      <c r="U146">
        <v>7.5794500125210829E-2</v>
      </c>
      <c r="V146" t="s">
        <v>166</v>
      </c>
    </row>
    <row r="147" spans="9:22" x14ac:dyDescent="0.45">
      <c r="I147" t="s">
        <v>188</v>
      </c>
      <c r="J147" t="s">
        <v>409</v>
      </c>
      <c r="K147">
        <v>0</v>
      </c>
      <c r="L147" t="s">
        <v>166</v>
      </c>
      <c r="N147" t="s">
        <v>212</v>
      </c>
      <c r="O147" t="s">
        <v>409</v>
      </c>
      <c r="P147">
        <v>5.418015149974504E-2</v>
      </c>
      <c r="Q147" t="s">
        <v>166</v>
      </c>
      <c r="S147" t="s">
        <v>229</v>
      </c>
      <c r="T147" t="s">
        <v>409</v>
      </c>
      <c r="U147">
        <v>8.4362207736845399E-2</v>
      </c>
      <c r="V147" t="s">
        <v>166</v>
      </c>
    </row>
    <row r="148" spans="9:22" x14ac:dyDescent="0.45">
      <c r="I148" t="s">
        <v>188</v>
      </c>
      <c r="J148" t="s">
        <v>410</v>
      </c>
      <c r="K148">
        <v>2.4871382260083796E-2</v>
      </c>
      <c r="L148" t="s">
        <v>166</v>
      </c>
      <c r="N148" t="s">
        <v>212</v>
      </c>
      <c r="O148" t="s">
        <v>410</v>
      </c>
      <c r="P148">
        <v>9.8447227034262584E-3</v>
      </c>
      <c r="Q148" t="s">
        <v>166</v>
      </c>
      <c r="S148" t="s">
        <v>229</v>
      </c>
      <c r="T148" t="s">
        <v>410</v>
      </c>
      <c r="U148">
        <v>1.2904930769336036E-2</v>
      </c>
      <c r="V148" t="s">
        <v>166</v>
      </c>
    </row>
    <row r="149" spans="9:22" x14ac:dyDescent="0.45">
      <c r="I149" t="s">
        <v>188</v>
      </c>
      <c r="J149" t="s">
        <v>411</v>
      </c>
      <c r="K149">
        <v>0.25504767069095119</v>
      </c>
      <c r="L149" t="s">
        <v>166</v>
      </c>
      <c r="N149" t="s">
        <v>212</v>
      </c>
      <c r="O149" t="s">
        <v>411</v>
      </c>
      <c r="P149">
        <v>0.16252826784587981</v>
      </c>
      <c r="Q149" t="s">
        <v>166</v>
      </c>
      <c r="S149" t="s">
        <v>229</v>
      </c>
      <c r="T149" t="s">
        <v>411</v>
      </c>
      <c r="U149">
        <v>9.7099900436713724E-2</v>
      </c>
      <c r="V149" t="s">
        <v>166</v>
      </c>
    </row>
    <row r="150" spans="9:22" x14ac:dyDescent="0.45">
      <c r="I150" t="s">
        <v>188</v>
      </c>
      <c r="J150" t="s">
        <v>412</v>
      </c>
      <c r="K150">
        <v>6.7625405202048161E-4</v>
      </c>
      <c r="L150" t="s">
        <v>166</v>
      </c>
      <c r="N150" t="s">
        <v>212</v>
      </c>
      <c r="O150" t="s">
        <v>412</v>
      </c>
      <c r="P150">
        <v>0.12537179154570863</v>
      </c>
      <c r="Q150" t="s">
        <v>166</v>
      </c>
      <c r="S150" t="s">
        <v>229</v>
      </c>
      <c r="T150" t="s">
        <v>412</v>
      </c>
      <c r="U150">
        <v>0.11155835884524931</v>
      </c>
      <c r="V150" t="s">
        <v>166</v>
      </c>
    </row>
    <row r="151" spans="9:22" x14ac:dyDescent="0.45">
      <c r="I151" t="s">
        <v>188</v>
      </c>
      <c r="J151" t="s">
        <v>413</v>
      </c>
      <c r="K151">
        <v>2.6286818963809872E-2</v>
      </c>
      <c r="L151" t="s">
        <v>166</v>
      </c>
      <c r="N151" t="s">
        <v>212</v>
      </c>
      <c r="O151" t="s">
        <v>413</v>
      </c>
      <c r="P151">
        <v>1.7251444134746892E-2</v>
      </c>
      <c r="Q151" t="s">
        <v>166</v>
      </c>
      <c r="S151" t="s">
        <v>229</v>
      </c>
      <c r="T151" t="s">
        <v>413</v>
      </c>
      <c r="U151">
        <v>1.3894653045427401E-2</v>
      </c>
      <c r="V151" t="s">
        <v>166</v>
      </c>
    </row>
    <row r="152" spans="9:22" x14ac:dyDescent="0.45">
      <c r="I152" t="s">
        <v>188</v>
      </c>
      <c r="J152" t="s">
        <v>414</v>
      </c>
      <c r="K152">
        <v>0.18471201016927849</v>
      </c>
      <c r="L152" t="s">
        <v>166</v>
      </c>
      <c r="N152" t="s">
        <v>212</v>
      </c>
      <c r="O152" t="s">
        <v>414</v>
      </c>
      <c r="P152">
        <v>0.14767201011909697</v>
      </c>
      <c r="Q152" t="s">
        <v>166</v>
      </c>
      <c r="S152" t="s">
        <v>229</v>
      </c>
      <c r="T152" t="s">
        <v>414</v>
      </c>
      <c r="U152">
        <v>0.15896432524826992</v>
      </c>
      <c r="V152" t="s">
        <v>166</v>
      </c>
    </row>
    <row r="153" spans="9:22" x14ac:dyDescent="0.45">
      <c r="I153" t="s">
        <v>188</v>
      </c>
      <c r="J153" t="s">
        <v>415</v>
      </c>
      <c r="K153">
        <v>0</v>
      </c>
      <c r="L153" t="s">
        <v>166</v>
      </c>
      <c r="N153" t="s">
        <v>212</v>
      </c>
      <c r="O153" t="s">
        <v>415</v>
      </c>
      <c r="P153">
        <v>0.12218168266295756</v>
      </c>
      <c r="Q153" t="s">
        <v>166</v>
      </c>
      <c r="S153" t="s">
        <v>229</v>
      </c>
      <c r="T153" t="s">
        <v>415</v>
      </c>
      <c r="U153">
        <v>0.15323122149618248</v>
      </c>
      <c r="V153" t="s">
        <v>166</v>
      </c>
    </row>
    <row r="154" spans="9:22" x14ac:dyDescent="0.45">
      <c r="I154" t="s">
        <v>188</v>
      </c>
      <c r="J154" t="s">
        <v>416</v>
      </c>
      <c r="K154">
        <v>1.1143008125727138E-2</v>
      </c>
      <c r="L154" t="s">
        <v>166</v>
      </c>
      <c r="N154" t="s">
        <v>212</v>
      </c>
      <c r="O154" t="s">
        <v>416</v>
      </c>
      <c r="P154">
        <v>2.1864939057908744E-2</v>
      </c>
      <c r="Q154" t="s">
        <v>166</v>
      </c>
      <c r="S154" t="s">
        <v>229</v>
      </c>
      <c r="T154" t="s">
        <v>416</v>
      </c>
      <c r="U154">
        <v>2.6324543313924233E-2</v>
      </c>
      <c r="V154" t="s">
        <v>166</v>
      </c>
    </row>
    <row r="155" spans="9:22" x14ac:dyDescent="0.45">
      <c r="I155" t="s">
        <v>189</v>
      </c>
      <c r="J155" t="s">
        <v>405</v>
      </c>
      <c r="K155">
        <v>0.23305176563476052</v>
      </c>
      <c r="L155" t="s">
        <v>166</v>
      </c>
      <c r="N155" t="s">
        <v>213</v>
      </c>
      <c r="O155" t="s">
        <v>405</v>
      </c>
      <c r="P155">
        <v>0.16969775487355596</v>
      </c>
      <c r="Q155" t="s">
        <v>166</v>
      </c>
      <c r="S155" t="s">
        <v>230</v>
      </c>
      <c r="T155" t="s">
        <v>405</v>
      </c>
      <c r="U155">
        <v>0.13900204983827946</v>
      </c>
      <c r="V155" t="s">
        <v>166</v>
      </c>
    </row>
    <row r="156" spans="9:22" x14ac:dyDescent="0.45">
      <c r="I156" t="s">
        <v>189</v>
      </c>
      <c r="J156" t="s">
        <v>406</v>
      </c>
      <c r="K156">
        <v>0</v>
      </c>
      <c r="L156" t="s">
        <v>166</v>
      </c>
      <c r="N156" t="s">
        <v>213</v>
      </c>
      <c r="O156" t="s">
        <v>406</v>
      </c>
      <c r="P156">
        <v>0.15055819539900364</v>
      </c>
      <c r="Q156" t="s">
        <v>166</v>
      </c>
      <c r="S156" t="s">
        <v>230</v>
      </c>
      <c r="T156" t="s">
        <v>406</v>
      </c>
      <c r="U156">
        <v>0.13160442129988423</v>
      </c>
      <c r="V156" t="s">
        <v>166</v>
      </c>
    </row>
    <row r="157" spans="9:22" x14ac:dyDescent="0.45">
      <c r="I157" t="s">
        <v>189</v>
      </c>
      <c r="J157" t="s">
        <v>407</v>
      </c>
      <c r="K157">
        <v>1.8616291556584095E-2</v>
      </c>
      <c r="L157" t="s">
        <v>166</v>
      </c>
      <c r="N157" t="s">
        <v>213</v>
      </c>
      <c r="O157" t="s">
        <v>407</v>
      </c>
      <c r="P157">
        <v>2.7668712636130459E-2</v>
      </c>
      <c r="Q157" t="s">
        <v>166</v>
      </c>
      <c r="S157" t="s">
        <v>230</v>
      </c>
      <c r="T157" t="s">
        <v>407</v>
      </c>
      <c r="U157">
        <v>2.3033703038520141E-2</v>
      </c>
      <c r="V157" t="s">
        <v>166</v>
      </c>
    </row>
    <row r="158" spans="9:22" x14ac:dyDescent="0.45">
      <c r="I158" t="s">
        <v>189</v>
      </c>
      <c r="J158" t="s">
        <v>408</v>
      </c>
      <c r="K158">
        <v>0.24626520581614955</v>
      </c>
      <c r="L158" t="s">
        <v>166</v>
      </c>
      <c r="N158" t="s">
        <v>213</v>
      </c>
      <c r="O158" t="s">
        <v>408</v>
      </c>
      <c r="P158">
        <v>8.5864554900284273E-2</v>
      </c>
      <c r="Q158" t="s">
        <v>166</v>
      </c>
      <c r="S158" t="s">
        <v>230</v>
      </c>
      <c r="T158" t="s">
        <v>408</v>
      </c>
      <c r="U158">
        <v>8.4364510761678085E-2</v>
      </c>
      <c r="V158" t="s">
        <v>166</v>
      </c>
    </row>
    <row r="159" spans="9:22" x14ac:dyDescent="0.45">
      <c r="I159" t="s">
        <v>189</v>
      </c>
      <c r="J159" t="s">
        <v>409</v>
      </c>
      <c r="K159">
        <v>1.7879986177600526E-4</v>
      </c>
      <c r="L159" t="s">
        <v>166</v>
      </c>
      <c r="N159" t="s">
        <v>213</v>
      </c>
      <c r="O159" t="s">
        <v>409</v>
      </c>
      <c r="P159">
        <v>0.10811487213035931</v>
      </c>
      <c r="Q159" t="s">
        <v>166</v>
      </c>
      <c r="S159" t="s">
        <v>230</v>
      </c>
      <c r="T159" t="s">
        <v>409</v>
      </c>
      <c r="U159">
        <v>9.6463054649397612E-2</v>
      </c>
      <c r="V159" t="s">
        <v>166</v>
      </c>
    </row>
    <row r="160" spans="9:22" x14ac:dyDescent="0.45">
      <c r="I160" t="s">
        <v>189</v>
      </c>
      <c r="J160" t="s">
        <v>410</v>
      </c>
      <c r="K160">
        <v>3.2813873968909925E-2</v>
      </c>
      <c r="L160" t="s">
        <v>166</v>
      </c>
      <c r="N160" t="s">
        <v>213</v>
      </c>
      <c r="O160" t="s">
        <v>410</v>
      </c>
      <c r="P160">
        <v>2.1889287621592205E-2</v>
      </c>
      <c r="Q160" t="s">
        <v>166</v>
      </c>
      <c r="S160" t="s">
        <v>230</v>
      </c>
      <c r="T160" t="s">
        <v>410</v>
      </c>
      <c r="U160">
        <v>1.3004262387477173E-2</v>
      </c>
      <c r="V160" t="s">
        <v>166</v>
      </c>
    </row>
    <row r="161" spans="9:22" x14ac:dyDescent="0.45">
      <c r="I161" t="s">
        <v>189</v>
      </c>
      <c r="J161" t="s">
        <v>411</v>
      </c>
      <c r="K161">
        <v>0.26208202826864035</v>
      </c>
      <c r="L161" t="s">
        <v>166</v>
      </c>
      <c r="N161" t="s">
        <v>213</v>
      </c>
      <c r="O161" t="s">
        <v>411</v>
      </c>
      <c r="P161">
        <v>8.6366940669361542E-2</v>
      </c>
      <c r="Q161" t="s">
        <v>166</v>
      </c>
      <c r="S161" t="s">
        <v>230</v>
      </c>
      <c r="T161" t="s">
        <v>411</v>
      </c>
      <c r="U161">
        <v>7.212747512304532E-2</v>
      </c>
      <c r="V161" t="s">
        <v>166</v>
      </c>
    </row>
    <row r="162" spans="9:22" x14ac:dyDescent="0.45">
      <c r="I162" t="s">
        <v>189</v>
      </c>
      <c r="J162" t="s">
        <v>412</v>
      </c>
      <c r="K162">
        <v>4.3593445612951894E-3</v>
      </c>
      <c r="L162" t="s">
        <v>166</v>
      </c>
      <c r="N162" t="s">
        <v>213</v>
      </c>
      <c r="O162" t="s">
        <v>412</v>
      </c>
      <c r="P162">
        <v>0.12850039651423334</v>
      </c>
      <c r="Q162" t="s">
        <v>166</v>
      </c>
      <c r="S162" t="s">
        <v>230</v>
      </c>
      <c r="T162" t="s">
        <v>412</v>
      </c>
      <c r="U162">
        <v>8.8157162332841696E-2</v>
      </c>
      <c r="V162" t="s">
        <v>166</v>
      </c>
    </row>
    <row r="163" spans="9:22" x14ac:dyDescent="0.45">
      <c r="I163" t="s">
        <v>189</v>
      </c>
      <c r="J163" t="s">
        <v>413</v>
      </c>
      <c r="K163">
        <v>3.080039774220486E-2</v>
      </c>
      <c r="L163" t="s">
        <v>166</v>
      </c>
      <c r="N163" t="s">
        <v>213</v>
      </c>
      <c r="O163" t="s">
        <v>413</v>
      </c>
      <c r="P163">
        <v>1.6662702689815245E-2</v>
      </c>
      <c r="Q163" t="s">
        <v>166</v>
      </c>
      <c r="S163" t="s">
        <v>230</v>
      </c>
      <c r="T163" t="s">
        <v>413</v>
      </c>
      <c r="U163">
        <v>1.0395784279995875E-2</v>
      </c>
      <c r="V163" t="s">
        <v>166</v>
      </c>
    </row>
    <row r="164" spans="9:22" x14ac:dyDescent="0.45">
      <c r="I164" t="s">
        <v>189</v>
      </c>
      <c r="J164" t="s">
        <v>414</v>
      </c>
      <c r="K164">
        <v>0.16061015691480987</v>
      </c>
      <c r="L164" t="s">
        <v>166</v>
      </c>
      <c r="N164" t="s">
        <v>213</v>
      </c>
      <c r="O164" t="s">
        <v>414</v>
      </c>
      <c r="P164">
        <v>9.5932227642991572E-2</v>
      </c>
      <c r="Q164" t="s">
        <v>166</v>
      </c>
      <c r="S164" t="s">
        <v>230</v>
      </c>
      <c r="T164" t="s">
        <v>414</v>
      </c>
      <c r="U164">
        <v>0.1633034895551049</v>
      </c>
      <c r="V164" t="s">
        <v>166</v>
      </c>
    </row>
    <row r="165" spans="9:22" x14ac:dyDescent="0.45">
      <c r="I165" t="s">
        <v>189</v>
      </c>
      <c r="J165" t="s">
        <v>415</v>
      </c>
      <c r="K165">
        <v>0</v>
      </c>
      <c r="L165" t="s">
        <v>166</v>
      </c>
      <c r="N165" t="s">
        <v>213</v>
      </c>
      <c r="O165" t="s">
        <v>415</v>
      </c>
      <c r="P165">
        <v>8.9688487420657562E-2</v>
      </c>
      <c r="Q165" t="s">
        <v>166</v>
      </c>
      <c r="S165" t="s">
        <v>230</v>
      </c>
      <c r="T165" t="s">
        <v>415</v>
      </c>
      <c r="U165">
        <v>0.15280017049006892</v>
      </c>
      <c r="V165" t="s">
        <v>166</v>
      </c>
    </row>
    <row r="166" spans="9:22" x14ac:dyDescent="0.45">
      <c r="I166" t="s">
        <v>189</v>
      </c>
      <c r="J166" t="s">
        <v>416</v>
      </c>
      <c r="K166">
        <v>1.1222135674868934E-2</v>
      </c>
      <c r="L166" t="s">
        <v>166</v>
      </c>
      <c r="N166" t="s">
        <v>213</v>
      </c>
      <c r="O166" t="s">
        <v>416</v>
      </c>
      <c r="P166">
        <v>1.9055867502016384E-2</v>
      </c>
      <c r="Q166" t="s">
        <v>166</v>
      </c>
      <c r="S166" t="s">
        <v>230</v>
      </c>
      <c r="T166" t="s">
        <v>416</v>
      </c>
      <c r="U166">
        <v>2.5743916243708795E-2</v>
      </c>
      <c r="V166" t="s">
        <v>166</v>
      </c>
    </row>
    <row r="167" spans="9:22" x14ac:dyDescent="0.45">
      <c r="I167" t="s">
        <v>190</v>
      </c>
      <c r="J167" t="s">
        <v>405</v>
      </c>
      <c r="K167">
        <v>0.24701167415131164</v>
      </c>
      <c r="L167" t="s">
        <v>166</v>
      </c>
      <c r="N167" t="s">
        <v>214</v>
      </c>
      <c r="O167" t="s">
        <v>405</v>
      </c>
      <c r="P167">
        <v>0.13774014060168868</v>
      </c>
      <c r="Q167" t="s">
        <v>166</v>
      </c>
      <c r="S167" t="s">
        <v>231</v>
      </c>
      <c r="T167" t="s">
        <v>405</v>
      </c>
      <c r="U167">
        <v>0.13023495830182794</v>
      </c>
      <c r="V167" t="s">
        <v>166</v>
      </c>
    </row>
    <row r="168" spans="9:22" x14ac:dyDescent="0.45">
      <c r="I168" t="s">
        <v>190</v>
      </c>
      <c r="J168" t="s">
        <v>406</v>
      </c>
      <c r="K168">
        <v>0</v>
      </c>
      <c r="L168" t="s">
        <v>166</v>
      </c>
      <c r="N168" t="s">
        <v>214</v>
      </c>
      <c r="O168" t="s">
        <v>406</v>
      </c>
      <c r="P168">
        <v>0.11846881365923895</v>
      </c>
      <c r="Q168" t="s">
        <v>166</v>
      </c>
      <c r="S168" t="s">
        <v>231</v>
      </c>
      <c r="T168" t="s">
        <v>406</v>
      </c>
      <c r="U168">
        <v>0.12201373707789011</v>
      </c>
      <c r="V168" t="s">
        <v>166</v>
      </c>
    </row>
    <row r="169" spans="9:22" x14ac:dyDescent="0.45">
      <c r="I169" t="s">
        <v>190</v>
      </c>
      <c r="J169" t="s">
        <v>407</v>
      </c>
      <c r="K169">
        <v>1.677003033140103E-2</v>
      </c>
      <c r="L169" t="s">
        <v>166</v>
      </c>
      <c r="N169" t="s">
        <v>214</v>
      </c>
      <c r="O169" t="s">
        <v>407</v>
      </c>
      <c r="P169">
        <v>2.1911064697219335E-2</v>
      </c>
      <c r="Q169" t="s">
        <v>166</v>
      </c>
      <c r="S169" t="s">
        <v>231</v>
      </c>
      <c r="T169" t="s">
        <v>407</v>
      </c>
      <c r="U169">
        <v>2.2232954885219775E-2</v>
      </c>
      <c r="V169" t="s">
        <v>166</v>
      </c>
    </row>
    <row r="170" spans="9:22" x14ac:dyDescent="0.45">
      <c r="I170" t="s">
        <v>190</v>
      </c>
      <c r="J170" t="s">
        <v>408</v>
      </c>
      <c r="K170">
        <v>0.22992388243806033</v>
      </c>
      <c r="L170" t="s">
        <v>166</v>
      </c>
      <c r="N170" t="s">
        <v>214</v>
      </c>
      <c r="O170" t="s">
        <v>408</v>
      </c>
      <c r="P170">
        <v>7.9097937529902851E-2</v>
      </c>
      <c r="Q170" t="s">
        <v>166</v>
      </c>
      <c r="S170" t="s">
        <v>231</v>
      </c>
      <c r="T170" t="s">
        <v>408</v>
      </c>
      <c r="U170">
        <v>8.9683595144337366E-2</v>
      </c>
      <c r="V170" t="s">
        <v>166</v>
      </c>
    </row>
    <row r="171" spans="9:22" x14ac:dyDescent="0.45">
      <c r="I171" t="s">
        <v>190</v>
      </c>
      <c r="J171" t="s">
        <v>409</v>
      </c>
      <c r="K171">
        <v>0</v>
      </c>
      <c r="L171" t="s">
        <v>166</v>
      </c>
      <c r="N171" t="s">
        <v>214</v>
      </c>
      <c r="O171" t="s">
        <v>409</v>
      </c>
      <c r="P171">
        <v>0.10260589209540263</v>
      </c>
      <c r="Q171" t="s">
        <v>166</v>
      </c>
      <c r="S171" t="s">
        <v>231</v>
      </c>
      <c r="T171" t="s">
        <v>409</v>
      </c>
      <c r="U171">
        <v>9.8205345762817767E-2</v>
      </c>
      <c r="V171" t="s">
        <v>166</v>
      </c>
    </row>
    <row r="172" spans="9:22" x14ac:dyDescent="0.45">
      <c r="I172" t="s">
        <v>190</v>
      </c>
      <c r="J172" t="s">
        <v>410</v>
      </c>
      <c r="K172">
        <v>2.6528750441690903E-2</v>
      </c>
      <c r="L172" t="s">
        <v>166</v>
      </c>
      <c r="N172" t="s">
        <v>214</v>
      </c>
      <c r="O172" t="s">
        <v>410</v>
      </c>
      <c r="P172">
        <v>1.8923314243920703E-2</v>
      </c>
      <c r="Q172" t="s">
        <v>166</v>
      </c>
      <c r="S172" t="s">
        <v>231</v>
      </c>
      <c r="T172" t="s">
        <v>410</v>
      </c>
      <c r="U172">
        <v>1.7379503481164876E-2</v>
      </c>
      <c r="V172" t="s">
        <v>166</v>
      </c>
    </row>
    <row r="173" spans="9:22" x14ac:dyDescent="0.45">
      <c r="I173" t="s">
        <v>190</v>
      </c>
      <c r="J173" t="s">
        <v>411</v>
      </c>
      <c r="K173">
        <v>0.26576104086160529</v>
      </c>
      <c r="L173" t="s">
        <v>166</v>
      </c>
      <c r="N173" t="s">
        <v>214</v>
      </c>
      <c r="O173" t="s">
        <v>411</v>
      </c>
      <c r="P173">
        <v>0.10686647760325416</v>
      </c>
      <c r="Q173" t="s">
        <v>166</v>
      </c>
      <c r="S173" t="s">
        <v>231</v>
      </c>
      <c r="T173" t="s">
        <v>411</v>
      </c>
      <c r="U173">
        <v>7.7850547916885657E-2</v>
      </c>
      <c r="V173" t="s">
        <v>166</v>
      </c>
    </row>
    <row r="174" spans="9:22" x14ac:dyDescent="0.45">
      <c r="I174" t="s">
        <v>190</v>
      </c>
      <c r="J174" t="s">
        <v>412</v>
      </c>
      <c r="K174">
        <v>2.9053545763060846E-3</v>
      </c>
      <c r="L174" t="s">
        <v>166</v>
      </c>
      <c r="N174" t="s">
        <v>214</v>
      </c>
      <c r="O174" t="s">
        <v>412</v>
      </c>
      <c r="P174">
        <v>0.13025845234869052</v>
      </c>
      <c r="Q174" t="s">
        <v>166</v>
      </c>
      <c r="S174" t="s">
        <v>231</v>
      </c>
      <c r="T174" t="s">
        <v>412</v>
      </c>
      <c r="U174">
        <v>0.10316403668745325</v>
      </c>
      <c r="V174" t="s">
        <v>166</v>
      </c>
    </row>
    <row r="175" spans="9:22" x14ac:dyDescent="0.45">
      <c r="I175" t="s">
        <v>190</v>
      </c>
      <c r="J175" t="s">
        <v>413</v>
      </c>
      <c r="K175">
        <v>2.7856541659843911E-2</v>
      </c>
      <c r="L175" t="s">
        <v>166</v>
      </c>
      <c r="N175" t="s">
        <v>214</v>
      </c>
      <c r="O175" t="s">
        <v>413</v>
      </c>
      <c r="P175">
        <v>1.7322022524048956E-2</v>
      </c>
      <c r="Q175" t="s">
        <v>166</v>
      </c>
      <c r="S175" t="s">
        <v>231</v>
      </c>
      <c r="T175" t="s">
        <v>413</v>
      </c>
      <c r="U175">
        <v>1.410411212026931E-2</v>
      </c>
      <c r="V175" t="s">
        <v>166</v>
      </c>
    </row>
    <row r="176" spans="9:22" x14ac:dyDescent="0.45">
      <c r="I176" t="s">
        <v>190</v>
      </c>
      <c r="J176" t="s">
        <v>414</v>
      </c>
      <c r="K176">
        <v>0.17234674991419438</v>
      </c>
      <c r="L176" t="s">
        <v>166</v>
      </c>
      <c r="N176" t="s">
        <v>214</v>
      </c>
      <c r="O176" t="s">
        <v>414</v>
      </c>
      <c r="P176">
        <v>0.13516366235652846</v>
      </c>
      <c r="Q176" t="s">
        <v>166</v>
      </c>
      <c r="S176" t="s">
        <v>231</v>
      </c>
      <c r="T176" t="s">
        <v>414</v>
      </c>
      <c r="U176">
        <v>0.15666839676133196</v>
      </c>
      <c r="V176" t="s">
        <v>166</v>
      </c>
    </row>
    <row r="177" spans="9:22" x14ac:dyDescent="0.45">
      <c r="I177" t="s">
        <v>190</v>
      </c>
      <c r="J177" t="s">
        <v>415</v>
      </c>
      <c r="K177">
        <v>0</v>
      </c>
      <c r="L177" t="s">
        <v>166</v>
      </c>
      <c r="N177" t="s">
        <v>214</v>
      </c>
      <c r="O177" t="s">
        <v>415</v>
      </c>
      <c r="P177">
        <v>0.11081459733298051</v>
      </c>
      <c r="Q177" t="s">
        <v>166</v>
      </c>
      <c r="S177" t="s">
        <v>231</v>
      </c>
      <c r="T177" t="s">
        <v>415</v>
      </c>
      <c r="U177">
        <v>0.14392727445661752</v>
      </c>
      <c r="V177" t="s">
        <v>166</v>
      </c>
    </row>
    <row r="178" spans="9:22" x14ac:dyDescent="0.45">
      <c r="I178" t="s">
        <v>190</v>
      </c>
      <c r="J178" t="s">
        <v>416</v>
      </c>
      <c r="K178">
        <v>1.0895975625585601E-2</v>
      </c>
      <c r="L178" t="s">
        <v>166</v>
      </c>
      <c r="N178" t="s">
        <v>214</v>
      </c>
      <c r="O178" t="s">
        <v>416</v>
      </c>
      <c r="P178">
        <v>2.0827625007125001E-2</v>
      </c>
      <c r="Q178" t="s">
        <v>166</v>
      </c>
      <c r="S178" t="s">
        <v>231</v>
      </c>
      <c r="T178" t="s">
        <v>416</v>
      </c>
      <c r="U178">
        <v>2.4535537404188793E-2</v>
      </c>
      <c r="V178" t="s">
        <v>166</v>
      </c>
    </row>
    <row r="179" spans="9:22" x14ac:dyDescent="0.45">
      <c r="I179" t="s">
        <v>191</v>
      </c>
      <c r="J179" t="s">
        <v>405</v>
      </c>
      <c r="K179">
        <v>0.23861865850038722</v>
      </c>
      <c r="L179" t="s">
        <v>166</v>
      </c>
      <c r="N179" t="s">
        <v>215</v>
      </c>
      <c r="O179" t="s">
        <v>405</v>
      </c>
      <c r="P179">
        <v>0.1524614110174205</v>
      </c>
      <c r="Q179" t="s">
        <v>166</v>
      </c>
      <c r="S179" t="s">
        <v>232</v>
      </c>
      <c r="T179" t="s">
        <v>405</v>
      </c>
      <c r="U179">
        <v>0.13168046987969287</v>
      </c>
      <c r="V179" t="s">
        <v>166</v>
      </c>
    </row>
    <row r="180" spans="9:22" x14ac:dyDescent="0.45">
      <c r="I180" t="s">
        <v>191</v>
      </c>
      <c r="J180" t="s">
        <v>406</v>
      </c>
      <c r="K180">
        <v>0</v>
      </c>
      <c r="L180" t="s">
        <v>166</v>
      </c>
      <c r="N180" t="s">
        <v>215</v>
      </c>
      <c r="O180" t="s">
        <v>406</v>
      </c>
      <c r="P180">
        <v>0.11090032151382477</v>
      </c>
      <c r="Q180" t="s">
        <v>166</v>
      </c>
      <c r="S180" t="s">
        <v>232</v>
      </c>
      <c r="T180" t="s">
        <v>406</v>
      </c>
      <c r="U180">
        <v>0.13404356714307397</v>
      </c>
      <c r="V180" t="s">
        <v>166</v>
      </c>
    </row>
    <row r="181" spans="9:22" x14ac:dyDescent="0.45">
      <c r="I181" t="s">
        <v>191</v>
      </c>
      <c r="J181" t="s">
        <v>407</v>
      </c>
      <c r="K181">
        <v>1.8399997784391435E-2</v>
      </c>
      <c r="L181" t="s">
        <v>166</v>
      </c>
      <c r="N181" t="s">
        <v>215</v>
      </c>
      <c r="O181" t="s">
        <v>407</v>
      </c>
      <c r="P181">
        <v>2.3435138265725991E-2</v>
      </c>
      <c r="Q181" t="s">
        <v>166</v>
      </c>
      <c r="S181" t="s">
        <v>232</v>
      </c>
      <c r="T181" t="s">
        <v>407</v>
      </c>
      <c r="U181">
        <v>2.3198114567371537E-2</v>
      </c>
      <c r="V181" t="s">
        <v>166</v>
      </c>
    </row>
    <row r="182" spans="9:22" x14ac:dyDescent="0.45">
      <c r="I182" t="s">
        <v>191</v>
      </c>
      <c r="J182" t="s">
        <v>408</v>
      </c>
      <c r="K182">
        <v>0.23444900398554339</v>
      </c>
      <c r="L182" t="s">
        <v>166</v>
      </c>
      <c r="N182" t="s">
        <v>215</v>
      </c>
      <c r="O182" t="s">
        <v>408</v>
      </c>
      <c r="P182">
        <v>8.4282137379581221E-2</v>
      </c>
      <c r="Q182" t="s">
        <v>166</v>
      </c>
      <c r="S182" t="s">
        <v>232</v>
      </c>
      <c r="T182" t="s">
        <v>408</v>
      </c>
      <c r="U182">
        <v>0.10332572635345171</v>
      </c>
      <c r="V182" t="s">
        <v>166</v>
      </c>
    </row>
    <row r="183" spans="9:22" x14ac:dyDescent="0.45">
      <c r="I183" t="s">
        <v>191</v>
      </c>
      <c r="J183" t="s">
        <v>409</v>
      </c>
      <c r="K183">
        <v>3.0013666506317479E-5</v>
      </c>
      <c r="L183" t="s">
        <v>166</v>
      </c>
      <c r="N183" t="s">
        <v>215</v>
      </c>
      <c r="O183" t="s">
        <v>409</v>
      </c>
      <c r="P183">
        <v>6.5188797337438875E-2</v>
      </c>
      <c r="Q183" t="s">
        <v>166</v>
      </c>
      <c r="S183" t="s">
        <v>232</v>
      </c>
      <c r="T183" t="s">
        <v>409</v>
      </c>
      <c r="U183">
        <v>0.14681966610096589</v>
      </c>
      <c r="V183" t="s">
        <v>166</v>
      </c>
    </row>
    <row r="184" spans="9:22" x14ac:dyDescent="0.45">
      <c r="I184" t="s">
        <v>191</v>
      </c>
      <c r="J184" t="s">
        <v>410</v>
      </c>
      <c r="K184">
        <v>3.1668476851040885E-2</v>
      </c>
      <c r="L184" t="s">
        <v>166</v>
      </c>
      <c r="N184" t="s">
        <v>215</v>
      </c>
      <c r="O184" t="s">
        <v>410</v>
      </c>
      <c r="P184">
        <v>1.6640703065947737E-2</v>
      </c>
      <c r="Q184" t="s">
        <v>166</v>
      </c>
      <c r="S184" t="s">
        <v>232</v>
      </c>
      <c r="T184" t="s">
        <v>410</v>
      </c>
      <c r="U184">
        <v>2.2773879857862184E-2</v>
      </c>
      <c r="V184" t="s">
        <v>166</v>
      </c>
    </row>
    <row r="185" spans="9:22" x14ac:dyDescent="0.45">
      <c r="I185" t="s">
        <v>191</v>
      </c>
      <c r="J185" t="s">
        <v>411</v>
      </c>
      <c r="K185">
        <v>0.26256781869246676</v>
      </c>
      <c r="L185" t="s">
        <v>166</v>
      </c>
      <c r="N185" t="s">
        <v>215</v>
      </c>
      <c r="O185" t="s">
        <v>411</v>
      </c>
      <c r="P185">
        <v>6.4425528520716521E-2</v>
      </c>
      <c r="Q185" t="s">
        <v>166</v>
      </c>
      <c r="S185" t="s">
        <v>232</v>
      </c>
      <c r="T185" t="s">
        <v>411</v>
      </c>
      <c r="U185">
        <v>6.5831698720329138E-2</v>
      </c>
      <c r="V185" t="s">
        <v>166</v>
      </c>
    </row>
    <row r="186" spans="9:22" x14ac:dyDescent="0.45">
      <c r="I186" t="s">
        <v>191</v>
      </c>
      <c r="J186" t="s">
        <v>412</v>
      </c>
      <c r="K186">
        <v>3.4139182568713954E-3</v>
      </c>
      <c r="L186" t="s">
        <v>166</v>
      </c>
      <c r="N186" t="s">
        <v>215</v>
      </c>
      <c r="O186" t="s">
        <v>412</v>
      </c>
      <c r="P186">
        <v>8.0548095503025052E-2</v>
      </c>
      <c r="Q186" t="s">
        <v>166</v>
      </c>
      <c r="S186" t="s">
        <v>232</v>
      </c>
      <c r="T186" t="s">
        <v>412</v>
      </c>
      <c r="U186">
        <v>8.5446390441104511E-2</v>
      </c>
      <c r="V186" t="s">
        <v>166</v>
      </c>
    </row>
    <row r="187" spans="9:22" x14ac:dyDescent="0.45">
      <c r="I187" t="s">
        <v>191</v>
      </c>
      <c r="J187" t="s">
        <v>413</v>
      </c>
      <c r="K187">
        <v>2.687689238244223E-2</v>
      </c>
      <c r="L187" t="s">
        <v>166</v>
      </c>
      <c r="N187" t="s">
        <v>215</v>
      </c>
      <c r="O187" t="s">
        <v>413</v>
      </c>
      <c r="P187">
        <v>1.0301126834994047E-2</v>
      </c>
      <c r="Q187" t="s">
        <v>166</v>
      </c>
      <c r="S187" t="s">
        <v>232</v>
      </c>
      <c r="T187" t="s">
        <v>413</v>
      </c>
      <c r="U187">
        <v>1.2289821607795806E-2</v>
      </c>
      <c r="V187" t="s">
        <v>166</v>
      </c>
    </row>
    <row r="188" spans="9:22" x14ac:dyDescent="0.45">
      <c r="I188" t="s">
        <v>191</v>
      </c>
      <c r="J188" t="s">
        <v>414</v>
      </c>
      <c r="K188">
        <v>0.1721726718398095</v>
      </c>
      <c r="L188" t="s">
        <v>166</v>
      </c>
      <c r="N188" t="s">
        <v>215</v>
      </c>
      <c r="O188" t="s">
        <v>414</v>
      </c>
      <c r="P188">
        <v>0.21246928041012944</v>
      </c>
      <c r="Q188" t="s">
        <v>166</v>
      </c>
      <c r="S188" t="s">
        <v>232</v>
      </c>
      <c r="T188" t="s">
        <v>414</v>
      </c>
      <c r="U188">
        <v>0.12752959593680296</v>
      </c>
      <c r="V188" t="s">
        <v>166</v>
      </c>
    </row>
    <row r="189" spans="9:22" x14ac:dyDescent="0.45">
      <c r="I189" t="s">
        <v>191</v>
      </c>
      <c r="J189" t="s">
        <v>415</v>
      </c>
      <c r="K189">
        <v>0</v>
      </c>
      <c r="L189" t="s">
        <v>166</v>
      </c>
      <c r="N189" t="s">
        <v>215</v>
      </c>
      <c r="O189" t="s">
        <v>415</v>
      </c>
      <c r="P189">
        <v>0.14791248733860032</v>
      </c>
      <c r="Q189" t="s">
        <v>166</v>
      </c>
      <c r="S189" t="s">
        <v>232</v>
      </c>
      <c r="T189" t="s">
        <v>415</v>
      </c>
      <c r="U189">
        <v>0.12805432107234277</v>
      </c>
      <c r="V189" t="s">
        <v>166</v>
      </c>
    </row>
    <row r="190" spans="9:22" x14ac:dyDescent="0.45">
      <c r="I190" t="s">
        <v>191</v>
      </c>
      <c r="J190" t="s">
        <v>416</v>
      </c>
      <c r="K190">
        <v>1.1802548040538968E-2</v>
      </c>
      <c r="L190" t="s">
        <v>166</v>
      </c>
      <c r="N190" t="s">
        <v>215</v>
      </c>
      <c r="O190" t="s">
        <v>416</v>
      </c>
      <c r="P190">
        <v>3.1434972812600798E-2</v>
      </c>
      <c r="Q190" t="s">
        <v>166</v>
      </c>
      <c r="S190" t="s">
        <v>232</v>
      </c>
      <c r="T190" t="s">
        <v>416</v>
      </c>
      <c r="U190">
        <v>1.9006748319202609E-2</v>
      </c>
      <c r="V190" t="s">
        <v>166</v>
      </c>
    </row>
    <row r="191" spans="9:22" x14ac:dyDescent="0.45">
      <c r="I191" t="s">
        <v>192</v>
      </c>
      <c r="J191" t="s">
        <v>405</v>
      </c>
      <c r="K191">
        <v>0.21123995784193036</v>
      </c>
      <c r="L191" t="s">
        <v>166</v>
      </c>
      <c r="N191" t="s">
        <v>216</v>
      </c>
      <c r="O191" t="s">
        <v>405</v>
      </c>
      <c r="P191">
        <v>0.14230057087522069</v>
      </c>
      <c r="Q191" t="s">
        <v>166</v>
      </c>
      <c r="S191" t="s">
        <v>233</v>
      </c>
      <c r="T191" t="s">
        <v>405</v>
      </c>
      <c r="U191">
        <v>0.14324847549887756</v>
      </c>
      <c r="V191" t="s">
        <v>166</v>
      </c>
    </row>
    <row r="192" spans="9:22" x14ac:dyDescent="0.45">
      <c r="I192" t="s">
        <v>192</v>
      </c>
      <c r="J192" t="s">
        <v>406</v>
      </c>
      <c r="K192">
        <v>0</v>
      </c>
      <c r="L192" t="s">
        <v>166</v>
      </c>
      <c r="N192" t="s">
        <v>216</v>
      </c>
      <c r="O192" t="s">
        <v>406</v>
      </c>
      <c r="P192">
        <v>0.13055066287945474</v>
      </c>
      <c r="Q192" t="s">
        <v>166</v>
      </c>
      <c r="S192" t="s">
        <v>233</v>
      </c>
      <c r="T192" t="s">
        <v>406</v>
      </c>
      <c r="U192">
        <v>0.14319431864966636</v>
      </c>
      <c r="V192" t="s">
        <v>166</v>
      </c>
    </row>
    <row r="193" spans="9:22" x14ac:dyDescent="0.45">
      <c r="I193" t="s">
        <v>192</v>
      </c>
      <c r="J193" t="s">
        <v>407</v>
      </c>
      <c r="K193">
        <v>1.8860539755326765E-2</v>
      </c>
      <c r="L193" t="s">
        <v>166</v>
      </c>
      <c r="N193" t="s">
        <v>216</v>
      </c>
      <c r="O193" t="s">
        <v>407</v>
      </c>
      <c r="P193">
        <v>2.5949598171351576E-2</v>
      </c>
      <c r="Q193" t="s">
        <v>166</v>
      </c>
      <c r="S193" t="s">
        <v>233</v>
      </c>
      <c r="T193" t="s">
        <v>407</v>
      </c>
      <c r="U193">
        <v>2.487164860670097E-2</v>
      </c>
      <c r="V193" t="s">
        <v>166</v>
      </c>
    </row>
    <row r="194" spans="9:22" x14ac:dyDescent="0.45">
      <c r="I194" t="s">
        <v>192</v>
      </c>
      <c r="J194" t="s">
        <v>408</v>
      </c>
      <c r="K194">
        <v>0.2664288060713445</v>
      </c>
      <c r="L194" t="s">
        <v>166</v>
      </c>
      <c r="N194" t="s">
        <v>216</v>
      </c>
      <c r="O194" t="s">
        <v>408</v>
      </c>
      <c r="P194">
        <v>0.11541957847037226</v>
      </c>
      <c r="Q194" t="s">
        <v>166</v>
      </c>
      <c r="S194" t="s">
        <v>233</v>
      </c>
      <c r="T194" t="s">
        <v>408</v>
      </c>
      <c r="U194">
        <v>9.1869889756616613E-2</v>
      </c>
      <c r="V194" t="s">
        <v>166</v>
      </c>
    </row>
    <row r="195" spans="9:22" x14ac:dyDescent="0.45">
      <c r="I195" t="s">
        <v>192</v>
      </c>
      <c r="J195" t="s">
        <v>409</v>
      </c>
      <c r="K195">
        <v>6.4407683541589167E-4</v>
      </c>
      <c r="L195" t="s">
        <v>166</v>
      </c>
      <c r="N195" t="s">
        <v>216</v>
      </c>
      <c r="O195" t="s">
        <v>409</v>
      </c>
      <c r="P195">
        <v>0.12721899500213313</v>
      </c>
      <c r="Q195" t="s">
        <v>166</v>
      </c>
      <c r="S195" t="s">
        <v>233</v>
      </c>
      <c r="T195" t="s">
        <v>409</v>
      </c>
      <c r="U195">
        <v>0.11945071832345457</v>
      </c>
      <c r="V195" t="s">
        <v>166</v>
      </c>
    </row>
    <row r="196" spans="9:22" x14ac:dyDescent="0.45">
      <c r="I196" t="s">
        <v>192</v>
      </c>
      <c r="J196" t="s">
        <v>410</v>
      </c>
      <c r="K196">
        <v>3.6084828823732339E-2</v>
      </c>
      <c r="L196" t="s">
        <v>166</v>
      </c>
      <c r="N196" t="s">
        <v>216</v>
      </c>
      <c r="O196" t="s">
        <v>410</v>
      </c>
      <c r="P196">
        <v>2.8358152250476967E-2</v>
      </c>
      <c r="Q196" t="s">
        <v>166</v>
      </c>
      <c r="S196" t="s">
        <v>233</v>
      </c>
      <c r="T196" t="s">
        <v>410</v>
      </c>
      <c r="U196">
        <v>1.5106431699434906E-2</v>
      </c>
      <c r="V196" t="s">
        <v>166</v>
      </c>
    </row>
    <row r="197" spans="9:22" x14ac:dyDescent="0.45">
      <c r="I197" t="s">
        <v>192</v>
      </c>
      <c r="J197" t="s">
        <v>411</v>
      </c>
      <c r="K197">
        <v>0.23975506769346921</v>
      </c>
      <c r="L197" t="s">
        <v>166</v>
      </c>
      <c r="N197" t="s">
        <v>216</v>
      </c>
      <c r="O197" t="s">
        <v>411</v>
      </c>
      <c r="P197">
        <v>5.2201796022071437E-2</v>
      </c>
      <c r="Q197" t="s">
        <v>166</v>
      </c>
      <c r="S197" t="s">
        <v>233</v>
      </c>
      <c r="T197" t="s">
        <v>411</v>
      </c>
      <c r="U197">
        <v>6.379115320593802E-2</v>
      </c>
      <c r="V197" t="s">
        <v>166</v>
      </c>
    </row>
    <row r="198" spans="9:22" x14ac:dyDescent="0.45">
      <c r="I198" t="s">
        <v>192</v>
      </c>
      <c r="J198" t="s">
        <v>412</v>
      </c>
      <c r="K198">
        <v>3.7473085140525787E-3</v>
      </c>
      <c r="L198" t="s">
        <v>166</v>
      </c>
      <c r="N198" t="s">
        <v>216</v>
      </c>
      <c r="O198" t="s">
        <v>412</v>
      </c>
      <c r="P198">
        <v>6.2364382671760685E-2</v>
      </c>
      <c r="Q198" t="s">
        <v>166</v>
      </c>
      <c r="S198" t="s">
        <v>233</v>
      </c>
      <c r="T198" t="s">
        <v>412</v>
      </c>
      <c r="U198">
        <v>8.0294853690073179E-2</v>
      </c>
      <c r="V198" t="s">
        <v>166</v>
      </c>
    </row>
    <row r="199" spans="9:22" x14ac:dyDescent="0.45">
      <c r="I199" t="s">
        <v>192</v>
      </c>
      <c r="J199" t="s">
        <v>413</v>
      </c>
      <c r="K199">
        <v>2.6252370794711783E-2</v>
      </c>
      <c r="L199" t="s">
        <v>166</v>
      </c>
      <c r="N199" t="s">
        <v>216</v>
      </c>
      <c r="O199" t="s">
        <v>413</v>
      </c>
      <c r="P199">
        <v>1.3086864384644802E-2</v>
      </c>
      <c r="Q199" t="s">
        <v>166</v>
      </c>
      <c r="S199" t="s">
        <v>233</v>
      </c>
      <c r="T199" t="s">
        <v>413</v>
      </c>
      <c r="U199">
        <v>1.0158874831293857E-2</v>
      </c>
      <c r="V199" t="s">
        <v>166</v>
      </c>
    </row>
    <row r="200" spans="9:22" x14ac:dyDescent="0.45">
      <c r="I200" t="s">
        <v>192</v>
      </c>
      <c r="J200" t="s">
        <v>414</v>
      </c>
      <c r="K200">
        <v>0.1802426433161739</v>
      </c>
      <c r="L200" t="s">
        <v>166</v>
      </c>
      <c r="N200" t="s">
        <v>216</v>
      </c>
      <c r="O200" t="s">
        <v>414</v>
      </c>
      <c r="P200">
        <v>0.14951430634461427</v>
      </c>
      <c r="Q200" t="s">
        <v>166</v>
      </c>
      <c r="S200" t="s">
        <v>233</v>
      </c>
      <c r="T200" t="s">
        <v>414</v>
      </c>
      <c r="U200">
        <v>0.14621898040954898</v>
      </c>
      <c r="V200" t="s">
        <v>166</v>
      </c>
    </row>
    <row r="201" spans="9:22" x14ac:dyDescent="0.45">
      <c r="I201" t="s">
        <v>192</v>
      </c>
      <c r="J201" t="s">
        <v>415</v>
      </c>
      <c r="K201">
        <v>0</v>
      </c>
      <c r="L201" t="s">
        <v>166</v>
      </c>
      <c r="N201" t="s">
        <v>216</v>
      </c>
      <c r="O201" t="s">
        <v>415</v>
      </c>
      <c r="P201">
        <v>0.12909271688164095</v>
      </c>
      <c r="Q201" t="s">
        <v>166</v>
      </c>
      <c r="S201" t="s">
        <v>233</v>
      </c>
      <c r="T201" t="s">
        <v>415</v>
      </c>
      <c r="U201">
        <v>0.14110861909494599</v>
      </c>
      <c r="V201" t="s">
        <v>166</v>
      </c>
    </row>
    <row r="202" spans="9:22" x14ac:dyDescent="0.45">
      <c r="I202" t="s">
        <v>192</v>
      </c>
      <c r="J202" t="s">
        <v>416</v>
      </c>
      <c r="K202">
        <v>1.6744400353842386E-2</v>
      </c>
      <c r="L202" t="s">
        <v>166</v>
      </c>
      <c r="N202" t="s">
        <v>216</v>
      </c>
      <c r="O202" t="s">
        <v>416</v>
      </c>
      <c r="P202">
        <v>2.3942376046257468E-2</v>
      </c>
      <c r="Q202" t="s">
        <v>166</v>
      </c>
      <c r="S202" t="s">
        <v>233</v>
      </c>
      <c r="T202" t="s">
        <v>416</v>
      </c>
      <c r="U202">
        <v>2.0686036233448998E-2</v>
      </c>
      <c r="V202" t="s">
        <v>166</v>
      </c>
    </row>
    <row r="203" spans="9:22" x14ac:dyDescent="0.45">
      <c r="I203" t="s">
        <v>193</v>
      </c>
      <c r="J203" t="s">
        <v>405</v>
      </c>
      <c r="K203">
        <v>0.20436165983399687</v>
      </c>
      <c r="L203" t="s">
        <v>166</v>
      </c>
      <c r="N203" t="s">
        <v>217</v>
      </c>
      <c r="O203" t="s">
        <v>405</v>
      </c>
      <c r="P203">
        <v>0.13212778819062668</v>
      </c>
      <c r="Q203" t="s">
        <v>166</v>
      </c>
      <c r="S203" t="s">
        <v>234</v>
      </c>
      <c r="T203" t="s">
        <v>405</v>
      </c>
      <c r="U203">
        <v>0.14032843976568718</v>
      </c>
      <c r="V203" t="s">
        <v>166</v>
      </c>
    </row>
    <row r="204" spans="9:22" x14ac:dyDescent="0.45">
      <c r="I204" t="s">
        <v>193</v>
      </c>
      <c r="J204" t="s">
        <v>406</v>
      </c>
      <c r="K204">
        <v>0</v>
      </c>
      <c r="L204" t="s">
        <v>166</v>
      </c>
      <c r="N204" t="s">
        <v>217</v>
      </c>
      <c r="O204" t="s">
        <v>406</v>
      </c>
      <c r="P204">
        <v>0.12799415679940906</v>
      </c>
      <c r="Q204" t="s">
        <v>166</v>
      </c>
      <c r="S204" t="s">
        <v>234</v>
      </c>
      <c r="T204" t="s">
        <v>406</v>
      </c>
      <c r="U204">
        <v>0.13498484699840124</v>
      </c>
      <c r="V204" t="s">
        <v>166</v>
      </c>
    </row>
    <row r="205" spans="9:22" x14ac:dyDescent="0.45">
      <c r="I205" t="s">
        <v>193</v>
      </c>
      <c r="J205" t="s">
        <v>407</v>
      </c>
      <c r="K205">
        <v>1.890131936847108E-2</v>
      </c>
      <c r="L205" t="s">
        <v>166</v>
      </c>
      <c r="N205" t="s">
        <v>217</v>
      </c>
      <c r="O205" t="s">
        <v>407</v>
      </c>
      <c r="P205">
        <v>2.2766271862997456E-2</v>
      </c>
      <c r="Q205" t="s">
        <v>166</v>
      </c>
      <c r="S205" t="s">
        <v>234</v>
      </c>
      <c r="T205" t="s">
        <v>407</v>
      </c>
      <c r="U205">
        <v>2.4614301725336671E-2</v>
      </c>
      <c r="V205" t="s">
        <v>166</v>
      </c>
    </row>
    <row r="206" spans="9:22" x14ac:dyDescent="0.45">
      <c r="I206" t="s">
        <v>193</v>
      </c>
      <c r="J206" t="s">
        <v>408</v>
      </c>
      <c r="K206">
        <v>0.27481272098693665</v>
      </c>
      <c r="L206" t="s">
        <v>166</v>
      </c>
      <c r="N206" t="s">
        <v>217</v>
      </c>
      <c r="O206" t="s">
        <v>408</v>
      </c>
      <c r="P206">
        <v>8.2833504737036434E-2</v>
      </c>
      <c r="Q206" t="s">
        <v>166</v>
      </c>
      <c r="S206" t="s">
        <v>234</v>
      </c>
      <c r="T206" t="s">
        <v>408</v>
      </c>
      <c r="U206">
        <v>0.10557329151363908</v>
      </c>
      <c r="V206" t="s">
        <v>166</v>
      </c>
    </row>
    <row r="207" spans="9:22" x14ac:dyDescent="0.45">
      <c r="I207" t="s">
        <v>193</v>
      </c>
      <c r="J207" t="s">
        <v>409</v>
      </c>
      <c r="K207">
        <v>1.064200134811664E-3</v>
      </c>
      <c r="L207" t="s">
        <v>166</v>
      </c>
      <c r="N207" t="s">
        <v>217</v>
      </c>
      <c r="O207" t="s">
        <v>409</v>
      </c>
      <c r="P207">
        <v>0.1252983237054838</v>
      </c>
      <c r="Q207" t="s">
        <v>166</v>
      </c>
      <c r="S207" t="s">
        <v>234</v>
      </c>
      <c r="T207" t="s">
        <v>409</v>
      </c>
      <c r="U207">
        <v>0.13173743190747067</v>
      </c>
      <c r="V207" t="s">
        <v>166</v>
      </c>
    </row>
    <row r="208" spans="9:22" x14ac:dyDescent="0.45">
      <c r="I208" t="s">
        <v>193</v>
      </c>
      <c r="J208" t="s">
        <v>410</v>
      </c>
      <c r="K208">
        <v>3.6170156886283486E-2</v>
      </c>
      <c r="L208" t="s">
        <v>166</v>
      </c>
      <c r="N208" t="s">
        <v>217</v>
      </c>
      <c r="O208" t="s">
        <v>410</v>
      </c>
      <c r="P208">
        <v>2.5833320291001497E-2</v>
      </c>
      <c r="Q208" t="s">
        <v>166</v>
      </c>
      <c r="S208" t="s">
        <v>234</v>
      </c>
      <c r="T208" t="s">
        <v>410</v>
      </c>
      <c r="U208">
        <v>2.1138544819610347E-2</v>
      </c>
      <c r="V208" t="s">
        <v>166</v>
      </c>
    </row>
    <row r="209" spans="9:22" x14ac:dyDescent="0.45">
      <c r="I209" t="s">
        <v>193</v>
      </c>
      <c r="J209" t="s">
        <v>411</v>
      </c>
      <c r="K209">
        <v>0.20573926554580416</v>
      </c>
      <c r="L209" t="s">
        <v>166</v>
      </c>
      <c r="N209" t="s">
        <v>217</v>
      </c>
      <c r="O209" t="s">
        <v>411</v>
      </c>
      <c r="P209">
        <v>8.7750585321779248E-2</v>
      </c>
      <c r="Q209" t="s">
        <v>166</v>
      </c>
      <c r="S209" t="s">
        <v>234</v>
      </c>
      <c r="T209" t="s">
        <v>411</v>
      </c>
      <c r="U209">
        <v>5.6327807101881212E-2</v>
      </c>
      <c r="V209" t="s">
        <v>166</v>
      </c>
    </row>
    <row r="210" spans="9:22" x14ac:dyDescent="0.45">
      <c r="I210" t="s">
        <v>193</v>
      </c>
      <c r="J210" t="s">
        <v>412</v>
      </c>
      <c r="K210">
        <v>3.2199509391197699E-3</v>
      </c>
      <c r="L210" t="s">
        <v>166</v>
      </c>
      <c r="N210" t="s">
        <v>217</v>
      </c>
      <c r="O210" t="s">
        <v>412</v>
      </c>
      <c r="P210">
        <v>9.4030151398139486E-2</v>
      </c>
      <c r="Q210" t="s">
        <v>166</v>
      </c>
      <c r="S210" t="s">
        <v>234</v>
      </c>
      <c r="T210" t="s">
        <v>412</v>
      </c>
      <c r="U210">
        <v>7.5335119269407461E-2</v>
      </c>
      <c r="V210" t="s">
        <v>166</v>
      </c>
    </row>
    <row r="211" spans="9:22" x14ac:dyDescent="0.45">
      <c r="I211" t="s">
        <v>193</v>
      </c>
      <c r="J211" t="s">
        <v>413</v>
      </c>
      <c r="K211">
        <v>2.3182338425390567E-2</v>
      </c>
      <c r="L211" t="s">
        <v>166</v>
      </c>
      <c r="N211" t="s">
        <v>217</v>
      </c>
      <c r="O211" t="s">
        <v>413</v>
      </c>
      <c r="P211">
        <v>1.7332833572717494E-2</v>
      </c>
      <c r="Q211" t="s">
        <v>166</v>
      </c>
      <c r="S211" t="s">
        <v>234</v>
      </c>
      <c r="T211" t="s">
        <v>413</v>
      </c>
      <c r="U211">
        <v>1.1220287190374803E-2</v>
      </c>
      <c r="V211" t="s">
        <v>166</v>
      </c>
    </row>
    <row r="212" spans="9:22" x14ac:dyDescent="0.45">
      <c r="I212" t="s">
        <v>193</v>
      </c>
      <c r="J212" t="s">
        <v>414</v>
      </c>
      <c r="K212">
        <v>0.21010807308256682</v>
      </c>
      <c r="L212" t="s">
        <v>166</v>
      </c>
      <c r="N212" t="s">
        <v>217</v>
      </c>
      <c r="O212" t="s">
        <v>414</v>
      </c>
      <c r="P212">
        <v>0.13549640109756655</v>
      </c>
      <c r="Q212" t="s">
        <v>166</v>
      </c>
      <c r="S212" t="s">
        <v>234</v>
      </c>
      <c r="T212" t="s">
        <v>414</v>
      </c>
      <c r="U212">
        <v>0.14344030756269033</v>
      </c>
      <c r="V212" t="s">
        <v>166</v>
      </c>
    </row>
    <row r="213" spans="9:22" x14ac:dyDescent="0.45">
      <c r="I213" t="s">
        <v>193</v>
      </c>
      <c r="J213" t="s">
        <v>415</v>
      </c>
      <c r="K213">
        <v>0</v>
      </c>
      <c r="L213" t="s">
        <v>166</v>
      </c>
      <c r="N213" t="s">
        <v>217</v>
      </c>
      <c r="O213" t="s">
        <v>415</v>
      </c>
      <c r="P213">
        <v>0.12583264217003856</v>
      </c>
      <c r="Q213" t="s">
        <v>166</v>
      </c>
      <c r="S213" t="s">
        <v>234</v>
      </c>
      <c r="T213" t="s">
        <v>415</v>
      </c>
      <c r="U213">
        <v>0.13420657563177626</v>
      </c>
      <c r="V213" t="s">
        <v>166</v>
      </c>
    </row>
    <row r="214" spans="9:22" x14ac:dyDescent="0.45">
      <c r="I214" t="s">
        <v>193</v>
      </c>
      <c r="J214" t="s">
        <v>416</v>
      </c>
      <c r="K214">
        <v>2.2440314796617719E-2</v>
      </c>
      <c r="L214" t="s">
        <v>166</v>
      </c>
      <c r="N214" t="s">
        <v>217</v>
      </c>
      <c r="O214" t="s">
        <v>416</v>
      </c>
      <c r="P214">
        <v>2.2704020853202771E-2</v>
      </c>
      <c r="Q214" t="s">
        <v>166</v>
      </c>
      <c r="S214" t="s">
        <v>234</v>
      </c>
      <c r="T214" t="s">
        <v>416</v>
      </c>
      <c r="U214">
        <v>2.1093046513727953E-2</v>
      </c>
      <c r="V214" t="s">
        <v>166</v>
      </c>
    </row>
    <row r="215" spans="9:22" x14ac:dyDescent="0.45">
      <c r="I215" t="s">
        <v>194</v>
      </c>
      <c r="J215" t="s">
        <v>405</v>
      </c>
      <c r="K215">
        <v>0.21498671101930333</v>
      </c>
      <c r="L215" t="s">
        <v>166</v>
      </c>
      <c r="S215" t="s">
        <v>235</v>
      </c>
      <c r="T215" t="s">
        <v>405</v>
      </c>
      <c r="U215">
        <v>0.11312144507559263</v>
      </c>
      <c r="V215" t="s">
        <v>166</v>
      </c>
    </row>
    <row r="216" spans="9:22" x14ac:dyDescent="0.45">
      <c r="I216" t="s">
        <v>194</v>
      </c>
      <c r="J216" t="s">
        <v>406</v>
      </c>
      <c r="K216">
        <v>0</v>
      </c>
      <c r="L216" t="s">
        <v>166</v>
      </c>
      <c r="S216" t="s">
        <v>235</v>
      </c>
      <c r="T216" t="s">
        <v>406</v>
      </c>
      <c r="U216">
        <v>0.10679419710297849</v>
      </c>
      <c r="V216" t="s">
        <v>166</v>
      </c>
    </row>
    <row r="217" spans="9:22" x14ac:dyDescent="0.45">
      <c r="I217" t="s">
        <v>194</v>
      </c>
      <c r="J217" t="s">
        <v>407</v>
      </c>
      <c r="K217">
        <v>2.0589499099422724E-2</v>
      </c>
      <c r="L217" t="s">
        <v>166</v>
      </c>
      <c r="S217" t="s">
        <v>235</v>
      </c>
      <c r="T217" t="s">
        <v>407</v>
      </c>
      <c r="U217">
        <v>1.7434484493878279E-2</v>
      </c>
      <c r="V217" t="s">
        <v>166</v>
      </c>
    </row>
    <row r="218" spans="9:22" x14ac:dyDescent="0.45">
      <c r="I218" t="s">
        <v>194</v>
      </c>
      <c r="J218" t="s">
        <v>408</v>
      </c>
      <c r="K218">
        <v>0.27300639037116814</v>
      </c>
      <c r="L218" t="s">
        <v>166</v>
      </c>
      <c r="S218" t="s">
        <v>235</v>
      </c>
      <c r="T218" t="s">
        <v>408</v>
      </c>
      <c r="U218">
        <v>0.10639584073676964</v>
      </c>
      <c r="V218" t="s">
        <v>166</v>
      </c>
    </row>
    <row r="219" spans="9:22" x14ac:dyDescent="0.45">
      <c r="I219" t="s">
        <v>194</v>
      </c>
      <c r="J219" t="s">
        <v>409</v>
      </c>
      <c r="K219">
        <v>2.0145548048604105E-3</v>
      </c>
      <c r="L219" t="s">
        <v>166</v>
      </c>
      <c r="S219" t="s">
        <v>235</v>
      </c>
      <c r="T219" t="s">
        <v>409</v>
      </c>
      <c r="U219">
        <v>0.15743970539823504</v>
      </c>
      <c r="V219" t="s">
        <v>166</v>
      </c>
    </row>
    <row r="220" spans="9:22" x14ac:dyDescent="0.45">
      <c r="I220" t="s">
        <v>194</v>
      </c>
      <c r="J220" t="s">
        <v>410</v>
      </c>
      <c r="K220">
        <v>3.7825628465353194E-2</v>
      </c>
      <c r="L220" t="s">
        <v>166</v>
      </c>
      <c r="S220" t="s">
        <v>235</v>
      </c>
      <c r="T220" t="s">
        <v>410</v>
      </c>
      <c r="U220">
        <v>2.0872030612474418E-2</v>
      </c>
      <c r="V220" t="s">
        <v>166</v>
      </c>
    </row>
    <row r="221" spans="9:22" x14ac:dyDescent="0.45">
      <c r="I221" t="s">
        <v>194</v>
      </c>
      <c r="J221" t="s">
        <v>411</v>
      </c>
      <c r="K221">
        <v>0.21056186820307496</v>
      </c>
      <c r="L221" t="s">
        <v>166</v>
      </c>
      <c r="S221" t="s">
        <v>235</v>
      </c>
      <c r="T221" t="s">
        <v>411</v>
      </c>
      <c r="U221">
        <v>8.8025077276020811E-2</v>
      </c>
      <c r="V221" t="s">
        <v>166</v>
      </c>
    </row>
    <row r="222" spans="9:22" x14ac:dyDescent="0.45">
      <c r="I222" t="s">
        <v>194</v>
      </c>
      <c r="J222" t="s">
        <v>412</v>
      </c>
      <c r="K222">
        <v>4.2820559217955677E-3</v>
      </c>
      <c r="L222" t="s">
        <v>166</v>
      </c>
      <c r="S222" t="s">
        <v>235</v>
      </c>
      <c r="T222" t="s">
        <v>412</v>
      </c>
      <c r="U222">
        <v>0.13273315574081099</v>
      </c>
      <c r="V222" t="s">
        <v>166</v>
      </c>
    </row>
    <row r="223" spans="9:22" x14ac:dyDescent="0.45">
      <c r="I223" t="s">
        <v>194</v>
      </c>
      <c r="J223" t="s">
        <v>413</v>
      </c>
      <c r="K223">
        <v>2.7095225631933662E-2</v>
      </c>
      <c r="L223" t="s">
        <v>166</v>
      </c>
      <c r="S223" t="s">
        <v>235</v>
      </c>
      <c r="T223" t="s">
        <v>413</v>
      </c>
      <c r="U223">
        <v>1.4218653765007765E-2</v>
      </c>
      <c r="V223" t="s">
        <v>166</v>
      </c>
    </row>
    <row r="224" spans="9:22" x14ac:dyDescent="0.45">
      <c r="I224" t="s">
        <v>194</v>
      </c>
      <c r="J224" t="s">
        <v>414</v>
      </c>
      <c r="K224">
        <v>0.18921966600414769</v>
      </c>
      <c r="L224" t="s">
        <v>166</v>
      </c>
      <c r="S224" t="s">
        <v>235</v>
      </c>
      <c r="T224" t="s">
        <v>414</v>
      </c>
      <c r="U224">
        <v>0.11359725060592006</v>
      </c>
      <c r="V224" t="s">
        <v>166</v>
      </c>
    </row>
    <row r="225" spans="9:22" x14ac:dyDescent="0.45">
      <c r="I225" t="s">
        <v>194</v>
      </c>
      <c r="J225" t="s">
        <v>415</v>
      </c>
      <c r="K225">
        <v>0</v>
      </c>
      <c r="L225" t="s">
        <v>166</v>
      </c>
      <c r="S225" t="s">
        <v>235</v>
      </c>
      <c r="T225" t="s">
        <v>415</v>
      </c>
      <c r="U225">
        <v>0.11216856426978984</v>
      </c>
      <c r="V225" t="s">
        <v>166</v>
      </c>
    </row>
    <row r="226" spans="9:22" x14ac:dyDescent="0.45">
      <c r="I226" t="s">
        <v>194</v>
      </c>
      <c r="J226" t="s">
        <v>416</v>
      </c>
      <c r="K226">
        <v>2.0418400478938139E-2</v>
      </c>
      <c r="L226" t="s">
        <v>166</v>
      </c>
      <c r="S226" t="s">
        <v>235</v>
      </c>
      <c r="T226" t="s">
        <v>416</v>
      </c>
      <c r="U226">
        <v>1.719959492252103E-2</v>
      </c>
      <c r="V226" t="s">
        <v>166</v>
      </c>
    </row>
    <row r="227" spans="9:22" x14ac:dyDescent="0.45">
      <c r="I227" t="s">
        <v>195</v>
      </c>
      <c r="J227" t="s">
        <v>405</v>
      </c>
      <c r="K227">
        <v>0.20903225663586605</v>
      </c>
      <c r="L227" t="s">
        <v>166</v>
      </c>
      <c r="S227" t="s">
        <v>236</v>
      </c>
      <c r="T227" t="s">
        <v>405</v>
      </c>
      <c r="U227">
        <v>0.12212895532204701</v>
      </c>
      <c r="V227" t="s">
        <v>166</v>
      </c>
    </row>
    <row r="228" spans="9:22" x14ac:dyDescent="0.45">
      <c r="I228" t="s">
        <v>195</v>
      </c>
      <c r="J228" t="s">
        <v>406</v>
      </c>
      <c r="K228">
        <v>0</v>
      </c>
      <c r="L228" t="s">
        <v>166</v>
      </c>
      <c r="S228" t="s">
        <v>236</v>
      </c>
      <c r="T228" t="s">
        <v>406</v>
      </c>
      <c r="U228">
        <v>0.1147393349080686</v>
      </c>
      <c r="V228" t="s">
        <v>166</v>
      </c>
    </row>
    <row r="229" spans="9:22" x14ac:dyDescent="0.45">
      <c r="I229" t="s">
        <v>195</v>
      </c>
      <c r="J229" t="s">
        <v>407</v>
      </c>
      <c r="K229">
        <v>1.563351172931431E-2</v>
      </c>
      <c r="L229" t="s">
        <v>166</v>
      </c>
      <c r="S229" t="s">
        <v>236</v>
      </c>
      <c r="T229" t="s">
        <v>407</v>
      </c>
      <c r="U229">
        <v>1.7573267743406423E-2</v>
      </c>
      <c r="V229" t="s">
        <v>166</v>
      </c>
    </row>
    <row r="230" spans="9:22" x14ac:dyDescent="0.45">
      <c r="I230" t="s">
        <v>195</v>
      </c>
      <c r="J230" t="s">
        <v>408</v>
      </c>
      <c r="K230">
        <v>0.26012490522377241</v>
      </c>
      <c r="L230" t="s">
        <v>166</v>
      </c>
      <c r="S230" t="s">
        <v>236</v>
      </c>
      <c r="T230" t="s">
        <v>408</v>
      </c>
      <c r="U230">
        <v>0.11903021811266928</v>
      </c>
      <c r="V230" t="s">
        <v>166</v>
      </c>
    </row>
    <row r="231" spans="9:22" x14ac:dyDescent="0.45">
      <c r="I231" t="s">
        <v>195</v>
      </c>
      <c r="J231" t="s">
        <v>409</v>
      </c>
      <c r="K231">
        <v>0</v>
      </c>
      <c r="L231" t="s">
        <v>166</v>
      </c>
      <c r="S231" t="s">
        <v>236</v>
      </c>
      <c r="T231" t="s">
        <v>409</v>
      </c>
      <c r="U231">
        <v>0.13668102690850331</v>
      </c>
      <c r="V231" t="s">
        <v>166</v>
      </c>
    </row>
    <row r="232" spans="9:22" x14ac:dyDescent="0.45">
      <c r="I232" t="s">
        <v>195</v>
      </c>
      <c r="J232" t="s">
        <v>410</v>
      </c>
      <c r="K232">
        <v>2.8937123543209615E-2</v>
      </c>
      <c r="L232" t="s">
        <v>166</v>
      </c>
      <c r="S232" t="s">
        <v>236</v>
      </c>
      <c r="T232" t="s">
        <v>410</v>
      </c>
      <c r="U232">
        <v>1.8534121517803252E-2</v>
      </c>
      <c r="V232" t="s">
        <v>166</v>
      </c>
    </row>
    <row r="233" spans="9:22" x14ac:dyDescent="0.45">
      <c r="I233" t="s">
        <v>195</v>
      </c>
      <c r="J233" t="s">
        <v>411</v>
      </c>
      <c r="K233">
        <v>0.26211406557608169</v>
      </c>
      <c r="L233" t="s">
        <v>166</v>
      </c>
      <c r="S233" t="s">
        <v>236</v>
      </c>
      <c r="T233" t="s">
        <v>411</v>
      </c>
      <c r="U233">
        <v>9.8650776313266908E-2</v>
      </c>
      <c r="V233" t="s">
        <v>166</v>
      </c>
    </row>
    <row r="234" spans="9:22" x14ac:dyDescent="0.45">
      <c r="I234" t="s">
        <v>195</v>
      </c>
      <c r="J234" t="s">
        <v>412</v>
      </c>
      <c r="K234">
        <v>2.3494130697093905E-3</v>
      </c>
      <c r="L234" t="s">
        <v>166</v>
      </c>
      <c r="S234" t="s">
        <v>236</v>
      </c>
      <c r="T234" t="s">
        <v>412</v>
      </c>
      <c r="U234">
        <v>0.12026034900392434</v>
      </c>
      <c r="V234" t="s">
        <v>166</v>
      </c>
    </row>
    <row r="235" spans="9:22" x14ac:dyDescent="0.45">
      <c r="I235" t="s">
        <v>195</v>
      </c>
      <c r="J235" t="s">
        <v>413</v>
      </c>
      <c r="K235">
        <v>2.5861112266844628E-2</v>
      </c>
      <c r="L235" t="s">
        <v>166</v>
      </c>
      <c r="S235" t="s">
        <v>236</v>
      </c>
      <c r="T235" t="s">
        <v>413</v>
      </c>
      <c r="U235">
        <v>1.443557263967872E-2</v>
      </c>
      <c r="V235" t="s">
        <v>166</v>
      </c>
    </row>
    <row r="236" spans="9:22" x14ac:dyDescent="0.45">
      <c r="I236" t="s">
        <v>195</v>
      </c>
      <c r="J236" t="s">
        <v>414</v>
      </c>
      <c r="K236">
        <v>0.18212705466125048</v>
      </c>
      <c r="L236" t="s">
        <v>166</v>
      </c>
      <c r="S236" t="s">
        <v>236</v>
      </c>
      <c r="T236" t="s">
        <v>414</v>
      </c>
      <c r="U236">
        <v>0.11291088129822791</v>
      </c>
      <c r="V236" t="s">
        <v>166</v>
      </c>
    </row>
    <row r="237" spans="9:22" x14ac:dyDescent="0.45">
      <c r="I237" t="s">
        <v>195</v>
      </c>
      <c r="J237" t="s">
        <v>415</v>
      </c>
      <c r="K237">
        <v>0</v>
      </c>
      <c r="L237" t="s">
        <v>166</v>
      </c>
      <c r="S237" t="s">
        <v>236</v>
      </c>
      <c r="T237" t="s">
        <v>415</v>
      </c>
      <c r="U237">
        <v>0.10841760475745042</v>
      </c>
      <c r="V237" t="s">
        <v>166</v>
      </c>
    </row>
    <row r="238" spans="9:22" x14ac:dyDescent="0.45">
      <c r="I238" t="s">
        <v>195</v>
      </c>
      <c r="J238" t="s">
        <v>416</v>
      </c>
      <c r="K238">
        <v>1.3820557293953036E-2</v>
      </c>
      <c r="L238" t="s">
        <v>166</v>
      </c>
      <c r="S238" t="s">
        <v>236</v>
      </c>
      <c r="T238" t="s">
        <v>416</v>
      </c>
      <c r="U238">
        <v>1.663789147495167E-2</v>
      </c>
      <c r="V238" t="s">
        <v>166</v>
      </c>
    </row>
    <row r="239" spans="9:22" x14ac:dyDescent="0.45">
      <c r="I239" t="s">
        <v>196</v>
      </c>
      <c r="J239" t="s">
        <v>405</v>
      </c>
      <c r="K239">
        <v>0.18968004622151288</v>
      </c>
      <c r="L239" t="s">
        <v>166</v>
      </c>
      <c r="S239" t="s">
        <v>237</v>
      </c>
      <c r="T239" t="s">
        <v>405</v>
      </c>
      <c r="U239">
        <v>0.1380559180059871</v>
      </c>
      <c r="V239" t="s">
        <v>166</v>
      </c>
    </row>
    <row r="240" spans="9:22" x14ac:dyDescent="0.45">
      <c r="I240" t="s">
        <v>196</v>
      </c>
      <c r="J240" t="s">
        <v>406</v>
      </c>
      <c r="K240">
        <v>0</v>
      </c>
      <c r="L240" t="s">
        <v>166</v>
      </c>
      <c r="S240" t="s">
        <v>237</v>
      </c>
      <c r="T240" t="s">
        <v>406</v>
      </c>
      <c r="U240">
        <v>0.12905985979813522</v>
      </c>
      <c r="V240" t="s">
        <v>166</v>
      </c>
    </row>
    <row r="241" spans="9:22" x14ac:dyDescent="0.45">
      <c r="I241" t="s">
        <v>196</v>
      </c>
      <c r="J241" t="s">
        <v>407</v>
      </c>
      <c r="K241">
        <v>1.454024358513244E-2</v>
      </c>
      <c r="L241" t="s">
        <v>166</v>
      </c>
      <c r="S241" t="s">
        <v>237</v>
      </c>
      <c r="T241" t="s">
        <v>407</v>
      </c>
      <c r="U241">
        <v>1.8726110690212506E-2</v>
      </c>
      <c r="V241" t="s">
        <v>166</v>
      </c>
    </row>
    <row r="242" spans="9:22" x14ac:dyDescent="0.45">
      <c r="I242" t="s">
        <v>196</v>
      </c>
      <c r="J242" t="s">
        <v>408</v>
      </c>
      <c r="K242">
        <v>0.27309587298008647</v>
      </c>
      <c r="L242" t="s">
        <v>166</v>
      </c>
      <c r="S242" t="s">
        <v>237</v>
      </c>
      <c r="T242" t="s">
        <v>408</v>
      </c>
      <c r="U242">
        <v>0.10186394538321319</v>
      </c>
      <c r="V242" t="s">
        <v>166</v>
      </c>
    </row>
    <row r="243" spans="9:22" x14ac:dyDescent="0.45">
      <c r="I243" t="s">
        <v>196</v>
      </c>
      <c r="J243" t="s">
        <v>409</v>
      </c>
      <c r="K243">
        <v>0</v>
      </c>
      <c r="L243" t="s">
        <v>166</v>
      </c>
      <c r="S243" t="s">
        <v>237</v>
      </c>
      <c r="T243" t="s">
        <v>409</v>
      </c>
      <c r="U243">
        <v>0.10584330358207418</v>
      </c>
      <c r="V243" t="s">
        <v>166</v>
      </c>
    </row>
    <row r="244" spans="9:22" x14ac:dyDescent="0.45">
      <c r="I244" t="s">
        <v>196</v>
      </c>
      <c r="J244" t="s">
        <v>410</v>
      </c>
      <c r="K244">
        <v>3.1182792861219961E-2</v>
      </c>
      <c r="L244" t="s">
        <v>166</v>
      </c>
      <c r="S244" t="s">
        <v>237</v>
      </c>
      <c r="T244" t="s">
        <v>410</v>
      </c>
      <c r="U244">
        <v>1.6156599694298321E-2</v>
      </c>
      <c r="V244" t="s">
        <v>166</v>
      </c>
    </row>
    <row r="245" spans="9:22" x14ac:dyDescent="0.45">
      <c r="I245" t="s">
        <v>196</v>
      </c>
      <c r="J245" t="s">
        <v>411</v>
      </c>
      <c r="K245">
        <v>0.25690883866254538</v>
      </c>
      <c r="L245" t="s">
        <v>166</v>
      </c>
      <c r="S245" t="s">
        <v>237</v>
      </c>
      <c r="T245" t="s">
        <v>411</v>
      </c>
      <c r="U245">
        <v>9.950090729501869E-2</v>
      </c>
      <c r="V245" t="s">
        <v>166</v>
      </c>
    </row>
    <row r="246" spans="9:22" x14ac:dyDescent="0.45">
      <c r="I246" t="s">
        <v>196</v>
      </c>
      <c r="J246" t="s">
        <v>412</v>
      </c>
      <c r="K246">
        <v>2.5329340774242711E-3</v>
      </c>
      <c r="L246" t="s">
        <v>166</v>
      </c>
      <c r="S246" t="s">
        <v>237</v>
      </c>
      <c r="T246" t="s">
        <v>412</v>
      </c>
      <c r="U246">
        <v>0.10484449572493251</v>
      </c>
      <c r="V246" t="s">
        <v>166</v>
      </c>
    </row>
    <row r="247" spans="9:22" x14ac:dyDescent="0.45">
      <c r="I247" t="s">
        <v>196</v>
      </c>
      <c r="J247" t="s">
        <v>413</v>
      </c>
      <c r="K247">
        <v>2.6625425091725261E-2</v>
      </c>
      <c r="L247" t="s">
        <v>166</v>
      </c>
      <c r="S247" t="s">
        <v>237</v>
      </c>
      <c r="T247" t="s">
        <v>413</v>
      </c>
      <c r="U247">
        <v>1.5887138132628025E-2</v>
      </c>
      <c r="V247" t="s">
        <v>166</v>
      </c>
    </row>
    <row r="248" spans="9:22" x14ac:dyDescent="0.45">
      <c r="I248" t="s">
        <v>196</v>
      </c>
      <c r="J248" t="s">
        <v>414</v>
      </c>
      <c r="K248">
        <v>0.18911518209042916</v>
      </c>
      <c r="L248" t="s">
        <v>166</v>
      </c>
      <c r="S248" t="s">
        <v>237</v>
      </c>
      <c r="T248" t="s">
        <v>414</v>
      </c>
      <c r="U248">
        <v>0.12649745669148563</v>
      </c>
      <c r="V248" t="s">
        <v>166</v>
      </c>
    </row>
    <row r="249" spans="9:22" x14ac:dyDescent="0.45">
      <c r="I249" t="s">
        <v>196</v>
      </c>
      <c r="J249" t="s">
        <v>415</v>
      </c>
      <c r="K249">
        <v>0</v>
      </c>
      <c r="L249" t="s">
        <v>166</v>
      </c>
      <c r="S249" t="s">
        <v>237</v>
      </c>
      <c r="T249" t="s">
        <v>415</v>
      </c>
      <c r="U249">
        <v>0.12568853611832406</v>
      </c>
      <c r="V249" t="s">
        <v>166</v>
      </c>
    </row>
    <row r="250" spans="9:22" x14ac:dyDescent="0.45">
      <c r="I250" t="s">
        <v>196</v>
      </c>
      <c r="J250" t="s">
        <v>416</v>
      </c>
      <c r="K250">
        <v>1.6318664429925515E-2</v>
      </c>
      <c r="L250" t="s">
        <v>166</v>
      </c>
      <c r="S250" t="s">
        <v>237</v>
      </c>
      <c r="T250" t="s">
        <v>416</v>
      </c>
      <c r="U250">
        <v>1.7875728883689292E-2</v>
      </c>
      <c r="V250" t="s">
        <v>166</v>
      </c>
    </row>
    <row r="251" spans="9:22" x14ac:dyDescent="0.45">
      <c r="I251" t="s">
        <v>197</v>
      </c>
      <c r="J251" t="s">
        <v>405</v>
      </c>
      <c r="K251">
        <v>0.18661377113133837</v>
      </c>
      <c r="L251" t="s">
        <v>166</v>
      </c>
      <c r="S251" t="s">
        <v>238</v>
      </c>
      <c r="T251" t="s">
        <v>405</v>
      </c>
      <c r="U251">
        <v>0.12066625702048164</v>
      </c>
      <c r="V251" t="s">
        <v>166</v>
      </c>
    </row>
    <row r="252" spans="9:22" x14ac:dyDescent="0.45">
      <c r="I252" t="s">
        <v>197</v>
      </c>
      <c r="J252" t="s">
        <v>406</v>
      </c>
      <c r="K252">
        <v>0</v>
      </c>
      <c r="L252" t="s">
        <v>166</v>
      </c>
      <c r="S252" t="s">
        <v>238</v>
      </c>
      <c r="T252" t="s">
        <v>406</v>
      </c>
      <c r="U252">
        <v>0.11561153561034779</v>
      </c>
      <c r="V252" t="s">
        <v>166</v>
      </c>
    </row>
    <row r="253" spans="9:22" x14ac:dyDescent="0.45">
      <c r="I253" t="s">
        <v>197</v>
      </c>
      <c r="J253" t="s">
        <v>407</v>
      </c>
      <c r="K253">
        <v>1.5580148805527168E-2</v>
      </c>
      <c r="L253" t="s">
        <v>166</v>
      </c>
      <c r="S253" t="s">
        <v>238</v>
      </c>
      <c r="T253" t="s">
        <v>407</v>
      </c>
      <c r="U253">
        <v>1.9604520431700967E-2</v>
      </c>
      <c r="V253" t="s">
        <v>166</v>
      </c>
    </row>
    <row r="254" spans="9:22" x14ac:dyDescent="0.45">
      <c r="I254" t="s">
        <v>197</v>
      </c>
      <c r="J254" t="s">
        <v>408</v>
      </c>
      <c r="K254">
        <v>0.27885393781810514</v>
      </c>
      <c r="L254" t="s">
        <v>166</v>
      </c>
      <c r="S254" t="s">
        <v>238</v>
      </c>
      <c r="T254" t="s">
        <v>408</v>
      </c>
      <c r="U254">
        <v>8.1755448724800159E-2</v>
      </c>
      <c r="V254" t="s">
        <v>166</v>
      </c>
    </row>
    <row r="255" spans="9:22" x14ac:dyDescent="0.45">
      <c r="I255" t="s">
        <v>197</v>
      </c>
      <c r="J255" t="s">
        <v>409</v>
      </c>
      <c r="K255">
        <v>5.8492713816708923E-5</v>
      </c>
      <c r="L255" t="s">
        <v>166</v>
      </c>
      <c r="S255" t="s">
        <v>238</v>
      </c>
      <c r="T255" t="s">
        <v>409</v>
      </c>
      <c r="U255">
        <v>0.12085004543487356</v>
      </c>
      <c r="V255" t="s">
        <v>166</v>
      </c>
    </row>
    <row r="256" spans="9:22" x14ac:dyDescent="0.45">
      <c r="I256" t="s">
        <v>197</v>
      </c>
      <c r="J256" t="s">
        <v>410</v>
      </c>
      <c r="K256">
        <v>3.1531038659553985E-2</v>
      </c>
      <c r="L256" t="s">
        <v>166</v>
      </c>
      <c r="S256" t="s">
        <v>238</v>
      </c>
      <c r="T256" t="s">
        <v>410</v>
      </c>
      <c r="U256">
        <v>2.1431865351029453E-2</v>
      </c>
      <c r="V256" t="s">
        <v>166</v>
      </c>
    </row>
    <row r="257" spans="9:22" x14ac:dyDescent="0.45">
      <c r="I257" t="s">
        <v>197</v>
      </c>
      <c r="J257" t="s">
        <v>411</v>
      </c>
      <c r="K257">
        <v>0.24048102635043048</v>
      </c>
      <c r="L257" t="s">
        <v>166</v>
      </c>
      <c r="S257" t="s">
        <v>238</v>
      </c>
      <c r="T257" t="s">
        <v>411</v>
      </c>
      <c r="U257">
        <v>0.10896741686084195</v>
      </c>
      <c r="V257" t="s">
        <v>166</v>
      </c>
    </row>
    <row r="258" spans="9:22" x14ac:dyDescent="0.45">
      <c r="I258" t="s">
        <v>197</v>
      </c>
      <c r="J258" t="s">
        <v>412</v>
      </c>
      <c r="K258">
        <v>2.9810686892036346E-3</v>
      </c>
      <c r="L258" t="s">
        <v>166</v>
      </c>
      <c r="S258" t="s">
        <v>238</v>
      </c>
      <c r="T258" t="s">
        <v>412</v>
      </c>
      <c r="U258">
        <v>0.13801868203090112</v>
      </c>
      <c r="V258" t="s">
        <v>166</v>
      </c>
    </row>
    <row r="259" spans="9:22" x14ac:dyDescent="0.45">
      <c r="I259" t="s">
        <v>197</v>
      </c>
      <c r="J259" t="s">
        <v>413</v>
      </c>
      <c r="K259">
        <v>2.1750557122725174E-2</v>
      </c>
      <c r="L259" t="s">
        <v>166</v>
      </c>
      <c r="S259" t="s">
        <v>238</v>
      </c>
      <c r="T259" t="s">
        <v>413</v>
      </c>
      <c r="U259">
        <v>1.8746149237584404E-2</v>
      </c>
      <c r="V259" t="s">
        <v>166</v>
      </c>
    </row>
    <row r="260" spans="9:22" x14ac:dyDescent="0.45">
      <c r="I260" t="s">
        <v>197</v>
      </c>
      <c r="J260" t="s">
        <v>414</v>
      </c>
      <c r="K260">
        <v>0.20259981838254695</v>
      </c>
      <c r="L260" t="s">
        <v>166</v>
      </c>
      <c r="S260" t="s">
        <v>238</v>
      </c>
      <c r="T260" t="s">
        <v>414</v>
      </c>
      <c r="U260">
        <v>0.12513358706191299</v>
      </c>
      <c r="V260" t="s">
        <v>166</v>
      </c>
    </row>
    <row r="261" spans="9:22" x14ac:dyDescent="0.45">
      <c r="I261" t="s">
        <v>197</v>
      </c>
      <c r="J261" t="s">
        <v>415</v>
      </c>
      <c r="K261">
        <v>0</v>
      </c>
      <c r="L261" t="s">
        <v>166</v>
      </c>
      <c r="S261" t="s">
        <v>238</v>
      </c>
      <c r="T261" t="s">
        <v>415</v>
      </c>
      <c r="U261">
        <v>0.11000682001634841</v>
      </c>
      <c r="V261" t="s">
        <v>166</v>
      </c>
    </row>
    <row r="262" spans="9:22" x14ac:dyDescent="0.45">
      <c r="I262" t="s">
        <v>197</v>
      </c>
      <c r="J262" t="s">
        <v>416</v>
      </c>
      <c r="K262">
        <v>1.9550140326755006E-2</v>
      </c>
      <c r="L262" t="s">
        <v>166</v>
      </c>
      <c r="S262" t="s">
        <v>238</v>
      </c>
      <c r="T262" t="s">
        <v>416</v>
      </c>
      <c r="U262">
        <v>1.9207672219178858E-2</v>
      </c>
      <c r="V262" t="s">
        <v>166</v>
      </c>
    </row>
    <row r="263" spans="9:22" x14ac:dyDescent="0.45">
      <c r="I263" t="s">
        <v>198</v>
      </c>
      <c r="J263" t="s">
        <v>405</v>
      </c>
      <c r="K263">
        <v>0.19053143716626947</v>
      </c>
      <c r="L263" t="s">
        <v>166</v>
      </c>
      <c r="S263" t="s">
        <v>239</v>
      </c>
      <c r="T263" t="s">
        <v>405</v>
      </c>
      <c r="U263">
        <v>0.10660951660845243</v>
      </c>
      <c r="V263" t="s">
        <v>166</v>
      </c>
    </row>
    <row r="264" spans="9:22" x14ac:dyDescent="0.45">
      <c r="I264" t="s">
        <v>198</v>
      </c>
      <c r="J264" t="s">
        <v>406</v>
      </c>
      <c r="K264">
        <v>0</v>
      </c>
      <c r="L264" t="s">
        <v>166</v>
      </c>
      <c r="S264" t="s">
        <v>239</v>
      </c>
      <c r="T264" t="s">
        <v>406</v>
      </c>
      <c r="U264">
        <v>0.11689299871519233</v>
      </c>
      <c r="V264" t="s">
        <v>166</v>
      </c>
    </row>
    <row r="265" spans="9:22" x14ac:dyDescent="0.45">
      <c r="I265" t="s">
        <v>198</v>
      </c>
      <c r="J265" t="s">
        <v>407</v>
      </c>
      <c r="K265">
        <v>1.3052193046382748E-2</v>
      </c>
      <c r="L265" t="s">
        <v>166</v>
      </c>
      <c r="S265" t="s">
        <v>239</v>
      </c>
      <c r="T265" t="s">
        <v>407</v>
      </c>
      <c r="U265">
        <v>1.805389314853208E-2</v>
      </c>
      <c r="V265" t="s">
        <v>166</v>
      </c>
    </row>
    <row r="266" spans="9:22" x14ac:dyDescent="0.45">
      <c r="I266" t="s">
        <v>198</v>
      </c>
      <c r="J266" t="s">
        <v>408</v>
      </c>
      <c r="K266">
        <v>0.28640643968202267</v>
      </c>
      <c r="L266" t="s">
        <v>166</v>
      </c>
      <c r="S266" t="s">
        <v>239</v>
      </c>
      <c r="T266" t="s">
        <v>408</v>
      </c>
      <c r="U266">
        <v>9.5041555452745494E-2</v>
      </c>
      <c r="V266" t="s">
        <v>166</v>
      </c>
    </row>
    <row r="267" spans="9:22" x14ac:dyDescent="0.45">
      <c r="I267" t="s">
        <v>198</v>
      </c>
      <c r="J267" t="s">
        <v>409</v>
      </c>
      <c r="K267">
        <v>0</v>
      </c>
      <c r="L267" t="s">
        <v>166</v>
      </c>
      <c r="S267" t="s">
        <v>239</v>
      </c>
      <c r="T267" t="s">
        <v>409</v>
      </c>
      <c r="U267">
        <v>0.14529373534750625</v>
      </c>
      <c r="V267" t="s">
        <v>166</v>
      </c>
    </row>
    <row r="268" spans="9:22" x14ac:dyDescent="0.45">
      <c r="I268" t="s">
        <v>198</v>
      </c>
      <c r="J268" t="s">
        <v>410</v>
      </c>
      <c r="K268">
        <v>2.9726425819530854E-2</v>
      </c>
      <c r="L268" t="s">
        <v>166</v>
      </c>
      <c r="S268" t="s">
        <v>239</v>
      </c>
      <c r="T268" t="s">
        <v>410</v>
      </c>
      <c r="U268">
        <v>2.2216303645221844E-2</v>
      </c>
      <c r="V268" t="s">
        <v>166</v>
      </c>
    </row>
    <row r="269" spans="9:22" x14ac:dyDescent="0.45">
      <c r="I269" t="s">
        <v>198</v>
      </c>
      <c r="J269" t="s">
        <v>411</v>
      </c>
      <c r="K269">
        <v>0.27453854762176644</v>
      </c>
      <c r="L269" t="s">
        <v>166</v>
      </c>
      <c r="S269" t="s">
        <v>239</v>
      </c>
      <c r="T269" t="s">
        <v>411</v>
      </c>
      <c r="U269">
        <v>0.10404615399888276</v>
      </c>
      <c r="V269" t="s">
        <v>166</v>
      </c>
    </row>
    <row r="270" spans="9:22" x14ac:dyDescent="0.45">
      <c r="I270" t="s">
        <v>198</v>
      </c>
      <c r="J270" t="s">
        <v>412</v>
      </c>
      <c r="K270">
        <v>0</v>
      </c>
      <c r="L270" t="s">
        <v>166</v>
      </c>
      <c r="S270" t="s">
        <v>239</v>
      </c>
      <c r="T270" t="s">
        <v>412</v>
      </c>
      <c r="U270">
        <v>0.12899095672029998</v>
      </c>
      <c r="V270" t="s">
        <v>166</v>
      </c>
    </row>
    <row r="271" spans="9:22" x14ac:dyDescent="0.45">
      <c r="I271" t="s">
        <v>198</v>
      </c>
      <c r="J271" t="s">
        <v>413</v>
      </c>
      <c r="K271">
        <v>3.0131256561407121E-2</v>
      </c>
      <c r="L271" t="s">
        <v>166</v>
      </c>
      <c r="S271" t="s">
        <v>239</v>
      </c>
      <c r="T271" t="s">
        <v>413</v>
      </c>
      <c r="U271">
        <v>1.7197726086865674E-2</v>
      </c>
      <c r="V271" t="s">
        <v>166</v>
      </c>
    </row>
    <row r="272" spans="9:22" x14ac:dyDescent="0.45">
      <c r="I272" t="s">
        <v>198</v>
      </c>
      <c r="J272" t="s">
        <v>414</v>
      </c>
      <c r="K272">
        <v>0.16196096023362822</v>
      </c>
      <c r="L272" t="s">
        <v>166</v>
      </c>
      <c r="S272" t="s">
        <v>239</v>
      </c>
      <c r="T272" t="s">
        <v>414</v>
      </c>
      <c r="U272">
        <v>0.11375851610313999</v>
      </c>
      <c r="V272" t="s">
        <v>166</v>
      </c>
    </row>
    <row r="273" spans="9:22" x14ac:dyDescent="0.45">
      <c r="I273" t="s">
        <v>198</v>
      </c>
      <c r="J273" t="s">
        <v>415</v>
      </c>
      <c r="K273">
        <v>0</v>
      </c>
      <c r="L273" t="s">
        <v>166</v>
      </c>
      <c r="S273" t="s">
        <v>239</v>
      </c>
      <c r="T273" t="s">
        <v>415</v>
      </c>
      <c r="U273">
        <v>0.11423833792775841</v>
      </c>
      <c r="V273" t="s">
        <v>166</v>
      </c>
    </row>
    <row r="274" spans="9:22" x14ac:dyDescent="0.45">
      <c r="I274" t="s">
        <v>198</v>
      </c>
      <c r="J274" t="s">
        <v>416</v>
      </c>
      <c r="K274">
        <v>1.3652739868992512E-2</v>
      </c>
      <c r="L274" t="s">
        <v>166</v>
      </c>
      <c r="S274" t="s">
        <v>239</v>
      </c>
      <c r="T274" t="s">
        <v>416</v>
      </c>
      <c r="U274">
        <v>1.7660306245403438E-2</v>
      </c>
      <c r="V274" t="s">
        <v>166</v>
      </c>
    </row>
    <row r="275" spans="9:22" x14ac:dyDescent="0.45">
      <c r="I275" t="s">
        <v>199</v>
      </c>
      <c r="J275" t="s">
        <v>405</v>
      </c>
      <c r="K275">
        <v>0.20140584235563908</v>
      </c>
      <c r="L275" t="s">
        <v>166</v>
      </c>
    </row>
    <row r="276" spans="9:22" x14ac:dyDescent="0.45">
      <c r="I276" t="s">
        <v>199</v>
      </c>
      <c r="J276" t="s">
        <v>406</v>
      </c>
      <c r="K276">
        <v>0</v>
      </c>
      <c r="L276" t="s">
        <v>166</v>
      </c>
    </row>
    <row r="277" spans="9:22" x14ac:dyDescent="0.45">
      <c r="I277" t="s">
        <v>199</v>
      </c>
      <c r="J277" t="s">
        <v>407</v>
      </c>
      <c r="K277">
        <v>1.5715405711657658E-2</v>
      </c>
      <c r="L277" t="s">
        <v>166</v>
      </c>
    </row>
    <row r="278" spans="9:22" x14ac:dyDescent="0.45">
      <c r="I278" t="s">
        <v>199</v>
      </c>
      <c r="J278" t="s">
        <v>408</v>
      </c>
      <c r="K278">
        <v>0.26818247172403781</v>
      </c>
      <c r="L278" t="s">
        <v>166</v>
      </c>
    </row>
    <row r="279" spans="9:22" x14ac:dyDescent="0.45">
      <c r="I279" t="s">
        <v>199</v>
      </c>
      <c r="J279" t="s">
        <v>409</v>
      </c>
      <c r="K279">
        <v>6.7142390784360833E-5</v>
      </c>
      <c r="L279" t="s">
        <v>166</v>
      </c>
    </row>
    <row r="280" spans="9:22" x14ac:dyDescent="0.45">
      <c r="I280" t="s">
        <v>199</v>
      </c>
      <c r="J280" t="s">
        <v>410</v>
      </c>
      <c r="K280">
        <v>3.1772008866587251E-2</v>
      </c>
      <c r="L280" t="s">
        <v>166</v>
      </c>
    </row>
    <row r="281" spans="9:22" x14ac:dyDescent="0.45">
      <c r="I281" t="s">
        <v>199</v>
      </c>
      <c r="J281" t="s">
        <v>411</v>
      </c>
      <c r="K281">
        <v>0.1933086741452065</v>
      </c>
      <c r="L281" t="s">
        <v>166</v>
      </c>
    </row>
    <row r="282" spans="9:22" x14ac:dyDescent="0.45">
      <c r="I282" t="s">
        <v>199</v>
      </c>
      <c r="J282" t="s">
        <v>412</v>
      </c>
      <c r="K282">
        <v>2.7140579935375862E-3</v>
      </c>
      <c r="L282" t="s">
        <v>166</v>
      </c>
    </row>
    <row r="283" spans="9:22" x14ac:dyDescent="0.45">
      <c r="I283" t="s">
        <v>199</v>
      </c>
      <c r="J283" t="s">
        <v>413</v>
      </c>
      <c r="K283">
        <v>1.848388038165534E-2</v>
      </c>
      <c r="L283" t="s">
        <v>166</v>
      </c>
    </row>
    <row r="284" spans="9:22" x14ac:dyDescent="0.45">
      <c r="I284" t="s">
        <v>199</v>
      </c>
      <c r="J284" t="s">
        <v>414</v>
      </c>
      <c r="K284">
        <v>0.24375937806649395</v>
      </c>
      <c r="L284" t="s">
        <v>166</v>
      </c>
    </row>
    <row r="285" spans="9:22" x14ac:dyDescent="0.45">
      <c r="I285" t="s">
        <v>199</v>
      </c>
      <c r="J285" t="s">
        <v>415</v>
      </c>
      <c r="K285">
        <v>0</v>
      </c>
      <c r="L285" t="s">
        <v>166</v>
      </c>
    </row>
    <row r="286" spans="9:22" x14ac:dyDescent="0.45">
      <c r="I286" t="s">
        <v>199</v>
      </c>
      <c r="J286" t="s">
        <v>416</v>
      </c>
      <c r="K286">
        <v>2.4591138364401414E-2</v>
      </c>
      <c r="L286" t="s">
        <v>166</v>
      </c>
    </row>
    <row r="287" spans="9:22" x14ac:dyDescent="0.45">
      <c r="I287" t="s">
        <v>200</v>
      </c>
      <c r="J287" t="s">
        <v>405</v>
      </c>
      <c r="K287">
        <v>0.1976957735420182</v>
      </c>
      <c r="L287" t="s">
        <v>166</v>
      </c>
    </row>
    <row r="288" spans="9:22" x14ac:dyDescent="0.45">
      <c r="I288" t="s">
        <v>200</v>
      </c>
      <c r="J288" t="s">
        <v>406</v>
      </c>
      <c r="K288">
        <v>0</v>
      </c>
      <c r="L288" t="s">
        <v>166</v>
      </c>
    </row>
    <row r="289" spans="9:12" x14ac:dyDescent="0.45">
      <c r="I289" t="s">
        <v>200</v>
      </c>
      <c r="J289" t="s">
        <v>407</v>
      </c>
      <c r="K289">
        <v>1.3778620955279021E-2</v>
      </c>
      <c r="L289" t="s">
        <v>166</v>
      </c>
    </row>
    <row r="290" spans="9:12" x14ac:dyDescent="0.45">
      <c r="I290" t="s">
        <v>200</v>
      </c>
      <c r="J290" t="s">
        <v>408</v>
      </c>
      <c r="K290">
        <v>0.27248052347505725</v>
      </c>
      <c r="L290" t="s">
        <v>166</v>
      </c>
    </row>
    <row r="291" spans="9:12" x14ac:dyDescent="0.45">
      <c r="I291" t="s">
        <v>200</v>
      </c>
      <c r="J291" t="s">
        <v>409</v>
      </c>
      <c r="K291">
        <v>0</v>
      </c>
      <c r="L291" t="s">
        <v>166</v>
      </c>
    </row>
    <row r="292" spans="9:12" x14ac:dyDescent="0.45">
      <c r="I292" t="s">
        <v>200</v>
      </c>
      <c r="J292" t="s">
        <v>410</v>
      </c>
      <c r="K292">
        <v>3.0082224502188795E-2</v>
      </c>
      <c r="L292" t="s">
        <v>166</v>
      </c>
    </row>
    <row r="293" spans="9:12" x14ac:dyDescent="0.45">
      <c r="I293" t="s">
        <v>200</v>
      </c>
      <c r="J293" t="s">
        <v>411</v>
      </c>
      <c r="K293">
        <v>0.21834335193291396</v>
      </c>
      <c r="L293" t="s">
        <v>166</v>
      </c>
    </row>
    <row r="294" spans="9:12" x14ac:dyDescent="0.45">
      <c r="I294" t="s">
        <v>200</v>
      </c>
      <c r="J294" t="s">
        <v>412</v>
      </c>
      <c r="K294">
        <v>4.7632152753724526E-4</v>
      </c>
      <c r="L294" t="s">
        <v>166</v>
      </c>
    </row>
    <row r="295" spans="9:12" x14ac:dyDescent="0.45">
      <c r="I295" t="s">
        <v>200</v>
      </c>
      <c r="J295" t="s">
        <v>413</v>
      </c>
      <c r="K295">
        <v>2.4088593607907403E-2</v>
      </c>
      <c r="L295" t="s">
        <v>166</v>
      </c>
    </row>
    <row r="296" spans="9:12" x14ac:dyDescent="0.45">
      <c r="I296" t="s">
        <v>200</v>
      </c>
      <c r="J296" t="s">
        <v>414</v>
      </c>
      <c r="K296">
        <v>0.22287388503816741</v>
      </c>
      <c r="L296" t="s">
        <v>166</v>
      </c>
    </row>
    <row r="297" spans="9:12" x14ac:dyDescent="0.45">
      <c r="I297" t="s">
        <v>200</v>
      </c>
      <c r="J297" t="s">
        <v>415</v>
      </c>
      <c r="K297">
        <v>0</v>
      </c>
      <c r="L297" t="s">
        <v>166</v>
      </c>
    </row>
    <row r="298" spans="9:12" x14ac:dyDescent="0.45">
      <c r="I298" t="s">
        <v>200</v>
      </c>
      <c r="J298" t="s">
        <v>416</v>
      </c>
      <c r="K298">
        <v>2.0180705418929586E-2</v>
      </c>
      <c r="L29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s1v1_d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2025-12-06T14:32:53Z</dcterms:modified>
</cp:coreProperties>
</file>