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da\Veda_models\vervestacks_models\VerveStacks_VNM_grids_kan\SuppXLS\"/>
    </mc:Choice>
  </mc:AlternateContent>
  <xr:revisionPtr revIDLastSave="0" documentId="8_{507EDFA6-F0A4-446C-AF4B-3119B6932760}"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<sst xmlns="http://schemas.openxmlformats.org/spreadsheetml/2006/main" count="8866" uniqueCount="3322">
  <si>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</si>
  <si>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</si>
  <si>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</si>
  <si>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</si>
  <si>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</si>
  <si>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</si>
  <si>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</si>
  <si>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</si>
  <si>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</si>
  <si>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</si>
  <si>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</si>
  <si>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</si>
  <si>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</si>
  <si>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</si>
  <si>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</si>
  <si>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</si>
  <si>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</si>
  <si>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</si>
  <si>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</si>
  <si>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</si>
  <si>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</si>
  <si>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</si>
  <si>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</si>
  <si>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</si>
  <si>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</si>
  <si>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</si>
  <si>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</si>
  <si>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</si>
  <si>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</si>
  <si>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</si>
  <si>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</si>
  <si>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</si>
  <si>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</si>
  <si>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</si>
  <si>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</si>
  <si>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</si>
  <si>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</si>
  <si>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</si>
  <si>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</si>
  <si>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</si>
  <si>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</si>
  <si>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</si>
  <si>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</si>
  <si>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</si>
  <si>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</si>
  <si>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</si>
  <si>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</si>
  <si>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</si>
  <si>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</si>
  <si>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</si>
  <si>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</si>
  <si>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</si>
  <si>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</si>
  <si>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</si>
  <si>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</si>
  <si>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</si>
  <si>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</si>
  <si>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</si>
  <si>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</si>
  <si>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</si>
  <si>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</si>
  <si>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</si>
  <si>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</si>
  <si>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</si>
  <si>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</si>
  <si>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</si>
  <si>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</si>
  <si>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</si>
  <si>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</si>
  <si>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</si>
  <si>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</si>
  <si>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</si>
  <si>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</si>
  <si>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</si>
  <si>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</si>
  <si>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</si>
  <si>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</si>
  <si>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</si>
  <si>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</si>
  <si>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</si>
  <si>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</si>
  <si>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</si>
  <si>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</si>
  <si>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</si>
  <si>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</si>
  <si>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</si>
  <si>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</si>
  <si>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</si>
  <si>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windoff</t>
  </si>
  <si>
    <t>windon</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</si>
  <si>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</si>
  <si>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</si>
  <si>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</si>
  <si>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</si>
  <si>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</si>
  <si>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</si>
  <si>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</si>
  <si>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</si>
  <si>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</si>
  <si>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</si>
  <si>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</si>
  <si>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</si>
  <si>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</si>
  <si>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</si>
  <si>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</si>
  <si>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THE NATIONAL ELECTRICITY DEVELOPMENT PLAN FOR 2021 - 2030, VISION TO 2050</t>
  </si>
  <si>
    <t>Ministry of Industry and Trade</t>
  </si>
  <si>
    <t>https://thuvienphapluat.vn/van-ban/Thuong-mai/Quyet-dinh-500-QD-TTg-2023-Quy-hoach-phat-trien-dien-luc-quoc-gia-2021-2030-tam-nhin-2050-566461.aspx</t>
  </si>
  <si>
    <t xml:space="preserve">The 8th power development plan sets goals for electricity sources and transmission grid for 2030. The goals are set based on the assumption that Viet Nam's GDP will grow at the rate of 7% per year by 2030. The plan strives to reach 47% renewables in power mix by 2030, in accordance witth the requirements made by the Just Energy Transition Partnership. </t>
  </si>
  <si>
    <t>The document that approves PDP8 is published in Vietnamese. The targets are taken from page 9 of the Google-translated document. When targets are given as a range, take the highest number (eg. Solar). Solar capacity target includes self-generation. The source gives estimated generation from solar and hydro, but not for others. We don't calculate technology-breakdown of RES share targets. 
+ Vietnam's solar power potential is about 963,000 MW (about 837,400 MW on the ground, about 77,400 MW on the water surface and about 48,200 MW on the roof). From now to 2030, the total capacity of solar power sources is expected to increase by 4,100 MW; 
 Storage power source:
+ Develop pumped storage hydropower plants with a capacity of about 2,400 MW by 2030 to regulate load, reserve capacity and support the integration of renewable energy sources on a large scale.
+ Storage batteries are developed when they are reasonably priced and are distributed near wind and solar power centers or load centers. By 2030, it is expected to reach a capacity of about 300 MW.</t>
  </si>
  <si>
    <t>APPROVING ADJUSTMENTS TO THE NATIONAL POWER DEVELOPMENT PLAN FOR THE PERIOD 2021-2030, WITH A VISION TO 2050</t>
  </si>
  <si>
    <t>Prime Minister</t>
  </si>
  <si>
    <t>https://thuvienphapluat.vn/van-ban/Tai-nguyen-Moi-truong/Quyet-dinh-768-QD-TTg-2025-Dieu-chinh-Quy-hoach-phat-trien-dien-luc-quoc-gia-thoi-ky-2021-2030-651977.aspx</t>
  </si>
  <si>
    <t>The adjustments to the 8th power development plan include an increase to 10% average GDP growth in the period 2026-2030. The plan strives to strongly develop renewable energy sources (excluding hydropower) reaching a rate of 28 to 36% by 2030 and 75% by 2050.</t>
  </si>
  <si>
    <t>The document that approves PDP8 is published in Vietnamese. The targets are taken from page 4 of the Google-translated document. When targets are given as a range, take the highest number (eg. Solar). Solar capacity target includes CSP and rooftop solar power (excluding solar power according to Clause 5, Article 10 of Electricity Law No. 61/2024/QH15 which is large-scale rooftop solar installations, projects intended for grid export, or centralized solar power plants).</t>
  </si>
  <si>
    <t>Bioenergy</t>
  </si>
  <si>
    <t>Coal</t>
  </si>
  <si>
    <t>Gas</t>
  </si>
  <si>
    <t>Hydro</t>
  </si>
  <si>
    <t>Offshore Wind</t>
  </si>
  <si>
    <t>Onshore Wind</t>
  </si>
  <si>
    <t>Pumped hydro</t>
  </si>
  <si>
    <t>Solar</t>
  </si>
  <si>
    <t>Demand</t>
  </si>
  <si>
    <t>demand_twh</t>
  </si>
  <si>
    <t>Imports</t>
  </si>
  <si>
    <t>import_twh</t>
  </si>
  <si>
    <t>Renewables</t>
  </si>
  <si>
    <t>share_of_generation_pct</t>
  </si>
  <si>
    <t>BUILD RATE ASSUMPTIONS</t>
  </si>
  <si>
    <t>iso</t>
  </si>
  <si>
    <t>VNM</t>
  </si>
  <si>
    <t>pasti</t>
  </si>
  <si>
    <t>ncap_cost</t>
  </si>
  <si>
    <t>efficiency</t>
  </si>
  <si>
    <t>g_VN10-500-VN13-500</t>
  </si>
  <si>
    <t>g_VN100-500-VN97-500</t>
  </si>
  <si>
    <t>g_VN1000-500-VN1002-500</t>
  </si>
  <si>
    <t>g_VN1000-500-VN996-500</t>
  </si>
  <si>
    <t>g_VN1001-500-w1196308469-500</t>
  </si>
  <si>
    <t>g_VN1002-500-VN1000-500</t>
  </si>
  <si>
    <t>g_VN1003-500-VN999-500</t>
  </si>
  <si>
    <t>g_VN1004-500-VN1002-500</t>
  </si>
  <si>
    <t>g_VN1004-500-VN1006-500</t>
  </si>
  <si>
    <t>g_VN1005-500-VN1008-500</t>
  </si>
  <si>
    <t>g_VN1005-500-w548717060-500</t>
  </si>
  <si>
    <t>g_VN1006-500-VN1004-500</t>
  </si>
  <si>
    <t>g_VN1007-500-VN1009-500</t>
  </si>
  <si>
    <t>g_VN1007-500-VN997-500</t>
  </si>
  <si>
    <t>g_VN1008-500-VN1005-500</t>
  </si>
  <si>
    <t>g_VN1008-500-VN1010-500</t>
  </si>
  <si>
    <t>g_VN1009-500-VN1007-500</t>
  </si>
  <si>
    <t>g_VN101-500-VN102-500</t>
  </si>
  <si>
    <t>g_VN1010-500-VN1008-500</t>
  </si>
  <si>
    <t>g_VN1010-500-VN1014-500</t>
  </si>
  <si>
    <t>g_VN1011-500-VN1006-500</t>
  </si>
  <si>
    <t>g_VN1012-500-VN1011-500</t>
  </si>
  <si>
    <t>g_VN1013-220-w548723124-220</t>
  </si>
  <si>
    <t>g_VN1014-500-VN1010-500</t>
  </si>
  <si>
    <t>g_VN1014-500-VN1016-500</t>
  </si>
  <si>
    <t>g_VN1015-500-VN1022-500</t>
  </si>
  <si>
    <t>g_VN1015-500-VN1023-500</t>
  </si>
  <si>
    <t>g_VN1016-500-VN1014-500</t>
  </si>
  <si>
    <t>g_VN1016-500-VN1019-500</t>
  </si>
  <si>
    <t>g_VN1017-500-VN1012-500</t>
  </si>
  <si>
    <t>g_VN1018-500-VN1009-500</t>
  </si>
  <si>
    <t>g_VN1019-500-VN1016-500</t>
  </si>
  <si>
    <t>g_VN1019-500-VN1020-500</t>
  </si>
  <si>
    <t>g_VN102-500-VN103-500</t>
  </si>
  <si>
    <t>g_VN1020-500-VN1019-500</t>
  </si>
  <si>
    <t>g_VN1020-500-VN1022-500</t>
  </si>
  <si>
    <t>g_VN1021-500-VN1017-500</t>
  </si>
  <si>
    <t>g_VN1022-500-VN1015-500</t>
  </si>
  <si>
    <t>g_VN1022-500-VN1020-500</t>
  </si>
  <si>
    <t>g_VN1023-500-VN1015-500</t>
  </si>
  <si>
    <t>g_VN1023-500-VN1025-500</t>
  </si>
  <si>
    <t>g_VN1024-220-w1273948701-220</t>
  </si>
  <si>
    <t>g_VN1024-220-w548717060-220</t>
  </si>
  <si>
    <t>g_VN1025-500-VN1023-500</t>
  </si>
  <si>
    <t>g_VN1025-500-VN1037-500</t>
  </si>
  <si>
    <t>g_VN1026-500-VN1001-500</t>
  </si>
  <si>
    <t>g_VN1027-500-VN1018-500</t>
  </si>
  <si>
    <t>g_VN1028-500-VN1026-500</t>
  </si>
  <si>
    <t>g_VN1029-500-VN1021-500</t>
  </si>
  <si>
    <t>g_VN1029-500-VN1030-500</t>
  </si>
  <si>
    <t>g_VN103-500-VN123-500</t>
  </si>
  <si>
    <t>g_VN1031-500-VN1030-500</t>
  </si>
  <si>
    <t>g_VN1032-500-VN1031-500</t>
  </si>
  <si>
    <t>g_VN1032-500-VN1033-500</t>
  </si>
  <si>
    <t>g_VN1034-500-VN1033-500</t>
  </si>
  <si>
    <t>g_VN1035-500-VN1027-500</t>
  </si>
  <si>
    <t>g_VN1036-500-VN1034-500</t>
  </si>
  <si>
    <t>g_VN1036-500-VN1038-500</t>
  </si>
  <si>
    <t>g_VN1037-500-VN1025-500</t>
  </si>
  <si>
    <t>g_VN1039-500-VN1028-500</t>
  </si>
  <si>
    <t>g_VN104-500-VN110-500</t>
  </si>
  <si>
    <t>g_VN1040-500-VN1039-500</t>
  </si>
  <si>
    <t>g_VN1041-500-VN1054-500</t>
  </si>
  <si>
    <t>g_VN1042-500-VN1041-500</t>
  </si>
  <si>
    <t>g_VN1043-500-w1199485835-500</t>
  </si>
  <si>
    <t>g_VN1044-500-VN1038-500</t>
  </si>
  <si>
    <t>g_VN1045-500-VN1042-500</t>
  </si>
  <si>
    <t>g_VN1046-500-VN1044-500</t>
  </si>
  <si>
    <t>g_VN1047-220-w1198563264-220</t>
  </si>
  <si>
    <t>g_VN1047-220-w745348908-220</t>
  </si>
  <si>
    <t>g_VN1047-500-VN1035-500</t>
  </si>
  <si>
    <t>g_VN1048-500-VN1044-500</t>
  </si>
  <si>
    <t>g_VN1049-500-VN1040-500</t>
  </si>
  <si>
    <t>g_VN105-500-VN107-500</t>
  </si>
  <si>
    <t>g_VN1050-500-VN1048-500</t>
  </si>
  <si>
    <t>g_VN1051-500-VN1050-500</t>
  </si>
  <si>
    <t>g_VN1052-500-VN1043-500</t>
  </si>
  <si>
    <t>g_VN1052-500-VN1055-500</t>
  </si>
  <si>
    <t>g_VN1053-500-VN1057-500</t>
  </si>
  <si>
    <t>g_VN1053-500-VN1059-500</t>
  </si>
  <si>
    <t>g_VN1054-500-VN1048-500</t>
  </si>
  <si>
    <t>g_VN1054-500-VN1051-500</t>
  </si>
  <si>
    <t>g_VN1055-500-VN1052-500</t>
  </si>
  <si>
    <t>g_VN1057-500-VN1069-500</t>
  </si>
  <si>
    <t>g_VN1058-500-VN1037-500</t>
  </si>
  <si>
    <t>g_VN1059-500-VN1046-500</t>
  </si>
  <si>
    <t>g_VN106-500-VN105-500</t>
  </si>
  <si>
    <t>g_VN1060-500-VN1049-500</t>
  </si>
  <si>
    <t>g_VN1061-500-VN1063-500</t>
  </si>
  <si>
    <t>g_VN1062-500-VN1064-500</t>
  </si>
  <si>
    <t>g_VN1062-500-w306440153-500</t>
  </si>
  <si>
    <t>g_VN1063-500-VN1077-500</t>
  </si>
  <si>
    <t>g_VN1064-500-VN1062-500</t>
  </si>
  <si>
    <t>g_VN1065-500-VN1070-500</t>
  </si>
  <si>
    <t>g_VN1065-500-VN1085-500</t>
  </si>
  <si>
    <t>g_VN1066-220-VN1045-220</t>
  </si>
  <si>
    <t>g_VN1067-500-VN1064-500</t>
  </si>
  <si>
    <t>g_VN1067-500-VN1072-500</t>
  </si>
  <si>
    <t>g_VN1068-500-VN1065-500</t>
  </si>
  <si>
    <t>g_VN107-500-VN116-500</t>
  </si>
  <si>
    <t>g_VN1070-500-VN1058-500</t>
  </si>
  <si>
    <t>g_VN1072-500-VN1067-500</t>
  </si>
  <si>
    <t>g_VN1072-500-VN1084-500</t>
  </si>
  <si>
    <t>g_VN1073-500-VN1074-500</t>
  </si>
  <si>
    <t>g_VN1074-500-VN1083-500</t>
  </si>
  <si>
    <t>g_VN1076-500-VN1073-500</t>
  </si>
  <si>
    <t>g_VN1076-500-VN1075-500</t>
  </si>
  <si>
    <t>g_VN1077-500-VN1088-500</t>
  </si>
  <si>
    <t>g_VN1077-500-w317895152-500</t>
  </si>
  <si>
    <t>g_VN1078-500-VN1075-500</t>
  </si>
  <si>
    <t>g_VN1079-500-VN1078-500</t>
  </si>
  <si>
    <t>g_VN108-500-VN100-500</t>
  </si>
  <si>
    <t>g_VN1080-500-VN1069-500</t>
  </si>
  <si>
    <t>g_VN1081-500-VN1080-500</t>
  </si>
  <si>
    <t>g_VN1081-500-VN1106-500</t>
  </si>
  <si>
    <t>g_VN1082-500-VN1054-500</t>
  </si>
  <si>
    <t>g_VN1083-500-w1001296656-500</t>
  </si>
  <si>
    <t>g_VN1084-500-VN1047-500</t>
  </si>
  <si>
    <t>g_VN1084-500-VN1060-500</t>
  </si>
  <si>
    <t>g_VN1084-500-VN1072-500</t>
  </si>
  <si>
    <t>g_VN1085-500-VN1065-500</t>
  </si>
  <si>
    <t>g_VN1085-500-VN1099-500</t>
  </si>
  <si>
    <t>g_VN1086-230-w548869165-230</t>
  </si>
  <si>
    <t>g_VN1087-500-VN1092-500</t>
  </si>
  <si>
    <t>g_VN1088-500-VN1090-500</t>
  </si>
  <si>
    <t>g_VN1089-500-VN1087-500</t>
  </si>
  <si>
    <t>g_VN109-500-VN117-500</t>
  </si>
  <si>
    <t>g_VN1090-500-VN1089-500</t>
  </si>
  <si>
    <t>g_VN1092-500-VN1093-500</t>
  </si>
  <si>
    <t>g_VN1093-500-VN1095-500</t>
  </si>
  <si>
    <t>g_VN1094-220-VN975-220</t>
  </si>
  <si>
    <t>g_VN1094-220-w317895152-220</t>
  </si>
  <si>
    <t>g_VN1095-500-VN1096-500</t>
  </si>
  <si>
    <t>g_VN1096-500-VN1081-500</t>
  </si>
  <si>
    <t>g_VN1097-220-VN1094-220</t>
  </si>
  <si>
    <t>g_VN1098-500-VN1077-500</t>
  </si>
  <si>
    <t>g_VN1099-500-VN1085-500</t>
  </si>
  <si>
    <t>g_VN1099-500-VN1103-500</t>
  </si>
  <si>
    <t>g_VN11-220-VN23-220</t>
  </si>
  <si>
    <t>g_VN110-500-VN115-500</t>
  </si>
  <si>
    <t>g_VN1100-220-VN1091-220</t>
  </si>
  <si>
    <t>g_VN1100-220-w318268202-220</t>
  </si>
  <si>
    <t>g_VN1101-220-w294127333-220</t>
  </si>
  <si>
    <t>g_VN1102-220-VN1101-220</t>
  </si>
  <si>
    <t>g_VN1103-500-VN1099-500</t>
  </si>
  <si>
    <t>g_VN1103-500-VN1105-500</t>
  </si>
  <si>
    <t>g_VN1104-500-VN1098-500</t>
  </si>
  <si>
    <t>g_VN1105-500-VN1103-500</t>
  </si>
  <si>
    <t>g_VN1105-500-VN1109-500</t>
  </si>
  <si>
    <t>g_VN1106-500-VN1081-500</t>
  </si>
  <si>
    <t>g_VN1106-500-VN1111-500</t>
  </si>
  <si>
    <t>g_VN1108-500-VN1107-500</t>
  </si>
  <si>
    <t>g_VN1109-500-VN1105-500</t>
  </si>
  <si>
    <t>g_VN1109-500-VN1118-500</t>
  </si>
  <si>
    <t>g_VN111-500-VN108-500</t>
  </si>
  <si>
    <t>g_VN111-500-VN187-500</t>
  </si>
  <si>
    <t>g_VN1110-500-VN1112-500</t>
  </si>
  <si>
    <t>g_VN1111-500-VN1106-500</t>
  </si>
  <si>
    <t>g_VN1111-500-VN1113-500</t>
  </si>
  <si>
    <t>g_VN1113-500-VN1118-500</t>
  </si>
  <si>
    <t>g_VN1115-220-VN1114-220</t>
  </si>
  <si>
    <t>g_VN1115-220-w1200717272-220</t>
  </si>
  <si>
    <t>g_VN1116-500-VN1104-500</t>
  </si>
  <si>
    <t>g_VN1117-500-VN1108-500</t>
  </si>
  <si>
    <t>g_VN1117-500-VN1121-500</t>
  </si>
  <si>
    <t>g_VN1118-500-VN1109-500</t>
  </si>
  <si>
    <t>g_VN1119-500-VN1122-500</t>
  </si>
  <si>
    <t>g_VN112-500-VN114-500</t>
  </si>
  <si>
    <t>g_VN1120-500-VN1119-500</t>
  </si>
  <si>
    <t>g_VN1122-500-VN1123-500</t>
  </si>
  <si>
    <t>g_VN1123-500-VN1130-500</t>
  </si>
  <si>
    <t>g_VN1124-500-VN1116-500</t>
  </si>
  <si>
    <t>g_VN1125-500-VN1126-500</t>
  </si>
  <si>
    <t>g_VN1126-500-VN1131-500</t>
  </si>
  <si>
    <t>g_VN1127-220-VN1128-220</t>
  </si>
  <si>
    <t>g_VN1128-220-w1204890423-220</t>
  </si>
  <si>
    <t>g_VN1128-220-w306259034-220</t>
  </si>
  <si>
    <t>g_VN1130-500-VN1135-500</t>
  </si>
  <si>
    <t>g_VN1132-220-VN1136-220</t>
  </si>
  <si>
    <t>g_VN1132-220-w315553115-220</t>
  </si>
  <si>
    <t>g_VN1132-500-w315553115-500</t>
  </si>
  <si>
    <t>g_VN1134-220-w306259034-220</t>
  </si>
  <si>
    <t>g_VN1134-220-w306295540-220</t>
  </si>
  <si>
    <t>g_VN1134-220-w762471641-220</t>
  </si>
  <si>
    <t>g_VN1135-500-VN1143-500</t>
  </si>
  <si>
    <t>g_VN1137-500-VN1142-500</t>
  </si>
  <si>
    <t>g_VN1138-220-VN1134-220</t>
  </si>
  <si>
    <t>g_VN1139-220-VN1141-220</t>
  </si>
  <si>
    <t>g_VN1139-220-w306295536-220</t>
  </si>
  <si>
    <t>g_VN1139-220-w306295540-220</t>
  </si>
  <si>
    <t>g_VN114-500-VN118-500</t>
  </si>
  <si>
    <t>g_VN1140-500-VN1124-500</t>
  </si>
  <si>
    <t>g_VN1141-220-VN1138-220</t>
  </si>
  <si>
    <t>g_VN1141-220-w1216970886-220</t>
  </si>
  <si>
    <t>g_VN1141-500-w1216970886-500</t>
  </si>
  <si>
    <t>g_VN1142-500-VN1141-500</t>
  </si>
  <si>
    <t>g_VN1143-500-VN1144-500</t>
  </si>
  <si>
    <t>g_VN1144-500-VN1170-500</t>
  </si>
  <si>
    <t>g_VN1145-220-w548752026-220</t>
  </si>
  <si>
    <t>g_VN1146-500-VN1140-500</t>
  </si>
  <si>
    <t>g_VN1146-500-VN1149-500</t>
  </si>
  <si>
    <t>g_VN1148-500-VN1132-500</t>
  </si>
  <si>
    <t>g_VN1149-500-VN1146-500</t>
  </si>
  <si>
    <t>g_VN1149-500-w1216970886-500</t>
  </si>
  <si>
    <t>g_VN115-500-VN112-500</t>
  </si>
  <si>
    <t>g_VN1150-500-VN1148-500</t>
  </si>
  <si>
    <t>g_VN1151-220-VN1152-220</t>
  </si>
  <si>
    <t>g_VN1151-220-w1051872605-220</t>
  </si>
  <si>
    <t>g_VN1152-220-VN1147-220</t>
  </si>
  <si>
    <t>g_VN1153-220-VN1154-220</t>
  </si>
  <si>
    <t>g_VN1153-220-VN1157-220</t>
  </si>
  <si>
    <t>g_VN1154-220-VN1151-220</t>
  </si>
  <si>
    <t>g_VN1155-500-w306295536-500</t>
  </si>
  <si>
    <t>g_VN1156-500-VN1150-500</t>
  </si>
  <si>
    <t>g_VN1156-500-VN1155-500</t>
  </si>
  <si>
    <t>g_VN1158-500-VN1156-500</t>
  </si>
  <si>
    <t>g_VN1158-500-VN1159-500</t>
  </si>
  <si>
    <t>g_VN1159-500-VN1158-500</t>
  </si>
  <si>
    <t>g_VN116-500-VN121-500</t>
  </si>
  <si>
    <t>g_VN1160-500-VN1159-500</t>
  </si>
  <si>
    <t>g_VN1161-220-w773079147-220</t>
  </si>
  <si>
    <t>g_VN1162-220-VN1161-220</t>
  </si>
  <si>
    <t>g_VN1163-500-VN1168-500</t>
  </si>
  <si>
    <t>g_VN1164-500-VN1163-500</t>
  </si>
  <si>
    <t>g_VN1165-500-VN1167-500</t>
  </si>
  <si>
    <t>g_VN1166-500-w1051907167-500</t>
  </si>
  <si>
    <t>g_VN1167-500-VN1160-500</t>
  </si>
  <si>
    <t>g_VN1168-500-VN1166-500</t>
  </si>
  <si>
    <t>g_VN1169-220-w1052338818-220</t>
  </si>
  <si>
    <t>g_VN1169-220-w306295540-220</t>
  </si>
  <si>
    <t>g_VN117-500-VN126-500</t>
  </si>
  <si>
    <t>g_VN1171-500-VN1164-500</t>
  </si>
  <si>
    <t>g_VN1171-500-VN1172-500</t>
  </si>
  <si>
    <t>g_VN1172-500-VN1175-500</t>
  </si>
  <si>
    <t>g_VN1173-500-VN1168-500</t>
  </si>
  <si>
    <t>g_VN1174-500-VN1173-500</t>
  </si>
  <si>
    <t>g_VN1175-220-w1052241938-220</t>
  </si>
  <si>
    <t>g_VN1175-500-w1052065868-500</t>
  </si>
  <si>
    <t>g_VN1177-500-VN1176-500</t>
  </si>
  <si>
    <t>g_VN1178-500-VN1174-500</t>
  </si>
  <si>
    <t>g_VN118-500-VN125-500</t>
  </si>
  <si>
    <t>g_VN1180-500-w1052228387-500</t>
  </si>
  <si>
    <t>g_VN1181-500-VN1189-500</t>
  </si>
  <si>
    <t>g_VN1182-500-VN1183-500</t>
  </si>
  <si>
    <t>g_VN1183-500-VN1180-500</t>
  </si>
  <si>
    <t>g_VN1184-500-VN1178-500</t>
  </si>
  <si>
    <t>g_VN1185-220-VN1186-220</t>
  </si>
  <si>
    <t>g_VN1186-220-VN1185-220</t>
  </si>
  <si>
    <t>g_VN1186-220-VN1206-220</t>
  </si>
  <si>
    <t>g_VN1187-500-VN1184-500</t>
  </si>
  <si>
    <t>g_VN1188-220-VN1185-220</t>
  </si>
  <si>
    <t>g_VN1189-500-VN1193-500</t>
  </si>
  <si>
    <t>g_VN119-500-VN122-500</t>
  </si>
  <si>
    <t>g_VN1190-500-VN1177-500</t>
  </si>
  <si>
    <t>g_VN1191-500-VN1187-500</t>
  </si>
  <si>
    <t>g_VN1192-500-VN1191-500</t>
  </si>
  <si>
    <t>g_VN1193-500-VN1197-500</t>
  </si>
  <si>
    <t>g_VN1194-220-w1052228387-220</t>
  </si>
  <si>
    <t>g_VN1195-500-VN1190-500</t>
  </si>
  <si>
    <t>g_VN1196-500-VN1192-500</t>
  </si>
  <si>
    <t>g_VN1197-220-VN1199-220</t>
  </si>
  <si>
    <t>g_VN1197-500-VN1199-500</t>
  </si>
  <si>
    <t>g_VN1198-500-VN1196-500</t>
  </si>
  <si>
    <t>g_VN1199-220-VN1201-220</t>
  </si>
  <si>
    <t>g_VN1199-220-VN1202-220</t>
  </si>
  <si>
    <t>g_VN1199-220-VN1221-220</t>
  </si>
  <si>
    <t>g_VN12-220-VN19-220</t>
  </si>
  <si>
    <t>g_VN120-220-VN107-220</t>
  </si>
  <si>
    <t>g_VN1200-500-VN1195-500</t>
  </si>
  <si>
    <t>g_VN1200-500-VN1210-500</t>
  </si>
  <si>
    <t>g_VN1202-220-VN1199-220</t>
  </si>
  <si>
    <t>g_VN1202-500-VN1199-500</t>
  </si>
  <si>
    <t>g_VN1203-220-VN1202-220</t>
  </si>
  <si>
    <t>g_VN1204-500-VN1202-500</t>
  </si>
  <si>
    <t>g_VN1205-500-VN1204-500</t>
  </si>
  <si>
    <t>g_VN1207-500-VN1205-500</t>
  </si>
  <si>
    <t>g_VN1208-500-VN1198-500</t>
  </si>
  <si>
    <t>g_VN1209-500-VN1208-500</t>
  </si>
  <si>
    <t>g_VN121-500-VN119-500</t>
  </si>
  <si>
    <t>g_VN1211-500-VN1207-500</t>
  </si>
  <si>
    <t>g_VN1212-500-VN1211-500</t>
  </si>
  <si>
    <t>g_VN1214-500-VN1212-500</t>
  </si>
  <si>
    <t>g_VN1215-500-VN1209-500</t>
  </si>
  <si>
    <t>g_VN1216-500-VN1215-500</t>
  </si>
  <si>
    <t>g_VN1217-500-VN1214-500</t>
  </si>
  <si>
    <t>g_VN1220-500-VN1216-500</t>
  </si>
  <si>
    <t>g_VN1221-220-VN1227-220</t>
  </si>
  <si>
    <t>g_VN1222-500-VN1217-500</t>
  </si>
  <si>
    <t>g_VN1223-220-VN1218-220</t>
  </si>
  <si>
    <t>g_VN1223-500-VN1224-500</t>
  </si>
  <si>
    <t>g_VN1224-500-VN1222-500</t>
  </si>
  <si>
    <t>g_VN1226-500-VN1220-500</t>
  </si>
  <si>
    <t>g_VN1227-220-w548970109-220</t>
  </si>
  <si>
    <t>g_VN1228-220-VN1225-220</t>
  </si>
  <si>
    <t>g_VN1229-220-w549005377-220</t>
  </si>
  <si>
    <t>g_VN123-500-VN124-500</t>
  </si>
  <si>
    <t>g_VN124-500-VN128-500</t>
  </si>
  <si>
    <t>g_VN125-500-VN129-500</t>
  </si>
  <si>
    <t>g_VN126-220-w1263497515-220</t>
  </si>
  <si>
    <t>g_VN126-500-VN161-500</t>
  </si>
  <si>
    <t>g_VN127-500-VN106-500</t>
  </si>
  <si>
    <t>g_VN128-500-VN135-500</t>
  </si>
  <si>
    <t>g_VN13-500-VN14-500</t>
  </si>
  <si>
    <t>g_VN130-500-VN131-500</t>
  </si>
  <si>
    <t>g_VN131-500-VN129-500</t>
  </si>
  <si>
    <t>g_VN132-220-VN137-220</t>
  </si>
  <si>
    <t>g_VN133-500-VN141-500</t>
  </si>
  <si>
    <t>g_VN134-500-VN130-500</t>
  </si>
  <si>
    <t>g_VN134-500-VN142-500</t>
  </si>
  <si>
    <t>g_VN135-500-VN162-500</t>
  </si>
  <si>
    <t>g_VN136-500-VN133-500</t>
  </si>
  <si>
    <t>g_VN137-220-w483525462-220</t>
  </si>
  <si>
    <t>g_VN138-220-VN126-220</t>
  </si>
  <si>
    <t>g_VN139-500-VN147-500</t>
  </si>
  <si>
    <t>g_VN14-500-VN15-500</t>
  </si>
  <si>
    <t>g_VN140-220-VN170-220</t>
  </si>
  <si>
    <t>g_VN140-220-w714072790-220</t>
  </si>
  <si>
    <t>g_VN142-500-VN134-500</t>
  </si>
  <si>
    <t>g_VN142-500-VN158-500</t>
  </si>
  <si>
    <t>g_VN143-500-VN139-500</t>
  </si>
  <si>
    <t>g_VN144-500-VN136-500</t>
  </si>
  <si>
    <t>g_VN145-500-VN150-500</t>
  </si>
  <si>
    <t>g_VN146-500-VN149-500</t>
  </si>
  <si>
    <t>g_VN147-500-VN144-500</t>
  </si>
  <si>
    <t>g_VN148-500-VN143-500</t>
  </si>
  <si>
    <t>g_VN149-500-VN152-500</t>
  </si>
  <si>
    <t>g_VN15-500-VN16-500</t>
  </si>
  <si>
    <t>g_VN150-500-VN154-500</t>
  </si>
  <si>
    <t>g_VN151-500-VN157-500</t>
  </si>
  <si>
    <t>g_VN152-500-VN166-500</t>
  </si>
  <si>
    <t>g_VN153-500-VN145-500</t>
  </si>
  <si>
    <t>g_VN154-500-VN146-500</t>
  </si>
  <si>
    <t>g_VN155-500-VN156-500</t>
  </si>
  <si>
    <t>g_VN156-500-VN148-500</t>
  </si>
  <si>
    <t>g_VN157-500-VN153-500</t>
  </si>
  <si>
    <t>g_VN158-220-w549739658-220</t>
  </si>
  <si>
    <t>g_VN158-500-VN163-500</t>
  </si>
  <si>
    <t>g_VN159-500-VN127-500</t>
  </si>
  <si>
    <t>g_VN16-500-VN17-500</t>
  </si>
  <si>
    <t>g_VN160-500-VN155-500</t>
  </si>
  <si>
    <t>g_VN161-500-VN160-500</t>
  </si>
  <si>
    <t>g_VN162-500-VN165-500</t>
  </si>
  <si>
    <t>g_VN163-500-VN151-500</t>
  </si>
  <si>
    <t>g_VN164-500-VN168-500</t>
  </si>
  <si>
    <t>g_VN165-500-VN164-500</t>
  </si>
  <si>
    <t>g_VN166-500-VN174-500</t>
  </si>
  <si>
    <t>g_VN168-500-VN159-500</t>
  </si>
  <si>
    <t>g_VN169-220-VN137-220</t>
  </si>
  <si>
    <t>g_VN169-220-VN171-220</t>
  </si>
  <si>
    <t>g_VN17-500-VN18-500</t>
  </si>
  <si>
    <t>g_VN170-220-VN185-220</t>
  </si>
  <si>
    <t>g_VN170-220-w1043837466-220</t>
  </si>
  <si>
    <t>g_VN172-500-VN173-500</t>
  </si>
  <si>
    <t>g_VN173-500-VN176-500</t>
  </si>
  <si>
    <t>g_VN174-500-VN172-500</t>
  </si>
  <si>
    <t>g_VN174-500-VN175-500</t>
  </si>
  <si>
    <t>g_VN175-500-VN177-500</t>
  </si>
  <si>
    <t>g_VN176-500-VN173-500</t>
  </si>
  <si>
    <t>g_VN176-500-VN179-500</t>
  </si>
  <si>
    <t>g_VN177-500-VN178-500</t>
  </si>
  <si>
    <t>g_VN178-500-VN181-500</t>
  </si>
  <si>
    <t>g_VN179-500-VN176-500</t>
  </si>
  <si>
    <t>g_VN18-500-VN21-500</t>
  </si>
  <si>
    <t>g_VN180-220-VN191-220</t>
  </si>
  <si>
    <t>g_VN180-500-VN191-500</t>
  </si>
  <si>
    <t>g_VN181-500-VN183-500</t>
  </si>
  <si>
    <t>g_VN181-500-VN189-500</t>
  </si>
  <si>
    <t>g_VN182-500-VN179-500</t>
  </si>
  <si>
    <t>g_VN183-500-VN186-500</t>
  </si>
  <si>
    <t>g_VN184-220-VN180-220</t>
  </si>
  <si>
    <t>g_VN184-500-VN180-500</t>
  </si>
  <si>
    <t>g_VN185-220-VN190-220</t>
  </si>
  <si>
    <t>g_VN185-220-VN193-220</t>
  </si>
  <si>
    <t>g_VN186-500-VN189-500</t>
  </si>
  <si>
    <t>g_VN188-500-VN192-500</t>
  </si>
  <si>
    <t>g_VN189-500-VN188-500</t>
  </si>
  <si>
    <t>g_VN190-220-VN184-220</t>
  </si>
  <si>
    <t>g_VN190-220-w1036278525-220</t>
  </si>
  <si>
    <t>g_VN191-220-VN236-220</t>
  </si>
  <si>
    <t>g_VN191-500-VN236-500</t>
  </si>
  <si>
    <t>g_VN192-500-VN188-500</t>
  </si>
  <si>
    <t>g_VN192-500-VN195-500</t>
  </si>
  <si>
    <t>g_VN194-500-VN182-500</t>
  </si>
  <si>
    <t>g_VN195-220-VN167-220</t>
  </si>
  <si>
    <t>g_VN195-220-w549959354-220</t>
  </si>
  <si>
    <t>g_VN195-500-VN192-500</t>
  </si>
  <si>
    <t>g_VN195-500-VN198-500</t>
  </si>
  <si>
    <t>g_VN195-500-VN199-500</t>
  </si>
  <si>
    <t>g_VN196-500-VN203-500</t>
  </si>
  <si>
    <t>g_VN197-500-w827889590-500</t>
  </si>
  <si>
    <t>g_VN198-500-VN200-500</t>
  </si>
  <si>
    <t>g_VN199-500-VN200-500</t>
  </si>
  <si>
    <t>g_VN20-220-w483057097-220</t>
  </si>
  <si>
    <t>g_VN200-500-VN207-500</t>
  </si>
  <si>
    <t>g_VN201-500-VN196-500</t>
  </si>
  <si>
    <t>g_VN202-500-VN201-500</t>
  </si>
  <si>
    <t>g_VN203-220-w715041211-220</t>
  </si>
  <si>
    <t>g_VN203-500-VN197-500</t>
  </si>
  <si>
    <t>g_VN204-500-VN194-500</t>
  </si>
  <si>
    <t>g_VN205-500-VN202-500</t>
  </si>
  <si>
    <t>g_VN206-500-VN205-500</t>
  </si>
  <si>
    <t>g_VN207-500-VN216-500</t>
  </si>
  <si>
    <t>g_VN208-500-VN204-500</t>
  </si>
  <si>
    <t>g_VN209-220-w1245195233-220</t>
  </si>
  <si>
    <t>g_VN209-220-w715041211-220</t>
  </si>
  <si>
    <t>g_VN21-500-VN25-500</t>
  </si>
  <si>
    <t>g_VN210-500-VN206-500</t>
  </si>
  <si>
    <t>g_VN211-500-VN214-500</t>
  </si>
  <si>
    <t>g_VN212-500-VN215-500</t>
  </si>
  <si>
    <t>g_VN212-500-VN218-500</t>
  </si>
  <si>
    <t>g_VN213-500-VN210-500</t>
  </si>
  <si>
    <t>g_VN214-500-VN213-500</t>
  </si>
  <si>
    <t>g_VN216-500-VN212-500</t>
  </si>
  <si>
    <t>g_VN216-500-VN217-500</t>
  </si>
  <si>
    <t>g_VN217-500-VN212-500</t>
  </si>
  <si>
    <t>g_VN218-500-VN215-500</t>
  </si>
  <si>
    <t>g_VN218-500-VN224-500</t>
  </si>
  <si>
    <t>g_VN218-500-VN226-500</t>
  </si>
  <si>
    <t>g_VN219-500-VN222-500</t>
  </si>
  <si>
    <t>g_VN22-220-w1009757707-220</t>
  </si>
  <si>
    <t>g_VN220-500-VN187-500</t>
  </si>
  <si>
    <t>g_VN221-500-VN219-500</t>
  </si>
  <si>
    <t>g_VN222-500-VN223-500</t>
  </si>
  <si>
    <t>g_VN223-500-VN208-500</t>
  </si>
  <si>
    <t>g_VN224-500-VN225-500</t>
  </si>
  <si>
    <t>g_VN225-500-w468821783-500</t>
  </si>
  <si>
    <t>g_VN226-500-VN225-500</t>
  </si>
  <si>
    <t>g_VN227-500-VN221-500</t>
  </si>
  <si>
    <t>g_VN228-500-VN227-500</t>
  </si>
  <si>
    <t>g_VN229-500-VN226-500</t>
  </si>
  <si>
    <t>g_VN230-220-w468821783-220</t>
  </si>
  <si>
    <t>g_VN230-500-w468821783-500</t>
  </si>
  <si>
    <t>g_VN231-220-VN238-220</t>
  </si>
  <si>
    <t>g_VN231-220-w1043837413-220</t>
  </si>
  <si>
    <t>g_VN231-500-VN228-500</t>
  </si>
  <si>
    <t>g_VN232-220-w1265274413-220</t>
  </si>
  <si>
    <t>g_VN233-500-VN236-500</t>
  </si>
  <si>
    <t>g_VN235-500-VN220-500</t>
  </si>
  <si>
    <t>g_VN236-220-VN238-220</t>
  </si>
  <si>
    <t>g_VN236-500-VN238-500</t>
  </si>
  <si>
    <t>g_VN236-500-VN243-500</t>
  </si>
  <si>
    <t>g_VN237-500-VN233-500</t>
  </si>
  <si>
    <t>g_VN238-220-VN249-220</t>
  </si>
  <si>
    <t>g_VN238-500-VN231-500</t>
  </si>
  <si>
    <t>g_VN24-220-w1203847737-220</t>
  </si>
  <si>
    <t>g_VN240-500-VN235-500</t>
  </si>
  <si>
    <t>g_VN240-500-VN246-500</t>
  </si>
  <si>
    <t>g_VN241-500-w1044267694-500</t>
  </si>
  <si>
    <t>g_VN242-500-VN237-500</t>
  </si>
  <si>
    <t>g_VN244-220-VN236-220</t>
  </si>
  <si>
    <t>g_VN245-500-VN241-500</t>
  </si>
  <si>
    <t>g_VN246-500-VN260-500</t>
  </si>
  <si>
    <t>g_VN247-500-VN242-500</t>
  </si>
  <si>
    <t>g_VN248-220-VN234-220</t>
  </si>
  <si>
    <t>g_VN248-220-VN304-220</t>
  </si>
  <si>
    <t>g_VN248-220-w251790836-220</t>
  </si>
  <si>
    <t>g_VN248-220-w576213266-220</t>
  </si>
  <si>
    <t>g_VN249-220-w1267254187-220</t>
  </si>
  <si>
    <t>g_VN25-500-VN26-500</t>
  </si>
  <si>
    <t>g_VN250-500-VN245-500</t>
  </si>
  <si>
    <t>g_VN251-220-VN252-220</t>
  </si>
  <si>
    <t>g_VN252-220-w241065371-220</t>
  </si>
  <si>
    <t>g_VN253-500-VN250-500</t>
  </si>
  <si>
    <t>g_VN254-500-VN247-500</t>
  </si>
  <si>
    <t>g_VN255-220-w153608703-220</t>
  </si>
  <si>
    <t>g_VN256-220-VN248-220</t>
  </si>
  <si>
    <t>g_VN256-220-w1385800908-220</t>
  </si>
  <si>
    <t>g_VN257-500-VN254-500</t>
  </si>
  <si>
    <t>g_VN259-500-VN257-500</t>
  </si>
  <si>
    <t>g_VN26-500-VN27-500</t>
  </si>
  <si>
    <t>g_VN260-500-VN263-500</t>
  </si>
  <si>
    <t>g_VN261-500-VN262-500</t>
  </si>
  <si>
    <t>g_VN261-500-VN264-500</t>
  </si>
  <si>
    <t>g_VN262-500-VN259-500</t>
  </si>
  <si>
    <t>g_VN263-500-VN268-500</t>
  </si>
  <si>
    <t>g_VN265-500-VN264-500</t>
  </si>
  <si>
    <t>g_VN266-500-VN267-500</t>
  </si>
  <si>
    <t>g_VN267-500-VN269-500</t>
  </si>
  <si>
    <t>g_VN268-500-VN277-500</t>
  </si>
  <si>
    <t>g_VN269-500-VN271-500</t>
  </si>
  <si>
    <t>g_VN27-500-VN28-500</t>
  </si>
  <si>
    <t>g_VN270-500-VN266-500</t>
  </si>
  <si>
    <t>g_VN271-500-VN253-500</t>
  </si>
  <si>
    <t>g_VN272-500-VN273-500</t>
  </si>
  <si>
    <t>g_VN272-500-VN304-500</t>
  </si>
  <si>
    <t>g_VN273-500-VN275-500</t>
  </si>
  <si>
    <t>g_VN274-220-w549914192-220</t>
  </si>
  <si>
    <t>g_VN274-220-w549914200-220</t>
  </si>
  <si>
    <t>g_VN275-500-VN270-500</t>
  </si>
  <si>
    <t>g_VN276-220-VN248-220</t>
  </si>
  <si>
    <t>g_VN276-220-VN256-220</t>
  </si>
  <si>
    <t>g_VN276-220-w1044267694-220</t>
  </si>
  <si>
    <t>g_VN276-220-w1046230185-220</t>
  </si>
  <si>
    <t>g_VN276-220-w1316610167-220</t>
  </si>
  <si>
    <t>g_VN277-500-VN278-500</t>
  </si>
  <si>
    <t>g_VN278-500-VN279-500</t>
  </si>
  <si>
    <t>g_VN279-500-VN280-500</t>
  </si>
  <si>
    <t>g_VN28-500-VN29-500</t>
  </si>
  <si>
    <t>g_VN280-500-VN281-500</t>
  </si>
  <si>
    <t>g_VN281-500-VN292-500</t>
  </si>
  <si>
    <t>g_VN282-500-VN286-500</t>
  </si>
  <si>
    <t>g_VN283-500-VN287-500</t>
  </si>
  <si>
    <t>g_VN284-500-VN282-500</t>
  </si>
  <si>
    <t>g_VN286-500-VN283-500</t>
  </si>
  <si>
    <t>g_VN287-500-VN291-500</t>
  </si>
  <si>
    <t>g_VN288-500-VN284-500</t>
  </si>
  <si>
    <t>g_VN289-500-VN288-500</t>
  </si>
  <si>
    <t>g_VN29-500-VN30-500</t>
  </si>
  <si>
    <t>g_VN290-500-VN289-500</t>
  </si>
  <si>
    <t>g_VN291-500-VN295-500</t>
  </si>
  <si>
    <t>g_VN292-500-VN293-500</t>
  </si>
  <si>
    <t>g_VN293-500-VN290-500</t>
  </si>
  <si>
    <t>g_VN294-500-VN285-500</t>
  </si>
  <si>
    <t>g_VN294-500-w400591170-500</t>
  </si>
  <si>
    <t>g_VN295-500-VN296-500</t>
  </si>
  <si>
    <t>g_VN296-500-VN297-500</t>
  </si>
  <si>
    <t>g_VN297-500-VN296-500</t>
  </si>
  <si>
    <t>g_VN297-500-VN298-500</t>
  </si>
  <si>
    <t>g_VN298-500-VN299-500</t>
  </si>
  <si>
    <t>g_VN299-500-VN300-500</t>
  </si>
  <si>
    <t>g_VN30-500-VN33-500</t>
  </si>
  <si>
    <t>g_VN300-500-VN301-500</t>
  </si>
  <si>
    <t>g_VN301-500-VN302-500</t>
  </si>
  <si>
    <t>g_VN302-500-VN303-500</t>
  </si>
  <si>
    <t>g_VN303-500-VN315-500</t>
  </si>
  <si>
    <t>g_VN303-500-w1316610167-500</t>
  </si>
  <si>
    <t>g_VN304-220-w1049378480-220</t>
  </si>
  <si>
    <t>g_VN305-220-w1316610167-220</t>
  </si>
  <si>
    <t>g_VN305-220-w400591170-220</t>
  </si>
  <si>
    <t>g_VN306-220-VN307-220</t>
  </si>
  <si>
    <t>g_VN308-220-VN309-220</t>
  </si>
  <si>
    <t>g_VN309-220-VN305-220</t>
  </si>
  <si>
    <t>g_VN310-220-w1044469623-220</t>
  </si>
  <si>
    <t>g_VN311-220-w549621116-220</t>
  </si>
  <si>
    <t>g_VN312-220-VN311-220</t>
  </si>
  <si>
    <t>g_VN313-500-VN315-500</t>
  </si>
  <si>
    <t>g_VN314-500-VN313-500</t>
  </si>
  <si>
    <t>g_VN315-500-VN335-500</t>
  </si>
  <si>
    <t>g_VN316-500-VN314-500</t>
  </si>
  <si>
    <t>g_VN317-500-VN316-500</t>
  </si>
  <si>
    <t>g_VN317-500-VN318-500</t>
  </si>
  <si>
    <t>g_VN318-500-w400591170-500</t>
  </si>
  <si>
    <t>g_VN319-220-VN312-220</t>
  </si>
  <si>
    <t>g_VN319-220-VN320-220</t>
  </si>
  <si>
    <t>g_VN32-220-w1264568817-220</t>
  </si>
  <si>
    <t>g_VN322-220-VN321-220</t>
  </si>
  <si>
    <t>g_VN323-500-w1047400696-500</t>
  </si>
  <si>
    <t>g_VN324-500-VN325-500</t>
  </si>
  <si>
    <t>g_VN325-500-VN332-500</t>
  </si>
  <si>
    <t>g_VN326-500-VN330-500</t>
  </si>
  <si>
    <t>g_VN327-500-VN324-500</t>
  </si>
  <si>
    <t>g_VN328-500-VN323-500</t>
  </si>
  <si>
    <t>g_VN329-500-VN335-500</t>
  </si>
  <si>
    <t>g_VN33-500-VN34-500</t>
  </si>
  <si>
    <t>g_VN330-500-VN331-500</t>
  </si>
  <si>
    <t>g_VN331-500-VN327-500</t>
  </si>
  <si>
    <t>g_VN332-500-VN329-500</t>
  </si>
  <si>
    <t>g_VN333-500-VN326-500</t>
  </si>
  <si>
    <t>g_VN335-500-VN336-500</t>
  </si>
  <si>
    <t>g_VN335-500-VN337-500</t>
  </si>
  <si>
    <t>g_VN335-500-w400591170-500</t>
  </si>
  <si>
    <t>g_VN336-500-VN337-500</t>
  </si>
  <si>
    <t>g_VN337-500-VN338-500</t>
  </si>
  <si>
    <t>g_VN338-500-VN337-500</t>
  </si>
  <si>
    <t>g_VN338-500-VN339-500</t>
  </si>
  <si>
    <t>g_VN339-500-VN338-500</t>
  </si>
  <si>
    <t>g_VN339-500-VN340-500</t>
  </si>
  <si>
    <t>g_VN34-500-VN35-500</t>
  </si>
  <si>
    <t>g_VN340-500-VN341-500</t>
  </si>
  <si>
    <t>g_VN341-500-VN342-500</t>
  </si>
  <si>
    <t>g_VN343-500-VN342-500</t>
  </si>
  <si>
    <t>g_VN344-500-VN343-500</t>
  </si>
  <si>
    <t>g_VN346-500-VN344-500</t>
  </si>
  <si>
    <t>g_VN346-500-VN347-500</t>
  </si>
  <si>
    <t>g_VN347-500-VN346-500</t>
  </si>
  <si>
    <t>g_VN348-500-VN347-500</t>
  </si>
  <si>
    <t>g_VN349-500-VN348-500</t>
  </si>
  <si>
    <t>g_VN35-500-VN36-500</t>
  </si>
  <si>
    <t>g_VN350-500-VN349-500</t>
  </si>
  <si>
    <t>g_VN353-500-VN350-500</t>
  </si>
  <si>
    <t>g_VN354-500-VN353-500</t>
  </si>
  <si>
    <t>g_VN354-500-VN355-500</t>
  </si>
  <si>
    <t>g_VN355-500-VN356-500</t>
  </si>
  <si>
    <t>g_VN356-500-VN355-500</t>
  </si>
  <si>
    <t>g_VN356-500-VN357-500</t>
  </si>
  <si>
    <t>g_VN357-500-VN358-500</t>
  </si>
  <si>
    <t>g_VN358-220-w875587591-220</t>
  </si>
  <si>
    <t>g_VN358-500-VN357-500</t>
  </si>
  <si>
    <t>g_VN358-500-VN359-500</t>
  </si>
  <si>
    <t>g_VN359-500-VN360-500</t>
  </si>
  <si>
    <t>g_VN36-500-VN37-500</t>
  </si>
  <si>
    <t>g_VN360-500-VN359-500</t>
  </si>
  <si>
    <t>g_VN360-500-VN361-500</t>
  </si>
  <si>
    <t>g_VN361-500-VN362-500</t>
  </si>
  <si>
    <t>g_VN362-500-VN363-500</t>
  </si>
  <si>
    <t>g_VN363-500-VN364-500</t>
  </si>
  <si>
    <t>g_VN364-500-VN366-500</t>
  </si>
  <si>
    <t>g_VN365-220-VN375-220</t>
  </si>
  <si>
    <t>g_VN366-500-VN367-500</t>
  </si>
  <si>
    <t>g_VN367-500-VN368-500</t>
  </si>
  <si>
    <t>g_VN368-500-VN369-500</t>
  </si>
  <si>
    <t>g_VN369-500-VN370-500</t>
  </si>
  <si>
    <t>g_VN37-500-VN38-500</t>
  </si>
  <si>
    <t>g_VN370-500-VN371-500</t>
  </si>
  <si>
    <t>g_VN371-500-VN372-500</t>
  </si>
  <si>
    <t>g_VN372-500-VN373-500</t>
  </si>
  <si>
    <t>g_VN373-500-VN377-500</t>
  </si>
  <si>
    <t>g_VN374-500-VN376-500</t>
  </si>
  <si>
    <t>g_VN375-220-VN383-220</t>
  </si>
  <si>
    <t>g_VN377-500-VN378-500</t>
  </si>
  <si>
    <t>g_VN378-500-VN379-500</t>
  </si>
  <si>
    <t>g_VN379-500-w400633260-500</t>
  </si>
  <si>
    <t>g_VN38-500-VN39-500</t>
  </si>
  <si>
    <t>g_VN380-500-VN381-500</t>
  </si>
  <si>
    <t>g_VN381-500-VN386-500</t>
  </si>
  <si>
    <t>g_VN381-500-VN389-500</t>
  </si>
  <si>
    <t>g_VN382-500-VN385-500</t>
  </si>
  <si>
    <t>g_VN384-500-VN382-500</t>
  </si>
  <si>
    <t>g_VN385-500-VN380-500</t>
  </si>
  <si>
    <t>g_VN385-500-VN382-500</t>
  </si>
  <si>
    <t>g_VN386-500-VN387-500</t>
  </si>
  <si>
    <t>g_VN386-500-VN390-500</t>
  </si>
  <si>
    <t>g_VN387-500-VN390-500</t>
  </si>
  <si>
    <t>g_VN388-500-VN386-500</t>
  </si>
  <si>
    <t>g_VN389-500-VN388-500</t>
  </si>
  <si>
    <t>g_VN39-500-VN40-500</t>
  </si>
  <si>
    <t>g_VN390-500-VN392-500</t>
  </si>
  <si>
    <t>g_VN391-500-VN393-500</t>
  </si>
  <si>
    <t>g_VN392-500-VN391-500</t>
  </si>
  <si>
    <t>g_VN392-500-VN395-500</t>
  </si>
  <si>
    <t>g_VN393-500-VN395-500</t>
  </si>
  <si>
    <t>g_VN394-500-VN395-500</t>
  </si>
  <si>
    <t>g_VN394-500-VN396-500</t>
  </si>
  <si>
    <t>g_VN395-500-VN394-500</t>
  </si>
  <si>
    <t>g_VN395-500-VN397-500</t>
  </si>
  <si>
    <t>g_VN396-500-VN398-500</t>
  </si>
  <si>
    <t>g_VN396-500-VN400-500</t>
  </si>
  <si>
    <t>g_VN397-500-VN399-500</t>
  </si>
  <si>
    <t>g_VN398-500-VN400-500</t>
  </si>
  <si>
    <t>g_VN399-500-VN403-500</t>
  </si>
  <si>
    <t>g_VN4-220-VN12-220</t>
  </si>
  <si>
    <t>g_VN40-500-VN46-500</t>
  </si>
  <si>
    <t>g_VN400-500-VN409-500</t>
  </si>
  <si>
    <t>g_VN401-500-w630750798-500</t>
  </si>
  <si>
    <t>g_VN402-500-VN401-500</t>
  </si>
  <si>
    <t>g_VN403-500-VN407-500</t>
  </si>
  <si>
    <t>g_VN404-500-w630750798-500</t>
  </si>
  <si>
    <t>g_VN405-500-VN402-500</t>
  </si>
  <si>
    <t>g_VN405-500-VN404-500</t>
  </si>
  <si>
    <t>g_VN406-500-VN405-500</t>
  </si>
  <si>
    <t>g_VN407-500-VN409-500</t>
  </si>
  <si>
    <t>g_VN408-220-w630750798-220</t>
  </si>
  <si>
    <t>g_VN408-500-VN406-500</t>
  </si>
  <si>
    <t>g_VN408-500-VN409-500</t>
  </si>
  <si>
    <t>g_VN409-500-VN412-500</t>
  </si>
  <si>
    <t>g_VN409-500-VN414-500</t>
  </si>
  <si>
    <t>g_VN41-220-w714467567-220</t>
  </si>
  <si>
    <t>g_VN411-500-VN408-500</t>
  </si>
  <si>
    <t>g_VN411-500-VN418-500</t>
  </si>
  <si>
    <t>g_VN412-500-VN409-500</t>
  </si>
  <si>
    <t>g_VN412-500-VN415-500</t>
  </si>
  <si>
    <t>g_VN412-500-VN416-500</t>
  </si>
  <si>
    <t>g_VN413-220-VN383-220</t>
  </si>
  <si>
    <t>g_VN413-220-VN408-220</t>
  </si>
  <si>
    <t>g_VN413-220-VN410-220</t>
  </si>
  <si>
    <t>g_VN415-500-VN412-500</t>
  </si>
  <si>
    <t>g_VN415-500-VN416-500</t>
  </si>
  <si>
    <t>g_VN416-500-VN412-500</t>
  </si>
  <si>
    <t>g_VN416-500-VN415-500</t>
  </si>
  <si>
    <t>g_VN416-500-VN417-500</t>
  </si>
  <si>
    <t>g_VN417-500-VN420-500</t>
  </si>
  <si>
    <t>g_VN418-500-w1183902227-500</t>
  </si>
  <si>
    <t>g_VN42-500-VN43-500</t>
  </si>
  <si>
    <t>g_VN420-500-VN423-500</t>
  </si>
  <si>
    <t>g_VN421-500-VN419-500</t>
  </si>
  <si>
    <t>g_VN422-500-VN421-500</t>
  </si>
  <si>
    <t>g_VN423-500-VN420-500</t>
  </si>
  <si>
    <t>g_VN423-500-VN425-500</t>
  </si>
  <si>
    <t>g_VN424-500-VN422-500</t>
  </si>
  <si>
    <t>g_VN425-500-VN423-500</t>
  </si>
  <si>
    <t>g_VN425-500-VN427-500</t>
  </si>
  <si>
    <t>g_VN426-500-VN424-500</t>
  </si>
  <si>
    <t>g_VN427-500-VN425-500</t>
  </si>
  <si>
    <t>g_VN427-500-VN429-500</t>
  </si>
  <si>
    <t>g_VN428-500-VN426-500</t>
  </si>
  <si>
    <t>g_VN429-500-VN427-500</t>
  </si>
  <si>
    <t>g_VN429-500-VN434-500</t>
  </si>
  <si>
    <t>g_VN43-500-VN53-500</t>
  </si>
  <si>
    <t>g_VN430-500-VN428-500</t>
  </si>
  <si>
    <t>g_VN430-500-VN431-500</t>
  </si>
  <si>
    <t>g_VN432-500-VN431-500</t>
  </si>
  <si>
    <t>g_VN433-500-VN432-500</t>
  </si>
  <si>
    <t>g_VN434-500-VN429-500</t>
  </si>
  <si>
    <t>g_VN434-500-VN435-500</t>
  </si>
  <si>
    <t>g_VN435-500-VN434-500</t>
  </si>
  <si>
    <t>g_VN435-500-VN436-500</t>
  </si>
  <si>
    <t>g_VN436-500-VN435-500</t>
  </si>
  <si>
    <t>g_VN436-500-VN437-500</t>
  </si>
  <si>
    <t>g_VN437-500-VN436-500</t>
  </si>
  <si>
    <t>g_VN437-500-VN438-500</t>
  </si>
  <si>
    <t>g_VN438-500-VN437-500</t>
  </si>
  <si>
    <t>g_VN438-500-VN439-500</t>
  </si>
  <si>
    <t>g_VN439-500-VN438-500</t>
  </si>
  <si>
    <t>g_VN439-500-VN441-500</t>
  </si>
  <si>
    <t>g_VN44-500-w714513856-500</t>
  </si>
  <si>
    <t>g_VN440-500-VN433-500</t>
  </si>
  <si>
    <t>g_VN440-500-VN442-500</t>
  </si>
  <si>
    <t>g_VN441-500-VN439-500</t>
  </si>
  <si>
    <t>g_VN441-500-VN443-500</t>
  </si>
  <si>
    <t>g_VN442-500-VN444-500</t>
  </si>
  <si>
    <t>g_VN443-500-VN441-500</t>
  </si>
  <si>
    <t>g_VN443-500-VN446-500</t>
  </si>
  <si>
    <t>g_VN444-500-VN445-500</t>
  </si>
  <si>
    <t>g_VN445-500-VN444-500</t>
  </si>
  <si>
    <t>g_VN445-500-VN447-500</t>
  </si>
  <si>
    <t>g_VN446-500-VN443-500</t>
  </si>
  <si>
    <t>g_VN446-500-VN448-500</t>
  </si>
  <si>
    <t>g_VN447-500-VN450-500</t>
  </si>
  <si>
    <t>g_VN448-500-VN446-500</t>
  </si>
  <si>
    <t>g_VN449-500-VN448-500</t>
  </si>
  <si>
    <t>g_VN45-500-w714513856-500</t>
  </si>
  <si>
    <t>g_VN450-500-VN453-500</t>
  </si>
  <si>
    <t>g_VN452-500-VN449-500</t>
  </si>
  <si>
    <t>g_VN453-500-VN454-500</t>
  </si>
  <si>
    <t>g_VN454-500-VN456-500</t>
  </si>
  <si>
    <t>g_VN455-500-VN452-500</t>
  </si>
  <si>
    <t>g_VN456-500-VN455-500</t>
  </si>
  <si>
    <t>g_VN456-500-VN458-500</t>
  </si>
  <si>
    <t>g_VN457-500-VN456-500</t>
  </si>
  <si>
    <t>g_VN457-500-VN458-500</t>
  </si>
  <si>
    <t>g_VN458-500-VN461-500</t>
  </si>
  <si>
    <t>g_VN459-500-VN458-500</t>
  </si>
  <si>
    <t>g_VN459-500-VN460-500</t>
  </si>
  <si>
    <t>g_VN46-500-VN47-500</t>
  </si>
  <si>
    <t>g_VN461-500-VN463-500</t>
  </si>
  <si>
    <t>g_VN463-500-VN464-500</t>
  </si>
  <si>
    <t>g_VN464-500-VN465-500</t>
  </si>
  <si>
    <t>g_VN464-500-VN466-500</t>
  </si>
  <si>
    <t>g_VN465-500-VN466-500</t>
  </si>
  <si>
    <t>g_VN466-500-VN467-500</t>
  </si>
  <si>
    <t>g_VN467-500-VN468-500</t>
  </si>
  <si>
    <t>g_VN467-500-VN469-500</t>
  </si>
  <si>
    <t>g_VN468-500-VN470-500</t>
  </si>
  <si>
    <t>g_VN469-500-VN471-500</t>
  </si>
  <si>
    <t>g_VN47-500-VN48-500</t>
  </si>
  <si>
    <t>g_VN470-500-VN468-500</t>
  </si>
  <si>
    <t>g_VN470-500-VN471-500</t>
  </si>
  <si>
    <t>g_VN471-500-VN472-500</t>
  </si>
  <si>
    <t>g_VN472-500-VN473-500</t>
  </si>
  <si>
    <t>g_VN473-500-VN474-500</t>
  </si>
  <si>
    <t>g_VN474-500-VN475-500</t>
  </si>
  <si>
    <t>g_VN475-500-VN480-500</t>
  </si>
  <si>
    <t>g_VN475-500-VN481-500</t>
  </si>
  <si>
    <t>g_VN477-500-VN476-500</t>
  </si>
  <si>
    <t>g_VN477-500-VN478-500</t>
  </si>
  <si>
    <t>g_VN478-500-VN482-500</t>
  </si>
  <si>
    <t>g_VN479-220-VN451-220</t>
  </si>
  <si>
    <t>g_VN479-220-VN481-220</t>
  </si>
  <si>
    <t>g_VN479-220-w436002389-220</t>
  </si>
  <si>
    <t>g_VN48-500-VN60-500</t>
  </si>
  <si>
    <t>g_VN480-500-VN481-500</t>
  </si>
  <si>
    <t>g_VN481-220-VN479-220</t>
  </si>
  <si>
    <t>g_VN481-220-w401042494-220</t>
  </si>
  <si>
    <t>g_VN481-500-VN485-500</t>
  </si>
  <si>
    <t>g_VN482-500-VN483-500</t>
  </si>
  <si>
    <t>g_VN483-500-VN484-500</t>
  </si>
  <si>
    <t>g_VN484-500-VN485-500</t>
  </si>
  <si>
    <t>g_VN485-500-VN486-500</t>
  </si>
  <si>
    <t>g_VN486-500-VN487-500</t>
  </si>
  <si>
    <t>g_VN487-500-VN490-500</t>
  </si>
  <si>
    <t>g_VN487-500-VN491-500</t>
  </si>
  <si>
    <t>g_VN488-220-VN489-220</t>
  </si>
  <si>
    <t>g_VN489-220-VN481-220</t>
  </si>
  <si>
    <t>g_VN49-500-VN44-500</t>
  </si>
  <si>
    <t>g_VN490-500-VN492-500</t>
  </si>
  <si>
    <t>g_VN491-500-VN493-500</t>
  </si>
  <si>
    <t>g_VN492-500-VN494-500</t>
  </si>
  <si>
    <t>g_VN492-500-VN497-500</t>
  </si>
  <si>
    <t>g_VN493-500-VN495-500</t>
  </si>
  <si>
    <t>g_VN494-500-VN497-500</t>
  </si>
  <si>
    <t>g_VN495-500-VN496-500</t>
  </si>
  <si>
    <t>g_VN496-500-VN499-500</t>
  </si>
  <si>
    <t>g_VN497-500-VN498-500</t>
  </si>
  <si>
    <t>g_VN498-220-VN489-220</t>
  </si>
  <si>
    <t>g_VN498-220-VN510-220</t>
  </si>
  <si>
    <t>g_VN498-500-VN497-500</t>
  </si>
  <si>
    <t>g_VN498-500-VN500-500</t>
  </si>
  <si>
    <t>g_VN499-500-VN501-500</t>
  </si>
  <si>
    <t>g_VN50-500-VN44-500</t>
  </si>
  <si>
    <t>g_VN500-500-VN503-500</t>
  </si>
  <si>
    <t>g_VN501-500-VN504-500</t>
  </si>
  <si>
    <t>g_VN502-220-VN511-220</t>
  </si>
  <si>
    <t>g_VN503-500-VN505-500</t>
  </si>
  <si>
    <t>g_VN504-500-VN506-500</t>
  </si>
  <si>
    <t>g_VN505-500-VN509-500</t>
  </si>
  <si>
    <t>g_VN506-500-VN507-500</t>
  </si>
  <si>
    <t>g_VN507-500-VN508-500</t>
  </si>
  <si>
    <t>g_VN508-500-VN522-500</t>
  </si>
  <si>
    <t>g_VN509-500-VN511-500</t>
  </si>
  <si>
    <t>g_VN51-500-VN56-500</t>
  </si>
  <si>
    <t>g_VN510-220-w479326578-220</t>
  </si>
  <si>
    <t>g_VN511-220-VN519-220</t>
  </si>
  <si>
    <t>g_VN511-500-VN512-500</t>
  </si>
  <si>
    <t>g_VN512-500-VN513-500</t>
  </si>
  <si>
    <t>g_VN513-500-VN512-500</t>
  </si>
  <si>
    <t>g_VN513-500-VN519-500</t>
  </si>
  <si>
    <t>g_VN514-500-VN515-500</t>
  </si>
  <si>
    <t>g_VN514-500-VN516-500</t>
  </si>
  <si>
    <t>g_VN515-500-VN514-500</t>
  </si>
  <si>
    <t>g_VN516-500-VN514-500</t>
  </si>
  <si>
    <t>g_VN516-500-VN520-500</t>
  </si>
  <si>
    <t>g_VN517-500-VN515-500</t>
  </si>
  <si>
    <t>g_VN518-500-VN517-500</t>
  </si>
  <si>
    <t>g_VN519-220-VN521-220</t>
  </si>
  <si>
    <t>g_VN519-500-VN518-500</t>
  </si>
  <si>
    <t>g_VN52-500-VN45-500</t>
  </si>
  <si>
    <t>g_VN520-500-VN516-500</t>
  </si>
  <si>
    <t>g_VN520-500-VN521-500</t>
  </si>
  <si>
    <t>g_VN521-220-w549577079-220</t>
  </si>
  <si>
    <t>g_VN521-500-VN520-500</t>
  </si>
  <si>
    <t>g_VN521-500-VN522-500</t>
  </si>
  <si>
    <t>g_VN522-500-VN521-500</t>
  </si>
  <si>
    <t>g_VN522-500-VN523-500</t>
  </si>
  <si>
    <t>g_VN522-500-VN525-500</t>
  </si>
  <si>
    <t>g_VN523-500-VN522-500</t>
  </si>
  <si>
    <t>g_VN523-500-VN524-500</t>
  </si>
  <si>
    <t>g_VN524-500-VN523-500</t>
  </si>
  <si>
    <t>g_VN524-500-VN525-500</t>
  </si>
  <si>
    <t>g_VN525-500-VN524-500</t>
  </si>
  <si>
    <t>g_VN525-500-VN526-500</t>
  </si>
  <si>
    <t>g_VN525-500-VN534-500</t>
  </si>
  <si>
    <t>g_VN526-500-VN527-500</t>
  </si>
  <si>
    <t>g_VN527-500-VN528-500</t>
  </si>
  <si>
    <t>g_VN528-500-VN529-500</t>
  </si>
  <si>
    <t>g_VN529-500-VN530-500</t>
  </si>
  <si>
    <t>g_VN53-500-VN67-500</t>
  </si>
  <si>
    <t>g_VN530-500-VN531-500</t>
  </si>
  <si>
    <t>g_VN531-500-VN532-500</t>
  </si>
  <si>
    <t>g_VN532-500-VN535-500</t>
  </si>
  <si>
    <t>g_VN534-220-w400791086-220</t>
  </si>
  <si>
    <t>g_VN534-500-w400791086-500</t>
  </si>
  <si>
    <t>g_VN535-500-VN541-500</t>
  </si>
  <si>
    <t>g_VN536-220-VN533-220</t>
  </si>
  <si>
    <t>g_VN537-220-VN538-220</t>
  </si>
  <si>
    <t>g_VN538-220-VN539-220</t>
  </si>
  <si>
    <t>g_VN538-220-w400791086-220</t>
  </si>
  <si>
    <t>g_VN539-220-VN575-220</t>
  </si>
  <si>
    <t>g_VN54-500-VN62-500</t>
  </si>
  <si>
    <t>g_VN541-500-VN542-500</t>
  </si>
  <si>
    <t>g_VN542-500-VN544-500</t>
  </si>
  <si>
    <t>g_VN543-220-VN534-220</t>
  </si>
  <si>
    <t>g_VN543-500-VN545-500</t>
  </si>
  <si>
    <t>g_VN544-500-VN548-500</t>
  </si>
  <si>
    <t>g_VN545-500-VN546-500</t>
  </si>
  <si>
    <t>g_VN546-500-VN547-500</t>
  </si>
  <si>
    <t>g_VN547-500-VN549-500</t>
  </si>
  <si>
    <t>g_VN548-500-VN550-500</t>
  </si>
  <si>
    <t>g_VN549-500-VN551-500</t>
  </si>
  <si>
    <t>g_VN55-500-VN51-500</t>
  </si>
  <si>
    <t>g_VN550-500-VN552-500</t>
  </si>
  <si>
    <t>g_VN551-220-VN543-220</t>
  </si>
  <si>
    <t>g_VN551-500-VN553-500</t>
  </si>
  <si>
    <t>g_VN553-500-VN554-500</t>
  </si>
  <si>
    <t>g_VN554-500-VN553-500</t>
  </si>
  <si>
    <t>g_VN554-500-VN556-500</t>
  </si>
  <si>
    <t>g_VN555-500-VN552-500</t>
  </si>
  <si>
    <t>g_VN555-500-VN557-500</t>
  </si>
  <si>
    <t>g_VN556-500-VN558-500</t>
  </si>
  <si>
    <t>g_VN557-500-VN560-500</t>
  </si>
  <si>
    <t>g_VN558-500-VN559-500</t>
  </si>
  <si>
    <t>g_VN559-500-VN558-500</t>
  </si>
  <si>
    <t>g_VN559-500-VN561-500</t>
  </si>
  <si>
    <t>g_VN56-500-VN58-500</t>
  </si>
  <si>
    <t>g_VN561-500-VN564-500</t>
  </si>
  <si>
    <t>g_VN562-500-VN560-500</t>
  </si>
  <si>
    <t>g_VN562-500-VN571-500</t>
  </si>
  <si>
    <t>g_VN563-220-w1050854663-220</t>
  </si>
  <si>
    <t>g_VN564-500-VN565-500</t>
  </si>
  <si>
    <t>g_VN565-500-VN566-500</t>
  </si>
  <si>
    <t>g_VN566-500-VN567-500</t>
  </si>
  <si>
    <t>g_VN567-500-VN568-500</t>
  </si>
  <si>
    <t>g_VN568-500-VN570-500</t>
  </si>
  <si>
    <t>g_VN57-500-VN50-500</t>
  </si>
  <si>
    <t>g_VN570-500-VN572-500</t>
  </si>
  <si>
    <t>g_VN571-500-VN577-500</t>
  </si>
  <si>
    <t>g_VN572-500-VN573-500</t>
  </si>
  <si>
    <t>g_VN573-500-VN574-500</t>
  </si>
  <si>
    <t>g_VN574-500-VN576-500</t>
  </si>
  <si>
    <t>g_VN575-220-w549400050-220</t>
  </si>
  <si>
    <t>g_VN576-500-VN579-500</t>
  </si>
  <si>
    <t>g_VN577-500-VN578-500</t>
  </si>
  <si>
    <t>g_VN578-500-VN580-500</t>
  </si>
  <si>
    <t>g_VN579-500-VN576-500</t>
  </si>
  <si>
    <t>g_VN579-500-VN581-500</t>
  </si>
  <si>
    <t>g_VN58-500-VN52-500</t>
  </si>
  <si>
    <t>g_VN580-500-VN582-500</t>
  </si>
  <si>
    <t>g_VN581-500-VN586-500</t>
  </si>
  <si>
    <t>g_VN582-500-VN583-500</t>
  </si>
  <si>
    <t>g_VN583-500-VN584-500</t>
  </si>
  <si>
    <t>g_VN584-500-VN585-500</t>
  </si>
  <si>
    <t>g_VN585-500-VN589-500</t>
  </si>
  <si>
    <t>g_VN587-500-VN586-500</t>
  </si>
  <si>
    <t>g_VN588-500-VN587-500</t>
  </si>
  <si>
    <t>g_VN59-500-VN54-500</t>
  </si>
  <si>
    <t>g_VN590-220-w1263020542-220</t>
  </si>
  <si>
    <t>g_VN591-500-VN588-500</t>
  </si>
  <si>
    <t>g_VN592-500-VN589-500</t>
  </si>
  <si>
    <t>g_VN593-500-VN591-500</t>
  </si>
  <si>
    <t>g_VN594-500-VN593-500</t>
  </si>
  <si>
    <t>g_VN594-500-VN596-500</t>
  </si>
  <si>
    <t>g_VN595-500-VN592-500</t>
  </si>
  <si>
    <t>g_VN595-500-VN597-500</t>
  </si>
  <si>
    <t>g_VN596-500-VN594-500</t>
  </si>
  <si>
    <t>g_VN597-500-VN598-500</t>
  </si>
  <si>
    <t>g_VN598-500-VN599-500</t>
  </si>
  <si>
    <t>g_VN599-500-VN600-500</t>
  </si>
  <si>
    <t>g_VN6-500-VN7-500</t>
  </si>
  <si>
    <t>g_VN6-500-w846270016-500</t>
  </si>
  <si>
    <t>g_VN60-500-VN61-500</t>
  </si>
  <si>
    <t>g_VN600-500-VN601-500</t>
  </si>
  <si>
    <t>g_VN601-500-VN602-500</t>
  </si>
  <si>
    <t>g_VN602-500-VN603-500</t>
  </si>
  <si>
    <t>g_VN603-500-VN606-500</t>
  </si>
  <si>
    <t>g_VN604-500-VN596-500</t>
  </si>
  <si>
    <t>g_VN604-500-VN605-500</t>
  </si>
  <si>
    <t>g_VN605-500-VN604-500</t>
  </si>
  <si>
    <t>g_VN606-500-VN607-500</t>
  </si>
  <si>
    <t>g_VN607-500-VN622-500</t>
  </si>
  <si>
    <t>g_VN608-500-VN605-500</t>
  </si>
  <si>
    <t>g_VN609-500-VN608-500</t>
  </si>
  <si>
    <t>g_VN609-500-VN610-500</t>
  </si>
  <si>
    <t>g_VN61-500-VN59-500</t>
  </si>
  <si>
    <t>g_VN610-500-VN609-500</t>
  </si>
  <si>
    <t>g_VN611-500-VN610-500</t>
  </si>
  <si>
    <t>g_VN612-500-VN611-500</t>
  </si>
  <si>
    <t>g_VN612-500-VN613-500</t>
  </si>
  <si>
    <t>g_VN613-500-VN612-500</t>
  </si>
  <si>
    <t>g_VN614-220-VN624-220</t>
  </si>
  <si>
    <t>g_VN615-500-VN613-500</t>
  </si>
  <si>
    <t>g_VN616-500-VN615-500</t>
  </si>
  <si>
    <t>g_VN618-220-VN620-220</t>
  </si>
  <si>
    <t>g_VN619-500-VN616-500</t>
  </si>
  <si>
    <t>g_VN62-500-VN65-500</t>
  </si>
  <si>
    <t>g_VN621-500-VN619-500</t>
  </si>
  <si>
    <t>g_VN622-500-VN623-500</t>
  </si>
  <si>
    <t>g_VN623-500-VN638-500</t>
  </si>
  <si>
    <t>g_VN624-220-w1309081728-220</t>
  </si>
  <si>
    <t>g_VN625-500-VN621-500</t>
  </si>
  <si>
    <t>g_VN626-500-VN627-500</t>
  </si>
  <si>
    <t>g_VN627-500-VN626-500</t>
  </si>
  <si>
    <t>g_VN627-500-VN629-500</t>
  </si>
  <si>
    <t>g_VN628-500-VN626-500</t>
  </si>
  <si>
    <t>g_VN63-500-VN57-500</t>
  </si>
  <si>
    <t>g_VN630-500-VN631-500</t>
  </si>
  <si>
    <t>g_VN631-500-VN632-500</t>
  </si>
  <si>
    <t>g_VN632-500-VN631-500</t>
  </si>
  <si>
    <t>g_VN632-500-VN633-500</t>
  </si>
  <si>
    <t>g_VN634-500-VN625-500</t>
  </si>
  <si>
    <t>g_VN635-500-VN633-500</t>
  </si>
  <si>
    <t>g_VN636-500-VN634-500</t>
  </si>
  <si>
    <t>g_VN637-500-VN635-500</t>
  </si>
  <si>
    <t>g_VN637-500-VN639-500</t>
  </si>
  <si>
    <t>g_VN638-500-VN646-500</t>
  </si>
  <si>
    <t>g_VN64-500-VN55-500</t>
  </si>
  <si>
    <t>g_VN640-500-VN639-500</t>
  </si>
  <si>
    <t>g_VN640-500-VN641-500</t>
  </si>
  <si>
    <t>g_VN642-500-VN641-500</t>
  </si>
  <si>
    <t>g_VN643-500-VN642-500</t>
  </si>
  <si>
    <t>g_VN644-500-VN636-500</t>
  </si>
  <si>
    <t>g_VN645-500-VN643-500</t>
  </si>
  <si>
    <t>g_VN646-500-VN645-500</t>
  </si>
  <si>
    <t>g_VN646-500-VN648-500</t>
  </si>
  <si>
    <t>g_VN646-500-VN653-500</t>
  </si>
  <si>
    <t>g_VN647-500-VN644-500</t>
  </si>
  <si>
    <t>g_VN65-500-VN64-500</t>
  </si>
  <si>
    <t>g_VN650-500-VN649-500</t>
  </si>
  <si>
    <t>g_VN650-500-VN652-500</t>
  </si>
  <si>
    <t>g_VN651-220-VN624-220</t>
  </si>
  <si>
    <t>g_VN652-500-VN653-500</t>
  </si>
  <si>
    <t>g_VN653-500-VN652-500</t>
  </si>
  <si>
    <t>g_VN653-500-VN654-500</t>
  </si>
  <si>
    <t>g_VN653-500-VN674-500</t>
  </si>
  <si>
    <t>g_VN654-500-VN656-500</t>
  </si>
  <si>
    <t>g_VN655-500-VN647-500</t>
  </si>
  <si>
    <t>g_VN656-500-VN657-500</t>
  </si>
  <si>
    <t>g_VN657-500-VN658-500</t>
  </si>
  <si>
    <t>g_VN658-500-VN657-500</t>
  </si>
  <si>
    <t>g_VN658-500-VN659-500</t>
  </si>
  <si>
    <t>g_VN659-500-VN660-500</t>
  </si>
  <si>
    <t>g_VN66-500-VN63-500</t>
  </si>
  <si>
    <t>g_VN660-500-VN661-500</t>
  </si>
  <si>
    <t>g_VN661-500-VN662-500</t>
  </si>
  <si>
    <t>g_VN662-500-VN664-500</t>
  </si>
  <si>
    <t>g_VN663-500-VN655-500</t>
  </si>
  <si>
    <t>g_VN664-500-VN665-500</t>
  </si>
  <si>
    <t>g_VN665-500-VN666-500</t>
  </si>
  <si>
    <t>g_VN666-500-VN668-500</t>
  </si>
  <si>
    <t>g_VN667-500-VN663-500</t>
  </si>
  <si>
    <t>g_VN669-500-VN671-500</t>
  </si>
  <si>
    <t>g_VN67-500-VN99-500</t>
  </si>
  <si>
    <t>g_VN670-500-VN667-500</t>
  </si>
  <si>
    <t>g_VN671-500-VN672-500</t>
  </si>
  <si>
    <t>g_VN672-500-VN674-500</t>
  </si>
  <si>
    <t>g_VN673-500-VN670-500</t>
  </si>
  <si>
    <t>g_VN674-500-VN675-500</t>
  </si>
  <si>
    <t>g_VN674-500-VN676-500</t>
  </si>
  <si>
    <t>g_VN675-500-VN674-500</t>
  </si>
  <si>
    <t>g_VN675-500-VN676-500</t>
  </si>
  <si>
    <t>g_VN676-500-VN678-500</t>
  </si>
  <si>
    <t>g_VN676-500-VN686-500</t>
  </si>
  <si>
    <t>g_VN677-500-VN673-500</t>
  </si>
  <si>
    <t>g_VN678-500-VN680-500</t>
  </si>
  <si>
    <t>g_VN679-220-VN685-220</t>
  </si>
  <si>
    <t>g_VN679-220-w1271798294-220</t>
  </si>
  <si>
    <t>g_VN68-500-VN70-500</t>
  </si>
  <si>
    <t>g_VN68-500-w1043531953-500</t>
  </si>
  <si>
    <t>g_VN680-500-VN682-500</t>
  </si>
  <si>
    <t>g_VN681-500-VN677-500</t>
  </si>
  <si>
    <t>g_VN682-500-VN686-500</t>
  </si>
  <si>
    <t>g_VN685-220-w969705786-220</t>
  </si>
  <si>
    <t>g_VN686-500-VN688-500</t>
  </si>
  <si>
    <t>g_VN686-500-w1309081728-500</t>
  </si>
  <si>
    <t>g_VN687-220-VN684-220</t>
  </si>
  <si>
    <t>g_VN688-500-VN691-500</t>
  </si>
  <si>
    <t>g_VN689-500-w1385239486-500</t>
  </si>
  <si>
    <t>g_VN69-220-VN96-220</t>
  </si>
  <si>
    <t>g_VN690-500-VN681-500</t>
  </si>
  <si>
    <t>g_VN692-500-VN691-500</t>
  </si>
  <si>
    <t>g_VN692-500-w1309081728-500</t>
  </si>
  <si>
    <t>g_VN693-500-VN689-500</t>
  </si>
  <si>
    <t>g_VN694-500-VN693-500</t>
  </si>
  <si>
    <t>g_VN695-220-VN696-220</t>
  </si>
  <si>
    <t>g_VN697-220-VN699-220</t>
  </si>
  <si>
    <t>g_VN698-500-VN706-500</t>
  </si>
  <si>
    <t>g_VN70-500-VN71-500</t>
  </si>
  <si>
    <t>g_VN700-220-VN712-220</t>
  </si>
  <si>
    <t>g_VN703-220-VN715-220</t>
  </si>
  <si>
    <t>g_VN703-500-VN711-500</t>
  </si>
  <si>
    <t>g_VN703-500-w1309081728-500</t>
  </si>
  <si>
    <t>g_VN704-220-VN701-220</t>
  </si>
  <si>
    <t>g_VN704-220-VN712-220</t>
  </si>
  <si>
    <t>g_VN706-500-VN716-500</t>
  </si>
  <si>
    <t>g_VN708-220-VN713-220</t>
  </si>
  <si>
    <t>g_VN709-220-VN714-220</t>
  </si>
  <si>
    <t>g_VN71-500-VN70-500</t>
  </si>
  <si>
    <t>g_VN71-500-VN72-500</t>
  </si>
  <si>
    <t>g_VN710-220-VN702-220</t>
  </si>
  <si>
    <t>g_VN710-220-VN707-220</t>
  </si>
  <si>
    <t>g_VN710-220-w969705786-220</t>
  </si>
  <si>
    <t>g_VN711-500-VN703-500</t>
  </si>
  <si>
    <t>g_VN711-500-VN716-500</t>
  </si>
  <si>
    <t>g_VN712-220-VN708-220</t>
  </si>
  <si>
    <t>g_VN713-220-VN710-220</t>
  </si>
  <si>
    <t>g_VN715-220-w548201687-220</t>
  </si>
  <si>
    <t>g_VN716-220-w1318145196-220</t>
  </si>
  <si>
    <t>g_VN716-500-VN718-500</t>
  </si>
  <si>
    <t>g_VN716-500-VN720-500</t>
  </si>
  <si>
    <t>g_VN717-220-VN704-220</t>
  </si>
  <si>
    <t>g_VN718-500-VN720-500</t>
  </si>
  <si>
    <t>g_VN719-220-VN720-220</t>
  </si>
  <si>
    <t>g_VN72-500-VN79-500</t>
  </si>
  <si>
    <t>g_VN720-500-VN721-500</t>
  </si>
  <si>
    <t>g_VN720-500-VN722-500</t>
  </si>
  <si>
    <t>g_VN720-500-w1050880133-500</t>
  </si>
  <si>
    <t>g_VN721-500-VN725-500</t>
  </si>
  <si>
    <t>g_VN722-500-VN724-500</t>
  </si>
  <si>
    <t>g_VN723-500-VN720-500</t>
  </si>
  <si>
    <t>g_VN724-500-VN726-500</t>
  </si>
  <si>
    <t>g_VN725-500-VN727-500</t>
  </si>
  <si>
    <t>g_VN726-500-w1346313213-500</t>
  </si>
  <si>
    <t>g_VN727-500-VN729-500</t>
  </si>
  <si>
    <t>g_VN729-500-VN731-500</t>
  </si>
  <si>
    <t>g_VN73-500-VN81-500</t>
  </si>
  <si>
    <t>g_VN730-500-VN723-500</t>
  </si>
  <si>
    <t>g_VN731-500-VN732-500</t>
  </si>
  <si>
    <t>g_VN732-500-VN733-500</t>
  </si>
  <si>
    <t>g_VN733-500-VN734-500</t>
  </si>
  <si>
    <t>g_VN733-500-VN735-500</t>
  </si>
  <si>
    <t>g_VN734-500-VN736-500</t>
  </si>
  <si>
    <t>g_VN735-500-VN736-500</t>
  </si>
  <si>
    <t>g_VN736-500-VN737-500</t>
  </si>
  <si>
    <t>g_VN736-500-VN739-500</t>
  </si>
  <si>
    <t>g_VN737-500-VN736-500</t>
  </si>
  <si>
    <t>g_VN737-500-VN739-500</t>
  </si>
  <si>
    <t>g_VN738-500-VN741-500</t>
  </si>
  <si>
    <t>g_VN739-500-VN742-500</t>
  </si>
  <si>
    <t>g_VN739-500-VN743-500</t>
  </si>
  <si>
    <t>g_VN74-500-VN73-500</t>
  </si>
  <si>
    <t>g_VN740-500-VN730-500</t>
  </si>
  <si>
    <t>g_VN741-500-VN740-500</t>
  </si>
  <si>
    <t>g_VN742-500-VN744-500</t>
  </si>
  <si>
    <t>g_VN743-500-VN747-500</t>
  </si>
  <si>
    <t>g_VN744-500-VN745-500</t>
  </si>
  <si>
    <t>g_VN745-500-VN748-500</t>
  </si>
  <si>
    <t>g_VN746-500-VN740-500</t>
  </si>
  <si>
    <t>g_VN747-500-VN750-500</t>
  </si>
  <si>
    <t>g_VN748-500-VN749-500</t>
  </si>
  <si>
    <t>g_VN749-500-VN751-500</t>
  </si>
  <si>
    <t>g_VN75-500-VN68-500</t>
  </si>
  <si>
    <t>g_VN75-500-VN77-500</t>
  </si>
  <si>
    <t>g_VN750-500-VN754-500</t>
  </si>
  <si>
    <t>g_VN751-500-VN754-500</t>
  </si>
  <si>
    <t>g_VN752-500-VN746-500</t>
  </si>
  <si>
    <t>g_VN754-500-VN755-500</t>
  </si>
  <si>
    <t>g_VN754-500-VN756-500</t>
  </si>
  <si>
    <t>g_VN755-500-VN756-500</t>
  </si>
  <si>
    <t>g_VN756-500-VN757-500</t>
  </si>
  <si>
    <t>g_VN756-500-VN759-500</t>
  </si>
  <si>
    <t>g_VN757-500-VN758-500</t>
  </si>
  <si>
    <t>g_VN758-500-VN757-500</t>
  </si>
  <si>
    <t>g_VN758-500-VN763-500</t>
  </si>
  <si>
    <t>g_VN759-220-w548201687-220</t>
  </si>
  <si>
    <t>g_VN759-500-VN761-500</t>
  </si>
  <si>
    <t>g_VN76-500-VN74-500</t>
  </si>
  <si>
    <t>g_VN760-220-VN759-220</t>
  </si>
  <si>
    <t>g_VN761-500-VN759-500</t>
  </si>
  <si>
    <t>g_VN761-500-VN764-500</t>
  </si>
  <si>
    <t>g_VN762-500-VN752-500</t>
  </si>
  <si>
    <t>g_VN763-500-VN765-500</t>
  </si>
  <si>
    <t>g_VN764-500-VN767-500</t>
  </si>
  <si>
    <t>g_VN765-500-VN766-500</t>
  </si>
  <si>
    <t>g_VN766-500-VN765-500</t>
  </si>
  <si>
    <t>g_VN766-500-VN768-500</t>
  </si>
  <si>
    <t>g_VN767-500-VN770-500</t>
  </si>
  <si>
    <t>g_VN768-500-VN769-500</t>
  </si>
  <si>
    <t>g_VN769-500-VN771-500</t>
  </si>
  <si>
    <t>g_VN77-500-VN101-500</t>
  </si>
  <si>
    <t>g_VN77-500-VN75-500</t>
  </si>
  <si>
    <t>g_VN770-500-VN777-500</t>
  </si>
  <si>
    <t>g_VN771-500-VN769-500</t>
  </si>
  <si>
    <t>g_VN772-500-VN762-500</t>
  </si>
  <si>
    <t>g_VN773-500-VN772-500</t>
  </si>
  <si>
    <t>g_VN774-220-VN782-220</t>
  </si>
  <si>
    <t>g_VN775-500-VN773-500</t>
  </si>
  <si>
    <t>g_VN776-500-VN771-500</t>
  </si>
  <si>
    <t>g_VN777-500-VN778-500</t>
  </si>
  <si>
    <t>g_VN778-500-VN780-500</t>
  </si>
  <si>
    <t>g_VN779-500-VN776-500</t>
  </si>
  <si>
    <t>g_VN779-500-VN781-500</t>
  </si>
  <si>
    <t>g_VN78-500-VN89-500</t>
  </si>
  <si>
    <t>g_VN780-500-VN783-500</t>
  </si>
  <si>
    <t>g_VN781-500-VN779-500</t>
  </si>
  <si>
    <t>g_VN782-220-VN760-220</t>
  </si>
  <si>
    <t>g_VN782-500-VN781-500</t>
  </si>
  <si>
    <t>g_VN783-500-VN785-500</t>
  </si>
  <si>
    <t>g_VN784-220-VN782-220</t>
  </si>
  <si>
    <t>g_VN785-500-VN783-500</t>
  </si>
  <si>
    <t>g_VN785-500-VN789-500</t>
  </si>
  <si>
    <t>g_VN786-500-VN782-500</t>
  </si>
  <si>
    <t>g_VN787-500-VN786-500</t>
  </si>
  <si>
    <t>g_VN788-500-VN787-500</t>
  </si>
  <si>
    <t>g_VN789-500-VN791-500</t>
  </si>
  <si>
    <t>g_VN79-500-VN80-500</t>
  </si>
  <si>
    <t>g_VN790-500-VN788-500</t>
  </si>
  <si>
    <t>g_VN791-500-VN793-500</t>
  </si>
  <si>
    <t>g_VN792-500-VN790-500</t>
  </si>
  <si>
    <t>g_VN793-500-VN794-500</t>
  </si>
  <si>
    <t>g_VN794-500-VN796-500</t>
  </si>
  <si>
    <t>g_VN795-500-VN775-500</t>
  </si>
  <si>
    <t>g_VN796-500-VN794-500</t>
  </si>
  <si>
    <t>g_VN796-500-VN800-500</t>
  </si>
  <si>
    <t>g_VN797-500-VN792-500</t>
  </si>
  <si>
    <t>g_VN798-500-VN795-500</t>
  </si>
  <si>
    <t>g_VN799-500-VN798-500</t>
  </si>
  <si>
    <t>g_VN8-500-VN7-500</t>
  </si>
  <si>
    <t>g_VN80-500-VN78-500</t>
  </si>
  <si>
    <t>g_VN800-500-VN796-500</t>
  </si>
  <si>
    <t>g_VN800-500-VN809-500</t>
  </si>
  <si>
    <t>g_VN801-500-w1376430795-500</t>
  </si>
  <si>
    <t>g_VN802-500-VN803-500</t>
  </si>
  <si>
    <t>g_VN802-500-VN806-500</t>
  </si>
  <si>
    <t>g_VN804-500-VN799-500</t>
  </si>
  <si>
    <t>g_VN805-500-VN801-500</t>
  </si>
  <si>
    <t>g_VN806-500-VN807-500</t>
  </si>
  <si>
    <t>g_VN807-500-VN805-500</t>
  </si>
  <si>
    <t>g_VN808-500-VN804-500</t>
  </si>
  <si>
    <t>g_VN809-500-VN816-500</t>
  </si>
  <si>
    <t>g_VN81-220-VN98-220</t>
  </si>
  <si>
    <t>g_VN81-220-w714467567-220</t>
  </si>
  <si>
    <t>g_VN81-500-VN98-500</t>
  </si>
  <si>
    <t>g_VN810-500-VN797-500</t>
  </si>
  <si>
    <t>g_VN811-500-VN808-500</t>
  </si>
  <si>
    <t>g_VN812-500-VN811-500</t>
  </si>
  <si>
    <t>g_VN813-500-VN803-500</t>
  </si>
  <si>
    <t>g_VN813-500-VN814-500</t>
  </si>
  <si>
    <t>g_VN815-500-VN814-500</t>
  </si>
  <si>
    <t>g_VN816-500-VN818-500</t>
  </si>
  <si>
    <t>g_VN817-500-VN810-500</t>
  </si>
  <si>
    <t>g_VN818-500-VN816-500</t>
  </si>
  <si>
    <t>g_VN818-500-VN821-500</t>
  </si>
  <si>
    <t>g_VN819-500-VN815-500</t>
  </si>
  <si>
    <t>g_VN82-500-VN87-500</t>
  </si>
  <si>
    <t>g_VN820-500-VN812-500</t>
  </si>
  <si>
    <t>g_VN821-500-VN828-500</t>
  </si>
  <si>
    <t>g_VN822-500-VN820-500</t>
  </si>
  <si>
    <t>g_VN823-500-VN819-500</t>
  </si>
  <si>
    <t>g_VN824-500-VN823-500</t>
  </si>
  <si>
    <t>g_VN824-500-VN825-500</t>
  </si>
  <si>
    <t>g_VN825-500-VN824-500</t>
  </si>
  <si>
    <t>g_VN826-500-VN825-500</t>
  </si>
  <si>
    <t>g_VN826-500-VN827-500</t>
  </si>
  <si>
    <t>g_VN828-500-VN830-500</t>
  </si>
  <si>
    <t>g_VN829-500-VN822-500</t>
  </si>
  <si>
    <t>g_VN83-500-VN84-500</t>
  </si>
  <si>
    <t>g_VN830-500-VN840-500</t>
  </si>
  <si>
    <t>g_VN831-500-VN829-500</t>
  </si>
  <si>
    <t>g_VN832-500-VN817-500</t>
  </si>
  <si>
    <t>g_VN833-500-VN831-500</t>
  </si>
  <si>
    <t>g_VN834-500-VN827-500</t>
  </si>
  <si>
    <t>g_VN834-500-VN835-500</t>
  </si>
  <si>
    <t>g_VN835-500-VN838-500</t>
  </si>
  <si>
    <t>g_VN837-220-VN865-220</t>
  </si>
  <si>
    <t>g_VN838-500-VN841-500</t>
  </si>
  <si>
    <t>g_VN839-220-w1192268300-220</t>
  </si>
  <si>
    <t>g_VN839-220-w183249722-220</t>
  </si>
  <si>
    <t>g_VN839-220-w548210485-220</t>
  </si>
  <si>
    <t>g_VN84-500-VN90-500</t>
  </si>
  <si>
    <t>g_VN841-500-VN844-500</t>
  </si>
  <si>
    <t>g_VN842-500-VN840-500</t>
  </si>
  <si>
    <t>g_VN842-500-VN846-500</t>
  </si>
  <si>
    <t>g_VN843-500-VN832-500</t>
  </si>
  <si>
    <t>g_VN844-500-VN847-500</t>
  </si>
  <si>
    <t>g_VN845-500-VN843-500</t>
  </si>
  <si>
    <t>g_VN846-500-VN848-500</t>
  </si>
  <si>
    <t>g_VN847-500-VN849-500</t>
  </si>
  <si>
    <t>g_VN848-500-VN846-500</t>
  </si>
  <si>
    <t>g_VN848-500-VN852-500</t>
  </si>
  <si>
    <t>g_VN849-500-VN856-500</t>
  </si>
  <si>
    <t>g_VN85-500-VN76-500</t>
  </si>
  <si>
    <t>g_VN850-500-VN845-500</t>
  </si>
  <si>
    <t>g_VN851-500-VN833-500</t>
  </si>
  <si>
    <t>g_VN852-500-VN854-500</t>
  </si>
  <si>
    <t>g_VN853-500-VN851-500</t>
  </si>
  <si>
    <t>g_VN854-500-VN860-500</t>
  </si>
  <si>
    <t>g_VN855-500-VN853-500</t>
  </si>
  <si>
    <t>g_VN856-500-VN863-500</t>
  </si>
  <si>
    <t>g_VN857-500-VN855-500</t>
  </si>
  <si>
    <t>g_VN858-500-VN850-500</t>
  </si>
  <si>
    <t>g_VN858-500-VN859-500</t>
  </si>
  <si>
    <t>g_VN86-500-VN83-500</t>
  </si>
  <si>
    <t>g_VN860-500-VN864-500</t>
  </si>
  <si>
    <t>g_VN861-500-VN859-500</t>
  </si>
  <si>
    <t>g_VN862-500-VN861-500</t>
  </si>
  <si>
    <t>g_VN863-500-VN865-500</t>
  </si>
  <si>
    <t>g_VN864-500-VN867-500</t>
  </si>
  <si>
    <t>g_VN865-220-VN875-220</t>
  </si>
  <si>
    <t>g_VN865-500-VN882-500</t>
  </si>
  <si>
    <t>g_VN866-500-VN862-500</t>
  </si>
  <si>
    <t>g_VN867-500-VN870-500</t>
  </si>
  <si>
    <t>g_VN868-500-VN857-500</t>
  </si>
  <si>
    <t>g_VN869-500-VN866-500</t>
  </si>
  <si>
    <t>g_VN87-500-VN85-500</t>
  </si>
  <si>
    <t>g_VN870-500-VN867-500</t>
  </si>
  <si>
    <t>g_VN870-500-VN871-500</t>
  </si>
  <si>
    <t>g_VN872-500-VN868-500</t>
  </si>
  <si>
    <t>g_VN873-500-VN869-500</t>
  </si>
  <si>
    <t>g_VN873-500-VN876-500</t>
  </si>
  <si>
    <t>g_VN874-500-VN872-500</t>
  </si>
  <si>
    <t>g_VN877-500-VN874-500</t>
  </si>
  <si>
    <t>g_VN878-500-VN877-500</t>
  </si>
  <si>
    <t>g_VN879-500-VN878-500</t>
  </si>
  <si>
    <t>g_VN88-500-VN82-500</t>
  </si>
  <si>
    <t>g_VN880-500-VN879-500</t>
  </si>
  <si>
    <t>g_VN881-500-VN871-500</t>
  </si>
  <si>
    <t>g_VN881-500-VN883-500</t>
  </si>
  <si>
    <t>g_VN882-220-VN894-220</t>
  </si>
  <si>
    <t>g_VN882-500-VN886-500</t>
  </si>
  <si>
    <t>g_VN884-500-VN876-500</t>
  </si>
  <si>
    <t>g_VN885-500-w1192268300-500</t>
  </si>
  <si>
    <t>g_VN886-500-VN889-500</t>
  </si>
  <si>
    <t>g_VN887-500-VN883-500</t>
  </si>
  <si>
    <t>g_VN887-500-VN892-500</t>
  </si>
  <si>
    <t>g_VN889-500-VN898-500</t>
  </si>
  <si>
    <t>g_VN89-500-VN94-500</t>
  </si>
  <si>
    <t>g_VN890-500-VN880-500</t>
  </si>
  <si>
    <t>g_VN891-500-VN890-500</t>
  </si>
  <si>
    <t>g_VN892-500-VN896-500</t>
  </si>
  <si>
    <t>g_VN893-220-VN888-220</t>
  </si>
  <si>
    <t>g_VN896-500-VN897-500</t>
  </si>
  <si>
    <t>g_VN897-500-VN903-500</t>
  </si>
  <si>
    <t>g_VN898-500-VN923-500</t>
  </si>
  <si>
    <t>g_VN899-500-VN885-500</t>
  </si>
  <si>
    <t>g_VN899-500-VN900-500</t>
  </si>
  <si>
    <t>g_VN9-500-VN10-500</t>
  </si>
  <si>
    <t>g_VN90-500-VN95-500</t>
  </si>
  <si>
    <t>g_VN900-500-VN899-500</t>
  </si>
  <si>
    <t>g_VN901-500-VN900-500</t>
  </si>
  <si>
    <t>g_VN902-220-w1176845164-220</t>
  </si>
  <si>
    <t>g_VN903-500-VN905-500</t>
  </si>
  <si>
    <t>g_VN904-500-VN901-500</t>
  </si>
  <si>
    <t>g_VN904-500-VN906-500</t>
  </si>
  <si>
    <t>g_VN905-500-VN903-500</t>
  </si>
  <si>
    <t>g_VN905-500-VN911-500</t>
  </si>
  <si>
    <t>g_VN906-500-VN904-500</t>
  </si>
  <si>
    <t>g_VN908-500-VN891-500</t>
  </si>
  <si>
    <t>g_VN909-500-VN908-500</t>
  </si>
  <si>
    <t>g_VN91-500-VN88-500</t>
  </si>
  <si>
    <t>g_VN910-500-VN909-500</t>
  </si>
  <si>
    <t>g_VN911-500-VN914-500</t>
  </si>
  <si>
    <t>g_VN912-500-VN910-500</t>
  </si>
  <si>
    <t>g_VN913-500-VN906-500</t>
  </si>
  <si>
    <t>g_VN914-500-VN920-500</t>
  </si>
  <si>
    <t>g_VN915-220-w1274466549-220</t>
  </si>
  <si>
    <t>g_VN915-220-w400474243-220</t>
  </si>
  <si>
    <t>g_VN916-500-VN912-500</t>
  </si>
  <si>
    <t>g_VN917-500-VN916-500</t>
  </si>
  <si>
    <t>g_VN918-500-VN917-500</t>
  </si>
  <si>
    <t>g_VN919-500-VN918-500</t>
  </si>
  <si>
    <t>g_VN92-500-VN86-500</t>
  </si>
  <si>
    <t>g_VN920-500-VN929-500</t>
  </si>
  <si>
    <t>g_VN921-500-VN913-500</t>
  </si>
  <si>
    <t>g_VN922-500-VN921-500</t>
  </si>
  <si>
    <t>g_VN924-500-VN922-500</t>
  </si>
  <si>
    <t>g_VN924-500-VN925-500</t>
  </si>
  <si>
    <t>g_VN925-500-VN924-500</t>
  </si>
  <si>
    <t>g_VN926-500-VN927-500</t>
  </si>
  <si>
    <t>g_VN927-500-VN925-500</t>
  </si>
  <si>
    <t>g_VN928-500-VN919-500</t>
  </si>
  <si>
    <t>g_VN928-500-VN926-500</t>
  </si>
  <si>
    <t>g_VN928-500-VN931-500</t>
  </si>
  <si>
    <t>g_VN929-500-VN932-500</t>
  </si>
  <si>
    <t>g_VN93-500-VN66-500</t>
  </si>
  <si>
    <t>g_VN930-500-VN928-500</t>
  </si>
  <si>
    <t>g_VN931-500-VN928-500</t>
  </si>
  <si>
    <t>g_VN932-500-VN933-500</t>
  </si>
  <si>
    <t>g_VN933-500-VN935-500</t>
  </si>
  <si>
    <t>g_VN935-500-VN936-500</t>
  </si>
  <si>
    <t>g_VN936-500-VN938-500</t>
  </si>
  <si>
    <t>g_VN938-500-VN940-500</t>
  </si>
  <si>
    <t>g_VN939-500-VN931-500</t>
  </si>
  <si>
    <t>g_VN94-500-VN92-500</t>
  </si>
  <si>
    <t>g_VN940-500-VN941-500</t>
  </si>
  <si>
    <t>g_VN941-500-VN942-500</t>
  </si>
  <si>
    <t>g_VN942-500-VN944-500</t>
  </si>
  <si>
    <t>g_VN943-500-VN939-500</t>
  </si>
  <si>
    <t>g_VN944-500-VN942-500</t>
  </si>
  <si>
    <t>g_VN944-500-VN945-500</t>
  </si>
  <si>
    <t>g_VN945-500-VN948-500</t>
  </si>
  <si>
    <t>g_VN946-500-VN943-500</t>
  </si>
  <si>
    <t>g_VN947-220-w549038673-220</t>
  </si>
  <si>
    <t>g_VN949-500-VN946-500</t>
  </si>
  <si>
    <t>g_VN95-500-VN91-500</t>
  </si>
  <si>
    <t>g_VN950-500-VN930-500</t>
  </si>
  <si>
    <t>g_VN951-500-w315445688-500</t>
  </si>
  <si>
    <t>g_VN952-500-VN950-500</t>
  </si>
  <si>
    <t>g_VN953-500-VN952-500</t>
  </si>
  <si>
    <t>g_VN954-500-VN965-500</t>
  </si>
  <si>
    <t>g_VN955-500-VN953-500</t>
  </si>
  <si>
    <t>g_VN956-500-VN951-500</t>
  </si>
  <si>
    <t>g_VN956-500-VN957-500</t>
  </si>
  <si>
    <t>g_VN957-220-w315445688-220</t>
  </si>
  <si>
    <t>g_VN957-500-VN956-500</t>
  </si>
  <si>
    <t>g_VN958-500-VN961-500</t>
  </si>
  <si>
    <t>g_VN959-500-VN949-500</t>
  </si>
  <si>
    <t>g_VN96-220-VN132-220</t>
  </si>
  <si>
    <t>g_VN960-220-VN957-220</t>
  </si>
  <si>
    <t>g_VN961-500-VN966-500</t>
  </si>
  <si>
    <t>g_VN962-220-VN960-220</t>
  </si>
  <si>
    <t>g_VN962-500-VN957-500</t>
  </si>
  <si>
    <t>g_VN963-500-VN958-500</t>
  </si>
  <si>
    <t>g_VN963-500-VN964-500</t>
  </si>
  <si>
    <t>g_VN965-220-VN947-220</t>
  </si>
  <si>
    <t>g_VN965-500-VN971-500</t>
  </si>
  <si>
    <t>g_VN966-500-VN962-500</t>
  </si>
  <si>
    <t>g_VN967-500-VN959-500</t>
  </si>
  <si>
    <t>g_VN967-500-VN968-500</t>
  </si>
  <si>
    <t>g_VN968-500-VN967-500</t>
  </si>
  <si>
    <t>g_VN969-220-VN962-220</t>
  </si>
  <si>
    <t>g_VN97-500-VN93-500</t>
  </si>
  <si>
    <t>g_VN970-500-VN955-500</t>
  </si>
  <si>
    <t>g_VN971-500-VN973-500</t>
  </si>
  <si>
    <t>g_VN972-500-VN968-500</t>
  </si>
  <si>
    <t>g_VN973-500-VN981-500</t>
  </si>
  <si>
    <t>g_VN974-500-VN964-500</t>
  </si>
  <si>
    <t>g_VN974-500-VN976-500</t>
  </si>
  <si>
    <t>g_VN975-220-w1229192873-220</t>
  </si>
  <si>
    <t>g_VN976-500-VN974-500</t>
  </si>
  <si>
    <t>g_VN977-500-VN970-500</t>
  </si>
  <si>
    <t>g_VN978-220-VN965-220</t>
  </si>
  <si>
    <t>g_VN979-500-VN972-500</t>
  </si>
  <si>
    <t>g_VN98-220-w549734849-220</t>
  </si>
  <si>
    <t>g_VN98-220-w714467567-220</t>
  </si>
  <si>
    <t>g_VN98-500-w549739658-500</t>
  </si>
  <si>
    <t>g_VN980-500-VN976-500</t>
  </si>
  <si>
    <t>g_VN980-500-VN989-500</t>
  </si>
  <si>
    <t>g_VN981-500-VN982-500</t>
  </si>
  <si>
    <t>g_VN982-500-VN985-500</t>
  </si>
  <si>
    <t>g_VN983-220-w1196308469-220</t>
  </si>
  <si>
    <t>g_VN984-500-VN977-500</t>
  </si>
  <si>
    <t>g_VN985-220-VN978-220</t>
  </si>
  <si>
    <t>g_VN985-220-w881704523-220</t>
  </si>
  <si>
    <t>g_VN985-500-w881704523-500</t>
  </si>
  <si>
    <t>g_VN986-500-VN984-500</t>
  </si>
  <si>
    <t>g_VN987-500-VN979-500</t>
  </si>
  <si>
    <t>g_VN989-500-VN980-500</t>
  </si>
  <si>
    <t>g_VN99-500-VN109-500</t>
  </si>
  <si>
    <t>g_VN990-500-VN989-500</t>
  </si>
  <si>
    <t>g_VN991-500-VN990-500</t>
  </si>
  <si>
    <t>g_VN992-500-VN991-500</t>
  </si>
  <si>
    <t>g_VN992-500-VN993-500</t>
  </si>
  <si>
    <t>g_VN993-500-VN992-500</t>
  </si>
  <si>
    <t>g_VN993-500-VN995-500</t>
  </si>
  <si>
    <t>g_VN994-500-w1274076450-500</t>
  </si>
  <si>
    <t>g_VN995-500-VN993-500</t>
  </si>
  <si>
    <t>g_VN996-500-VN1000-500</t>
  </si>
  <si>
    <t>g_VN996-500-VN995-500</t>
  </si>
  <si>
    <t>g_VN997-500-VN987-500</t>
  </si>
  <si>
    <t>g_VN998-500-VN994-500</t>
  </si>
  <si>
    <t>g_VN999-500-VN998-500</t>
  </si>
  <si>
    <t>g_w1001296656-220-VN1101-220</t>
  </si>
  <si>
    <t>g_w1001296656-500-VN1083-500</t>
  </si>
  <si>
    <t>g_w1009757707-220-w714513856-220</t>
  </si>
  <si>
    <t>g_w1018528434-220-VN413-220</t>
  </si>
  <si>
    <t>g_w1036278524-220-VN158-220</t>
  </si>
  <si>
    <t>g_w1036278527-220-w549734849-220</t>
  </si>
  <si>
    <t>g_w1036283936-220-w484379351-220</t>
  </si>
  <si>
    <t>g_w1043531953-220-VN69-220</t>
  </si>
  <si>
    <t>g_w1043531953-500-VN68-500</t>
  </si>
  <si>
    <t>g_w1043837466-500-VN184-500</t>
  </si>
  <si>
    <t>g_w1044267694-220-VN248-220</t>
  </si>
  <si>
    <t>g_w1045125739-220-w1265612937-220</t>
  </si>
  <si>
    <t>g_w1045125739-220-w549914200-220</t>
  </si>
  <si>
    <t>g_w1045125739-220-w549941525-220</t>
  </si>
  <si>
    <t>g_w1046230185-220-VN171-220</t>
  </si>
  <si>
    <t>g_w1047280375-220-VN333-220</t>
  </si>
  <si>
    <t>g_w1047400696-220-VN333-220</t>
  </si>
  <si>
    <t>g_w1047400696-220-VN345-220</t>
  </si>
  <si>
    <t>g_w1047400696-220-w1320784083-220</t>
  </si>
  <si>
    <t>g_w1047400696-500-VN323-500</t>
  </si>
  <si>
    <t>g_w1047400696-500-VN333-500</t>
  </si>
  <si>
    <t>g_w1047505697-220-VN333-220</t>
  </si>
  <si>
    <t>g_w1047505697-220-w484052979-220</t>
  </si>
  <si>
    <t>g_w1050835279-220-VN351-220</t>
  </si>
  <si>
    <t>g_w1050854663-220-w433817466-220</t>
  </si>
  <si>
    <t>g_w1050880133-220-VN705-220</t>
  </si>
  <si>
    <t>g_w1050880133-220-VN715-220</t>
  </si>
  <si>
    <t>g_w1050880133-220-VN717-220</t>
  </si>
  <si>
    <t>g_w1050880133-500-VN703-500</t>
  </si>
  <si>
    <t>g_w1050880133-500-VN711-500</t>
  </si>
  <si>
    <t>g_w1051379225-220-VN1071-220</t>
  </si>
  <si>
    <t>g_w1051379225-220-VN1100-220</t>
  </si>
  <si>
    <t>g_w1051379225-500-VN1084-500</t>
  </si>
  <si>
    <t>g_w1051382594-220-VN934-220</t>
  </si>
  <si>
    <t>g_w1051382594-220-VN983-220</t>
  </si>
  <si>
    <t>g_w1051382594-220-w1371024735-220</t>
  </si>
  <si>
    <t>g_w1051382594-220-w775832889-220</t>
  </si>
  <si>
    <t>g_w1051605925-220-w1051605927-220</t>
  </si>
  <si>
    <t>g_w1051605925-220-w775832889-220</t>
  </si>
  <si>
    <t>g_w1051605927-220-w745348908-220</t>
  </si>
  <si>
    <t>g_w1051907167-220-VN1169-220</t>
  </si>
  <si>
    <t>g_w1051907167-220-w1052253206-220</t>
  </si>
  <si>
    <t>g_w1051907167-500-VN1131-500</t>
  </si>
  <si>
    <t>g_w1051907167-500-VN1165-500</t>
  </si>
  <si>
    <t>g_w1052065868-220-w1052065872-220</t>
  </si>
  <si>
    <t>g_w1052065868-500-VN1182-500</t>
  </si>
  <si>
    <t>g_w1052065872-220-VN1213-220</t>
  </si>
  <si>
    <t>g_w1052125064-220-VN1219-220</t>
  </si>
  <si>
    <t>g_w1052228387-220-w1052065868-220</t>
  </si>
  <si>
    <t>g_w1052228387-500-VN1181-500</t>
  </si>
  <si>
    <t>g_w1052241938-220-VN1162-220</t>
  </si>
  <si>
    <t>g_w1052241938-220-w1051907167-220</t>
  </si>
  <si>
    <t>g_w1052253206-220-VN1132-220</t>
  </si>
  <si>
    <t>g_w1052338818-220-VN1179-220</t>
  </si>
  <si>
    <t>g_w1052403240-220-w1184888492-220</t>
  </si>
  <si>
    <t>g_w1087113517-220-VN462-220</t>
  </si>
  <si>
    <t>g_w1091686589-220-VN985-220</t>
  </si>
  <si>
    <t>g_w1091686589-220-VN988-220</t>
  </si>
  <si>
    <t>g_w1091782693-220-VN915-220</t>
  </si>
  <si>
    <t>g_w1176845159-220-w1051382594-220</t>
  </si>
  <si>
    <t>g_w1176845164-220-VN902-220</t>
  </si>
  <si>
    <t>g_w1176845164-220-w1176845159-220</t>
  </si>
  <si>
    <t>g_w1184888492-220-VN1148-220</t>
  </si>
  <si>
    <t>g_w1184888492-500-VN1120-500</t>
  </si>
  <si>
    <t>g_w1184888492-500-VN1125-500</t>
  </si>
  <si>
    <t>g_w1184888492-500-VN1129-500</t>
  </si>
  <si>
    <t>g_w1184888492-500-w1051379225-500</t>
  </si>
  <si>
    <t>g_w1192268300-220-VN895-220</t>
  </si>
  <si>
    <t>g_w1192268300-220-VN907-220</t>
  </si>
  <si>
    <t>g_w1192268300-220-w1205504405-220</t>
  </si>
  <si>
    <t>g_w1192268300-220-w1273328699-220</t>
  </si>
  <si>
    <t>g_w1192268300-500-VN884-500</t>
  </si>
  <si>
    <t>g_w1196308469-500-VN986-500</t>
  </si>
  <si>
    <t>g_w1199485835-220-VN1045-220</t>
  </si>
  <si>
    <t>g_w1199485835-500-VN1045-500</t>
  </si>
  <si>
    <t>g_w1199485835-500-VN1061-500</t>
  </si>
  <si>
    <t>g_w1199780747-220-w1001296656-220</t>
  </si>
  <si>
    <t>g_w1200717272-220-w1199780747-220</t>
  </si>
  <si>
    <t>g_w1203847737-220-VN31-220</t>
  </si>
  <si>
    <t>g_w1204890423-220-VN1102-220</t>
  </si>
  <si>
    <t>g_w1204890423-220-VN1115-220</t>
  </si>
  <si>
    <t>g_w1211783783-220-VN575-220</t>
  </si>
  <si>
    <t>g_w1212041269-220-VN1013-220</t>
  </si>
  <si>
    <t>g_w1215089886-220-VN895-220</t>
  </si>
  <si>
    <t>g_w1216970886-220-VN1153-220</t>
  </si>
  <si>
    <t>g_w1216970886-220-w306295540-220</t>
  </si>
  <si>
    <t>g_w1229192873-220-VN1013-220</t>
  </si>
  <si>
    <t>g_w1229192873-220-VN969-220</t>
  </si>
  <si>
    <t>g_w1233471417-220-w549400050-220</t>
  </si>
  <si>
    <t>g_w1235792430-220-VN934-220</t>
  </si>
  <si>
    <t>g_w1235792430-220-w1192268300-220</t>
  </si>
  <si>
    <t>g_w1240393348-220-VN1-220</t>
  </si>
  <si>
    <t>g_w1240393348-220-VN3-220</t>
  </si>
  <si>
    <t>g_w1240467340-220-VN12-220</t>
  </si>
  <si>
    <t>g_w1240467340-220-VN5-220</t>
  </si>
  <si>
    <t>g_w1244838424-220-VN113-220</t>
  </si>
  <si>
    <t>g_w1244838424-220-VN96-220</t>
  </si>
  <si>
    <t>g_w1244838424-220-w1043856245-220</t>
  </si>
  <si>
    <t>g_w1258175914-220-VN617-220</t>
  </si>
  <si>
    <t>g_w1258175914-220-VN679-220</t>
  </si>
  <si>
    <t>g_w1263020542-220-VN561-220</t>
  </si>
  <si>
    <t>g_w1263020542-220-VN569-220</t>
  </si>
  <si>
    <t>g_w1263020542-220-w439941742-220</t>
  </si>
  <si>
    <t>g_w1263020542-500-VN572-500</t>
  </si>
  <si>
    <t>g_w1263027975-220-w439941742-220</t>
  </si>
  <si>
    <t>g_w1263573984-220-VN22-220</t>
  </si>
  <si>
    <t>g_w1263839745-220-VN11-220</t>
  </si>
  <si>
    <t>g_w1263839745-220-w481965040-220</t>
  </si>
  <si>
    <t>g_w1263839761-220-VN2-220</t>
  </si>
  <si>
    <t>g_w1263839761-220-w1203847737-220</t>
  </si>
  <si>
    <t>g_w1264568817-220-VN41-220</t>
  </si>
  <si>
    <t>g_w1264568832-220-w1264568817-220</t>
  </si>
  <si>
    <t>g_w1265274426-500-VN229-500</t>
  </si>
  <si>
    <t>g_w1265612937-220-VN251-220</t>
  </si>
  <si>
    <t>g_w1265851967-220-VN258-220</t>
  </si>
  <si>
    <t>g_w1265851967-220-w549914192-220</t>
  </si>
  <si>
    <t>g_w1265902478-220-VN132-220</t>
  </si>
  <si>
    <t>g_w1266260834-220-VN41-220</t>
  </si>
  <si>
    <t>g_w1267181647-220-VN309-220</t>
  </si>
  <si>
    <t>g_w1270938992-220-VN510-220</t>
  </si>
  <si>
    <t>g_w1270939017-220-w1263027975-220</t>
  </si>
  <si>
    <t>g_w1271060157-220-VN1128-220</t>
  </si>
  <si>
    <t>g_w1271798294-220-w1272088369-220</t>
  </si>
  <si>
    <t>g_w1273140706-220-VN753-220</t>
  </si>
  <si>
    <t>g_w1273255944-220-w1273255946-220</t>
  </si>
  <si>
    <t>g_w1273255946-220-VN836-220</t>
  </si>
  <si>
    <t>g_w1273255946-220-w1376430795-220</t>
  </si>
  <si>
    <t>g_w1273328699-220-w1235792430-220</t>
  </si>
  <si>
    <t>g_w1273328710-220-w400413519-220</t>
  </si>
  <si>
    <t>g_w1273527149-220-VN898-220</t>
  </si>
  <si>
    <t>g_w1273527150-220-w1273527187-220</t>
  </si>
  <si>
    <t>g_w1273527187-220-VN965-220</t>
  </si>
  <si>
    <t>g_w1273898566-220-w1091686589-220</t>
  </si>
  <si>
    <t>g_w1273898569-220-VN978-220</t>
  </si>
  <si>
    <t>g_w1273898576-220-VN985-220</t>
  </si>
  <si>
    <t>g_w1273898576-220-w1274076450-220</t>
  </si>
  <si>
    <t>g_w1273948690-220-VN1024-220</t>
  </si>
  <si>
    <t>g_w1274076448-220-w1273898576-220</t>
  </si>
  <si>
    <t>g_w1274076449-220-w881704523-220</t>
  </si>
  <si>
    <t>g_w1274076450-500-w881704523-500</t>
  </si>
  <si>
    <t>g_w1274466549-220-VN836-220</t>
  </si>
  <si>
    <t>g_w1274478231-500-VN1121-500</t>
  </si>
  <si>
    <t>g_w1309081728-220-VN687-220</t>
  </si>
  <si>
    <t>g_w1309081728-220-VN704-220</t>
  </si>
  <si>
    <t>g_w1309081728-220-VN705-220</t>
  </si>
  <si>
    <t>g_w1309081728-220-w1271285978-220</t>
  </si>
  <si>
    <t>g_w1309081728-500-VN690-500</t>
  </si>
  <si>
    <t>g_w1309081728-500-VN694-500</t>
  </si>
  <si>
    <t>g_w1309081728-500-VN698-500</t>
  </si>
  <si>
    <t>g_w1309081728-500-VN703-500</t>
  </si>
  <si>
    <t>g_w1316610167-220-VN276-220</t>
  </si>
  <si>
    <t>g_w1316610167-500-VN285-500</t>
  </si>
  <si>
    <t>g_w1320784083-500-VN334-500</t>
  </si>
  <si>
    <t>g_w1337952924-220-VN126-220</t>
  </si>
  <si>
    <t>g_w1346313213-220-VN725-220</t>
  </si>
  <si>
    <t>g_w1346313213-220-VN728-220</t>
  </si>
  <si>
    <t>g_w1346313213-500-VN729-500</t>
  </si>
  <si>
    <t>g_w1355331390-220-VN255-220</t>
  </si>
  <si>
    <t>g_w1371024735-220-VN983-220</t>
  </si>
  <si>
    <t>g_w1371024735-220-w1198563264-220</t>
  </si>
  <si>
    <t>g_w1374565925-220-VN537-220</t>
  </si>
  <si>
    <t>g_w1385239486-500-VN683-500</t>
  </si>
  <si>
    <t>g_w153608703-220-VN244-220</t>
  </si>
  <si>
    <t>g_w183249722-220-VN784-220</t>
  </si>
  <si>
    <t>g_w183249722-220-w1192268300-220</t>
  </si>
  <si>
    <t>g_w251790836-220-VN239-220</t>
  </si>
  <si>
    <t>g_w251790836-220-VN255-220</t>
  </si>
  <si>
    <t>g_w251790836-220-w1036283936-220</t>
  </si>
  <si>
    <t>g_w251790836-500-VN265-500</t>
  </si>
  <si>
    <t>g_w251790836-500-VN272-500</t>
  </si>
  <si>
    <t>g_w294127333-220-VN1097-220</t>
  </si>
  <si>
    <t>g_w294127333-220-w317895152-220</t>
  </si>
  <si>
    <t>g_w306259034-220-VN1128-220</t>
  </si>
  <si>
    <t>g_w306295536-220-VN1133-220</t>
  </si>
  <si>
    <t>g_w306295536-500-VN1137-500</t>
  </si>
  <si>
    <t>g_w306295536-500-w315553115-500</t>
  </si>
  <si>
    <t>g_w306440153-220-VN1047-220</t>
  </si>
  <si>
    <t>g_w306440153-220-w1199780747-220</t>
  </si>
  <si>
    <t>g_w306440153-500-VN1055-500</t>
  </si>
  <si>
    <t>g_w306440153-500-w1199485835-500</t>
  </si>
  <si>
    <t>g_w306440155-220-VN1056-220</t>
  </si>
  <si>
    <t>g_w306440155-220-VN1066-220</t>
  </si>
  <si>
    <t>g_w307638314-220-w306295536-220</t>
  </si>
  <si>
    <t>g_w315445688-220-w400474243-220</t>
  </si>
  <si>
    <t>g_w315445688-500-VN948-500</t>
  </si>
  <si>
    <t>g_w315553115-220-w307638314-220</t>
  </si>
  <si>
    <t>g_w315553115-220-w318268202-220</t>
  </si>
  <si>
    <t>g_w315553115-500-VN1129-500</t>
  </si>
  <si>
    <t>g_w315553115-500-w1051379225-500</t>
  </si>
  <si>
    <t>g_w315766007-220-w315766015-220</t>
  </si>
  <si>
    <t>g_w315766015-220-w1212041269-220</t>
  </si>
  <si>
    <t>g_w315766015-220-w1216970886-220</t>
  </si>
  <si>
    <t>g_w315766015-220-w294127333-220</t>
  </si>
  <si>
    <t>g_w317895152-220-VN1066-220</t>
  </si>
  <si>
    <t>g_w317895152-220-VN1097-220</t>
  </si>
  <si>
    <t>g_w317895152-500-VN1079-500</t>
  </si>
  <si>
    <t>g_w317895152-500-VN1082-500</t>
  </si>
  <si>
    <t>g_w318268202-220-VN1114-220</t>
  </si>
  <si>
    <t>g_w400413519-220-VN774-220</t>
  </si>
  <si>
    <t>g_w400413521-220-VN774-220</t>
  </si>
  <si>
    <t>g_w400482074-220-w315445688-220</t>
  </si>
  <si>
    <t>g_w400591170-220-VN319-220</t>
  </si>
  <si>
    <t>g_w400591170-220-w1328486724-220</t>
  </si>
  <si>
    <t>g_w400591170-500-VN272-500</t>
  </si>
  <si>
    <t>g_w400633260-220-VN365-220</t>
  </si>
  <si>
    <t>g_w400633260-220-VN375-220</t>
  </si>
  <si>
    <t>g_w400633260-220-VN408-220</t>
  </si>
  <si>
    <t>g_w400633260-500-VN338-500</t>
  </si>
  <si>
    <t>g_w400633260-500-VN379-500</t>
  </si>
  <si>
    <t>g_w400633260-500-VN381-500</t>
  </si>
  <si>
    <t>g_w400645442-220-VN451-220</t>
  </si>
  <si>
    <t>g_w400645442-220-w1018528434-220</t>
  </si>
  <si>
    <t>g_w400791086-220-VN539-220</t>
  </si>
  <si>
    <t>g_w400791086-220-VN540-220</t>
  </si>
  <si>
    <t>g_w400791086-500-VN543-500</t>
  </si>
  <si>
    <t>g_w400791086-500-w549400050-500</t>
  </si>
  <si>
    <t>g_w401042494-220-VN498-220</t>
  </si>
  <si>
    <t>g_w401042494-220-VN502-220</t>
  </si>
  <si>
    <t>g_w401532710-220-VN705-220</t>
  </si>
  <si>
    <t>g_w433817466-220-VN551-220</t>
  </si>
  <si>
    <t>g_w468821783-220-VN209-220</t>
  </si>
  <si>
    <t>g_w468821783-220-w549959354-220</t>
  </si>
  <si>
    <t>g_w468821783-500-VN211-500</t>
  </si>
  <si>
    <t>g_w469414362-220-VN41-220</t>
  </si>
  <si>
    <t>g_w483525462-220-w549734849-220</t>
  </si>
  <si>
    <t>g_w484052979-220-VN320-220</t>
  </si>
  <si>
    <t>g_w484052979-220-VN322-220</t>
  </si>
  <si>
    <t>g_w484379351-220-VN310-220</t>
  </si>
  <si>
    <t>g_w484379351-220-w549621116-220</t>
  </si>
  <si>
    <t>g_w484379351-220-w549914200-220</t>
  </si>
  <si>
    <t>g_w548201687-220-VN836-220</t>
  </si>
  <si>
    <t>g_w548717060-220-w1091686589-220</t>
  </si>
  <si>
    <t>g_w548717060-500-VN1003-500</t>
  </si>
  <si>
    <t>g_w548717060-500-VN1005-500</t>
  </si>
  <si>
    <t>g_w548723124-220-w1273948690-220</t>
  </si>
  <si>
    <t>g_w548752026-220-w548723124-220</t>
  </si>
  <si>
    <t>g_w548869165-220-w548869170-220</t>
  </si>
  <si>
    <t>g_w548869170-220-VN1161-220</t>
  </si>
  <si>
    <t>g_w548869170-220-VN1199-220</t>
  </si>
  <si>
    <t>g_w548869170-220-VN1203-220</t>
  </si>
  <si>
    <t>g_w548970101-220-VN1229-220</t>
  </si>
  <si>
    <t>g_w548970101-220-w548970109-220</t>
  </si>
  <si>
    <t>g_w548970103-220-w548970109-220</t>
  </si>
  <si>
    <t>g_w548970109-220-w548970118-220</t>
  </si>
  <si>
    <t>g_w548970118-220-VN1203-220</t>
  </si>
  <si>
    <t>g_w548970118-220-VN1229-220</t>
  </si>
  <si>
    <t>g_w549005377-220-VN1202-220</t>
  </si>
  <si>
    <t>g_w549005377-220-VN1223-220</t>
  </si>
  <si>
    <t>g_w549038673-220-VN937-220</t>
  </si>
  <si>
    <t>g_w549038673-220-w1091782693-220</t>
  </si>
  <si>
    <t>g_w549038673-220-w1273527210-220</t>
  </si>
  <si>
    <t>g_w549197475-220-w1273140706-220</t>
  </si>
  <si>
    <t>g_w549197475-220-w1273255946-220</t>
  </si>
  <si>
    <t>g_w549296358-220-w549197475-220</t>
  </si>
  <si>
    <t>g_w549380074-220-w401532710-220</t>
  </si>
  <si>
    <t>g_w549400050-220-w1258175914-220</t>
  </si>
  <si>
    <t>g_w549400050-220-w549400051-220</t>
  </si>
  <si>
    <t>g_w549400050-500-VN595-500</t>
  </si>
  <si>
    <t>g_w549400050-500-VN628-500</t>
  </si>
  <si>
    <t>g_w549577079-220-VN534-220</t>
  </si>
  <si>
    <t>g_w549617560-220-VN352-220</t>
  </si>
  <si>
    <t>g_w549617560-220-VN358-220</t>
  </si>
  <si>
    <t>g_w549734849-220-VN98-220</t>
  </si>
  <si>
    <t>g_w549734849-220-w549739658-220</t>
  </si>
  <si>
    <t>g_w549739658-220-VN140-220</t>
  </si>
  <si>
    <t>g_w549739658-220-VN98-220</t>
  </si>
  <si>
    <t>g_w549739658-500-VN104-500</t>
  </si>
  <si>
    <t>g_w549739658-500-w1043837466-500</t>
  </si>
  <si>
    <t>g_w549914184-220-VN158-220</t>
  </si>
  <si>
    <t>g_w549914184-220-VN231-220</t>
  </si>
  <si>
    <t>g_w549914184-220-w1265851967-220</t>
  </si>
  <si>
    <t>g_w549914184-220-w469414362-220</t>
  </si>
  <si>
    <t>g_w549914184-220-w549941555-220</t>
  </si>
  <si>
    <t>g_w549914192-220-VN274-220</t>
  </si>
  <si>
    <t>g_w549914200-220-w241065371-220</t>
  </si>
  <si>
    <t>g_w549941525-220-VN195-220</t>
  </si>
  <si>
    <t>g_w549941525-220-w549959350-220</t>
  </si>
  <si>
    <t>g_w549941555-220-w549914192-220</t>
  </si>
  <si>
    <t>g_w549941555-220-w549941525-220</t>
  </si>
  <si>
    <t>g_w576213266-220-w1036278527-220</t>
  </si>
  <si>
    <t>g_w636253156-220-VN687-220</t>
  </si>
  <si>
    <t>g_w714467567-220-w1266260834-220</t>
  </si>
  <si>
    <t>g_w714513856-220-VN43-220</t>
  </si>
  <si>
    <t>g_w714513856-220-w1263497522-220</t>
  </si>
  <si>
    <t>g_w714513856-500-VN42-500</t>
  </si>
  <si>
    <t>g_w714513856-500-VN44-500</t>
  </si>
  <si>
    <t>g_w739493720-220-VN193-220</t>
  </si>
  <si>
    <t>g_w744217936-220-VN1157-220</t>
  </si>
  <si>
    <t>g_w745348908-220-w1052403240-220</t>
  </si>
  <si>
    <t>g_w750907640-220-VN310-220</t>
  </si>
  <si>
    <t>g_w750907640-220-VN312-220</t>
  </si>
  <si>
    <t>g_w773079147-220-VN1162-220</t>
  </si>
  <si>
    <t>g_w823246918-220-VN947-220</t>
  </si>
  <si>
    <t>g_w827889600-220-w1052065872-220</t>
  </si>
  <si>
    <t>g_w827889600-500-VN1226-500</t>
  </si>
  <si>
    <t>g_w827889648-220-w315445688-220</t>
  </si>
  <si>
    <t>g_w846270016-220-w893223532-220</t>
  </si>
  <si>
    <t>g_w846270016-500-VN9-500</t>
  </si>
  <si>
    <t>g_w857794232-220-VN306-220</t>
  </si>
  <si>
    <t>g_w875587591-220-VN365-220</t>
  </si>
  <si>
    <t>g_w875587591-220-w1047280375-220</t>
  </si>
  <si>
    <t>g_w881704523-220-w1273898569-220</t>
  </si>
  <si>
    <t>g_w881704523-500-w1274076450-500</t>
  </si>
  <si>
    <t>g_w967849373-220-VN1188-220</t>
  </si>
  <si>
    <t>g_w967849373-220-w548869165-220</t>
  </si>
  <si>
    <t>g_w967849373-220-w548970118-220</t>
  </si>
  <si>
    <t>g_w969705786-220-w549296358-220</t>
  </si>
  <si>
    <t>~tfm_ins-at</t>
  </si>
  <si>
    <t>commodity</t>
  </si>
  <si>
    <t>flo_mark</t>
  </si>
  <si>
    <t>lim_type</t>
  </si>
  <si>
    <t>e_demand_w400591170-500</t>
  </si>
  <si>
    <t>elc_buildings,elc_transport,elc_industry,elc_roadtransport</t>
  </si>
  <si>
    <t>lo</t>
  </si>
  <si>
    <t>e_demand_w549914200-220</t>
  </si>
  <si>
    <t>e_demand_w1265274426-500</t>
  </si>
  <si>
    <t>e_demand_VN1164-500</t>
  </si>
  <si>
    <t>e_demand_VN505-500</t>
  </si>
  <si>
    <t>e_demand_VN475-500</t>
  </si>
  <si>
    <t>e_demand_VN281-500</t>
  </si>
  <si>
    <t>e_demand_VN1092-500</t>
  </si>
  <si>
    <t>e_demand_w1052065868-500</t>
  </si>
  <si>
    <t>e_demand_VN1155-500</t>
  </si>
  <si>
    <t>e_demand_VN75-500</t>
  </si>
  <si>
    <t>e_demand_VN194-500</t>
  </si>
  <si>
    <t>e_demand_VN56-500</t>
  </si>
  <si>
    <t>e_demand_VN27-500</t>
  </si>
  <si>
    <t>e_demand_VN14-500</t>
  </si>
  <si>
    <t>e_demand_VN1101-220</t>
  </si>
  <si>
    <t>e_demand_VN92-500</t>
  </si>
  <si>
    <t>e_demand_VN129-500</t>
  </si>
  <si>
    <t>e_demand_VN323-500</t>
  </si>
  <si>
    <t>e_demand_VN1222-500</t>
  </si>
  <si>
    <t>e_demand_VN1127-220</t>
  </si>
  <si>
    <t>e_demand_VN979-500</t>
  </si>
  <si>
    <t>e_demand_VN1043-500</t>
  </si>
  <si>
    <t>e_demand_VN1017-500</t>
  </si>
  <si>
    <t>e_demand_VN911-500</t>
  </si>
  <si>
    <t>e_demand_VN598-500</t>
  </si>
  <si>
    <t>e_demand_VN898-500</t>
  </si>
  <si>
    <t>e_demand_VN781-500</t>
  </si>
  <si>
    <t>e_demand_VN285-500</t>
  </si>
  <si>
    <t>e_demand_VN767-500</t>
  </si>
  <si>
    <t>e_demand_VN706-500</t>
  </si>
  <si>
    <t>e_demand_VN497-500</t>
  </si>
  <si>
    <t>e_demand_VN674-500</t>
  </si>
  <si>
    <t>e_demand_VN400-500</t>
  </si>
  <si>
    <t>e_demand_VN434-500</t>
  </si>
  <si>
    <t>e_demand_VN964-500</t>
  </si>
  <si>
    <t>e_demand_VN239-220</t>
  </si>
  <si>
    <t>e_demand_VN803-500</t>
  </si>
  <si>
    <t>ev_battery_w400591170-500</t>
  </si>
  <si>
    <t>ev_battery_w549914200-220</t>
  </si>
  <si>
    <t>ev_battery_w1265274426-500</t>
  </si>
  <si>
    <t>ev_battery_VN1164-500</t>
  </si>
  <si>
    <t>ev_battery_VN505-500</t>
  </si>
  <si>
    <t>ev_battery_VN475-500</t>
  </si>
  <si>
    <t>ev_battery_VN281-500</t>
  </si>
  <si>
    <t>ev_battery_VN1092-500</t>
  </si>
  <si>
    <t>ev_battery_w1052065868-500</t>
  </si>
  <si>
    <t>ev_battery_VN1155-500</t>
  </si>
  <si>
    <t>ev_battery_VN75-500</t>
  </si>
  <si>
    <t>ev_battery_VN194-500</t>
  </si>
  <si>
    <t>ev_battery_VN56-500</t>
  </si>
  <si>
    <t>ev_battery_VN27-500</t>
  </si>
  <si>
    <t>ev_battery_VN14-500</t>
  </si>
  <si>
    <t>ev_battery_VN1101-220</t>
  </si>
  <si>
    <t>ev_battery_VN92-500</t>
  </si>
  <si>
    <t>ev_battery_VN129-500</t>
  </si>
  <si>
    <t>ev_battery_VN323-500</t>
  </si>
  <si>
    <t>ev_battery_VN1222-500</t>
  </si>
  <si>
    <t>ev_battery_VN1127-220</t>
  </si>
  <si>
    <t>ev_battery_VN979-500</t>
  </si>
  <si>
    <t>ev_battery_VN1043-500</t>
  </si>
  <si>
    <t>ev_battery_VN1017-500</t>
  </si>
  <si>
    <t>ev_battery_VN911-500</t>
  </si>
  <si>
    <t>ev_battery_VN598-500</t>
  </si>
  <si>
    <t>ev_battery_VN898-500</t>
  </si>
  <si>
    <t>ev_battery_VN781-500</t>
  </si>
  <si>
    <t>ev_battery_VN285-500</t>
  </si>
  <si>
    <t>ev_battery_VN767-500</t>
  </si>
  <si>
    <t>ev_battery_VN706-500</t>
  </si>
  <si>
    <t>ev_battery_VN497-500</t>
  </si>
  <si>
    <t>ev_battery_VN674-500</t>
  </si>
  <si>
    <t>ev_battery_VN400-500</t>
  </si>
  <si>
    <t>ev_battery_VN434-500</t>
  </si>
  <si>
    <t>ev_battery_VN964-500</t>
  </si>
  <si>
    <t>ev_battery_VN239-220</t>
  </si>
  <si>
    <t>ev_battery_VN803-500</t>
  </si>
  <si>
    <t>H2prd_Elc_PEM_w400591170-500</t>
  </si>
  <si>
    <t>H2prd_Elc_PEM_w549914200-220</t>
  </si>
  <si>
    <t>H2prd_Elc_PEM_w1265274426-500</t>
  </si>
  <si>
    <t>H2prd_Elc_PEM_VN1164-500</t>
  </si>
  <si>
    <t>H2prd_Elc_PEM_VN505-500</t>
  </si>
  <si>
    <t>H2prd_Elc_PEM_VN475-500</t>
  </si>
  <si>
    <t>H2prd_Elc_PEM_VN281-500</t>
  </si>
  <si>
    <t>H2prd_Elc_PEM_VN1092-500</t>
  </si>
  <si>
    <t>H2prd_Elc_PEM_w1052065868-500</t>
  </si>
  <si>
    <t>H2prd_Elc_PEM_VN1155-500</t>
  </si>
  <si>
    <t>H2prd_Elc_PEM_VN75-500</t>
  </si>
  <si>
    <t>H2prd_Elc_PEM_VN194-500</t>
  </si>
  <si>
    <t>H2prd_Elc_PEM_VN56-500</t>
  </si>
  <si>
    <t>H2prd_Elc_PEM_VN27-500</t>
  </si>
  <si>
    <t>H2prd_Elc_PEM_VN14-500</t>
  </si>
  <si>
    <t>H2prd_Elc_PEM_VN1101-220</t>
  </si>
  <si>
    <t>H2prd_Elc_PEM_VN92-500</t>
  </si>
  <si>
    <t>H2prd_Elc_PEM_VN129-500</t>
  </si>
  <si>
    <t>H2prd_Elc_PEM_VN323-500</t>
  </si>
  <si>
    <t>H2prd_Elc_PEM_VN1222-500</t>
  </si>
  <si>
    <t>H2prd_Elc_PEM_VN1127-220</t>
  </si>
  <si>
    <t>H2prd_Elc_PEM_VN979-500</t>
  </si>
  <si>
    <t>H2prd_Elc_PEM_VN1043-500</t>
  </si>
  <si>
    <t>H2prd_Elc_PEM_VN1017-500</t>
  </si>
  <si>
    <t>H2prd_Elc_PEM_VN911-500</t>
  </si>
  <si>
    <t>H2prd_Elc_PEM_VN598-500</t>
  </si>
  <si>
    <t>H2prd_Elc_PEM_VN898-500</t>
  </si>
  <si>
    <t>H2prd_Elc_PEM_VN781-500</t>
  </si>
  <si>
    <t>H2prd_Elc_PEM_VN285-500</t>
  </si>
  <si>
    <t>H2prd_Elc_PEM_VN767-500</t>
  </si>
  <si>
    <t>H2prd_Elc_PEM_VN706-500</t>
  </si>
  <si>
    <t>H2prd_Elc_PEM_VN497-500</t>
  </si>
  <si>
    <t>H2prd_Elc_PEM_VN674-500</t>
  </si>
  <si>
    <t>H2prd_Elc_PEM_VN400-500</t>
  </si>
  <si>
    <t>H2prd_Elc_PEM_VN434-500</t>
  </si>
  <si>
    <t>H2prd_Elc_PEM_VN964-500</t>
  </si>
  <si>
    <t>H2prd_Elc_PEM_VN239-220</t>
  </si>
  <si>
    <t>H2prd_Elc_PEM_VN803-500</t>
  </si>
  <si>
    <t>H2prd_Elc_ALK_w400591170-500</t>
  </si>
  <si>
    <t>H2prd_Elc_ALK_w549914200-220</t>
  </si>
  <si>
    <t>H2prd_Elc_ALK_w1265274426-500</t>
  </si>
  <si>
    <t>H2prd_Elc_ALK_VN1164-500</t>
  </si>
  <si>
    <t>H2prd_Elc_ALK_VN505-500</t>
  </si>
  <si>
    <t>H2prd_Elc_ALK_VN475-500</t>
  </si>
  <si>
    <t>H2prd_Elc_ALK_VN281-500</t>
  </si>
  <si>
    <t>H2prd_Elc_ALK_VN1092-500</t>
  </si>
  <si>
    <t>H2prd_Elc_ALK_w1052065868-500</t>
  </si>
  <si>
    <t>H2prd_Elc_ALK_VN1155-500</t>
  </si>
  <si>
    <t>H2prd_Elc_ALK_VN75-500</t>
  </si>
  <si>
    <t>H2prd_Elc_ALK_VN194-500</t>
  </si>
  <si>
    <t>H2prd_Elc_ALK_VN56-500</t>
  </si>
  <si>
    <t>H2prd_Elc_ALK_VN27-500</t>
  </si>
  <si>
    <t>H2prd_Elc_ALK_VN14-500</t>
  </si>
  <si>
    <t>H2prd_Elc_ALK_VN1101-220</t>
  </si>
  <si>
    <t>H2prd_Elc_ALK_VN92-500</t>
  </si>
  <si>
    <t>H2prd_Elc_ALK_VN129-500</t>
  </si>
  <si>
    <t>H2prd_Elc_ALK_VN323-500</t>
  </si>
  <si>
    <t>H2prd_Elc_ALK_VN1222-500</t>
  </si>
  <si>
    <t>H2prd_Elc_ALK_VN1127-220</t>
  </si>
  <si>
    <t>H2prd_Elc_ALK_VN979-500</t>
  </si>
  <si>
    <t>H2prd_Elc_ALK_VN1043-500</t>
  </si>
  <si>
    <t>H2prd_Elc_ALK_VN1017-500</t>
  </si>
  <si>
    <t>H2prd_Elc_ALK_VN911-500</t>
  </si>
  <si>
    <t>H2prd_Elc_ALK_VN598-500</t>
  </si>
  <si>
    <t>H2prd_Elc_ALK_VN898-500</t>
  </si>
  <si>
    <t>H2prd_Elc_ALK_VN781-500</t>
  </si>
  <si>
    <t>H2prd_Elc_ALK_VN285-500</t>
  </si>
  <si>
    <t>H2prd_Elc_ALK_VN767-500</t>
  </si>
  <si>
    <t>H2prd_Elc_ALK_VN706-500</t>
  </si>
  <si>
    <t>H2prd_Elc_ALK_VN497-500</t>
  </si>
  <si>
    <t>H2prd_Elc_ALK_VN674-500</t>
  </si>
  <si>
    <t>H2prd_Elc_ALK_VN400-500</t>
  </si>
  <si>
    <t>H2prd_Elc_ALK_VN434-500</t>
  </si>
  <si>
    <t>H2prd_Elc_ALK_VN964-500</t>
  </si>
  <si>
    <t>H2prd_Elc_ALK_VN239-220</t>
  </si>
  <si>
    <t>H2prd_Elc_ALK_VN803-500</t>
  </si>
  <si>
    <t>~tfm_topins</t>
  </si>
  <si>
    <t>io</t>
  </si>
  <si>
    <t>e_w400591170-500</t>
  </si>
  <si>
    <t>IN</t>
  </si>
  <si>
    <t>e_w549914200-220</t>
  </si>
  <si>
    <t>e_w1265274426-500</t>
  </si>
  <si>
    <t>e_VN1164-500</t>
  </si>
  <si>
    <t>e_VN505-500</t>
  </si>
  <si>
    <t>e_VN475-500</t>
  </si>
  <si>
    <t>e_VN281-500</t>
  </si>
  <si>
    <t>e_VN1092-500</t>
  </si>
  <si>
    <t>e_w1052065868-500</t>
  </si>
  <si>
    <t>e_VN1155-500</t>
  </si>
  <si>
    <t>e_VN75-500</t>
  </si>
  <si>
    <t>e_VN194-500</t>
  </si>
  <si>
    <t>e_VN56-500</t>
  </si>
  <si>
    <t>e_VN27-500</t>
  </si>
  <si>
    <t>e_VN14-500</t>
  </si>
  <si>
    <t>e_VN1101-220</t>
  </si>
  <si>
    <t>e_VN92-500</t>
  </si>
  <si>
    <t>e_VN129-500</t>
  </si>
  <si>
    <t>e_VN323-500</t>
  </si>
  <si>
    <t>e_VN1222-500</t>
  </si>
  <si>
    <t>e_VN1127-220</t>
  </si>
  <si>
    <t>e_VN979-500</t>
  </si>
  <si>
    <t>e_VN1043-500</t>
  </si>
  <si>
    <t>e_VN1017-500</t>
  </si>
  <si>
    <t>e_VN911-500</t>
  </si>
  <si>
    <t>e_VN598-500</t>
  </si>
  <si>
    <t>e_VN898-500</t>
  </si>
  <si>
    <t>e_VN781-500</t>
  </si>
  <si>
    <t>e_VN285-500</t>
  </si>
  <si>
    <t>e_VN767-500</t>
  </si>
  <si>
    <t>e_VN706-500</t>
  </si>
  <si>
    <t>e_VN497-500</t>
  </si>
  <si>
    <t>e_VN674-500</t>
  </si>
  <si>
    <t>e_VN400-500</t>
  </si>
  <si>
    <t>e_VN434-500</t>
  </si>
  <si>
    <t>e_VN964-500</t>
  </si>
  <si>
    <t>e_VN239-220</t>
  </si>
  <si>
    <t>e_VN803-500</t>
  </si>
  <si>
    <t>region</t>
  </si>
  <si>
    <t>Bioenergy + CCUS_VN1157-220</t>
  </si>
  <si>
    <t>e_VN1157-220</t>
  </si>
  <si>
    <t>OUT</t>
  </si>
  <si>
    <t>Bioenergy - Large scale unit_VN1157-220</t>
  </si>
  <si>
    <t>CCGT_VN1157-220</t>
  </si>
  <si>
    <t>CCGT + CCS_VN1157-220</t>
  </si>
  <si>
    <t>Coal + CCS_VN1157-220</t>
  </si>
  <si>
    <t>Gas turbine_VN1157-220</t>
  </si>
  <si>
    <t>IGCC_VN1157-220</t>
  </si>
  <si>
    <t>IGCC + CCS_VN1157-220</t>
  </si>
  <si>
    <t>Nuclear large_VN1157-220</t>
  </si>
  <si>
    <t>Oxyfuel + CCS_VN1157-220</t>
  </si>
  <si>
    <t>Steam Coal - SUBCRITICAL_VN1157-220</t>
  </si>
  <si>
    <t>Steam Coal - SUPERCRITICAL_VN1157-220</t>
  </si>
  <si>
    <t>Steam Coal - ULTRASUPERCRITICAL_VN1157-220</t>
  </si>
  <si>
    <t>Bioenergy + CCUS_w548970101-220</t>
  </si>
  <si>
    <t>e_w548970101-220</t>
  </si>
  <si>
    <t>Bioenergy - Large scale unit_w548970101-220</t>
  </si>
  <si>
    <t>CCGT_w548970101-220</t>
  </si>
  <si>
    <t>CCGT + CCS_w548970101-220</t>
  </si>
  <si>
    <t>Coal + CCS_w548970101-220</t>
  </si>
  <si>
    <t>Gas turbine_w548970101-220</t>
  </si>
  <si>
    <t>IGCC_w548970101-220</t>
  </si>
  <si>
    <t>IGCC + CCS_w548970101-220</t>
  </si>
  <si>
    <t>Nuclear large_w548970101-220</t>
  </si>
  <si>
    <t>Oxyfuel + CCS_w548970101-220</t>
  </si>
  <si>
    <t>Steam Coal - SUBCRITICAL_w548970101-220</t>
  </si>
  <si>
    <t>Steam Coal - SUPERCRITICAL_w548970101-220</t>
  </si>
  <si>
    <t>Steam Coal - ULTRASUPERCRITICAL_w548970101-220</t>
  </si>
  <si>
    <t>Bioenergy + CCUS_w548970109-220</t>
  </si>
  <si>
    <t>e_w548970109-220</t>
  </si>
  <si>
    <t>Bioenergy - Large scale unit_w548970109-220</t>
  </si>
  <si>
    <t>CCGT_w548970109-220</t>
  </si>
  <si>
    <t>CCGT + CCS_w548970109-220</t>
  </si>
  <si>
    <t>Coal + CCS_w548970109-220</t>
  </si>
  <si>
    <t>Gas turbine_w548970109-220</t>
  </si>
  <si>
    <t>IGCC_w548970109-220</t>
  </si>
  <si>
    <t>IGCC + CCS_w548970109-220</t>
  </si>
  <si>
    <t>Nuclear large_w548970109-220</t>
  </si>
  <si>
    <t>Oxyfuel + CCS_w548970109-220</t>
  </si>
  <si>
    <t>Steam Coal - SUBCRITICAL_w548970109-220</t>
  </si>
  <si>
    <t>Steam Coal - SUPERCRITICAL_w548970109-220</t>
  </si>
  <si>
    <t>Steam Coal - ULTRASUPERCRITICAL_w548970109-220</t>
  </si>
  <si>
    <t>Bioenergy + CCUS_VN998-500</t>
  </si>
  <si>
    <t>e_VN998-500</t>
  </si>
  <si>
    <t>Bioenergy - Large scale unit_VN998-500</t>
  </si>
  <si>
    <t>CCGT_VN998-500</t>
  </si>
  <si>
    <t>CCGT + CCS_VN998-500</t>
  </si>
  <si>
    <t>Coal + CCS_VN998-500</t>
  </si>
  <si>
    <t>Gas turbine_VN998-500</t>
  </si>
  <si>
    <t>IGCC_VN998-500</t>
  </si>
  <si>
    <t>IGCC + CCS_VN998-500</t>
  </si>
  <si>
    <t>Nuclear large_VN998-500</t>
  </si>
  <si>
    <t>Oxyfuel + CCS_VN998-500</t>
  </si>
  <si>
    <t>Steam Coal - SUBCRITICAL_VN998-500</t>
  </si>
  <si>
    <t>Steam Coal - SUPERCRITICAL_VN998-500</t>
  </si>
  <si>
    <t>Steam Coal - ULTRASUPERCRITICAL_VN998-500</t>
  </si>
  <si>
    <t>Bioenergy + CCUS_VN516-500</t>
  </si>
  <si>
    <t>e_VN516-500</t>
  </si>
  <si>
    <t>Bioenergy - Large scale unit_VN516-500</t>
  </si>
  <si>
    <t>CCGT_VN516-500</t>
  </si>
  <si>
    <t>CCGT + CCS_VN516-500</t>
  </si>
  <si>
    <t>Coal + CCS_VN516-500</t>
  </si>
  <si>
    <t>Gas turbine_VN516-500</t>
  </si>
  <si>
    <t>IGCC_VN516-500</t>
  </si>
  <si>
    <t>IGCC + CCS_VN516-500</t>
  </si>
  <si>
    <t>Nuclear large_VN516-500</t>
  </si>
  <si>
    <t>Oxyfuel + CCS_VN516-500</t>
  </si>
  <si>
    <t>Steam Coal - SUBCRITICAL_VN516-500</t>
  </si>
  <si>
    <t>Steam Coal - SUPERCRITICAL_VN516-500</t>
  </si>
  <si>
    <t>Steam Coal - ULTRASUPERCRITICAL_VN516-500</t>
  </si>
  <si>
    <t>Bioenergy + CCUS_VN328-500</t>
  </si>
  <si>
    <t>e_VN328-500</t>
  </si>
  <si>
    <t>Bioenergy - Large scale unit_VN328-500</t>
  </si>
  <si>
    <t>CCGT_VN328-500</t>
  </si>
  <si>
    <t>CCGT + CCS_VN328-500</t>
  </si>
  <si>
    <t>Coal + CCS_VN328-500</t>
  </si>
  <si>
    <t>Gas turbine_VN328-500</t>
  </si>
  <si>
    <t>IGCC_VN328-500</t>
  </si>
  <si>
    <t>IGCC + CCS_VN328-500</t>
  </si>
  <si>
    <t>Nuclear large_VN328-500</t>
  </si>
  <si>
    <t>Oxyfuel + CCS_VN328-500</t>
  </si>
  <si>
    <t>Steam Coal - SUBCRITICAL_VN328-500</t>
  </si>
  <si>
    <t>Steam Coal - SUPERCRITICAL_VN328-500</t>
  </si>
  <si>
    <t>Steam Coal - ULTRASUPERCRITICAL_VN328-500</t>
  </si>
  <si>
    <t>Bioenergy + CCUS_VN595-500</t>
  </si>
  <si>
    <t>e_VN595-500</t>
  </si>
  <si>
    <t>Bioenergy - Large scale unit_VN595-500</t>
  </si>
  <si>
    <t>CCGT_VN595-500</t>
  </si>
  <si>
    <t>CCGT + CCS_VN595-500</t>
  </si>
  <si>
    <t>Coal + CCS_VN595-500</t>
  </si>
  <si>
    <t>Gas turbine_VN595-500</t>
  </si>
  <si>
    <t>IGCC_VN595-500</t>
  </si>
  <si>
    <t>IGCC + CCS_VN595-500</t>
  </si>
  <si>
    <t>Nuclear large_VN595-500</t>
  </si>
  <si>
    <t>Oxyfuel + CCS_VN595-500</t>
  </si>
  <si>
    <t>Steam Coal - SUBCRITICAL_VN595-500</t>
  </si>
  <si>
    <t>Steam Coal - SUPERCRITICAL_VN595-500</t>
  </si>
  <si>
    <t>Steam Coal - ULTRASUPERCRITICAL_VN595-500</t>
  </si>
  <si>
    <t>Bioenergy + CCUS_VN473-500</t>
  </si>
  <si>
    <t>e_VN473-500</t>
  </si>
  <si>
    <t>Bioenergy - Large scale unit_VN473-500</t>
  </si>
  <si>
    <t>CCGT_VN473-500</t>
  </si>
  <si>
    <t>CCGT + CCS_VN473-500</t>
  </si>
  <si>
    <t>Coal + CCS_VN473-500</t>
  </si>
  <si>
    <t>Gas turbine_VN473-500</t>
  </si>
  <si>
    <t>IGCC_VN473-500</t>
  </si>
  <si>
    <t>IGCC + CCS_VN473-500</t>
  </si>
  <si>
    <t>Nuclear large_VN473-500</t>
  </si>
  <si>
    <t>Oxyfuel + CCS_VN473-500</t>
  </si>
  <si>
    <t>Steam Coal - SUBCRITICAL_VN473-500</t>
  </si>
  <si>
    <t>Steam Coal - SUPERCRITICAL_VN473-500</t>
  </si>
  <si>
    <t>Steam Coal - ULTRASUPERCRITICAL_VN473-500</t>
  </si>
  <si>
    <t>Bioenergy + CCUS_VN1137-500</t>
  </si>
  <si>
    <t>e_VN1137-500</t>
  </si>
  <si>
    <t>Bioenergy - Large scale unit_VN1137-500</t>
  </si>
  <si>
    <t>CCGT_VN1137-500</t>
  </si>
  <si>
    <t>CCGT + CCS_VN1137-500</t>
  </si>
  <si>
    <t>Coal + CCS_VN1137-500</t>
  </si>
  <si>
    <t>Gas turbine_VN1137-500</t>
  </si>
  <si>
    <t>IGCC_VN1137-500</t>
  </si>
  <si>
    <t>IGCC + CCS_VN1137-500</t>
  </si>
  <si>
    <t>Nuclear large_VN1137-500</t>
  </si>
  <si>
    <t>Oxyfuel + CCS_VN1137-500</t>
  </si>
  <si>
    <t>Steam Coal - SUBCRITICAL_VN1137-500</t>
  </si>
  <si>
    <t>Steam Coal - SUPERCRITICAL_VN1137-500</t>
  </si>
  <si>
    <t>Steam Coal - ULTRASUPERCRITICAL_VN1137-500</t>
  </si>
  <si>
    <t>Bioenergy + CCUS_VN1099-500</t>
  </si>
  <si>
    <t>e_VN1099-500</t>
  </si>
  <si>
    <t>Bioenergy - Large scale unit_VN1099-500</t>
  </si>
  <si>
    <t>CCGT_VN1099-500</t>
  </si>
  <si>
    <t>CCGT + CCS_VN1099-500</t>
  </si>
  <si>
    <t>Coal + CCS_VN1099-500</t>
  </si>
  <si>
    <t>Gas turbine_VN1099-500</t>
  </si>
  <si>
    <t>IGCC_VN1099-500</t>
  </si>
  <si>
    <t>IGCC + CCS_VN1099-500</t>
  </si>
  <si>
    <t>Nuclear large_VN1099-500</t>
  </si>
  <si>
    <t>Oxyfuel + CCS_VN1099-500</t>
  </si>
  <si>
    <t>Steam Coal - SUBCRITICAL_VN1099-500</t>
  </si>
  <si>
    <t>Steam Coal - SUPERCRITICAL_VN1099-500</t>
  </si>
  <si>
    <t>Steam Coal - ULTRASUPERCRITICAL_VN1099-500</t>
  </si>
  <si>
    <t>Bioenergy + CCUS_w744217936-220</t>
  </si>
  <si>
    <t>e_w744217936-220</t>
  </si>
  <si>
    <t>Bioenergy - Large scale unit_w744217936-220</t>
  </si>
  <si>
    <t>CCGT_w744217936-220</t>
  </si>
  <si>
    <t>CCGT + CCS_w744217936-220</t>
  </si>
  <si>
    <t>Coal + CCS_w744217936-220</t>
  </si>
  <si>
    <t>Gas turbine_w744217936-220</t>
  </si>
  <si>
    <t>IGCC_w744217936-220</t>
  </si>
  <si>
    <t>IGCC + CCS_w744217936-220</t>
  </si>
  <si>
    <t>Nuclear large_w744217936-220</t>
  </si>
  <si>
    <t>Oxyfuel + CCS_w744217936-220</t>
  </si>
  <si>
    <t>Steam Coal - SUBCRITICAL_w744217936-220</t>
  </si>
  <si>
    <t>Steam Coal - SUPERCRITICAL_w744217936-220</t>
  </si>
  <si>
    <t>Steam Coal - ULTRASUPERCRITICAL_w744217936-220</t>
  </si>
  <si>
    <t>Bioenergy + CCUS_VN589-500</t>
  </si>
  <si>
    <t>e_VN589-500</t>
  </si>
  <si>
    <t>Bioenergy - Large scale unit_VN589-500</t>
  </si>
  <si>
    <t>CCGT_VN589-500</t>
  </si>
  <si>
    <t>CCGT + CCS_VN589-500</t>
  </si>
  <si>
    <t>Coal + CCS_VN589-500</t>
  </si>
  <si>
    <t>Gas turbine_VN589-500</t>
  </si>
  <si>
    <t>IGCC_VN589-500</t>
  </si>
  <si>
    <t>IGCC + CCS_VN589-500</t>
  </si>
  <si>
    <t>Nuclear large_VN589-500</t>
  </si>
  <si>
    <t>Oxyfuel + CCS_VN589-500</t>
  </si>
  <si>
    <t>Steam Coal - SUBCRITICAL_VN589-500</t>
  </si>
  <si>
    <t>Steam Coal - SUPERCRITICAL_VN589-500</t>
  </si>
  <si>
    <t>Steam Coal - ULTRASUPERCRITICAL_VN589-500</t>
  </si>
  <si>
    <t>Bioenergy + CCUS_w1273255946-220</t>
  </si>
  <si>
    <t>e_w1273255946-220</t>
  </si>
  <si>
    <t>Bioenergy - Large scale unit_w1273255946-220</t>
  </si>
  <si>
    <t>CCGT_w1273255946-220</t>
  </si>
  <si>
    <t>CCGT + CCS_w1273255946-220</t>
  </si>
  <si>
    <t>Coal + CCS_w1273255946-220</t>
  </si>
  <si>
    <t>Gas turbine_w1273255946-220</t>
  </si>
  <si>
    <t>IGCC_w1273255946-220</t>
  </si>
  <si>
    <t>IGCC + CCS_w1273255946-220</t>
  </si>
  <si>
    <t>Nuclear large_w1273255946-220</t>
  </si>
  <si>
    <t>Oxyfuel + CCS_w1273255946-220</t>
  </si>
  <si>
    <t>Steam Coal - SUBCRITICAL_w1273255946-220</t>
  </si>
  <si>
    <t>Steam Coal - SUPERCRITICAL_w1273255946-220</t>
  </si>
  <si>
    <t>Steam Coal - ULTRASUPERCRITICAL_w1273255946-220</t>
  </si>
  <si>
    <t>Bioenergy + CCUS_w750907640-220</t>
  </si>
  <si>
    <t>e_w750907640-220</t>
  </si>
  <si>
    <t>Bioenergy - Large scale unit_w750907640-220</t>
  </si>
  <si>
    <t>CCGT_w750907640-220</t>
  </si>
  <si>
    <t>CCGT + CCS_w750907640-220</t>
  </si>
  <si>
    <t>Coal + CCS_w750907640-220</t>
  </si>
  <si>
    <t>Gas turbine_w750907640-220</t>
  </si>
  <si>
    <t>IGCC_w750907640-220</t>
  </si>
  <si>
    <t>IGCC + CCS_w750907640-220</t>
  </si>
  <si>
    <t>Nuclear large_w750907640-220</t>
  </si>
  <si>
    <t>Oxyfuel + CCS_w750907640-220</t>
  </si>
  <si>
    <t>Steam Coal - SUBCRITICAL_w750907640-220</t>
  </si>
  <si>
    <t>Steam Coal - SUPERCRITICAL_w750907640-220</t>
  </si>
  <si>
    <t>Steam Coal - ULTRASUPERCRITICAL_w750907640-220</t>
  </si>
  <si>
    <t>Bioenergy + CCUS_VN323-500</t>
  </si>
  <si>
    <t>Bioenergy - Large scale unit_VN323-500</t>
  </si>
  <si>
    <t>CCGT_VN323-500</t>
  </si>
  <si>
    <t>CCGT + CCS_VN323-500</t>
  </si>
  <si>
    <t>Coal + CCS_VN323-500</t>
  </si>
  <si>
    <t>Gas turbine_VN323-500</t>
  </si>
  <si>
    <t>IGCC_VN323-500</t>
  </si>
  <si>
    <t>IGCC + CCS_VN323-500</t>
  </si>
  <si>
    <t>Nuclear large_VN323-500</t>
  </si>
  <si>
    <t>Oxyfuel + CCS_VN323-500</t>
  </si>
  <si>
    <t>Steam Coal - SUBCRITICAL_VN323-500</t>
  </si>
  <si>
    <t>Steam Coal - SUPERCRITICAL_VN323-500</t>
  </si>
  <si>
    <t>Steam Coal - ULTRASUPERCRITICAL_VN323-500</t>
  </si>
  <si>
    <t>Bioenergy + CCUS_w306295540-220</t>
  </si>
  <si>
    <t>e_w306295540-220</t>
  </si>
  <si>
    <t>Bioenergy - Large scale unit_w306295540-220</t>
  </si>
  <si>
    <t>CCGT_w306295540-220</t>
  </si>
  <si>
    <t>CCGT + CCS_w306295540-220</t>
  </si>
  <si>
    <t>Coal + CCS_w306295540-220</t>
  </si>
  <si>
    <t>Gas turbine_w306295540-220</t>
  </si>
  <si>
    <t>IGCC_w306295540-220</t>
  </si>
  <si>
    <t>IGCC + CCS_w306295540-220</t>
  </si>
  <si>
    <t>Nuclear large_w306295540-220</t>
  </si>
  <si>
    <t>Oxyfuel + CCS_w306295540-220</t>
  </si>
  <si>
    <t>Steam Coal - SUBCRITICAL_w306295540-220</t>
  </si>
  <si>
    <t>Steam Coal - SUPERCRITICAL_w306295540-220</t>
  </si>
  <si>
    <t>Steam Coal - ULTRASUPERCRITICAL_w306295540-220</t>
  </si>
  <si>
    <t>Bioenergy + CCUS_VN1199-500</t>
  </si>
  <si>
    <t>e_VN1199-500</t>
  </si>
  <si>
    <t>Bioenergy - Large scale unit_VN1199-500</t>
  </si>
  <si>
    <t>CCGT_VN1199-500</t>
  </si>
  <si>
    <t>CCGT + CCS_VN1199-500</t>
  </si>
  <si>
    <t>Coal + CCS_VN1199-500</t>
  </si>
  <si>
    <t>Gas turbine_VN1199-500</t>
  </si>
  <si>
    <t>IGCC_VN1199-500</t>
  </si>
  <si>
    <t>IGCC + CCS_VN1199-500</t>
  </si>
  <si>
    <t>Nuclear large_VN1199-500</t>
  </si>
  <si>
    <t>Oxyfuel + CCS_VN1199-500</t>
  </si>
  <si>
    <t>Steam Coal - SUBCRITICAL_VN1199-500</t>
  </si>
  <si>
    <t>Steam Coal - SUPERCRITICAL_VN1199-500</t>
  </si>
  <si>
    <t>Steam Coal - ULTRASUPERCRITICAL_VN1199-500</t>
  </si>
  <si>
    <t>Bioenergy + CCUS_w1216970886-220</t>
  </si>
  <si>
    <t>e_w1216970886-220</t>
  </si>
  <si>
    <t>Bioenergy - Large scale unit_w1216970886-220</t>
  </si>
  <si>
    <t>CCGT_w1216970886-220</t>
  </si>
  <si>
    <t>CCGT + CCS_w1216970886-220</t>
  </si>
  <si>
    <t>Coal + CCS_w1216970886-220</t>
  </si>
  <si>
    <t>Gas turbine_w1216970886-220</t>
  </si>
  <si>
    <t>IGCC_w1216970886-220</t>
  </si>
  <si>
    <t>IGCC + CCS_w1216970886-220</t>
  </si>
  <si>
    <t>Nuclear large_w1216970886-220</t>
  </si>
  <si>
    <t>Oxyfuel + CCS_w1216970886-220</t>
  </si>
  <si>
    <t>Steam Coal - SUBCRITICAL_w1216970886-220</t>
  </si>
  <si>
    <t>Steam Coal - SUPERCRITICAL_w1216970886-220</t>
  </si>
  <si>
    <t>Steam Coal - ULTRASUPERCRITICAL_w1216970886-220</t>
  </si>
  <si>
    <t>Bioenergy + CCUS_w1216970886-500</t>
  </si>
  <si>
    <t>e_w1216970886-500</t>
  </si>
  <si>
    <t>Bioenergy - Large scale unit_w1216970886-500</t>
  </si>
  <si>
    <t>CCGT_w1216970886-500</t>
  </si>
  <si>
    <t>CCGT + CCS_w1216970886-500</t>
  </si>
  <si>
    <t>Coal + CCS_w1216970886-500</t>
  </si>
  <si>
    <t>Gas turbine_w1216970886-500</t>
  </si>
  <si>
    <t>IGCC_w1216970886-500</t>
  </si>
  <si>
    <t>IGCC + CCS_w1216970886-500</t>
  </si>
  <si>
    <t>Nuclear large_w1216970886-500</t>
  </si>
  <si>
    <t>Oxyfuel + CCS_w1216970886-500</t>
  </si>
  <si>
    <t>Steam Coal - SUBCRITICAL_w1216970886-500</t>
  </si>
  <si>
    <t>Steam Coal - SUPERCRITICAL_w1216970886-500</t>
  </si>
  <si>
    <t>Steam Coal - ULTRASUPERCRITICAL_w1216970886-500</t>
  </si>
  <si>
    <t>Bioenergy + CCUS_w715041211-220</t>
  </si>
  <si>
    <t>e_w715041211-220</t>
  </si>
  <si>
    <t>Bioenergy - Large scale unit_w715041211-220</t>
  </si>
  <si>
    <t>CCGT_w715041211-220</t>
  </si>
  <si>
    <t>CCGT + CCS_w715041211-220</t>
  </si>
  <si>
    <t>Coal + CCS_w715041211-220</t>
  </si>
  <si>
    <t>Gas turbine_w715041211-220</t>
  </si>
  <si>
    <t>IGCC_w715041211-220</t>
  </si>
  <si>
    <t>IGCC + CCS_w715041211-220</t>
  </si>
  <si>
    <t>Nuclear large_w715041211-220</t>
  </si>
  <si>
    <t>Oxyfuel + CCS_w715041211-220</t>
  </si>
  <si>
    <t>Steam Coal - SUBCRITICAL_w715041211-220</t>
  </si>
  <si>
    <t>Steam Coal - SUPERCRITICAL_w715041211-220</t>
  </si>
  <si>
    <t>Steam Coal - ULTRASUPERCRITICAL_w715041211-220</t>
  </si>
  <si>
    <t>Bioenergy + CCUS_w1183902227-500</t>
  </si>
  <si>
    <t>e_w1183902227-500</t>
  </si>
  <si>
    <t>Bioenergy - Large scale unit_w1183902227-500</t>
  </si>
  <si>
    <t>CCGT_w1183902227-500</t>
  </si>
  <si>
    <t>CCGT + CCS_w1183902227-500</t>
  </si>
  <si>
    <t>Coal + CCS_w1183902227-500</t>
  </si>
  <si>
    <t>Gas turbine_w1183902227-500</t>
  </si>
  <si>
    <t>IGCC_w1183902227-500</t>
  </si>
  <si>
    <t>IGCC + CCS_w1183902227-500</t>
  </si>
  <si>
    <t>Nuclear large_w1183902227-500</t>
  </si>
  <si>
    <t>Oxyfuel + CCS_w1183902227-500</t>
  </si>
  <si>
    <t>Steam Coal - SUBCRITICAL_w1183902227-500</t>
  </si>
  <si>
    <t>Steam Coal - SUPERCRITICAL_w1183902227-500</t>
  </si>
  <si>
    <t>Steam Coal - ULTRASUPERCRITICAL_w1183902227-500</t>
  </si>
  <si>
    <t>Bioenergy + CCUS_VN485-500</t>
  </si>
  <si>
    <t>e_VN485-500</t>
  </si>
  <si>
    <t>Bioenergy - Large scale unit_VN485-500</t>
  </si>
  <si>
    <t>CCGT_VN485-500</t>
  </si>
  <si>
    <t>CCGT + CCS_VN485-500</t>
  </si>
  <si>
    <t>Coal + CCS_VN485-500</t>
  </si>
  <si>
    <t>Gas turbine_VN485-500</t>
  </si>
  <si>
    <t>IGCC_VN485-500</t>
  </si>
  <si>
    <t>IGCC + CCS_VN485-500</t>
  </si>
  <si>
    <t>Nuclear large_VN485-500</t>
  </si>
  <si>
    <t>Oxyfuel + CCS_VN485-500</t>
  </si>
  <si>
    <t>Steam Coal - SUBCRITICAL_VN485-500</t>
  </si>
  <si>
    <t>Steam Coal - SUPERCRITICAL_VN485-500</t>
  </si>
  <si>
    <t>Steam Coal - ULTRASUPERCRITICAL_VN485-500</t>
  </si>
  <si>
    <t>Bioenergy + CCUS_VN334-500</t>
  </si>
  <si>
    <t>e_VN334-500</t>
  </si>
  <si>
    <t>Bioenergy - Large scale unit_VN334-500</t>
  </si>
  <si>
    <t>CCGT_VN334-500</t>
  </si>
  <si>
    <t>CCGT + CCS_VN334-500</t>
  </si>
  <si>
    <t>Coal + CCS_VN334-500</t>
  </si>
  <si>
    <t>Gas turbine_VN334-500</t>
  </si>
  <si>
    <t>IGCC_VN334-500</t>
  </si>
  <si>
    <t>IGCC + CCS_VN334-500</t>
  </si>
  <si>
    <t>Nuclear large_VN334-500</t>
  </si>
  <si>
    <t>Oxyfuel + CCS_VN334-500</t>
  </si>
  <si>
    <t>Steam Coal - SUBCRITICAL_VN334-500</t>
  </si>
  <si>
    <t>Steam Coal - SUPERCRITICAL_VN334-500</t>
  </si>
  <si>
    <t>Steam Coal - ULTRASUPERCRITICAL_VN334-500</t>
  </si>
  <si>
    <t>Bioenergy + CCUS_w548752026-220</t>
  </si>
  <si>
    <t>e_w548752026-220</t>
  </si>
  <si>
    <t>Bioenergy - Large scale unit_w548752026-220</t>
  </si>
  <si>
    <t>CCGT_w548752026-220</t>
  </si>
  <si>
    <t>CCGT + CCS_w548752026-220</t>
  </si>
  <si>
    <t>Coal + CCS_w548752026-220</t>
  </si>
  <si>
    <t>Gas turbine_w548752026-220</t>
  </si>
  <si>
    <t>IGCC_w548752026-220</t>
  </si>
  <si>
    <t>IGCC + CCS_w548752026-220</t>
  </si>
  <si>
    <t>Nuclear large_w548752026-220</t>
  </si>
  <si>
    <t>Oxyfuel + CCS_w548752026-220</t>
  </si>
  <si>
    <t>Steam Coal - SUBCRITICAL_w548752026-220</t>
  </si>
  <si>
    <t>Steam Coal - SUPERCRITICAL_w548752026-220</t>
  </si>
  <si>
    <t>Steam Coal - ULTRASUPERCRITICAL_w548752026-220</t>
  </si>
  <si>
    <t>Bioenergy + CCUS_w484379351-220</t>
  </si>
  <si>
    <t>e_w484379351-220</t>
  </si>
  <si>
    <t>Bioenergy - Large scale unit_w484379351-220</t>
  </si>
  <si>
    <t>CCGT_w484379351-220</t>
  </si>
  <si>
    <t>CCGT + CCS_w484379351-220</t>
  </si>
  <si>
    <t>Coal + CCS_w484379351-220</t>
  </si>
  <si>
    <t>Gas turbine_w484379351-220</t>
  </si>
  <si>
    <t>IGCC_w484379351-220</t>
  </si>
  <si>
    <t>IGCC + CCS_w484379351-220</t>
  </si>
  <si>
    <t>Nuclear large_w484379351-220</t>
  </si>
  <si>
    <t>Oxyfuel + CCS_w484379351-220</t>
  </si>
  <si>
    <t>Steam Coal - SUBCRITICAL_w484379351-220</t>
  </si>
  <si>
    <t>Steam Coal - SUPERCRITICAL_w484379351-220</t>
  </si>
  <si>
    <t>Steam Coal - ULTRASUPERCRITICAL_w484379351-220</t>
  </si>
  <si>
    <t>Bioenergy + CCUS_VN145-500</t>
  </si>
  <si>
    <t>e_VN145-500</t>
  </si>
  <si>
    <t>Bioenergy - Large scale unit_VN145-500</t>
  </si>
  <si>
    <t>CCGT_VN145-500</t>
  </si>
  <si>
    <t>CCGT + CCS_VN145-500</t>
  </si>
  <si>
    <t>Coal + CCS_VN145-500</t>
  </si>
  <si>
    <t>Gas turbine_VN145-500</t>
  </si>
  <si>
    <t>IGCC_VN145-500</t>
  </si>
  <si>
    <t>IGCC + CCS_VN145-500</t>
  </si>
  <si>
    <t>Nuclear large_VN145-500</t>
  </si>
  <si>
    <t>Oxyfuel + CCS_VN145-500</t>
  </si>
  <si>
    <t>Steam Coal - SUBCRITICAL_VN145-500</t>
  </si>
  <si>
    <t>Steam Coal - SUPERCRITICAL_VN145-500</t>
  </si>
  <si>
    <t>Steam Coal - ULTRASUPERCRITICAL_VN145-500</t>
  </si>
  <si>
    <t>Bioenergy + CCUS_w483057097-220</t>
  </si>
  <si>
    <t>e_w483057097-220</t>
  </si>
  <si>
    <t>Bioenergy - Large scale unit_w483057097-220</t>
  </si>
  <si>
    <t>CCGT_w483057097-220</t>
  </si>
  <si>
    <t>CCGT + CCS_w483057097-220</t>
  </si>
  <si>
    <t>Coal + CCS_w483057097-220</t>
  </si>
  <si>
    <t>Gas turbine_w483057097-220</t>
  </si>
  <si>
    <t>IGCC_w483057097-220</t>
  </si>
  <si>
    <t>IGCC + CCS_w483057097-220</t>
  </si>
  <si>
    <t>Nuclear large_w483057097-220</t>
  </si>
  <si>
    <t>Oxyfuel + CCS_w483057097-220</t>
  </si>
  <si>
    <t>Steam Coal - SUBCRITICAL_w483057097-220</t>
  </si>
  <si>
    <t>Steam Coal - SUPERCRITICAL_w483057097-220</t>
  </si>
  <si>
    <t>Steam Coal - ULTRASUPERCRITICAL_w483057097-220</t>
  </si>
  <si>
    <t>Bioenergy + CCUS_w827889600-500</t>
  </si>
  <si>
    <t>e_w827889600-500</t>
  </si>
  <si>
    <t>Bioenergy - Large scale unit_w827889600-500</t>
  </si>
  <si>
    <t>CCGT_w827889600-500</t>
  </si>
  <si>
    <t>CCGT + CCS_w827889600-500</t>
  </si>
  <si>
    <t>Coal + CCS_w827889600-500</t>
  </si>
  <si>
    <t>Gas turbine_w827889600-500</t>
  </si>
  <si>
    <t>IGCC_w827889600-500</t>
  </si>
  <si>
    <t>IGCC + CCS_w827889600-500</t>
  </si>
  <si>
    <t>Nuclear large_w827889600-500</t>
  </si>
  <si>
    <t>Oxyfuel + CCS_w827889600-500</t>
  </si>
  <si>
    <t>Steam Coal - SUBCRITICAL_w827889600-500</t>
  </si>
  <si>
    <t>Steam Coal - SUPERCRITICAL_w827889600-500</t>
  </si>
  <si>
    <t>Steam Coal - ULTRASUPERCRITICAL_w827889600-500</t>
  </si>
  <si>
    <t>Bioenergy + CCUS_VN410-220</t>
  </si>
  <si>
    <t>e_VN410-220</t>
  </si>
  <si>
    <t>Bioenergy - Large scale unit_VN410-220</t>
  </si>
  <si>
    <t>CCGT_VN410-220</t>
  </si>
  <si>
    <t>CCGT + CCS_VN410-220</t>
  </si>
  <si>
    <t>Coal + CCS_VN410-220</t>
  </si>
  <si>
    <t>Gas turbine_VN410-220</t>
  </si>
  <si>
    <t>IGCC_VN410-220</t>
  </si>
  <si>
    <t>IGCC + CCS_VN410-220</t>
  </si>
  <si>
    <t>Nuclear large_VN410-220</t>
  </si>
  <si>
    <t>Oxyfuel + CCS_VN410-220</t>
  </si>
  <si>
    <t>Steam Coal - SUBCRITICAL_VN410-220</t>
  </si>
  <si>
    <t>Steam Coal - SUPERCRITICAL_VN410-220</t>
  </si>
  <si>
    <t>Steam Coal - ULTRASUPERCRITICAL_VN410-220</t>
  </si>
  <si>
    <t>Bioenergy + CCUS_w1265851967-220</t>
  </si>
  <si>
    <t>e_w1265851967-220</t>
  </si>
  <si>
    <t>Bioenergy - Large scale unit_w1265851967-220</t>
  </si>
  <si>
    <t>CCGT_w1265851967-220</t>
  </si>
  <si>
    <t>CCGT + CCS_w1265851967-220</t>
  </si>
  <si>
    <t>Coal + CCS_w1265851967-220</t>
  </si>
  <si>
    <t>Gas turbine_w1265851967-220</t>
  </si>
  <si>
    <t>IGCC_w1265851967-220</t>
  </si>
  <si>
    <t>IGCC + CCS_w1265851967-220</t>
  </si>
  <si>
    <t>Nuclear large_w1265851967-220</t>
  </si>
  <si>
    <t>Oxyfuel + CCS_w1265851967-220</t>
  </si>
  <si>
    <t>Steam Coal - SUBCRITICAL_w1265851967-220</t>
  </si>
  <si>
    <t>Steam Coal - SUPERCRITICAL_w1265851967-220</t>
  </si>
  <si>
    <t>Steam Coal - ULTRASUPERCRITICAL_w1265851967-220</t>
  </si>
  <si>
    <t>Bioenergy + CCUS_VN252-220</t>
  </si>
  <si>
    <t>e_VN252-220</t>
  </si>
  <si>
    <t>Bioenergy - Large scale unit_VN252-220</t>
  </si>
  <si>
    <t>CCGT_VN252-220</t>
  </si>
  <si>
    <t>CCGT + CCS_VN252-220</t>
  </si>
  <si>
    <t>Coal + CCS_VN252-220</t>
  </si>
  <si>
    <t>Gas turbine_VN252-220</t>
  </si>
  <si>
    <t>IGCC_VN252-220</t>
  </si>
  <si>
    <t>IGCC + CCS_VN252-220</t>
  </si>
  <si>
    <t>Nuclear large_VN252-220</t>
  </si>
  <si>
    <t>Oxyfuel + CCS_VN252-220</t>
  </si>
  <si>
    <t>Steam Coal - SUBCRITICAL_VN252-220</t>
  </si>
  <si>
    <t>Steam Coal - SUPERCRITICAL_VN252-220</t>
  </si>
  <si>
    <t>Steam Coal - ULTRASUPERCRITICAL_VN252-220</t>
  </si>
  <si>
    <t>Bioenergy + CCUS_VN1219-220</t>
  </si>
  <si>
    <t>e_VN1219-220</t>
  </si>
  <si>
    <t>Bioenergy - Large scale unit_VN1219-220</t>
  </si>
  <si>
    <t>CCGT_VN1219-220</t>
  </si>
  <si>
    <t>CCGT + CCS_VN1219-220</t>
  </si>
  <si>
    <t>Coal + CCS_VN1219-220</t>
  </si>
  <si>
    <t>Gas turbine_VN1219-220</t>
  </si>
  <si>
    <t>IGCC_VN1219-220</t>
  </si>
  <si>
    <t>IGCC + CCS_VN1219-220</t>
  </si>
  <si>
    <t>Nuclear large_VN1219-220</t>
  </si>
  <si>
    <t>Oxyfuel + CCS_VN1219-220</t>
  </si>
  <si>
    <t>Steam Coal - SUBCRITICAL_VN1219-220</t>
  </si>
  <si>
    <t>Steam Coal - SUPERCRITICAL_VN1219-220</t>
  </si>
  <si>
    <t>Steam Coal - ULTRASUPERCRITICAL_VN1219-220</t>
  </si>
  <si>
    <t>Bioenergy + CCUS_VN1223-500</t>
  </si>
  <si>
    <t>e_VN1223-500</t>
  </si>
  <si>
    <t>Bioenergy - Large scale unit_VN1223-500</t>
  </si>
  <si>
    <t>CCGT_VN1223-500</t>
  </si>
  <si>
    <t>CCGT + CCS_VN1223-500</t>
  </si>
  <si>
    <t>Coal + CCS_VN1223-500</t>
  </si>
  <si>
    <t>Gas turbine_VN1223-500</t>
  </si>
  <si>
    <t>IGCC_VN1223-500</t>
  </si>
  <si>
    <t>IGCC + CCS_VN1223-500</t>
  </si>
  <si>
    <t>Nuclear large_VN1223-500</t>
  </si>
  <si>
    <t>Oxyfuel + CCS_VN1223-500</t>
  </si>
  <si>
    <t>Steam Coal - SUBCRITICAL_VN1223-500</t>
  </si>
  <si>
    <t>Steam Coal - SUPERCRITICAL_VN1223-500</t>
  </si>
  <si>
    <t>Steam Coal - ULTRASUPERCRITICAL_VN1223-500</t>
  </si>
  <si>
    <t>Bioenergy + CCUS_w549941555-220</t>
  </si>
  <si>
    <t>e_w549941555-220</t>
  </si>
  <si>
    <t>Bioenergy - Large scale unit_w549941555-220</t>
  </si>
  <si>
    <t>CCGT_w549941555-220</t>
  </si>
  <si>
    <t>CCGT + CCS_w549941555-220</t>
  </si>
  <si>
    <t>Coal + CCS_w549941555-220</t>
  </si>
  <si>
    <t>Gas turbine_w549941555-220</t>
  </si>
  <si>
    <t>IGCC_w549941555-220</t>
  </si>
  <si>
    <t>IGCC + CCS_w549941555-220</t>
  </si>
  <si>
    <t>Nuclear large_w549941555-220</t>
  </si>
  <si>
    <t>Oxyfuel + CCS_w549941555-220</t>
  </si>
  <si>
    <t>Steam Coal - SUBCRITICAL_w549941555-220</t>
  </si>
  <si>
    <t>Steam Coal - SUPERCRITICAL_w549941555-220</t>
  </si>
  <si>
    <t>Steam Coal - ULTRASUPERCRITICAL_w549941555-220</t>
  </si>
  <si>
    <t>Bioenergy + CCUS_w827889590-500</t>
  </si>
  <si>
    <t>e_w827889590-500</t>
  </si>
  <si>
    <t>Bioenergy - Large scale unit_w827889590-500</t>
  </si>
  <si>
    <t>CCGT_w827889590-500</t>
  </si>
  <si>
    <t>CCGT + CCS_w827889590-500</t>
  </si>
  <si>
    <t>Coal + CCS_w827889590-500</t>
  </si>
  <si>
    <t>Gas turbine_w827889590-500</t>
  </si>
  <si>
    <t>IGCC_w827889590-500</t>
  </si>
  <si>
    <t>IGCC + CCS_w827889590-500</t>
  </si>
  <si>
    <t>Nuclear large_w827889590-500</t>
  </si>
  <si>
    <t>Oxyfuel + CCS_w827889590-500</t>
  </si>
  <si>
    <t>Steam Coal - SUBCRITICAL_w827889590-500</t>
  </si>
  <si>
    <t>Steam Coal - SUPERCRITICAL_w827889590-500</t>
  </si>
  <si>
    <t>Steam Coal - ULTRASUPERCRITICAL_w827889590-500</t>
  </si>
  <si>
    <t>Bioenergy + CCUS_VN167-220</t>
  </si>
  <si>
    <t>e_VN167-220</t>
  </si>
  <si>
    <t>Bioenergy - Large scale unit_VN167-220</t>
  </si>
  <si>
    <t>CCGT_VN167-220</t>
  </si>
  <si>
    <t>CCGT + CCS_VN167-220</t>
  </si>
  <si>
    <t>Coal + CCS_VN167-220</t>
  </si>
  <si>
    <t>Gas turbine_VN167-220</t>
  </si>
  <si>
    <t>IGCC_VN167-220</t>
  </si>
  <si>
    <t>IGCC + CCS_VN167-220</t>
  </si>
  <si>
    <t>Nuclear large_VN167-220</t>
  </si>
  <si>
    <t>Oxyfuel + CCS_VN167-220</t>
  </si>
  <si>
    <t>Steam Coal - SUBCRITICAL_VN167-220</t>
  </si>
  <si>
    <t>Steam Coal - SUPERCRITICAL_VN167-220</t>
  </si>
  <si>
    <t>Steam Coal - ULTRASUPERCRITICAL_VN167-220</t>
  </si>
  <si>
    <t>Bioenergy + CCUS_w1320784083-500</t>
  </si>
  <si>
    <t>e_w1320784083-500</t>
  </si>
  <si>
    <t>Bioenergy - Large scale unit_w1320784083-500</t>
  </si>
  <si>
    <t>CCGT_w1320784083-500</t>
  </si>
  <si>
    <t>CCGT + CCS_w1320784083-500</t>
  </si>
  <si>
    <t>Coal + CCS_w1320784083-500</t>
  </si>
  <si>
    <t>Gas turbine_w1320784083-500</t>
  </si>
  <si>
    <t>IGCC_w1320784083-500</t>
  </si>
  <si>
    <t>IGCC + CCS_w1320784083-500</t>
  </si>
  <si>
    <t>Nuclear large_w1320784083-500</t>
  </si>
  <si>
    <t>Oxyfuel + CCS_w1320784083-500</t>
  </si>
  <si>
    <t>Steam Coal - SUBCRITICAL_w1320784083-500</t>
  </si>
  <si>
    <t>Steam Coal - SUPERCRITICAL_w1320784083-500</t>
  </si>
  <si>
    <t>Steam Coal - ULTRASUPERCRITICAL_w1320784083-500</t>
  </si>
  <si>
    <t>Bioenergy + CCUS_w315766007-220</t>
  </si>
  <si>
    <t>e_w315766007-220</t>
  </si>
  <si>
    <t>Bioenergy - Large scale unit_w315766007-220</t>
  </si>
  <si>
    <t>CCGT_w315766007-220</t>
  </si>
  <si>
    <t>CCGT + CCS_w315766007-220</t>
  </si>
  <si>
    <t>Coal + CCS_w315766007-220</t>
  </si>
  <si>
    <t>Gas turbine_w315766007-220</t>
  </si>
  <si>
    <t>IGCC_w315766007-220</t>
  </si>
  <si>
    <t>IGCC + CCS_w315766007-220</t>
  </si>
  <si>
    <t>Nuclear large_w315766007-220</t>
  </si>
  <si>
    <t>Oxyfuel + CCS_w315766007-220</t>
  </si>
  <si>
    <t>Steam Coal - SUBCRITICAL_w315766007-220</t>
  </si>
  <si>
    <t>Steam Coal - SUPERCRITICAL_w315766007-220</t>
  </si>
  <si>
    <t>Steam Coal - ULTRASUPERCRITICAL_w315766007-220</t>
  </si>
  <si>
    <t>Bioenergy + CCUS_VN571-500</t>
  </si>
  <si>
    <t>e_VN571-500</t>
  </si>
  <si>
    <t>Bioenergy - Large scale unit_VN571-500</t>
  </si>
  <si>
    <t>CCGT_VN571-500</t>
  </si>
  <si>
    <t>CCGT + CCS_VN571-500</t>
  </si>
  <si>
    <t>Coal + CCS_VN571-500</t>
  </si>
  <si>
    <t>Gas turbine_VN571-500</t>
  </si>
  <si>
    <t>IGCC_VN571-500</t>
  </si>
  <si>
    <t>IGCC + CCS_VN571-500</t>
  </si>
  <si>
    <t>Nuclear large_VN571-500</t>
  </si>
  <si>
    <t>Oxyfuel + CCS_VN571-500</t>
  </si>
  <si>
    <t>Steam Coal - SUBCRITICAL_VN571-500</t>
  </si>
  <si>
    <t>Steam Coal - SUPERCRITICAL_VN571-500</t>
  </si>
  <si>
    <t>Steam Coal - ULTRASUPERCRITICAL_VN571-500</t>
  </si>
  <si>
    <t>Bioenergy + CCUS_w549914184-220</t>
  </si>
  <si>
    <t>e_w549914184-220</t>
  </si>
  <si>
    <t>Bioenergy - Large scale unit_w549914184-220</t>
  </si>
  <si>
    <t>CCGT_w549914184-220</t>
  </si>
  <si>
    <t>CCGT + CCS_w549914184-220</t>
  </si>
  <si>
    <t>Coal + CCS_w549914184-220</t>
  </si>
  <si>
    <t>Gas turbine_w549914184-220</t>
  </si>
  <si>
    <t>IGCC_w549914184-220</t>
  </si>
  <si>
    <t>IGCC + CCS_w549914184-220</t>
  </si>
  <si>
    <t>Nuclear large_w549914184-220</t>
  </si>
  <si>
    <t>Oxyfuel + CCS_w549914184-220</t>
  </si>
  <si>
    <t>Steam Coal - SUBCRITICAL_w549914184-220</t>
  </si>
  <si>
    <t>Steam Coal - SUPERCRITICAL_w549914184-220</t>
  </si>
  <si>
    <t>Steam Coal - ULTRASUPERCRITICAL_w549914184-220</t>
  </si>
  <si>
    <t>Bioenergy + CCUS_VN230-220</t>
  </si>
  <si>
    <t>e_VN230-220</t>
  </si>
  <si>
    <t>Bioenergy - Large scale unit_VN230-220</t>
  </si>
  <si>
    <t>CCGT_VN230-220</t>
  </si>
  <si>
    <t>CCGT + CCS_VN230-220</t>
  </si>
  <si>
    <t>Coal + CCS_VN230-220</t>
  </si>
  <si>
    <t>Gas turbine_VN230-220</t>
  </si>
  <si>
    <t>IGCC_VN230-220</t>
  </si>
  <si>
    <t>IGCC + CCS_VN230-220</t>
  </si>
  <si>
    <t>Nuclear large_VN230-220</t>
  </si>
  <si>
    <t>Oxyfuel + CCS_VN230-220</t>
  </si>
  <si>
    <t>Steam Coal - SUBCRITICAL_VN230-220</t>
  </si>
  <si>
    <t>Steam Coal - SUPERCRITICAL_VN230-220</t>
  </si>
  <si>
    <t>Steam Coal - ULTRASUPERCRITICAL_VN230-220</t>
  </si>
  <si>
    <t>Bioenergy + CCUS_w1044469623-220</t>
  </si>
  <si>
    <t>e_w1044469623-220</t>
  </si>
  <si>
    <t>Bioenergy - Large scale unit_w1044469623-220</t>
  </si>
  <si>
    <t>CCGT_w1044469623-220</t>
  </si>
  <si>
    <t>CCGT + CCS_w1044469623-220</t>
  </si>
  <si>
    <t>Coal + CCS_w1044469623-220</t>
  </si>
  <si>
    <t>Gas turbine_w1044469623-220</t>
  </si>
  <si>
    <t>IGCC_w1044469623-220</t>
  </si>
  <si>
    <t>IGCC + CCS_w1044469623-220</t>
  </si>
  <si>
    <t>Nuclear large_w1044469623-220</t>
  </si>
  <si>
    <t>Oxyfuel + CCS_w1044469623-220</t>
  </si>
  <si>
    <t>Steam Coal - SUBCRITICAL_w1044469623-220</t>
  </si>
  <si>
    <t>Steam Coal - SUPERCRITICAL_w1044469623-220</t>
  </si>
  <si>
    <t>Steam Coal - ULTRASUPERCRITICAL_w1044469623-220</t>
  </si>
  <si>
    <t>Bioenergy + CCUS_w1265274426-500</t>
  </si>
  <si>
    <t>Bioenergy - Large scale unit_w1265274426-500</t>
  </si>
  <si>
    <t>CCGT_w1265274426-500</t>
  </si>
  <si>
    <t>CCGT + CCS_w1265274426-500</t>
  </si>
  <si>
    <t>Coal + CCS_w1265274426-500</t>
  </si>
  <si>
    <t>Gas turbine_w1265274426-500</t>
  </si>
  <si>
    <t>IGCC_w1265274426-500</t>
  </si>
  <si>
    <t>IGCC + CCS_w1265274426-500</t>
  </si>
  <si>
    <t>Nuclear large_w1265274426-500</t>
  </si>
  <si>
    <t>Oxyfuel + CCS_w1265274426-500</t>
  </si>
  <si>
    <t>Steam Coal - SUBCRITICAL_w1265274426-500</t>
  </si>
  <si>
    <t>Steam Coal - SUPERCRITICAL_w1265274426-500</t>
  </si>
  <si>
    <t>Steam Coal - ULTRASUPERCRITICAL_w1265274426-500</t>
  </si>
  <si>
    <t>Bioenergy + CCUS_w549959350-220</t>
  </si>
  <si>
    <t>e_w549959350-220</t>
  </si>
  <si>
    <t>Bioenergy - Large scale unit_w549959350-220</t>
  </si>
  <si>
    <t>CCGT_w549959350-220</t>
  </si>
  <si>
    <t>CCGT + CCS_w549959350-220</t>
  </si>
  <si>
    <t>Coal + CCS_w549959350-220</t>
  </si>
  <si>
    <t>Gas turbine_w549959350-220</t>
  </si>
  <si>
    <t>IGCC_w549959350-220</t>
  </si>
  <si>
    <t>IGCC + CCS_w549959350-220</t>
  </si>
  <si>
    <t>Nuclear large_w549959350-220</t>
  </si>
  <si>
    <t>Oxyfuel + CCS_w549959350-220</t>
  </si>
  <si>
    <t>Steam Coal - SUBCRITICAL_w549959350-220</t>
  </si>
  <si>
    <t>Steam Coal - SUPERCRITICAL_w549959350-220</t>
  </si>
  <si>
    <t>Steam Coal - ULTRASUPERCRITICAL_w549959350-220</t>
  </si>
  <si>
    <t>Bioenergy + CCUS_w1376430795-500</t>
  </si>
  <si>
    <t>e_w1376430795-500</t>
  </si>
  <si>
    <t>Bioenergy - Large scale unit_w1376430795-500</t>
  </si>
  <si>
    <t>CCGT_w1376430795-500</t>
  </si>
  <si>
    <t>CCGT + CCS_w1376430795-500</t>
  </si>
  <si>
    <t>Coal + CCS_w1376430795-500</t>
  </si>
  <si>
    <t>Gas turbine_w1376430795-500</t>
  </si>
  <si>
    <t>IGCC_w1376430795-500</t>
  </si>
  <si>
    <t>IGCC + CCS_w1376430795-500</t>
  </si>
  <si>
    <t>Nuclear large_w1376430795-500</t>
  </si>
  <si>
    <t>Oxyfuel + CCS_w1376430795-500</t>
  </si>
  <si>
    <t>Steam Coal - SUBCRITICAL_w1376430795-500</t>
  </si>
  <si>
    <t>Steam Coal - SUPERCRITICAL_w1376430795-500</t>
  </si>
  <si>
    <t>Steam Coal - ULTRASUPERCRITICAL_w1376430795-500</t>
  </si>
  <si>
    <t>Bioenergy + CCUS_VN1140-500</t>
  </si>
  <si>
    <t>e_VN1140-500</t>
  </si>
  <si>
    <t>Bioenergy - Large scale unit_VN1140-500</t>
  </si>
  <si>
    <t>CCGT_VN1140-500</t>
  </si>
  <si>
    <t>CCGT + CCS_VN1140-500</t>
  </si>
  <si>
    <t>Coal + CCS_VN1140-500</t>
  </si>
  <si>
    <t>Gas turbine_VN1140-500</t>
  </si>
  <si>
    <t>IGCC_VN1140-500</t>
  </si>
  <si>
    <t>IGCC + CCS_VN1140-500</t>
  </si>
  <si>
    <t>Nuclear large_VN1140-500</t>
  </si>
  <si>
    <t>Oxyfuel + CCS_VN1140-500</t>
  </si>
  <si>
    <t>Steam Coal - SUBCRITICAL_VN1140-500</t>
  </si>
  <si>
    <t>Steam Coal - SUPERCRITICAL_VN1140-500</t>
  </si>
  <si>
    <t>Steam Coal - ULTRASUPERCRITICAL_VN1140-500</t>
  </si>
  <si>
    <t>Bioenergy + CCUS_w548717060-500</t>
  </si>
  <si>
    <t>e_w548717060-500</t>
  </si>
  <si>
    <t>Bioenergy - Large scale unit_w548717060-500</t>
  </si>
  <si>
    <t>CCGT_w548717060-500</t>
  </si>
  <si>
    <t>CCGT + CCS_w548717060-500</t>
  </si>
  <si>
    <t>Coal + CCS_w548717060-500</t>
  </si>
  <si>
    <t>Gas turbine_w548717060-500</t>
  </si>
  <si>
    <t>IGCC_w548717060-500</t>
  </si>
  <si>
    <t>IGCC + CCS_w548717060-500</t>
  </si>
  <si>
    <t>Nuclear large_w548717060-500</t>
  </si>
  <si>
    <t>Oxyfuel + CCS_w548717060-500</t>
  </si>
  <si>
    <t>Steam Coal - SUBCRITICAL_w548717060-500</t>
  </si>
  <si>
    <t>Steam Coal - SUPERCRITICAL_w548717060-500</t>
  </si>
  <si>
    <t>Steam Coal - ULTRASUPERCRITICAL_w548717060-500</t>
  </si>
  <si>
    <t>Bioenergy + CCUS_w630750798-220</t>
  </si>
  <si>
    <t>e_w630750798-220</t>
  </si>
  <si>
    <t>Bioenergy - Large scale unit_w630750798-220</t>
  </si>
  <si>
    <t>CCGT_w630750798-220</t>
  </si>
  <si>
    <t>CCGT + CCS_w630750798-220</t>
  </si>
  <si>
    <t>Coal + CCS_w630750798-220</t>
  </si>
  <si>
    <t>Gas turbine_w630750798-220</t>
  </si>
  <si>
    <t>IGCC_w630750798-220</t>
  </si>
  <si>
    <t>IGCC + CCS_w630750798-220</t>
  </si>
  <si>
    <t>Nuclear large_w630750798-220</t>
  </si>
  <si>
    <t>Oxyfuel + CCS_w630750798-220</t>
  </si>
  <si>
    <t>Steam Coal - SUBCRITICAL_w630750798-220</t>
  </si>
  <si>
    <t>Steam Coal - SUPERCRITICAL_w630750798-220</t>
  </si>
  <si>
    <t>Steam Coal - ULTRASUPERCRITICAL_w630750798-220</t>
  </si>
  <si>
    <t>EN_Hydro_VNM-1_w1270938992-220</t>
  </si>
  <si>
    <t>e_w1270938992-220</t>
  </si>
  <si>
    <t>EN_Hydro_VNM-2_w1270938992-220</t>
  </si>
  <si>
    <t>EN_Hydro_VNM-3_w1270938992-220</t>
  </si>
  <si>
    <t>EN_Hydro_VNM-1_VN563-220</t>
  </si>
  <si>
    <t>e_VN563-220</t>
  </si>
  <si>
    <t>EN_Hydro_VNM-2_VN563-220</t>
  </si>
  <si>
    <t>EN_Hydro_VNM-3_VN563-220</t>
  </si>
  <si>
    <t>EN_Hydro_VNM-1_VN707-220</t>
  </si>
  <si>
    <t>e_VN707-220</t>
  </si>
  <si>
    <t>EN_Hydro_VNM-2_VN707-220</t>
  </si>
  <si>
    <t>EN_Hydro_VNM-3_VN707-220</t>
  </si>
  <si>
    <t>EN_Hydro_VNM-1_w1267181647-220</t>
  </si>
  <si>
    <t>e_w1267181647-220</t>
  </si>
  <si>
    <t>EN_Hydro_VNM-2_w1267181647-220</t>
  </si>
  <si>
    <t>EN_Hydro_VNM-3_w1267181647-220</t>
  </si>
  <si>
    <t>EN_Hydro_VNM-1_VN315-500</t>
  </si>
  <si>
    <t>e_VN315-500</t>
  </si>
  <si>
    <t>EN_Hydro_VNM-2_VN315-500</t>
  </si>
  <si>
    <t>EN_Hydro_VNM-3_VN315-500</t>
  </si>
  <si>
    <t>EN_Hydro_VNM-1_VN915-220</t>
  </si>
  <si>
    <t>e_VN915-220</t>
  </si>
  <si>
    <t>EN_Hydro_VNM-2_VN915-220</t>
  </si>
  <si>
    <t>EN_Hydro_VNM-3_VN915-220</t>
  </si>
  <si>
    <t>EN_Hydro_VNM-1_VN22-220</t>
  </si>
  <si>
    <t>e_VN22-220</t>
  </si>
  <si>
    <t>EN_Hydro_VNM-2_VN22-220</t>
  </si>
  <si>
    <t>EN_Hydro_VNM-3_VN22-220</t>
  </si>
  <si>
    <t>EN_Hydro_VNM-1_w1050835279-220</t>
  </si>
  <si>
    <t>e_w1050835279-220</t>
  </si>
  <si>
    <t>EN_Hydro_VNM-2_w1050835279-220</t>
  </si>
  <si>
    <t>EN_Hydro_VNM-3_w1050835279-220</t>
  </si>
  <si>
    <t>EN_Hydro_VNM-1_VN4-220</t>
  </si>
  <si>
    <t>e_VN4-220</t>
  </si>
  <si>
    <t>EN_Hydro_VNM-2_VN4-220</t>
  </si>
  <si>
    <t>EN_Hydro_VNM-3_VN4-220</t>
  </si>
  <si>
    <t>EN_Hydro_VNM-1_w183249722-220</t>
  </si>
  <si>
    <t>e_w183249722-220</t>
  </si>
  <si>
    <t>EN_Hydro_VNM-2_w183249722-220</t>
  </si>
  <si>
    <t>EN_Hydro_VNM-3_w183249722-220</t>
  </si>
  <si>
    <t>EN_Hydro_VNM-1_w548210485-220</t>
  </si>
  <si>
    <t>e_w548210485-220</t>
  </si>
  <si>
    <t>EN_Hydro_VNM-2_w548210485-220</t>
  </si>
  <si>
    <t>EN_Hydro_VNM-3_w548210485-220</t>
  </si>
  <si>
    <t>EN_Hydro_VNM-1_VN930-500</t>
  </si>
  <si>
    <t>e_VN930-500</t>
  </si>
  <si>
    <t>EN_Hydro_VNM-2_VN930-500</t>
  </si>
  <si>
    <t>EN_Hydro_VNM-3_VN930-500</t>
  </si>
  <si>
    <t>EN_Hydro_VNM-1_w1264568832-220</t>
  </si>
  <si>
    <t>e_w1264568832-220</t>
  </si>
  <si>
    <t>EN_Hydro_VNM-2_w1264568832-220</t>
  </si>
  <si>
    <t>EN_Hydro_VNM-3_w1264568832-220</t>
  </si>
  <si>
    <t>EN_Hydro_VNM-1_w481965040-220</t>
  </si>
  <si>
    <t>e_w481965040-220</t>
  </si>
  <si>
    <t>EN_Hydro_VNM-2_w481965040-220</t>
  </si>
  <si>
    <t>EN_Hydro_VNM-3_w481965040-220</t>
  </si>
  <si>
    <t>EN_Hydro_VNM-1_VN321-220</t>
  </si>
  <si>
    <t>e_VN321-220</t>
  </si>
  <si>
    <t>EN_Hydro_VNM-2_VN321-220</t>
  </si>
  <si>
    <t>EN_Hydro_VNM-3_VN321-220</t>
  </si>
  <si>
    <t>EN_Hydro_VNM-1_VN1013-220</t>
  </si>
  <si>
    <t>e_VN1013-220</t>
  </si>
  <si>
    <t>EN_Hydro_VNM-2_VN1013-220</t>
  </si>
  <si>
    <t>EN_Hydro_VNM-3_VN1013-220</t>
  </si>
  <si>
    <t>EN_Hydro_VNM-1_w400474243-220</t>
  </si>
  <si>
    <t>e_w400474243-220</t>
  </si>
  <si>
    <t>EN_Hydro_VNM-2_w400474243-220</t>
  </si>
  <si>
    <t>EN_Hydro_VNM-3_w400474243-220</t>
  </si>
  <si>
    <t>EN_Hydro_VNM-1_VN932-500</t>
  </si>
  <si>
    <t>e_VN932-500</t>
  </si>
  <si>
    <t>EN_Hydro_VNM-2_VN932-500</t>
  </si>
  <si>
    <t>EN_Hydro_VNM-3_VN932-500</t>
  </si>
  <si>
    <t>EN_Hydro_VNM-1_w1233471417-220</t>
  </si>
  <si>
    <t>e_w1233471417-220</t>
  </si>
  <si>
    <t>EN_Hydro_VNM-2_w1233471417-220</t>
  </si>
  <si>
    <t>EN_Hydro_VNM-3_w1233471417-220</t>
  </si>
  <si>
    <t>EN_Hydro_VNM-1_w1270939017-220</t>
  </si>
  <si>
    <t>e_w1270939017-220</t>
  </si>
  <si>
    <t>EN_Hydro_VNM-2_w1270939017-220</t>
  </si>
  <si>
    <t>EN_Hydro_VNM-3_w1270939017-220</t>
  </si>
  <si>
    <t>EN_Hydro_VNM-1_w1263027975-220</t>
  </si>
  <si>
    <t>e_w1263027975-220</t>
  </si>
  <si>
    <t>EN_Hydro_VNM-2_w1263027975-220</t>
  </si>
  <si>
    <t>EN_Hydro_VNM-3_w1263027975-220</t>
  </si>
  <si>
    <t>EN_Hydro_VNM-1_w439941742-220</t>
  </si>
  <si>
    <t>e_w439941742-220</t>
  </si>
  <si>
    <t>EN_Hydro_VNM-2_w439941742-220</t>
  </si>
  <si>
    <t>EN_Hydro_VNM-3_w439941742-220</t>
  </si>
  <si>
    <t>EN_Hydro_VNM-1_w1192268300-220</t>
  </si>
  <si>
    <t>e_w1192268300-220</t>
  </si>
  <si>
    <t>EN_Hydro_VNM-2_w1192268300-220</t>
  </si>
  <si>
    <t>EN_Hydro_VNM-3_w1192268300-220</t>
  </si>
  <si>
    <t>EN_Hydro_VNM-1_w1215089886-220</t>
  </si>
  <si>
    <t>e_w1215089886-220</t>
  </si>
  <si>
    <t>EN_Hydro_VNM-2_w1215089886-220</t>
  </si>
  <si>
    <t>EN_Hydro_VNM-3_w1215089886-220</t>
  </si>
  <si>
    <t>EN_Hydro_VNM-1_VN976-500</t>
  </si>
  <si>
    <t>e_VN976-500</t>
  </si>
  <si>
    <t>EN_Hydro_VNM-2_VN976-500</t>
  </si>
  <si>
    <t>EN_Hydro_VNM-3_VN976-500</t>
  </si>
  <si>
    <t>EN_Hydro_VNM-1_w827889648-220</t>
  </si>
  <si>
    <t>e_w827889648-220</t>
  </si>
  <si>
    <t>EN_Hydro_VNM-2_w827889648-220</t>
  </si>
  <si>
    <t>EN_Hydro_VNM-3_w827889648-220</t>
  </si>
  <si>
    <t>EN_Hydro_VNM-1_VN907-220</t>
  </si>
  <si>
    <t>e_VN907-220</t>
  </si>
  <si>
    <t>EN_Hydro_VNM-2_VN907-220</t>
  </si>
  <si>
    <t>EN_Hydro_VNM-3_VN907-220</t>
  </si>
  <si>
    <t>EN_Hydro_VNM-1_w1205504405-220</t>
  </si>
  <si>
    <t>e_w1205504405-220</t>
  </si>
  <si>
    <t>EN_Hydro_VNM-2_w1205504405-220</t>
  </si>
  <si>
    <t>EN_Hydro_VNM-3_w1205504405-220</t>
  </si>
  <si>
    <t>EN_Hydro_VNM-1_VN187-500</t>
  </si>
  <si>
    <t>e_VN187-500</t>
  </si>
  <si>
    <t>EN_Hydro_VNM-2_VN187-500</t>
  </si>
  <si>
    <t>EN_Hydro_VNM-3_VN187-500</t>
  </si>
  <si>
    <t>EN_Hydro_VNM-1_w1316610167-500</t>
  </si>
  <si>
    <t>e_w1316610167-500</t>
  </si>
  <si>
    <t>EN_Hydro_VNM-2_w1316610167-500</t>
  </si>
  <si>
    <t>EN_Hydro_VNM-3_w1316610167-500</t>
  </si>
  <si>
    <t>EN_Hydro_VNM-1_w1009757707-220</t>
  </si>
  <si>
    <t>e_w1009757707-220</t>
  </si>
  <si>
    <t>EN_Hydro_VNM-2_w1009757707-220</t>
  </si>
  <si>
    <t>EN_Hydro_VNM-3_w1009757707-220</t>
  </si>
  <si>
    <t>EN_Hydro_VNM-1_VN495-500</t>
  </si>
  <si>
    <t>e_VN495-500</t>
  </si>
  <si>
    <t>EN_Hydro_VNM-2_VN495-500</t>
  </si>
  <si>
    <t>EN_Hydro_VNM-3_VN495-500</t>
  </si>
  <si>
    <t>EN_Hydro_VNM-1_w1385239486-500</t>
  </si>
  <si>
    <t>e_w1385239486-500</t>
  </si>
  <si>
    <t>EN_Hydro_VNM-2_w1385239486-500</t>
  </si>
  <si>
    <t>EN_Hydro_VNM-3_w1385239486-500</t>
  </si>
  <si>
    <t>EN_Hydro_VNM-1_VN753-220</t>
  </si>
  <si>
    <t>e_VN753-220</t>
  </si>
  <si>
    <t>EN_Hydro_VNM-2_VN753-220</t>
  </si>
  <si>
    <t>EN_Hydro_VNM-3_VN753-220</t>
  </si>
  <si>
    <t>EN_Hydro_VNM-1_VN8-500</t>
  </si>
  <si>
    <t>e_VN8-500</t>
  </si>
  <si>
    <t>EN_Hydro_VNM-2_VN8-500</t>
  </si>
  <si>
    <t>EN_Hydro_VNM-3_VN8-500</t>
  </si>
  <si>
    <t>EN_Hydro_VNM-1_w1263497522-220</t>
  </si>
  <si>
    <t>e_w1263497522-220</t>
  </si>
  <si>
    <t>EN_Hydro_VNM-2_w1263497522-220</t>
  </si>
  <si>
    <t>EN_Hydro_VNM-3_w1263497522-220</t>
  </si>
  <si>
    <t>EN_Hydro_VNM-1_w893223532-220</t>
  </si>
  <si>
    <t>e_w893223532-220</t>
  </si>
  <si>
    <t>EN_Hydro_VNM-2_w893223532-220</t>
  </si>
  <si>
    <t>EN_Hydro_VNM-3_w893223532-220</t>
  </si>
  <si>
    <t>EN_Hydro_VNM-1_w846270016-500</t>
  </si>
  <si>
    <t>e_w846270016-500</t>
  </si>
  <si>
    <t>EN_Hydro_VNM-2_w846270016-500</t>
  </si>
  <si>
    <t>EN_Hydro_VNM-3_w846270016-500</t>
  </si>
  <si>
    <t>EN_Hydro_VNM-1_VN2-220</t>
  </si>
  <si>
    <t>e_VN2-220</t>
  </si>
  <si>
    <t>EN_Hydro_VNM-2_VN2-220</t>
  </si>
  <si>
    <t>EN_Hydro_VNM-3_VN2-220</t>
  </si>
  <si>
    <t>EN_Hydro_VNM-1_w1271285978-220</t>
  </si>
  <si>
    <t>e_w1271285978-220</t>
  </si>
  <si>
    <t>EN_Hydro_VNM-2_w1271285978-220</t>
  </si>
  <si>
    <t>EN_Hydro_VNM-3_w1271285978-220</t>
  </si>
  <si>
    <t>EN_Hydro_VNM-1_VN476-500</t>
  </si>
  <si>
    <t>e_VN476-500</t>
  </si>
  <si>
    <t>EN_Hydro_VNM-2_VN476-500</t>
  </si>
  <si>
    <t>EN_Hydro_VNM-3_VN476-500</t>
  </si>
  <si>
    <t>EN_Hydro_VNM-1_VN684-220</t>
  </si>
  <si>
    <t>e_VN684-220</t>
  </si>
  <si>
    <t>EN_Hydro_VNM-2_VN684-220</t>
  </si>
  <si>
    <t>EN_Hydro_VNM-3_VN684-220</t>
  </si>
  <si>
    <t>EN_Hydro_VNM-1_w636253156-220</t>
  </si>
  <si>
    <t>e_w636253156-220</t>
  </si>
  <si>
    <t>EN_Hydro_VNM-2_w636253156-220</t>
  </si>
  <si>
    <t>EN_Hydro_VNM-3_w636253156-220</t>
  </si>
  <si>
    <t>EN_Hydro_VNM-1_w401532710-220</t>
  </si>
  <si>
    <t>e_w401532710-220</t>
  </si>
  <si>
    <t>EN_Hydro_VNM-2_w401532710-220</t>
  </si>
  <si>
    <t>EN_Hydro_VNM-3_w401532710-220</t>
  </si>
  <si>
    <t>EN_Hydro_VNM-1_w549380074-220</t>
  </si>
  <si>
    <t>e_w549380074-220</t>
  </si>
  <si>
    <t>EN_Hydro_VNM-2_w549380074-220</t>
  </si>
  <si>
    <t>EN_Hydro_VNM-3_w549380074-220</t>
  </si>
  <si>
    <t>EN_Hydro_VNM-1_VN49-500</t>
  </si>
  <si>
    <t>e_VN49-500</t>
  </si>
  <si>
    <t>EN_Hydro_VNM-2_VN49-500</t>
  </si>
  <si>
    <t>EN_Hydro_VNM-3_VN49-500</t>
  </si>
  <si>
    <t>EN_Hydro_VNM-1_VN569-220</t>
  </si>
  <si>
    <t>e_VN569-220</t>
  </si>
  <si>
    <t>EN_Hydro_VNM-2_VN569-220</t>
  </si>
  <si>
    <t>EN_Hydro_VNM-3_VN569-220</t>
  </si>
  <si>
    <t>EN_Hydro_VNM-1_w1050854663-220</t>
  </si>
  <si>
    <t>e_w1050854663-220</t>
  </si>
  <si>
    <t>EN_Hydro_VNM-2_w1050854663-220</t>
  </si>
  <si>
    <t>EN_Hydro_VNM-3_w1050854663-220</t>
  </si>
  <si>
    <t>EN_Hydro_VNM-1_VN556-500</t>
  </si>
  <si>
    <t>e_VN556-500</t>
  </si>
  <si>
    <t>EN_Hydro_VNM-2_VN556-500</t>
  </si>
  <si>
    <t>EN_Hydro_VNM-3_VN556-500</t>
  </si>
  <si>
    <t>EN_Hydro_VNM-1_VN11-220</t>
  </si>
  <si>
    <t>e_VN11-220</t>
  </si>
  <si>
    <t>EN_Hydro_VNM-2_VN11-220</t>
  </si>
  <si>
    <t>EN_Hydro_VNM-3_VN11-220</t>
  </si>
  <si>
    <t>EN_Hydro_VNM-1_w1211783783-220</t>
  </si>
  <si>
    <t>e_w1211783783-220</t>
  </si>
  <si>
    <t>EN_Hydro_VNM-2_w1211783783-220</t>
  </si>
  <si>
    <t>EN_Hydro_VNM-3_w1211783783-220</t>
  </si>
  <si>
    <t>EN_Hydro_VNM-1_VN584-500</t>
  </si>
  <si>
    <t>e_VN584-500</t>
  </si>
  <si>
    <t>EN_Hydro_VNM-2_VN584-500</t>
  </si>
  <si>
    <t>EN_Hydro_VNM-3_VN584-500</t>
  </si>
  <si>
    <t>EN_Hydro_VNM-1_w400413521-220</t>
  </si>
  <si>
    <t>e_w400413521-220</t>
  </si>
  <si>
    <t>EN_Hydro_VNM-2_w400413521-220</t>
  </si>
  <si>
    <t>EN_Hydro_VNM-3_w400413521-220</t>
  </si>
  <si>
    <t>EN_Hydro_VNM-1_w400413519-220</t>
  </si>
  <si>
    <t>e_w400413519-220</t>
  </si>
  <si>
    <t>EN_Hydro_VNM-2_w400413519-220</t>
  </si>
  <si>
    <t>EN_Hydro_VNM-3_w400413519-220</t>
  </si>
  <si>
    <t>EN_Hydro_VNM-1_w1273328710-220</t>
  </si>
  <si>
    <t>e_w1273328710-220</t>
  </si>
  <si>
    <t>EN_Hydro_VNM-2_w1273328710-220</t>
  </si>
  <si>
    <t>EN_Hydro_VNM-3_w1273328710-220</t>
  </si>
  <si>
    <t>EN_Hydro_VNM-1_w1051382594-220</t>
  </si>
  <si>
    <t>e_w1051382594-220</t>
  </si>
  <si>
    <t>EN_Hydro_VNM-2_w1051382594-220</t>
  </si>
  <si>
    <t>EN_Hydro_VNM-3_w1051382594-220</t>
  </si>
  <si>
    <t>EN_Hydro_VNM-1_VN141-500</t>
  </si>
  <si>
    <t>e_VN141-500</t>
  </si>
  <si>
    <t>EN_Hydro_VNM-2_VN141-500</t>
  </si>
  <si>
    <t>EN_Hydro_VNM-3_VN141-500</t>
  </si>
  <si>
    <t>EN_Hydro_VNM-1_w1263839761-220</t>
  </si>
  <si>
    <t>e_w1263839761-220</t>
  </si>
  <si>
    <t>EN_Hydro_VNM-2_w1263839761-220</t>
  </si>
  <si>
    <t>EN_Hydro_VNM-3_w1263839761-220</t>
  </si>
  <si>
    <t>EN_Hydro_VNM-1_VN32-220</t>
  </si>
  <si>
    <t>e_VN32-220</t>
  </si>
  <si>
    <t>EN_Hydro_VNM-2_VN32-220</t>
  </si>
  <si>
    <t>EN_Hydro_VNM-3_VN32-220</t>
  </si>
  <si>
    <t>EN_Hydro_VNM-1_VN643-500</t>
  </si>
  <si>
    <t>e_VN643-500</t>
  </si>
  <si>
    <t>EN_Hydro_VNM-2_VN643-500</t>
  </si>
  <si>
    <t>EN_Hydro_VNM-3_VN643-500</t>
  </si>
  <si>
    <t>EN_Hydro_VNM-1_w306440155-220</t>
  </si>
  <si>
    <t>e_w306440155-220</t>
  </si>
  <si>
    <t>EN_Hydro_VNM-2_w306440155-220</t>
  </si>
  <si>
    <t>EN_Hydro_VNM-3_w306440155-220</t>
  </si>
  <si>
    <t>EN_Hydro_VNM-1_w857794232-220</t>
  </si>
  <si>
    <t>e_w857794232-220</t>
  </si>
  <si>
    <t>EN_Hydro_VNM-2_w857794232-220</t>
  </si>
  <si>
    <t>EN_Hydro_VNM-3_w857794232-220</t>
  </si>
  <si>
    <t>EN_Hydro_VNM-1_VN23-220</t>
  </si>
  <si>
    <t>e_VN23-220</t>
  </si>
  <si>
    <t>EN_Hydro_VNM-2_VN23-220</t>
  </si>
  <si>
    <t>EN_Hydro_VNM-3_VN23-220</t>
  </si>
  <si>
    <t>EN_Hydro_VNM-1_VN638-500</t>
  </si>
  <si>
    <t>e_VN638-500</t>
  </si>
  <si>
    <t>EN_Hydro_VNM-2_VN638-500</t>
  </si>
  <si>
    <t>EN_Hydro_VNM-3_VN638-500</t>
  </si>
  <si>
    <t>EN_Hydro_VNM-1_VN685-220</t>
  </si>
  <si>
    <t>e_VN685-220</t>
  </si>
  <si>
    <t>EN_Hydro_VNM-2_VN685-220</t>
  </si>
  <si>
    <t>EN_Hydro_VNM-3_VN685-220</t>
  </si>
  <si>
    <t>EN_Hydro_VNM-1_VN504-500</t>
  </si>
  <si>
    <t>e_VN504-500</t>
  </si>
  <si>
    <t>EN_Hydro_VNM-2_VN504-500</t>
  </si>
  <si>
    <t>EN_Hydro_VNM-3_VN504-500</t>
  </si>
  <si>
    <t>EN_STG8hbNREL_VN98-220</t>
  </si>
  <si>
    <t>e_VN98-220</t>
  </si>
  <si>
    <t>EN_STG4hbNREL_VN98-220</t>
  </si>
  <si>
    <t>EN_STG8hbNREL_VN1157-220</t>
  </si>
  <si>
    <t>EN_STG4hbNREL_VN1157-220</t>
  </si>
  <si>
    <t>EN_STG8hbNREL_w548970101-220</t>
  </si>
  <si>
    <t>EN_STG4hbNREL_w548970101-220</t>
  </si>
  <si>
    <t>EN_STG8hbNREL_w548970109-220</t>
  </si>
  <si>
    <t>EN_STG4hbNREL_w548970109-220</t>
  </si>
  <si>
    <t>EN_STG8hbNREL_VN998-500</t>
  </si>
  <si>
    <t>EN_STG4hbNREL_VN998-500</t>
  </si>
  <si>
    <t>EN_STG8hbNREL_VN516-500</t>
  </si>
  <si>
    <t>EN_STG4hbNREL_VN516-500</t>
  </si>
  <si>
    <t>EN_STG8hbNREL_VN328-500</t>
  </si>
  <si>
    <t>EN_STG4hbNREL_VN328-500</t>
  </si>
  <si>
    <t>EN_STG8hbNREL_VN595-500</t>
  </si>
  <si>
    <t>EN_STG4hbNREL_VN595-500</t>
  </si>
  <si>
    <t>EN_STG8hbNREL_VN473-500</t>
  </si>
  <si>
    <t>EN_STG4hbNREL_VN473-500</t>
  </si>
  <si>
    <t>EN_STG8hbNREL_VN1137-500</t>
  </si>
  <si>
    <t>EN_STG4hbNREL_VN1137-500</t>
  </si>
  <si>
    <t>EN_STG8hbNREL_VN1099-500</t>
  </si>
  <si>
    <t>EN_STG4hbNREL_VN1099-500</t>
  </si>
  <si>
    <t>EN_STG8hbNREL_w744217936-220</t>
  </si>
  <si>
    <t>EN_STG4hbNREL_w744217936-220</t>
  </si>
  <si>
    <t>EN_STG8hbNREL_VN589-500</t>
  </si>
  <si>
    <t>EN_STG4hbNREL_VN589-500</t>
  </si>
  <si>
    <t>EN_STG8hbNREL_w1273255946-220</t>
  </si>
  <si>
    <t>EN_STG4hbNREL_w1273255946-220</t>
  </si>
  <si>
    <t>EN_STG8hbNREL_w750907640-220</t>
  </si>
  <si>
    <t>EN_STG4hbNREL_w750907640-220</t>
  </si>
  <si>
    <t>EN_STG8hbNREL_VN323-500</t>
  </si>
  <si>
    <t>EN_STG4hbNREL_VN323-500</t>
  </si>
  <si>
    <t>EN_STG8hbNREL_w306295540-220</t>
  </si>
  <si>
    <t>EN_STG4hbNREL_w306295540-220</t>
  </si>
  <si>
    <t>EN_STG8hbNREL_VN1199-500</t>
  </si>
  <si>
    <t>EN_STG4hbNREL_VN1199-500</t>
  </si>
  <si>
    <t>EN_STG8hbNREL_w1216970886-220</t>
  </si>
  <si>
    <t>EN_STG4hbNREL_w1216970886-220</t>
  </si>
  <si>
    <t>EN_STG8hbNREL_w1216970886-500</t>
  </si>
  <si>
    <t>EN_STG4hbNREL_w1216970886-500</t>
  </si>
  <si>
    <t>EN_STG8hbNREL_w715041211-220</t>
  </si>
  <si>
    <t>EN_STG4hbNREL_w715041211-220</t>
  </si>
  <si>
    <t>EN_STG8hbNREL_w1183902227-500</t>
  </si>
  <si>
    <t>EN_STG4hbNREL_w1183902227-500</t>
  </si>
  <si>
    <t>EN_STG8hbNREL_VN485-500</t>
  </si>
  <si>
    <t>EN_STG4hbNREL_VN485-500</t>
  </si>
  <si>
    <t>EN_STG8hbNREL_VN334-500</t>
  </si>
  <si>
    <t>EN_STG4hbNREL_VN334-500</t>
  </si>
  <si>
    <t>EN_STG8hbNREL_w548752026-220</t>
  </si>
  <si>
    <t>EN_STG4hbNREL_w548752026-220</t>
  </si>
  <si>
    <t>EN_STG8hbNREL_w484379351-220</t>
  </si>
  <si>
    <t>EN_STG4hbNREL_w484379351-220</t>
  </si>
  <si>
    <t>EN_STG8hbNREL_VN145-500</t>
  </si>
  <si>
    <t>EN_STG4hbNREL_VN145-500</t>
  </si>
  <si>
    <t>EN_STG8hbNREL_w483057097-220</t>
  </si>
  <si>
    <t>EN_STG4hbNREL_w483057097-220</t>
  </si>
  <si>
    <t>EN_STG8hbNREL_w827889600-500</t>
  </si>
  <si>
    <t>EN_STG4hbNREL_w827889600-500</t>
  </si>
  <si>
    <t>EN_STG8hbNREL_VN410-220</t>
  </si>
  <si>
    <t>EN_STG4hbNREL_VN410-220</t>
  </si>
  <si>
    <t>EN_STG8hbNREL_w1265851967-220</t>
  </si>
  <si>
    <t>EN_STG4hbNREL_w1265851967-220</t>
  </si>
  <si>
    <t>EN_STG8hbNREL_VN252-220</t>
  </si>
  <si>
    <t>EN_STG4hbNREL_VN252-220</t>
  </si>
  <si>
    <t>EN_STG8hbNREL_VN1219-220</t>
  </si>
  <si>
    <t>EN_STG4hbNREL_VN1219-220</t>
  </si>
  <si>
    <t>EN_STG8hbNREL_VN1223-500</t>
  </si>
  <si>
    <t>EN_STG4hbNREL_VN1223-500</t>
  </si>
  <si>
    <t>EN_STG8hbNREL_w549941555-220</t>
  </si>
  <si>
    <t>EN_STG4hbNREL_w549941555-220</t>
  </si>
  <si>
    <t>EN_STG8hbNREL_w827889590-500</t>
  </si>
  <si>
    <t>EN_STG4hbNREL_w827889590-500</t>
  </si>
  <si>
    <t>EN_STG8hbNREL_VN167-220</t>
  </si>
  <si>
    <t>EN_STG4hbNREL_VN167-220</t>
  </si>
  <si>
    <t>EN_STG8hbNREL_w1320784083-500</t>
  </si>
  <si>
    <t>EN_STG4hbNREL_w1320784083-500</t>
  </si>
  <si>
    <t>EN_STG8hbNREL_w315766007-220</t>
  </si>
  <si>
    <t>EN_STG4hbNREL_w315766007-220</t>
  </si>
  <si>
    <t>EN_STG8hbNREL_VN571-500</t>
  </si>
  <si>
    <t>EN_STG4hbNREL_VN571-500</t>
  </si>
  <si>
    <t>EN_STG8hbNREL_w549914184-220</t>
  </si>
  <si>
    <t>EN_STG4hbNREL_w549914184-220</t>
  </si>
  <si>
    <t>EN_STG8hbNREL_VN230-220</t>
  </si>
  <si>
    <t>EN_STG4hbNREL_VN230-220</t>
  </si>
  <si>
    <t>EN_STG8hbNREL_w1044469623-220</t>
  </si>
  <si>
    <t>EN_STG4hbNREL_w1044469623-220</t>
  </si>
  <si>
    <t>EN_STG8hbNREL_w1265274426-500</t>
  </si>
  <si>
    <t>EN_STG4hbNREL_w1265274426-500</t>
  </si>
  <si>
    <t>EN_STG8hbNREL_w549959350-220</t>
  </si>
  <si>
    <t>EN_STG4hbNREL_w549959350-220</t>
  </si>
  <si>
    <t>EN_STG8hbNREL_w1376430795-500</t>
  </si>
  <si>
    <t>EN_STG4hbNREL_w1376430795-500</t>
  </si>
  <si>
    <t>EN_STG8hbNREL_VN1140-500</t>
  </si>
  <si>
    <t>EN_STG4hbNREL_VN1140-500</t>
  </si>
  <si>
    <t>EN_STG8hbNREL_w548717060-500</t>
  </si>
  <si>
    <t>EN_STG4hbNREL_w548717060-500</t>
  </si>
  <si>
    <t>EN_STG8hbNREL_w630750798-220</t>
  </si>
  <si>
    <t>EN_STG4hbNREL_w630750798-220</t>
  </si>
  <si>
    <t>EN_STG8hbNREL_w1273948690-220</t>
  </si>
  <si>
    <t>e_w1273948690-220</t>
  </si>
  <si>
    <t>EN_STG4hbNREL_w1273948690-220</t>
  </si>
  <si>
    <t>EN_STG8hbNREL_VN457-500</t>
  </si>
  <si>
    <t>e_VN457-500</t>
  </si>
  <si>
    <t>EN_STG4hbNREL_VN457-500</t>
  </si>
  <si>
    <t>EN_STG8hbNREL_w549296358-220</t>
  </si>
  <si>
    <t>e_w549296358-220</t>
  </si>
  <si>
    <t>EN_STG4hbNREL_w549296358-220</t>
  </si>
  <si>
    <t>EN_STG8hbNREL_VN1228-220</t>
  </si>
  <si>
    <t>e_VN1228-220</t>
  </si>
  <si>
    <t>EN_STG4hbNREL_VN1228-220</t>
  </si>
  <si>
    <t>EN_STG8hbNREL_VN779-500</t>
  </si>
  <si>
    <t>e_VN779-500</t>
  </si>
  <si>
    <t>EN_STG4hbNREL_VN779-500</t>
  </si>
  <si>
    <t>EN_STG8hbNREL_w549197475-220</t>
  </si>
  <si>
    <t>e_w549197475-220</t>
  </si>
  <si>
    <t>EN_STG4hbNREL_w549197475-220</t>
  </si>
  <si>
    <t>EN_STG8hbNREL_w1052065872-220</t>
  </si>
  <si>
    <t>e_w1052065872-220</t>
  </si>
  <si>
    <t>EN_STG4hbNREL_w1052065872-220</t>
  </si>
  <si>
    <t>EN_STG8hbNREL_w1272088369-220</t>
  </si>
  <si>
    <t>e_w1272088369-220</t>
  </si>
  <si>
    <t>EN_STG4hbNREL_w1272088369-220</t>
  </si>
  <si>
    <t>EN_STG8hbNREL_w1273948701-220</t>
  </si>
  <si>
    <t>e_w1273948701-220</t>
  </si>
  <si>
    <t>EN_STG4hbNREL_w1273948701-220</t>
  </si>
  <si>
    <t>EN_STG8hbNREL_VN472-500</t>
  </si>
  <si>
    <t>e_VN472-500</t>
  </si>
  <si>
    <t>EN_STG4hbNREL_VN472-500</t>
  </si>
  <si>
    <t>EN_STG8hbNREL_w548970103-220</t>
  </si>
  <si>
    <t>e_w548970103-220</t>
  </si>
  <si>
    <t>EN_STG4hbNREL_w548970103-220</t>
  </si>
  <si>
    <t>EN_STG8hbNREL_w549038673-220</t>
  </si>
  <si>
    <t>e_w549038673-220</t>
  </si>
  <si>
    <t>EN_STG4hbNREL_w549038673-220</t>
  </si>
  <si>
    <t>EN_STG8hbNREL_w241065371-220</t>
  </si>
  <si>
    <t>e_w241065371-220</t>
  </si>
  <si>
    <t>EN_STG4hbNREL_w241065371-220</t>
  </si>
  <si>
    <t>EN_STG8hbNREL_VN394-500</t>
  </si>
  <si>
    <t>e_VN394-500</t>
  </si>
  <si>
    <t>EN_STG4hbNREL_VN394-500</t>
  </si>
  <si>
    <t>EN_STG8hbNREL_VN418-500</t>
  </si>
  <si>
    <t>e_VN418-500</t>
  </si>
  <si>
    <t>EN_STG4hbNREL_VN418-500</t>
  </si>
  <si>
    <t>EN_STG8hbNREL_VN748-500</t>
  </si>
  <si>
    <t>e_VN748-500</t>
  </si>
  <si>
    <t>EN_STG4hbNREL_VN748-500</t>
  </si>
  <si>
    <t>EN_STG8hbNREL_VN878-500</t>
  </si>
  <si>
    <t>e_VN878-500</t>
  </si>
  <si>
    <t>EN_STG4hbNREL_VN878-500</t>
  </si>
  <si>
    <t>EN_STG8hbNREL_w1051605925-220</t>
  </si>
  <si>
    <t>e_w1051605925-220</t>
  </si>
  <si>
    <t>EN_STG4hbNREL_w1051605925-220</t>
  </si>
  <si>
    <t>EN_STG8hbNREL_VN567-500</t>
  </si>
  <si>
    <t>e_VN567-500</t>
  </si>
  <si>
    <t>EN_STG4hbNREL_VN567-500</t>
  </si>
  <si>
    <t>EN_STG8hbNREL_VN738-500</t>
  </si>
  <si>
    <t>e_VN738-500</t>
  </si>
  <si>
    <t>EN_STG4hbNREL_VN738-500</t>
  </si>
  <si>
    <t>EN_STG8hbNREL_w1273140706-220</t>
  </si>
  <si>
    <t>e_w1273140706-220</t>
  </si>
  <si>
    <t>EN_STG4hbNREL_w1273140706-220</t>
  </si>
  <si>
    <t>EN_STG8hbNREL_VN1087-500</t>
  </si>
  <si>
    <t>e_VN1087-500</t>
  </si>
  <si>
    <t>EN_STG4hbNREL_VN1087-500</t>
  </si>
  <si>
    <t>EN_STG8hbNREL_VN1206-220</t>
  </si>
  <si>
    <t>e_VN1206-220</t>
  </si>
  <si>
    <t>EN_STG4hbNREL_VN1206-220</t>
  </si>
  <si>
    <t>EN_STG8hbNREL_w1051382594-220</t>
  </si>
  <si>
    <t>EN_STG4hbNREL_w1051382594-220</t>
  </si>
  <si>
    <t>EN_STG8hbNREL_w1273898566-220</t>
  </si>
  <si>
    <t>e_w1273898566-220</t>
  </si>
  <si>
    <t>EN_STG4hbNREL_w1273898566-220</t>
  </si>
  <si>
    <t>EN_STG8hbNREL_VN477-500</t>
  </si>
  <si>
    <t>e_VN477-500</t>
  </si>
  <si>
    <t>EN_STG4hbNREL_VN477-500</t>
  </si>
  <si>
    <t>EN_STG8hbNREL_VN770-500</t>
  </si>
  <si>
    <t>e_VN770-500</t>
  </si>
  <si>
    <t>EN_STG4hbNREL_VN770-500</t>
  </si>
  <si>
    <t>EN_STG8hbNREL_w1091782693-220</t>
  </si>
  <si>
    <t>e_w1091782693-220</t>
  </si>
  <si>
    <t>EN_STG4hbNREL_w1091782693-220</t>
  </si>
  <si>
    <t>EN_STG8hbNREL_w1273527210-220</t>
  </si>
  <si>
    <t>e_w1273527210-220</t>
  </si>
  <si>
    <t>EN_STG4hbNREL_w1273527210-220</t>
  </si>
  <si>
    <t>EN_STG8hbNREL_w881704523-220</t>
  </si>
  <si>
    <t>e_w881704523-220</t>
  </si>
  <si>
    <t>EN_STG4hbNREL_w881704523-220</t>
  </si>
  <si>
    <t>EN_STG8hbNREL_w1176845159-220</t>
  </si>
  <si>
    <t>e_w1176845159-220</t>
  </si>
  <si>
    <t>EN_STG4hbNREL_w1176845159-220</t>
  </si>
  <si>
    <t>EN_STG8hbNREL_w1270938992-220</t>
  </si>
  <si>
    <t>EN_STG4hbNREL_w1270938992-220</t>
  </si>
  <si>
    <t>EN_STG8hbNREL_VN563-220</t>
  </si>
  <si>
    <t>EN_STG4hbNREL_VN563-220</t>
  </si>
  <si>
    <t>EN_STG8hbNREL_VN707-220</t>
  </si>
  <si>
    <t>EN_STG4hbNREL_VN707-220</t>
  </si>
  <si>
    <t>EN_STG8hbNREL_w1267181647-220</t>
  </si>
  <si>
    <t>EN_STG4hbNREL_w1267181647-220</t>
  </si>
  <si>
    <t>EN_STG8hbNREL_VN315-500</t>
  </si>
  <si>
    <t>EN_STG4hbNREL_VN315-500</t>
  </si>
  <si>
    <t>EN_STG8hbNREL_VN915-220</t>
  </si>
  <si>
    <t>EN_STG4hbNREL_VN915-220</t>
  </si>
  <si>
    <t>EN_STG8hbNREL_VN22-220</t>
  </si>
  <si>
    <t>EN_STG4hbNREL_VN22-220</t>
  </si>
  <si>
    <t>EN_STG8hbNREL_w1050835279-220</t>
  </si>
  <si>
    <t>EN_STG4hbNREL_w1050835279-220</t>
  </si>
  <si>
    <t>EN_STG8hbNREL_VN4-220</t>
  </si>
  <si>
    <t>EN_STG4hbNREL_VN4-220</t>
  </si>
  <si>
    <t>EN_STG8hbNREL_w183249722-220</t>
  </si>
  <si>
    <t>EN_STG4hbNREL_w183249722-220</t>
  </si>
  <si>
    <t>EN_STG8hbNREL_w548210485-220</t>
  </si>
  <si>
    <t>EN_STG4hbNREL_w548210485-220</t>
  </si>
  <si>
    <t>EN_STG8hbNREL_VN930-500</t>
  </si>
  <si>
    <t>EN_STG4hbNREL_VN930-500</t>
  </si>
  <si>
    <t>EN_STG8hbNREL_w1264568832-220</t>
  </si>
  <si>
    <t>EN_STG4hbNREL_w1264568832-220</t>
  </si>
  <si>
    <t>EN_STG8hbNREL_w481965040-220</t>
  </si>
  <si>
    <t>EN_STG4hbNREL_w481965040-220</t>
  </si>
  <si>
    <t>EN_STG8hbNREL_VN321-220</t>
  </si>
  <si>
    <t>EN_STG4hbNREL_VN321-220</t>
  </si>
  <si>
    <t>EN_STG8hbNREL_VN1013-220</t>
  </si>
  <si>
    <t>EN_STG4hbNREL_VN1013-220</t>
  </si>
  <si>
    <t>EN_STG8hbNREL_w400474243-220</t>
  </si>
  <si>
    <t>EN_STG4hbNREL_w400474243-220</t>
  </si>
  <si>
    <t>EN_STG8hbNREL_VN932-500</t>
  </si>
  <si>
    <t>EN_STG4hbNREL_VN932-500</t>
  </si>
  <si>
    <t>EN_STG8hbNREL_w1233471417-220</t>
  </si>
  <si>
    <t>EN_STG4hbNREL_w1233471417-220</t>
  </si>
  <si>
    <t>EN_STG8hbNREL_w1270939017-220</t>
  </si>
  <si>
    <t>EN_STG4hbNREL_w1270939017-220</t>
  </si>
  <si>
    <t>EN_STG8hbNREL_w1263027975-220</t>
  </si>
  <si>
    <t>EN_STG4hbNREL_w1263027975-220</t>
  </si>
  <si>
    <t>EN_STG8hbNREL_w439941742-220</t>
  </si>
  <si>
    <t>EN_STG4hbNREL_w439941742-220</t>
  </si>
  <si>
    <t>EN_STG8hbNREL_w1192268300-220</t>
  </si>
  <si>
    <t>EN_STG4hbNREL_w1192268300-220</t>
  </si>
  <si>
    <t>EN_STG8hbNREL_w1215089886-220</t>
  </si>
  <si>
    <t>EN_STG4hbNREL_w1215089886-220</t>
  </si>
  <si>
    <t>EN_STG8hbNREL_VN976-500</t>
  </si>
  <si>
    <t>EN_STG4hbNREL_VN976-500</t>
  </si>
  <si>
    <t>EN_STG8hbNREL_w827889648-220</t>
  </si>
  <si>
    <t>EN_STG4hbNREL_w827889648-220</t>
  </si>
  <si>
    <t>EN_STG8hbNREL_VN907-220</t>
  </si>
  <si>
    <t>EN_STG4hbNREL_VN907-220</t>
  </si>
  <si>
    <t>EN_STG8hbNREL_w1205504405-220</t>
  </si>
  <si>
    <t>EN_STG4hbNREL_w1205504405-220</t>
  </si>
  <si>
    <t>EN_STG8hbNREL_VN187-500</t>
  </si>
  <si>
    <t>EN_STG4hbNREL_VN187-500</t>
  </si>
  <si>
    <t>EN_STG8hbNREL_w1316610167-500</t>
  </si>
  <si>
    <t>EN_STG4hbNREL_w1316610167-500</t>
  </si>
  <si>
    <t>EN_STG8hbNREL_w1009757707-220</t>
  </si>
  <si>
    <t>EN_STG4hbNREL_w1009757707-220</t>
  </si>
  <si>
    <t>EN_STG8hbNREL_VN495-500</t>
  </si>
  <si>
    <t>EN_STG4hbNREL_VN495-500</t>
  </si>
  <si>
    <t>EN_STG8hbNREL_w1385239486-500</t>
  </si>
  <si>
    <t>EN_STG4hbNREL_w1385239486-500</t>
  </si>
  <si>
    <t>EN_STG8hbNREL_VN753-220</t>
  </si>
  <si>
    <t>EN_STG4hbNREL_VN753-220</t>
  </si>
  <si>
    <t>EN_STG8hbNREL_VN8-500</t>
  </si>
  <si>
    <t>EN_STG4hbNREL_VN8-500</t>
  </si>
  <si>
    <t>EN_STG8hbNREL_w1263497522-220</t>
  </si>
  <si>
    <t>EN_STG4hbNREL_w1263497522-220</t>
  </si>
  <si>
    <t>EN_STG8hbNREL_w893223532-220</t>
  </si>
  <si>
    <t>EN_STG4hbNREL_w893223532-220</t>
  </si>
  <si>
    <t>EN_STG8hbNREL_w846270016-500</t>
  </si>
  <si>
    <t>EN_STG4hbNREL_w846270016-500</t>
  </si>
  <si>
    <t>EN_STG8hbNREL_VN2-220</t>
  </si>
  <si>
    <t>EN_STG4hbNREL_VN2-220</t>
  </si>
  <si>
    <t>EN_STG8hbNREL_w1271285978-220</t>
  </si>
  <si>
    <t>EN_STG4hbNREL_w1271285978-220</t>
  </si>
  <si>
    <t>EN_STG8hbNREL_VN476-500</t>
  </si>
  <si>
    <t>EN_STG4hbNREL_VN476-500</t>
  </si>
  <si>
    <t>EN_STG8hbNREL_VN684-220</t>
  </si>
  <si>
    <t>EN_STG4hbNREL_VN684-220</t>
  </si>
  <si>
    <t>EN_STG8hbNREL_w636253156-220</t>
  </si>
  <si>
    <t>EN_STG4hbNREL_w636253156-220</t>
  </si>
  <si>
    <t>EN_STG8hbNREL_w401532710-220</t>
  </si>
  <si>
    <t>EN_STG4hbNREL_w401532710-220</t>
  </si>
  <si>
    <t>EN_STG8hbNREL_w549380074-220</t>
  </si>
  <si>
    <t>EN_STG4hbNREL_w549380074-220</t>
  </si>
  <si>
    <t>EN_STG8hbNREL_VN49-500</t>
  </si>
  <si>
    <t>EN_STG4hbNREL_VN49-500</t>
  </si>
  <si>
    <t>EN_STG8hbNREL_VN569-220</t>
  </si>
  <si>
    <t>EN_STG4hbNREL_VN569-220</t>
  </si>
  <si>
    <t>EN_STG8hbNREL_w1050854663-220</t>
  </si>
  <si>
    <t>EN_STG4hbNREL_w1050854663-220</t>
  </si>
  <si>
    <t>EN_STG8hbNREL_VN556-500</t>
  </si>
  <si>
    <t>EN_STG4hbNREL_VN556-500</t>
  </si>
  <si>
    <t>EN_STG8hbNREL_VN11-220</t>
  </si>
  <si>
    <t>EN_STG4hbNREL_VN11-220</t>
  </si>
  <si>
    <t>EN_STG8hbNREL_w1211783783-220</t>
  </si>
  <si>
    <t>EN_STG4hbNREL_w1211783783-220</t>
  </si>
  <si>
    <t>EN_STG8hbNREL_VN584-500</t>
  </si>
  <si>
    <t>EN_STG4hbNREL_VN584-500</t>
  </si>
  <si>
    <t>EN_STG8hbNREL_w400413521-220</t>
  </si>
  <si>
    <t>EN_STG4hbNREL_w400413521-220</t>
  </si>
  <si>
    <t>EN_STG8hbNREL_w400413519-220</t>
  </si>
  <si>
    <t>EN_STG4hbNREL_w400413519-220</t>
  </si>
  <si>
    <t>EN_STG8hbNREL_w1273328710-220</t>
  </si>
  <si>
    <t>EN_STG4hbNREL_w1273328710-220</t>
  </si>
  <si>
    <t>EN_STG8hbNREL_VN141-500</t>
  </si>
  <si>
    <t>EN_STG4hbNREL_VN141-500</t>
  </si>
  <si>
    <t>EN_STG8hbNREL_w1263839761-220</t>
  </si>
  <si>
    <t>EN_STG4hbNREL_w1263839761-220</t>
  </si>
  <si>
    <t>EN_STG8hbNREL_VN32-220</t>
  </si>
  <si>
    <t>EN_STG4hbNREL_VN32-220</t>
  </si>
  <si>
    <t>EN_STG8hbNREL_VN643-500</t>
  </si>
  <si>
    <t>EN_STG4hbNREL_VN643-500</t>
  </si>
  <si>
    <t>EN_STG8hbNREL_w306440155-220</t>
  </si>
  <si>
    <t>EN_STG4hbNREL_w306440155-220</t>
  </si>
  <si>
    <t>EN_STG8hbNREL_w857794232-220</t>
  </si>
  <si>
    <t>EN_STG4hbNREL_w857794232-220</t>
  </si>
  <si>
    <t>EN_STG8hbNREL_VN23-220</t>
  </si>
  <si>
    <t>EN_STG4hbNREL_VN23-220</t>
  </si>
  <si>
    <t>EN_STG8hbNREL_VN638-500</t>
  </si>
  <si>
    <t>EN_STG4hbNREL_VN638-500</t>
  </si>
  <si>
    <t>EN_STG8hbNREL_VN685-220</t>
  </si>
  <si>
    <t>EN_STG4hbNREL_VN685-220</t>
  </si>
  <si>
    <t>EN_STG8hbNREL_VN504-500</t>
  </si>
  <si>
    <t>EN_STG4hbNREL_VN504-500</t>
  </si>
  <si>
    <t>EN_STG8hbNREL_VN1054-500</t>
  </si>
  <si>
    <t>e_VN1054-500</t>
  </si>
  <si>
    <t>EN_STG4hbNREL_VN1054-500</t>
  </si>
  <si>
    <t>EN_STG8hbNREL_w1046230185-220</t>
  </si>
  <si>
    <t>e_w1046230185-220</t>
  </si>
  <si>
    <t>EN_STG4hbNREL_w1046230185-220</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</si>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</sst>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v>
      </c>
      <c r="H3" s="3">
        <v>0.25534727229031484</v>
      </c>
      <c r="I3" s="3">
        <v>0.12478774312941568</v>
      </c>
      <c r="J3" s="3">
        <v>0.36063491926985064</v>
      </c>
      <c r="V3" t="s">
        <v>1</v>
      </c>
    </row>
    <row r="4" spans="1:38" x14ac:dyDescent="0.45">
      <c r="A4" t="s">
        <v>48</v>
      </c>
      <c r="B4" t="s">
        <v>2</v>
      </c>
      <c r="C4" t="s">
        <v>3</v>
      </c>
      <c r="D4" t="s">
        <v>4</v>
      </c>
      <c r="F4" t="s">
        <v>5</v>
      </c>
      <c r="G4" s="3">
        <v>0.46830513027128662</v>
      </c>
      <c r="H4" s="3">
        <v>0.92458193474250816</v>
      </c>
      <c r="I4" s="3">
        <v>0.41966881291172048</v>
      </c>
      <c r="J4" s="3">
        <v>0.6428170999755779</v>
      </c>
    </row>
    <row r="5" spans="1:38" x14ac:dyDescent="0.45">
      <c r="B5" t="s">
        <v>87</v>
      </c>
      <c r="C5" t="s">
        <v>43</v>
      </c>
      <c r="D5" s="4"/>
      <c r="F5" t="s">
        <v>8</v>
      </c>
      <c r="G5" s="3">
        <v>0.264743029243175</v>
      </c>
      <c r="H5" s="3">
        <v>0.72158390007298179</v>
      </c>
      <c r="I5" s="3">
        <v>0.41429162452882229</v>
      </c>
      <c r="J5" s="3">
        <v>0.69204599842187642</v>
      </c>
    </row>
    <row r="6" spans="1:38" x14ac:dyDescent="0.45">
      <c r="A6" s="5">
        <v>0.28000000000000003</v>
      </c>
      <c r="B6" t="s">
        <v>82</v>
      </c>
      <c r="C6" t="s">
        <v>7</v>
      </c>
      <c r="D6" s="4" t="str">
        <f>IFERROR(MIN(VLOOKUP(B6,$F$3:$J$11,5,FALSE),$A$6),"")</f>
        <v/>
      </c>
      <c r="F6" t="s">
        <v>6</v>
      </c>
      <c r="G6" s="3">
        <v>0.3712712840865447</v>
      </c>
      <c r="H6" s="3">
        <v>0.55084235166226969</v>
      </c>
      <c r="I6" s="3">
        <v>0.36508553892756734</v>
      </c>
      <c r="J6" s="3">
        <v>0.56221915644260101</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65535</v>
      </c>
      <c r="H8" s="3">
        <v>65535</v>
      </c>
      <c r="I8" s="3">
        <v>2.902252147666589E-4</v>
      </c>
      <c r="J8" s="3">
        <v>0.59715795805648975</v>
      </c>
      <c r="U8" t="s">
        <v>20</v>
      </c>
      <c r="V8" t="s">
        <v>5</v>
      </c>
      <c r="W8" s="1" t="s">
        <v>21</v>
      </c>
      <c r="X8" s="2">
        <f>-1/8.76</f>
        <v>-0.11415525114155252</v>
      </c>
      <c r="Z8" s="2">
        <f>VLOOKUP(V8,$F$3:$J$11,3,FALSE)</f>
        <v>0.92458193474250816</v>
      </c>
      <c r="AA8" s="2">
        <f>Z8*$AB$1</f>
        <v>1.0170401282167592</v>
      </c>
      <c r="AB8">
        <v>0</v>
      </c>
      <c r="AC8">
        <v>3</v>
      </c>
      <c r="AF8" t="s">
        <v>22</v>
      </c>
      <c r="AG8" t="s">
        <v>5</v>
      </c>
      <c r="AH8">
        <f>-1/8.76</f>
        <v>-0.11415525114155252</v>
      </c>
      <c r="AI8" s="2">
        <f>VLOOKUP(AG8,$F$3:$J$11,2,FALSE)</f>
        <v>0.46830513027128662</v>
      </c>
      <c r="AJ8">
        <f>AI8*$AD$1</f>
        <v>9.3661026054257329E-2</v>
      </c>
      <c r="AK8">
        <v>0</v>
      </c>
      <c r="AL8">
        <v>3</v>
      </c>
    </row>
    <row r="9" spans="1:38" x14ac:dyDescent="0.45">
      <c r="F9" t="s">
        <v>9</v>
      </c>
      <c r="G9" s="3">
        <v>2.2831050228310501E-2</v>
      </c>
      <c r="H9" s="3">
        <v>65535</v>
      </c>
      <c r="I9" s="3">
        <v>7.3433794838046559E-2</v>
      </c>
      <c r="J9" s="3">
        <v>0.18912331944070918</v>
      </c>
      <c r="U9" t="s">
        <v>24</v>
      </c>
      <c r="V9" t="s">
        <v>8</v>
      </c>
      <c r="W9" s="1" t="s">
        <v>21</v>
      </c>
      <c r="X9" s="2">
        <f>-1/8.76</f>
        <v>-0.11415525114155252</v>
      </c>
      <c r="Z9" s="2">
        <f>VLOOKUP(V9,$F$3:$J$11,3,FALSE)</f>
        <v>0.72158390007298179</v>
      </c>
      <c r="AA9" s="2">
        <f>Z9*$AB$1</f>
        <v>0.79374229008028008</v>
      </c>
      <c r="AB9">
        <v>0</v>
      </c>
      <c r="AC9">
        <v>3</v>
      </c>
      <c r="AF9" t="s">
        <v>25</v>
      </c>
      <c r="AG9" t="s">
        <v>8</v>
      </c>
      <c r="AH9">
        <f>-1/8.76</f>
        <v>-0.11415525114155252</v>
      </c>
      <c r="AI9" s="2">
        <f>VLOOKUP(AG9,$F$3:$J$11,2,FALSE)</f>
        <v>0.264743029243175</v>
      </c>
      <c r="AJ9">
        <f>AI9*$AD$1</f>
        <v>5.2948605848635005E-2</v>
      </c>
      <c r="AK9">
        <v>0</v>
      </c>
      <c r="AL9">
        <v>3</v>
      </c>
    </row>
    <row r="10" spans="1:38" ht="14.65" customHeight="1" x14ac:dyDescent="0.45">
      <c r="F10" t="s">
        <v>88</v>
      </c>
      <c r="G10" s="3"/>
      <c r="H10" s="3"/>
      <c r="I10" s="3">
        <v>7.0359026303942376E-2</v>
      </c>
      <c r="J10" s="3">
        <v>0.31402360435999416</v>
      </c>
    </row>
    <row r="11" spans="1:38" ht="14.65" customHeight="1" x14ac:dyDescent="0.45">
      <c r="F11" t="s">
        <v>89</v>
      </c>
      <c r="G11" s="3">
        <v>9.2543334663297422E-2</v>
      </c>
      <c r="H11" s="3">
        <v>0.23306697108066973</v>
      </c>
      <c r="I11" s="3">
        <v>7.0486994194306554E-2</v>
      </c>
      <c r="J11" s="3">
        <v>0.30629804898298046</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DD5FE-D5D2-43CA-AFD7-42D6826BF0FE}">
  <dimension ref="B2:AF1719"/>
  <sheetViews>
    <sheetView tabSelected="1" workbookViewId="0"/>
  </sheetViews>
  <sheetFormatPr defaultRowHeight="14.25" x14ac:dyDescent="0.45"/>
  <sheetData>
    <row r="2" spans="2:32" x14ac:dyDescent="0.45">
      <c r="B2" t="s">
        <v>0</v>
      </c>
      <c r="H2" t="s">
        <v>1851</v>
      </c>
      <c r="P2" t="s">
        <v>2009</v>
      </c>
      <c r="U2" t="s">
        <v>2009</v>
      </c>
    </row>
    <row r="3" spans="2:32" x14ac:dyDescent="0.45">
      <c r="B3" t="s">
        <v>3</v>
      </c>
      <c r="C3" t="s">
        <v>132</v>
      </c>
      <c r="D3" t="s">
        <v>133</v>
      </c>
      <c r="E3" t="s">
        <v>134</v>
      </c>
      <c r="H3" t="s">
        <v>3</v>
      </c>
      <c r="I3" t="s">
        <v>1852</v>
      </c>
      <c r="J3" t="s">
        <v>1853</v>
      </c>
      <c r="K3" t="s">
        <v>1854</v>
      </c>
      <c r="L3" t="s">
        <v>14</v>
      </c>
      <c r="P3" t="s">
        <v>3</v>
      </c>
      <c r="Q3" t="s">
        <v>1852</v>
      </c>
      <c r="R3" t="s">
        <v>2010</v>
      </c>
      <c r="U3" t="s">
        <v>2050</v>
      </c>
      <c r="V3" t="s">
        <v>3</v>
      </c>
      <c r="W3" t="s">
        <v>1852</v>
      </c>
      <c r="X3" t="s">
        <v>2010</v>
      </c>
      <c r="AA3" t="s">
        <v>1851</v>
      </c>
    </row>
    <row r="4" spans="2:32" x14ac:dyDescent="0.45">
      <c r="B4" t="s">
        <v>135</v>
      </c>
      <c r="C4">
        <v>4.4686910835277036</v>
      </c>
      <c r="D4">
        <v>2.2000000000000002</v>
      </c>
      <c r="E4">
        <v>0.99987999999999999</v>
      </c>
      <c r="H4" t="s">
        <v>1855</v>
      </c>
      <c r="I4" t="s">
        <v>1856</v>
      </c>
      <c r="J4">
        <v>6.7618109109795016E-2</v>
      </c>
      <c r="K4" t="s">
        <v>1857</v>
      </c>
      <c r="L4" t="s">
        <v>1856</v>
      </c>
      <c r="P4" t="s">
        <v>1855</v>
      </c>
      <c r="Q4" t="s">
        <v>2011</v>
      </c>
      <c r="R4" t="s">
        <v>2012</v>
      </c>
      <c r="U4" t="s">
        <v>131</v>
      </c>
      <c r="V4" t="s">
        <v>2051</v>
      </c>
      <c r="W4" t="s">
        <v>2052</v>
      </c>
      <c r="X4" t="s">
        <v>2053</v>
      </c>
      <c r="AA4" t="s">
        <v>1852</v>
      </c>
      <c r="AB4" t="s">
        <v>3314</v>
      </c>
      <c r="AC4" t="s">
        <v>3316</v>
      </c>
      <c r="AD4" t="s">
        <v>3317</v>
      </c>
      <c r="AE4" t="s">
        <v>3318</v>
      </c>
      <c r="AF4" t="s">
        <v>3319</v>
      </c>
    </row>
    <row r="5" spans="2:32" x14ac:dyDescent="0.45">
      <c r="B5" t="s">
        <v>136</v>
      </c>
      <c r="C5">
        <v>4.4686910835277036</v>
      </c>
      <c r="D5">
        <v>3.3000000000000003</v>
      </c>
      <c r="E5">
        <v>0.99982000000000004</v>
      </c>
      <c r="H5" t="s">
        <v>1858</v>
      </c>
      <c r="I5" t="s">
        <v>1856</v>
      </c>
      <c r="J5">
        <v>4.7042771236817285E-2</v>
      </c>
      <c r="K5" t="s">
        <v>1857</v>
      </c>
      <c r="L5" t="s">
        <v>1856</v>
      </c>
      <c r="P5" t="s">
        <v>1858</v>
      </c>
      <c r="Q5" t="s">
        <v>2013</v>
      </c>
      <c r="R5" t="s">
        <v>2012</v>
      </c>
      <c r="U5" t="s">
        <v>131</v>
      </c>
      <c r="V5" t="s">
        <v>2054</v>
      </c>
      <c r="W5" t="s">
        <v>2052</v>
      </c>
      <c r="X5" t="s">
        <v>2053</v>
      </c>
      <c r="AA5" t="s">
        <v>3313</v>
      </c>
      <c r="AB5" t="s">
        <v>3315</v>
      </c>
      <c r="AC5">
        <v>2</v>
      </c>
      <c r="AE5">
        <v>0</v>
      </c>
      <c r="AF5" t="s">
        <v>3320</v>
      </c>
    </row>
    <row r="6" spans="2:32" x14ac:dyDescent="0.45">
      <c r="B6" t="s">
        <v>137</v>
      </c>
      <c r="C6">
        <v>4.4686910835277036</v>
      </c>
      <c r="D6">
        <v>2.2000000000000002</v>
      </c>
      <c r="E6">
        <v>0.99987999999999999</v>
      </c>
      <c r="H6" t="s">
        <v>1859</v>
      </c>
      <c r="I6" t="s">
        <v>1856</v>
      </c>
      <c r="J6">
        <v>1.2412594016480798E-2</v>
      </c>
      <c r="K6" t="s">
        <v>1857</v>
      </c>
      <c r="L6" t="s">
        <v>1856</v>
      </c>
      <c r="P6" t="s">
        <v>1859</v>
      </c>
      <c r="Q6" t="s">
        <v>2014</v>
      </c>
      <c r="R6" t="s">
        <v>2012</v>
      </c>
      <c r="U6" t="s">
        <v>131</v>
      </c>
      <c r="V6" t="s">
        <v>2055</v>
      </c>
      <c r="W6" t="s">
        <v>2052</v>
      </c>
      <c r="X6" t="s">
        <v>2053</v>
      </c>
      <c r="AA6" t="s">
        <v>3313</v>
      </c>
      <c r="AB6" t="s">
        <v>3315</v>
      </c>
      <c r="AD6">
        <v>2</v>
      </c>
      <c r="AE6">
        <v>0</v>
      </c>
      <c r="AF6" t="s">
        <v>3321</v>
      </c>
    </row>
    <row r="7" spans="2:32" x14ac:dyDescent="0.45">
      <c r="B7" t="s">
        <v>138</v>
      </c>
      <c r="C7">
        <v>4.4686910835277036</v>
      </c>
      <c r="D7">
        <v>3.3000000000000003</v>
      </c>
      <c r="E7">
        <v>0.99982000000000004</v>
      </c>
      <c r="H7" t="s">
        <v>1860</v>
      </c>
      <c r="I7" t="s">
        <v>1856</v>
      </c>
      <c r="J7">
        <v>7.5610562483815662E-3</v>
      </c>
      <c r="K7" t="s">
        <v>1857</v>
      </c>
      <c r="L7" t="s">
        <v>1856</v>
      </c>
      <c r="P7" t="s">
        <v>1860</v>
      </c>
      <c r="Q7" t="s">
        <v>2015</v>
      </c>
      <c r="R7" t="s">
        <v>2012</v>
      </c>
      <c r="U7" t="s">
        <v>131</v>
      </c>
      <c r="V7" t="s">
        <v>2056</v>
      </c>
      <c r="W7" t="s">
        <v>2052</v>
      </c>
      <c r="X7" t="s">
        <v>2053</v>
      </c>
    </row>
    <row r="8" spans="2:32" x14ac:dyDescent="0.45">
      <c r="B8" t="s">
        <v>139</v>
      </c>
      <c r="C8">
        <v>4.4686910835277036</v>
      </c>
      <c r="D8">
        <v>8.8000000000000007</v>
      </c>
      <c r="E8">
        <v>0.99951999999999996</v>
      </c>
      <c r="H8" t="s">
        <v>1861</v>
      </c>
      <c r="I8" t="s">
        <v>1856</v>
      </c>
      <c r="J8">
        <v>5.8215398862009196E-3</v>
      </c>
      <c r="K8" t="s">
        <v>1857</v>
      </c>
      <c r="L8" t="s">
        <v>1856</v>
      </c>
      <c r="P8" t="s">
        <v>1861</v>
      </c>
      <c r="Q8" t="s">
        <v>2016</v>
      </c>
      <c r="R8" t="s">
        <v>2012</v>
      </c>
      <c r="U8" t="s">
        <v>131</v>
      </c>
      <c r="V8" t="s">
        <v>2057</v>
      </c>
      <c r="W8" t="s">
        <v>2052</v>
      </c>
      <c r="X8" t="s">
        <v>2053</v>
      </c>
    </row>
    <row r="9" spans="2:32" x14ac:dyDescent="0.45">
      <c r="B9" t="s">
        <v>140</v>
      </c>
      <c r="C9">
        <v>2.2343455417638518</v>
      </c>
      <c r="D9">
        <v>2.2000000000000002</v>
      </c>
      <c r="E9">
        <v>0.99987999999999999</v>
      </c>
      <c r="H9" t="s">
        <v>1862</v>
      </c>
      <c r="I9" t="s">
        <v>1856</v>
      </c>
      <c r="J9">
        <v>1.0032212850407776E-2</v>
      </c>
      <c r="K9" t="s">
        <v>1857</v>
      </c>
      <c r="L9" t="s">
        <v>1856</v>
      </c>
      <c r="P9" t="s">
        <v>1862</v>
      </c>
      <c r="Q9" t="s">
        <v>2017</v>
      </c>
      <c r="R9" t="s">
        <v>2012</v>
      </c>
      <c r="U9" t="s">
        <v>131</v>
      </c>
      <c r="V9" t="s">
        <v>2058</v>
      </c>
      <c r="W9" t="s">
        <v>2052</v>
      </c>
      <c r="X9" t="s">
        <v>2053</v>
      </c>
    </row>
    <row r="10" spans="2:32" x14ac:dyDescent="0.45">
      <c r="B10" t="s">
        <v>141</v>
      </c>
      <c r="C10">
        <v>4.4686910835277036</v>
      </c>
      <c r="D10">
        <v>3.3000000000000003</v>
      </c>
      <c r="E10">
        <v>0.99982000000000004</v>
      </c>
      <c r="H10" t="s">
        <v>1863</v>
      </c>
      <c r="I10" t="s">
        <v>1856</v>
      </c>
      <c r="J10">
        <v>9.0567128929817265E-3</v>
      </c>
      <c r="K10" t="s">
        <v>1857</v>
      </c>
      <c r="L10" t="s">
        <v>1856</v>
      </c>
      <c r="P10" t="s">
        <v>1863</v>
      </c>
      <c r="Q10" t="s">
        <v>2018</v>
      </c>
      <c r="R10" t="s">
        <v>2012</v>
      </c>
      <c r="U10" t="s">
        <v>131</v>
      </c>
      <c r="V10" t="s">
        <v>2059</v>
      </c>
      <c r="W10" t="s">
        <v>2052</v>
      </c>
      <c r="X10" t="s">
        <v>2053</v>
      </c>
    </row>
    <row r="11" spans="2:32" x14ac:dyDescent="0.45">
      <c r="B11" t="s">
        <v>142</v>
      </c>
      <c r="C11">
        <v>2.2343455417638518</v>
      </c>
      <c r="D11">
        <v>2.2000000000000002</v>
      </c>
      <c r="E11">
        <v>0.99987999999999999</v>
      </c>
      <c r="H11" t="s">
        <v>1864</v>
      </c>
      <c r="I11" t="s">
        <v>1856</v>
      </c>
      <c r="J11">
        <v>9.2526803213380474E-3</v>
      </c>
      <c r="K11" t="s">
        <v>1857</v>
      </c>
      <c r="L11" t="s">
        <v>1856</v>
      </c>
      <c r="P11" t="s">
        <v>1864</v>
      </c>
      <c r="Q11" t="s">
        <v>2019</v>
      </c>
      <c r="R11" t="s">
        <v>2012</v>
      </c>
      <c r="U11" t="s">
        <v>131</v>
      </c>
      <c r="V11" t="s">
        <v>2060</v>
      </c>
      <c r="W11" t="s">
        <v>2052</v>
      </c>
      <c r="X11" t="s">
        <v>2053</v>
      </c>
    </row>
    <row r="12" spans="2:32" x14ac:dyDescent="0.45">
      <c r="B12" t="s">
        <v>143</v>
      </c>
      <c r="C12">
        <v>2.2343455417638518</v>
      </c>
      <c r="D12">
        <v>1.1000000000000001</v>
      </c>
      <c r="E12">
        <v>0.99994000000000005</v>
      </c>
      <c r="H12" t="s">
        <v>1865</v>
      </c>
      <c r="I12" t="s">
        <v>1856</v>
      </c>
      <c r="J12">
        <v>1.2224751172903543E-2</v>
      </c>
      <c r="K12" t="s">
        <v>1857</v>
      </c>
      <c r="L12" t="s">
        <v>1856</v>
      </c>
      <c r="P12" t="s">
        <v>1865</v>
      </c>
      <c r="Q12" t="s">
        <v>2020</v>
      </c>
      <c r="R12" t="s">
        <v>2012</v>
      </c>
      <c r="U12" t="s">
        <v>131</v>
      </c>
      <c r="V12" t="s">
        <v>2061</v>
      </c>
      <c r="W12" t="s">
        <v>2052</v>
      </c>
      <c r="X12" t="s">
        <v>2053</v>
      </c>
    </row>
    <row r="13" spans="2:32" x14ac:dyDescent="0.45">
      <c r="B13" t="s">
        <v>144</v>
      </c>
      <c r="C13">
        <v>4.4686910835277036</v>
      </c>
      <c r="D13">
        <v>4.4000000000000004</v>
      </c>
      <c r="E13">
        <v>0.99975999999999998</v>
      </c>
      <c r="H13" t="s">
        <v>1866</v>
      </c>
      <c r="I13" t="s">
        <v>1856</v>
      </c>
      <c r="J13">
        <v>9.2813912600311979E-3</v>
      </c>
      <c r="K13" t="s">
        <v>1857</v>
      </c>
      <c r="L13" t="s">
        <v>1856</v>
      </c>
      <c r="P13" t="s">
        <v>1866</v>
      </c>
      <c r="Q13" t="s">
        <v>2021</v>
      </c>
      <c r="R13" t="s">
        <v>2012</v>
      </c>
      <c r="U13" t="s">
        <v>131</v>
      </c>
      <c r="V13" t="s">
        <v>2062</v>
      </c>
      <c r="W13" t="s">
        <v>2052</v>
      </c>
      <c r="X13" t="s">
        <v>2053</v>
      </c>
    </row>
    <row r="14" spans="2:32" x14ac:dyDescent="0.45">
      <c r="B14" t="s">
        <v>145</v>
      </c>
      <c r="C14">
        <v>4.4686910835277036</v>
      </c>
      <c r="D14">
        <v>3.3000000000000003</v>
      </c>
      <c r="E14">
        <v>0.99982000000000004</v>
      </c>
      <c r="H14" t="s">
        <v>1867</v>
      </c>
      <c r="I14" t="s">
        <v>1856</v>
      </c>
      <c r="J14">
        <v>5.5986330451559194E-3</v>
      </c>
      <c r="K14" t="s">
        <v>1857</v>
      </c>
      <c r="L14" t="s">
        <v>1856</v>
      </c>
      <c r="P14" t="s">
        <v>1867</v>
      </c>
      <c r="Q14" t="s">
        <v>2022</v>
      </c>
      <c r="R14" t="s">
        <v>2012</v>
      </c>
      <c r="U14" t="s">
        <v>131</v>
      </c>
      <c r="V14" t="s">
        <v>2063</v>
      </c>
      <c r="W14" t="s">
        <v>2052</v>
      </c>
      <c r="X14" t="s">
        <v>2053</v>
      </c>
    </row>
    <row r="15" spans="2:32" x14ac:dyDescent="0.45">
      <c r="B15" t="s">
        <v>146</v>
      </c>
      <c r="C15">
        <v>4.4686910835277036</v>
      </c>
      <c r="D15">
        <v>1.1000000000000001</v>
      </c>
      <c r="E15">
        <v>0.99994000000000005</v>
      </c>
      <c r="H15" t="s">
        <v>1868</v>
      </c>
      <c r="I15" t="s">
        <v>1856</v>
      </c>
      <c r="J15">
        <v>1.3464880463134913E-2</v>
      </c>
      <c r="K15" t="s">
        <v>1857</v>
      </c>
      <c r="L15" t="s">
        <v>1856</v>
      </c>
      <c r="P15" t="s">
        <v>1868</v>
      </c>
      <c r="Q15" t="s">
        <v>2023</v>
      </c>
      <c r="R15" t="s">
        <v>2012</v>
      </c>
      <c r="U15" t="s">
        <v>131</v>
      </c>
      <c r="V15" t="s">
        <v>2064</v>
      </c>
      <c r="W15" t="s">
        <v>2052</v>
      </c>
      <c r="X15" t="s">
        <v>2053</v>
      </c>
    </row>
    <row r="16" spans="2:32" x14ac:dyDescent="0.45">
      <c r="B16" t="s">
        <v>147</v>
      </c>
      <c r="C16">
        <v>2.2343455417638518</v>
      </c>
      <c r="D16">
        <v>1.1000000000000001</v>
      </c>
      <c r="E16">
        <v>0.99994000000000005</v>
      </c>
      <c r="H16" t="s">
        <v>1869</v>
      </c>
      <c r="I16" t="s">
        <v>1856</v>
      </c>
      <c r="J16">
        <v>6.4784095112370614E-3</v>
      </c>
      <c r="K16" t="s">
        <v>1857</v>
      </c>
      <c r="L16" t="s">
        <v>1856</v>
      </c>
      <c r="P16" t="s">
        <v>1869</v>
      </c>
      <c r="Q16" t="s">
        <v>2024</v>
      </c>
      <c r="R16" t="s">
        <v>2012</v>
      </c>
      <c r="U16" t="s">
        <v>131</v>
      </c>
      <c r="V16" t="s">
        <v>2065</v>
      </c>
      <c r="W16" t="s">
        <v>2052</v>
      </c>
      <c r="X16" t="s">
        <v>2053</v>
      </c>
    </row>
    <row r="17" spans="2:24" x14ac:dyDescent="0.45">
      <c r="B17" t="s">
        <v>148</v>
      </c>
      <c r="C17">
        <v>2.2343455417638518</v>
      </c>
      <c r="D17">
        <v>8.8000000000000007</v>
      </c>
      <c r="E17">
        <v>0.99951999999999996</v>
      </c>
      <c r="H17" t="s">
        <v>1870</v>
      </c>
      <c r="I17" t="s">
        <v>1856</v>
      </c>
      <c r="J17">
        <v>5.8895298325103377E-3</v>
      </c>
      <c r="K17" t="s">
        <v>1857</v>
      </c>
      <c r="L17" t="s">
        <v>1856</v>
      </c>
      <c r="P17" t="s">
        <v>1870</v>
      </c>
      <c r="Q17" t="s">
        <v>2025</v>
      </c>
      <c r="R17" t="s">
        <v>2012</v>
      </c>
      <c r="U17" t="s">
        <v>131</v>
      </c>
      <c r="V17" t="s">
        <v>2066</v>
      </c>
      <c r="W17" t="s">
        <v>2067</v>
      </c>
      <c r="X17" t="s">
        <v>2053</v>
      </c>
    </row>
    <row r="18" spans="2:24" x14ac:dyDescent="0.45">
      <c r="B18" t="s">
        <v>149</v>
      </c>
      <c r="C18">
        <v>4.4686910835277036</v>
      </c>
      <c r="D18">
        <v>4.4000000000000004</v>
      </c>
      <c r="E18">
        <v>0.99975999999999998</v>
      </c>
      <c r="H18" t="s">
        <v>1871</v>
      </c>
      <c r="I18" t="s">
        <v>1856</v>
      </c>
      <c r="J18">
        <v>3.8743273717722275E-3</v>
      </c>
      <c r="K18" t="s">
        <v>1857</v>
      </c>
      <c r="L18" t="s">
        <v>1856</v>
      </c>
      <c r="P18" t="s">
        <v>1871</v>
      </c>
      <c r="Q18" t="s">
        <v>2026</v>
      </c>
      <c r="R18" t="s">
        <v>2012</v>
      </c>
      <c r="U18" t="s">
        <v>131</v>
      </c>
      <c r="V18" t="s">
        <v>2068</v>
      </c>
      <c r="W18" t="s">
        <v>2067</v>
      </c>
      <c r="X18" t="s">
        <v>2053</v>
      </c>
    </row>
    <row r="19" spans="2:24" x14ac:dyDescent="0.45">
      <c r="B19" t="s">
        <v>150</v>
      </c>
      <c r="C19">
        <v>4.4686910835277036</v>
      </c>
      <c r="D19">
        <v>2.2000000000000002</v>
      </c>
      <c r="E19">
        <v>0.99987999999999999</v>
      </c>
      <c r="H19" t="s">
        <v>1872</v>
      </c>
      <c r="I19" t="s">
        <v>1856</v>
      </c>
      <c r="J19">
        <v>3.3321284213816658E-2</v>
      </c>
      <c r="K19" t="s">
        <v>1857</v>
      </c>
      <c r="L19" t="s">
        <v>1856</v>
      </c>
      <c r="P19" t="s">
        <v>1872</v>
      </c>
      <c r="Q19" t="s">
        <v>2027</v>
      </c>
      <c r="R19" t="s">
        <v>2012</v>
      </c>
      <c r="U19" t="s">
        <v>131</v>
      </c>
      <c r="V19" t="s">
        <v>2069</v>
      </c>
      <c r="W19" t="s">
        <v>2067</v>
      </c>
      <c r="X19" t="s">
        <v>2053</v>
      </c>
    </row>
    <row r="20" spans="2:24" x14ac:dyDescent="0.45">
      <c r="B20" t="s">
        <v>151</v>
      </c>
      <c r="C20">
        <v>4.4686910835277036</v>
      </c>
      <c r="D20">
        <v>1.1000000000000001</v>
      </c>
      <c r="E20">
        <v>0.99994000000000005</v>
      </c>
      <c r="H20" t="s">
        <v>1873</v>
      </c>
      <c r="I20" t="s">
        <v>1856</v>
      </c>
      <c r="J20">
        <v>9.3341705175435646E-3</v>
      </c>
      <c r="K20" t="s">
        <v>1857</v>
      </c>
      <c r="L20" t="s">
        <v>1856</v>
      </c>
      <c r="P20" t="s">
        <v>1873</v>
      </c>
      <c r="Q20" t="s">
        <v>2028</v>
      </c>
      <c r="R20" t="s">
        <v>2012</v>
      </c>
      <c r="U20" t="s">
        <v>131</v>
      </c>
      <c r="V20" t="s">
        <v>2070</v>
      </c>
      <c r="W20" t="s">
        <v>2067</v>
      </c>
      <c r="X20" t="s">
        <v>2053</v>
      </c>
    </row>
    <row r="21" spans="2:24" x14ac:dyDescent="0.45">
      <c r="B21" t="s">
        <v>152</v>
      </c>
      <c r="C21">
        <v>4.4686910835277036</v>
      </c>
      <c r="D21">
        <v>2.2000000000000002</v>
      </c>
      <c r="E21">
        <v>0.99987999999999999</v>
      </c>
      <c r="H21" t="s">
        <v>1874</v>
      </c>
      <c r="I21" t="s">
        <v>1856</v>
      </c>
      <c r="J21">
        <v>1.7572194048046625E-2</v>
      </c>
      <c r="K21" t="s">
        <v>1857</v>
      </c>
      <c r="L21" t="s">
        <v>1856</v>
      </c>
      <c r="P21" t="s">
        <v>1874</v>
      </c>
      <c r="Q21" t="s">
        <v>2029</v>
      </c>
      <c r="R21" t="s">
        <v>2012</v>
      </c>
      <c r="U21" t="s">
        <v>131</v>
      </c>
      <c r="V21" t="s">
        <v>2071</v>
      </c>
      <c r="W21" t="s">
        <v>2067</v>
      </c>
      <c r="X21" t="s">
        <v>2053</v>
      </c>
    </row>
    <row r="22" spans="2:24" x14ac:dyDescent="0.45">
      <c r="B22" t="s">
        <v>153</v>
      </c>
      <c r="C22">
        <v>4.4686910835277036</v>
      </c>
      <c r="D22">
        <v>2.2000000000000002</v>
      </c>
      <c r="E22">
        <v>0.99987999999999999</v>
      </c>
      <c r="H22" t="s">
        <v>1875</v>
      </c>
      <c r="I22" t="s">
        <v>1856</v>
      </c>
      <c r="J22">
        <v>1.8772311285418432E-2</v>
      </c>
      <c r="K22" t="s">
        <v>1857</v>
      </c>
      <c r="L22" t="s">
        <v>1856</v>
      </c>
      <c r="P22" t="s">
        <v>1875</v>
      </c>
      <c r="Q22" t="s">
        <v>2030</v>
      </c>
      <c r="R22" t="s">
        <v>2012</v>
      </c>
      <c r="U22" t="s">
        <v>131</v>
      </c>
      <c r="V22" t="s">
        <v>2072</v>
      </c>
      <c r="W22" t="s">
        <v>2067</v>
      </c>
      <c r="X22" t="s">
        <v>2053</v>
      </c>
    </row>
    <row r="23" spans="2:24" x14ac:dyDescent="0.45">
      <c r="B23" t="s">
        <v>154</v>
      </c>
      <c r="C23">
        <v>4.4686910835277036</v>
      </c>
      <c r="D23">
        <v>6.6000000000000005</v>
      </c>
      <c r="E23">
        <v>0.99963999999999997</v>
      </c>
      <c r="H23" t="s">
        <v>1876</v>
      </c>
      <c r="I23" t="s">
        <v>1856</v>
      </c>
      <c r="J23">
        <v>1.0577537424265994E-2</v>
      </c>
      <c r="K23" t="s">
        <v>1857</v>
      </c>
      <c r="L23" t="s">
        <v>1856</v>
      </c>
      <c r="P23" t="s">
        <v>1876</v>
      </c>
      <c r="Q23" t="s">
        <v>2031</v>
      </c>
      <c r="R23" t="s">
        <v>2012</v>
      </c>
      <c r="U23" t="s">
        <v>131</v>
      </c>
      <c r="V23" t="s">
        <v>2073</v>
      </c>
      <c r="W23" t="s">
        <v>2067</v>
      </c>
      <c r="X23" t="s">
        <v>2053</v>
      </c>
    </row>
    <row r="24" spans="2:24" x14ac:dyDescent="0.45">
      <c r="B24" t="s">
        <v>155</v>
      </c>
      <c r="C24">
        <v>2.2343455417638518</v>
      </c>
      <c r="D24">
        <v>5.5</v>
      </c>
      <c r="E24">
        <v>0.99970000000000003</v>
      </c>
      <c r="H24" t="s">
        <v>1877</v>
      </c>
      <c r="I24" t="s">
        <v>1856</v>
      </c>
      <c r="J24">
        <v>0.30820480004175532</v>
      </c>
      <c r="K24" t="s">
        <v>1857</v>
      </c>
      <c r="L24" t="s">
        <v>1856</v>
      </c>
      <c r="P24" t="s">
        <v>1877</v>
      </c>
      <c r="Q24" t="s">
        <v>2032</v>
      </c>
      <c r="R24" t="s">
        <v>2012</v>
      </c>
      <c r="U24" t="s">
        <v>131</v>
      </c>
      <c r="V24" t="s">
        <v>2074</v>
      </c>
      <c r="W24" t="s">
        <v>2067</v>
      </c>
      <c r="X24" t="s">
        <v>2053</v>
      </c>
    </row>
    <row r="25" spans="2:24" x14ac:dyDescent="0.45">
      <c r="B25" t="s">
        <v>156</v>
      </c>
      <c r="C25">
        <v>6.7030366252915554</v>
      </c>
      <c r="D25">
        <v>1.1000000000000001</v>
      </c>
      <c r="E25">
        <v>0.99994000000000005</v>
      </c>
      <c r="H25" t="s">
        <v>1878</v>
      </c>
      <c r="I25" t="s">
        <v>1856</v>
      </c>
      <c r="J25">
        <v>9.1662420697407147E-3</v>
      </c>
      <c r="K25" t="s">
        <v>1857</v>
      </c>
      <c r="L25" t="s">
        <v>1856</v>
      </c>
      <c r="P25" t="s">
        <v>1878</v>
      </c>
      <c r="Q25" t="s">
        <v>2033</v>
      </c>
      <c r="R25" t="s">
        <v>2012</v>
      </c>
      <c r="U25" t="s">
        <v>131</v>
      </c>
      <c r="V25" t="s">
        <v>2075</v>
      </c>
      <c r="W25" t="s">
        <v>2067</v>
      </c>
      <c r="X25" t="s">
        <v>2053</v>
      </c>
    </row>
    <row r="26" spans="2:24" x14ac:dyDescent="0.45">
      <c r="B26" t="s">
        <v>157</v>
      </c>
      <c r="C26">
        <v>0.98311203837609484</v>
      </c>
      <c r="D26">
        <v>58.300000000000004</v>
      </c>
      <c r="E26">
        <v>0.99682000000000004</v>
      </c>
      <c r="H26" t="s">
        <v>1879</v>
      </c>
      <c r="I26" t="s">
        <v>1856</v>
      </c>
      <c r="J26">
        <v>2.8469827895188919E-2</v>
      </c>
      <c r="K26" t="s">
        <v>1857</v>
      </c>
      <c r="L26" t="s">
        <v>1856</v>
      </c>
      <c r="P26" t="s">
        <v>1879</v>
      </c>
      <c r="Q26" t="s">
        <v>2034</v>
      </c>
      <c r="R26" t="s">
        <v>2012</v>
      </c>
      <c r="U26" t="s">
        <v>131</v>
      </c>
      <c r="V26" t="s">
        <v>2076</v>
      </c>
      <c r="W26" t="s">
        <v>2067</v>
      </c>
      <c r="X26" t="s">
        <v>2053</v>
      </c>
    </row>
    <row r="27" spans="2:24" x14ac:dyDescent="0.45">
      <c r="B27" t="s">
        <v>158</v>
      </c>
      <c r="C27">
        <v>4.4686910835277036</v>
      </c>
      <c r="D27">
        <v>6.6000000000000005</v>
      </c>
      <c r="E27">
        <v>0.99963999999999997</v>
      </c>
      <c r="H27" t="s">
        <v>1880</v>
      </c>
      <c r="I27" t="s">
        <v>1856</v>
      </c>
      <c r="J27">
        <v>9.8350236799793298E-3</v>
      </c>
      <c r="K27" t="s">
        <v>1857</v>
      </c>
      <c r="L27" t="s">
        <v>1856</v>
      </c>
      <c r="P27" t="s">
        <v>1880</v>
      </c>
      <c r="Q27" t="s">
        <v>2035</v>
      </c>
      <c r="R27" t="s">
        <v>2012</v>
      </c>
      <c r="U27" t="s">
        <v>131</v>
      </c>
      <c r="V27" t="s">
        <v>2077</v>
      </c>
      <c r="W27" t="s">
        <v>2067</v>
      </c>
      <c r="X27" t="s">
        <v>2053</v>
      </c>
    </row>
    <row r="28" spans="2:24" x14ac:dyDescent="0.45">
      <c r="B28" t="s">
        <v>159</v>
      </c>
      <c r="C28">
        <v>4.4686910835277036</v>
      </c>
      <c r="D28">
        <v>2.2000000000000002</v>
      </c>
      <c r="E28">
        <v>0.99987999999999999</v>
      </c>
      <c r="H28" t="s">
        <v>1881</v>
      </c>
      <c r="I28" t="s">
        <v>1856</v>
      </c>
      <c r="J28">
        <v>1.2444053874835981E-2</v>
      </c>
      <c r="K28" t="s">
        <v>1857</v>
      </c>
      <c r="L28" t="s">
        <v>1856</v>
      </c>
      <c r="P28" t="s">
        <v>1881</v>
      </c>
      <c r="Q28" t="s">
        <v>2036</v>
      </c>
      <c r="R28" t="s">
        <v>2012</v>
      </c>
      <c r="U28" t="s">
        <v>131</v>
      </c>
      <c r="V28" t="s">
        <v>2078</v>
      </c>
      <c r="W28" t="s">
        <v>2067</v>
      </c>
      <c r="X28" t="s">
        <v>2053</v>
      </c>
    </row>
    <row r="29" spans="2:24" x14ac:dyDescent="0.45">
      <c r="B29" t="s">
        <v>160</v>
      </c>
      <c r="C29">
        <v>4.4686910835277036</v>
      </c>
      <c r="D29">
        <v>18.700000000000003</v>
      </c>
      <c r="E29">
        <v>0.99897999999999998</v>
      </c>
      <c r="H29" t="s">
        <v>1882</v>
      </c>
      <c r="I29" t="s">
        <v>1856</v>
      </c>
      <c r="J29">
        <v>1.5898040886720397E-2</v>
      </c>
      <c r="K29" t="s">
        <v>1857</v>
      </c>
      <c r="L29" t="s">
        <v>1856</v>
      </c>
      <c r="P29" t="s">
        <v>1882</v>
      </c>
      <c r="Q29" t="s">
        <v>2037</v>
      </c>
      <c r="R29" t="s">
        <v>2012</v>
      </c>
      <c r="U29" t="s">
        <v>131</v>
      </c>
      <c r="V29" t="s">
        <v>2079</v>
      </c>
      <c r="W29" t="s">
        <v>2067</v>
      </c>
      <c r="X29" t="s">
        <v>2053</v>
      </c>
    </row>
    <row r="30" spans="2:24" x14ac:dyDescent="0.45">
      <c r="B30" t="s">
        <v>161</v>
      </c>
      <c r="C30">
        <v>4.4686910835277036</v>
      </c>
      <c r="D30">
        <v>14.3</v>
      </c>
      <c r="E30">
        <v>0.99922</v>
      </c>
      <c r="H30" t="s">
        <v>1883</v>
      </c>
      <c r="I30" t="s">
        <v>1856</v>
      </c>
      <c r="J30">
        <v>8.4611747199623277E-3</v>
      </c>
      <c r="K30" t="s">
        <v>1857</v>
      </c>
      <c r="L30" t="s">
        <v>1856</v>
      </c>
      <c r="P30" t="s">
        <v>1883</v>
      </c>
      <c r="Q30" t="s">
        <v>2038</v>
      </c>
      <c r="R30" t="s">
        <v>2012</v>
      </c>
      <c r="U30" t="s">
        <v>131</v>
      </c>
      <c r="V30" t="s">
        <v>2080</v>
      </c>
      <c r="W30" t="s">
        <v>2081</v>
      </c>
      <c r="X30" t="s">
        <v>2053</v>
      </c>
    </row>
    <row r="31" spans="2:24" x14ac:dyDescent="0.45">
      <c r="B31" t="s">
        <v>162</v>
      </c>
      <c r="C31">
        <v>4.4686910835277036</v>
      </c>
      <c r="D31">
        <v>2.2000000000000002</v>
      </c>
      <c r="E31">
        <v>0.99987999999999999</v>
      </c>
      <c r="H31" t="s">
        <v>1884</v>
      </c>
      <c r="I31" t="s">
        <v>1856</v>
      </c>
      <c r="J31">
        <v>2.0769615224801072E-2</v>
      </c>
      <c r="K31" t="s">
        <v>1857</v>
      </c>
      <c r="L31" t="s">
        <v>1856</v>
      </c>
      <c r="P31" t="s">
        <v>1884</v>
      </c>
      <c r="Q31" t="s">
        <v>2039</v>
      </c>
      <c r="R31" t="s">
        <v>2012</v>
      </c>
      <c r="U31" t="s">
        <v>131</v>
      </c>
      <c r="V31" t="s">
        <v>2082</v>
      </c>
      <c r="W31" t="s">
        <v>2081</v>
      </c>
      <c r="X31" t="s">
        <v>2053</v>
      </c>
    </row>
    <row r="32" spans="2:24" x14ac:dyDescent="0.45">
      <c r="B32" t="s">
        <v>163</v>
      </c>
      <c r="C32">
        <v>4.4686910835277036</v>
      </c>
      <c r="D32">
        <v>5.5</v>
      </c>
      <c r="E32">
        <v>0.99970000000000003</v>
      </c>
      <c r="H32" t="s">
        <v>1885</v>
      </c>
      <c r="I32" t="s">
        <v>1856</v>
      </c>
      <c r="J32">
        <v>1.4329018630693885E-2</v>
      </c>
      <c r="K32" t="s">
        <v>1857</v>
      </c>
      <c r="L32" t="s">
        <v>1856</v>
      </c>
      <c r="P32" t="s">
        <v>1885</v>
      </c>
      <c r="Q32" t="s">
        <v>2040</v>
      </c>
      <c r="R32" t="s">
        <v>2012</v>
      </c>
      <c r="U32" t="s">
        <v>131</v>
      </c>
      <c r="V32" t="s">
        <v>2083</v>
      </c>
      <c r="W32" t="s">
        <v>2081</v>
      </c>
      <c r="X32" t="s">
        <v>2053</v>
      </c>
    </row>
    <row r="33" spans="2:24" x14ac:dyDescent="0.45">
      <c r="B33" t="s">
        <v>164</v>
      </c>
      <c r="C33">
        <v>2.2343455417638518</v>
      </c>
      <c r="D33">
        <v>11</v>
      </c>
      <c r="E33">
        <v>0.99939999999999996</v>
      </c>
      <c r="H33" t="s">
        <v>1886</v>
      </c>
      <c r="I33" t="s">
        <v>1856</v>
      </c>
      <c r="J33">
        <v>7.8142622928133385E-3</v>
      </c>
      <c r="K33" t="s">
        <v>1857</v>
      </c>
      <c r="L33" t="s">
        <v>1856</v>
      </c>
      <c r="P33" t="s">
        <v>1886</v>
      </c>
      <c r="Q33" t="s">
        <v>2041</v>
      </c>
      <c r="R33" t="s">
        <v>2012</v>
      </c>
      <c r="U33" t="s">
        <v>131</v>
      </c>
      <c r="V33" t="s">
        <v>2084</v>
      </c>
      <c r="W33" t="s">
        <v>2081</v>
      </c>
      <c r="X33" t="s">
        <v>2053</v>
      </c>
    </row>
    <row r="34" spans="2:24" x14ac:dyDescent="0.45">
      <c r="B34" t="s">
        <v>165</v>
      </c>
      <c r="C34">
        <v>2.2343455417638518</v>
      </c>
      <c r="D34">
        <v>12.100000000000001</v>
      </c>
      <c r="E34">
        <v>0.99934000000000001</v>
      </c>
      <c r="H34" t="s">
        <v>1887</v>
      </c>
      <c r="I34" t="s">
        <v>1856</v>
      </c>
      <c r="J34">
        <v>8.9231764845069412E-3</v>
      </c>
      <c r="K34" t="s">
        <v>1857</v>
      </c>
      <c r="L34" t="s">
        <v>1856</v>
      </c>
      <c r="P34" t="s">
        <v>1887</v>
      </c>
      <c r="Q34" t="s">
        <v>2042</v>
      </c>
      <c r="R34" t="s">
        <v>2012</v>
      </c>
      <c r="U34" t="s">
        <v>131</v>
      </c>
      <c r="V34" t="s">
        <v>2085</v>
      </c>
      <c r="W34" t="s">
        <v>2081</v>
      </c>
      <c r="X34" t="s">
        <v>2053</v>
      </c>
    </row>
    <row r="35" spans="2:24" x14ac:dyDescent="0.45">
      <c r="B35" t="s">
        <v>166</v>
      </c>
      <c r="C35">
        <v>4.4686910835277036</v>
      </c>
      <c r="D35">
        <v>5.5</v>
      </c>
      <c r="E35">
        <v>0.99970000000000003</v>
      </c>
      <c r="H35" t="s">
        <v>1888</v>
      </c>
      <c r="I35" t="s">
        <v>1856</v>
      </c>
      <c r="J35">
        <v>4.4396274285083701E-3</v>
      </c>
      <c r="K35" t="s">
        <v>1857</v>
      </c>
      <c r="L35" t="s">
        <v>1856</v>
      </c>
      <c r="P35" t="s">
        <v>1888</v>
      </c>
      <c r="Q35" t="s">
        <v>2043</v>
      </c>
      <c r="R35" t="s">
        <v>2012</v>
      </c>
      <c r="U35" t="s">
        <v>131</v>
      </c>
      <c r="V35" t="s">
        <v>2086</v>
      </c>
      <c r="W35" t="s">
        <v>2081</v>
      </c>
      <c r="X35" t="s">
        <v>2053</v>
      </c>
    </row>
    <row r="36" spans="2:24" x14ac:dyDescent="0.45">
      <c r="B36" t="s">
        <v>167</v>
      </c>
      <c r="C36">
        <v>4.4686910835277036</v>
      </c>
      <c r="D36">
        <v>1.1000000000000001</v>
      </c>
      <c r="E36">
        <v>0.99994000000000005</v>
      </c>
      <c r="H36" t="s">
        <v>1889</v>
      </c>
      <c r="I36" t="s">
        <v>1856</v>
      </c>
      <c r="J36">
        <v>1.0550475837370085E-2</v>
      </c>
      <c r="K36" t="s">
        <v>1857</v>
      </c>
      <c r="L36" t="s">
        <v>1856</v>
      </c>
      <c r="P36" t="s">
        <v>1889</v>
      </c>
      <c r="Q36" t="s">
        <v>2044</v>
      </c>
      <c r="R36" t="s">
        <v>2012</v>
      </c>
      <c r="U36" t="s">
        <v>131</v>
      </c>
      <c r="V36" t="s">
        <v>2087</v>
      </c>
      <c r="W36" t="s">
        <v>2081</v>
      </c>
      <c r="X36" t="s">
        <v>2053</v>
      </c>
    </row>
    <row r="37" spans="2:24" x14ac:dyDescent="0.45">
      <c r="B37" t="s">
        <v>168</v>
      </c>
      <c r="C37">
        <v>4.4686910835277036</v>
      </c>
      <c r="D37">
        <v>6.6000000000000005</v>
      </c>
      <c r="E37">
        <v>0.99963999999999997</v>
      </c>
      <c r="H37" t="s">
        <v>1890</v>
      </c>
      <c r="I37" t="s">
        <v>1856</v>
      </c>
      <c r="J37">
        <v>7.3620955519487462E-3</v>
      </c>
      <c r="K37" t="s">
        <v>1857</v>
      </c>
      <c r="L37" t="s">
        <v>1856</v>
      </c>
      <c r="P37" t="s">
        <v>1890</v>
      </c>
      <c r="Q37" t="s">
        <v>2045</v>
      </c>
      <c r="R37" t="s">
        <v>2012</v>
      </c>
      <c r="U37" t="s">
        <v>131</v>
      </c>
      <c r="V37" t="s">
        <v>2088</v>
      </c>
      <c r="W37" t="s">
        <v>2081</v>
      </c>
      <c r="X37" t="s">
        <v>2053</v>
      </c>
    </row>
    <row r="38" spans="2:24" x14ac:dyDescent="0.45">
      <c r="B38" t="s">
        <v>169</v>
      </c>
      <c r="C38">
        <v>4.4686910835277036</v>
      </c>
      <c r="D38">
        <v>1.1000000000000001</v>
      </c>
      <c r="E38">
        <v>0.99994000000000005</v>
      </c>
      <c r="H38" t="s">
        <v>1891</v>
      </c>
      <c r="I38" t="s">
        <v>1856</v>
      </c>
      <c r="J38">
        <v>8.1856718827157133E-3</v>
      </c>
      <c r="K38" t="s">
        <v>1857</v>
      </c>
      <c r="L38" t="s">
        <v>1856</v>
      </c>
      <c r="P38" t="s">
        <v>1891</v>
      </c>
      <c r="Q38" t="s">
        <v>2046</v>
      </c>
      <c r="R38" t="s">
        <v>2012</v>
      </c>
      <c r="U38" t="s">
        <v>131</v>
      </c>
      <c r="V38" t="s">
        <v>2089</v>
      </c>
      <c r="W38" t="s">
        <v>2081</v>
      </c>
      <c r="X38" t="s">
        <v>2053</v>
      </c>
    </row>
    <row r="39" spans="2:24" x14ac:dyDescent="0.45">
      <c r="B39" t="s">
        <v>170</v>
      </c>
      <c r="C39">
        <v>4.4686910835277036</v>
      </c>
      <c r="D39">
        <v>8.8000000000000007</v>
      </c>
      <c r="E39">
        <v>0.99951999999999996</v>
      </c>
      <c r="H39" t="s">
        <v>1892</v>
      </c>
      <c r="I39" t="s">
        <v>1856</v>
      </c>
      <c r="J39">
        <v>1.0441007747714712E-2</v>
      </c>
      <c r="K39" t="s">
        <v>1857</v>
      </c>
      <c r="L39" t="s">
        <v>1856</v>
      </c>
      <c r="P39" t="s">
        <v>1892</v>
      </c>
      <c r="Q39" t="s">
        <v>2047</v>
      </c>
      <c r="R39" t="s">
        <v>2012</v>
      </c>
      <c r="U39" t="s">
        <v>131</v>
      </c>
      <c r="V39" t="s">
        <v>2090</v>
      </c>
      <c r="W39" t="s">
        <v>2081</v>
      </c>
      <c r="X39" t="s">
        <v>2053</v>
      </c>
    </row>
    <row r="40" spans="2:24" x14ac:dyDescent="0.45">
      <c r="B40" t="s">
        <v>171</v>
      </c>
      <c r="C40">
        <v>2.2343455417638518</v>
      </c>
      <c r="D40">
        <v>5.5</v>
      </c>
      <c r="E40">
        <v>0.99970000000000003</v>
      </c>
      <c r="H40" t="s">
        <v>1893</v>
      </c>
      <c r="I40" t="s">
        <v>1856</v>
      </c>
      <c r="J40">
        <v>0.17485368911459809</v>
      </c>
      <c r="K40" t="s">
        <v>1857</v>
      </c>
      <c r="L40" t="s">
        <v>1856</v>
      </c>
      <c r="P40" t="s">
        <v>1893</v>
      </c>
      <c r="Q40" t="s">
        <v>2048</v>
      </c>
      <c r="R40" t="s">
        <v>2012</v>
      </c>
      <c r="U40" t="s">
        <v>131</v>
      </c>
      <c r="V40" t="s">
        <v>2091</v>
      </c>
      <c r="W40" t="s">
        <v>2081</v>
      </c>
      <c r="X40" t="s">
        <v>2053</v>
      </c>
    </row>
    <row r="41" spans="2:24" x14ac:dyDescent="0.45">
      <c r="B41" t="s">
        <v>172</v>
      </c>
      <c r="C41">
        <v>4.4686910835277036</v>
      </c>
      <c r="D41">
        <v>18.700000000000003</v>
      </c>
      <c r="E41">
        <v>0.99897999999999998</v>
      </c>
      <c r="H41" t="s">
        <v>1894</v>
      </c>
      <c r="I41" t="s">
        <v>1856</v>
      </c>
      <c r="J41">
        <v>4.6650999279047511E-3</v>
      </c>
      <c r="K41" t="s">
        <v>1857</v>
      </c>
      <c r="L41" t="s">
        <v>1856</v>
      </c>
      <c r="P41" t="s">
        <v>1894</v>
      </c>
      <c r="Q41" t="s">
        <v>2049</v>
      </c>
      <c r="R41" t="s">
        <v>2012</v>
      </c>
      <c r="U41" t="s">
        <v>131</v>
      </c>
      <c r="V41" t="s">
        <v>2092</v>
      </c>
      <c r="W41" t="s">
        <v>2081</v>
      </c>
      <c r="X41" t="s">
        <v>2053</v>
      </c>
    </row>
    <row r="42" spans="2:24" x14ac:dyDescent="0.45">
      <c r="B42" t="s">
        <v>173</v>
      </c>
      <c r="C42">
        <v>4.4686910835277036</v>
      </c>
      <c r="D42">
        <v>8.8000000000000007</v>
      </c>
      <c r="E42">
        <v>0.99951999999999996</v>
      </c>
      <c r="H42" t="s">
        <v>1895</v>
      </c>
      <c r="I42" t="s">
        <v>1856</v>
      </c>
      <c r="J42">
        <v>6.7618109109795016E-2</v>
      </c>
      <c r="K42" t="s">
        <v>1857</v>
      </c>
      <c r="L42" t="s">
        <v>1856</v>
      </c>
      <c r="P42" t="s">
        <v>1895</v>
      </c>
      <c r="Q42" t="s">
        <v>2011</v>
      </c>
      <c r="R42" t="s">
        <v>2012</v>
      </c>
      <c r="U42" t="s">
        <v>131</v>
      </c>
      <c r="V42" t="s">
        <v>2093</v>
      </c>
      <c r="W42" t="s">
        <v>2081</v>
      </c>
      <c r="X42" t="s">
        <v>2053</v>
      </c>
    </row>
    <row r="43" spans="2:24" x14ac:dyDescent="0.45">
      <c r="B43" t="s">
        <v>174</v>
      </c>
      <c r="C43">
        <v>4.4686910835277036</v>
      </c>
      <c r="D43">
        <v>14.3</v>
      </c>
      <c r="E43">
        <v>0.99922</v>
      </c>
      <c r="H43" t="s">
        <v>1896</v>
      </c>
      <c r="I43" t="s">
        <v>1856</v>
      </c>
      <c r="J43">
        <v>4.7042771236817285E-2</v>
      </c>
      <c r="K43" t="s">
        <v>1857</v>
      </c>
      <c r="L43" t="s">
        <v>1856</v>
      </c>
      <c r="P43" t="s">
        <v>1896</v>
      </c>
      <c r="Q43" t="s">
        <v>2013</v>
      </c>
      <c r="R43" t="s">
        <v>2012</v>
      </c>
      <c r="U43" t="s">
        <v>131</v>
      </c>
      <c r="V43" t="s">
        <v>2094</v>
      </c>
      <c r="W43" t="s">
        <v>2095</v>
      </c>
      <c r="X43" t="s">
        <v>2053</v>
      </c>
    </row>
    <row r="44" spans="2:24" x14ac:dyDescent="0.45">
      <c r="B44" t="s">
        <v>175</v>
      </c>
      <c r="C44">
        <v>4.4686910835277036</v>
      </c>
      <c r="D44">
        <v>14.3</v>
      </c>
      <c r="E44">
        <v>0.99922</v>
      </c>
      <c r="H44" t="s">
        <v>1897</v>
      </c>
      <c r="I44" t="s">
        <v>1856</v>
      </c>
      <c r="J44">
        <v>1.2412594016480798E-2</v>
      </c>
      <c r="K44" t="s">
        <v>1857</v>
      </c>
      <c r="L44" t="s">
        <v>1856</v>
      </c>
      <c r="P44" t="s">
        <v>1897</v>
      </c>
      <c r="Q44" t="s">
        <v>2014</v>
      </c>
      <c r="R44" t="s">
        <v>2012</v>
      </c>
      <c r="U44" t="s">
        <v>131</v>
      </c>
      <c r="V44" t="s">
        <v>2096</v>
      </c>
      <c r="W44" t="s">
        <v>2095</v>
      </c>
      <c r="X44" t="s">
        <v>2053</v>
      </c>
    </row>
    <row r="45" spans="2:24" x14ac:dyDescent="0.45">
      <c r="B45" t="s">
        <v>176</v>
      </c>
      <c r="C45">
        <v>1.9662240767521897</v>
      </c>
      <c r="D45">
        <v>3.3000000000000003</v>
      </c>
      <c r="E45">
        <v>0.99982000000000004</v>
      </c>
      <c r="H45" t="s">
        <v>1898</v>
      </c>
      <c r="I45" t="s">
        <v>1856</v>
      </c>
      <c r="J45">
        <v>7.5610562483815662E-3</v>
      </c>
      <c r="K45" t="s">
        <v>1857</v>
      </c>
      <c r="L45" t="s">
        <v>1856</v>
      </c>
      <c r="P45" t="s">
        <v>1898</v>
      </c>
      <c r="Q45" t="s">
        <v>2015</v>
      </c>
      <c r="R45" t="s">
        <v>2012</v>
      </c>
      <c r="U45" t="s">
        <v>131</v>
      </c>
      <c r="V45" t="s">
        <v>2097</v>
      </c>
      <c r="W45" t="s">
        <v>2095</v>
      </c>
      <c r="X45" t="s">
        <v>2053</v>
      </c>
    </row>
    <row r="46" spans="2:24" x14ac:dyDescent="0.45">
      <c r="B46" t="s">
        <v>177</v>
      </c>
      <c r="C46">
        <v>0.98311203837609484</v>
      </c>
      <c r="D46">
        <v>38.5</v>
      </c>
      <c r="E46">
        <v>0.99790000000000001</v>
      </c>
      <c r="H46" t="s">
        <v>1899</v>
      </c>
      <c r="I46" t="s">
        <v>1856</v>
      </c>
      <c r="J46">
        <v>5.8215398862009196E-3</v>
      </c>
      <c r="K46" t="s">
        <v>1857</v>
      </c>
      <c r="L46" t="s">
        <v>1856</v>
      </c>
      <c r="P46" t="s">
        <v>1899</v>
      </c>
      <c r="Q46" t="s">
        <v>2016</v>
      </c>
      <c r="R46" t="s">
        <v>2012</v>
      </c>
      <c r="U46" t="s">
        <v>131</v>
      </c>
      <c r="V46" t="s">
        <v>2098</v>
      </c>
      <c r="W46" t="s">
        <v>2095</v>
      </c>
      <c r="X46" t="s">
        <v>2053</v>
      </c>
    </row>
    <row r="47" spans="2:24" x14ac:dyDescent="0.45">
      <c r="B47" t="s">
        <v>178</v>
      </c>
      <c r="C47">
        <v>4.4686910835277036</v>
      </c>
      <c r="D47">
        <v>14.3</v>
      </c>
      <c r="E47">
        <v>0.99922</v>
      </c>
      <c r="H47" t="s">
        <v>1900</v>
      </c>
      <c r="I47" t="s">
        <v>1856</v>
      </c>
      <c r="J47">
        <v>1.0032212850407776E-2</v>
      </c>
      <c r="K47" t="s">
        <v>1857</v>
      </c>
      <c r="L47" t="s">
        <v>1856</v>
      </c>
      <c r="P47" t="s">
        <v>1900</v>
      </c>
      <c r="Q47" t="s">
        <v>2017</v>
      </c>
      <c r="R47" t="s">
        <v>2012</v>
      </c>
      <c r="U47" t="s">
        <v>131</v>
      </c>
      <c r="V47" t="s">
        <v>2099</v>
      </c>
      <c r="W47" t="s">
        <v>2095</v>
      </c>
      <c r="X47" t="s">
        <v>2053</v>
      </c>
    </row>
    <row r="48" spans="2:24" x14ac:dyDescent="0.45">
      <c r="B48" t="s">
        <v>179</v>
      </c>
      <c r="C48">
        <v>4.4686910835277036</v>
      </c>
      <c r="D48">
        <v>37.400000000000006</v>
      </c>
      <c r="E48">
        <v>0.99795999999999996</v>
      </c>
      <c r="H48" t="s">
        <v>1901</v>
      </c>
      <c r="I48" t="s">
        <v>1856</v>
      </c>
      <c r="J48">
        <v>9.0567128929817265E-3</v>
      </c>
      <c r="K48" t="s">
        <v>1857</v>
      </c>
      <c r="L48" t="s">
        <v>1856</v>
      </c>
      <c r="P48" t="s">
        <v>1901</v>
      </c>
      <c r="Q48" t="s">
        <v>2018</v>
      </c>
      <c r="R48" t="s">
        <v>2012</v>
      </c>
      <c r="U48" t="s">
        <v>131</v>
      </c>
      <c r="V48" t="s">
        <v>2100</v>
      </c>
      <c r="W48" t="s">
        <v>2095</v>
      </c>
      <c r="X48" t="s">
        <v>2053</v>
      </c>
    </row>
    <row r="49" spans="2:24" x14ac:dyDescent="0.45">
      <c r="B49" t="s">
        <v>180</v>
      </c>
      <c r="C49">
        <v>4.4686910835277036</v>
      </c>
      <c r="D49">
        <v>23.1</v>
      </c>
      <c r="E49">
        <v>0.99873999999999996</v>
      </c>
      <c r="H49" t="s">
        <v>1902</v>
      </c>
      <c r="I49" t="s">
        <v>1856</v>
      </c>
      <c r="J49">
        <v>9.2526803213380474E-3</v>
      </c>
      <c r="K49" t="s">
        <v>1857</v>
      </c>
      <c r="L49" t="s">
        <v>1856</v>
      </c>
      <c r="P49" t="s">
        <v>1902</v>
      </c>
      <c r="Q49" t="s">
        <v>2019</v>
      </c>
      <c r="R49" t="s">
        <v>2012</v>
      </c>
      <c r="U49" t="s">
        <v>131</v>
      </c>
      <c r="V49" t="s">
        <v>2101</v>
      </c>
      <c r="W49" t="s">
        <v>2095</v>
      </c>
      <c r="X49" t="s">
        <v>2053</v>
      </c>
    </row>
    <row r="50" spans="2:24" x14ac:dyDescent="0.45">
      <c r="B50" t="s">
        <v>181</v>
      </c>
      <c r="C50">
        <v>2.2343455417638518</v>
      </c>
      <c r="D50">
        <v>16.5</v>
      </c>
      <c r="E50">
        <v>0.99909999999999999</v>
      </c>
      <c r="H50" t="s">
        <v>1903</v>
      </c>
      <c r="I50" t="s">
        <v>1856</v>
      </c>
      <c r="J50">
        <v>1.2224751172903543E-2</v>
      </c>
      <c r="K50" t="s">
        <v>1857</v>
      </c>
      <c r="L50" t="s">
        <v>1856</v>
      </c>
      <c r="P50" t="s">
        <v>1903</v>
      </c>
      <c r="Q50" t="s">
        <v>2020</v>
      </c>
      <c r="R50" t="s">
        <v>2012</v>
      </c>
      <c r="U50" t="s">
        <v>131</v>
      </c>
      <c r="V50" t="s">
        <v>2102</v>
      </c>
      <c r="W50" t="s">
        <v>2095</v>
      </c>
      <c r="X50" t="s">
        <v>2053</v>
      </c>
    </row>
    <row r="51" spans="2:24" x14ac:dyDescent="0.45">
      <c r="B51" t="s">
        <v>182</v>
      </c>
      <c r="C51">
        <v>4.4686910835277036</v>
      </c>
      <c r="D51">
        <v>5.5</v>
      </c>
      <c r="E51">
        <v>0.99970000000000003</v>
      </c>
      <c r="H51" t="s">
        <v>1904</v>
      </c>
      <c r="I51" t="s">
        <v>1856</v>
      </c>
      <c r="J51">
        <v>9.2813912600311979E-3</v>
      </c>
      <c r="K51" t="s">
        <v>1857</v>
      </c>
      <c r="L51" t="s">
        <v>1856</v>
      </c>
      <c r="P51" t="s">
        <v>1904</v>
      </c>
      <c r="Q51" t="s">
        <v>2021</v>
      </c>
      <c r="R51" t="s">
        <v>2012</v>
      </c>
      <c r="U51" t="s">
        <v>131</v>
      </c>
      <c r="V51" t="s">
        <v>2103</v>
      </c>
      <c r="W51" t="s">
        <v>2095</v>
      </c>
      <c r="X51" t="s">
        <v>2053</v>
      </c>
    </row>
    <row r="52" spans="2:24" x14ac:dyDescent="0.45">
      <c r="B52" t="s">
        <v>183</v>
      </c>
      <c r="C52">
        <v>2.2343455417638518</v>
      </c>
      <c r="D52">
        <v>15.400000000000002</v>
      </c>
      <c r="E52">
        <v>0.99916000000000005</v>
      </c>
      <c r="H52" t="s">
        <v>1905</v>
      </c>
      <c r="I52" t="s">
        <v>1856</v>
      </c>
      <c r="J52">
        <v>5.5986330451559194E-3</v>
      </c>
      <c r="K52" t="s">
        <v>1857</v>
      </c>
      <c r="L52" t="s">
        <v>1856</v>
      </c>
      <c r="P52" t="s">
        <v>1905</v>
      </c>
      <c r="Q52" t="s">
        <v>2022</v>
      </c>
      <c r="R52" t="s">
        <v>2012</v>
      </c>
      <c r="U52" t="s">
        <v>131</v>
      </c>
      <c r="V52" t="s">
        <v>2104</v>
      </c>
      <c r="W52" t="s">
        <v>2095</v>
      </c>
      <c r="X52" t="s">
        <v>2053</v>
      </c>
    </row>
    <row r="53" spans="2:24" x14ac:dyDescent="0.45">
      <c r="B53" t="s">
        <v>184</v>
      </c>
      <c r="C53">
        <v>6.7030366252915554</v>
      </c>
      <c r="D53">
        <v>1.1000000000000001</v>
      </c>
      <c r="E53">
        <v>0.99994000000000005</v>
      </c>
      <c r="H53" t="s">
        <v>1906</v>
      </c>
      <c r="I53" t="s">
        <v>1856</v>
      </c>
      <c r="J53">
        <v>1.3464880463134913E-2</v>
      </c>
      <c r="K53" t="s">
        <v>1857</v>
      </c>
      <c r="L53" t="s">
        <v>1856</v>
      </c>
      <c r="P53" t="s">
        <v>1906</v>
      </c>
      <c r="Q53" t="s">
        <v>2023</v>
      </c>
      <c r="R53" t="s">
        <v>2012</v>
      </c>
      <c r="U53" t="s">
        <v>131</v>
      </c>
      <c r="V53" t="s">
        <v>2105</v>
      </c>
      <c r="W53" t="s">
        <v>2095</v>
      </c>
      <c r="X53" t="s">
        <v>2053</v>
      </c>
    </row>
    <row r="54" spans="2:24" x14ac:dyDescent="0.45">
      <c r="B54" t="s">
        <v>185</v>
      </c>
      <c r="C54">
        <v>4.4686910835277036</v>
      </c>
      <c r="D54">
        <v>4.4000000000000004</v>
      </c>
      <c r="E54">
        <v>0.99975999999999998</v>
      </c>
      <c r="H54" t="s">
        <v>1907</v>
      </c>
      <c r="I54" t="s">
        <v>1856</v>
      </c>
      <c r="J54">
        <v>6.4784095112370614E-3</v>
      </c>
      <c r="K54" t="s">
        <v>1857</v>
      </c>
      <c r="L54" t="s">
        <v>1856</v>
      </c>
      <c r="P54" t="s">
        <v>1907</v>
      </c>
      <c r="Q54" t="s">
        <v>2024</v>
      </c>
      <c r="R54" t="s">
        <v>2012</v>
      </c>
      <c r="U54" t="s">
        <v>131</v>
      </c>
      <c r="V54" t="s">
        <v>2106</v>
      </c>
      <c r="W54" t="s">
        <v>2095</v>
      </c>
      <c r="X54" t="s">
        <v>2053</v>
      </c>
    </row>
    <row r="55" spans="2:24" x14ac:dyDescent="0.45">
      <c r="B55" t="s">
        <v>186</v>
      </c>
      <c r="C55">
        <v>2.2343455417638518</v>
      </c>
      <c r="D55">
        <v>6.6000000000000005</v>
      </c>
      <c r="E55">
        <v>0.99963999999999997</v>
      </c>
      <c r="H55" t="s">
        <v>1908</v>
      </c>
      <c r="I55" t="s">
        <v>1856</v>
      </c>
      <c r="J55">
        <v>5.8895298325103377E-3</v>
      </c>
      <c r="K55" t="s">
        <v>1857</v>
      </c>
      <c r="L55" t="s">
        <v>1856</v>
      </c>
      <c r="P55" t="s">
        <v>1908</v>
      </c>
      <c r="Q55" t="s">
        <v>2025</v>
      </c>
      <c r="R55" t="s">
        <v>2012</v>
      </c>
      <c r="U55" t="s">
        <v>131</v>
      </c>
      <c r="V55" t="s">
        <v>2107</v>
      </c>
      <c r="W55" t="s">
        <v>2095</v>
      </c>
      <c r="X55" t="s">
        <v>2053</v>
      </c>
    </row>
    <row r="56" spans="2:24" x14ac:dyDescent="0.45">
      <c r="B56" t="s">
        <v>187</v>
      </c>
      <c r="C56">
        <v>2.2343455417638518</v>
      </c>
      <c r="D56">
        <v>1.1000000000000001</v>
      </c>
      <c r="E56">
        <v>0.99994000000000005</v>
      </c>
      <c r="H56" t="s">
        <v>1909</v>
      </c>
      <c r="I56" t="s">
        <v>1856</v>
      </c>
      <c r="J56">
        <v>3.8743273717722275E-3</v>
      </c>
      <c r="K56" t="s">
        <v>1857</v>
      </c>
      <c r="L56" t="s">
        <v>1856</v>
      </c>
      <c r="P56" t="s">
        <v>1909</v>
      </c>
      <c r="Q56" t="s">
        <v>2026</v>
      </c>
      <c r="R56" t="s">
        <v>2012</v>
      </c>
      <c r="U56" t="s">
        <v>131</v>
      </c>
      <c r="V56" t="s">
        <v>2108</v>
      </c>
      <c r="W56" t="s">
        <v>2109</v>
      </c>
      <c r="X56" t="s">
        <v>2053</v>
      </c>
    </row>
    <row r="57" spans="2:24" x14ac:dyDescent="0.45">
      <c r="B57" t="s">
        <v>188</v>
      </c>
      <c r="C57">
        <v>6.7030366252915554</v>
      </c>
      <c r="D57">
        <v>1.1000000000000001</v>
      </c>
      <c r="E57">
        <v>0.99994000000000005</v>
      </c>
      <c r="H57" t="s">
        <v>1910</v>
      </c>
      <c r="I57" t="s">
        <v>1856</v>
      </c>
      <c r="J57">
        <v>3.3321284213816658E-2</v>
      </c>
      <c r="K57" t="s">
        <v>1857</v>
      </c>
      <c r="L57" t="s">
        <v>1856</v>
      </c>
      <c r="P57" t="s">
        <v>1910</v>
      </c>
      <c r="Q57" t="s">
        <v>2027</v>
      </c>
      <c r="R57" t="s">
        <v>2012</v>
      </c>
      <c r="U57" t="s">
        <v>131</v>
      </c>
      <c r="V57" t="s">
        <v>2110</v>
      </c>
      <c r="W57" t="s">
        <v>2109</v>
      </c>
      <c r="X57" t="s">
        <v>2053</v>
      </c>
    </row>
    <row r="58" spans="2:24" x14ac:dyDescent="0.45">
      <c r="B58" t="s">
        <v>189</v>
      </c>
      <c r="C58">
        <v>2.2343455417638518</v>
      </c>
      <c r="D58">
        <v>4.4000000000000004</v>
      </c>
      <c r="E58">
        <v>0.99975999999999998</v>
      </c>
      <c r="H58" t="s">
        <v>1911</v>
      </c>
      <c r="I58" t="s">
        <v>1856</v>
      </c>
      <c r="J58">
        <v>9.3341705175435646E-3</v>
      </c>
      <c r="K58" t="s">
        <v>1857</v>
      </c>
      <c r="L58" t="s">
        <v>1856</v>
      </c>
      <c r="P58" t="s">
        <v>1911</v>
      </c>
      <c r="Q58" t="s">
        <v>2028</v>
      </c>
      <c r="R58" t="s">
        <v>2012</v>
      </c>
      <c r="U58" t="s">
        <v>131</v>
      </c>
      <c r="V58" t="s">
        <v>2111</v>
      </c>
      <c r="W58" t="s">
        <v>2109</v>
      </c>
      <c r="X58" t="s">
        <v>2053</v>
      </c>
    </row>
    <row r="59" spans="2:24" x14ac:dyDescent="0.45">
      <c r="B59" t="s">
        <v>190</v>
      </c>
      <c r="C59">
        <v>2.2343455417638518</v>
      </c>
      <c r="D59">
        <v>8.8000000000000007</v>
      </c>
      <c r="E59">
        <v>0.99951999999999996</v>
      </c>
      <c r="H59" t="s">
        <v>1912</v>
      </c>
      <c r="I59" t="s">
        <v>1856</v>
      </c>
      <c r="J59">
        <v>1.7572194048046625E-2</v>
      </c>
      <c r="K59" t="s">
        <v>1857</v>
      </c>
      <c r="L59" t="s">
        <v>1856</v>
      </c>
      <c r="P59" t="s">
        <v>1912</v>
      </c>
      <c r="Q59" t="s">
        <v>2029</v>
      </c>
      <c r="R59" t="s">
        <v>2012</v>
      </c>
      <c r="U59" t="s">
        <v>131</v>
      </c>
      <c r="V59" t="s">
        <v>2112</v>
      </c>
      <c r="W59" t="s">
        <v>2109</v>
      </c>
      <c r="X59" t="s">
        <v>2053</v>
      </c>
    </row>
    <row r="60" spans="2:24" x14ac:dyDescent="0.45">
      <c r="B60" t="s">
        <v>191</v>
      </c>
      <c r="C60">
        <v>2.2343455417638518</v>
      </c>
      <c r="D60">
        <v>7.7000000000000011</v>
      </c>
      <c r="E60">
        <v>0.99958000000000002</v>
      </c>
      <c r="H60" t="s">
        <v>1913</v>
      </c>
      <c r="I60" t="s">
        <v>1856</v>
      </c>
      <c r="J60">
        <v>1.8772311285418432E-2</v>
      </c>
      <c r="K60" t="s">
        <v>1857</v>
      </c>
      <c r="L60" t="s">
        <v>1856</v>
      </c>
      <c r="P60" t="s">
        <v>1913</v>
      </c>
      <c r="Q60" t="s">
        <v>2030</v>
      </c>
      <c r="R60" t="s">
        <v>2012</v>
      </c>
      <c r="U60" t="s">
        <v>131</v>
      </c>
      <c r="V60" t="s">
        <v>2113</v>
      </c>
      <c r="W60" t="s">
        <v>2109</v>
      </c>
      <c r="X60" t="s">
        <v>2053</v>
      </c>
    </row>
    <row r="61" spans="2:24" x14ac:dyDescent="0.45">
      <c r="B61" t="s">
        <v>192</v>
      </c>
      <c r="C61">
        <v>6.7030366252915554</v>
      </c>
      <c r="D61">
        <v>1.1000000000000001</v>
      </c>
      <c r="E61">
        <v>0.99994000000000005</v>
      </c>
      <c r="H61" t="s">
        <v>1914</v>
      </c>
      <c r="I61" t="s">
        <v>1856</v>
      </c>
      <c r="J61">
        <v>1.0577537424265994E-2</v>
      </c>
      <c r="K61" t="s">
        <v>1857</v>
      </c>
      <c r="L61" t="s">
        <v>1856</v>
      </c>
      <c r="P61" t="s">
        <v>1914</v>
      </c>
      <c r="Q61" t="s">
        <v>2031</v>
      </c>
      <c r="R61" t="s">
        <v>2012</v>
      </c>
      <c r="U61" t="s">
        <v>131</v>
      </c>
      <c r="V61" t="s">
        <v>2114</v>
      </c>
      <c r="W61" t="s">
        <v>2109</v>
      </c>
      <c r="X61" t="s">
        <v>2053</v>
      </c>
    </row>
    <row r="62" spans="2:24" x14ac:dyDescent="0.45">
      <c r="B62" t="s">
        <v>193</v>
      </c>
      <c r="C62">
        <v>4.4686910835277036</v>
      </c>
      <c r="D62">
        <v>37.400000000000006</v>
      </c>
      <c r="E62">
        <v>0.99795999999999996</v>
      </c>
      <c r="H62" t="s">
        <v>1915</v>
      </c>
      <c r="I62" t="s">
        <v>1856</v>
      </c>
      <c r="J62">
        <v>0.30820480004175532</v>
      </c>
      <c r="K62" t="s">
        <v>1857</v>
      </c>
      <c r="L62" t="s">
        <v>1856</v>
      </c>
      <c r="P62" t="s">
        <v>1915</v>
      </c>
      <c r="Q62" t="s">
        <v>2032</v>
      </c>
      <c r="R62" t="s">
        <v>2012</v>
      </c>
      <c r="U62" t="s">
        <v>131</v>
      </c>
      <c r="V62" t="s">
        <v>2115</v>
      </c>
      <c r="W62" t="s">
        <v>2109</v>
      </c>
      <c r="X62" t="s">
        <v>2053</v>
      </c>
    </row>
    <row r="63" spans="2:24" x14ac:dyDescent="0.45">
      <c r="B63" t="s">
        <v>194</v>
      </c>
      <c r="C63">
        <v>4.4686910835277036</v>
      </c>
      <c r="D63">
        <v>14.3</v>
      </c>
      <c r="E63">
        <v>0.99922</v>
      </c>
      <c r="H63" t="s">
        <v>1916</v>
      </c>
      <c r="I63" t="s">
        <v>1856</v>
      </c>
      <c r="J63">
        <v>9.1662420697407147E-3</v>
      </c>
      <c r="K63" t="s">
        <v>1857</v>
      </c>
      <c r="L63" t="s">
        <v>1856</v>
      </c>
      <c r="P63" t="s">
        <v>1916</v>
      </c>
      <c r="Q63" t="s">
        <v>2033</v>
      </c>
      <c r="R63" t="s">
        <v>2012</v>
      </c>
      <c r="U63" t="s">
        <v>131</v>
      </c>
      <c r="V63" t="s">
        <v>2116</v>
      </c>
      <c r="W63" t="s">
        <v>2109</v>
      </c>
      <c r="X63" t="s">
        <v>2053</v>
      </c>
    </row>
    <row r="64" spans="2:24" x14ac:dyDescent="0.45">
      <c r="B64" t="s">
        <v>195</v>
      </c>
      <c r="C64">
        <v>4.4686910835277036</v>
      </c>
      <c r="D64">
        <v>1.1000000000000001</v>
      </c>
      <c r="E64">
        <v>0.99994000000000005</v>
      </c>
      <c r="H64" t="s">
        <v>1917</v>
      </c>
      <c r="I64" t="s">
        <v>1856</v>
      </c>
      <c r="J64">
        <v>2.8469827895188919E-2</v>
      </c>
      <c r="K64" t="s">
        <v>1857</v>
      </c>
      <c r="L64" t="s">
        <v>1856</v>
      </c>
      <c r="P64" t="s">
        <v>1917</v>
      </c>
      <c r="Q64" t="s">
        <v>2034</v>
      </c>
      <c r="R64" t="s">
        <v>2012</v>
      </c>
      <c r="U64" t="s">
        <v>131</v>
      </c>
      <c r="V64" t="s">
        <v>2117</v>
      </c>
      <c r="W64" t="s">
        <v>2109</v>
      </c>
      <c r="X64" t="s">
        <v>2053</v>
      </c>
    </row>
    <row r="65" spans="2:24" x14ac:dyDescent="0.45">
      <c r="B65" t="s">
        <v>196</v>
      </c>
      <c r="C65">
        <v>4.4686910835277036</v>
      </c>
      <c r="D65">
        <v>2.2000000000000002</v>
      </c>
      <c r="E65">
        <v>0.99987999999999999</v>
      </c>
      <c r="H65" t="s">
        <v>1918</v>
      </c>
      <c r="I65" t="s">
        <v>1856</v>
      </c>
      <c r="J65">
        <v>9.8350236799793298E-3</v>
      </c>
      <c r="K65" t="s">
        <v>1857</v>
      </c>
      <c r="L65" t="s">
        <v>1856</v>
      </c>
      <c r="P65" t="s">
        <v>1918</v>
      </c>
      <c r="Q65" t="s">
        <v>2035</v>
      </c>
      <c r="R65" t="s">
        <v>2012</v>
      </c>
      <c r="U65" t="s">
        <v>131</v>
      </c>
      <c r="V65" t="s">
        <v>2118</v>
      </c>
      <c r="W65" t="s">
        <v>2109</v>
      </c>
      <c r="X65" t="s">
        <v>2053</v>
      </c>
    </row>
    <row r="66" spans="2:24" x14ac:dyDescent="0.45">
      <c r="B66" t="s">
        <v>197</v>
      </c>
      <c r="C66">
        <v>2.2343455417638518</v>
      </c>
      <c r="D66">
        <v>6.6000000000000005</v>
      </c>
      <c r="E66">
        <v>0.99963999999999997</v>
      </c>
      <c r="H66" t="s">
        <v>1919</v>
      </c>
      <c r="I66" t="s">
        <v>1856</v>
      </c>
      <c r="J66">
        <v>1.2444053874835981E-2</v>
      </c>
      <c r="K66" t="s">
        <v>1857</v>
      </c>
      <c r="L66" t="s">
        <v>1856</v>
      </c>
      <c r="P66" t="s">
        <v>1919</v>
      </c>
      <c r="Q66" t="s">
        <v>2036</v>
      </c>
      <c r="R66" t="s">
        <v>2012</v>
      </c>
      <c r="U66" t="s">
        <v>131</v>
      </c>
      <c r="V66" t="s">
        <v>2119</v>
      </c>
      <c r="W66" t="s">
        <v>2109</v>
      </c>
      <c r="X66" t="s">
        <v>2053</v>
      </c>
    </row>
    <row r="67" spans="2:24" x14ac:dyDescent="0.45">
      <c r="B67" t="s">
        <v>198</v>
      </c>
      <c r="C67">
        <v>2.2343455417638518</v>
      </c>
      <c r="D67">
        <v>9.9</v>
      </c>
      <c r="E67">
        <v>0.99946000000000002</v>
      </c>
      <c r="H67" t="s">
        <v>1920</v>
      </c>
      <c r="I67" t="s">
        <v>1856</v>
      </c>
      <c r="J67">
        <v>1.5898040886720397E-2</v>
      </c>
      <c r="K67" t="s">
        <v>1857</v>
      </c>
      <c r="L67" t="s">
        <v>1856</v>
      </c>
      <c r="P67" t="s">
        <v>1920</v>
      </c>
      <c r="Q67" t="s">
        <v>2037</v>
      </c>
      <c r="R67" t="s">
        <v>2012</v>
      </c>
      <c r="U67" t="s">
        <v>131</v>
      </c>
      <c r="V67" t="s">
        <v>2120</v>
      </c>
      <c r="W67" t="s">
        <v>2109</v>
      </c>
      <c r="X67" t="s">
        <v>2053</v>
      </c>
    </row>
    <row r="68" spans="2:24" x14ac:dyDescent="0.45">
      <c r="B68" t="s">
        <v>199</v>
      </c>
      <c r="C68">
        <v>2.2343455417638518</v>
      </c>
      <c r="D68">
        <v>5.5</v>
      </c>
      <c r="E68">
        <v>0.99970000000000003</v>
      </c>
      <c r="H68" t="s">
        <v>1921</v>
      </c>
      <c r="I68" t="s">
        <v>1856</v>
      </c>
      <c r="J68">
        <v>8.4611747199623277E-3</v>
      </c>
      <c r="K68" t="s">
        <v>1857</v>
      </c>
      <c r="L68" t="s">
        <v>1856</v>
      </c>
      <c r="P68" t="s">
        <v>1921</v>
      </c>
      <c r="Q68" t="s">
        <v>2038</v>
      </c>
      <c r="R68" t="s">
        <v>2012</v>
      </c>
      <c r="U68" t="s">
        <v>131</v>
      </c>
      <c r="V68" t="s">
        <v>2121</v>
      </c>
      <c r="W68" t="s">
        <v>2109</v>
      </c>
      <c r="X68" t="s">
        <v>2053</v>
      </c>
    </row>
    <row r="69" spans="2:24" x14ac:dyDescent="0.45">
      <c r="B69" t="s">
        <v>200</v>
      </c>
      <c r="C69">
        <v>2.2343455417638518</v>
      </c>
      <c r="D69">
        <v>8.8000000000000007</v>
      </c>
      <c r="E69">
        <v>0.99951999999999996</v>
      </c>
      <c r="H69" t="s">
        <v>1922</v>
      </c>
      <c r="I69" t="s">
        <v>1856</v>
      </c>
      <c r="J69">
        <v>2.0769615224801072E-2</v>
      </c>
      <c r="K69" t="s">
        <v>1857</v>
      </c>
      <c r="L69" t="s">
        <v>1856</v>
      </c>
      <c r="P69" t="s">
        <v>1922</v>
      </c>
      <c r="Q69" t="s">
        <v>2039</v>
      </c>
      <c r="R69" t="s">
        <v>2012</v>
      </c>
      <c r="U69" t="s">
        <v>131</v>
      </c>
      <c r="V69" t="s">
        <v>2122</v>
      </c>
      <c r="W69" t="s">
        <v>2123</v>
      </c>
      <c r="X69" t="s">
        <v>2053</v>
      </c>
    </row>
    <row r="70" spans="2:24" x14ac:dyDescent="0.45">
      <c r="B70" t="s">
        <v>201</v>
      </c>
      <c r="C70">
        <v>2.2343455417638518</v>
      </c>
      <c r="D70">
        <v>6.6000000000000005</v>
      </c>
      <c r="E70">
        <v>0.99963999999999997</v>
      </c>
      <c r="H70" t="s">
        <v>1923</v>
      </c>
      <c r="I70" t="s">
        <v>1856</v>
      </c>
      <c r="J70">
        <v>1.4329018630693885E-2</v>
      </c>
      <c r="K70" t="s">
        <v>1857</v>
      </c>
      <c r="L70" t="s">
        <v>1856</v>
      </c>
      <c r="P70" t="s">
        <v>1923</v>
      </c>
      <c r="Q70" t="s">
        <v>2040</v>
      </c>
      <c r="R70" t="s">
        <v>2012</v>
      </c>
      <c r="U70" t="s">
        <v>131</v>
      </c>
      <c r="V70" t="s">
        <v>2124</v>
      </c>
      <c r="W70" t="s">
        <v>2123</v>
      </c>
      <c r="X70" t="s">
        <v>2053</v>
      </c>
    </row>
    <row r="71" spans="2:24" x14ac:dyDescent="0.45">
      <c r="B71" t="s">
        <v>202</v>
      </c>
      <c r="C71">
        <v>4.4686910835277036</v>
      </c>
      <c r="D71">
        <v>3.3000000000000003</v>
      </c>
      <c r="E71">
        <v>0.99982000000000004</v>
      </c>
      <c r="H71" t="s">
        <v>1924</v>
      </c>
      <c r="I71" t="s">
        <v>1856</v>
      </c>
      <c r="J71">
        <v>7.8142622928133385E-3</v>
      </c>
      <c r="K71" t="s">
        <v>1857</v>
      </c>
      <c r="L71" t="s">
        <v>1856</v>
      </c>
      <c r="P71" t="s">
        <v>1924</v>
      </c>
      <c r="Q71" t="s">
        <v>2041</v>
      </c>
      <c r="R71" t="s">
        <v>2012</v>
      </c>
      <c r="U71" t="s">
        <v>131</v>
      </c>
      <c r="V71" t="s">
        <v>2125</v>
      </c>
      <c r="W71" t="s">
        <v>2123</v>
      </c>
      <c r="X71" t="s">
        <v>2053</v>
      </c>
    </row>
    <row r="72" spans="2:24" x14ac:dyDescent="0.45">
      <c r="B72" t="s">
        <v>203</v>
      </c>
      <c r="C72">
        <v>0.98311203837609484</v>
      </c>
      <c r="D72">
        <v>7.7000000000000011</v>
      </c>
      <c r="E72">
        <v>0.99958000000000002</v>
      </c>
      <c r="H72" t="s">
        <v>1925</v>
      </c>
      <c r="I72" t="s">
        <v>1856</v>
      </c>
      <c r="J72">
        <v>8.9231764845069412E-3</v>
      </c>
      <c r="K72" t="s">
        <v>1857</v>
      </c>
      <c r="L72" t="s">
        <v>1856</v>
      </c>
      <c r="P72" t="s">
        <v>1925</v>
      </c>
      <c r="Q72" t="s">
        <v>2042</v>
      </c>
      <c r="R72" t="s">
        <v>2012</v>
      </c>
      <c r="U72" t="s">
        <v>131</v>
      </c>
      <c r="V72" t="s">
        <v>2126</v>
      </c>
      <c r="W72" t="s">
        <v>2123</v>
      </c>
      <c r="X72" t="s">
        <v>2053</v>
      </c>
    </row>
    <row r="73" spans="2:24" x14ac:dyDescent="0.45">
      <c r="B73" t="s">
        <v>204</v>
      </c>
      <c r="C73">
        <v>0.98311203837609484</v>
      </c>
      <c r="D73">
        <v>25.3</v>
      </c>
      <c r="E73">
        <v>0.99861999999999995</v>
      </c>
      <c r="H73" t="s">
        <v>1926</v>
      </c>
      <c r="I73" t="s">
        <v>1856</v>
      </c>
      <c r="J73">
        <v>4.4396274285083701E-3</v>
      </c>
      <c r="K73" t="s">
        <v>1857</v>
      </c>
      <c r="L73" t="s">
        <v>1856</v>
      </c>
      <c r="P73" t="s">
        <v>1926</v>
      </c>
      <c r="Q73" t="s">
        <v>2043</v>
      </c>
      <c r="R73" t="s">
        <v>2012</v>
      </c>
      <c r="U73" t="s">
        <v>131</v>
      </c>
      <c r="V73" t="s">
        <v>2127</v>
      </c>
      <c r="W73" t="s">
        <v>2123</v>
      </c>
      <c r="X73" t="s">
        <v>2053</v>
      </c>
    </row>
    <row r="74" spans="2:24" x14ac:dyDescent="0.45">
      <c r="B74" t="s">
        <v>205</v>
      </c>
      <c r="C74">
        <v>2.2343455417638518</v>
      </c>
      <c r="D74">
        <v>9.9</v>
      </c>
      <c r="E74">
        <v>0.99946000000000002</v>
      </c>
      <c r="H74" t="s">
        <v>1927</v>
      </c>
      <c r="I74" t="s">
        <v>1856</v>
      </c>
      <c r="J74">
        <v>1.0550475837370085E-2</v>
      </c>
      <c r="K74" t="s">
        <v>1857</v>
      </c>
      <c r="L74" t="s">
        <v>1856</v>
      </c>
      <c r="P74" t="s">
        <v>1927</v>
      </c>
      <c r="Q74" t="s">
        <v>2044</v>
      </c>
      <c r="R74" t="s">
        <v>2012</v>
      </c>
      <c r="U74" t="s">
        <v>131</v>
      </c>
      <c r="V74" t="s">
        <v>2128</v>
      </c>
      <c r="W74" t="s">
        <v>2123</v>
      </c>
      <c r="X74" t="s">
        <v>2053</v>
      </c>
    </row>
    <row r="75" spans="2:24" x14ac:dyDescent="0.45">
      <c r="B75" t="s">
        <v>206</v>
      </c>
      <c r="C75">
        <v>6.7030366252915554</v>
      </c>
      <c r="D75">
        <v>5.5</v>
      </c>
      <c r="E75">
        <v>0.99970000000000003</v>
      </c>
      <c r="H75" t="s">
        <v>1928</v>
      </c>
      <c r="I75" t="s">
        <v>1856</v>
      </c>
      <c r="J75">
        <v>7.3620955519487462E-3</v>
      </c>
      <c r="K75" t="s">
        <v>1857</v>
      </c>
      <c r="L75" t="s">
        <v>1856</v>
      </c>
      <c r="P75" t="s">
        <v>1928</v>
      </c>
      <c r="Q75" t="s">
        <v>2045</v>
      </c>
      <c r="R75" t="s">
        <v>2012</v>
      </c>
      <c r="U75" t="s">
        <v>131</v>
      </c>
      <c r="V75" t="s">
        <v>2129</v>
      </c>
      <c r="W75" t="s">
        <v>2123</v>
      </c>
      <c r="X75" t="s">
        <v>2053</v>
      </c>
    </row>
    <row r="76" spans="2:24" x14ac:dyDescent="0.45">
      <c r="B76" t="s">
        <v>207</v>
      </c>
      <c r="C76">
        <v>4.4686910835277036</v>
      </c>
      <c r="D76">
        <v>3.3000000000000003</v>
      </c>
      <c r="E76">
        <v>0.99982000000000004</v>
      </c>
      <c r="H76" t="s">
        <v>1929</v>
      </c>
      <c r="I76" t="s">
        <v>1856</v>
      </c>
      <c r="J76">
        <v>8.1856718827157133E-3</v>
      </c>
      <c r="K76" t="s">
        <v>1857</v>
      </c>
      <c r="L76" t="s">
        <v>1856</v>
      </c>
      <c r="P76" t="s">
        <v>1929</v>
      </c>
      <c r="Q76" t="s">
        <v>2046</v>
      </c>
      <c r="R76" t="s">
        <v>2012</v>
      </c>
      <c r="U76" t="s">
        <v>131</v>
      </c>
      <c r="V76" t="s">
        <v>2130</v>
      </c>
      <c r="W76" t="s">
        <v>2123</v>
      </c>
      <c r="X76" t="s">
        <v>2053</v>
      </c>
    </row>
    <row r="77" spans="2:24" x14ac:dyDescent="0.45">
      <c r="B77" t="s">
        <v>208</v>
      </c>
      <c r="C77">
        <v>4.4686910835277036</v>
      </c>
      <c r="D77">
        <v>8.8000000000000007</v>
      </c>
      <c r="E77">
        <v>0.99951999999999996</v>
      </c>
      <c r="H77" t="s">
        <v>1930</v>
      </c>
      <c r="I77" t="s">
        <v>1856</v>
      </c>
      <c r="J77">
        <v>1.0441007747714712E-2</v>
      </c>
      <c r="K77" t="s">
        <v>1857</v>
      </c>
      <c r="L77" t="s">
        <v>1856</v>
      </c>
      <c r="P77" t="s">
        <v>1930</v>
      </c>
      <c r="Q77" t="s">
        <v>2047</v>
      </c>
      <c r="R77" t="s">
        <v>2012</v>
      </c>
      <c r="U77" t="s">
        <v>131</v>
      </c>
      <c r="V77" t="s">
        <v>2131</v>
      </c>
      <c r="W77" t="s">
        <v>2123</v>
      </c>
      <c r="X77" t="s">
        <v>2053</v>
      </c>
    </row>
    <row r="78" spans="2:24" x14ac:dyDescent="0.45">
      <c r="B78" t="s">
        <v>209</v>
      </c>
      <c r="C78">
        <v>2.2343455417638518</v>
      </c>
      <c r="D78">
        <v>3.3000000000000003</v>
      </c>
      <c r="E78">
        <v>0.99982000000000004</v>
      </c>
      <c r="H78" t="s">
        <v>1931</v>
      </c>
      <c r="I78" t="s">
        <v>1856</v>
      </c>
      <c r="J78">
        <v>0.17485368911459809</v>
      </c>
      <c r="K78" t="s">
        <v>1857</v>
      </c>
      <c r="L78" t="s">
        <v>1856</v>
      </c>
      <c r="P78" t="s">
        <v>1931</v>
      </c>
      <c r="Q78" t="s">
        <v>2048</v>
      </c>
      <c r="R78" t="s">
        <v>2012</v>
      </c>
      <c r="U78" t="s">
        <v>131</v>
      </c>
      <c r="V78" t="s">
        <v>2132</v>
      </c>
      <c r="W78" t="s">
        <v>2123</v>
      </c>
      <c r="X78" t="s">
        <v>2053</v>
      </c>
    </row>
    <row r="79" spans="2:24" x14ac:dyDescent="0.45">
      <c r="B79" t="s">
        <v>210</v>
      </c>
      <c r="C79">
        <v>6.7030366252915554</v>
      </c>
      <c r="D79">
        <v>1.1000000000000001</v>
      </c>
      <c r="E79">
        <v>0.99994000000000005</v>
      </c>
      <c r="H79" t="s">
        <v>1932</v>
      </c>
      <c r="I79" t="s">
        <v>1856</v>
      </c>
      <c r="J79">
        <v>4.6650999279047511E-3</v>
      </c>
      <c r="K79" t="s">
        <v>1857</v>
      </c>
      <c r="L79" t="s">
        <v>1856</v>
      </c>
      <c r="P79" t="s">
        <v>1932</v>
      </c>
      <c r="Q79" t="s">
        <v>2049</v>
      </c>
      <c r="R79" t="s">
        <v>2012</v>
      </c>
      <c r="U79" t="s">
        <v>131</v>
      </c>
      <c r="V79" t="s">
        <v>2133</v>
      </c>
      <c r="W79" t="s">
        <v>2123</v>
      </c>
      <c r="X79" t="s">
        <v>2053</v>
      </c>
    </row>
    <row r="80" spans="2:24" x14ac:dyDescent="0.45">
      <c r="B80" t="s">
        <v>211</v>
      </c>
      <c r="C80">
        <v>2.2343455417638518</v>
      </c>
      <c r="D80">
        <v>7.7000000000000011</v>
      </c>
      <c r="E80">
        <v>0.99958000000000002</v>
      </c>
      <c r="H80" t="s">
        <v>1933</v>
      </c>
      <c r="I80" t="s">
        <v>1856</v>
      </c>
      <c r="J80">
        <v>6.7618109109795016E-2</v>
      </c>
      <c r="K80" t="s">
        <v>1857</v>
      </c>
      <c r="L80" t="s">
        <v>1856</v>
      </c>
      <c r="P80" t="s">
        <v>1933</v>
      </c>
      <c r="Q80" t="s">
        <v>2011</v>
      </c>
      <c r="R80" t="s">
        <v>2012</v>
      </c>
      <c r="U80" t="s">
        <v>131</v>
      </c>
      <c r="V80" t="s">
        <v>2134</v>
      </c>
      <c r="W80" t="s">
        <v>2123</v>
      </c>
      <c r="X80" t="s">
        <v>2053</v>
      </c>
    </row>
    <row r="81" spans="2:24" x14ac:dyDescent="0.45">
      <c r="B81" t="s">
        <v>212</v>
      </c>
      <c r="C81">
        <v>2.2343455417638518</v>
      </c>
      <c r="D81">
        <v>1.1000000000000001</v>
      </c>
      <c r="E81">
        <v>0.99994000000000005</v>
      </c>
      <c r="H81" t="s">
        <v>1934</v>
      </c>
      <c r="I81" t="s">
        <v>1856</v>
      </c>
      <c r="J81">
        <v>4.7042771236817285E-2</v>
      </c>
      <c r="K81" t="s">
        <v>1857</v>
      </c>
      <c r="L81" t="s">
        <v>1856</v>
      </c>
      <c r="P81" t="s">
        <v>1934</v>
      </c>
      <c r="Q81" t="s">
        <v>2013</v>
      </c>
      <c r="R81" t="s">
        <v>2012</v>
      </c>
      <c r="U81" t="s">
        <v>131</v>
      </c>
      <c r="V81" t="s">
        <v>2135</v>
      </c>
      <c r="W81" t="s">
        <v>2123</v>
      </c>
      <c r="X81" t="s">
        <v>2053</v>
      </c>
    </row>
    <row r="82" spans="2:24" x14ac:dyDescent="0.45">
      <c r="B82" t="s">
        <v>213</v>
      </c>
      <c r="C82">
        <v>4.4686910835277036</v>
      </c>
      <c r="D82">
        <v>2.2000000000000002</v>
      </c>
      <c r="E82">
        <v>0.99987999999999999</v>
      </c>
      <c r="H82" t="s">
        <v>1935</v>
      </c>
      <c r="I82" t="s">
        <v>1856</v>
      </c>
      <c r="J82">
        <v>1.2412594016480798E-2</v>
      </c>
      <c r="K82" t="s">
        <v>1857</v>
      </c>
      <c r="L82" t="s">
        <v>1856</v>
      </c>
      <c r="P82" t="s">
        <v>1935</v>
      </c>
      <c r="Q82" t="s">
        <v>2014</v>
      </c>
      <c r="R82" t="s">
        <v>2012</v>
      </c>
      <c r="U82" t="s">
        <v>131</v>
      </c>
      <c r="V82" t="s">
        <v>2136</v>
      </c>
      <c r="W82" t="s">
        <v>2137</v>
      </c>
      <c r="X82" t="s">
        <v>2053</v>
      </c>
    </row>
    <row r="83" spans="2:24" x14ac:dyDescent="0.45">
      <c r="B83" t="s">
        <v>214</v>
      </c>
      <c r="C83">
        <v>4.4686910835277036</v>
      </c>
      <c r="D83">
        <v>15.400000000000002</v>
      </c>
      <c r="E83">
        <v>0.99916000000000005</v>
      </c>
      <c r="H83" t="s">
        <v>1936</v>
      </c>
      <c r="I83" t="s">
        <v>1856</v>
      </c>
      <c r="J83">
        <v>7.5610562483815662E-3</v>
      </c>
      <c r="K83" t="s">
        <v>1857</v>
      </c>
      <c r="L83" t="s">
        <v>1856</v>
      </c>
      <c r="P83" t="s">
        <v>1936</v>
      </c>
      <c r="Q83" t="s">
        <v>2015</v>
      </c>
      <c r="R83" t="s">
        <v>2012</v>
      </c>
      <c r="U83" t="s">
        <v>131</v>
      </c>
      <c r="V83" t="s">
        <v>2138</v>
      </c>
      <c r="W83" t="s">
        <v>2137</v>
      </c>
      <c r="X83" t="s">
        <v>2053</v>
      </c>
    </row>
    <row r="84" spans="2:24" x14ac:dyDescent="0.45">
      <c r="B84" t="s">
        <v>215</v>
      </c>
      <c r="C84">
        <v>4.4686910835277036</v>
      </c>
      <c r="D84">
        <v>13.200000000000001</v>
      </c>
      <c r="E84">
        <v>0.99927999999999995</v>
      </c>
      <c r="H84" t="s">
        <v>1937</v>
      </c>
      <c r="I84" t="s">
        <v>1856</v>
      </c>
      <c r="J84">
        <v>5.8215398862009196E-3</v>
      </c>
      <c r="K84" t="s">
        <v>1857</v>
      </c>
      <c r="L84" t="s">
        <v>1856</v>
      </c>
      <c r="P84" t="s">
        <v>1937</v>
      </c>
      <c r="Q84" t="s">
        <v>2016</v>
      </c>
      <c r="R84" t="s">
        <v>2012</v>
      </c>
      <c r="U84" t="s">
        <v>131</v>
      </c>
      <c r="V84" t="s">
        <v>2139</v>
      </c>
      <c r="W84" t="s">
        <v>2137</v>
      </c>
      <c r="X84" t="s">
        <v>2053</v>
      </c>
    </row>
    <row r="85" spans="2:24" x14ac:dyDescent="0.45">
      <c r="B85" t="s">
        <v>216</v>
      </c>
      <c r="C85">
        <v>2.2343455417638518</v>
      </c>
      <c r="D85">
        <v>8.8000000000000007</v>
      </c>
      <c r="E85">
        <v>0.99951999999999996</v>
      </c>
      <c r="H85" t="s">
        <v>1938</v>
      </c>
      <c r="I85" t="s">
        <v>1856</v>
      </c>
      <c r="J85">
        <v>1.0032212850407776E-2</v>
      </c>
      <c r="K85" t="s">
        <v>1857</v>
      </c>
      <c r="L85" t="s">
        <v>1856</v>
      </c>
      <c r="P85" t="s">
        <v>1938</v>
      </c>
      <c r="Q85" t="s">
        <v>2017</v>
      </c>
      <c r="R85" t="s">
        <v>2012</v>
      </c>
      <c r="U85" t="s">
        <v>131</v>
      </c>
      <c r="V85" t="s">
        <v>2140</v>
      </c>
      <c r="W85" t="s">
        <v>2137</v>
      </c>
      <c r="X85" t="s">
        <v>2053</v>
      </c>
    </row>
    <row r="86" spans="2:24" x14ac:dyDescent="0.45">
      <c r="B86" t="s">
        <v>217</v>
      </c>
      <c r="C86">
        <v>4.4686910835277036</v>
      </c>
      <c r="D86">
        <v>1.1000000000000001</v>
      </c>
      <c r="E86">
        <v>0.99994000000000005</v>
      </c>
      <c r="H86" t="s">
        <v>1939</v>
      </c>
      <c r="I86" t="s">
        <v>1856</v>
      </c>
      <c r="J86">
        <v>9.0567128929817265E-3</v>
      </c>
      <c r="K86" t="s">
        <v>1857</v>
      </c>
      <c r="L86" t="s">
        <v>1856</v>
      </c>
      <c r="P86" t="s">
        <v>1939</v>
      </c>
      <c r="Q86" t="s">
        <v>2018</v>
      </c>
      <c r="R86" t="s">
        <v>2012</v>
      </c>
      <c r="U86" t="s">
        <v>131</v>
      </c>
      <c r="V86" t="s">
        <v>2141</v>
      </c>
      <c r="W86" t="s">
        <v>2137</v>
      </c>
      <c r="X86" t="s">
        <v>2053</v>
      </c>
    </row>
    <row r="87" spans="2:24" x14ac:dyDescent="0.45">
      <c r="B87" t="s">
        <v>218</v>
      </c>
      <c r="C87">
        <v>4.4686910835277036</v>
      </c>
      <c r="D87">
        <v>3.3000000000000003</v>
      </c>
      <c r="E87">
        <v>0.99982000000000004</v>
      </c>
      <c r="H87" t="s">
        <v>1940</v>
      </c>
      <c r="I87" t="s">
        <v>1856</v>
      </c>
      <c r="J87">
        <v>9.2526803213380474E-3</v>
      </c>
      <c r="K87" t="s">
        <v>1857</v>
      </c>
      <c r="L87" t="s">
        <v>1856</v>
      </c>
      <c r="P87" t="s">
        <v>1940</v>
      </c>
      <c r="Q87" t="s">
        <v>2019</v>
      </c>
      <c r="R87" t="s">
        <v>2012</v>
      </c>
      <c r="U87" t="s">
        <v>131</v>
      </c>
      <c r="V87" t="s">
        <v>2142</v>
      </c>
      <c r="W87" t="s">
        <v>2137</v>
      </c>
      <c r="X87" t="s">
        <v>2053</v>
      </c>
    </row>
    <row r="88" spans="2:24" x14ac:dyDescent="0.45">
      <c r="B88" t="s">
        <v>219</v>
      </c>
      <c r="C88">
        <v>8.9373821670554072</v>
      </c>
      <c r="D88">
        <v>11</v>
      </c>
      <c r="E88">
        <v>0.99939999999999996</v>
      </c>
      <c r="H88" t="s">
        <v>1941</v>
      </c>
      <c r="I88" t="s">
        <v>1856</v>
      </c>
      <c r="J88">
        <v>1.2224751172903543E-2</v>
      </c>
      <c r="K88" t="s">
        <v>1857</v>
      </c>
      <c r="L88" t="s">
        <v>1856</v>
      </c>
      <c r="P88" t="s">
        <v>1941</v>
      </c>
      <c r="Q88" t="s">
        <v>2020</v>
      </c>
      <c r="R88" t="s">
        <v>2012</v>
      </c>
      <c r="U88" t="s">
        <v>131</v>
      </c>
      <c r="V88" t="s">
        <v>2143</v>
      </c>
      <c r="W88" t="s">
        <v>2137</v>
      </c>
      <c r="X88" t="s">
        <v>2053</v>
      </c>
    </row>
    <row r="89" spans="2:24" x14ac:dyDescent="0.45">
      <c r="B89" t="s">
        <v>220</v>
      </c>
      <c r="C89">
        <v>4.4686910835277036</v>
      </c>
      <c r="D89">
        <v>3.3000000000000003</v>
      </c>
      <c r="E89">
        <v>0.99982000000000004</v>
      </c>
      <c r="H89" t="s">
        <v>1942</v>
      </c>
      <c r="I89" t="s">
        <v>1856</v>
      </c>
      <c r="J89">
        <v>9.2813912600311979E-3</v>
      </c>
      <c r="K89" t="s">
        <v>1857</v>
      </c>
      <c r="L89" t="s">
        <v>1856</v>
      </c>
      <c r="P89" t="s">
        <v>1942</v>
      </c>
      <c r="Q89" t="s">
        <v>2021</v>
      </c>
      <c r="R89" t="s">
        <v>2012</v>
      </c>
      <c r="U89" t="s">
        <v>131</v>
      </c>
      <c r="V89" t="s">
        <v>2144</v>
      </c>
      <c r="W89" t="s">
        <v>2137</v>
      </c>
      <c r="X89" t="s">
        <v>2053</v>
      </c>
    </row>
    <row r="90" spans="2:24" x14ac:dyDescent="0.45">
      <c r="B90" t="s">
        <v>221</v>
      </c>
      <c r="C90">
        <v>4.4686910835277036</v>
      </c>
      <c r="D90">
        <v>2.2000000000000002</v>
      </c>
      <c r="E90">
        <v>0.99987999999999999</v>
      </c>
      <c r="H90" t="s">
        <v>1943</v>
      </c>
      <c r="I90" t="s">
        <v>1856</v>
      </c>
      <c r="J90">
        <v>5.5986330451559194E-3</v>
      </c>
      <c r="K90" t="s">
        <v>1857</v>
      </c>
      <c r="L90" t="s">
        <v>1856</v>
      </c>
      <c r="P90" t="s">
        <v>1943</v>
      </c>
      <c r="Q90" t="s">
        <v>2022</v>
      </c>
      <c r="R90" t="s">
        <v>2012</v>
      </c>
      <c r="U90" t="s">
        <v>131</v>
      </c>
      <c r="V90" t="s">
        <v>2145</v>
      </c>
      <c r="W90" t="s">
        <v>2137</v>
      </c>
      <c r="X90" t="s">
        <v>2053</v>
      </c>
    </row>
    <row r="91" spans="2:24" x14ac:dyDescent="0.45">
      <c r="B91" t="s">
        <v>222</v>
      </c>
      <c r="C91">
        <v>4.4686910835277036</v>
      </c>
      <c r="D91">
        <v>3.3000000000000003</v>
      </c>
      <c r="E91">
        <v>0.99982000000000004</v>
      </c>
      <c r="H91" t="s">
        <v>1944</v>
      </c>
      <c r="I91" t="s">
        <v>1856</v>
      </c>
      <c r="J91">
        <v>1.3464880463134913E-2</v>
      </c>
      <c r="K91" t="s">
        <v>1857</v>
      </c>
      <c r="L91" t="s">
        <v>1856</v>
      </c>
      <c r="P91" t="s">
        <v>1944</v>
      </c>
      <c r="Q91" t="s">
        <v>2023</v>
      </c>
      <c r="R91" t="s">
        <v>2012</v>
      </c>
      <c r="U91" t="s">
        <v>131</v>
      </c>
      <c r="V91" t="s">
        <v>2146</v>
      </c>
      <c r="W91" t="s">
        <v>2137</v>
      </c>
      <c r="X91" t="s">
        <v>2053</v>
      </c>
    </row>
    <row r="92" spans="2:24" x14ac:dyDescent="0.45">
      <c r="B92" t="s">
        <v>223</v>
      </c>
      <c r="C92">
        <v>4.4686910835277036</v>
      </c>
      <c r="D92">
        <v>6.6000000000000005</v>
      </c>
      <c r="E92">
        <v>0.99963999999999997</v>
      </c>
      <c r="H92" t="s">
        <v>1945</v>
      </c>
      <c r="I92" t="s">
        <v>1856</v>
      </c>
      <c r="J92">
        <v>6.4784095112370614E-3</v>
      </c>
      <c r="K92" t="s">
        <v>1857</v>
      </c>
      <c r="L92" t="s">
        <v>1856</v>
      </c>
      <c r="P92" t="s">
        <v>1945</v>
      </c>
      <c r="Q92" t="s">
        <v>2024</v>
      </c>
      <c r="R92" t="s">
        <v>2012</v>
      </c>
      <c r="U92" t="s">
        <v>131</v>
      </c>
      <c r="V92" t="s">
        <v>2147</v>
      </c>
      <c r="W92" t="s">
        <v>2137</v>
      </c>
      <c r="X92" t="s">
        <v>2053</v>
      </c>
    </row>
    <row r="93" spans="2:24" x14ac:dyDescent="0.45">
      <c r="B93" t="s">
        <v>224</v>
      </c>
      <c r="C93">
        <v>2.2343455417638518</v>
      </c>
      <c r="D93">
        <v>1.1000000000000001</v>
      </c>
      <c r="E93">
        <v>0.99994000000000005</v>
      </c>
      <c r="H93" t="s">
        <v>1946</v>
      </c>
      <c r="I93" t="s">
        <v>1856</v>
      </c>
      <c r="J93">
        <v>5.8895298325103377E-3</v>
      </c>
      <c r="K93" t="s">
        <v>1857</v>
      </c>
      <c r="L93" t="s">
        <v>1856</v>
      </c>
      <c r="P93" t="s">
        <v>1946</v>
      </c>
      <c r="Q93" t="s">
        <v>2025</v>
      </c>
      <c r="R93" t="s">
        <v>2012</v>
      </c>
      <c r="U93" t="s">
        <v>131</v>
      </c>
      <c r="V93" t="s">
        <v>2148</v>
      </c>
      <c r="W93" t="s">
        <v>2137</v>
      </c>
      <c r="X93" t="s">
        <v>2053</v>
      </c>
    </row>
    <row r="94" spans="2:24" x14ac:dyDescent="0.45">
      <c r="B94" t="s">
        <v>225</v>
      </c>
      <c r="C94">
        <v>2.2343455417638518</v>
      </c>
      <c r="D94">
        <v>6.6000000000000005</v>
      </c>
      <c r="E94">
        <v>0.99963999999999997</v>
      </c>
      <c r="H94" t="s">
        <v>1947</v>
      </c>
      <c r="I94" t="s">
        <v>1856</v>
      </c>
      <c r="J94">
        <v>3.8743273717722275E-3</v>
      </c>
      <c r="K94" t="s">
        <v>1857</v>
      </c>
      <c r="L94" t="s">
        <v>1856</v>
      </c>
      <c r="P94" t="s">
        <v>1947</v>
      </c>
      <c r="Q94" t="s">
        <v>2026</v>
      </c>
      <c r="R94" t="s">
        <v>2012</v>
      </c>
      <c r="U94" t="s">
        <v>131</v>
      </c>
      <c r="V94" t="s">
        <v>2149</v>
      </c>
      <c r="W94" t="s">
        <v>2137</v>
      </c>
      <c r="X94" t="s">
        <v>2053</v>
      </c>
    </row>
    <row r="95" spans="2:24" x14ac:dyDescent="0.45">
      <c r="B95" t="s">
        <v>226</v>
      </c>
      <c r="C95">
        <v>4.4686910835277036</v>
      </c>
      <c r="D95">
        <v>4.4000000000000004</v>
      </c>
      <c r="E95">
        <v>0.99975999999999998</v>
      </c>
      <c r="H95" t="s">
        <v>1948</v>
      </c>
      <c r="I95" t="s">
        <v>1856</v>
      </c>
      <c r="J95">
        <v>3.3321284213816658E-2</v>
      </c>
      <c r="K95" t="s">
        <v>1857</v>
      </c>
      <c r="L95" t="s">
        <v>1856</v>
      </c>
      <c r="P95" t="s">
        <v>1948</v>
      </c>
      <c r="Q95" t="s">
        <v>2027</v>
      </c>
      <c r="R95" t="s">
        <v>2012</v>
      </c>
      <c r="U95" t="s">
        <v>131</v>
      </c>
      <c r="V95" t="s">
        <v>2150</v>
      </c>
      <c r="W95" t="s">
        <v>2151</v>
      </c>
      <c r="X95" t="s">
        <v>2053</v>
      </c>
    </row>
    <row r="96" spans="2:24" x14ac:dyDescent="0.45">
      <c r="B96" t="s">
        <v>227</v>
      </c>
      <c r="C96">
        <v>4.4686910835277036</v>
      </c>
      <c r="D96">
        <v>1.1000000000000001</v>
      </c>
      <c r="E96">
        <v>0.99994000000000005</v>
      </c>
      <c r="H96" t="s">
        <v>1949</v>
      </c>
      <c r="I96" t="s">
        <v>1856</v>
      </c>
      <c r="J96">
        <v>9.3341705175435646E-3</v>
      </c>
      <c r="K96" t="s">
        <v>1857</v>
      </c>
      <c r="L96" t="s">
        <v>1856</v>
      </c>
      <c r="P96" t="s">
        <v>1949</v>
      </c>
      <c r="Q96" t="s">
        <v>2028</v>
      </c>
      <c r="R96" t="s">
        <v>2012</v>
      </c>
      <c r="U96" t="s">
        <v>131</v>
      </c>
      <c r="V96" t="s">
        <v>2152</v>
      </c>
      <c r="W96" t="s">
        <v>2151</v>
      </c>
      <c r="X96" t="s">
        <v>2053</v>
      </c>
    </row>
    <row r="97" spans="2:24" x14ac:dyDescent="0.45">
      <c r="B97" t="s">
        <v>228</v>
      </c>
      <c r="C97">
        <v>4.4686910835277036</v>
      </c>
      <c r="D97">
        <v>11</v>
      </c>
      <c r="E97">
        <v>0.99939999999999996</v>
      </c>
      <c r="H97" t="s">
        <v>1950</v>
      </c>
      <c r="I97" t="s">
        <v>1856</v>
      </c>
      <c r="J97">
        <v>1.7572194048046625E-2</v>
      </c>
      <c r="K97" t="s">
        <v>1857</v>
      </c>
      <c r="L97" t="s">
        <v>1856</v>
      </c>
      <c r="P97" t="s">
        <v>1950</v>
      </c>
      <c r="Q97" t="s">
        <v>2029</v>
      </c>
      <c r="R97" t="s">
        <v>2012</v>
      </c>
      <c r="U97" t="s">
        <v>131</v>
      </c>
      <c r="V97" t="s">
        <v>2153</v>
      </c>
      <c r="W97" t="s">
        <v>2151</v>
      </c>
      <c r="X97" t="s">
        <v>2053</v>
      </c>
    </row>
    <row r="98" spans="2:24" x14ac:dyDescent="0.45">
      <c r="B98" t="s">
        <v>229</v>
      </c>
      <c r="C98">
        <v>4.4686910835277036</v>
      </c>
      <c r="D98">
        <v>8.8000000000000007</v>
      </c>
      <c r="E98">
        <v>0.99951999999999996</v>
      </c>
      <c r="H98" t="s">
        <v>1951</v>
      </c>
      <c r="I98" t="s">
        <v>1856</v>
      </c>
      <c r="J98">
        <v>1.8772311285418432E-2</v>
      </c>
      <c r="K98" t="s">
        <v>1857</v>
      </c>
      <c r="L98" t="s">
        <v>1856</v>
      </c>
      <c r="P98" t="s">
        <v>1951</v>
      </c>
      <c r="Q98" t="s">
        <v>2030</v>
      </c>
      <c r="R98" t="s">
        <v>2012</v>
      </c>
      <c r="U98" t="s">
        <v>131</v>
      </c>
      <c r="V98" t="s">
        <v>2154</v>
      </c>
      <c r="W98" t="s">
        <v>2151</v>
      </c>
      <c r="X98" t="s">
        <v>2053</v>
      </c>
    </row>
    <row r="99" spans="2:24" x14ac:dyDescent="0.45">
      <c r="B99" t="s">
        <v>230</v>
      </c>
      <c r="C99">
        <v>0.98311203837609484</v>
      </c>
      <c r="D99">
        <v>7.7000000000000011</v>
      </c>
      <c r="E99">
        <v>0.99958000000000002</v>
      </c>
      <c r="H99" t="s">
        <v>1952</v>
      </c>
      <c r="I99" t="s">
        <v>1856</v>
      </c>
      <c r="J99">
        <v>1.0577537424265994E-2</v>
      </c>
      <c r="K99" t="s">
        <v>1857</v>
      </c>
      <c r="L99" t="s">
        <v>1856</v>
      </c>
      <c r="P99" t="s">
        <v>1952</v>
      </c>
      <c r="Q99" t="s">
        <v>2031</v>
      </c>
      <c r="R99" t="s">
        <v>2012</v>
      </c>
      <c r="U99" t="s">
        <v>131</v>
      </c>
      <c r="V99" t="s">
        <v>2155</v>
      </c>
      <c r="W99" t="s">
        <v>2151</v>
      </c>
      <c r="X99" t="s">
        <v>2053</v>
      </c>
    </row>
    <row r="100" spans="2:24" x14ac:dyDescent="0.45">
      <c r="B100" t="s">
        <v>231</v>
      </c>
      <c r="C100">
        <v>2.2343455417638518</v>
      </c>
      <c r="D100">
        <v>2.2000000000000002</v>
      </c>
      <c r="E100">
        <v>0.99987999999999999</v>
      </c>
      <c r="H100" t="s">
        <v>1953</v>
      </c>
      <c r="I100" t="s">
        <v>1856</v>
      </c>
      <c r="J100">
        <v>0.30820480004175532</v>
      </c>
      <c r="K100" t="s">
        <v>1857</v>
      </c>
      <c r="L100" t="s">
        <v>1856</v>
      </c>
      <c r="P100" t="s">
        <v>1953</v>
      </c>
      <c r="Q100" t="s">
        <v>2032</v>
      </c>
      <c r="R100" t="s">
        <v>2012</v>
      </c>
      <c r="U100" t="s">
        <v>131</v>
      </c>
      <c r="V100" t="s">
        <v>2156</v>
      </c>
      <c r="W100" t="s">
        <v>2151</v>
      </c>
      <c r="X100" t="s">
        <v>2053</v>
      </c>
    </row>
    <row r="101" spans="2:24" x14ac:dyDescent="0.45">
      <c r="B101" t="s">
        <v>232</v>
      </c>
      <c r="C101">
        <v>2.2343455417638518</v>
      </c>
      <c r="D101">
        <v>1.1000000000000001</v>
      </c>
      <c r="E101">
        <v>0.99994000000000005</v>
      </c>
      <c r="H101" t="s">
        <v>1954</v>
      </c>
      <c r="I101" t="s">
        <v>1856</v>
      </c>
      <c r="J101">
        <v>9.1662420697407147E-3</v>
      </c>
      <c r="K101" t="s">
        <v>1857</v>
      </c>
      <c r="L101" t="s">
        <v>1856</v>
      </c>
      <c r="P101" t="s">
        <v>1954</v>
      </c>
      <c r="Q101" t="s">
        <v>2033</v>
      </c>
      <c r="R101" t="s">
        <v>2012</v>
      </c>
      <c r="U101" t="s">
        <v>131</v>
      </c>
      <c r="V101" t="s">
        <v>2157</v>
      </c>
      <c r="W101" t="s">
        <v>2151</v>
      </c>
      <c r="X101" t="s">
        <v>2053</v>
      </c>
    </row>
    <row r="102" spans="2:24" x14ac:dyDescent="0.45">
      <c r="B102" t="s">
        <v>233</v>
      </c>
      <c r="C102">
        <v>4.4686910835277036</v>
      </c>
      <c r="D102">
        <v>6.6000000000000005</v>
      </c>
      <c r="E102">
        <v>0.99963999999999997</v>
      </c>
      <c r="H102" t="s">
        <v>1955</v>
      </c>
      <c r="I102" t="s">
        <v>1856</v>
      </c>
      <c r="J102">
        <v>2.8469827895188919E-2</v>
      </c>
      <c r="K102" t="s">
        <v>1857</v>
      </c>
      <c r="L102" t="s">
        <v>1856</v>
      </c>
      <c r="P102" t="s">
        <v>1955</v>
      </c>
      <c r="Q102" t="s">
        <v>2034</v>
      </c>
      <c r="R102" t="s">
        <v>2012</v>
      </c>
      <c r="U102" t="s">
        <v>131</v>
      </c>
      <c r="V102" t="s">
        <v>2158</v>
      </c>
      <c r="W102" t="s">
        <v>2151</v>
      </c>
      <c r="X102" t="s">
        <v>2053</v>
      </c>
    </row>
    <row r="103" spans="2:24" x14ac:dyDescent="0.45">
      <c r="B103" t="s">
        <v>234</v>
      </c>
      <c r="C103">
        <v>4.4686910835277036</v>
      </c>
      <c r="D103">
        <v>2.2000000000000002</v>
      </c>
      <c r="E103">
        <v>0.99987999999999999</v>
      </c>
      <c r="H103" t="s">
        <v>1956</v>
      </c>
      <c r="I103" t="s">
        <v>1856</v>
      </c>
      <c r="J103">
        <v>9.8350236799793298E-3</v>
      </c>
      <c r="K103" t="s">
        <v>1857</v>
      </c>
      <c r="L103" t="s">
        <v>1856</v>
      </c>
      <c r="P103" t="s">
        <v>1956</v>
      </c>
      <c r="Q103" t="s">
        <v>2035</v>
      </c>
      <c r="R103" t="s">
        <v>2012</v>
      </c>
      <c r="U103" t="s">
        <v>131</v>
      </c>
      <c r="V103" t="s">
        <v>2159</v>
      </c>
      <c r="W103" t="s">
        <v>2151</v>
      </c>
      <c r="X103" t="s">
        <v>2053</v>
      </c>
    </row>
    <row r="104" spans="2:24" x14ac:dyDescent="0.45">
      <c r="B104" t="s">
        <v>235</v>
      </c>
      <c r="C104">
        <v>4.4686910835277036</v>
      </c>
      <c r="D104">
        <v>8.8000000000000007</v>
      </c>
      <c r="E104">
        <v>0.99951999999999996</v>
      </c>
      <c r="H104" t="s">
        <v>1957</v>
      </c>
      <c r="I104" t="s">
        <v>1856</v>
      </c>
      <c r="J104">
        <v>1.2444053874835981E-2</v>
      </c>
      <c r="K104" t="s">
        <v>1857</v>
      </c>
      <c r="L104" t="s">
        <v>1856</v>
      </c>
      <c r="P104" t="s">
        <v>1957</v>
      </c>
      <c r="Q104" t="s">
        <v>2036</v>
      </c>
      <c r="R104" t="s">
        <v>2012</v>
      </c>
      <c r="U104" t="s">
        <v>131</v>
      </c>
      <c r="V104" t="s">
        <v>2160</v>
      </c>
      <c r="W104" t="s">
        <v>2151</v>
      </c>
      <c r="X104" t="s">
        <v>2053</v>
      </c>
    </row>
    <row r="105" spans="2:24" x14ac:dyDescent="0.45">
      <c r="B105" t="s">
        <v>236</v>
      </c>
      <c r="C105">
        <v>4.4686910835277036</v>
      </c>
      <c r="D105">
        <v>1.1000000000000001</v>
      </c>
      <c r="E105">
        <v>0.99994000000000005</v>
      </c>
      <c r="H105" t="s">
        <v>1958</v>
      </c>
      <c r="I105" t="s">
        <v>1856</v>
      </c>
      <c r="J105">
        <v>1.5898040886720397E-2</v>
      </c>
      <c r="K105" t="s">
        <v>1857</v>
      </c>
      <c r="L105" t="s">
        <v>1856</v>
      </c>
      <c r="P105" t="s">
        <v>1958</v>
      </c>
      <c r="Q105" t="s">
        <v>2037</v>
      </c>
      <c r="R105" t="s">
        <v>2012</v>
      </c>
      <c r="U105" t="s">
        <v>131</v>
      </c>
      <c r="V105" t="s">
        <v>2161</v>
      </c>
      <c r="W105" t="s">
        <v>2151</v>
      </c>
      <c r="X105" t="s">
        <v>2053</v>
      </c>
    </row>
    <row r="106" spans="2:24" x14ac:dyDescent="0.45">
      <c r="B106" t="s">
        <v>237</v>
      </c>
      <c r="C106">
        <v>2.2343455417638518</v>
      </c>
      <c r="D106">
        <v>3.3000000000000003</v>
      </c>
      <c r="E106">
        <v>0.99982000000000004</v>
      </c>
      <c r="H106" t="s">
        <v>1959</v>
      </c>
      <c r="I106" t="s">
        <v>1856</v>
      </c>
      <c r="J106">
        <v>8.4611747199623277E-3</v>
      </c>
      <c r="K106" t="s">
        <v>1857</v>
      </c>
      <c r="L106" t="s">
        <v>1856</v>
      </c>
      <c r="P106" t="s">
        <v>1959</v>
      </c>
      <c r="Q106" t="s">
        <v>2038</v>
      </c>
      <c r="R106" t="s">
        <v>2012</v>
      </c>
      <c r="U106" t="s">
        <v>131</v>
      </c>
      <c r="V106" t="s">
        <v>2162</v>
      </c>
      <c r="W106" t="s">
        <v>2151</v>
      </c>
      <c r="X106" t="s">
        <v>2053</v>
      </c>
    </row>
    <row r="107" spans="2:24" x14ac:dyDescent="0.45">
      <c r="B107" t="s">
        <v>238</v>
      </c>
      <c r="C107">
        <v>4.4686910835277036</v>
      </c>
      <c r="D107">
        <v>4.4000000000000004</v>
      </c>
      <c r="E107">
        <v>0.99975999999999998</v>
      </c>
      <c r="H107" t="s">
        <v>1960</v>
      </c>
      <c r="I107" t="s">
        <v>1856</v>
      </c>
      <c r="J107">
        <v>2.0769615224801072E-2</v>
      </c>
      <c r="K107" t="s">
        <v>1857</v>
      </c>
      <c r="L107" t="s">
        <v>1856</v>
      </c>
      <c r="P107" t="s">
        <v>1960</v>
      </c>
      <c r="Q107" t="s">
        <v>2039</v>
      </c>
      <c r="R107" t="s">
        <v>2012</v>
      </c>
      <c r="U107" t="s">
        <v>131</v>
      </c>
      <c r="V107" t="s">
        <v>2163</v>
      </c>
      <c r="W107" t="s">
        <v>2151</v>
      </c>
      <c r="X107" t="s">
        <v>2053</v>
      </c>
    </row>
    <row r="108" spans="2:24" x14ac:dyDescent="0.45">
      <c r="B108" t="s">
        <v>239</v>
      </c>
      <c r="C108">
        <v>4.4686910835277036</v>
      </c>
      <c r="D108">
        <v>4.4000000000000004</v>
      </c>
      <c r="E108">
        <v>0.99975999999999998</v>
      </c>
      <c r="H108" t="s">
        <v>1961</v>
      </c>
      <c r="I108" t="s">
        <v>1856</v>
      </c>
      <c r="J108">
        <v>1.4329018630693885E-2</v>
      </c>
      <c r="K108" t="s">
        <v>1857</v>
      </c>
      <c r="L108" t="s">
        <v>1856</v>
      </c>
      <c r="P108" t="s">
        <v>1961</v>
      </c>
      <c r="Q108" t="s">
        <v>2040</v>
      </c>
      <c r="R108" t="s">
        <v>2012</v>
      </c>
      <c r="U108" t="s">
        <v>131</v>
      </c>
      <c r="V108" t="s">
        <v>2164</v>
      </c>
      <c r="W108" t="s">
        <v>2165</v>
      </c>
      <c r="X108" t="s">
        <v>2053</v>
      </c>
    </row>
    <row r="109" spans="2:24" x14ac:dyDescent="0.45">
      <c r="B109" t="s">
        <v>240</v>
      </c>
      <c r="C109">
        <v>4.4686910835277036</v>
      </c>
      <c r="D109">
        <v>3.3000000000000003</v>
      </c>
      <c r="E109">
        <v>0.99982000000000004</v>
      </c>
      <c r="H109" t="s">
        <v>1962</v>
      </c>
      <c r="I109" t="s">
        <v>1856</v>
      </c>
      <c r="J109">
        <v>7.8142622928133385E-3</v>
      </c>
      <c r="K109" t="s">
        <v>1857</v>
      </c>
      <c r="L109" t="s">
        <v>1856</v>
      </c>
      <c r="P109" t="s">
        <v>1962</v>
      </c>
      <c r="Q109" t="s">
        <v>2041</v>
      </c>
      <c r="R109" t="s">
        <v>2012</v>
      </c>
      <c r="U109" t="s">
        <v>131</v>
      </c>
      <c r="V109" t="s">
        <v>2166</v>
      </c>
      <c r="W109" t="s">
        <v>2165</v>
      </c>
      <c r="X109" t="s">
        <v>2053</v>
      </c>
    </row>
    <row r="110" spans="2:24" x14ac:dyDescent="0.45">
      <c r="B110" t="s">
        <v>241</v>
      </c>
      <c r="C110">
        <v>4.4686910835277036</v>
      </c>
      <c r="D110">
        <v>6.6000000000000005</v>
      </c>
      <c r="E110">
        <v>0.99963999999999997</v>
      </c>
      <c r="H110" t="s">
        <v>1963</v>
      </c>
      <c r="I110" t="s">
        <v>1856</v>
      </c>
      <c r="J110">
        <v>8.9231764845069412E-3</v>
      </c>
      <c r="K110" t="s">
        <v>1857</v>
      </c>
      <c r="L110" t="s">
        <v>1856</v>
      </c>
      <c r="P110" t="s">
        <v>1963</v>
      </c>
      <c r="Q110" t="s">
        <v>2042</v>
      </c>
      <c r="R110" t="s">
        <v>2012</v>
      </c>
      <c r="U110" t="s">
        <v>131</v>
      </c>
      <c r="V110" t="s">
        <v>2167</v>
      </c>
      <c r="W110" t="s">
        <v>2165</v>
      </c>
      <c r="X110" t="s">
        <v>2053</v>
      </c>
    </row>
    <row r="111" spans="2:24" x14ac:dyDescent="0.45">
      <c r="B111" t="s">
        <v>242</v>
      </c>
      <c r="C111">
        <v>4.4686910835277036</v>
      </c>
      <c r="D111">
        <v>5.5</v>
      </c>
      <c r="E111">
        <v>0.99970000000000003</v>
      </c>
      <c r="H111" t="s">
        <v>1964</v>
      </c>
      <c r="I111" t="s">
        <v>1856</v>
      </c>
      <c r="J111">
        <v>4.4396274285083701E-3</v>
      </c>
      <c r="K111" t="s">
        <v>1857</v>
      </c>
      <c r="L111" t="s">
        <v>1856</v>
      </c>
      <c r="P111" t="s">
        <v>1964</v>
      </c>
      <c r="Q111" t="s">
        <v>2043</v>
      </c>
      <c r="R111" t="s">
        <v>2012</v>
      </c>
      <c r="U111" t="s">
        <v>131</v>
      </c>
      <c r="V111" t="s">
        <v>2168</v>
      </c>
      <c r="W111" t="s">
        <v>2165</v>
      </c>
      <c r="X111" t="s">
        <v>2053</v>
      </c>
    </row>
    <row r="112" spans="2:24" x14ac:dyDescent="0.45">
      <c r="B112" t="s">
        <v>243</v>
      </c>
      <c r="C112">
        <v>13.406073250583111</v>
      </c>
      <c r="D112">
        <v>5.5</v>
      </c>
      <c r="E112">
        <v>0.99970000000000003</v>
      </c>
      <c r="H112" t="s">
        <v>1965</v>
      </c>
      <c r="I112" t="s">
        <v>1856</v>
      </c>
      <c r="J112">
        <v>1.0550475837370085E-2</v>
      </c>
      <c r="K112" t="s">
        <v>1857</v>
      </c>
      <c r="L112" t="s">
        <v>1856</v>
      </c>
      <c r="P112" t="s">
        <v>1965</v>
      </c>
      <c r="Q112" t="s">
        <v>2044</v>
      </c>
      <c r="R112" t="s">
        <v>2012</v>
      </c>
      <c r="U112" t="s">
        <v>131</v>
      </c>
      <c r="V112" t="s">
        <v>2169</v>
      </c>
      <c r="W112" t="s">
        <v>2165</v>
      </c>
      <c r="X112" t="s">
        <v>2053</v>
      </c>
    </row>
    <row r="113" spans="2:24" x14ac:dyDescent="0.45">
      <c r="B113" t="s">
        <v>244</v>
      </c>
      <c r="C113">
        <v>4.4686910835277036</v>
      </c>
      <c r="D113">
        <v>1.1000000000000001</v>
      </c>
      <c r="E113">
        <v>0.99994000000000005</v>
      </c>
      <c r="H113" t="s">
        <v>1966</v>
      </c>
      <c r="I113" t="s">
        <v>1856</v>
      </c>
      <c r="J113">
        <v>7.3620955519487462E-3</v>
      </c>
      <c r="K113" t="s">
        <v>1857</v>
      </c>
      <c r="L113" t="s">
        <v>1856</v>
      </c>
      <c r="P113" t="s">
        <v>1966</v>
      </c>
      <c r="Q113" t="s">
        <v>2045</v>
      </c>
      <c r="R113" t="s">
        <v>2012</v>
      </c>
      <c r="U113" t="s">
        <v>131</v>
      </c>
      <c r="V113" t="s">
        <v>2170</v>
      </c>
      <c r="W113" t="s">
        <v>2165</v>
      </c>
      <c r="X113" t="s">
        <v>2053</v>
      </c>
    </row>
    <row r="114" spans="2:24" x14ac:dyDescent="0.45">
      <c r="B114" t="s">
        <v>245</v>
      </c>
      <c r="C114">
        <v>4.4686910835277036</v>
      </c>
      <c r="D114">
        <v>3.3000000000000003</v>
      </c>
      <c r="E114">
        <v>0.99982000000000004</v>
      </c>
      <c r="H114" t="s">
        <v>1967</v>
      </c>
      <c r="I114" t="s">
        <v>1856</v>
      </c>
      <c r="J114">
        <v>8.1856718827157133E-3</v>
      </c>
      <c r="K114" t="s">
        <v>1857</v>
      </c>
      <c r="L114" t="s">
        <v>1856</v>
      </c>
      <c r="P114" t="s">
        <v>1967</v>
      </c>
      <c r="Q114" t="s">
        <v>2046</v>
      </c>
      <c r="R114" t="s">
        <v>2012</v>
      </c>
      <c r="U114" t="s">
        <v>131</v>
      </c>
      <c r="V114" t="s">
        <v>2171</v>
      </c>
      <c r="W114" t="s">
        <v>2165</v>
      </c>
      <c r="X114" t="s">
        <v>2053</v>
      </c>
    </row>
    <row r="115" spans="2:24" x14ac:dyDescent="0.45">
      <c r="B115" t="s">
        <v>246</v>
      </c>
      <c r="C115">
        <v>4.4686910835277036</v>
      </c>
      <c r="D115">
        <v>5.5</v>
      </c>
      <c r="E115">
        <v>0.99970000000000003</v>
      </c>
      <c r="H115" t="s">
        <v>1968</v>
      </c>
      <c r="I115" t="s">
        <v>1856</v>
      </c>
      <c r="J115">
        <v>1.0441007747714712E-2</v>
      </c>
      <c r="K115" t="s">
        <v>1857</v>
      </c>
      <c r="L115" t="s">
        <v>1856</v>
      </c>
      <c r="P115" t="s">
        <v>1968</v>
      </c>
      <c r="Q115" t="s">
        <v>2047</v>
      </c>
      <c r="R115" t="s">
        <v>2012</v>
      </c>
      <c r="U115" t="s">
        <v>131</v>
      </c>
      <c r="V115" t="s">
        <v>2172</v>
      </c>
      <c r="W115" t="s">
        <v>2165</v>
      </c>
      <c r="X115" t="s">
        <v>2053</v>
      </c>
    </row>
    <row r="116" spans="2:24" x14ac:dyDescent="0.45">
      <c r="B116" t="s">
        <v>247</v>
      </c>
      <c r="C116">
        <v>4.4686910835277036</v>
      </c>
      <c r="D116">
        <v>6.6000000000000005</v>
      </c>
      <c r="E116">
        <v>0.99963999999999997</v>
      </c>
      <c r="H116" t="s">
        <v>1969</v>
      </c>
      <c r="I116" t="s">
        <v>1856</v>
      </c>
      <c r="J116">
        <v>0.17485368911459809</v>
      </c>
      <c r="K116" t="s">
        <v>1857</v>
      </c>
      <c r="L116" t="s">
        <v>1856</v>
      </c>
      <c r="P116" t="s">
        <v>1969</v>
      </c>
      <c r="Q116" t="s">
        <v>2048</v>
      </c>
      <c r="R116" t="s">
        <v>2012</v>
      </c>
      <c r="U116" t="s">
        <v>131</v>
      </c>
      <c r="V116" t="s">
        <v>2173</v>
      </c>
      <c r="W116" t="s">
        <v>2165</v>
      </c>
      <c r="X116" t="s">
        <v>2053</v>
      </c>
    </row>
    <row r="117" spans="2:24" x14ac:dyDescent="0.45">
      <c r="B117" t="s">
        <v>248</v>
      </c>
      <c r="C117">
        <v>4.4686910835277036</v>
      </c>
      <c r="D117">
        <v>2.2000000000000002</v>
      </c>
      <c r="E117">
        <v>0.99987999999999999</v>
      </c>
      <c r="H117" t="s">
        <v>1970</v>
      </c>
      <c r="I117" t="s">
        <v>1856</v>
      </c>
      <c r="J117">
        <v>4.6650999279047511E-3</v>
      </c>
      <c r="K117" t="s">
        <v>1857</v>
      </c>
      <c r="L117" t="s">
        <v>1856</v>
      </c>
      <c r="P117" t="s">
        <v>1970</v>
      </c>
      <c r="Q117" t="s">
        <v>2049</v>
      </c>
      <c r="R117" t="s">
        <v>2012</v>
      </c>
      <c r="U117" t="s">
        <v>131</v>
      </c>
      <c r="V117" t="s">
        <v>2174</v>
      </c>
      <c r="W117" t="s">
        <v>2165</v>
      </c>
      <c r="X117" t="s">
        <v>2053</v>
      </c>
    </row>
    <row r="118" spans="2:24" x14ac:dyDescent="0.45">
      <c r="B118" t="s">
        <v>249</v>
      </c>
      <c r="C118">
        <v>4.4686910835277036</v>
      </c>
      <c r="D118">
        <v>13.200000000000001</v>
      </c>
      <c r="E118">
        <v>0.99927999999999995</v>
      </c>
      <c r="H118" t="s">
        <v>1971</v>
      </c>
      <c r="I118" t="s">
        <v>1856</v>
      </c>
      <c r="J118">
        <v>6.7618109109795016E-2</v>
      </c>
      <c r="K118" t="s">
        <v>1857</v>
      </c>
      <c r="L118" t="s">
        <v>1856</v>
      </c>
      <c r="P118" t="s">
        <v>1971</v>
      </c>
      <c r="Q118" t="s">
        <v>2011</v>
      </c>
      <c r="R118" t="s">
        <v>2012</v>
      </c>
      <c r="U118" t="s">
        <v>131</v>
      </c>
      <c r="V118" t="s">
        <v>2175</v>
      </c>
      <c r="W118" t="s">
        <v>2165</v>
      </c>
      <c r="X118" t="s">
        <v>2053</v>
      </c>
    </row>
    <row r="119" spans="2:24" x14ac:dyDescent="0.45">
      <c r="B119" t="s">
        <v>250</v>
      </c>
      <c r="C119">
        <v>4.4686910835277036</v>
      </c>
      <c r="D119">
        <v>11</v>
      </c>
      <c r="E119">
        <v>0.99939999999999996</v>
      </c>
      <c r="H119" t="s">
        <v>1972</v>
      </c>
      <c r="I119" t="s">
        <v>1856</v>
      </c>
      <c r="J119">
        <v>4.7042771236817285E-2</v>
      </c>
      <c r="K119" t="s">
        <v>1857</v>
      </c>
      <c r="L119" t="s">
        <v>1856</v>
      </c>
      <c r="P119" t="s">
        <v>1972</v>
      </c>
      <c r="Q119" t="s">
        <v>2013</v>
      </c>
      <c r="R119" t="s">
        <v>2012</v>
      </c>
      <c r="U119" t="s">
        <v>131</v>
      </c>
      <c r="V119" t="s">
        <v>2176</v>
      </c>
      <c r="W119" t="s">
        <v>2165</v>
      </c>
      <c r="X119" t="s">
        <v>2053</v>
      </c>
    </row>
    <row r="120" spans="2:24" x14ac:dyDescent="0.45">
      <c r="B120" t="s">
        <v>251</v>
      </c>
      <c r="C120">
        <v>2.2343455417638518</v>
      </c>
      <c r="D120">
        <v>3.3000000000000003</v>
      </c>
      <c r="E120">
        <v>0.99982000000000004</v>
      </c>
      <c r="H120" t="s">
        <v>1973</v>
      </c>
      <c r="I120" t="s">
        <v>1856</v>
      </c>
      <c r="J120">
        <v>1.2412594016480798E-2</v>
      </c>
      <c r="K120" t="s">
        <v>1857</v>
      </c>
      <c r="L120" t="s">
        <v>1856</v>
      </c>
      <c r="P120" t="s">
        <v>1973</v>
      </c>
      <c r="Q120" t="s">
        <v>2014</v>
      </c>
      <c r="R120" t="s">
        <v>2012</v>
      </c>
      <c r="U120" t="s">
        <v>131</v>
      </c>
      <c r="V120" t="s">
        <v>2177</v>
      </c>
      <c r="W120" t="s">
        <v>2165</v>
      </c>
      <c r="X120" t="s">
        <v>2053</v>
      </c>
    </row>
    <row r="121" spans="2:24" x14ac:dyDescent="0.45">
      <c r="B121" t="s">
        <v>252</v>
      </c>
      <c r="C121">
        <v>2.2343455417638518</v>
      </c>
      <c r="D121">
        <v>11</v>
      </c>
      <c r="E121">
        <v>0.99939999999999996</v>
      </c>
      <c r="H121" t="s">
        <v>1974</v>
      </c>
      <c r="I121" t="s">
        <v>1856</v>
      </c>
      <c r="J121">
        <v>7.5610562483815662E-3</v>
      </c>
      <c r="K121" t="s">
        <v>1857</v>
      </c>
      <c r="L121" t="s">
        <v>1856</v>
      </c>
      <c r="P121" t="s">
        <v>1974</v>
      </c>
      <c r="Q121" t="s">
        <v>2015</v>
      </c>
      <c r="R121" t="s">
        <v>2012</v>
      </c>
      <c r="U121" t="s">
        <v>131</v>
      </c>
      <c r="V121" t="s">
        <v>2178</v>
      </c>
      <c r="W121" t="s">
        <v>2179</v>
      </c>
      <c r="X121" t="s">
        <v>2053</v>
      </c>
    </row>
    <row r="122" spans="2:24" x14ac:dyDescent="0.45">
      <c r="B122" t="s">
        <v>253</v>
      </c>
      <c r="C122">
        <v>4.4686910835277036</v>
      </c>
      <c r="D122">
        <v>4.4000000000000004</v>
      </c>
      <c r="E122">
        <v>0.99975999999999998</v>
      </c>
      <c r="H122" t="s">
        <v>1975</v>
      </c>
      <c r="I122" t="s">
        <v>1856</v>
      </c>
      <c r="J122">
        <v>5.8215398862009196E-3</v>
      </c>
      <c r="K122" t="s">
        <v>1857</v>
      </c>
      <c r="L122" t="s">
        <v>1856</v>
      </c>
      <c r="P122" t="s">
        <v>1975</v>
      </c>
      <c r="Q122" t="s">
        <v>2016</v>
      </c>
      <c r="R122" t="s">
        <v>2012</v>
      </c>
      <c r="U122" t="s">
        <v>131</v>
      </c>
      <c r="V122" t="s">
        <v>2180</v>
      </c>
      <c r="W122" t="s">
        <v>2179</v>
      </c>
      <c r="X122" t="s">
        <v>2053</v>
      </c>
    </row>
    <row r="123" spans="2:24" x14ac:dyDescent="0.45">
      <c r="B123" t="s">
        <v>254</v>
      </c>
      <c r="C123">
        <v>4.4686910835277036</v>
      </c>
      <c r="D123">
        <v>3.3000000000000003</v>
      </c>
      <c r="E123">
        <v>0.99982000000000004</v>
      </c>
      <c r="H123" t="s">
        <v>1976</v>
      </c>
      <c r="I123" t="s">
        <v>1856</v>
      </c>
      <c r="J123">
        <v>1.0032212850407776E-2</v>
      </c>
      <c r="K123" t="s">
        <v>1857</v>
      </c>
      <c r="L123" t="s">
        <v>1856</v>
      </c>
      <c r="P123" t="s">
        <v>1976</v>
      </c>
      <c r="Q123" t="s">
        <v>2017</v>
      </c>
      <c r="R123" t="s">
        <v>2012</v>
      </c>
      <c r="U123" t="s">
        <v>131</v>
      </c>
      <c r="V123" t="s">
        <v>2181</v>
      </c>
      <c r="W123" t="s">
        <v>2179</v>
      </c>
      <c r="X123" t="s">
        <v>2053</v>
      </c>
    </row>
    <row r="124" spans="2:24" x14ac:dyDescent="0.45">
      <c r="B124" t="s">
        <v>255</v>
      </c>
      <c r="C124">
        <v>4.4686910835277036</v>
      </c>
      <c r="D124">
        <v>8.8000000000000007</v>
      </c>
      <c r="E124">
        <v>0.99951999999999996</v>
      </c>
      <c r="H124" t="s">
        <v>1977</v>
      </c>
      <c r="I124" t="s">
        <v>1856</v>
      </c>
      <c r="J124">
        <v>9.0567128929817265E-3</v>
      </c>
      <c r="K124" t="s">
        <v>1857</v>
      </c>
      <c r="L124" t="s">
        <v>1856</v>
      </c>
      <c r="P124" t="s">
        <v>1977</v>
      </c>
      <c r="Q124" t="s">
        <v>2018</v>
      </c>
      <c r="R124" t="s">
        <v>2012</v>
      </c>
      <c r="U124" t="s">
        <v>131</v>
      </c>
      <c r="V124" t="s">
        <v>2182</v>
      </c>
      <c r="W124" t="s">
        <v>2179</v>
      </c>
      <c r="X124" t="s">
        <v>2053</v>
      </c>
    </row>
    <row r="125" spans="2:24" x14ac:dyDescent="0.45">
      <c r="B125" t="s">
        <v>256</v>
      </c>
      <c r="C125">
        <v>4.4686910835277036</v>
      </c>
      <c r="D125">
        <v>12.100000000000001</v>
      </c>
      <c r="E125">
        <v>0.99934000000000001</v>
      </c>
      <c r="H125" t="s">
        <v>1978</v>
      </c>
      <c r="I125" t="s">
        <v>1856</v>
      </c>
      <c r="J125">
        <v>9.2526803213380474E-3</v>
      </c>
      <c r="K125" t="s">
        <v>1857</v>
      </c>
      <c r="L125" t="s">
        <v>1856</v>
      </c>
      <c r="P125" t="s">
        <v>1978</v>
      </c>
      <c r="Q125" t="s">
        <v>2019</v>
      </c>
      <c r="R125" t="s">
        <v>2012</v>
      </c>
      <c r="U125" t="s">
        <v>131</v>
      </c>
      <c r="V125" t="s">
        <v>2183</v>
      </c>
      <c r="W125" t="s">
        <v>2179</v>
      </c>
      <c r="X125" t="s">
        <v>2053</v>
      </c>
    </row>
    <row r="126" spans="2:24" x14ac:dyDescent="0.45">
      <c r="B126" t="s">
        <v>257</v>
      </c>
      <c r="C126">
        <v>1.0277989492113717</v>
      </c>
      <c r="D126">
        <v>84.7</v>
      </c>
      <c r="E126">
        <v>0.99538000000000004</v>
      </c>
      <c r="H126" t="s">
        <v>1979</v>
      </c>
      <c r="I126" t="s">
        <v>1856</v>
      </c>
      <c r="J126">
        <v>1.2224751172903543E-2</v>
      </c>
      <c r="K126" t="s">
        <v>1857</v>
      </c>
      <c r="L126" t="s">
        <v>1856</v>
      </c>
      <c r="P126" t="s">
        <v>1979</v>
      </c>
      <c r="Q126" t="s">
        <v>2020</v>
      </c>
      <c r="R126" t="s">
        <v>2012</v>
      </c>
      <c r="U126" t="s">
        <v>131</v>
      </c>
      <c r="V126" t="s">
        <v>2184</v>
      </c>
      <c r="W126" t="s">
        <v>2179</v>
      </c>
      <c r="X126" t="s">
        <v>2053</v>
      </c>
    </row>
    <row r="127" spans="2:24" x14ac:dyDescent="0.45">
      <c r="B127" t="s">
        <v>258</v>
      </c>
      <c r="C127">
        <v>4.4686910835277036</v>
      </c>
      <c r="D127">
        <v>5.5</v>
      </c>
      <c r="E127">
        <v>0.99970000000000003</v>
      </c>
      <c r="H127" t="s">
        <v>1980</v>
      </c>
      <c r="I127" t="s">
        <v>1856</v>
      </c>
      <c r="J127">
        <v>9.2813912600311979E-3</v>
      </c>
      <c r="K127" t="s">
        <v>1857</v>
      </c>
      <c r="L127" t="s">
        <v>1856</v>
      </c>
      <c r="P127" t="s">
        <v>1980</v>
      </c>
      <c r="Q127" t="s">
        <v>2021</v>
      </c>
      <c r="R127" t="s">
        <v>2012</v>
      </c>
      <c r="U127" t="s">
        <v>131</v>
      </c>
      <c r="V127" t="s">
        <v>2185</v>
      </c>
      <c r="W127" t="s">
        <v>2179</v>
      </c>
      <c r="X127" t="s">
        <v>2053</v>
      </c>
    </row>
    <row r="128" spans="2:24" x14ac:dyDescent="0.45">
      <c r="B128" t="s">
        <v>259</v>
      </c>
      <c r="C128">
        <v>4.4686910835277036</v>
      </c>
      <c r="D128">
        <v>3.3000000000000003</v>
      </c>
      <c r="E128">
        <v>0.99982000000000004</v>
      </c>
      <c r="H128" t="s">
        <v>1981</v>
      </c>
      <c r="I128" t="s">
        <v>1856</v>
      </c>
      <c r="J128">
        <v>5.5986330451559194E-3</v>
      </c>
      <c r="K128" t="s">
        <v>1857</v>
      </c>
      <c r="L128" t="s">
        <v>1856</v>
      </c>
      <c r="P128" t="s">
        <v>1981</v>
      </c>
      <c r="Q128" t="s">
        <v>2022</v>
      </c>
      <c r="R128" t="s">
        <v>2012</v>
      </c>
      <c r="U128" t="s">
        <v>131</v>
      </c>
      <c r="V128" t="s">
        <v>2186</v>
      </c>
      <c r="W128" t="s">
        <v>2179</v>
      </c>
      <c r="X128" t="s">
        <v>2053</v>
      </c>
    </row>
    <row r="129" spans="2:24" x14ac:dyDescent="0.45">
      <c r="B129" t="s">
        <v>260</v>
      </c>
      <c r="C129">
        <v>4.4686910835277036</v>
      </c>
      <c r="D129">
        <v>5.5</v>
      </c>
      <c r="E129">
        <v>0.99970000000000003</v>
      </c>
      <c r="H129" t="s">
        <v>1982</v>
      </c>
      <c r="I129" t="s">
        <v>1856</v>
      </c>
      <c r="J129">
        <v>1.3464880463134913E-2</v>
      </c>
      <c r="K129" t="s">
        <v>1857</v>
      </c>
      <c r="L129" t="s">
        <v>1856</v>
      </c>
      <c r="P129" t="s">
        <v>1982</v>
      </c>
      <c r="Q129" t="s">
        <v>2023</v>
      </c>
      <c r="R129" t="s">
        <v>2012</v>
      </c>
      <c r="U129" t="s">
        <v>131</v>
      </c>
      <c r="V129" t="s">
        <v>2187</v>
      </c>
      <c r="W129" t="s">
        <v>2179</v>
      </c>
      <c r="X129" t="s">
        <v>2053</v>
      </c>
    </row>
    <row r="130" spans="2:24" x14ac:dyDescent="0.45">
      <c r="B130" t="s">
        <v>261</v>
      </c>
      <c r="C130">
        <v>4.4686910835277036</v>
      </c>
      <c r="D130">
        <v>1.1000000000000001</v>
      </c>
      <c r="E130">
        <v>0.99994000000000005</v>
      </c>
      <c r="H130" t="s">
        <v>1983</v>
      </c>
      <c r="I130" t="s">
        <v>1856</v>
      </c>
      <c r="J130">
        <v>6.4784095112370614E-3</v>
      </c>
      <c r="K130" t="s">
        <v>1857</v>
      </c>
      <c r="L130" t="s">
        <v>1856</v>
      </c>
      <c r="P130" t="s">
        <v>1983</v>
      </c>
      <c r="Q130" t="s">
        <v>2024</v>
      </c>
      <c r="R130" t="s">
        <v>2012</v>
      </c>
      <c r="U130" t="s">
        <v>131</v>
      </c>
      <c r="V130" t="s">
        <v>2188</v>
      </c>
      <c r="W130" t="s">
        <v>2179</v>
      </c>
      <c r="X130" t="s">
        <v>2053</v>
      </c>
    </row>
    <row r="131" spans="2:24" x14ac:dyDescent="0.45">
      <c r="B131" t="s">
        <v>262</v>
      </c>
      <c r="C131">
        <v>4.4686910835277036</v>
      </c>
      <c r="D131">
        <v>1.1000000000000001</v>
      </c>
      <c r="E131">
        <v>0.99994000000000005</v>
      </c>
      <c r="H131" t="s">
        <v>1984</v>
      </c>
      <c r="I131" t="s">
        <v>1856</v>
      </c>
      <c r="J131">
        <v>5.8895298325103377E-3</v>
      </c>
      <c r="K131" t="s">
        <v>1857</v>
      </c>
      <c r="L131" t="s">
        <v>1856</v>
      </c>
      <c r="P131" t="s">
        <v>1984</v>
      </c>
      <c r="Q131" t="s">
        <v>2025</v>
      </c>
      <c r="R131" t="s">
        <v>2012</v>
      </c>
      <c r="U131" t="s">
        <v>131</v>
      </c>
      <c r="V131" t="s">
        <v>2189</v>
      </c>
      <c r="W131" t="s">
        <v>2179</v>
      </c>
      <c r="X131" t="s">
        <v>2053</v>
      </c>
    </row>
    <row r="132" spans="2:24" x14ac:dyDescent="0.45">
      <c r="B132" t="s">
        <v>263</v>
      </c>
      <c r="C132">
        <v>4.4686910835277036</v>
      </c>
      <c r="D132">
        <v>6.6000000000000005</v>
      </c>
      <c r="E132">
        <v>0.99963999999999997</v>
      </c>
      <c r="H132" t="s">
        <v>1985</v>
      </c>
      <c r="I132" t="s">
        <v>1856</v>
      </c>
      <c r="J132">
        <v>3.8743273717722275E-3</v>
      </c>
      <c r="K132" t="s">
        <v>1857</v>
      </c>
      <c r="L132" t="s">
        <v>1856</v>
      </c>
      <c r="P132" t="s">
        <v>1985</v>
      </c>
      <c r="Q132" t="s">
        <v>2026</v>
      </c>
      <c r="R132" t="s">
        <v>2012</v>
      </c>
      <c r="U132" t="s">
        <v>131</v>
      </c>
      <c r="V132" t="s">
        <v>2190</v>
      </c>
      <c r="W132" t="s">
        <v>2179</v>
      </c>
      <c r="X132" t="s">
        <v>2053</v>
      </c>
    </row>
    <row r="133" spans="2:24" x14ac:dyDescent="0.45">
      <c r="B133" t="s">
        <v>264</v>
      </c>
      <c r="C133">
        <v>4.4686910835277036</v>
      </c>
      <c r="D133">
        <v>5.5</v>
      </c>
      <c r="E133">
        <v>0.99970000000000003</v>
      </c>
      <c r="H133" t="s">
        <v>1986</v>
      </c>
      <c r="I133" t="s">
        <v>1856</v>
      </c>
      <c r="J133">
        <v>3.3321284213816658E-2</v>
      </c>
      <c r="K133" t="s">
        <v>1857</v>
      </c>
      <c r="L133" t="s">
        <v>1856</v>
      </c>
      <c r="P133" t="s">
        <v>1986</v>
      </c>
      <c r="Q133" t="s">
        <v>2027</v>
      </c>
      <c r="R133" t="s">
        <v>2012</v>
      </c>
      <c r="U133" t="s">
        <v>131</v>
      </c>
      <c r="V133" t="s">
        <v>2191</v>
      </c>
      <c r="W133" t="s">
        <v>2179</v>
      </c>
      <c r="X133" t="s">
        <v>2053</v>
      </c>
    </row>
    <row r="134" spans="2:24" x14ac:dyDescent="0.45">
      <c r="B134" t="s">
        <v>265</v>
      </c>
      <c r="C134">
        <v>0.49155601918804742</v>
      </c>
      <c r="D134">
        <v>159.5</v>
      </c>
      <c r="E134">
        <v>0.99129999999999996</v>
      </c>
      <c r="H134" t="s">
        <v>1987</v>
      </c>
      <c r="I134" t="s">
        <v>1856</v>
      </c>
      <c r="J134">
        <v>9.3341705175435646E-3</v>
      </c>
      <c r="K134" t="s">
        <v>1857</v>
      </c>
      <c r="L134" t="s">
        <v>1856</v>
      </c>
      <c r="P134" t="s">
        <v>1987</v>
      </c>
      <c r="Q134" t="s">
        <v>2028</v>
      </c>
      <c r="R134" t="s">
        <v>2012</v>
      </c>
      <c r="U134" t="s">
        <v>131</v>
      </c>
      <c r="V134" t="s">
        <v>2192</v>
      </c>
      <c r="W134" t="s">
        <v>2193</v>
      </c>
      <c r="X134" t="s">
        <v>2053</v>
      </c>
    </row>
    <row r="135" spans="2:24" x14ac:dyDescent="0.45">
      <c r="B135" t="s">
        <v>266</v>
      </c>
      <c r="C135">
        <v>0.49155601918804742</v>
      </c>
      <c r="D135">
        <v>8.8000000000000007</v>
      </c>
      <c r="E135">
        <v>0.99951999999999996</v>
      </c>
      <c r="H135" t="s">
        <v>1988</v>
      </c>
      <c r="I135" t="s">
        <v>1856</v>
      </c>
      <c r="J135">
        <v>1.7572194048046625E-2</v>
      </c>
      <c r="K135" t="s">
        <v>1857</v>
      </c>
      <c r="L135" t="s">
        <v>1856</v>
      </c>
      <c r="P135" t="s">
        <v>1988</v>
      </c>
      <c r="Q135" t="s">
        <v>2029</v>
      </c>
      <c r="R135" t="s">
        <v>2012</v>
      </c>
      <c r="U135" t="s">
        <v>131</v>
      </c>
      <c r="V135" t="s">
        <v>2194</v>
      </c>
      <c r="W135" t="s">
        <v>2193</v>
      </c>
      <c r="X135" t="s">
        <v>2053</v>
      </c>
    </row>
    <row r="136" spans="2:24" x14ac:dyDescent="0.45">
      <c r="B136" t="s">
        <v>267</v>
      </c>
      <c r="C136">
        <v>4.4686910835277036</v>
      </c>
      <c r="D136">
        <v>4.4000000000000004</v>
      </c>
      <c r="E136">
        <v>0.99975999999999998</v>
      </c>
      <c r="H136" t="s">
        <v>1989</v>
      </c>
      <c r="I136" t="s">
        <v>1856</v>
      </c>
      <c r="J136">
        <v>1.8772311285418432E-2</v>
      </c>
      <c r="K136" t="s">
        <v>1857</v>
      </c>
      <c r="L136" t="s">
        <v>1856</v>
      </c>
      <c r="P136" t="s">
        <v>1989</v>
      </c>
      <c r="Q136" t="s">
        <v>2030</v>
      </c>
      <c r="R136" t="s">
        <v>2012</v>
      </c>
      <c r="U136" t="s">
        <v>131</v>
      </c>
      <c r="V136" t="s">
        <v>2195</v>
      </c>
      <c r="W136" t="s">
        <v>2193</v>
      </c>
      <c r="X136" t="s">
        <v>2053</v>
      </c>
    </row>
    <row r="137" spans="2:24" x14ac:dyDescent="0.45">
      <c r="B137" t="s">
        <v>268</v>
      </c>
      <c r="C137">
        <v>4.4686910835277036</v>
      </c>
      <c r="D137">
        <v>25.3</v>
      </c>
      <c r="E137">
        <v>0.99861999999999995</v>
      </c>
      <c r="H137" t="s">
        <v>1990</v>
      </c>
      <c r="I137" t="s">
        <v>1856</v>
      </c>
      <c r="J137">
        <v>1.0577537424265994E-2</v>
      </c>
      <c r="K137" t="s">
        <v>1857</v>
      </c>
      <c r="L137" t="s">
        <v>1856</v>
      </c>
      <c r="P137" t="s">
        <v>1990</v>
      </c>
      <c r="Q137" t="s">
        <v>2031</v>
      </c>
      <c r="R137" t="s">
        <v>2012</v>
      </c>
      <c r="U137" t="s">
        <v>131</v>
      </c>
      <c r="V137" t="s">
        <v>2196</v>
      </c>
      <c r="W137" t="s">
        <v>2193</v>
      </c>
      <c r="X137" t="s">
        <v>2053</v>
      </c>
    </row>
    <row r="138" spans="2:24" x14ac:dyDescent="0.45">
      <c r="B138" t="s">
        <v>269</v>
      </c>
      <c r="C138">
        <v>0.49155601918804742</v>
      </c>
      <c r="D138">
        <v>6.6000000000000005</v>
      </c>
      <c r="E138">
        <v>0.99963999999999997</v>
      </c>
      <c r="H138" t="s">
        <v>1991</v>
      </c>
      <c r="I138" t="s">
        <v>1856</v>
      </c>
      <c r="J138">
        <v>0.30820480004175532</v>
      </c>
      <c r="K138" t="s">
        <v>1857</v>
      </c>
      <c r="L138" t="s">
        <v>1856</v>
      </c>
      <c r="P138" t="s">
        <v>1991</v>
      </c>
      <c r="Q138" t="s">
        <v>2032</v>
      </c>
      <c r="R138" t="s">
        <v>2012</v>
      </c>
      <c r="U138" t="s">
        <v>131</v>
      </c>
      <c r="V138" t="s">
        <v>2197</v>
      </c>
      <c r="W138" t="s">
        <v>2193</v>
      </c>
      <c r="X138" t="s">
        <v>2053</v>
      </c>
    </row>
    <row r="139" spans="2:24" x14ac:dyDescent="0.45">
      <c r="B139" t="s">
        <v>270</v>
      </c>
      <c r="C139">
        <v>4.4686910835277036</v>
      </c>
      <c r="D139">
        <v>11</v>
      </c>
      <c r="E139">
        <v>0.99939999999999996</v>
      </c>
      <c r="H139" t="s">
        <v>1992</v>
      </c>
      <c r="I139" t="s">
        <v>1856</v>
      </c>
      <c r="J139">
        <v>9.1662420697407147E-3</v>
      </c>
      <c r="K139" t="s">
        <v>1857</v>
      </c>
      <c r="L139" t="s">
        <v>1856</v>
      </c>
      <c r="P139" t="s">
        <v>1992</v>
      </c>
      <c r="Q139" t="s">
        <v>2033</v>
      </c>
      <c r="R139" t="s">
        <v>2012</v>
      </c>
      <c r="U139" t="s">
        <v>131</v>
      </c>
      <c r="V139" t="s">
        <v>2198</v>
      </c>
      <c r="W139" t="s">
        <v>2193</v>
      </c>
      <c r="X139" t="s">
        <v>2053</v>
      </c>
    </row>
    <row r="140" spans="2:24" x14ac:dyDescent="0.45">
      <c r="B140" t="s">
        <v>271</v>
      </c>
      <c r="C140">
        <v>4.4686910835277036</v>
      </c>
      <c r="D140">
        <v>12.100000000000001</v>
      </c>
      <c r="E140">
        <v>0.99934000000000001</v>
      </c>
      <c r="H140" t="s">
        <v>1993</v>
      </c>
      <c r="I140" t="s">
        <v>1856</v>
      </c>
      <c r="J140">
        <v>2.8469827895188919E-2</v>
      </c>
      <c r="K140" t="s">
        <v>1857</v>
      </c>
      <c r="L140" t="s">
        <v>1856</v>
      </c>
      <c r="P140" t="s">
        <v>1993</v>
      </c>
      <c r="Q140" t="s">
        <v>2034</v>
      </c>
      <c r="R140" t="s">
        <v>2012</v>
      </c>
      <c r="U140" t="s">
        <v>131</v>
      </c>
      <c r="V140" t="s">
        <v>2199</v>
      </c>
      <c r="W140" t="s">
        <v>2193</v>
      </c>
      <c r="X140" t="s">
        <v>2053</v>
      </c>
    </row>
    <row r="141" spans="2:24" x14ac:dyDescent="0.45">
      <c r="B141" t="s">
        <v>272</v>
      </c>
      <c r="C141">
        <v>4.4686910835277036</v>
      </c>
      <c r="D141">
        <v>6.6000000000000005</v>
      </c>
      <c r="E141">
        <v>0.99963999999999997</v>
      </c>
      <c r="H141" t="s">
        <v>1994</v>
      </c>
      <c r="I141" t="s">
        <v>1856</v>
      </c>
      <c r="J141">
        <v>9.8350236799793298E-3</v>
      </c>
      <c r="K141" t="s">
        <v>1857</v>
      </c>
      <c r="L141" t="s">
        <v>1856</v>
      </c>
      <c r="P141" t="s">
        <v>1994</v>
      </c>
      <c r="Q141" t="s">
        <v>2035</v>
      </c>
      <c r="R141" t="s">
        <v>2012</v>
      </c>
      <c r="U141" t="s">
        <v>131</v>
      </c>
      <c r="V141" t="s">
        <v>2200</v>
      </c>
      <c r="W141" t="s">
        <v>2193</v>
      </c>
      <c r="X141" t="s">
        <v>2053</v>
      </c>
    </row>
    <row r="142" spans="2:24" x14ac:dyDescent="0.45">
      <c r="B142" t="s">
        <v>273</v>
      </c>
      <c r="C142">
        <v>0.98311203837609484</v>
      </c>
      <c r="D142">
        <v>36.300000000000004</v>
      </c>
      <c r="E142">
        <v>0.99802000000000002</v>
      </c>
      <c r="H142" t="s">
        <v>1995</v>
      </c>
      <c r="I142" t="s">
        <v>1856</v>
      </c>
      <c r="J142">
        <v>1.2444053874835981E-2</v>
      </c>
      <c r="K142" t="s">
        <v>1857</v>
      </c>
      <c r="L142" t="s">
        <v>1856</v>
      </c>
      <c r="P142" t="s">
        <v>1995</v>
      </c>
      <c r="Q142" t="s">
        <v>2036</v>
      </c>
      <c r="R142" t="s">
        <v>2012</v>
      </c>
      <c r="U142" t="s">
        <v>131</v>
      </c>
      <c r="V142" t="s">
        <v>2201</v>
      </c>
      <c r="W142" t="s">
        <v>2193</v>
      </c>
      <c r="X142" t="s">
        <v>2053</v>
      </c>
    </row>
    <row r="143" spans="2:24" x14ac:dyDescent="0.45">
      <c r="B143" t="s">
        <v>274</v>
      </c>
      <c r="C143">
        <v>4.4686910835277036</v>
      </c>
      <c r="D143">
        <v>1.1000000000000001</v>
      </c>
      <c r="E143">
        <v>0.99994000000000005</v>
      </c>
      <c r="H143" t="s">
        <v>1996</v>
      </c>
      <c r="I143" t="s">
        <v>1856</v>
      </c>
      <c r="J143">
        <v>1.5898040886720397E-2</v>
      </c>
      <c r="K143" t="s">
        <v>1857</v>
      </c>
      <c r="L143" t="s">
        <v>1856</v>
      </c>
      <c r="P143" t="s">
        <v>1996</v>
      </c>
      <c r="Q143" t="s">
        <v>2037</v>
      </c>
      <c r="R143" t="s">
        <v>2012</v>
      </c>
      <c r="U143" t="s">
        <v>131</v>
      </c>
      <c r="V143" t="s">
        <v>2202</v>
      </c>
      <c r="W143" t="s">
        <v>2193</v>
      </c>
      <c r="X143" t="s">
        <v>2053</v>
      </c>
    </row>
    <row r="144" spans="2:24" x14ac:dyDescent="0.45">
      <c r="B144" t="s">
        <v>275</v>
      </c>
      <c r="C144">
        <v>0.98311203837609484</v>
      </c>
      <c r="D144">
        <v>6.6000000000000005</v>
      </c>
      <c r="E144">
        <v>0.99963999999999997</v>
      </c>
      <c r="H144" t="s">
        <v>1997</v>
      </c>
      <c r="I144" t="s">
        <v>1856</v>
      </c>
      <c r="J144">
        <v>8.4611747199623277E-3</v>
      </c>
      <c r="K144" t="s">
        <v>1857</v>
      </c>
      <c r="L144" t="s">
        <v>1856</v>
      </c>
      <c r="P144" t="s">
        <v>1997</v>
      </c>
      <c r="Q144" t="s">
        <v>2038</v>
      </c>
      <c r="R144" t="s">
        <v>2012</v>
      </c>
      <c r="U144" t="s">
        <v>131</v>
      </c>
      <c r="V144" t="s">
        <v>2203</v>
      </c>
      <c r="W144" t="s">
        <v>2193</v>
      </c>
      <c r="X144" t="s">
        <v>2053</v>
      </c>
    </row>
    <row r="145" spans="2:24" x14ac:dyDescent="0.45">
      <c r="B145" t="s">
        <v>276</v>
      </c>
      <c r="C145">
        <v>1.9662240767521897</v>
      </c>
      <c r="D145">
        <v>8.8000000000000007</v>
      </c>
      <c r="E145">
        <v>0.99951999999999996</v>
      </c>
      <c r="H145" t="s">
        <v>1998</v>
      </c>
      <c r="I145" t="s">
        <v>1856</v>
      </c>
      <c r="J145">
        <v>2.0769615224801072E-2</v>
      </c>
      <c r="K145" t="s">
        <v>1857</v>
      </c>
      <c r="L145" t="s">
        <v>1856</v>
      </c>
      <c r="P145" t="s">
        <v>1998</v>
      </c>
      <c r="Q145" t="s">
        <v>2039</v>
      </c>
      <c r="R145" t="s">
        <v>2012</v>
      </c>
      <c r="U145" t="s">
        <v>131</v>
      </c>
      <c r="V145" t="s">
        <v>2204</v>
      </c>
      <c r="W145" t="s">
        <v>2193</v>
      </c>
      <c r="X145" t="s">
        <v>2053</v>
      </c>
    </row>
    <row r="146" spans="2:24" x14ac:dyDescent="0.45">
      <c r="B146" t="s">
        <v>277</v>
      </c>
      <c r="C146">
        <v>0.98311203837609484</v>
      </c>
      <c r="D146">
        <v>8.8000000000000007</v>
      </c>
      <c r="E146">
        <v>0.99951999999999996</v>
      </c>
      <c r="H146" t="s">
        <v>1999</v>
      </c>
      <c r="I146" t="s">
        <v>1856</v>
      </c>
      <c r="J146">
        <v>1.4329018630693885E-2</v>
      </c>
      <c r="K146" t="s">
        <v>1857</v>
      </c>
      <c r="L146" t="s">
        <v>1856</v>
      </c>
      <c r="P146" t="s">
        <v>1999</v>
      </c>
      <c r="Q146" t="s">
        <v>2040</v>
      </c>
      <c r="R146" t="s">
        <v>2012</v>
      </c>
      <c r="U146" t="s">
        <v>131</v>
      </c>
      <c r="V146" t="s">
        <v>2205</v>
      </c>
      <c r="W146" t="s">
        <v>2193</v>
      </c>
      <c r="X146" t="s">
        <v>2053</v>
      </c>
    </row>
    <row r="147" spans="2:24" x14ac:dyDescent="0.45">
      <c r="B147" t="s">
        <v>278</v>
      </c>
      <c r="C147">
        <v>0.98311203837609484</v>
      </c>
      <c r="D147">
        <v>2.2000000000000002</v>
      </c>
      <c r="E147">
        <v>0.99987999999999999</v>
      </c>
      <c r="H147" t="s">
        <v>2000</v>
      </c>
      <c r="I147" t="s">
        <v>1856</v>
      </c>
      <c r="J147">
        <v>7.8142622928133385E-3</v>
      </c>
      <c r="K147" t="s">
        <v>1857</v>
      </c>
      <c r="L147" t="s">
        <v>1856</v>
      </c>
      <c r="P147" t="s">
        <v>2000</v>
      </c>
      <c r="Q147" t="s">
        <v>2041</v>
      </c>
      <c r="R147" t="s">
        <v>2012</v>
      </c>
      <c r="U147" t="s">
        <v>131</v>
      </c>
      <c r="V147" t="s">
        <v>2206</v>
      </c>
      <c r="W147" t="s">
        <v>2207</v>
      </c>
      <c r="X147" t="s">
        <v>2053</v>
      </c>
    </row>
    <row r="148" spans="2:24" x14ac:dyDescent="0.45">
      <c r="B148" t="s">
        <v>279</v>
      </c>
      <c r="C148">
        <v>4.4686910835277036</v>
      </c>
      <c r="D148">
        <v>6.6000000000000005</v>
      </c>
      <c r="E148">
        <v>0.99963999999999997</v>
      </c>
      <c r="H148" t="s">
        <v>2001</v>
      </c>
      <c r="I148" t="s">
        <v>1856</v>
      </c>
      <c r="J148">
        <v>8.9231764845069412E-3</v>
      </c>
      <c r="K148" t="s">
        <v>1857</v>
      </c>
      <c r="L148" t="s">
        <v>1856</v>
      </c>
      <c r="P148" t="s">
        <v>2001</v>
      </c>
      <c r="Q148" t="s">
        <v>2042</v>
      </c>
      <c r="R148" t="s">
        <v>2012</v>
      </c>
      <c r="U148" t="s">
        <v>131</v>
      </c>
      <c r="V148" t="s">
        <v>2208</v>
      </c>
      <c r="W148" t="s">
        <v>2207</v>
      </c>
      <c r="X148" t="s">
        <v>2053</v>
      </c>
    </row>
    <row r="149" spans="2:24" x14ac:dyDescent="0.45">
      <c r="B149" t="s">
        <v>280</v>
      </c>
      <c r="C149">
        <v>4.4686910835277036</v>
      </c>
      <c r="D149">
        <v>1.1000000000000001</v>
      </c>
      <c r="E149">
        <v>0.99994000000000005</v>
      </c>
      <c r="H149" t="s">
        <v>2002</v>
      </c>
      <c r="I149" t="s">
        <v>1856</v>
      </c>
      <c r="J149">
        <v>4.4396274285083701E-3</v>
      </c>
      <c r="K149" t="s">
        <v>1857</v>
      </c>
      <c r="L149" t="s">
        <v>1856</v>
      </c>
      <c r="P149" t="s">
        <v>2002</v>
      </c>
      <c r="Q149" t="s">
        <v>2043</v>
      </c>
      <c r="R149" t="s">
        <v>2012</v>
      </c>
      <c r="U149" t="s">
        <v>131</v>
      </c>
      <c r="V149" t="s">
        <v>2209</v>
      </c>
      <c r="W149" t="s">
        <v>2207</v>
      </c>
      <c r="X149" t="s">
        <v>2053</v>
      </c>
    </row>
    <row r="150" spans="2:24" x14ac:dyDescent="0.45">
      <c r="B150" t="s">
        <v>281</v>
      </c>
      <c r="C150">
        <v>4.4686910835277036</v>
      </c>
      <c r="D150">
        <v>6.6000000000000005</v>
      </c>
      <c r="E150">
        <v>0.99963999999999997</v>
      </c>
      <c r="H150" t="s">
        <v>2003</v>
      </c>
      <c r="I150" t="s">
        <v>1856</v>
      </c>
      <c r="J150">
        <v>1.0550475837370085E-2</v>
      </c>
      <c r="K150" t="s">
        <v>1857</v>
      </c>
      <c r="L150" t="s">
        <v>1856</v>
      </c>
      <c r="P150" t="s">
        <v>2003</v>
      </c>
      <c r="Q150" t="s">
        <v>2044</v>
      </c>
      <c r="R150" t="s">
        <v>2012</v>
      </c>
      <c r="U150" t="s">
        <v>131</v>
      </c>
      <c r="V150" t="s">
        <v>2210</v>
      </c>
      <c r="W150" t="s">
        <v>2207</v>
      </c>
      <c r="X150" t="s">
        <v>2053</v>
      </c>
    </row>
    <row r="151" spans="2:24" x14ac:dyDescent="0.45">
      <c r="B151" t="s">
        <v>282</v>
      </c>
      <c r="C151">
        <v>4.4686910835277036</v>
      </c>
      <c r="D151">
        <v>1.1000000000000001</v>
      </c>
      <c r="E151">
        <v>0.99994000000000005</v>
      </c>
      <c r="H151" t="s">
        <v>2004</v>
      </c>
      <c r="I151" t="s">
        <v>1856</v>
      </c>
      <c r="J151">
        <v>7.3620955519487462E-3</v>
      </c>
      <c r="K151" t="s">
        <v>1857</v>
      </c>
      <c r="L151" t="s">
        <v>1856</v>
      </c>
      <c r="P151" t="s">
        <v>2004</v>
      </c>
      <c r="Q151" t="s">
        <v>2045</v>
      </c>
      <c r="R151" t="s">
        <v>2012</v>
      </c>
      <c r="U151" t="s">
        <v>131</v>
      </c>
      <c r="V151" t="s">
        <v>2211</v>
      </c>
      <c r="W151" t="s">
        <v>2207</v>
      </c>
      <c r="X151" t="s">
        <v>2053</v>
      </c>
    </row>
    <row r="152" spans="2:24" x14ac:dyDescent="0.45">
      <c r="B152" t="s">
        <v>283</v>
      </c>
      <c r="C152">
        <v>4.4686910835277036</v>
      </c>
      <c r="D152">
        <v>4.4000000000000004</v>
      </c>
      <c r="E152">
        <v>0.99975999999999998</v>
      </c>
      <c r="H152" t="s">
        <v>2005</v>
      </c>
      <c r="I152" t="s">
        <v>1856</v>
      </c>
      <c r="J152">
        <v>8.1856718827157133E-3</v>
      </c>
      <c r="K152" t="s">
        <v>1857</v>
      </c>
      <c r="L152" t="s">
        <v>1856</v>
      </c>
      <c r="P152" t="s">
        <v>2005</v>
      </c>
      <c r="Q152" t="s">
        <v>2046</v>
      </c>
      <c r="R152" t="s">
        <v>2012</v>
      </c>
      <c r="U152" t="s">
        <v>131</v>
      </c>
      <c r="V152" t="s">
        <v>2212</v>
      </c>
      <c r="W152" t="s">
        <v>2207</v>
      </c>
      <c r="X152" t="s">
        <v>2053</v>
      </c>
    </row>
    <row r="153" spans="2:24" x14ac:dyDescent="0.45">
      <c r="B153" t="s">
        <v>284</v>
      </c>
      <c r="C153">
        <v>4.4686910835277036</v>
      </c>
      <c r="D153">
        <v>13.200000000000001</v>
      </c>
      <c r="E153">
        <v>0.99927999999999995</v>
      </c>
      <c r="H153" t="s">
        <v>2006</v>
      </c>
      <c r="I153" t="s">
        <v>1856</v>
      </c>
      <c r="J153">
        <v>1.0441007747714712E-2</v>
      </c>
      <c r="K153" t="s">
        <v>1857</v>
      </c>
      <c r="L153" t="s">
        <v>1856</v>
      </c>
      <c r="P153" t="s">
        <v>2006</v>
      </c>
      <c r="Q153" t="s">
        <v>2047</v>
      </c>
      <c r="R153" t="s">
        <v>2012</v>
      </c>
      <c r="U153" t="s">
        <v>131</v>
      </c>
      <c r="V153" t="s">
        <v>2213</v>
      </c>
      <c r="W153" t="s">
        <v>2207</v>
      </c>
      <c r="X153" t="s">
        <v>2053</v>
      </c>
    </row>
    <row r="154" spans="2:24" x14ac:dyDescent="0.45">
      <c r="B154" t="s">
        <v>285</v>
      </c>
      <c r="C154">
        <v>4.4686910835277036</v>
      </c>
      <c r="D154">
        <v>6.6000000000000005</v>
      </c>
      <c r="E154">
        <v>0.99963999999999997</v>
      </c>
      <c r="H154" t="s">
        <v>2007</v>
      </c>
      <c r="I154" t="s">
        <v>1856</v>
      </c>
      <c r="J154">
        <v>0.17485368911459809</v>
      </c>
      <c r="K154" t="s">
        <v>1857</v>
      </c>
      <c r="L154" t="s">
        <v>1856</v>
      </c>
      <c r="P154" t="s">
        <v>2007</v>
      </c>
      <c r="Q154" t="s">
        <v>2048</v>
      </c>
      <c r="R154" t="s">
        <v>2012</v>
      </c>
      <c r="U154" t="s">
        <v>131</v>
      </c>
      <c r="V154" t="s">
        <v>2214</v>
      </c>
      <c r="W154" t="s">
        <v>2207</v>
      </c>
      <c r="X154" t="s">
        <v>2053</v>
      </c>
    </row>
    <row r="155" spans="2:24" x14ac:dyDescent="0.45">
      <c r="B155" t="s">
        <v>286</v>
      </c>
      <c r="C155">
        <v>4.4686910835277036</v>
      </c>
      <c r="D155">
        <v>5.5</v>
      </c>
      <c r="E155">
        <v>0.99970000000000003</v>
      </c>
      <c r="H155" t="s">
        <v>2008</v>
      </c>
      <c r="I155" t="s">
        <v>1856</v>
      </c>
      <c r="J155">
        <v>4.6650999279047511E-3</v>
      </c>
      <c r="K155" t="s">
        <v>1857</v>
      </c>
      <c r="L155" t="s">
        <v>1856</v>
      </c>
      <c r="P155" t="s">
        <v>2008</v>
      </c>
      <c r="Q155" t="s">
        <v>2049</v>
      </c>
      <c r="R155" t="s">
        <v>2012</v>
      </c>
      <c r="U155" t="s">
        <v>131</v>
      </c>
      <c r="V155" t="s">
        <v>2215</v>
      </c>
      <c r="W155" t="s">
        <v>2207</v>
      </c>
      <c r="X155" t="s">
        <v>2053</v>
      </c>
    </row>
    <row r="156" spans="2:24" x14ac:dyDescent="0.45">
      <c r="B156" t="s">
        <v>287</v>
      </c>
      <c r="C156">
        <v>4.4686910835277036</v>
      </c>
      <c r="D156">
        <v>4.4000000000000004</v>
      </c>
      <c r="E156">
        <v>0.99975999999999998</v>
      </c>
      <c r="U156" t="s">
        <v>131</v>
      </c>
      <c r="V156" t="s">
        <v>2216</v>
      </c>
      <c r="W156" t="s">
        <v>2207</v>
      </c>
      <c r="X156" t="s">
        <v>2053</v>
      </c>
    </row>
    <row r="157" spans="2:24" x14ac:dyDescent="0.45">
      <c r="B157" t="s">
        <v>288</v>
      </c>
      <c r="C157">
        <v>4.4686910835277036</v>
      </c>
      <c r="D157">
        <v>11</v>
      </c>
      <c r="E157">
        <v>0.99939999999999996</v>
      </c>
      <c r="U157" t="s">
        <v>131</v>
      </c>
      <c r="V157" t="s">
        <v>2217</v>
      </c>
      <c r="W157" t="s">
        <v>2207</v>
      </c>
      <c r="X157" t="s">
        <v>2053</v>
      </c>
    </row>
    <row r="158" spans="2:24" x14ac:dyDescent="0.45">
      <c r="B158" t="s">
        <v>289</v>
      </c>
      <c r="C158">
        <v>4.4686910835277036</v>
      </c>
      <c r="D158">
        <v>1.1000000000000001</v>
      </c>
      <c r="E158">
        <v>0.99994000000000005</v>
      </c>
      <c r="U158" t="s">
        <v>131</v>
      </c>
      <c r="V158" t="s">
        <v>2218</v>
      </c>
      <c r="W158" t="s">
        <v>2207</v>
      </c>
      <c r="X158" t="s">
        <v>2053</v>
      </c>
    </row>
    <row r="159" spans="2:24" x14ac:dyDescent="0.45">
      <c r="B159" t="s">
        <v>290</v>
      </c>
      <c r="C159">
        <v>4.4686910835277036</v>
      </c>
      <c r="D159">
        <v>23.1</v>
      </c>
      <c r="E159">
        <v>0.99873999999999996</v>
      </c>
      <c r="U159" t="s">
        <v>131</v>
      </c>
      <c r="V159" t="s">
        <v>2219</v>
      </c>
      <c r="W159" t="s">
        <v>2207</v>
      </c>
      <c r="X159" t="s">
        <v>2053</v>
      </c>
    </row>
    <row r="160" spans="2:24" x14ac:dyDescent="0.45">
      <c r="B160" t="s">
        <v>291</v>
      </c>
      <c r="C160">
        <v>4.4686910835277036</v>
      </c>
      <c r="D160">
        <v>3.3000000000000003</v>
      </c>
      <c r="E160">
        <v>0.99982000000000004</v>
      </c>
      <c r="U160" t="s">
        <v>131</v>
      </c>
      <c r="V160" t="s">
        <v>2220</v>
      </c>
      <c r="W160" t="s">
        <v>2221</v>
      </c>
      <c r="X160" t="s">
        <v>2053</v>
      </c>
    </row>
    <row r="161" spans="2:24" x14ac:dyDescent="0.45">
      <c r="B161" t="s">
        <v>292</v>
      </c>
      <c r="C161">
        <v>4.4686910835277036</v>
      </c>
      <c r="D161">
        <v>6.6000000000000005</v>
      </c>
      <c r="E161">
        <v>0.99963999999999997</v>
      </c>
      <c r="U161" t="s">
        <v>131</v>
      </c>
      <c r="V161" t="s">
        <v>2222</v>
      </c>
      <c r="W161" t="s">
        <v>2221</v>
      </c>
      <c r="X161" t="s">
        <v>2053</v>
      </c>
    </row>
    <row r="162" spans="2:24" x14ac:dyDescent="0.45">
      <c r="B162" t="s">
        <v>293</v>
      </c>
      <c r="C162">
        <v>4.4686910835277036</v>
      </c>
      <c r="D162">
        <v>8.8000000000000007</v>
      </c>
      <c r="E162">
        <v>0.99951999999999996</v>
      </c>
      <c r="U162" t="s">
        <v>131</v>
      </c>
      <c r="V162" t="s">
        <v>2223</v>
      </c>
      <c r="W162" t="s">
        <v>2221</v>
      </c>
      <c r="X162" t="s">
        <v>2053</v>
      </c>
    </row>
    <row r="163" spans="2:24" x14ac:dyDescent="0.45">
      <c r="B163" t="s">
        <v>294</v>
      </c>
      <c r="C163">
        <v>8.9373821670554072</v>
      </c>
      <c r="D163">
        <v>13.200000000000001</v>
      </c>
      <c r="E163">
        <v>0.99927999999999995</v>
      </c>
      <c r="U163" t="s">
        <v>131</v>
      </c>
      <c r="V163" t="s">
        <v>2224</v>
      </c>
      <c r="W163" t="s">
        <v>2221</v>
      </c>
      <c r="X163" t="s">
        <v>2053</v>
      </c>
    </row>
    <row r="164" spans="2:24" x14ac:dyDescent="0.45">
      <c r="B164" t="s">
        <v>295</v>
      </c>
      <c r="C164">
        <v>0.49155601918804742</v>
      </c>
      <c r="D164">
        <v>1.1000000000000001</v>
      </c>
      <c r="E164">
        <v>0.99994000000000005</v>
      </c>
      <c r="U164" t="s">
        <v>131</v>
      </c>
      <c r="V164" t="s">
        <v>2225</v>
      </c>
      <c r="W164" t="s">
        <v>2221</v>
      </c>
      <c r="X164" t="s">
        <v>2053</v>
      </c>
    </row>
    <row r="165" spans="2:24" x14ac:dyDescent="0.45">
      <c r="B165" t="s">
        <v>296</v>
      </c>
      <c r="C165">
        <v>0.98311203837609484</v>
      </c>
      <c r="D165">
        <v>12.100000000000001</v>
      </c>
      <c r="E165">
        <v>0.99934000000000001</v>
      </c>
      <c r="U165" t="s">
        <v>131</v>
      </c>
      <c r="V165" t="s">
        <v>2226</v>
      </c>
      <c r="W165" t="s">
        <v>2221</v>
      </c>
      <c r="X165" t="s">
        <v>2053</v>
      </c>
    </row>
    <row r="166" spans="2:24" x14ac:dyDescent="0.45">
      <c r="B166" t="s">
        <v>297</v>
      </c>
      <c r="C166">
        <v>4.4686910835277036</v>
      </c>
      <c r="D166">
        <v>6.6000000000000005</v>
      </c>
      <c r="E166">
        <v>0.99963999999999997</v>
      </c>
      <c r="U166" t="s">
        <v>131</v>
      </c>
      <c r="V166" t="s">
        <v>2227</v>
      </c>
      <c r="W166" t="s">
        <v>2221</v>
      </c>
      <c r="X166" t="s">
        <v>2053</v>
      </c>
    </row>
    <row r="167" spans="2:24" x14ac:dyDescent="0.45">
      <c r="B167" t="s">
        <v>298</v>
      </c>
      <c r="C167">
        <v>4.4686910835277036</v>
      </c>
      <c r="D167">
        <v>4.4000000000000004</v>
      </c>
      <c r="E167">
        <v>0.99975999999999998</v>
      </c>
      <c r="U167" t="s">
        <v>131</v>
      </c>
      <c r="V167" t="s">
        <v>2228</v>
      </c>
      <c r="W167" t="s">
        <v>2221</v>
      </c>
      <c r="X167" t="s">
        <v>2053</v>
      </c>
    </row>
    <row r="168" spans="2:24" x14ac:dyDescent="0.45">
      <c r="B168" t="s">
        <v>299</v>
      </c>
      <c r="C168">
        <v>4.4686910835277036</v>
      </c>
      <c r="D168">
        <v>3.3000000000000003</v>
      </c>
      <c r="E168">
        <v>0.99982000000000004</v>
      </c>
      <c r="U168" t="s">
        <v>131</v>
      </c>
      <c r="V168" t="s">
        <v>2229</v>
      </c>
      <c r="W168" t="s">
        <v>2221</v>
      </c>
      <c r="X168" t="s">
        <v>2053</v>
      </c>
    </row>
    <row r="169" spans="2:24" x14ac:dyDescent="0.45">
      <c r="B169" t="s">
        <v>300</v>
      </c>
      <c r="C169">
        <v>4.4686910835277036</v>
      </c>
      <c r="D169">
        <v>11</v>
      </c>
      <c r="E169">
        <v>0.99939999999999996</v>
      </c>
      <c r="U169" t="s">
        <v>131</v>
      </c>
      <c r="V169" t="s">
        <v>2230</v>
      </c>
      <c r="W169" t="s">
        <v>2221</v>
      </c>
      <c r="X169" t="s">
        <v>2053</v>
      </c>
    </row>
    <row r="170" spans="2:24" x14ac:dyDescent="0.45">
      <c r="B170" t="s">
        <v>301</v>
      </c>
      <c r="C170">
        <v>4.4686910835277036</v>
      </c>
      <c r="D170">
        <v>5.5</v>
      </c>
      <c r="E170">
        <v>0.99970000000000003</v>
      </c>
      <c r="U170" t="s">
        <v>131</v>
      </c>
      <c r="V170" t="s">
        <v>2231</v>
      </c>
      <c r="W170" t="s">
        <v>2221</v>
      </c>
      <c r="X170" t="s">
        <v>2053</v>
      </c>
    </row>
    <row r="171" spans="2:24" x14ac:dyDescent="0.45">
      <c r="B171" t="s">
        <v>302</v>
      </c>
      <c r="C171">
        <v>4.4686910835277036</v>
      </c>
      <c r="D171">
        <v>2.2000000000000002</v>
      </c>
      <c r="E171">
        <v>0.99987999999999999</v>
      </c>
      <c r="U171" t="s">
        <v>131</v>
      </c>
      <c r="V171" t="s">
        <v>2232</v>
      </c>
      <c r="W171" t="s">
        <v>2221</v>
      </c>
      <c r="X171" t="s">
        <v>2053</v>
      </c>
    </row>
    <row r="172" spans="2:24" x14ac:dyDescent="0.45">
      <c r="B172" t="s">
        <v>303</v>
      </c>
      <c r="C172">
        <v>4.4686910835277036</v>
      </c>
      <c r="D172">
        <v>1.1000000000000001</v>
      </c>
      <c r="E172">
        <v>0.99994000000000005</v>
      </c>
      <c r="U172" t="s">
        <v>131</v>
      </c>
      <c r="V172" t="s">
        <v>2233</v>
      </c>
      <c r="W172" t="s">
        <v>2221</v>
      </c>
      <c r="X172" t="s">
        <v>2053</v>
      </c>
    </row>
    <row r="173" spans="2:24" x14ac:dyDescent="0.45">
      <c r="B173" t="s">
        <v>304</v>
      </c>
      <c r="C173">
        <v>4.4686910835277036</v>
      </c>
      <c r="D173">
        <v>1.1000000000000001</v>
      </c>
      <c r="E173">
        <v>0.99994000000000005</v>
      </c>
      <c r="U173" t="s">
        <v>131</v>
      </c>
      <c r="V173" t="s">
        <v>2234</v>
      </c>
      <c r="W173" t="s">
        <v>2235</v>
      </c>
      <c r="X173" t="s">
        <v>2053</v>
      </c>
    </row>
    <row r="174" spans="2:24" x14ac:dyDescent="0.45">
      <c r="B174" t="s">
        <v>305</v>
      </c>
      <c r="C174">
        <v>4.4686910835277036</v>
      </c>
      <c r="D174">
        <v>14.3</v>
      </c>
      <c r="E174">
        <v>0.99922</v>
      </c>
      <c r="U174" t="s">
        <v>131</v>
      </c>
      <c r="V174" t="s">
        <v>2236</v>
      </c>
      <c r="W174" t="s">
        <v>2235</v>
      </c>
      <c r="X174" t="s">
        <v>2053</v>
      </c>
    </row>
    <row r="175" spans="2:24" x14ac:dyDescent="0.45">
      <c r="B175" t="s">
        <v>306</v>
      </c>
      <c r="C175">
        <v>4.4686910835277036</v>
      </c>
      <c r="D175">
        <v>6.6000000000000005</v>
      </c>
      <c r="E175">
        <v>0.99963999999999997</v>
      </c>
      <c r="U175" t="s">
        <v>131</v>
      </c>
      <c r="V175" t="s">
        <v>2237</v>
      </c>
      <c r="W175" t="s">
        <v>2235</v>
      </c>
      <c r="X175" t="s">
        <v>2053</v>
      </c>
    </row>
    <row r="176" spans="2:24" x14ac:dyDescent="0.45">
      <c r="B176" t="s">
        <v>307</v>
      </c>
      <c r="C176">
        <v>4.4686910835277036</v>
      </c>
      <c r="D176">
        <v>1.1000000000000001</v>
      </c>
      <c r="E176">
        <v>0.99994000000000005</v>
      </c>
      <c r="U176" t="s">
        <v>131</v>
      </c>
      <c r="V176" t="s">
        <v>2238</v>
      </c>
      <c r="W176" t="s">
        <v>2235</v>
      </c>
      <c r="X176" t="s">
        <v>2053</v>
      </c>
    </row>
    <row r="177" spans="2:24" x14ac:dyDescent="0.45">
      <c r="B177" t="s">
        <v>308</v>
      </c>
      <c r="C177">
        <v>4.4686910835277036</v>
      </c>
      <c r="D177">
        <v>9.9</v>
      </c>
      <c r="E177">
        <v>0.99946000000000002</v>
      </c>
      <c r="U177" t="s">
        <v>131</v>
      </c>
      <c r="V177" t="s">
        <v>2239</v>
      </c>
      <c r="W177" t="s">
        <v>2235</v>
      </c>
      <c r="X177" t="s">
        <v>2053</v>
      </c>
    </row>
    <row r="178" spans="2:24" x14ac:dyDescent="0.45">
      <c r="B178" t="s">
        <v>309</v>
      </c>
      <c r="C178">
        <v>0.49155601918804742</v>
      </c>
      <c r="D178">
        <v>5.5</v>
      </c>
      <c r="E178">
        <v>0.99970000000000003</v>
      </c>
      <c r="U178" t="s">
        <v>131</v>
      </c>
      <c r="V178" t="s">
        <v>2240</v>
      </c>
      <c r="W178" t="s">
        <v>2235</v>
      </c>
      <c r="X178" t="s">
        <v>2053</v>
      </c>
    </row>
    <row r="179" spans="2:24" x14ac:dyDescent="0.45">
      <c r="B179" t="s">
        <v>310</v>
      </c>
      <c r="C179">
        <v>0.98311203837609484</v>
      </c>
      <c r="D179">
        <v>6.6000000000000005</v>
      </c>
      <c r="E179">
        <v>0.99963999999999997</v>
      </c>
      <c r="U179" t="s">
        <v>131</v>
      </c>
      <c r="V179" t="s">
        <v>2241</v>
      </c>
      <c r="W179" t="s">
        <v>2235</v>
      </c>
      <c r="X179" t="s">
        <v>2053</v>
      </c>
    </row>
    <row r="180" spans="2:24" x14ac:dyDescent="0.45">
      <c r="B180" t="s">
        <v>311</v>
      </c>
      <c r="C180">
        <v>0.49155601918804742</v>
      </c>
      <c r="D180">
        <v>2.2000000000000002</v>
      </c>
      <c r="E180">
        <v>0.99987999999999999</v>
      </c>
      <c r="U180" t="s">
        <v>131</v>
      </c>
      <c r="V180" t="s">
        <v>2242</v>
      </c>
      <c r="W180" t="s">
        <v>2235</v>
      </c>
      <c r="X180" t="s">
        <v>2053</v>
      </c>
    </row>
    <row r="181" spans="2:24" x14ac:dyDescent="0.45">
      <c r="B181" t="s">
        <v>312</v>
      </c>
      <c r="C181">
        <v>4.4686910835277036</v>
      </c>
      <c r="D181">
        <v>11</v>
      </c>
      <c r="E181">
        <v>0.99939999999999996</v>
      </c>
      <c r="U181" t="s">
        <v>131</v>
      </c>
      <c r="V181" t="s">
        <v>2243</v>
      </c>
      <c r="W181" t="s">
        <v>2235</v>
      </c>
      <c r="X181" t="s">
        <v>2053</v>
      </c>
    </row>
    <row r="182" spans="2:24" x14ac:dyDescent="0.45">
      <c r="B182" t="s">
        <v>313</v>
      </c>
      <c r="C182">
        <v>0.49155601918804742</v>
      </c>
      <c r="D182">
        <v>7.7000000000000011</v>
      </c>
      <c r="E182">
        <v>0.99958000000000002</v>
      </c>
      <c r="U182" t="s">
        <v>131</v>
      </c>
      <c r="V182" t="s">
        <v>2244</v>
      </c>
      <c r="W182" t="s">
        <v>2235</v>
      </c>
      <c r="X182" t="s">
        <v>2053</v>
      </c>
    </row>
    <row r="183" spans="2:24" x14ac:dyDescent="0.45">
      <c r="B183" t="s">
        <v>314</v>
      </c>
      <c r="C183">
        <v>0.98311203837609484</v>
      </c>
      <c r="D183">
        <v>4.4000000000000004</v>
      </c>
      <c r="E183">
        <v>0.99975999999999998</v>
      </c>
      <c r="U183" t="s">
        <v>131</v>
      </c>
      <c r="V183" t="s">
        <v>2245</v>
      </c>
      <c r="W183" t="s">
        <v>2235</v>
      </c>
      <c r="X183" t="s">
        <v>2053</v>
      </c>
    </row>
    <row r="184" spans="2:24" x14ac:dyDescent="0.45">
      <c r="B184" t="s">
        <v>315</v>
      </c>
      <c r="C184">
        <v>2.2343455417638518</v>
      </c>
      <c r="D184">
        <v>4.4000000000000004</v>
      </c>
      <c r="E184">
        <v>0.99975999999999998</v>
      </c>
      <c r="U184" t="s">
        <v>131</v>
      </c>
      <c r="V184" t="s">
        <v>2246</v>
      </c>
      <c r="W184" t="s">
        <v>2235</v>
      </c>
      <c r="X184" t="s">
        <v>2053</v>
      </c>
    </row>
    <row r="185" spans="2:24" x14ac:dyDescent="0.45">
      <c r="B185" t="s">
        <v>316</v>
      </c>
      <c r="C185">
        <v>0.98311203837609484</v>
      </c>
      <c r="D185">
        <v>11</v>
      </c>
      <c r="E185">
        <v>0.99939999999999996</v>
      </c>
      <c r="U185" t="s">
        <v>131</v>
      </c>
      <c r="V185" t="s">
        <v>2247</v>
      </c>
      <c r="W185" t="s">
        <v>2235</v>
      </c>
      <c r="X185" t="s">
        <v>2053</v>
      </c>
    </row>
    <row r="186" spans="2:24" x14ac:dyDescent="0.45">
      <c r="B186" t="s">
        <v>317</v>
      </c>
      <c r="C186">
        <v>1.9662240767521897</v>
      </c>
      <c r="D186">
        <v>11</v>
      </c>
      <c r="E186">
        <v>0.99939999999999996</v>
      </c>
      <c r="U186" t="s">
        <v>131</v>
      </c>
      <c r="V186" t="s">
        <v>2248</v>
      </c>
      <c r="W186" t="s">
        <v>2030</v>
      </c>
      <c r="X186" t="s">
        <v>2053</v>
      </c>
    </row>
    <row r="187" spans="2:24" x14ac:dyDescent="0.45">
      <c r="B187" t="s">
        <v>318</v>
      </c>
      <c r="C187">
        <v>0.98311203837609484</v>
      </c>
      <c r="D187">
        <v>6.6000000000000005</v>
      </c>
      <c r="E187">
        <v>0.99963999999999997</v>
      </c>
      <c r="U187" t="s">
        <v>131</v>
      </c>
      <c r="V187" t="s">
        <v>2249</v>
      </c>
      <c r="W187" t="s">
        <v>2030</v>
      </c>
      <c r="X187" t="s">
        <v>2053</v>
      </c>
    </row>
    <row r="188" spans="2:24" x14ac:dyDescent="0.45">
      <c r="B188" t="s">
        <v>319</v>
      </c>
      <c r="C188">
        <v>4.4686910835277036</v>
      </c>
      <c r="D188">
        <v>9.9</v>
      </c>
      <c r="E188">
        <v>0.99946000000000002</v>
      </c>
      <c r="U188" t="s">
        <v>131</v>
      </c>
      <c r="V188" t="s">
        <v>2250</v>
      </c>
      <c r="W188" t="s">
        <v>2030</v>
      </c>
      <c r="X188" t="s">
        <v>2053</v>
      </c>
    </row>
    <row r="189" spans="2:24" x14ac:dyDescent="0.45">
      <c r="B189" t="s">
        <v>320</v>
      </c>
      <c r="C189">
        <v>4.4686910835277036</v>
      </c>
      <c r="D189">
        <v>29.700000000000003</v>
      </c>
      <c r="E189">
        <v>0.99838000000000005</v>
      </c>
      <c r="U189" t="s">
        <v>131</v>
      </c>
      <c r="V189" t="s">
        <v>2251</v>
      </c>
      <c r="W189" t="s">
        <v>2030</v>
      </c>
      <c r="X189" t="s">
        <v>2053</v>
      </c>
    </row>
    <row r="190" spans="2:24" x14ac:dyDescent="0.45">
      <c r="B190" t="s">
        <v>321</v>
      </c>
      <c r="C190">
        <v>0.98311203837609484</v>
      </c>
      <c r="D190">
        <v>5.5</v>
      </c>
      <c r="E190">
        <v>0.99970000000000003</v>
      </c>
      <c r="U190" t="s">
        <v>131</v>
      </c>
      <c r="V190" t="s">
        <v>2252</v>
      </c>
      <c r="W190" t="s">
        <v>2030</v>
      </c>
      <c r="X190" t="s">
        <v>2053</v>
      </c>
    </row>
    <row r="191" spans="2:24" x14ac:dyDescent="0.45">
      <c r="B191" t="s">
        <v>322</v>
      </c>
      <c r="C191">
        <v>0.98311203837609484</v>
      </c>
      <c r="D191">
        <v>24.200000000000003</v>
      </c>
      <c r="E191">
        <v>0.99868000000000001</v>
      </c>
      <c r="U191" t="s">
        <v>131</v>
      </c>
      <c r="V191" t="s">
        <v>2253</v>
      </c>
      <c r="W191" t="s">
        <v>2030</v>
      </c>
      <c r="X191" t="s">
        <v>2053</v>
      </c>
    </row>
    <row r="192" spans="2:24" x14ac:dyDescent="0.45">
      <c r="B192" t="s">
        <v>323</v>
      </c>
      <c r="C192">
        <v>1.9662240767521897</v>
      </c>
      <c r="D192">
        <v>15.400000000000002</v>
      </c>
      <c r="E192">
        <v>0.99916000000000005</v>
      </c>
      <c r="U192" t="s">
        <v>131</v>
      </c>
      <c r="V192" t="s">
        <v>2254</v>
      </c>
      <c r="W192" t="s">
        <v>2030</v>
      </c>
      <c r="X192" t="s">
        <v>2053</v>
      </c>
    </row>
    <row r="193" spans="2:24" x14ac:dyDescent="0.45">
      <c r="B193" t="s">
        <v>324</v>
      </c>
      <c r="C193">
        <v>0.98311203837609484</v>
      </c>
      <c r="D193">
        <v>5.5</v>
      </c>
      <c r="E193">
        <v>0.99970000000000003</v>
      </c>
      <c r="U193" t="s">
        <v>131</v>
      </c>
      <c r="V193" t="s">
        <v>2255</v>
      </c>
      <c r="W193" t="s">
        <v>2030</v>
      </c>
      <c r="X193" t="s">
        <v>2053</v>
      </c>
    </row>
    <row r="194" spans="2:24" x14ac:dyDescent="0.45">
      <c r="B194" t="s">
        <v>325</v>
      </c>
      <c r="C194">
        <v>4.4686910835277036</v>
      </c>
      <c r="D194">
        <v>3.3000000000000003</v>
      </c>
      <c r="E194">
        <v>0.99982000000000004</v>
      </c>
      <c r="U194" t="s">
        <v>131</v>
      </c>
      <c r="V194" t="s">
        <v>2256</v>
      </c>
      <c r="W194" t="s">
        <v>2030</v>
      </c>
      <c r="X194" t="s">
        <v>2053</v>
      </c>
    </row>
    <row r="195" spans="2:24" x14ac:dyDescent="0.45">
      <c r="B195" t="s">
        <v>326</v>
      </c>
      <c r="C195">
        <v>4.4686910835277036</v>
      </c>
      <c r="D195">
        <v>30.800000000000004</v>
      </c>
      <c r="E195">
        <v>0.99831999999999999</v>
      </c>
      <c r="U195" t="s">
        <v>131</v>
      </c>
      <c r="V195" t="s">
        <v>2257</v>
      </c>
      <c r="W195" t="s">
        <v>2030</v>
      </c>
      <c r="X195" t="s">
        <v>2053</v>
      </c>
    </row>
    <row r="196" spans="2:24" x14ac:dyDescent="0.45">
      <c r="B196" t="s">
        <v>327</v>
      </c>
      <c r="C196">
        <v>0.98311203837609484</v>
      </c>
      <c r="D196">
        <v>15.400000000000002</v>
      </c>
      <c r="E196">
        <v>0.99916000000000005</v>
      </c>
      <c r="U196" t="s">
        <v>131</v>
      </c>
      <c r="V196" t="s">
        <v>2258</v>
      </c>
      <c r="W196" t="s">
        <v>2030</v>
      </c>
      <c r="X196" t="s">
        <v>2053</v>
      </c>
    </row>
    <row r="197" spans="2:24" x14ac:dyDescent="0.45">
      <c r="B197" t="s">
        <v>328</v>
      </c>
      <c r="C197">
        <v>0.98311203837609484</v>
      </c>
      <c r="D197">
        <v>9.9</v>
      </c>
      <c r="E197">
        <v>0.99946000000000002</v>
      </c>
      <c r="U197" t="s">
        <v>131</v>
      </c>
      <c r="V197" t="s">
        <v>2259</v>
      </c>
      <c r="W197" t="s">
        <v>2030</v>
      </c>
      <c r="X197" t="s">
        <v>2053</v>
      </c>
    </row>
    <row r="198" spans="2:24" x14ac:dyDescent="0.45">
      <c r="B198" t="s">
        <v>329</v>
      </c>
      <c r="C198">
        <v>4.4686910835277036</v>
      </c>
      <c r="D198">
        <v>8.8000000000000007</v>
      </c>
      <c r="E198">
        <v>0.99951999999999996</v>
      </c>
      <c r="U198" t="s">
        <v>131</v>
      </c>
      <c r="V198" t="s">
        <v>2260</v>
      </c>
      <c r="W198" t="s">
        <v>2030</v>
      </c>
      <c r="X198" t="s">
        <v>2053</v>
      </c>
    </row>
    <row r="199" spans="2:24" x14ac:dyDescent="0.45">
      <c r="B199" t="s">
        <v>330</v>
      </c>
      <c r="C199">
        <v>4.4686910835277036</v>
      </c>
      <c r="D199">
        <v>7.7000000000000011</v>
      </c>
      <c r="E199">
        <v>0.99958000000000002</v>
      </c>
      <c r="U199" t="s">
        <v>131</v>
      </c>
      <c r="V199" t="s">
        <v>2261</v>
      </c>
      <c r="W199" t="s">
        <v>2262</v>
      </c>
      <c r="X199" t="s">
        <v>2053</v>
      </c>
    </row>
    <row r="200" spans="2:24" x14ac:dyDescent="0.45">
      <c r="B200" t="s">
        <v>331</v>
      </c>
      <c r="C200">
        <v>4.4686910835277036</v>
      </c>
      <c r="D200">
        <v>1.1000000000000001</v>
      </c>
      <c r="E200">
        <v>0.99994000000000005</v>
      </c>
      <c r="U200" t="s">
        <v>131</v>
      </c>
      <c r="V200" t="s">
        <v>2263</v>
      </c>
      <c r="W200" t="s">
        <v>2262</v>
      </c>
      <c r="X200" t="s">
        <v>2053</v>
      </c>
    </row>
    <row r="201" spans="2:24" x14ac:dyDescent="0.45">
      <c r="B201" t="s">
        <v>332</v>
      </c>
      <c r="C201">
        <v>4.4686910835277036</v>
      </c>
      <c r="D201">
        <v>63.800000000000004</v>
      </c>
      <c r="E201">
        <v>0.99651999999999996</v>
      </c>
      <c r="U201" t="s">
        <v>131</v>
      </c>
      <c r="V201" t="s">
        <v>2264</v>
      </c>
      <c r="W201" t="s">
        <v>2262</v>
      </c>
      <c r="X201" t="s">
        <v>2053</v>
      </c>
    </row>
    <row r="202" spans="2:24" x14ac:dyDescent="0.45">
      <c r="B202" t="s">
        <v>333</v>
      </c>
      <c r="C202">
        <v>0.98311203837609484</v>
      </c>
      <c r="D202">
        <v>29.700000000000003</v>
      </c>
      <c r="E202">
        <v>0.99838000000000005</v>
      </c>
      <c r="U202" t="s">
        <v>131</v>
      </c>
      <c r="V202" t="s">
        <v>2265</v>
      </c>
      <c r="W202" t="s">
        <v>2262</v>
      </c>
      <c r="X202" t="s">
        <v>2053</v>
      </c>
    </row>
    <row r="203" spans="2:24" x14ac:dyDescent="0.45">
      <c r="B203" t="s">
        <v>334</v>
      </c>
      <c r="C203">
        <v>4.4686910835277036</v>
      </c>
      <c r="D203">
        <v>3.3000000000000003</v>
      </c>
      <c r="E203">
        <v>0.99982000000000004</v>
      </c>
      <c r="U203" t="s">
        <v>131</v>
      </c>
      <c r="V203" t="s">
        <v>2266</v>
      </c>
      <c r="W203" t="s">
        <v>2262</v>
      </c>
      <c r="X203" t="s">
        <v>2053</v>
      </c>
    </row>
    <row r="204" spans="2:24" x14ac:dyDescent="0.45">
      <c r="B204" t="s">
        <v>335</v>
      </c>
      <c r="C204">
        <v>2.2343455417638518</v>
      </c>
      <c r="D204">
        <v>2.2000000000000002</v>
      </c>
      <c r="E204">
        <v>0.99987999999999999</v>
      </c>
      <c r="U204" t="s">
        <v>131</v>
      </c>
      <c r="V204" t="s">
        <v>2267</v>
      </c>
      <c r="W204" t="s">
        <v>2262</v>
      </c>
      <c r="X204" t="s">
        <v>2053</v>
      </c>
    </row>
    <row r="205" spans="2:24" x14ac:dyDescent="0.45">
      <c r="B205" t="s">
        <v>336</v>
      </c>
      <c r="C205">
        <v>6.7030366252915563</v>
      </c>
      <c r="D205">
        <v>28.6</v>
      </c>
      <c r="E205">
        <v>0.99843999999999999</v>
      </c>
      <c r="U205" t="s">
        <v>131</v>
      </c>
      <c r="V205" t="s">
        <v>2268</v>
      </c>
      <c r="W205" t="s">
        <v>2262</v>
      </c>
      <c r="X205" t="s">
        <v>2053</v>
      </c>
    </row>
    <row r="206" spans="2:24" x14ac:dyDescent="0.45">
      <c r="B206" t="s">
        <v>337</v>
      </c>
      <c r="C206">
        <v>2.2343455417638518</v>
      </c>
      <c r="D206">
        <v>2.2000000000000002</v>
      </c>
      <c r="E206">
        <v>0.99987999999999999</v>
      </c>
      <c r="U206" t="s">
        <v>131</v>
      </c>
      <c r="V206" t="s">
        <v>2269</v>
      </c>
      <c r="W206" t="s">
        <v>2262</v>
      </c>
      <c r="X206" t="s">
        <v>2053</v>
      </c>
    </row>
    <row r="207" spans="2:24" x14ac:dyDescent="0.45">
      <c r="B207" t="s">
        <v>338</v>
      </c>
      <c r="C207">
        <v>4.4686910835277036</v>
      </c>
      <c r="D207">
        <v>3.3000000000000003</v>
      </c>
      <c r="E207">
        <v>0.99982000000000004</v>
      </c>
      <c r="U207" t="s">
        <v>131</v>
      </c>
      <c r="V207" t="s">
        <v>2270</v>
      </c>
      <c r="W207" t="s">
        <v>2262</v>
      </c>
      <c r="X207" t="s">
        <v>2053</v>
      </c>
    </row>
    <row r="208" spans="2:24" x14ac:dyDescent="0.45">
      <c r="B208" t="s">
        <v>339</v>
      </c>
      <c r="C208">
        <v>4.4686910835277036</v>
      </c>
      <c r="D208">
        <v>1.1000000000000001</v>
      </c>
      <c r="E208">
        <v>0.99994000000000005</v>
      </c>
      <c r="U208" t="s">
        <v>131</v>
      </c>
      <c r="V208" t="s">
        <v>2271</v>
      </c>
      <c r="W208" t="s">
        <v>2262</v>
      </c>
      <c r="X208" t="s">
        <v>2053</v>
      </c>
    </row>
    <row r="209" spans="2:24" x14ac:dyDescent="0.45">
      <c r="B209" t="s">
        <v>340</v>
      </c>
      <c r="C209">
        <v>6.7030366252915563</v>
      </c>
      <c r="D209">
        <v>4.4000000000000004</v>
      </c>
      <c r="E209">
        <v>0.99975999999999998</v>
      </c>
      <c r="U209" t="s">
        <v>131</v>
      </c>
      <c r="V209" t="s">
        <v>2272</v>
      </c>
      <c r="W209" t="s">
        <v>2262</v>
      </c>
      <c r="X209" t="s">
        <v>2053</v>
      </c>
    </row>
    <row r="210" spans="2:24" x14ac:dyDescent="0.45">
      <c r="B210" t="s">
        <v>341</v>
      </c>
      <c r="C210">
        <v>0.98311203837609484</v>
      </c>
      <c r="D210">
        <v>5.5</v>
      </c>
      <c r="E210">
        <v>0.99970000000000003</v>
      </c>
      <c r="U210" t="s">
        <v>131</v>
      </c>
      <c r="V210" t="s">
        <v>2273</v>
      </c>
      <c r="W210" t="s">
        <v>2262</v>
      </c>
      <c r="X210" t="s">
        <v>2053</v>
      </c>
    </row>
    <row r="211" spans="2:24" x14ac:dyDescent="0.45">
      <c r="B211" t="s">
        <v>342</v>
      </c>
      <c r="C211">
        <v>0.49155601918804742</v>
      </c>
      <c r="D211">
        <v>2.2000000000000002</v>
      </c>
      <c r="E211">
        <v>0.99987999999999999</v>
      </c>
      <c r="U211" t="s">
        <v>131</v>
      </c>
      <c r="V211" t="s">
        <v>2274</v>
      </c>
      <c r="W211" t="s">
        <v>2262</v>
      </c>
      <c r="X211" t="s">
        <v>2053</v>
      </c>
    </row>
    <row r="212" spans="2:24" x14ac:dyDescent="0.45">
      <c r="B212" t="s">
        <v>343</v>
      </c>
      <c r="C212">
        <v>0.98311203837609484</v>
      </c>
      <c r="D212">
        <v>41.800000000000004</v>
      </c>
      <c r="E212">
        <v>0.99772000000000005</v>
      </c>
      <c r="U212" t="s">
        <v>131</v>
      </c>
      <c r="V212" t="s">
        <v>2275</v>
      </c>
      <c r="W212" t="s">
        <v>2276</v>
      </c>
      <c r="X212" t="s">
        <v>2053</v>
      </c>
    </row>
    <row r="213" spans="2:24" x14ac:dyDescent="0.45">
      <c r="B213" t="s">
        <v>344</v>
      </c>
      <c r="C213">
        <v>1.9662240767521897</v>
      </c>
      <c r="D213">
        <v>2.2000000000000002</v>
      </c>
      <c r="E213">
        <v>0.99987999999999999</v>
      </c>
      <c r="U213" t="s">
        <v>131</v>
      </c>
      <c r="V213" t="s">
        <v>2277</v>
      </c>
      <c r="W213" t="s">
        <v>2276</v>
      </c>
      <c r="X213" t="s">
        <v>2053</v>
      </c>
    </row>
    <row r="214" spans="2:24" x14ac:dyDescent="0.45">
      <c r="B214" t="s">
        <v>345</v>
      </c>
      <c r="C214">
        <v>0.98311203837609484</v>
      </c>
      <c r="D214">
        <v>14.3</v>
      </c>
      <c r="E214">
        <v>0.99922</v>
      </c>
      <c r="U214" t="s">
        <v>131</v>
      </c>
      <c r="V214" t="s">
        <v>2278</v>
      </c>
      <c r="W214" t="s">
        <v>2276</v>
      </c>
      <c r="X214" t="s">
        <v>2053</v>
      </c>
    </row>
    <row r="215" spans="2:24" x14ac:dyDescent="0.45">
      <c r="B215" t="s">
        <v>346</v>
      </c>
      <c r="C215">
        <v>0.98311203837609484</v>
      </c>
      <c r="D215">
        <v>35.200000000000003</v>
      </c>
      <c r="E215">
        <v>0.99807999999999997</v>
      </c>
      <c r="U215" t="s">
        <v>131</v>
      </c>
      <c r="V215" t="s">
        <v>2279</v>
      </c>
      <c r="W215" t="s">
        <v>2276</v>
      </c>
      <c r="X215" t="s">
        <v>2053</v>
      </c>
    </row>
    <row r="216" spans="2:24" x14ac:dyDescent="0.45">
      <c r="B216" t="s">
        <v>347</v>
      </c>
      <c r="C216">
        <v>4.4686910835277036</v>
      </c>
      <c r="D216">
        <v>46.2</v>
      </c>
      <c r="E216">
        <v>0.99748000000000003</v>
      </c>
      <c r="U216" t="s">
        <v>131</v>
      </c>
      <c r="V216" t="s">
        <v>2280</v>
      </c>
      <c r="W216" t="s">
        <v>2276</v>
      </c>
      <c r="X216" t="s">
        <v>2053</v>
      </c>
    </row>
    <row r="217" spans="2:24" x14ac:dyDescent="0.45">
      <c r="B217" t="s">
        <v>348</v>
      </c>
      <c r="C217">
        <v>2.2343455417638518</v>
      </c>
      <c r="D217">
        <v>7.7000000000000011</v>
      </c>
      <c r="E217">
        <v>0.99958000000000002</v>
      </c>
      <c r="U217" t="s">
        <v>131</v>
      </c>
      <c r="V217" t="s">
        <v>2281</v>
      </c>
      <c r="W217" t="s">
        <v>2276</v>
      </c>
      <c r="X217" t="s">
        <v>2053</v>
      </c>
    </row>
    <row r="218" spans="2:24" x14ac:dyDescent="0.45">
      <c r="B218" t="s">
        <v>349</v>
      </c>
      <c r="C218">
        <v>2.2343455417638518</v>
      </c>
      <c r="D218">
        <v>3.3000000000000003</v>
      </c>
      <c r="E218">
        <v>0.99982000000000004</v>
      </c>
      <c r="U218" t="s">
        <v>131</v>
      </c>
      <c r="V218" t="s">
        <v>2282</v>
      </c>
      <c r="W218" t="s">
        <v>2276</v>
      </c>
      <c r="X218" t="s">
        <v>2053</v>
      </c>
    </row>
    <row r="219" spans="2:24" x14ac:dyDescent="0.45">
      <c r="B219" t="s">
        <v>350</v>
      </c>
      <c r="C219">
        <v>4.4686910835277036</v>
      </c>
      <c r="D219">
        <v>11</v>
      </c>
      <c r="E219">
        <v>0.99939999999999996</v>
      </c>
      <c r="U219" t="s">
        <v>131</v>
      </c>
      <c r="V219" t="s">
        <v>2283</v>
      </c>
      <c r="W219" t="s">
        <v>2276</v>
      </c>
      <c r="X219" t="s">
        <v>2053</v>
      </c>
    </row>
    <row r="220" spans="2:24" x14ac:dyDescent="0.45">
      <c r="B220" t="s">
        <v>351</v>
      </c>
      <c r="C220">
        <v>2.2343455417638518</v>
      </c>
      <c r="D220">
        <v>1.1000000000000001</v>
      </c>
      <c r="E220">
        <v>0.99994000000000005</v>
      </c>
      <c r="U220" t="s">
        <v>131</v>
      </c>
      <c r="V220" t="s">
        <v>2284</v>
      </c>
      <c r="W220" t="s">
        <v>2276</v>
      </c>
      <c r="X220" t="s">
        <v>2053</v>
      </c>
    </row>
    <row r="221" spans="2:24" x14ac:dyDescent="0.45">
      <c r="B221" t="s">
        <v>352</v>
      </c>
      <c r="C221">
        <v>2.2343455417638518</v>
      </c>
      <c r="D221">
        <v>1.1000000000000001</v>
      </c>
      <c r="E221">
        <v>0.99994000000000005</v>
      </c>
      <c r="U221" t="s">
        <v>131</v>
      </c>
      <c r="V221" t="s">
        <v>2285</v>
      </c>
      <c r="W221" t="s">
        <v>2276</v>
      </c>
      <c r="X221" t="s">
        <v>2053</v>
      </c>
    </row>
    <row r="222" spans="2:24" x14ac:dyDescent="0.45">
      <c r="B222" t="s">
        <v>353</v>
      </c>
      <c r="C222">
        <v>4.4686910835277036</v>
      </c>
      <c r="D222">
        <v>1.1000000000000001</v>
      </c>
      <c r="E222">
        <v>0.99994000000000005</v>
      </c>
      <c r="U222" t="s">
        <v>131</v>
      </c>
      <c r="V222" t="s">
        <v>2286</v>
      </c>
      <c r="W222" t="s">
        <v>2276</v>
      </c>
      <c r="X222" t="s">
        <v>2053</v>
      </c>
    </row>
    <row r="223" spans="2:24" x14ac:dyDescent="0.45">
      <c r="B223" t="s">
        <v>354</v>
      </c>
      <c r="C223">
        <v>4.4686910835277036</v>
      </c>
      <c r="D223">
        <v>9.9</v>
      </c>
      <c r="E223">
        <v>0.99946000000000002</v>
      </c>
      <c r="U223" t="s">
        <v>131</v>
      </c>
      <c r="V223" t="s">
        <v>2287</v>
      </c>
      <c r="W223" t="s">
        <v>2276</v>
      </c>
      <c r="X223" t="s">
        <v>2053</v>
      </c>
    </row>
    <row r="224" spans="2:24" x14ac:dyDescent="0.45">
      <c r="B224" t="s">
        <v>355</v>
      </c>
      <c r="C224">
        <v>0.98311203837609484</v>
      </c>
      <c r="D224">
        <v>3.3000000000000003</v>
      </c>
      <c r="E224">
        <v>0.99982000000000004</v>
      </c>
      <c r="U224" t="s">
        <v>131</v>
      </c>
      <c r="V224" t="s">
        <v>2288</v>
      </c>
      <c r="W224" t="s">
        <v>2276</v>
      </c>
      <c r="X224" t="s">
        <v>2053</v>
      </c>
    </row>
    <row r="225" spans="2:24" x14ac:dyDescent="0.45">
      <c r="B225" t="s">
        <v>356</v>
      </c>
      <c r="C225">
        <v>0.49155601918804742</v>
      </c>
      <c r="D225">
        <v>4.4000000000000004</v>
      </c>
      <c r="E225">
        <v>0.99975999999999998</v>
      </c>
      <c r="U225" t="s">
        <v>131</v>
      </c>
      <c r="V225" t="s">
        <v>2289</v>
      </c>
      <c r="W225" t="s">
        <v>2290</v>
      </c>
      <c r="X225" t="s">
        <v>2053</v>
      </c>
    </row>
    <row r="226" spans="2:24" x14ac:dyDescent="0.45">
      <c r="B226" t="s">
        <v>357</v>
      </c>
      <c r="C226">
        <v>4.4686910835277036</v>
      </c>
      <c r="D226">
        <v>4.4000000000000004</v>
      </c>
      <c r="E226">
        <v>0.99975999999999998</v>
      </c>
      <c r="U226" t="s">
        <v>131</v>
      </c>
      <c r="V226" t="s">
        <v>2291</v>
      </c>
      <c r="W226" t="s">
        <v>2290</v>
      </c>
      <c r="X226" t="s">
        <v>2053</v>
      </c>
    </row>
    <row r="227" spans="2:24" x14ac:dyDescent="0.45">
      <c r="B227" t="s">
        <v>358</v>
      </c>
      <c r="C227">
        <v>4.4686910835277036</v>
      </c>
      <c r="D227">
        <v>5.5</v>
      </c>
      <c r="E227">
        <v>0.99970000000000003</v>
      </c>
      <c r="U227" t="s">
        <v>131</v>
      </c>
      <c r="V227" t="s">
        <v>2292</v>
      </c>
      <c r="W227" t="s">
        <v>2290</v>
      </c>
      <c r="X227" t="s">
        <v>2053</v>
      </c>
    </row>
    <row r="228" spans="2:24" x14ac:dyDescent="0.45">
      <c r="B228" t="s">
        <v>359</v>
      </c>
      <c r="C228">
        <v>4.4686910835277036</v>
      </c>
      <c r="D228">
        <v>9.9</v>
      </c>
      <c r="E228">
        <v>0.99946000000000002</v>
      </c>
      <c r="U228" t="s">
        <v>131</v>
      </c>
      <c r="V228" t="s">
        <v>2293</v>
      </c>
      <c r="W228" t="s">
        <v>2290</v>
      </c>
      <c r="X228" t="s">
        <v>2053</v>
      </c>
    </row>
    <row r="229" spans="2:24" x14ac:dyDescent="0.45">
      <c r="B229" t="s">
        <v>360</v>
      </c>
      <c r="C229">
        <v>8.9373821670554072</v>
      </c>
      <c r="D229">
        <v>1.1000000000000001</v>
      </c>
      <c r="E229">
        <v>0.99994000000000005</v>
      </c>
      <c r="U229" t="s">
        <v>131</v>
      </c>
      <c r="V229" t="s">
        <v>2294</v>
      </c>
      <c r="W229" t="s">
        <v>2290</v>
      </c>
      <c r="X229" t="s">
        <v>2053</v>
      </c>
    </row>
    <row r="230" spans="2:24" x14ac:dyDescent="0.45">
      <c r="B230" t="s">
        <v>361</v>
      </c>
      <c r="C230">
        <v>4.4686910835277036</v>
      </c>
      <c r="D230">
        <v>16.5</v>
      </c>
      <c r="E230">
        <v>0.99909999999999999</v>
      </c>
      <c r="U230" t="s">
        <v>131</v>
      </c>
      <c r="V230" t="s">
        <v>2295</v>
      </c>
      <c r="W230" t="s">
        <v>2290</v>
      </c>
      <c r="X230" t="s">
        <v>2053</v>
      </c>
    </row>
    <row r="231" spans="2:24" x14ac:dyDescent="0.45">
      <c r="B231" t="s">
        <v>362</v>
      </c>
      <c r="C231">
        <v>8.9373821670554072</v>
      </c>
      <c r="D231">
        <v>5.5</v>
      </c>
      <c r="E231">
        <v>0.99970000000000003</v>
      </c>
      <c r="U231" t="s">
        <v>131</v>
      </c>
      <c r="V231" t="s">
        <v>2296</v>
      </c>
      <c r="W231" t="s">
        <v>2290</v>
      </c>
      <c r="X231" t="s">
        <v>2053</v>
      </c>
    </row>
    <row r="232" spans="2:24" x14ac:dyDescent="0.45">
      <c r="B232" t="s">
        <v>363</v>
      </c>
      <c r="C232">
        <v>0.98311203837609484</v>
      </c>
      <c r="D232">
        <v>5.5</v>
      </c>
      <c r="E232">
        <v>0.99970000000000003</v>
      </c>
      <c r="U232" t="s">
        <v>131</v>
      </c>
      <c r="V232" t="s">
        <v>2297</v>
      </c>
      <c r="W232" t="s">
        <v>2290</v>
      </c>
      <c r="X232" t="s">
        <v>2053</v>
      </c>
    </row>
    <row r="233" spans="2:24" x14ac:dyDescent="0.45">
      <c r="B233" t="s">
        <v>364</v>
      </c>
      <c r="C233">
        <v>0.98311203837609484</v>
      </c>
      <c r="D233">
        <v>100.10000000000001</v>
      </c>
      <c r="E233">
        <v>0.99453999999999998</v>
      </c>
      <c r="U233" t="s">
        <v>131</v>
      </c>
      <c r="V233" t="s">
        <v>2298</v>
      </c>
      <c r="W233" t="s">
        <v>2290</v>
      </c>
      <c r="X233" t="s">
        <v>2053</v>
      </c>
    </row>
    <row r="234" spans="2:24" x14ac:dyDescent="0.45">
      <c r="B234" t="s">
        <v>365</v>
      </c>
      <c r="C234">
        <v>4.4686910835277036</v>
      </c>
      <c r="D234">
        <v>2.2000000000000002</v>
      </c>
      <c r="E234">
        <v>0.99987999999999999</v>
      </c>
      <c r="U234" t="s">
        <v>131</v>
      </c>
      <c r="V234" t="s">
        <v>2299</v>
      </c>
      <c r="W234" t="s">
        <v>2290</v>
      </c>
      <c r="X234" t="s">
        <v>2053</v>
      </c>
    </row>
    <row r="235" spans="2:24" x14ac:dyDescent="0.45">
      <c r="B235" t="s">
        <v>366</v>
      </c>
      <c r="C235">
        <v>4.4686910835277036</v>
      </c>
      <c r="D235">
        <v>18.700000000000003</v>
      </c>
      <c r="E235">
        <v>0.99897999999999998</v>
      </c>
      <c r="U235" t="s">
        <v>131</v>
      </c>
      <c r="V235" t="s">
        <v>2300</v>
      </c>
      <c r="W235" t="s">
        <v>2290</v>
      </c>
      <c r="X235" t="s">
        <v>2053</v>
      </c>
    </row>
    <row r="236" spans="2:24" x14ac:dyDescent="0.45">
      <c r="B236" t="s">
        <v>367</v>
      </c>
      <c r="C236">
        <v>4.4686910835277036</v>
      </c>
      <c r="D236">
        <v>6.6000000000000005</v>
      </c>
      <c r="E236">
        <v>0.99963999999999997</v>
      </c>
      <c r="U236" t="s">
        <v>131</v>
      </c>
      <c r="V236" t="s">
        <v>2301</v>
      </c>
      <c r="W236" t="s">
        <v>2290</v>
      </c>
      <c r="X236" t="s">
        <v>2053</v>
      </c>
    </row>
    <row r="237" spans="2:24" x14ac:dyDescent="0.45">
      <c r="B237" t="s">
        <v>368</v>
      </c>
      <c r="C237">
        <v>4.4686910835277036</v>
      </c>
      <c r="D237">
        <v>12.100000000000001</v>
      </c>
      <c r="E237">
        <v>0.99934000000000001</v>
      </c>
      <c r="U237" t="s">
        <v>131</v>
      </c>
      <c r="V237" t="s">
        <v>2302</v>
      </c>
      <c r="W237" t="s">
        <v>2290</v>
      </c>
      <c r="X237" t="s">
        <v>2053</v>
      </c>
    </row>
    <row r="238" spans="2:24" x14ac:dyDescent="0.45">
      <c r="B238" t="s">
        <v>369</v>
      </c>
      <c r="C238">
        <v>4.4686910835277036</v>
      </c>
      <c r="D238">
        <v>7.7000000000000011</v>
      </c>
      <c r="E238">
        <v>0.99958000000000002</v>
      </c>
      <c r="U238" t="s">
        <v>131</v>
      </c>
      <c r="V238" t="s">
        <v>2303</v>
      </c>
      <c r="W238" t="s">
        <v>2304</v>
      </c>
      <c r="X238" t="s">
        <v>2053</v>
      </c>
    </row>
    <row r="239" spans="2:24" x14ac:dyDescent="0.45">
      <c r="B239" t="s">
        <v>370</v>
      </c>
      <c r="C239">
        <v>4.4686910835277036</v>
      </c>
      <c r="D239">
        <v>2.2000000000000002</v>
      </c>
      <c r="E239">
        <v>0.99987999999999999</v>
      </c>
      <c r="U239" t="s">
        <v>131</v>
      </c>
      <c r="V239" t="s">
        <v>2305</v>
      </c>
      <c r="W239" t="s">
        <v>2304</v>
      </c>
      <c r="X239" t="s">
        <v>2053</v>
      </c>
    </row>
    <row r="240" spans="2:24" x14ac:dyDescent="0.45">
      <c r="B240" t="s">
        <v>371</v>
      </c>
      <c r="C240">
        <v>0.98311203837609484</v>
      </c>
      <c r="D240">
        <v>38.5</v>
      </c>
      <c r="E240">
        <v>0.99790000000000001</v>
      </c>
      <c r="U240" t="s">
        <v>131</v>
      </c>
      <c r="V240" t="s">
        <v>2306</v>
      </c>
      <c r="W240" t="s">
        <v>2304</v>
      </c>
      <c r="X240" t="s">
        <v>2053</v>
      </c>
    </row>
    <row r="241" spans="2:24" x14ac:dyDescent="0.45">
      <c r="B241" t="s">
        <v>372</v>
      </c>
      <c r="C241">
        <v>4.4686910835277036</v>
      </c>
      <c r="D241">
        <v>7.7000000000000011</v>
      </c>
      <c r="E241">
        <v>0.99958000000000002</v>
      </c>
      <c r="U241" t="s">
        <v>131</v>
      </c>
      <c r="V241" t="s">
        <v>2307</v>
      </c>
      <c r="W241" t="s">
        <v>2304</v>
      </c>
      <c r="X241" t="s">
        <v>2053</v>
      </c>
    </row>
    <row r="242" spans="2:24" x14ac:dyDescent="0.45">
      <c r="B242" t="s">
        <v>373</v>
      </c>
      <c r="C242">
        <v>4.4686910835277036</v>
      </c>
      <c r="D242">
        <v>2.2000000000000002</v>
      </c>
      <c r="E242">
        <v>0.99987999999999999</v>
      </c>
      <c r="U242" t="s">
        <v>131</v>
      </c>
      <c r="V242" t="s">
        <v>2308</v>
      </c>
      <c r="W242" t="s">
        <v>2304</v>
      </c>
      <c r="X242" t="s">
        <v>2053</v>
      </c>
    </row>
    <row r="243" spans="2:24" x14ac:dyDescent="0.45">
      <c r="B243" t="s">
        <v>374</v>
      </c>
      <c r="C243">
        <v>4.4686910835277036</v>
      </c>
      <c r="D243">
        <v>8.8000000000000007</v>
      </c>
      <c r="E243">
        <v>0.99951999999999996</v>
      </c>
      <c r="U243" t="s">
        <v>131</v>
      </c>
      <c r="V243" t="s">
        <v>2309</v>
      </c>
      <c r="W243" t="s">
        <v>2304</v>
      </c>
      <c r="X243" t="s">
        <v>2053</v>
      </c>
    </row>
    <row r="244" spans="2:24" x14ac:dyDescent="0.45">
      <c r="B244" t="s">
        <v>375</v>
      </c>
      <c r="C244">
        <v>4.4686910835277036</v>
      </c>
      <c r="D244">
        <v>2.2000000000000002</v>
      </c>
      <c r="E244">
        <v>0.99987999999999999</v>
      </c>
      <c r="U244" t="s">
        <v>131</v>
      </c>
      <c r="V244" t="s">
        <v>2310</v>
      </c>
      <c r="W244" t="s">
        <v>2304</v>
      </c>
      <c r="X244" t="s">
        <v>2053</v>
      </c>
    </row>
    <row r="245" spans="2:24" x14ac:dyDescent="0.45">
      <c r="B245" t="s">
        <v>376</v>
      </c>
      <c r="C245">
        <v>4.4686910835277036</v>
      </c>
      <c r="D245">
        <v>7.7000000000000011</v>
      </c>
      <c r="E245">
        <v>0.99958000000000002</v>
      </c>
      <c r="U245" t="s">
        <v>131</v>
      </c>
      <c r="V245" t="s">
        <v>2311</v>
      </c>
      <c r="W245" t="s">
        <v>2304</v>
      </c>
      <c r="X245" t="s">
        <v>2053</v>
      </c>
    </row>
    <row r="246" spans="2:24" x14ac:dyDescent="0.45">
      <c r="B246" t="s">
        <v>377</v>
      </c>
      <c r="C246">
        <v>4.4686910835277036</v>
      </c>
      <c r="D246">
        <v>6.6000000000000005</v>
      </c>
      <c r="E246">
        <v>0.99963999999999997</v>
      </c>
      <c r="U246" t="s">
        <v>131</v>
      </c>
      <c r="V246" t="s">
        <v>2312</v>
      </c>
      <c r="W246" t="s">
        <v>2304</v>
      </c>
      <c r="X246" t="s">
        <v>2053</v>
      </c>
    </row>
    <row r="247" spans="2:24" x14ac:dyDescent="0.45">
      <c r="B247" t="s">
        <v>378</v>
      </c>
      <c r="C247">
        <v>4.4686910835277036</v>
      </c>
      <c r="D247">
        <v>4.4000000000000004</v>
      </c>
      <c r="E247">
        <v>0.99975999999999998</v>
      </c>
      <c r="U247" t="s">
        <v>131</v>
      </c>
      <c r="V247" t="s">
        <v>2313</v>
      </c>
      <c r="W247" t="s">
        <v>2304</v>
      </c>
      <c r="X247" t="s">
        <v>2053</v>
      </c>
    </row>
    <row r="248" spans="2:24" x14ac:dyDescent="0.45">
      <c r="B248" t="s">
        <v>379</v>
      </c>
      <c r="C248">
        <v>4.4686910835277036</v>
      </c>
      <c r="D248">
        <v>5.5</v>
      </c>
      <c r="E248">
        <v>0.99970000000000003</v>
      </c>
      <c r="U248" t="s">
        <v>131</v>
      </c>
      <c r="V248" t="s">
        <v>2314</v>
      </c>
      <c r="W248" t="s">
        <v>2304</v>
      </c>
      <c r="X248" t="s">
        <v>2053</v>
      </c>
    </row>
    <row r="249" spans="2:24" x14ac:dyDescent="0.45">
      <c r="B249" t="s">
        <v>380</v>
      </c>
      <c r="C249">
        <v>4.4686910835277036</v>
      </c>
      <c r="D249">
        <v>5.5</v>
      </c>
      <c r="E249">
        <v>0.99970000000000003</v>
      </c>
      <c r="U249" t="s">
        <v>131</v>
      </c>
      <c r="V249" t="s">
        <v>2315</v>
      </c>
      <c r="W249" t="s">
        <v>2304</v>
      </c>
      <c r="X249" t="s">
        <v>2053</v>
      </c>
    </row>
    <row r="250" spans="2:24" x14ac:dyDescent="0.45">
      <c r="B250" t="s">
        <v>381</v>
      </c>
      <c r="C250">
        <v>0.98311203837609484</v>
      </c>
      <c r="D250">
        <v>1.1000000000000001</v>
      </c>
      <c r="E250">
        <v>0.99994000000000005</v>
      </c>
      <c r="U250" t="s">
        <v>131</v>
      </c>
      <c r="V250" t="s">
        <v>2316</v>
      </c>
      <c r="W250" t="s">
        <v>2304</v>
      </c>
      <c r="X250" t="s">
        <v>2053</v>
      </c>
    </row>
    <row r="251" spans="2:24" x14ac:dyDescent="0.45">
      <c r="B251" t="s">
        <v>382</v>
      </c>
      <c r="C251">
        <v>0.98311203837609484</v>
      </c>
      <c r="D251">
        <v>1.1000000000000001</v>
      </c>
      <c r="E251">
        <v>0.99994000000000005</v>
      </c>
      <c r="U251" t="s">
        <v>131</v>
      </c>
      <c r="V251" t="s">
        <v>2317</v>
      </c>
      <c r="W251" t="s">
        <v>2318</v>
      </c>
      <c r="X251" t="s">
        <v>2053</v>
      </c>
    </row>
    <row r="252" spans="2:24" x14ac:dyDescent="0.45">
      <c r="B252" t="s">
        <v>383</v>
      </c>
      <c r="C252">
        <v>0.98311203837609484</v>
      </c>
      <c r="D252">
        <v>62.7</v>
      </c>
      <c r="E252">
        <v>0.99658000000000002</v>
      </c>
      <c r="U252" t="s">
        <v>131</v>
      </c>
      <c r="V252" t="s">
        <v>2319</v>
      </c>
      <c r="W252" t="s">
        <v>2318</v>
      </c>
      <c r="X252" t="s">
        <v>2053</v>
      </c>
    </row>
    <row r="253" spans="2:24" x14ac:dyDescent="0.45">
      <c r="B253" t="s">
        <v>384</v>
      </c>
      <c r="C253">
        <v>4.4686910835277036</v>
      </c>
      <c r="D253">
        <v>1.1000000000000001</v>
      </c>
      <c r="E253">
        <v>0.99994000000000005</v>
      </c>
      <c r="U253" t="s">
        <v>131</v>
      </c>
      <c r="V253" t="s">
        <v>2320</v>
      </c>
      <c r="W253" t="s">
        <v>2318</v>
      </c>
      <c r="X253" t="s">
        <v>2053</v>
      </c>
    </row>
    <row r="254" spans="2:24" x14ac:dyDescent="0.45">
      <c r="B254" t="s">
        <v>385</v>
      </c>
      <c r="C254">
        <v>0.98311203837609484</v>
      </c>
      <c r="D254">
        <v>27.500000000000004</v>
      </c>
      <c r="E254">
        <v>0.99850000000000005</v>
      </c>
      <c r="U254" t="s">
        <v>131</v>
      </c>
      <c r="V254" t="s">
        <v>2321</v>
      </c>
      <c r="W254" t="s">
        <v>2318</v>
      </c>
      <c r="X254" t="s">
        <v>2053</v>
      </c>
    </row>
    <row r="255" spans="2:24" x14ac:dyDescent="0.45">
      <c r="B255" t="s">
        <v>386</v>
      </c>
      <c r="C255">
        <v>4.4686910835277036</v>
      </c>
      <c r="D255">
        <v>7.7000000000000011</v>
      </c>
      <c r="E255">
        <v>0.99958000000000002</v>
      </c>
      <c r="U255" t="s">
        <v>131</v>
      </c>
      <c r="V255" t="s">
        <v>2322</v>
      </c>
      <c r="W255" t="s">
        <v>2318</v>
      </c>
      <c r="X255" t="s">
        <v>2053</v>
      </c>
    </row>
    <row r="256" spans="2:24" x14ac:dyDescent="0.45">
      <c r="B256" t="s">
        <v>387</v>
      </c>
      <c r="C256">
        <v>4.4686910835277036</v>
      </c>
      <c r="D256">
        <v>2.2000000000000002</v>
      </c>
      <c r="E256">
        <v>0.99987999999999999</v>
      </c>
      <c r="U256" t="s">
        <v>131</v>
      </c>
      <c r="V256" t="s">
        <v>2323</v>
      </c>
      <c r="W256" t="s">
        <v>2318</v>
      </c>
      <c r="X256" t="s">
        <v>2053</v>
      </c>
    </row>
    <row r="257" spans="2:24" x14ac:dyDescent="0.45">
      <c r="B257" t="s">
        <v>388</v>
      </c>
      <c r="C257">
        <v>4.4686910835277036</v>
      </c>
      <c r="D257">
        <v>13.200000000000001</v>
      </c>
      <c r="E257">
        <v>0.99927999999999995</v>
      </c>
      <c r="U257" t="s">
        <v>131</v>
      </c>
      <c r="V257" t="s">
        <v>2324</v>
      </c>
      <c r="W257" t="s">
        <v>2318</v>
      </c>
      <c r="X257" t="s">
        <v>2053</v>
      </c>
    </row>
    <row r="258" spans="2:24" x14ac:dyDescent="0.45">
      <c r="B258" t="s">
        <v>389</v>
      </c>
      <c r="C258">
        <v>4.4686910835277036</v>
      </c>
      <c r="D258">
        <v>5.5</v>
      </c>
      <c r="E258">
        <v>0.99970000000000003</v>
      </c>
      <c r="U258" t="s">
        <v>131</v>
      </c>
      <c r="V258" t="s">
        <v>2325</v>
      </c>
      <c r="W258" t="s">
        <v>2318</v>
      </c>
      <c r="X258" t="s">
        <v>2053</v>
      </c>
    </row>
    <row r="259" spans="2:24" x14ac:dyDescent="0.45">
      <c r="B259" t="s">
        <v>390</v>
      </c>
      <c r="C259">
        <v>4.4686910835277036</v>
      </c>
      <c r="D259">
        <v>2.2000000000000002</v>
      </c>
      <c r="E259">
        <v>0.99987999999999999</v>
      </c>
      <c r="U259" t="s">
        <v>131</v>
      </c>
      <c r="V259" t="s">
        <v>2326</v>
      </c>
      <c r="W259" t="s">
        <v>2318</v>
      </c>
      <c r="X259" t="s">
        <v>2053</v>
      </c>
    </row>
    <row r="260" spans="2:24" x14ac:dyDescent="0.45">
      <c r="B260" t="s">
        <v>391</v>
      </c>
      <c r="C260">
        <v>4.4686910835277036</v>
      </c>
      <c r="D260">
        <v>4.4000000000000004</v>
      </c>
      <c r="E260">
        <v>0.99975999999999998</v>
      </c>
      <c r="U260" t="s">
        <v>131</v>
      </c>
      <c r="V260" t="s">
        <v>2327</v>
      </c>
      <c r="W260" t="s">
        <v>2318</v>
      </c>
      <c r="X260" t="s">
        <v>2053</v>
      </c>
    </row>
    <row r="261" spans="2:24" x14ac:dyDescent="0.45">
      <c r="B261" t="s">
        <v>392</v>
      </c>
      <c r="C261">
        <v>0.98311203837609484</v>
      </c>
      <c r="D261">
        <v>20.900000000000002</v>
      </c>
      <c r="E261">
        <v>0.99885999999999997</v>
      </c>
      <c r="U261" t="s">
        <v>131</v>
      </c>
      <c r="V261" t="s">
        <v>2328</v>
      </c>
      <c r="W261" t="s">
        <v>2318</v>
      </c>
      <c r="X261" t="s">
        <v>2053</v>
      </c>
    </row>
    <row r="262" spans="2:24" x14ac:dyDescent="0.45">
      <c r="B262" t="s">
        <v>393</v>
      </c>
      <c r="C262">
        <v>4.4686910835277036</v>
      </c>
      <c r="D262">
        <v>5.5</v>
      </c>
      <c r="E262">
        <v>0.99970000000000003</v>
      </c>
      <c r="U262" t="s">
        <v>131</v>
      </c>
      <c r="V262" t="s">
        <v>2329</v>
      </c>
      <c r="W262" t="s">
        <v>2318</v>
      </c>
      <c r="X262" t="s">
        <v>2053</v>
      </c>
    </row>
    <row r="263" spans="2:24" x14ac:dyDescent="0.45">
      <c r="B263" t="s">
        <v>394</v>
      </c>
      <c r="C263">
        <v>4.4686910835277036</v>
      </c>
      <c r="D263">
        <v>2.2000000000000002</v>
      </c>
      <c r="E263">
        <v>0.99987999999999999</v>
      </c>
      <c r="U263" t="s">
        <v>131</v>
      </c>
      <c r="V263" t="s">
        <v>2330</v>
      </c>
      <c r="W263" t="s">
        <v>2318</v>
      </c>
      <c r="X263" t="s">
        <v>2053</v>
      </c>
    </row>
    <row r="264" spans="2:24" x14ac:dyDescent="0.45">
      <c r="B264" t="s">
        <v>395</v>
      </c>
      <c r="C264">
        <v>0.98311203837609484</v>
      </c>
      <c r="D264">
        <v>4.4000000000000004</v>
      </c>
      <c r="E264">
        <v>0.99975999999999998</v>
      </c>
      <c r="U264" t="s">
        <v>131</v>
      </c>
      <c r="V264" t="s">
        <v>2331</v>
      </c>
      <c r="W264" t="s">
        <v>2332</v>
      </c>
      <c r="X264" t="s">
        <v>2053</v>
      </c>
    </row>
    <row r="265" spans="2:24" x14ac:dyDescent="0.45">
      <c r="B265" t="s">
        <v>396</v>
      </c>
      <c r="C265">
        <v>4.4686910835277036</v>
      </c>
      <c r="D265">
        <v>3.3000000000000003</v>
      </c>
      <c r="E265">
        <v>0.99982000000000004</v>
      </c>
      <c r="U265" t="s">
        <v>131</v>
      </c>
      <c r="V265" t="s">
        <v>2333</v>
      </c>
      <c r="W265" t="s">
        <v>2332</v>
      </c>
      <c r="X265" t="s">
        <v>2053</v>
      </c>
    </row>
    <row r="266" spans="2:24" x14ac:dyDescent="0.45">
      <c r="B266" t="s">
        <v>397</v>
      </c>
      <c r="C266">
        <v>4.4686910835277036</v>
      </c>
      <c r="D266">
        <v>2.2000000000000002</v>
      </c>
      <c r="E266">
        <v>0.99987999999999999</v>
      </c>
      <c r="U266" t="s">
        <v>131</v>
      </c>
      <c r="V266" t="s">
        <v>2334</v>
      </c>
      <c r="W266" t="s">
        <v>2332</v>
      </c>
      <c r="X266" t="s">
        <v>2053</v>
      </c>
    </row>
    <row r="267" spans="2:24" x14ac:dyDescent="0.45">
      <c r="B267" t="s">
        <v>398</v>
      </c>
      <c r="C267">
        <v>0.98311203837609484</v>
      </c>
      <c r="D267">
        <v>7.7000000000000011</v>
      </c>
      <c r="E267">
        <v>0.99958000000000002</v>
      </c>
      <c r="U267" t="s">
        <v>131</v>
      </c>
      <c r="V267" t="s">
        <v>2335</v>
      </c>
      <c r="W267" t="s">
        <v>2332</v>
      </c>
      <c r="X267" t="s">
        <v>2053</v>
      </c>
    </row>
    <row r="268" spans="2:24" x14ac:dyDescent="0.45">
      <c r="B268" t="s">
        <v>399</v>
      </c>
      <c r="C268">
        <v>0.98311203837609484</v>
      </c>
      <c r="D268">
        <v>5.5</v>
      </c>
      <c r="E268">
        <v>0.99970000000000003</v>
      </c>
      <c r="U268" t="s">
        <v>131</v>
      </c>
      <c r="V268" t="s">
        <v>2336</v>
      </c>
      <c r="W268" t="s">
        <v>2332</v>
      </c>
      <c r="X268" t="s">
        <v>2053</v>
      </c>
    </row>
    <row r="269" spans="2:24" x14ac:dyDescent="0.45">
      <c r="B269" t="s">
        <v>400</v>
      </c>
      <c r="C269">
        <v>0.98311203837609484</v>
      </c>
      <c r="D269">
        <v>77</v>
      </c>
      <c r="E269">
        <v>0.99580000000000002</v>
      </c>
      <c r="U269" t="s">
        <v>131</v>
      </c>
      <c r="V269" t="s">
        <v>2337</v>
      </c>
      <c r="W269" t="s">
        <v>2332</v>
      </c>
      <c r="X269" t="s">
        <v>2053</v>
      </c>
    </row>
    <row r="270" spans="2:24" x14ac:dyDescent="0.45">
      <c r="B270" t="s">
        <v>401</v>
      </c>
      <c r="C270">
        <v>0.98311203837609484</v>
      </c>
      <c r="D270">
        <v>26.400000000000002</v>
      </c>
      <c r="E270">
        <v>0.99856</v>
      </c>
      <c r="U270" t="s">
        <v>131</v>
      </c>
      <c r="V270" t="s">
        <v>2338</v>
      </c>
      <c r="W270" t="s">
        <v>2332</v>
      </c>
      <c r="X270" t="s">
        <v>2053</v>
      </c>
    </row>
    <row r="271" spans="2:24" x14ac:dyDescent="0.45">
      <c r="B271" t="s">
        <v>402</v>
      </c>
      <c r="C271">
        <v>0.49155601918804742</v>
      </c>
      <c r="D271">
        <v>75.900000000000006</v>
      </c>
      <c r="E271">
        <v>0.99585999999999997</v>
      </c>
      <c r="U271" t="s">
        <v>131</v>
      </c>
      <c r="V271" t="s">
        <v>2339</v>
      </c>
      <c r="W271" t="s">
        <v>2332</v>
      </c>
      <c r="X271" t="s">
        <v>2053</v>
      </c>
    </row>
    <row r="272" spans="2:24" x14ac:dyDescent="0.45">
      <c r="B272" t="s">
        <v>403</v>
      </c>
      <c r="C272">
        <v>4.4686910835277036</v>
      </c>
      <c r="D272">
        <v>4.4000000000000004</v>
      </c>
      <c r="E272">
        <v>0.99975999999999998</v>
      </c>
      <c r="U272" t="s">
        <v>131</v>
      </c>
      <c r="V272" t="s">
        <v>2340</v>
      </c>
      <c r="W272" t="s">
        <v>2332</v>
      </c>
      <c r="X272" t="s">
        <v>2053</v>
      </c>
    </row>
    <row r="273" spans="2:24" x14ac:dyDescent="0.45">
      <c r="B273" t="s">
        <v>404</v>
      </c>
      <c r="C273">
        <v>4.4686910835277036</v>
      </c>
      <c r="D273">
        <v>12.100000000000001</v>
      </c>
      <c r="E273">
        <v>0.99934000000000001</v>
      </c>
      <c r="U273" t="s">
        <v>131</v>
      </c>
      <c r="V273" t="s">
        <v>2341</v>
      </c>
      <c r="W273" t="s">
        <v>2332</v>
      </c>
      <c r="X273" t="s">
        <v>2053</v>
      </c>
    </row>
    <row r="274" spans="2:24" x14ac:dyDescent="0.45">
      <c r="B274" t="s">
        <v>405</v>
      </c>
      <c r="C274">
        <v>0.98311203837609484</v>
      </c>
      <c r="D274">
        <v>5.5</v>
      </c>
      <c r="E274">
        <v>0.99970000000000003</v>
      </c>
      <c r="U274" t="s">
        <v>131</v>
      </c>
      <c r="V274" t="s">
        <v>2342</v>
      </c>
      <c r="W274" t="s">
        <v>2332</v>
      </c>
      <c r="X274" t="s">
        <v>2053</v>
      </c>
    </row>
    <row r="275" spans="2:24" x14ac:dyDescent="0.45">
      <c r="B275" t="s">
        <v>406</v>
      </c>
      <c r="C275">
        <v>4.4686910835277036</v>
      </c>
      <c r="D275">
        <v>5.5</v>
      </c>
      <c r="E275">
        <v>0.99970000000000003</v>
      </c>
      <c r="U275" t="s">
        <v>131</v>
      </c>
      <c r="V275" t="s">
        <v>2343</v>
      </c>
      <c r="W275" t="s">
        <v>2332</v>
      </c>
      <c r="X275" t="s">
        <v>2053</v>
      </c>
    </row>
    <row r="276" spans="2:24" x14ac:dyDescent="0.45">
      <c r="B276" t="s">
        <v>407</v>
      </c>
      <c r="C276">
        <v>0.49155601918804742</v>
      </c>
      <c r="D276">
        <v>31.900000000000002</v>
      </c>
      <c r="E276">
        <v>0.99826000000000004</v>
      </c>
      <c r="U276" t="s">
        <v>131</v>
      </c>
      <c r="V276" t="s">
        <v>2344</v>
      </c>
      <c r="W276" t="s">
        <v>2332</v>
      </c>
      <c r="X276" t="s">
        <v>2053</v>
      </c>
    </row>
    <row r="277" spans="2:24" x14ac:dyDescent="0.45">
      <c r="B277" t="s">
        <v>408</v>
      </c>
      <c r="C277">
        <v>4.4686910835277036</v>
      </c>
      <c r="D277">
        <v>2.2000000000000002</v>
      </c>
      <c r="E277">
        <v>0.99987999999999999</v>
      </c>
      <c r="U277" t="s">
        <v>131</v>
      </c>
      <c r="V277" t="s">
        <v>2345</v>
      </c>
      <c r="W277" t="s">
        <v>2346</v>
      </c>
      <c r="X277" t="s">
        <v>2053</v>
      </c>
    </row>
    <row r="278" spans="2:24" x14ac:dyDescent="0.45">
      <c r="B278" t="s">
        <v>409</v>
      </c>
      <c r="C278">
        <v>4.4686910835277036</v>
      </c>
      <c r="D278">
        <v>3.3000000000000003</v>
      </c>
      <c r="E278">
        <v>0.99982000000000004</v>
      </c>
      <c r="U278" t="s">
        <v>131</v>
      </c>
      <c r="V278" t="s">
        <v>2347</v>
      </c>
      <c r="W278" t="s">
        <v>2346</v>
      </c>
      <c r="X278" t="s">
        <v>2053</v>
      </c>
    </row>
    <row r="279" spans="2:24" x14ac:dyDescent="0.45">
      <c r="B279" t="s">
        <v>410</v>
      </c>
      <c r="C279">
        <v>4.4686910835277036</v>
      </c>
      <c r="D279">
        <v>2.2000000000000002</v>
      </c>
      <c r="E279">
        <v>0.99987999999999999</v>
      </c>
      <c r="U279" t="s">
        <v>131</v>
      </c>
      <c r="V279" t="s">
        <v>2348</v>
      </c>
      <c r="W279" t="s">
        <v>2346</v>
      </c>
      <c r="X279" t="s">
        <v>2053</v>
      </c>
    </row>
    <row r="280" spans="2:24" x14ac:dyDescent="0.45">
      <c r="B280" t="s">
        <v>411</v>
      </c>
      <c r="C280">
        <v>4.4686910835277036</v>
      </c>
      <c r="D280">
        <v>11</v>
      </c>
      <c r="E280">
        <v>0.99939999999999996</v>
      </c>
      <c r="U280" t="s">
        <v>131</v>
      </c>
      <c r="V280" t="s">
        <v>2349</v>
      </c>
      <c r="W280" t="s">
        <v>2346</v>
      </c>
      <c r="X280" t="s">
        <v>2053</v>
      </c>
    </row>
    <row r="281" spans="2:24" x14ac:dyDescent="0.45">
      <c r="B281" t="s">
        <v>412</v>
      </c>
      <c r="C281">
        <v>4.4686910835277036</v>
      </c>
      <c r="D281">
        <v>2.2000000000000002</v>
      </c>
      <c r="E281">
        <v>0.99987999999999999</v>
      </c>
      <c r="U281" t="s">
        <v>131</v>
      </c>
      <c r="V281" t="s">
        <v>2350</v>
      </c>
      <c r="W281" t="s">
        <v>2346</v>
      </c>
      <c r="X281" t="s">
        <v>2053</v>
      </c>
    </row>
    <row r="282" spans="2:24" x14ac:dyDescent="0.45">
      <c r="B282" t="s">
        <v>413</v>
      </c>
      <c r="C282">
        <v>4.4686910835277036</v>
      </c>
      <c r="D282">
        <v>2.2000000000000002</v>
      </c>
      <c r="E282">
        <v>0.99987999999999999</v>
      </c>
      <c r="U282" t="s">
        <v>131</v>
      </c>
      <c r="V282" t="s">
        <v>2351</v>
      </c>
      <c r="W282" t="s">
        <v>2346</v>
      </c>
      <c r="X282" t="s">
        <v>2053</v>
      </c>
    </row>
    <row r="283" spans="2:24" x14ac:dyDescent="0.45">
      <c r="B283" t="s">
        <v>414</v>
      </c>
      <c r="C283">
        <v>4.4686910835277036</v>
      </c>
      <c r="D283">
        <v>7.7000000000000011</v>
      </c>
      <c r="E283">
        <v>0.99958000000000002</v>
      </c>
      <c r="U283" t="s">
        <v>131</v>
      </c>
      <c r="V283" t="s">
        <v>2352</v>
      </c>
      <c r="W283" t="s">
        <v>2346</v>
      </c>
      <c r="X283" t="s">
        <v>2053</v>
      </c>
    </row>
    <row r="284" spans="2:24" x14ac:dyDescent="0.45">
      <c r="B284" t="s">
        <v>415</v>
      </c>
      <c r="C284">
        <v>4.4686910835277036</v>
      </c>
      <c r="D284">
        <v>3.3000000000000003</v>
      </c>
      <c r="E284">
        <v>0.99982000000000004</v>
      </c>
      <c r="U284" t="s">
        <v>131</v>
      </c>
      <c r="V284" t="s">
        <v>2353</v>
      </c>
      <c r="W284" t="s">
        <v>2346</v>
      </c>
      <c r="X284" t="s">
        <v>2053</v>
      </c>
    </row>
    <row r="285" spans="2:24" x14ac:dyDescent="0.45">
      <c r="B285" t="s">
        <v>416</v>
      </c>
      <c r="C285">
        <v>4.4686910835277036</v>
      </c>
      <c r="D285">
        <v>3.3000000000000003</v>
      </c>
      <c r="E285">
        <v>0.99982000000000004</v>
      </c>
      <c r="U285" t="s">
        <v>131</v>
      </c>
      <c r="V285" t="s">
        <v>2354</v>
      </c>
      <c r="W285" t="s">
        <v>2346</v>
      </c>
      <c r="X285" t="s">
        <v>2053</v>
      </c>
    </row>
    <row r="286" spans="2:24" x14ac:dyDescent="0.45">
      <c r="B286" t="s">
        <v>417</v>
      </c>
      <c r="C286">
        <v>4.4686910835277036</v>
      </c>
      <c r="D286">
        <v>8.8000000000000007</v>
      </c>
      <c r="E286">
        <v>0.99951999999999996</v>
      </c>
      <c r="U286" t="s">
        <v>131</v>
      </c>
      <c r="V286" t="s">
        <v>2355</v>
      </c>
      <c r="W286" t="s">
        <v>2346</v>
      </c>
      <c r="X286" t="s">
        <v>2053</v>
      </c>
    </row>
    <row r="287" spans="2:24" x14ac:dyDescent="0.45">
      <c r="B287" t="s">
        <v>418</v>
      </c>
      <c r="C287">
        <v>4.4686910835277036</v>
      </c>
      <c r="D287">
        <v>3.3000000000000003</v>
      </c>
      <c r="E287">
        <v>0.99982000000000004</v>
      </c>
      <c r="U287" t="s">
        <v>131</v>
      </c>
      <c r="V287" t="s">
        <v>2356</v>
      </c>
      <c r="W287" t="s">
        <v>2346</v>
      </c>
      <c r="X287" t="s">
        <v>2053</v>
      </c>
    </row>
    <row r="288" spans="2:24" x14ac:dyDescent="0.45">
      <c r="B288" t="s">
        <v>419</v>
      </c>
      <c r="C288">
        <v>4.4686910835277036</v>
      </c>
      <c r="D288">
        <v>6.6000000000000005</v>
      </c>
      <c r="E288">
        <v>0.99963999999999997</v>
      </c>
      <c r="U288" t="s">
        <v>131</v>
      </c>
      <c r="V288" t="s">
        <v>2357</v>
      </c>
      <c r="W288" t="s">
        <v>2346</v>
      </c>
      <c r="X288" t="s">
        <v>2053</v>
      </c>
    </row>
    <row r="289" spans="2:24" x14ac:dyDescent="0.45">
      <c r="B289" t="s">
        <v>420</v>
      </c>
      <c r="C289">
        <v>4.4686910835277036</v>
      </c>
      <c r="D289">
        <v>4.4000000000000004</v>
      </c>
      <c r="E289">
        <v>0.99975999999999998</v>
      </c>
      <c r="U289" t="s">
        <v>131</v>
      </c>
      <c r="V289" t="s">
        <v>2358</v>
      </c>
      <c r="W289" t="s">
        <v>2346</v>
      </c>
      <c r="X289" t="s">
        <v>2053</v>
      </c>
    </row>
    <row r="290" spans="2:24" x14ac:dyDescent="0.45">
      <c r="B290" t="s">
        <v>421</v>
      </c>
      <c r="C290">
        <v>0.49155601918804742</v>
      </c>
      <c r="D290">
        <v>19.8</v>
      </c>
      <c r="E290">
        <v>0.99892000000000003</v>
      </c>
      <c r="U290" t="s">
        <v>131</v>
      </c>
      <c r="V290" t="s">
        <v>2359</v>
      </c>
      <c r="W290" t="s">
        <v>2360</v>
      </c>
      <c r="X290" t="s">
        <v>2053</v>
      </c>
    </row>
    <row r="291" spans="2:24" x14ac:dyDescent="0.45">
      <c r="B291" t="s">
        <v>422</v>
      </c>
      <c r="C291">
        <v>4.4686910835277036</v>
      </c>
      <c r="D291">
        <v>18.700000000000003</v>
      </c>
      <c r="E291">
        <v>0.99897999999999998</v>
      </c>
      <c r="U291" t="s">
        <v>131</v>
      </c>
      <c r="V291" t="s">
        <v>2361</v>
      </c>
      <c r="W291" t="s">
        <v>2360</v>
      </c>
      <c r="X291" t="s">
        <v>2053</v>
      </c>
    </row>
    <row r="292" spans="2:24" x14ac:dyDescent="0.45">
      <c r="B292" t="s">
        <v>423</v>
      </c>
      <c r="C292">
        <v>0.49155601918804742</v>
      </c>
      <c r="D292">
        <v>22</v>
      </c>
      <c r="E292">
        <v>0.99880000000000002</v>
      </c>
      <c r="U292" t="s">
        <v>131</v>
      </c>
      <c r="V292" t="s">
        <v>2362</v>
      </c>
      <c r="W292" t="s">
        <v>2360</v>
      </c>
      <c r="X292" t="s">
        <v>2053</v>
      </c>
    </row>
    <row r="293" spans="2:24" x14ac:dyDescent="0.45">
      <c r="B293" t="s">
        <v>424</v>
      </c>
      <c r="C293">
        <v>4.4686910835277036</v>
      </c>
      <c r="D293">
        <v>8.8000000000000007</v>
      </c>
      <c r="E293">
        <v>0.99951999999999996</v>
      </c>
      <c r="U293" t="s">
        <v>131</v>
      </c>
      <c r="V293" t="s">
        <v>2363</v>
      </c>
      <c r="W293" t="s">
        <v>2360</v>
      </c>
      <c r="X293" t="s">
        <v>2053</v>
      </c>
    </row>
    <row r="294" spans="2:24" x14ac:dyDescent="0.45">
      <c r="B294" t="s">
        <v>425</v>
      </c>
      <c r="C294">
        <v>4.4686910835277036</v>
      </c>
      <c r="D294">
        <v>33</v>
      </c>
      <c r="E294">
        <v>0.99819999999999998</v>
      </c>
      <c r="U294" t="s">
        <v>131</v>
      </c>
      <c r="V294" t="s">
        <v>2364</v>
      </c>
      <c r="W294" t="s">
        <v>2360</v>
      </c>
      <c r="X294" t="s">
        <v>2053</v>
      </c>
    </row>
    <row r="295" spans="2:24" x14ac:dyDescent="0.45">
      <c r="B295" t="s">
        <v>426</v>
      </c>
      <c r="C295">
        <v>4.4686910835277036</v>
      </c>
      <c r="D295">
        <v>26.400000000000002</v>
      </c>
      <c r="E295">
        <v>0.99856</v>
      </c>
      <c r="U295" t="s">
        <v>131</v>
      </c>
      <c r="V295" t="s">
        <v>2365</v>
      </c>
      <c r="W295" t="s">
        <v>2360</v>
      </c>
      <c r="X295" t="s">
        <v>2053</v>
      </c>
    </row>
    <row r="296" spans="2:24" x14ac:dyDescent="0.45">
      <c r="B296" t="s">
        <v>427</v>
      </c>
      <c r="C296">
        <v>1.9662240767521897</v>
      </c>
      <c r="D296">
        <v>81.400000000000006</v>
      </c>
      <c r="E296">
        <v>0.99556</v>
      </c>
      <c r="U296" t="s">
        <v>131</v>
      </c>
      <c r="V296" t="s">
        <v>2366</v>
      </c>
      <c r="W296" t="s">
        <v>2360</v>
      </c>
      <c r="X296" t="s">
        <v>2053</v>
      </c>
    </row>
    <row r="297" spans="2:24" x14ac:dyDescent="0.45">
      <c r="B297" t="s">
        <v>428</v>
      </c>
      <c r="C297">
        <v>0.49155601918804742</v>
      </c>
      <c r="D297">
        <v>24.200000000000003</v>
      </c>
      <c r="E297">
        <v>0.99868000000000001</v>
      </c>
      <c r="U297" t="s">
        <v>131</v>
      </c>
      <c r="V297" t="s">
        <v>2367</v>
      </c>
      <c r="W297" t="s">
        <v>2360</v>
      </c>
      <c r="X297" t="s">
        <v>2053</v>
      </c>
    </row>
    <row r="298" spans="2:24" x14ac:dyDescent="0.45">
      <c r="B298" t="s">
        <v>429</v>
      </c>
      <c r="C298">
        <v>0.98311203837609484</v>
      </c>
      <c r="D298">
        <v>59.400000000000006</v>
      </c>
      <c r="E298">
        <v>0.99675999999999998</v>
      </c>
      <c r="U298" t="s">
        <v>131</v>
      </c>
      <c r="V298" t="s">
        <v>2368</v>
      </c>
      <c r="W298" t="s">
        <v>2360</v>
      </c>
      <c r="X298" t="s">
        <v>2053</v>
      </c>
    </row>
    <row r="299" spans="2:24" x14ac:dyDescent="0.45">
      <c r="B299" t="s">
        <v>430</v>
      </c>
      <c r="C299">
        <v>4.4686910835277036</v>
      </c>
      <c r="D299">
        <v>1.1000000000000001</v>
      </c>
      <c r="E299">
        <v>0.99994000000000005</v>
      </c>
      <c r="U299" t="s">
        <v>131</v>
      </c>
      <c r="V299" t="s">
        <v>2369</v>
      </c>
      <c r="W299" t="s">
        <v>2360</v>
      </c>
      <c r="X299" t="s">
        <v>2053</v>
      </c>
    </row>
    <row r="300" spans="2:24" x14ac:dyDescent="0.45">
      <c r="B300" t="s">
        <v>431</v>
      </c>
      <c r="C300">
        <v>4.4686910835277036</v>
      </c>
      <c r="D300">
        <v>2.2000000000000002</v>
      </c>
      <c r="E300">
        <v>0.99987999999999999</v>
      </c>
      <c r="U300" t="s">
        <v>131</v>
      </c>
      <c r="V300" t="s">
        <v>2370</v>
      </c>
      <c r="W300" t="s">
        <v>2360</v>
      </c>
      <c r="X300" t="s">
        <v>2053</v>
      </c>
    </row>
    <row r="301" spans="2:24" x14ac:dyDescent="0.45">
      <c r="B301" t="s">
        <v>432</v>
      </c>
      <c r="C301">
        <v>4.4686910835277036</v>
      </c>
      <c r="D301">
        <v>3.3000000000000003</v>
      </c>
      <c r="E301">
        <v>0.99982000000000004</v>
      </c>
      <c r="U301" t="s">
        <v>131</v>
      </c>
      <c r="V301" t="s">
        <v>2371</v>
      </c>
      <c r="W301" t="s">
        <v>2360</v>
      </c>
      <c r="X301" t="s">
        <v>2053</v>
      </c>
    </row>
    <row r="302" spans="2:24" x14ac:dyDescent="0.45">
      <c r="B302" t="s">
        <v>433</v>
      </c>
      <c r="C302">
        <v>0.49155601918804742</v>
      </c>
      <c r="D302">
        <v>15.400000000000002</v>
      </c>
      <c r="E302">
        <v>0.99916000000000005</v>
      </c>
      <c r="U302" t="s">
        <v>131</v>
      </c>
      <c r="V302" t="s">
        <v>2372</v>
      </c>
      <c r="W302" t="s">
        <v>2360</v>
      </c>
      <c r="X302" t="s">
        <v>2053</v>
      </c>
    </row>
    <row r="303" spans="2:24" x14ac:dyDescent="0.45">
      <c r="B303" t="s">
        <v>434</v>
      </c>
      <c r="C303">
        <v>4.4686910835277036</v>
      </c>
      <c r="D303">
        <v>8.8000000000000007</v>
      </c>
      <c r="E303">
        <v>0.99951999999999996</v>
      </c>
      <c r="U303" t="s">
        <v>131</v>
      </c>
      <c r="V303" t="s">
        <v>2373</v>
      </c>
      <c r="W303" t="s">
        <v>2374</v>
      </c>
      <c r="X303" t="s">
        <v>2053</v>
      </c>
    </row>
    <row r="304" spans="2:24" x14ac:dyDescent="0.45">
      <c r="B304" t="s">
        <v>435</v>
      </c>
      <c r="C304">
        <v>4.4686910835277036</v>
      </c>
      <c r="D304">
        <v>16.5</v>
      </c>
      <c r="E304">
        <v>0.99909999999999999</v>
      </c>
      <c r="U304" t="s">
        <v>131</v>
      </c>
      <c r="V304" t="s">
        <v>2375</v>
      </c>
      <c r="W304" t="s">
        <v>2374</v>
      </c>
      <c r="X304" t="s">
        <v>2053</v>
      </c>
    </row>
    <row r="305" spans="2:24" x14ac:dyDescent="0.45">
      <c r="B305" t="s">
        <v>436</v>
      </c>
      <c r="C305">
        <v>4.4686910835277036</v>
      </c>
      <c r="D305">
        <v>2.2000000000000002</v>
      </c>
      <c r="E305">
        <v>0.99987999999999999</v>
      </c>
      <c r="U305" t="s">
        <v>131</v>
      </c>
      <c r="V305" t="s">
        <v>2376</v>
      </c>
      <c r="W305" t="s">
        <v>2374</v>
      </c>
      <c r="X305" t="s">
        <v>2053</v>
      </c>
    </row>
    <row r="306" spans="2:24" x14ac:dyDescent="0.45">
      <c r="B306" t="s">
        <v>437</v>
      </c>
      <c r="C306">
        <v>4.4686910835277036</v>
      </c>
      <c r="D306">
        <v>2.2000000000000002</v>
      </c>
      <c r="E306">
        <v>0.99987999999999999</v>
      </c>
      <c r="U306" t="s">
        <v>131</v>
      </c>
      <c r="V306" t="s">
        <v>2377</v>
      </c>
      <c r="W306" t="s">
        <v>2374</v>
      </c>
      <c r="X306" t="s">
        <v>2053</v>
      </c>
    </row>
    <row r="307" spans="2:24" x14ac:dyDescent="0.45">
      <c r="B307" t="s">
        <v>438</v>
      </c>
      <c r="C307">
        <v>4.4686910835277036</v>
      </c>
      <c r="D307">
        <v>1.1000000000000001</v>
      </c>
      <c r="E307">
        <v>0.99994000000000005</v>
      </c>
      <c r="U307" t="s">
        <v>131</v>
      </c>
      <c r="V307" t="s">
        <v>2378</v>
      </c>
      <c r="W307" t="s">
        <v>2374</v>
      </c>
      <c r="X307" t="s">
        <v>2053</v>
      </c>
    </row>
    <row r="308" spans="2:24" x14ac:dyDescent="0.45">
      <c r="B308" t="s">
        <v>439</v>
      </c>
      <c r="C308">
        <v>4.4686910835277036</v>
      </c>
      <c r="D308">
        <v>2.2000000000000002</v>
      </c>
      <c r="E308">
        <v>0.99987999999999999</v>
      </c>
      <c r="U308" t="s">
        <v>131</v>
      </c>
      <c r="V308" t="s">
        <v>2379</v>
      </c>
      <c r="W308" t="s">
        <v>2374</v>
      </c>
      <c r="X308" t="s">
        <v>2053</v>
      </c>
    </row>
    <row r="309" spans="2:24" x14ac:dyDescent="0.45">
      <c r="B309" t="s">
        <v>440</v>
      </c>
      <c r="C309">
        <v>0.98311203837609484</v>
      </c>
      <c r="D309">
        <v>4.4000000000000004</v>
      </c>
      <c r="E309">
        <v>0.99975999999999998</v>
      </c>
      <c r="U309" t="s">
        <v>131</v>
      </c>
      <c r="V309" t="s">
        <v>2380</v>
      </c>
      <c r="W309" t="s">
        <v>2374</v>
      </c>
      <c r="X309" t="s">
        <v>2053</v>
      </c>
    </row>
    <row r="310" spans="2:24" x14ac:dyDescent="0.45">
      <c r="B310" t="s">
        <v>441</v>
      </c>
      <c r="C310">
        <v>4.4686910835277036</v>
      </c>
      <c r="D310">
        <v>14.3</v>
      </c>
      <c r="E310">
        <v>0.99922</v>
      </c>
      <c r="U310" t="s">
        <v>131</v>
      </c>
      <c r="V310" t="s">
        <v>2381</v>
      </c>
      <c r="W310" t="s">
        <v>2374</v>
      </c>
      <c r="X310" t="s">
        <v>2053</v>
      </c>
    </row>
    <row r="311" spans="2:24" x14ac:dyDescent="0.45">
      <c r="B311" t="s">
        <v>442</v>
      </c>
      <c r="C311">
        <v>4.4686910835277036</v>
      </c>
      <c r="D311">
        <v>2.2000000000000002</v>
      </c>
      <c r="E311">
        <v>0.99987999999999999</v>
      </c>
      <c r="U311" t="s">
        <v>131</v>
      </c>
      <c r="V311" t="s">
        <v>2382</v>
      </c>
      <c r="W311" t="s">
        <v>2374</v>
      </c>
      <c r="X311" t="s">
        <v>2053</v>
      </c>
    </row>
    <row r="312" spans="2:24" x14ac:dyDescent="0.45">
      <c r="B312" t="s">
        <v>443</v>
      </c>
      <c r="C312">
        <v>2.2343455417638518</v>
      </c>
      <c r="D312">
        <v>3.3000000000000003</v>
      </c>
      <c r="E312">
        <v>0.99982000000000004</v>
      </c>
      <c r="U312" t="s">
        <v>131</v>
      </c>
      <c r="V312" t="s">
        <v>2383</v>
      </c>
      <c r="W312" t="s">
        <v>2374</v>
      </c>
      <c r="X312" t="s">
        <v>2053</v>
      </c>
    </row>
    <row r="313" spans="2:24" x14ac:dyDescent="0.45">
      <c r="B313" t="s">
        <v>444</v>
      </c>
      <c r="C313">
        <v>4.4686910835277036</v>
      </c>
      <c r="D313">
        <v>6.6000000000000005</v>
      </c>
      <c r="E313">
        <v>0.99963999999999997</v>
      </c>
      <c r="U313" t="s">
        <v>131</v>
      </c>
      <c r="V313" t="s">
        <v>2384</v>
      </c>
      <c r="W313" t="s">
        <v>2374</v>
      </c>
      <c r="X313" t="s">
        <v>2053</v>
      </c>
    </row>
    <row r="314" spans="2:24" x14ac:dyDescent="0.45">
      <c r="B314" t="s">
        <v>445</v>
      </c>
      <c r="C314">
        <v>4.4686910835277036</v>
      </c>
      <c r="D314">
        <v>3.3000000000000003</v>
      </c>
      <c r="E314">
        <v>0.99982000000000004</v>
      </c>
      <c r="U314" t="s">
        <v>131</v>
      </c>
      <c r="V314" t="s">
        <v>2385</v>
      </c>
      <c r="W314" t="s">
        <v>2374</v>
      </c>
      <c r="X314" t="s">
        <v>2053</v>
      </c>
    </row>
    <row r="315" spans="2:24" x14ac:dyDescent="0.45">
      <c r="B315" t="s">
        <v>446</v>
      </c>
      <c r="C315">
        <v>0.49155601918804742</v>
      </c>
      <c r="D315">
        <v>11</v>
      </c>
      <c r="E315">
        <v>0.99939999999999996</v>
      </c>
      <c r="U315" t="s">
        <v>131</v>
      </c>
      <c r="V315" t="s">
        <v>2386</v>
      </c>
      <c r="W315" t="s">
        <v>2374</v>
      </c>
      <c r="X315" t="s">
        <v>2053</v>
      </c>
    </row>
    <row r="316" spans="2:24" x14ac:dyDescent="0.45">
      <c r="B316" t="s">
        <v>447</v>
      </c>
      <c r="C316">
        <v>0.49155601918804742</v>
      </c>
      <c r="D316">
        <v>4.4000000000000004</v>
      </c>
      <c r="E316">
        <v>0.99975999999999998</v>
      </c>
      <c r="U316" t="s">
        <v>131</v>
      </c>
      <c r="V316" t="s">
        <v>2387</v>
      </c>
      <c r="W316" t="s">
        <v>2388</v>
      </c>
      <c r="X316" t="s">
        <v>2053</v>
      </c>
    </row>
    <row r="317" spans="2:24" x14ac:dyDescent="0.45">
      <c r="B317" t="s">
        <v>448</v>
      </c>
      <c r="C317">
        <v>4.4686910835277036</v>
      </c>
      <c r="D317">
        <v>4.4000000000000004</v>
      </c>
      <c r="E317">
        <v>0.99975999999999998</v>
      </c>
      <c r="U317" t="s">
        <v>131</v>
      </c>
      <c r="V317" t="s">
        <v>2389</v>
      </c>
      <c r="W317" t="s">
        <v>2388</v>
      </c>
      <c r="X317" t="s">
        <v>2053</v>
      </c>
    </row>
    <row r="318" spans="2:24" x14ac:dyDescent="0.45">
      <c r="B318" t="s">
        <v>449</v>
      </c>
      <c r="C318">
        <v>4.4686910835277036</v>
      </c>
      <c r="D318">
        <v>2.2000000000000002</v>
      </c>
      <c r="E318">
        <v>0.99987999999999999</v>
      </c>
      <c r="U318" t="s">
        <v>131</v>
      </c>
      <c r="V318" t="s">
        <v>2390</v>
      </c>
      <c r="W318" t="s">
        <v>2388</v>
      </c>
      <c r="X318" t="s">
        <v>2053</v>
      </c>
    </row>
    <row r="319" spans="2:24" x14ac:dyDescent="0.45">
      <c r="B319" t="s">
        <v>450</v>
      </c>
      <c r="C319">
        <v>0.49155601918804742</v>
      </c>
      <c r="D319">
        <v>5.5</v>
      </c>
      <c r="E319">
        <v>0.99970000000000003</v>
      </c>
      <c r="U319" t="s">
        <v>131</v>
      </c>
      <c r="V319" t="s">
        <v>2391</v>
      </c>
      <c r="W319" t="s">
        <v>2388</v>
      </c>
      <c r="X319" t="s">
        <v>2053</v>
      </c>
    </row>
    <row r="320" spans="2:24" x14ac:dyDescent="0.45">
      <c r="B320" t="s">
        <v>451</v>
      </c>
      <c r="C320">
        <v>0.98311203837609484</v>
      </c>
      <c r="D320">
        <v>5.5</v>
      </c>
      <c r="E320">
        <v>0.99970000000000003</v>
      </c>
      <c r="U320" t="s">
        <v>131</v>
      </c>
      <c r="V320" t="s">
        <v>2392</v>
      </c>
      <c r="W320" t="s">
        <v>2388</v>
      </c>
      <c r="X320" t="s">
        <v>2053</v>
      </c>
    </row>
    <row r="321" spans="2:24" x14ac:dyDescent="0.45">
      <c r="B321" t="s">
        <v>452</v>
      </c>
      <c r="C321">
        <v>2.2343455417638518</v>
      </c>
      <c r="D321">
        <v>3.3000000000000003</v>
      </c>
      <c r="E321">
        <v>0.99982000000000004</v>
      </c>
      <c r="U321" t="s">
        <v>131</v>
      </c>
      <c r="V321" t="s">
        <v>2393</v>
      </c>
      <c r="W321" t="s">
        <v>2388</v>
      </c>
      <c r="X321" t="s">
        <v>2053</v>
      </c>
    </row>
    <row r="322" spans="2:24" x14ac:dyDescent="0.45">
      <c r="B322" t="s">
        <v>453</v>
      </c>
      <c r="C322">
        <v>4.4686910835277036</v>
      </c>
      <c r="D322">
        <v>4.4000000000000004</v>
      </c>
      <c r="E322">
        <v>0.99975999999999998</v>
      </c>
      <c r="U322" t="s">
        <v>131</v>
      </c>
      <c r="V322" t="s">
        <v>2394</v>
      </c>
      <c r="W322" t="s">
        <v>2388</v>
      </c>
      <c r="X322" t="s">
        <v>2053</v>
      </c>
    </row>
    <row r="323" spans="2:24" x14ac:dyDescent="0.45">
      <c r="B323" t="s">
        <v>454</v>
      </c>
      <c r="C323">
        <v>4.4686910835277036</v>
      </c>
      <c r="D323">
        <v>1.1000000000000001</v>
      </c>
      <c r="E323">
        <v>0.99994000000000005</v>
      </c>
      <c r="U323" t="s">
        <v>131</v>
      </c>
      <c r="V323" t="s">
        <v>2395</v>
      </c>
      <c r="W323" t="s">
        <v>2388</v>
      </c>
      <c r="X323" t="s">
        <v>2053</v>
      </c>
    </row>
    <row r="324" spans="2:24" x14ac:dyDescent="0.45">
      <c r="B324" t="s">
        <v>455</v>
      </c>
      <c r="C324">
        <v>4.4686910835277036</v>
      </c>
      <c r="D324">
        <v>4.4000000000000004</v>
      </c>
      <c r="E324">
        <v>0.99975999999999998</v>
      </c>
      <c r="U324" t="s">
        <v>131</v>
      </c>
      <c r="V324" t="s">
        <v>2396</v>
      </c>
      <c r="W324" t="s">
        <v>2388</v>
      </c>
      <c r="X324" t="s">
        <v>2053</v>
      </c>
    </row>
    <row r="325" spans="2:24" x14ac:dyDescent="0.45">
      <c r="B325" t="s">
        <v>456</v>
      </c>
      <c r="C325">
        <v>4.4686910835277036</v>
      </c>
      <c r="D325">
        <v>3.3000000000000003</v>
      </c>
      <c r="E325">
        <v>0.99982000000000004</v>
      </c>
      <c r="U325" t="s">
        <v>131</v>
      </c>
      <c r="V325" t="s">
        <v>2397</v>
      </c>
      <c r="W325" t="s">
        <v>2388</v>
      </c>
      <c r="X325" t="s">
        <v>2053</v>
      </c>
    </row>
    <row r="326" spans="2:24" x14ac:dyDescent="0.45">
      <c r="B326" t="s">
        <v>457</v>
      </c>
      <c r="C326">
        <v>4.4686910835277036</v>
      </c>
      <c r="D326">
        <v>1.1000000000000001</v>
      </c>
      <c r="E326">
        <v>0.99994000000000005</v>
      </c>
      <c r="U326" t="s">
        <v>131</v>
      </c>
      <c r="V326" t="s">
        <v>2398</v>
      </c>
      <c r="W326" t="s">
        <v>2388</v>
      </c>
      <c r="X326" t="s">
        <v>2053</v>
      </c>
    </row>
    <row r="327" spans="2:24" x14ac:dyDescent="0.45">
      <c r="B327" t="s">
        <v>458</v>
      </c>
      <c r="C327">
        <v>4.4686910835277036</v>
      </c>
      <c r="D327">
        <v>3.3000000000000003</v>
      </c>
      <c r="E327">
        <v>0.99982000000000004</v>
      </c>
      <c r="U327" t="s">
        <v>131</v>
      </c>
      <c r="V327" t="s">
        <v>2399</v>
      </c>
      <c r="W327" t="s">
        <v>2388</v>
      </c>
      <c r="X327" t="s">
        <v>2053</v>
      </c>
    </row>
    <row r="328" spans="2:24" x14ac:dyDescent="0.45">
      <c r="B328" t="s">
        <v>459</v>
      </c>
      <c r="C328">
        <v>4.4686910835277036</v>
      </c>
      <c r="D328">
        <v>3.3000000000000003</v>
      </c>
      <c r="E328">
        <v>0.99982000000000004</v>
      </c>
      <c r="U328" t="s">
        <v>131</v>
      </c>
      <c r="V328" t="s">
        <v>2400</v>
      </c>
      <c r="W328" t="s">
        <v>2388</v>
      </c>
      <c r="X328" t="s">
        <v>2053</v>
      </c>
    </row>
    <row r="329" spans="2:24" x14ac:dyDescent="0.45">
      <c r="B329" t="s">
        <v>460</v>
      </c>
      <c r="C329">
        <v>4.4686910835277036</v>
      </c>
      <c r="D329">
        <v>2.2000000000000002</v>
      </c>
      <c r="E329">
        <v>0.99987999999999999</v>
      </c>
      <c r="U329" t="s">
        <v>131</v>
      </c>
      <c r="V329" t="s">
        <v>2401</v>
      </c>
      <c r="W329" t="s">
        <v>2402</v>
      </c>
      <c r="X329" t="s">
        <v>2053</v>
      </c>
    </row>
    <row r="330" spans="2:24" x14ac:dyDescent="0.45">
      <c r="B330" t="s">
        <v>461</v>
      </c>
      <c r="C330">
        <v>4.4686910835277036</v>
      </c>
      <c r="D330">
        <v>13.200000000000001</v>
      </c>
      <c r="E330">
        <v>0.99927999999999995</v>
      </c>
      <c r="U330" t="s">
        <v>131</v>
      </c>
      <c r="V330" t="s">
        <v>2403</v>
      </c>
      <c r="W330" t="s">
        <v>2402</v>
      </c>
      <c r="X330" t="s">
        <v>2053</v>
      </c>
    </row>
    <row r="331" spans="2:24" x14ac:dyDescent="0.45">
      <c r="B331" t="s">
        <v>462</v>
      </c>
      <c r="C331">
        <v>4.4686910835277036</v>
      </c>
      <c r="D331">
        <v>3.3000000000000003</v>
      </c>
      <c r="E331">
        <v>0.99982000000000004</v>
      </c>
      <c r="U331" t="s">
        <v>131</v>
      </c>
      <c r="V331" t="s">
        <v>2404</v>
      </c>
      <c r="W331" t="s">
        <v>2402</v>
      </c>
      <c r="X331" t="s">
        <v>2053</v>
      </c>
    </row>
    <row r="332" spans="2:24" x14ac:dyDescent="0.45">
      <c r="B332" t="s">
        <v>463</v>
      </c>
      <c r="C332">
        <v>4.4686910835277036</v>
      </c>
      <c r="D332">
        <v>2.2000000000000002</v>
      </c>
      <c r="E332">
        <v>0.99987999999999999</v>
      </c>
      <c r="U332" t="s">
        <v>131</v>
      </c>
      <c r="V332" t="s">
        <v>2405</v>
      </c>
      <c r="W332" t="s">
        <v>2402</v>
      </c>
      <c r="X332" t="s">
        <v>2053</v>
      </c>
    </row>
    <row r="333" spans="2:24" x14ac:dyDescent="0.45">
      <c r="B333" t="s">
        <v>464</v>
      </c>
      <c r="C333">
        <v>4.4686910835277036</v>
      </c>
      <c r="D333">
        <v>3.3000000000000003</v>
      </c>
      <c r="E333">
        <v>0.99982000000000004</v>
      </c>
      <c r="U333" t="s">
        <v>131</v>
      </c>
      <c r="V333" t="s">
        <v>2406</v>
      </c>
      <c r="W333" t="s">
        <v>2402</v>
      </c>
      <c r="X333" t="s">
        <v>2053</v>
      </c>
    </row>
    <row r="334" spans="2:24" x14ac:dyDescent="0.45">
      <c r="B334" t="s">
        <v>465</v>
      </c>
      <c r="C334">
        <v>4.4686910835277036</v>
      </c>
      <c r="D334">
        <v>3.3000000000000003</v>
      </c>
      <c r="E334">
        <v>0.99982000000000004</v>
      </c>
      <c r="U334" t="s">
        <v>131</v>
      </c>
      <c r="V334" t="s">
        <v>2407</v>
      </c>
      <c r="W334" t="s">
        <v>2402</v>
      </c>
      <c r="X334" t="s">
        <v>2053</v>
      </c>
    </row>
    <row r="335" spans="2:24" x14ac:dyDescent="0.45">
      <c r="B335" t="s">
        <v>466</v>
      </c>
      <c r="C335">
        <v>4.4686910835277036</v>
      </c>
      <c r="D335">
        <v>2.2000000000000002</v>
      </c>
      <c r="E335">
        <v>0.99987999999999999</v>
      </c>
      <c r="U335" t="s">
        <v>131</v>
      </c>
      <c r="V335" t="s">
        <v>2408</v>
      </c>
      <c r="W335" t="s">
        <v>2402</v>
      </c>
      <c r="X335" t="s">
        <v>2053</v>
      </c>
    </row>
    <row r="336" spans="2:24" x14ac:dyDescent="0.45">
      <c r="B336" t="s">
        <v>467</v>
      </c>
      <c r="C336">
        <v>4.4686910835277036</v>
      </c>
      <c r="D336">
        <v>4.4000000000000004</v>
      </c>
      <c r="E336">
        <v>0.99975999999999998</v>
      </c>
      <c r="U336" t="s">
        <v>131</v>
      </c>
      <c r="V336" t="s">
        <v>2409</v>
      </c>
      <c r="W336" t="s">
        <v>2402</v>
      </c>
      <c r="X336" t="s">
        <v>2053</v>
      </c>
    </row>
    <row r="337" spans="2:24" x14ac:dyDescent="0.45">
      <c r="B337" t="s">
        <v>468</v>
      </c>
      <c r="C337">
        <v>4.4686910835277036</v>
      </c>
      <c r="D337">
        <v>3.3000000000000003</v>
      </c>
      <c r="E337">
        <v>0.99982000000000004</v>
      </c>
      <c r="U337" t="s">
        <v>131</v>
      </c>
      <c r="V337" t="s">
        <v>2410</v>
      </c>
      <c r="W337" t="s">
        <v>2402</v>
      </c>
      <c r="X337" t="s">
        <v>2053</v>
      </c>
    </row>
    <row r="338" spans="2:24" x14ac:dyDescent="0.45">
      <c r="B338" t="s">
        <v>469</v>
      </c>
      <c r="C338">
        <v>4.4686910835277036</v>
      </c>
      <c r="D338">
        <v>1.1000000000000001</v>
      </c>
      <c r="E338">
        <v>0.99994000000000005</v>
      </c>
      <c r="U338" t="s">
        <v>131</v>
      </c>
      <c r="V338" t="s">
        <v>2411</v>
      </c>
      <c r="W338" t="s">
        <v>2402</v>
      </c>
      <c r="X338" t="s">
        <v>2053</v>
      </c>
    </row>
    <row r="339" spans="2:24" x14ac:dyDescent="0.45">
      <c r="B339" t="s">
        <v>470</v>
      </c>
      <c r="C339">
        <v>0.98311203837609484</v>
      </c>
      <c r="D339">
        <v>38.5</v>
      </c>
      <c r="E339">
        <v>0.99790000000000001</v>
      </c>
      <c r="U339" t="s">
        <v>131</v>
      </c>
      <c r="V339" t="s">
        <v>2412</v>
      </c>
      <c r="W339" t="s">
        <v>2402</v>
      </c>
      <c r="X339" t="s">
        <v>2053</v>
      </c>
    </row>
    <row r="340" spans="2:24" x14ac:dyDescent="0.45">
      <c r="B340" t="s">
        <v>471</v>
      </c>
      <c r="C340">
        <v>4.4686910835277036</v>
      </c>
      <c r="D340">
        <v>7.7000000000000011</v>
      </c>
      <c r="E340">
        <v>0.99958000000000002</v>
      </c>
      <c r="U340" t="s">
        <v>131</v>
      </c>
      <c r="V340" t="s">
        <v>2413</v>
      </c>
      <c r="W340" t="s">
        <v>2402</v>
      </c>
      <c r="X340" t="s">
        <v>2053</v>
      </c>
    </row>
    <row r="341" spans="2:24" x14ac:dyDescent="0.45">
      <c r="B341" t="s">
        <v>472</v>
      </c>
      <c r="C341">
        <v>4.4686910835277036</v>
      </c>
      <c r="D341">
        <v>12.100000000000001</v>
      </c>
      <c r="E341">
        <v>0.99934000000000001</v>
      </c>
      <c r="U341" t="s">
        <v>131</v>
      </c>
      <c r="V341" t="s">
        <v>2414</v>
      </c>
      <c r="W341" t="s">
        <v>2402</v>
      </c>
      <c r="X341" t="s">
        <v>2053</v>
      </c>
    </row>
    <row r="342" spans="2:24" x14ac:dyDescent="0.45">
      <c r="B342" t="s">
        <v>473</v>
      </c>
      <c r="C342">
        <v>4.4686910835277036</v>
      </c>
      <c r="D342">
        <v>2.2000000000000002</v>
      </c>
      <c r="E342">
        <v>0.99987999999999999</v>
      </c>
      <c r="U342" t="s">
        <v>131</v>
      </c>
      <c r="V342" t="s">
        <v>2415</v>
      </c>
      <c r="W342" t="s">
        <v>2416</v>
      </c>
      <c r="X342" t="s">
        <v>2053</v>
      </c>
    </row>
    <row r="343" spans="2:24" x14ac:dyDescent="0.45">
      <c r="B343" t="s">
        <v>474</v>
      </c>
      <c r="C343">
        <v>4.4686910835277036</v>
      </c>
      <c r="D343">
        <v>3.3000000000000003</v>
      </c>
      <c r="E343">
        <v>0.99982000000000004</v>
      </c>
      <c r="U343" t="s">
        <v>131</v>
      </c>
      <c r="V343" t="s">
        <v>2417</v>
      </c>
      <c r="W343" t="s">
        <v>2416</v>
      </c>
      <c r="X343" t="s">
        <v>2053</v>
      </c>
    </row>
    <row r="344" spans="2:24" x14ac:dyDescent="0.45">
      <c r="B344" t="s">
        <v>475</v>
      </c>
      <c r="C344">
        <v>4.4686910835277036</v>
      </c>
      <c r="D344">
        <v>5.5</v>
      </c>
      <c r="E344">
        <v>0.99970000000000003</v>
      </c>
      <c r="U344" t="s">
        <v>131</v>
      </c>
      <c r="V344" t="s">
        <v>2418</v>
      </c>
      <c r="W344" t="s">
        <v>2416</v>
      </c>
      <c r="X344" t="s">
        <v>2053</v>
      </c>
    </row>
    <row r="345" spans="2:24" x14ac:dyDescent="0.45">
      <c r="B345" t="s">
        <v>476</v>
      </c>
      <c r="C345">
        <v>4.4686910835277036</v>
      </c>
      <c r="D345">
        <v>2.2000000000000002</v>
      </c>
      <c r="E345">
        <v>0.99987999999999999</v>
      </c>
      <c r="U345" t="s">
        <v>131</v>
      </c>
      <c r="V345" t="s">
        <v>2419</v>
      </c>
      <c r="W345" t="s">
        <v>2416</v>
      </c>
      <c r="X345" t="s">
        <v>2053</v>
      </c>
    </row>
    <row r="346" spans="2:24" x14ac:dyDescent="0.45">
      <c r="B346" t="s">
        <v>477</v>
      </c>
      <c r="C346">
        <v>4.4686910835277036</v>
      </c>
      <c r="D346">
        <v>4.4000000000000004</v>
      </c>
      <c r="E346">
        <v>0.99975999999999998</v>
      </c>
      <c r="U346" t="s">
        <v>131</v>
      </c>
      <c r="V346" t="s">
        <v>2420</v>
      </c>
      <c r="W346" t="s">
        <v>2416</v>
      </c>
      <c r="X346" t="s">
        <v>2053</v>
      </c>
    </row>
    <row r="347" spans="2:24" x14ac:dyDescent="0.45">
      <c r="B347" t="s">
        <v>478</v>
      </c>
      <c r="C347">
        <v>4.4686910835277036</v>
      </c>
      <c r="D347">
        <v>4.4000000000000004</v>
      </c>
      <c r="E347">
        <v>0.99975999999999998</v>
      </c>
      <c r="U347" t="s">
        <v>131</v>
      </c>
      <c r="V347" t="s">
        <v>2421</v>
      </c>
      <c r="W347" t="s">
        <v>2416</v>
      </c>
      <c r="X347" t="s">
        <v>2053</v>
      </c>
    </row>
    <row r="348" spans="2:24" x14ac:dyDescent="0.45">
      <c r="B348" t="s">
        <v>479</v>
      </c>
      <c r="C348">
        <v>4.4686910835277036</v>
      </c>
      <c r="D348">
        <v>2.2000000000000002</v>
      </c>
      <c r="E348">
        <v>0.99987999999999999</v>
      </c>
      <c r="U348" t="s">
        <v>131</v>
      </c>
      <c r="V348" t="s">
        <v>2422</v>
      </c>
      <c r="W348" t="s">
        <v>2416</v>
      </c>
      <c r="X348" t="s">
        <v>2053</v>
      </c>
    </row>
    <row r="349" spans="2:24" x14ac:dyDescent="0.45">
      <c r="B349" t="s">
        <v>480</v>
      </c>
      <c r="C349">
        <v>4.4686910835277036</v>
      </c>
      <c r="D349">
        <v>8.8000000000000007</v>
      </c>
      <c r="E349">
        <v>0.99951999999999996</v>
      </c>
      <c r="U349" t="s">
        <v>131</v>
      </c>
      <c r="V349" t="s">
        <v>2423</v>
      </c>
      <c r="W349" t="s">
        <v>2416</v>
      </c>
      <c r="X349" t="s">
        <v>2053</v>
      </c>
    </row>
    <row r="350" spans="2:24" x14ac:dyDescent="0.45">
      <c r="B350" t="s">
        <v>481</v>
      </c>
      <c r="C350">
        <v>4.4686910835277036</v>
      </c>
      <c r="D350">
        <v>8.8000000000000007</v>
      </c>
      <c r="E350">
        <v>0.99951999999999996</v>
      </c>
      <c r="U350" t="s">
        <v>131</v>
      </c>
      <c r="V350" t="s">
        <v>2424</v>
      </c>
      <c r="W350" t="s">
        <v>2416</v>
      </c>
      <c r="X350" t="s">
        <v>2053</v>
      </c>
    </row>
    <row r="351" spans="2:24" x14ac:dyDescent="0.45">
      <c r="B351" t="s">
        <v>482</v>
      </c>
      <c r="C351">
        <v>0.49155601918804742</v>
      </c>
      <c r="D351">
        <v>16.5</v>
      </c>
      <c r="E351">
        <v>0.99909999999999999</v>
      </c>
      <c r="U351" t="s">
        <v>131</v>
      </c>
      <c r="V351" t="s">
        <v>2425</v>
      </c>
      <c r="W351" t="s">
        <v>2416</v>
      </c>
      <c r="X351" t="s">
        <v>2053</v>
      </c>
    </row>
    <row r="352" spans="2:24" x14ac:dyDescent="0.45">
      <c r="B352" t="s">
        <v>483</v>
      </c>
      <c r="C352">
        <v>0.98311203837609484</v>
      </c>
      <c r="D352">
        <v>2.2000000000000002</v>
      </c>
      <c r="E352">
        <v>0.99987999999999999</v>
      </c>
      <c r="U352" t="s">
        <v>131</v>
      </c>
      <c r="V352" t="s">
        <v>2426</v>
      </c>
      <c r="W352" t="s">
        <v>2416</v>
      </c>
      <c r="X352" t="s">
        <v>2053</v>
      </c>
    </row>
    <row r="353" spans="2:24" x14ac:dyDescent="0.45">
      <c r="B353" t="s">
        <v>484</v>
      </c>
      <c r="C353">
        <v>4.4686910835277036</v>
      </c>
      <c r="D353">
        <v>2.2000000000000002</v>
      </c>
      <c r="E353">
        <v>0.99987999999999999</v>
      </c>
      <c r="U353" t="s">
        <v>131</v>
      </c>
      <c r="V353" t="s">
        <v>2427</v>
      </c>
      <c r="W353" t="s">
        <v>2416</v>
      </c>
      <c r="X353" t="s">
        <v>2053</v>
      </c>
    </row>
    <row r="354" spans="2:24" x14ac:dyDescent="0.45">
      <c r="B354" t="s">
        <v>485</v>
      </c>
      <c r="C354">
        <v>0.49155601918804742</v>
      </c>
      <c r="D354">
        <v>8.8000000000000007</v>
      </c>
      <c r="E354">
        <v>0.99951999999999996</v>
      </c>
      <c r="U354" t="s">
        <v>131</v>
      </c>
      <c r="V354" t="s">
        <v>2428</v>
      </c>
      <c r="W354" t="s">
        <v>2416</v>
      </c>
      <c r="X354" t="s">
        <v>2053</v>
      </c>
    </row>
    <row r="355" spans="2:24" x14ac:dyDescent="0.45">
      <c r="B355" t="s">
        <v>486</v>
      </c>
      <c r="C355">
        <v>1.9662240767521897</v>
      </c>
      <c r="D355">
        <v>2.2000000000000002</v>
      </c>
      <c r="E355">
        <v>0.99987999999999999</v>
      </c>
      <c r="U355" t="s">
        <v>131</v>
      </c>
      <c r="V355" t="s">
        <v>2429</v>
      </c>
      <c r="W355" t="s">
        <v>2430</v>
      </c>
      <c r="X355" t="s">
        <v>2053</v>
      </c>
    </row>
    <row r="356" spans="2:24" x14ac:dyDescent="0.45">
      <c r="B356" t="s">
        <v>487</v>
      </c>
      <c r="C356">
        <v>4.4686910835277036</v>
      </c>
      <c r="D356">
        <v>1.1000000000000001</v>
      </c>
      <c r="E356">
        <v>0.99994000000000005</v>
      </c>
      <c r="U356" t="s">
        <v>131</v>
      </c>
      <c r="V356" t="s">
        <v>2431</v>
      </c>
      <c r="W356" t="s">
        <v>2430</v>
      </c>
      <c r="X356" t="s">
        <v>2053</v>
      </c>
    </row>
    <row r="357" spans="2:24" x14ac:dyDescent="0.45">
      <c r="B357" t="s">
        <v>488</v>
      </c>
      <c r="C357">
        <v>2.2343455417638518</v>
      </c>
      <c r="D357">
        <v>2.2000000000000002</v>
      </c>
      <c r="E357">
        <v>0.99987999999999999</v>
      </c>
      <c r="U357" t="s">
        <v>131</v>
      </c>
      <c r="V357" t="s">
        <v>2432</v>
      </c>
      <c r="W357" t="s">
        <v>2430</v>
      </c>
      <c r="X357" t="s">
        <v>2053</v>
      </c>
    </row>
    <row r="358" spans="2:24" x14ac:dyDescent="0.45">
      <c r="B358" t="s">
        <v>489</v>
      </c>
      <c r="C358">
        <v>4.4686910835277036</v>
      </c>
      <c r="D358">
        <v>6.6000000000000005</v>
      </c>
      <c r="E358">
        <v>0.99963999999999997</v>
      </c>
      <c r="U358" t="s">
        <v>131</v>
      </c>
      <c r="V358" t="s">
        <v>2433</v>
      </c>
      <c r="W358" t="s">
        <v>2430</v>
      </c>
      <c r="X358" t="s">
        <v>2053</v>
      </c>
    </row>
    <row r="359" spans="2:24" x14ac:dyDescent="0.45">
      <c r="B359" t="s">
        <v>490</v>
      </c>
      <c r="C359">
        <v>8.9373821670554072</v>
      </c>
      <c r="D359">
        <v>5.5</v>
      </c>
      <c r="E359">
        <v>0.99970000000000003</v>
      </c>
      <c r="U359" t="s">
        <v>131</v>
      </c>
      <c r="V359" t="s">
        <v>2434</v>
      </c>
      <c r="W359" t="s">
        <v>2430</v>
      </c>
      <c r="X359" t="s">
        <v>2053</v>
      </c>
    </row>
    <row r="360" spans="2:24" x14ac:dyDescent="0.45">
      <c r="B360" t="s">
        <v>491</v>
      </c>
      <c r="C360">
        <v>8.9373821670554072</v>
      </c>
      <c r="D360">
        <v>5.5</v>
      </c>
      <c r="E360">
        <v>0.99970000000000003</v>
      </c>
      <c r="U360" t="s">
        <v>131</v>
      </c>
      <c r="V360" t="s">
        <v>2435</v>
      </c>
      <c r="W360" t="s">
        <v>2430</v>
      </c>
      <c r="X360" t="s">
        <v>2053</v>
      </c>
    </row>
    <row r="361" spans="2:24" x14ac:dyDescent="0.45">
      <c r="B361" t="s">
        <v>492</v>
      </c>
      <c r="C361">
        <v>2.2343455417638518</v>
      </c>
      <c r="D361">
        <v>2.2000000000000002</v>
      </c>
      <c r="E361">
        <v>0.99987999999999999</v>
      </c>
      <c r="U361" t="s">
        <v>131</v>
      </c>
      <c r="V361" t="s">
        <v>2436</v>
      </c>
      <c r="W361" t="s">
        <v>2430</v>
      </c>
      <c r="X361" t="s">
        <v>2053</v>
      </c>
    </row>
    <row r="362" spans="2:24" x14ac:dyDescent="0.45">
      <c r="B362" t="s">
        <v>493</v>
      </c>
      <c r="C362">
        <v>2.2343455417638518</v>
      </c>
      <c r="D362">
        <v>1.1000000000000001</v>
      </c>
      <c r="E362">
        <v>0.99994000000000005</v>
      </c>
      <c r="U362" t="s">
        <v>131</v>
      </c>
      <c r="V362" t="s">
        <v>2437</v>
      </c>
      <c r="W362" t="s">
        <v>2430</v>
      </c>
      <c r="X362" t="s">
        <v>2053</v>
      </c>
    </row>
    <row r="363" spans="2:24" x14ac:dyDescent="0.45">
      <c r="B363" t="s">
        <v>494</v>
      </c>
      <c r="C363">
        <v>8.9373821670554072</v>
      </c>
      <c r="D363">
        <v>2.2000000000000002</v>
      </c>
      <c r="E363">
        <v>0.99987999999999999</v>
      </c>
      <c r="U363" t="s">
        <v>131</v>
      </c>
      <c r="V363" t="s">
        <v>2438</v>
      </c>
      <c r="W363" t="s">
        <v>2430</v>
      </c>
      <c r="X363" t="s">
        <v>2053</v>
      </c>
    </row>
    <row r="364" spans="2:24" x14ac:dyDescent="0.45">
      <c r="B364" t="s">
        <v>495</v>
      </c>
      <c r="C364">
        <v>8.9373821670554072</v>
      </c>
      <c r="D364">
        <v>7.7000000000000011</v>
      </c>
      <c r="E364">
        <v>0.99958000000000002</v>
      </c>
      <c r="U364" t="s">
        <v>131</v>
      </c>
      <c r="V364" t="s">
        <v>2439</v>
      </c>
      <c r="W364" t="s">
        <v>2430</v>
      </c>
      <c r="X364" t="s">
        <v>2053</v>
      </c>
    </row>
    <row r="365" spans="2:24" x14ac:dyDescent="0.45">
      <c r="B365" t="s">
        <v>496</v>
      </c>
      <c r="C365">
        <v>2.2343455417638518</v>
      </c>
      <c r="D365">
        <v>1.1000000000000001</v>
      </c>
      <c r="E365">
        <v>0.99994000000000005</v>
      </c>
      <c r="U365" t="s">
        <v>131</v>
      </c>
      <c r="V365" t="s">
        <v>2440</v>
      </c>
      <c r="W365" t="s">
        <v>2430</v>
      </c>
      <c r="X365" t="s">
        <v>2053</v>
      </c>
    </row>
    <row r="366" spans="2:24" x14ac:dyDescent="0.45">
      <c r="B366" t="s">
        <v>497</v>
      </c>
      <c r="C366">
        <v>4.4686910835277036</v>
      </c>
      <c r="D366">
        <v>8.8000000000000007</v>
      </c>
      <c r="E366">
        <v>0.99951999999999996</v>
      </c>
      <c r="U366" t="s">
        <v>131</v>
      </c>
      <c r="V366" t="s">
        <v>2441</v>
      </c>
      <c r="W366" t="s">
        <v>2430</v>
      </c>
      <c r="X366" t="s">
        <v>2053</v>
      </c>
    </row>
    <row r="367" spans="2:24" x14ac:dyDescent="0.45">
      <c r="B367" t="s">
        <v>498</v>
      </c>
      <c r="C367">
        <v>0.49155601918804742</v>
      </c>
      <c r="D367">
        <v>4.4000000000000004</v>
      </c>
      <c r="E367">
        <v>0.99975999999999998</v>
      </c>
      <c r="U367" t="s">
        <v>131</v>
      </c>
      <c r="V367" t="s">
        <v>2442</v>
      </c>
      <c r="W367" t="s">
        <v>2430</v>
      </c>
      <c r="X367" t="s">
        <v>2053</v>
      </c>
    </row>
    <row r="368" spans="2:24" x14ac:dyDescent="0.45">
      <c r="B368" t="s">
        <v>499</v>
      </c>
      <c r="C368">
        <v>2.2343455417638518</v>
      </c>
      <c r="D368">
        <v>4.4000000000000004</v>
      </c>
      <c r="E368">
        <v>0.99975999999999998</v>
      </c>
      <c r="U368" t="s">
        <v>131</v>
      </c>
      <c r="V368" t="s">
        <v>2443</v>
      </c>
      <c r="W368" t="s">
        <v>2444</v>
      </c>
      <c r="X368" t="s">
        <v>2053</v>
      </c>
    </row>
    <row r="369" spans="2:24" x14ac:dyDescent="0.45">
      <c r="B369" t="s">
        <v>500</v>
      </c>
      <c r="C369">
        <v>4.4686910835277036</v>
      </c>
      <c r="D369">
        <v>4.4000000000000004</v>
      </c>
      <c r="E369">
        <v>0.99975999999999998</v>
      </c>
      <c r="U369" t="s">
        <v>131</v>
      </c>
      <c r="V369" t="s">
        <v>2445</v>
      </c>
      <c r="W369" t="s">
        <v>2444</v>
      </c>
      <c r="X369" t="s">
        <v>2053</v>
      </c>
    </row>
    <row r="370" spans="2:24" x14ac:dyDescent="0.45">
      <c r="B370" t="s">
        <v>501</v>
      </c>
      <c r="C370">
        <v>4.4686910835277036</v>
      </c>
      <c r="D370">
        <v>8.8000000000000007</v>
      </c>
      <c r="E370">
        <v>0.99951999999999996</v>
      </c>
      <c r="U370" t="s">
        <v>131</v>
      </c>
      <c r="V370" t="s">
        <v>2446</v>
      </c>
      <c r="W370" t="s">
        <v>2444</v>
      </c>
      <c r="X370" t="s">
        <v>2053</v>
      </c>
    </row>
    <row r="371" spans="2:24" x14ac:dyDescent="0.45">
      <c r="B371" t="s">
        <v>502</v>
      </c>
      <c r="C371">
        <v>4.4686910835277036</v>
      </c>
      <c r="D371">
        <v>4.4000000000000004</v>
      </c>
      <c r="E371">
        <v>0.99975999999999998</v>
      </c>
      <c r="U371" t="s">
        <v>131</v>
      </c>
      <c r="V371" t="s">
        <v>2447</v>
      </c>
      <c r="W371" t="s">
        <v>2444</v>
      </c>
      <c r="X371" t="s">
        <v>2053</v>
      </c>
    </row>
    <row r="372" spans="2:24" x14ac:dyDescent="0.45">
      <c r="B372" t="s">
        <v>503</v>
      </c>
      <c r="C372">
        <v>4.4686910835277036</v>
      </c>
      <c r="D372">
        <v>1.1000000000000001</v>
      </c>
      <c r="E372">
        <v>0.99994000000000005</v>
      </c>
      <c r="U372" t="s">
        <v>131</v>
      </c>
      <c r="V372" t="s">
        <v>2448</v>
      </c>
      <c r="W372" t="s">
        <v>2444</v>
      </c>
      <c r="X372" t="s">
        <v>2053</v>
      </c>
    </row>
    <row r="373" spans="2:24" x14ac:dyDescent="0.45">
      <c r="B373" t="s">
        <v>504</v>
      </c>
      <c r="C373">
        <v>0.49155601918804742</v>
      </c>
      <c r="D373">
        <v>5.5</v>
      </c>
      <c r="E373">
        <v>0.99970000000000003</v>
      </c>
      <c r="U373" t="s">
        <v>131</v>
      </c>
      <c r="V373" t="s">
        <v>2449</v>
      </c>
      <c r="W373" t="s">
        <v>2444</v>
      </c>
      <c r="X373" t="s">
        <v>2053</v>
      </c>
    </row>
    <row r="374" spans="2:24" x14ac:dyDescent="0.45">
      <c r="B374" t="s">
        <v>505</v>
      </c>
      <c r="C374">
        <v>2.2343455417638518</v>
      </c>
      <c r="D374">
        <v>5.5</v>
      </c>
      <c r="E374">
        <v>0.99970000000000003</v>
      </c>
      <c r="U374" t="s">
        <v>131</v>
      </c>
      <c r="V374" t="s">
        <v>2450</v>
      </c>
      <c r="W374" t="s">
        <v>2444</v>
      </c>
      <c r="X374" t="s">
        <v>2053</v>
      </c>
    </row>
    <row r="375" spans="2:24" x14ac:dyDescent="0.45">
      <c r="B375" t="s">
        <v>506</v>
      </c>
      <c r="C375">
        <v>0.49155601918804742</v>
      </c>
      <c r="D375">
        <v>14.3</v>
      </c>
      <c r="E375">
        <v>0.99922</v>
      </c>
      <c r="U375" t="s">
        <v>131</v>
      </c>
      <c r="V375" t="s">
        <v>2451</v>
      </c>
      <c r="W375" t="s">
        <v>2444</v>
      </c>
      <c r="X375" t="s">
        <v>2053</v>
      </c>
    </row>
    <row r="376" spans="2:24" x14ac:dyDescent="0.45">
      <c r="B376" t="s">
        <v>507</v>
      </c>
      <c r="C376">
        <v>1.9662240767521897</v>
      </c>
      <c r="D376">
        <v>2.2000000000000002</v>
      </c>
      <c r="E376">
        <v>0.99987999999999999</v>
      </c>
      <c r="U376" t="s">
        <v>131</v>
      </c>
      <c r="V376" t="s">
        <v>2452</v>
      </c>
      <c r="W376" t="s">
        <v>2444</v>
      </c>
      <c r="X376" t="s">
        <v>2053</v>
      </c>
    </row>
    <row r="377" spans="2:24" x14ac:dyDescent="0.45">
      <c r="B377" t="s">
        <v>508</v>
      </c>
      <c r="C377">
        <v>4.4686910835277036</v>
      </c>
      <c r="D377">
        <v>3.3000000000000003</v>
      </c>
      <c r="E377">
        <v>0.99982000000000004</v>
      </c>
      <c r="U377" t="s">
        <v>131</v>
      </c>
      <c r="V377" t="s">
        <v>2453</v>
      </c>
      <c r="W377" t="s">
        <v>2444</v>
      </c>
      <c r="X377" t="s">
        <v>2053</v>
      </c>
    </row>
    <row r="378" spans="2:24" x14ac:dyDescent="0.45">
      <c r="B378" t="s">
        <v>509</v>
      </c>
      <c r="C378">
        <v>6.7030366252915554</v>
      </c>
      <c r="D378">
        <v>4.4000000000000004</v>
      </c>
      <c r="E378">
        <v>0.99975999999999998</v>
      </c>
      <c r="U378" t="s">
        <v>131</v>
      </c>
      <c r="V378" t="s">
        <v>2454</v>
      </c>
      <c r="W378" t="s">
        <v>2444</v>
      </c>
      <c r="X378" t="s">
        <v>2053</v>
      </c>
    </row>
    <row r="379" spans="2:24" x14ac:dyDescent="0.45">
      <c r="B379" t="s">
        <v>510</v>
      </c>
      <c r="C379">
        <v>8.9373821670554072</v>
      </c>
      <c r="D379">
        <v>4.4000000000000004</v>
      </c>
      <c r="E379">
        <v>0.99975999999999998</v>
      </c>
      <c r="U379" t="s">
        <v>131</v>
      </c>
      <c r="V379" t="s">
        <v>2455</v>
      </c>
      <c r="W379" t="s">
        <v>2444</v>
      </c>
      <c r="X379" t="s">
        <v>2053</v>
      </c>
    </row>
    <row r="380" spans="2:24" x14ac:dyDescent="0.45">
      <c r="B380" t="s">
        <v>511</v>
      </c>
      <c r="C380">
        <v>0.49155601918804742</v>
      </c>
      <c r="D380">
        <v>6.6000000000000005</v>
      </c>
      <c r="E380">
        <v>0.99963999999999997</v>
      </c>
      <c r="U380" t="s">
        <v>131</v>
      </c>
      <c r="V380" t="s">
        <v>2456</v>
      </c>
      <c r="W380" t="s">
        <v>2444</v>
      </c>
      <c r="X380" t="s">
        <v>2053</v>
      </c>
    </row>
    <row r="381" spans="2:24" x14ac:dyDescent="0.45">
      <c r="B381" t="s">
        <v>512</v>
      </c>
      <c r="C381">
        <v>1.9662240767521897</v>
      </c>
      <c r="D381">
        <v>2.2000000000000002</v>
      </c>
      <c r="E381">
        <v>0.99987999999999999</v>
      </c>
      <c r="U381" t="s">
        <v>131</v>
      </c>
      <c r="V381" t="s">
        <v>2457</v>
      </c>
      <c r="W381" t="s">
        <v>2458</v>
      </c>
      <c r="X381" t="s">
        <v>2053</v>
      </c>
    </row>
    <row r="382" spans="2:24" x14ac:dyDescent="0.45">
      <c r="B382" t="s">
        <v>513</v>
      </c>
      <c r="C382">
        <v>0.49155601918804742</v>
      </c>
      <c r="D382">
        <v>14.3</v>
      </c>
      <c r="E382">
        <v>0.99922</v>
      </c>
      <c r="U382" t="s">
        <v>131</v>
      </c>
      <c r="V382" t="s">
        <v>2459</v>
      </c>
      <c r="W382" t="s">
        <v>2458</v>
      </c>
      <c r="X382" t="s">
        <v>2053</v>
      </c>
    </row>
    <row r="383" spans="2:24" x14ac:dyDescent="0.45">
      <c r="B383" t="s">
        <v>514</v>
      </c>
      <c r="C383">
        <v>2.2343455417638518</v>
      </c>
      <c r="D383">
        <v>14.3</v>
      </c>
      <c r="E383">
        <v>0.99922</v>
      </c>
      <c r="U383" t="s">
        <v>131</v>
      </c>
      <c r="V383" t="s">
        <v>2460</v>
      </c>
      <c r="W383" t="s">
        <v>2458</v>
      </c>
      <c r="X383" t="s">
        <v>2053</v>
      </c>
    </row>
    <row r="384" spans="2:24" x14ac:dyDescent="0.45">
      <c r="B384" t="s">
        <v>515</v>
      </c>
      <c r="C384">
        <v>2.2343455417638518</v>
      </c>
      <c r="D384">
        <v>4.4000000000000004</v>
      </c>
      <c r="E384">
        <v>0.99975999999999998</v>
      </c>
      <c r="U384" t="s">
        <v>131</v>
      </c>
      <c r="V384" t="s">
        <v>2461</v>
      </c>
      <c r="W384" t="s">
        <v>2458</v>
      </c>
      <c r="X384" t="s">
        <v>2053</v>
      </c>
    </row>
    <row r="385" spans="2:24" x14ac:dyDescent="0.45">
      <c r="B385" t="s">
        <v>516</v>
      </c>
      <c r="C385">
        <v>4.4686910835277036</v>
      </c>
      <c r="D385">
        <v>2.2000000000000002</v>
      </c>
      <c r="E385">
        <v>0.99987999999999999</v>
      </c>
      <c r="U385" t="s">
        <v>131</v>
      </c>
      <c r="V385" t="s">
        <v>2462</v>
      </c>
      <c r="W385" t="s">
        <v>2458</v>
      </c>
      <c r="X385" t="s">
        <v>2053</v>
      </c>
    </row>
    <row r="386" spans="2:24" x14ac:dyDescent="0.45">
      <c r="B386" t="s">
        <v>517</v>
      </c>
      <c r="C386">
        <v>4.4686910835277036</v>
      </c>
      <c r="D386">
        <v>6.6000000000000005</v>
      </c>
      <c r="E386">
        <v>0.99963999999999997</v>
      </c>
      <c r="U386" t="s">
        <v>131</v>
      </c>
      <c r="V386" t="s">
        <v>2463</v>
      </c>
      <c r="W386" t="s">
        <v>2458</v>
      </c>
      <c r="X386" t="s">
        <v>2053</v>
      </c>
    </row>
    <row r="387" spans="2:24" x14ac:dyDescent="0.45">
      <c r="B387" t="s">
        <v>518</v>
      </c>
      <c r="C387">
        <v>0.98311203837609484</v>
      </c>
      <c r="D387">
        <v>20.900000000000002</v>
      </c>
      <c r="E387">
        <v>0.99885999999999997</v>
      </c>
      <c r="U387" t="s">
        <v>131</v>
      </c>
      <c r="V387" t="s">
        <v>2464</v>
      </c>
      <c r="W387" t="s">
        <v>2458</v>
      </c>
      <c r="X387" t="s">
        <v>2053</v>
      </c>
    </row>
    <row r="388" spans="2:24" x14ac:dyDescent="0.45">
      <c r="B388" t="s">
        <v>519</v>
      </c>
      <c r="C388">
        <v>0.98311203837609484</v>
      </c>
      <c r="D388">
        <v>16.5</v>
      </c>
      <c r="E388">
        <v>0.99909999999999999</v>
      </c>
      <c r="U388" t="s">
        <v>131</v>
      </c>
      <c r="V388" t="s">
        <v>2465</v>
      </c>
      <c r="W388" t="s">
        <v>2458</v>
      </c>
      <c r="X388" t="s">
        <v>2053</v>
      </c>
    </row>
    <row r="389" spans="2:24" x14ac:dyDescent="0.45">
      <c r="B389" t="s">
        <v>520</v>
      </c>
      <c r="C389">
        <v>4.4686910835277036</v>
      </c>
      <c r="D389">
        <v>2.2000000000000002</v>
      </c>
      <c r="E389">
        <v>0.99987999999999999</v>
      </c>
      <c r="U389" t="s">
        <v>131</v>
      </c>
      <c r="V389" t="s">
        <v>2466</v>
      </c>
      <c r="W389" t="s">
        <v>2458</v>
      </c>
      <c r="X389" t="s">
        <v>2053</v>
      </c>
    </row>
    <row r="390" spans="2:24" x14ac:dyDescent="0.45">
      <c r="B390" t="s">
        <v>521</v>
      </c>
      <c r="C390">
        <v>4.4686910835277036</v>
      </c>
      <c r="D390">
        <v>3.3000000000000003</v>
      </c>
      <c r="E390">
        <v>0.99982000000000004</v>
      </c>
      <c r="U390" t="s">
        <v>131</v>
      </c>
      <c r="V390" t="s">
        <v>2467</v>
      </c>
      <c r="W390" t="s">
        <v>2458</v>
      </c>
      <c r="X390" t="s">
        <v>2053</v>
      </c>
    </row>
    <row r="391" spans="2:24" x14ac:dyDescent="0.45">
      <c r="B391" t="s">
        <v>522</v>
      </c>
      <c r="C391">
        <v>4.4686910835277036</v>
      </c>
      <c r="D391">
        <v>2.2000000000000002</v>
      </c>
      <c r="E391">
        <v>0.99987999999999999</v>
      </c>
      <c r="U391" t="s">
        <v>131</v>
      </c>
      <c r="V391" t="s">
        <v>2468</v>
      </c>
      <c r="W391" t="s">
        <v>2458</v>
      </c>
      <c r="X391" t="s">
        <v>2053</v>
      </c>
    </row>
    <row r="392" spans="2:24" x14ac:dyDescent="0.45">
      <c r="B392" t="s">
        <v>523</v>
      </c>
      <c r="C392">
        <v>4.4686910835277036</v>
      </c>
      <c r="D392">
        <v>3.3000000000000003</v>
      </c>
      <c r="E392">
        <v>0.99982000000000004</v>
      </c>
      <c r="U392" t="s">
        <v>131</v>
      </c>
      <c r="V392" t="s">
        <v>2469</v>
      </c>
      <c r="W392" t="s">
        <v>2458</v>
      </c>
      <c r="X392" t="s">
        <v>2053</v>
      </c>
    </row>
    <row r="393" spans="2:24" x14ac:dyDescent="0.45">
      <c r="B393" t="s">
        <v>524</v>
      </c>
      <c r="C393">
        <v>4.4686910835277036</v>
      </c>
      <c r="D393">
        <v>2.2000000000000002</v>
      </c>
      <c r="E393">
        <v>0.99987999999999999</v>
      </c>
      <c r="U393" t="s">
        <v>131</v>
      </c>
      <c r="V393" t="s">
        <v>2470</v>
      </c>
      <c r="W393" t="s">
        <v>2458</v>
      </c>
      <c r="X393" t="s">
        <v>2053</v>
      </c>
    </row>
    <row r="394" spans="2:24" x14ac:dyDescent="0.45">
      <c r="B394" t="s">
        <v>525</v>
      </c>
      <c r="C394">
        <v>4.4686910835277036</v>
      </c>
      <c r="D394">
        <v>2.2000000000000002</v>
      </c>
      <c r="E394">
        <v>0.99987999999999999</v>
      </c>
      <c r="U394" t="s">
        <v>131</v>
      </c>
      <c r="V394" t="s">
        <v>2471</v>
      </c>
      <c r="W394" t="s">
        <v>2472</v>
      </c>
      <c r="X394" t="s">
        <v>2053</v>
      </c>
    </row>
    <row r="395" spans="2:24" x14ac:dyDescent="0.45">
      <c r="B395" t="s">
        <v>526</v>
      </c>
      <c r="C395">
        <v>4.4686910835277036</v>
      </c>
      <c r="D395">
        <v>3.3000000000000003</v>
      </c>
      <c r="E395">
        <v>0.99982000000000004</v>
      </c>
      <c r="U395" t="s">
        <v>131</v>
      </c>
      <c r="V395" t="s">
        <v>2473</v>
      </c>
      <c r="W395" t="s">
        <v>2472</v>
      </c>
      <c r="X395" t="s">
        <v>2053</v>
      </c>
    </row>
    <row r="396" spans="2:24" x14ac:dyDescent="0.45">
      <c r="B396" t="s">
        <v>527</v>
      </c>
      <c r="C396">
        <v>0.98311203837609484</v>
      </c>
      <c r="D396">
        <v>47.300000000000004</v>
      </c>
      <c r="E396">
        <v>0.99741999999999997</v>
      </c>
      <c r="U396" t="s">
        <v>131</v>
      </c>
      <c r="V396" t="s">
        <v>2474</v>
      </c>
      <c r="W396" t="s">
        <v>2472</v>
      </c>
      <c r="X396" t="s">
        <v>2053</v>
      </c>
    </row>
    <row r="397" spans="2:24" x14ac:dyDescent="0.45">
      <c r="B397" t="s">
        <v>528</v>
      </c>
      <c r="C397">
        <v>8.9373821670554072</v>
      </c>
      <c r="D397">
        <v>3.3000000000000003</v>
      </c>
      <c r="E397">
        <v>0.99982000000000004</v>
      </c>
      <c r="U397" t="s">
        <v>131</v>
      </c>
      <c r="V397" t="s">
        <v>2475</v>
      </c>
      <c r="W397" t="s">
        <v>2472</v>
      </c>
      <c r="X397" t="s">
        <v>2053</v>
      </c>
    </row>
    <row r="398" spans="2:24" x14ac:dyDescent="0.45">
      <c r="B398" t="s">
        <v>529</v>
      </c>
      <c r="C398">
        <v>4.4686910835277036</v>
      </c>
      <c r="D398">
        <v>4.4000000000000004</v>
      </c>
      <c r="E398">
        <v>0.99975999999999998</v>
      </c>
      <c r="U398" t="s">
        <v>131</v>
      </c>
      <c r="V398" t="s">
        <v>2476</v>
      </c>
      <c r="W398" t="s">
        <v>2472</v>
      </c>
      <c r="X398" t="s">
        <v>2053</v>
      </c>
    </row>
    <row r="399" spans="2:24" x14ac:dyDescent="0.45">
      <c r="B399" t="s">
        <v>530</v>
      </c>
      <c r="C399">
        <v>4.4686910835277036</v>
      </c>
      <c r="D399">
        <v>1.1000000000000001</v>
      </c>
      <c r="E399">
        <v>0.99994000000000005</v>
      </c>
      <c r="U399" t="s">
        <v>131</v>
      </c>
      <c r="V399" t="s">
        <v>2477</v>
      </c>
      <c r="W399" t="s">
        <v>2472</v>
      </c>
      <c r="X399" t="s">
        <v>2053</v>
      </c>
    </row>
    <row r="400" spans="2:24" x14ac:dyDescent="0.45">
      <c r="B400" t="s">
        <v>531</v>
      </c>
      <c r="C400">
        <v>0.98311203837609484</v>
      </c>
      <c r="D400">
        <v>12.100000000000001</v>
      </c>
      <c r="E400">
        <v>0.99934000000000001</v>
      </c>
      <c r="U400" t="s">
        <v>131</v>
      </c>
      <c r="V400" t="s">
        <v>2478</v>
      </c>
      <c r="W400" t="s">
        <v>2472</v>
      </c>
      <c r="X400" t="s">
        <v>2053</v>
      </c>
    </row>
    <row r="401" spans="2:24" x14ac:dyDescent="0.45">
      <c r="B401" t="s">
        <v>532</v>
      </c>
      <c r="C401">
        <v>4.4686910835277036</v>
      </c>
      <c r="D401">
        <v>2.2000000000000002</v>
      </c>
      <c r="E401">
        <v>0.99987999999999999</v>
      </c>
      <c r="U401" t="s">
        <v>131</v>
      </c>
      <c r="V401" t="s">
        <v>2479</v>
      </c>
      <c r="W401" t="s">
        <v>2472</v>
      </c>
      <c r="X401" t="s">
        <v>2053</v>
      </c>
    </row>
    <row r="402" spans="2:24" x14ac:dyDescent="0.45">
      <c r="B402" t="s">
        <v>533</v>
      </c>
      <c r="C402">
        <v>4.4686910835277036</v>
      </c>
      <c r="D402">
        <v>3.3000000000000003</v>
      </c>
      <c r="E402">
        <v>0.99982000000000004</v>
      </c>
      <c r="U402" t="s">
        <v>131</v>
      </c>
      <c r="V402" t="s">
        <v>2480</v>
      </c>
      <c r="W402" t="s">
        <v>2472</v>
      </c>
      <c r="X402" t="s">
        <v>2053</v>
      </c>
    </row>
    <row r="403" spans="2:24" x14ac:dyDescent="0.45">
      <c r="B403" t="s">
        <v>534</v>
      </c>
      <c r="C403">
        <v>4.4686910835277036</v>
      </c>
      <c r="D403">
        <v>4.4000000000000004</v>
      </c>
      <c r="E403">
        <v>0.99975999999999998</v>
      </c>
      <c r="U403" t="s">
        <v>131</v>
      </c>
      <c r="V403" t="s">
        <v>2481</v>
      </c>
      <c r="W403" t="s">
        <v>2472</v>
      </c>
      <c r="X403" t="s">
        <v>2053</v>
      </c>
    </row>
    <row r="404" spans="2:24" x14ac:dyDescent="0.45">
      <c r="B404" t="s">
        <v>535</v>
      </c>
      <c r="C404">
        <v>4.4686910835277036</v>
      </c>
      <c r="D404">
        <v>1.1000000000000001</v>
      </c>
      <c r="E404">
        <v>0.99994000000000005</v>
      </c>
      <c r="U404" t="s">
        <v>131</v>
      </c>
      <c r="V404" t="s">
        <v>2482</v>
      </c>
      <c r="W404" t="s">
        <v>2472</v>
      </c>
      <c r="X404" t="s">
        <v>2053</v>
      </c>
    </row>
    <row r="405" spans="2:24" x14ac:dyDescent="0.45">
      <c r="B405" t="s">
        <v>536</v>
      </c>
      <c r="C405">
        <v>8.9373821670554072</v>
      </c>
      <c r="D405">
        <v>1.1000000000000001</v>
      </c>
      <c r="E405">
        <v>0.99994000000000005</v>
      </c>
      <c r="U405" t="s">
        <v>131</v>
      </c>
      <c r="V405" t="s">
        <v>2483</v>
      </c>
      <c r="W405" t="s">
        <v>2472</v>
      </c>
      <c r="X405" t="s">
        <v>2053</v>
      </c>
    </row>
    <row r="406" spans="2:24" x14ac:dyDescent="0.45">
      <c r="B406" t="s">
        <v>537</v>
      </c>
      <c r="C406">
        <v>4.4686910835277036</v>
      </c>
      <c r="D406">
        <v>3.3000000000000003</v>
      </c>
      <c r="E406">
        <v>0.99982000000000004</v>
      </c>
      <c r="U406" t="s">
        <v>131</v>
      </c>
      <c r="V406" t="s">
        <v>2484</v>
      </c>
      <c r="W406" t="s">
        <v>2472</v>
      </c>
      <c r="X406" t="s">
        <v>2053</v>
      </c>
    </row>
    <row r="407" spans="2:24" x14ac:dyDescent="0.45">
      <c r="B407" t="s">
        <v>538</v>
      </c>
      <c r="C407">
        <v>0.98311203837609484</v>
      </c>
      <c r="D407">
        <v>91.300000000000011</v>
      </c>
      <c r="E407">
        <v>0.99502000000000002</v>
      </c>
      <c r="U407" t="s">
        <v>131</v>
      </c>
      <c r="V407" t="s">
        <v>2485</v>
      </c>
      <c r="W407" t="s">
        <v>2486</v>
      </c>
      <c r="X407" t="s">
        <v>2053</v>
      </c>
    </row>
    <row r="408" spans="2:24" x14ac:dyDescent="0.45">
      <c r="B408" t="s">
        <v>539</v>
      </c>
      <c r="C408">
        <v>1.9662240767521897</v>
      </c>
      <c r="D408">
        <v>9.9</v>
      </c>
      <c r="E408">
        <v>0.99946000000000002</v>
      </c>
      <c r="U408" t="s">
        <v>131</v>
      </c>
      <c r="V408" t="s">
        <v>2487</v>
      </c>
      <c r="W408" t="s">
        <v>2486</v>
      </c>
      <c r="X408" t="s">
        <v>2053</v>
      </c>
    </row>
    <row r="409" spans="2:24" x14ac:dyDescent="0.45">
      <c r="B409" t="s">
        <v>540</v>
      </c>
      <c r="C409">
        <v>4.4686910835277036</v>
      </c>
      <c r="D409">
        <v>9.9</v>
      </c>
      <c r="E409">
        <v>0.99946000000000002</v>
      </c>
      <c r="U409" t="s">
        <v>131</v>
      </c>
      <c r="V409" t="s">
        <v>2488</v>
      </c>
      <c r="W409" t="s">
        <v>2486</v>
      </c>
      <c r="X409" t="s">
        <v>2053</v>
      </c>
    </row>
    <row r="410" spans="2:24" x14ac:dyDescent="0.45">
      <c r="B410" t="s">
        <v>541</v>
      </c>
      <c r="C410">
        <v>4.4686910835277036</v>
      </c>
      <c r="D410">
        <v>3.3000000000000003</v>
      </c>
      <c r="E410">
        <v>0.99982000000000004</v>
      </c>
      <c r="U410" t="s">
        <v>131</v>
      </c>
      <c r="V410" t="s">
        <v>2489</v>
      </c>
      <c r="W410" t="s">
        <v>2486</v>
      </c>
      <c r="X410" t="s">
        <v>2053</v>
      </c>
    </row>
    <row r="411" spans="2:24" x14ac:dyDescent="0.45">
      <c r="B411" t="s">
        <v>542</v>
      </c>
      <c r="C411">
        <v>4.4686910835277036</v>
      </c>
      <c r="D411">
        <v>2.2000000000000002</v>
      </c>
      <c r="E411">
        <v>0.99987999999999999</v>
      </c>
      <c r="U411" t="s">
        <v>131</v>
      </c>
      <c r="V411" t="s">
        <v>2490</v>
      </c>
      <c r="W411" t="s">
        <v>2486</v>
      </c>
      <c r="X411" t="s">
        <v>2053</v>
      </c>
    </row>
    <row r="412" spans="2:24" x14ac:dyDescent="0.45">
      <c r="B412" t="s">
        <v>543</v>
      </c>
      <c r="C412">
        <v>4.4686910835277036</v>
      </c>
      <c r="D412">
        <v>2.2000000000000002</v>
      </c>
      <c r="E412">
        <v>0.99987999999999999</v>
      </c>
      <c r="U412" t="s">
        <v>131</v>
      </c>
      <c r="V412" t="s">
        <v>2491</v>
      </c>
      <c r="W412" t="s">
        <v>2486</v>
      </c>
      <c r="X412" t="s">
        <v>2053</v>
      </c>
    </row>
    <row r="413" spans="2:24" x14ac:dyDescent="0.45">
      <c r="B413" t="s">
        <v>544</v>
      </c>
      <c r="C413">
        <v>4.4686910835277036</v>
      </c>
      <c r="D413">
        <v>4.4000000000000004</v>
      </c>
      <c r="E413">
        <v>0.99975999999999998</v>
      </c>
      <c r="U413" t="s">
        <v>131</v>
      </c>
      <c r="V413" t="s">
        <v>2492</v>
      </c>
      <c r="W413" t="s">
        <v>2486</v>
      </c>
      <c r="X413" t="s">
        <v>2053</v>
      </c>
    </row>
    <row r="414" spans="2:24" x14ac:dyDescent="0.45">
      <c r="B414" t="s">
        <v>545</v>
      </c>
      <c r="C414">
        <v>4.4686910835277036</v>
      </c>
      <c r="D414">
        <v>1.1000000000000001</v>
      </c>
      <c r="E414">
        <v>0.99994000000000005</v>
      </c>
      <c r="U414" t="s">
        <v>131</v>
      </c>
      <c r="V414" t="s">
        <v>2493</v>
      </c>
      <c r="W414" t="s">
        <v>2486</v>
      </c>
      <c r="X414" t="s">
        <v>2053</v>
      </c>
    </row>
    <row r="415" spans="2:24" x14ac:dyDescent="0.45">
      <c r="B415" t="s">
        <v>546</v>
      </c>
      <c r="C415">
        <v>4.4686910835277036</v>
      </c>
      <c r="D415">
        <v>1.1000000000000001</v>
      </c>
      <c r="E415">
        <v>0.99994000000000005</v>
      </c>
      <c r="U415" t="s">
        <v>131</v>
      </c>
      <c r="V415" t="s">
        <v>2494</v>
      </c>
      <c r="W415" t="s">
        <v>2486</v>
      </c>
      <c r="X415" t="s">
        <v>2053</v>
      </c>
    </row>
    <row r="416" spans="2:24" x14ac:dyDescent="0.45">
      <c r="B416" t="s">
        <v>547</v>
      </c>
      <c r="C416">
        <v>4.4686910835277036</v>
      </c>
      <c r="D416">
        <v>5.5</v>
      </c>
      <c r="E416">
        <v>0.99970000000000003</v>
      </c>
      <c r="U416" t="s">
        <v>131</v>
      </c>
      <c r="V416" t="s">
        <v>2495</v>
      </c>
      <c r="W416" t="s">
        <v>2486</v>
      </c>
      <c r="X416" t="s">
        <v>2053</v>
      </c>
    </row>
    <row r="417" spans="2:24" x14ac:dyDescent="0.45">
      <c r="B417" t="s">
        <v>548</v>
      </c>
      <c r="C417">
        <v>4.4686910835277036</v>
      </c>
      <c r="D417">
        <v>3.3000000000000003</v>
      </c>
      <c r="E417">
        <v>0.99982000000000004</v>
      </c>
      <c r="U417" t="s">
        <v>131</v>
      </c>
      <c r="V417" t="s">
        <v>2496</v>
      </c>
      <c r="W417" t="s">
        <v>2486</v>
      </c>
      <c r="X417" t="s">
        <v>2053</v>
      </c>
    </row>
    <row r="418" spans="2:24" x14ac:dyDescent="0.45">
      <c r="B418" t="s">
        <v>549</v>
      </c>
      <c r="C418">
        <v>4.4686910835277036</v>
      </c>
      <c r="D418">
        <v>2.2000000000000002</v>
      </c>
      <c r="E418">
        <v>0.99987999999999999</v>
      </c>
      <c r="U418" t="s">
        <v>131</v>
      </c>
      <c r="V418" t="s">
        <v>2497</v>
      </c>
      <c r="W418" t="s">
        <v>2486</v>
      </c>
      <c r="X418" t="s">
        <v>2053</v>
      </c>
    </row>
    <row r="419" spans="2:24" x14ac:dyDescent="0.45">
      <c r="B419" t="s">
        <v>550</v>
      </c>
      <c r="C419">
        <v>4.4686910835277036</v>
      </c>
      <c r="D419">
        <v>2.2000000000000002</v>
      </c>
      <c r="E419">
        <v>0.99987999999999999</v>
      </c>
      <c r="U419" t="s">
        <v>131</v>
      </c>
      <c r="V419" t="s">
        <v>2498</v>
      </c>
      <c r="W419" t="s">
        <v>2486</v>
      </c>
      <c r="X419" t="s">
        <v>2053</v>
      </c>
    </row>
    <row r="420" spans="2:24" x14ac:dyDescent="0.45">
      <c r="B420" t="s">
        <v>551</v>
      </c>
      <c r="C420">
        <v>4.4686910835277036</v>
      </c>
      <c r="D420">
        <v>6.6000000000000005</v>
      </c>
      <c r="E420">
        <v>0.99963999999999997</v>
      </c>
      <c r="U420" t="s">
        <v>131</v>
      </c>
      <c r="V420" t="s">
        <v>2499</v>
      </c>
      <c r="W420" t="s">
        <v>2500</v>
      </c>
      <c r="X420" t="s">
        <v>2053</v>
      </c>
    </row>
    <row r="421" spans="2:24" x14ac:dyDescent="0.45">
      <c r="B421" t="s">
        <v>552</v>
      </c>
      <c r="C421">
        <v>4.4686910835277036</v>
      </c>
      <c r="D421">
        <v>4.4000000000000004</v>
      </c>
      <c r="E421">
        <v>0.99975999999999998</v>
      </c>
      <c r="U421" t="s">
        <v>131</v>
      </c>
      <c r="V421" t="s">
        <v>2501</v>
      </c>
      <c r="W421" t="s">
        <v>2500</v>
      </c>
      <c r="X421" t="s">
        <v>2053</v>
      </c>
    </row>
    <row r="422" spans="2:24" x14ac:dyDescent="0.45">
      <c r="B422" t="s">
        <v>553</v>
      </c>
      <c r="C422">
        <v>4.4686910835277036</v>
      </c>
      <c r="D422">
        <v>2.2000000000000002</v>
      </c>
      <c r="E422">
        <v>0.99987999999999999</v>
      </c>
      <c r="U422" t="s">
        <v>131</v>
      </c>
      <c r="V422" t="s">
        <v>2502</v>
      </c>
      <c r="W422" t="s">
        <v>2500</v>
      </c>
      <c r="X422" t="s">
        <v>2053</v>
      </c>
    </row>
    <row r="423" spans="2:24" x14ac:dyDescent="0.45">
      <c r="B423" t="s">
        <v>554</v>
      </c>
      <c r="C423">
        <v>0.98311203837609484</v>
      </c>
      <c r="D423">
        <v>28.6</v>
      </c>
      <c r="E423">
        <v>0.99843999999999999</v>
      </c>
      <c r="U423" t="s">
        <v>131</v>
      </c>
      <c r="V423" t="s">
        <v>2503</v>
      </c>
      <c r="W423" t="s">
        <v>2500</v>
      </c>
      <c r="X423" t="s">
        <v>2053</v>
      </c>
    </row>
    <row r="424" spans="2:24" x14ac:dyDescent="0.45">
      <c r="B424" t="s">
        <v>555</v>
      </c>
      <c r="C424">
        <v>4.4686910835277036</v>
      </c>
      <c r="D424">
        <v>12.100000000000001</v>
      </c>
      <c r="E424">
        <v>0.99934000000000001</v>
      </c>
      <c r="U424" t="s">
        <v>131</v>
      </c>
      <c r="V424" t="s">
        <v>2504</v>
      </c>
      <c r="W424" t="s">
        <v>2500</v>
      </c>
      <c r="X424" t="s">
        <v>2053</v>
      </c>
    </row>
    <row r="425" spans="2:24" x14ac:dyDescent="0.45">
      <c r="B425" t="s">
        <v>556</v>
      </c>
      <c r="C425">
        <v>4.4686910835277036</v>
      </c>
      <c r="D425">
        <v>4.4000000000000004</v>
      </c>
      <c r="E425">
        <v>0.99975999999999998</v>
      </c>
      <c r="U425" t="s">
        <v>131</v>
      </c>
      <c r="V425" t="s">
        <v>2505</v>
      </c>
      <c r="W425" t="s">
        <v>2500</v>
      </c>
      <c r="X425" t="s">
        <v>2053</v>
      </c>
    </row>
    <row r="426" spans="2:24" x14ac:dyDescent="0.45">
      <c r="B426" t="s">
        <v>557</v>
      </c>
      <c r="C426">
        <v>4.4686910835277036</v>
      </c>
      <c r="D426">
        <v>3.3000000000000003</v>
      </c>
      <c r="E426">
        <v>0.99982000000000004</v>
      </c>
      <c r="U426" t="s">
        <v>131</v>
      </c>
      <c r="V426" t="s">
        <v>2506</v>
      </c>
      <c r="W426" t="s">
        <v>2500</v>
      </c>
      <c r="X426" t="s">
        <v>2053</v>
      </c>
    </row>
    <row r="427" spans="2:24" x14ac:dyDescent="0.45">
      <c r="B427" t="s">
        <v>558</v>
      </c>
      <c r="C427">
        <v>4.4686910835277036</v>
      </c>
      <c r="D427">
        <v>5.5</v>
      </c>
      <c r="E427">
        <v>0.99970000000000003</v>
      </c>
      <c r="U427" t="s">
        <v>131</v>
      </c>
      <c r="V427" t="s">
        <v>2507</v>
      </c>
      <c r="W427" t="s">
        <v>2500</v>
      </c>
      <c r="X427" t="s">
        <v>2053</v>
      </c>
    </row>
    <row r="428" spans="2:24" x14ac:dyDescent="0.45">
      <c r="B428" t="s">
        <v>559</v>
      </c>
      <c r="C428">
        <v>4.4686910835277036</v>
      </c>
      <c r="D428">
        <v>1.1000000000000001</v>
      </c>
      <c r="E428">
        <v>0.99994000000000005</v>
      </c>
      <c r="U428" t="s">
        <v>131</v>
      </c>
      <c r="V428" t="s">
        <v>2508</v>
      </c>
      <c r="W428" t="s">
        <v>2500</v>
      </c>
      <c r="X428" t="s">
        <v>2053</v>
      </c>
    </row>
    <row r="429" spans="2:24" x14ac:dyDescent="0.45">
      <c r="B429" t="s">
        <v>560</v>
      </c>
      <c r="C429">
        <v>8.9373821670554072</v>
      </c>
      <c r="D429">
        <v>4.4000000000000004</v>
      </c>
      <c r="E429">
        <v>0.99975999999999998</v>
      </c>
      <c r="U429" t="s">
        <v>131</v>
      </c>
      <c r="V429" t="s">
        <v>2509</v>
      </c>
      <c r="W429" t="s">
        <v>2500</v>
      </c>
      <c r="X429" t="s">
        <v>2053</v>
      </c>
    </row>
    <row r="430" spans="2:24" x14ac:dyDescent="0.45">
      <c r="B430" t="s">
        <v>561</v>
      </c>
      <c r="C430">
        <v>4.4686910835277036</v>
      </c>
      <c r="D430">
        <v>3.3000000000000003</v>
      </c>
      <c r="E430">
        <v>0.99982000000000004</v>
      </c>
      <c r="U430" t="s">
        <v>131</v>
      </c>
      <c r="V430" t="s">
        <v>2510</v>
      </c>
      <c r="W430" t="s">
        <v>2500</v>
      </c>
      <c r="X430" t="s">
        <v>2053</v>
      </c>
    </row>
    <row r="431" spans="2:24" x14ac:dyDescent="0.45">
      <c r="B431" t="s">
        <v>562</v>
      </c>
      <c r="C431">
        <v>4.4686910835277036</v>
      </c>
      <c r="D431">
        <v>4.4000000000000004</v>
      </c>
      <c r="E431">
        <v>0.99975999999999998</v>
      </c>
      <c r="U431" t="s">
        <v>131</v>
      </c>
      <c r="V431" t="s">
        <v>2511</v>
      </c>
      <c r="W431" t="s">
        <v>2500</v>
      </c>
      <c r="X431" t="s">
        <v>2053</v>
      </c>
    </row>
    <row r="432" spans="2:24" x14ac:dyDescent="0.45">
      <c r="B432" t="s">
        <v>563</v>
      </c>
      <c r="C432">
        <v>4.4686910835277036</v>
      </c>
      <c r="D432">
        <v>1.1000000000000001</v>
      </c>
      <c r="E432">
        <v>0.99994000000000005</v>
      </c>
      <c r="U432" t="s">
        <v>131</v>
      </c>
      <c r="V432" t="s">
        <v>2512</v>
      </c>
      <c r="W432" t="s">
        <v>2500</v>
      </c>
      <c r="X432" t="s">
        <v>2053</v>
      </c>
    </row>
    <row r="433" spans="2:24" x14ac:dyDescent="0.45">
      <c r="B433" t="s">
        <v>564</v>
      </c>
      <c r="C433">
        <v>4.4686910835277036</v>
      </c>
      <c r="D433">
        <v>3.3000000000000003</v>
      </c>
      <c r="E433">
        <v>0.99982000000000004</v>
      </c>
      <c r="U433" t="s">
        <v>131</v>
      </c>
      <c r="V433" t="s">
        <v>2513</v>
      </c>
      <c r="W433" t="s">
        <v>2514</v>
      </c>
      <c r="X433" t="s">
        <v>2053</v>
      </c>
    </row>
    <row r="434" spans="2:24" x14ac:dyDescent="0.45">
      <c r="B434" t="s">
        <v>565</v>
      </c>
      <c r="C434">
        <v>0.49155601918804742</v>
      </c>
      <c r="D434">
        <v>3.3000000000000003</v>
      </c>
      <c r="E434">
        <v>0.99982000000000004</v>
      </c>
      <c r="U434" t="s">
        <v>131</v>
      </c>
      <c r="V434" t="s">
        <v>2515</v>
      </c>
      <c r="W434" t="s">
        <v>2514</v>
      </c>
      <c r="X434" t="s">
        <v>2053</v>
      </c>
    </row>
    <row r="435" spans="2:24" x14ac:dyDescent="0.45">
      <c r="B435" t="s">
        <v>566</v>
      </c>
      <c r="C435">
        <v>6.7030366252915554</v>
      </c>
      <c r="D435">
        <v>3.3000000000000003</v>
      </c>
      <c r="E435">
        <v>0.99982000000000004</v>
      </c>
      <c r="U435" t="s">
        <v>131</v>
      </c>
      <c r="V435" t="s">
        <v>2516</v>
      </c>
      <c r="W435" t="s">
        <v>2514</v>
      </c>
      <c r="X435" t="s">
        <v>2053</v>
      </c>
    </row>
    <row r="436" spans="2:24" x14ac:dyDescent="0.45">
      <c r="B436" t="s">
        <v>567</v>
      </c>
      <c r="C436">
        <v>0.98311203837609484</v>
      </c>
      <c r="D436">
        <v>7.7000000000000011</v>
      </c>
      <c r="E436">
        <v>0.99958000000000002</v>
      </c>
      <c r="U436" t="s">
        <v>131</v>
      </c>
      <c r="V436" t="s">
        <v>2517</v>
      </c>
      <c r="W436" t="s">
        <v>2514</v>
      </c>
      <c r="X436" t="s">
        <v>2053</v>
      </c>
    </row>
    <row r="437" spans="2:24" x14ac:dyDescent="0.45">
      <c r="B437" t="s">
        <v>568</v>
      </c>
      <c r="C437">
        <v>0.98311203837609484</v>
      </c>
      <c r="D437">
        <v>11</v>
      </c>
      <c r="E437">
        <v>0.99939999999999996</v>
      </c>
      <c r="U437" t="s">
        <v>131</v>
      </c>
      <c r="V437" t="s">
        <v>2518</v>
      </c>
      <c r="W437" t="s">
        <v>2514</v>
      </c>
      <c r="X437" t="s">
        <v>2053</v>
      </c>
    </row>
    <row r="438" spans="2:24" x14ac:dyDescent="0.45">
      <c r="B438" t="s">
        <v>569</v>
      </c>
      <c r="C438">
        <v>4.4686910835277036</v>
      </c>
      <c r="D438">
        <v>3.3000000000000003</v>
      </c>
      <c r="E438">
        <v>0.99982000000000004</v>
      </c>
      <c r="U438" t="s">
        <v>131</v>
      </c>
      <c r="V438" t="s">
        <v>2519</v>
      </c>
      <c r="W438" t="s">
        <v>2514</v>
      </c>
      <c r="X438" t="s">
        <v>2053</v>
      </c>
    </row>
    <row r="439" spans="2:24" x14ac:dyDescent="0.45">
      <c r="B439" t="s">
        <v>570</v>
      </c>
      <c r="C439">
        <v>0.49155601918804742</v>
      </c>
      <c r="D439">
        <v>5.5</v>
      </c>
      <c r="E439">
        <v>0.99970000000000003</v>
      </c>
      <c r="U439" t="s">
        <v>131</v>
      </c>
      <c r="V439" t="s">
        <v>2520</v>
      </c>
      <c r="W439" t="s">
        <v>2514</v>
      </c>
      <c r="X439" t="s">
        <v>2053</v>
      </c>
    </row>
    <row r="440" spans="2:24" x14ac:dyDescent="0.45">
      <c r="B440" t="s">
        <v>571</v>
      </c>
      <c r="C440">
        <v>4.4686910835277036</v>
      </c>
      <c r="D440">
        <v>6.6000000000000005</v>
      </c>
      <c r="E440">
        <v>0.99963999999999997</v>
      </c>
      <c r="U440" t="s">
        <v>131</v>
      </c>
      <c r="V440" t="s">
        <v>2521</v>
      </c>
      <c r="W440" t="s">
        <v>2514</v>
      </c>
      <c r="X440" t="s">
        <v>2053</v>
      </c>
    </row>
    <row r="441" spans="2:24" x14ac:dyDescent="0.45">
      <c r="B441" t="s">
        <v>572</v>
      </c>
      <c r="C441">
        <v>4.4686910835277036</v>
      </c>
      <c r="D441">
        <v>7.7000000000000011</v>
      </c>
      <c r="E441">
        <v>0.99958000000000002</v>
      </c>
      <c r="U441" t="s">
        <v>131</v>
      </c>
      <c r="V441" t="s">
        <v>2522</v>
      </c>
      <c r="W441" t="s">
        <v>2514</v>
      </c>
      <c r="X441" t="s">
        <v>2053</v>
      </c>
    </row>
    <row r="442" spans="2:24" x14ac:dyDescent="0.45">
      <c r="B442" t="s">
        <v>573</v>
      </c>
      <c r="C442">
        <v>1.9662240767521897</v>
      </c>
      <c r="D442">
        <v>5.5</v>
      </c>
      <c r="E442">
        <v>0.99970000000000003</v>
      </c>
      <c r="U442" t="s">
        <v>131</v>
      </c>
      <c r="V442" t="s">
        <v>2523</v>
      </c>
      <c r="W442" t="s">
        <v>2514</v>
      </c>
      <c r="X442" t="s">
        <v>2053</v>
      </c>
    </row>
    <row r="443" spans="2:24" x14ac:dyDescent="0.45">
      <c r="B443" t="s">
        <v>574</v>
      </c>
      <c r="C443">
        <v>4.4686910835277036</v>
      </c>
      <c r="D443">
        <v>5.5</v>
      </c>
      <c r="E443">
        <v>0.99970000000000003</v>
      </c>
      <c r="U443" t="s">
        <v>131</v>
      </c>
      <c r="V443" t="s">
        <v>2524</v>
      </c>
      <c r="W443" t="s">
        <v>2514</v>
      </c>
      <c r="X443" t="s">
        <v>2053</v>
      </c>
    </row>
    <row r="444" spans="2:24" x14ac:dyDescent="0.45">
      <c r="B444" t="s">
        <v>575</v>
      </c>
      <c r="C444">
        <v>8.9373821670554072</v>
      </c>
      <c r="D444">
        <v>8.8000000000000007</v>
      </c>
      <c r="E444">
        <v>0.99951999999999996</v>
      </c>
      <c r="U444" t="s">
        <v>131</v>
      </c>
      <c r="V444" t="s">
        <v>2525</v>
      </c>
      <c r="W444" t="s">
        <v>2514</v>
      </c>
      <c r="X444" t="s">
        <v>2053</v>
      </c>
    </row>
    <row r="445" spans="2:24" x14ac:dyDescent="0.45">
      <c r="B445" t="s">
        <v>576</v>
      </c>
      <c r="C445">
        <v>4.4686910835277036</v>
      </c>
      <c r="D445">
        <v>5.5</v>
      </c>
      <c r="E445">
        <v>0.99970000000000003</v>
      </c>
      <c r="U445" t="s">
        <v>131</v>
      </c>
      <c r="V445" t="s">
        <v>2526</v>
      </c>
      <c r="W445" t="s">
        <v>2514</v>
      </c>
      <c r="X445" t="s">
        <v>2053</v>
      </c>
    </row>
    <row r="446" spans="2:24" x14ac:dyDescent="0.45">
      <c r="B446" t="s">
        <v>577</v>
      </c>
      <c r="C446">
        <v>0.98311203837609484</v>
      </c>
      <c r="D446">
        <v>8.8000000000000007</v>
      </c>
      <c r="E446">
        <v>0.99951999999999996</v>
      </c>
      <c r="U446" t="s">
        <v>131</v>
      </c>
      <c r="V446" t="s">
        <v>2527</v>
      </c>
      <c r="W446" t="s">
        <v>2528</v>
      </c>
      <c r="X446" t="s">
        <v>2053</v>
      </c>
    </row>
    <row r="447" spans="2:24" x14ac:dyDescent="0.45">
      <c r="B447" t="s">
        <v>578</v>
      </c>
      <c r="C447">
        <v>4.4686910835277036</v>
      </c>
      <c r="D447">
        <v>7.7000000000000011</v>
      </c>
      <c r="E447">
        <v>0.99958000000000002</v>
      </c>
      <c r="U447" t="s">
        <v>131</v>
      </c>
      <c r="V447" t="s">
        <v>2529</v>
      </c>
      <c r="W447" t="s">
        <v>2528</v>
      </c>
      <c r="X447" t="s">
        <v>2053</v>
      </c>
    </row>
    <row r="448" spans="2:24" x14ac:dyDescent="0.45">
      <c r="B448" t="s">
        <v>579</v>
      </c>
      <c r="C448">
        <v>0.98311203837609484</v>
      </c>
      <c r="D448">
        <v>12.100000000000001</v>
      </c>
      <c r="E448">
        <v>0.99934000000000001</v>
      </c>
      <c r="U448" t="s">
        <v>131</v>
      </c>
      <c r="V448" t="s">
        <v>2530</v>
      </c>
      <c r="W448" t="s">
        <v>2528</v>
      </c>
      <c r="X448" t="s">
        <v>2053</v>
      </c>
    </row>
    <row r="449" spans="2:24" x14ac:dyDescent="0.45">
      <c r="B449" t="s">
        <v>580</v>
      </c>
      <c r="C449">
        <v>4.4686910835277036</v>
      </c>
      <c r="D449">
        <v>3.3000000000000003</v>
      </c>
      <c r="E449">
        <v>0.99982000000000004</v>
      </c>
      <c r="U449" t="s">
        <v>131</v>
      </c>
      <c r="V449" t="s">
        <v>2531</v>
      </c>
      <c r="W449" t="s">
        <v>2528</v>
      </c>
      <c r="X449" t="s">
        <v>2053</v>
      </c>
    </row>
    <row r="450" spans="2:24" x14ac:dyDescent="0.45">
      <c r="B450" t="s">
        <v>581</v>
      </c>
      <c r="C450">
        <v>4.4686910835277036</v>
      </c>
      <c r="D450">
        <v>2.2000000000000002</v>
      </c>
      <c r="E450">
        <v>0.99987999999999999</v>
      </c>
      <c r="U450" t="s">
        <v>131</v>
      </c>
      <c r="V450" t="s">
        <v>2532</v>
      </c>
      <c r="W450" t="s">
        <v>2528</v>
      </c>
      <c r="X450" t="s">
        <v>2053</v>
      </c>
    </row>
    <row r="451" spans="2:24" x14ac:dyDescent="0.45">
      <c r="B451" t="s">
        <v>582</v>
      </c>
      <c r="C451">
        <v>4.4686910835277036</v>
      </c>
      <c r="D451">
        <v>2.2000000000000002</v>
      </c>
      <c r="E451">
        <v>0.99987999999999999</v>
      </c>
      <c r="U451" t="s">
        <v>131</v>
      </c>
      <c r="V451" t="s">
        <v>2533</v>
      </c>
      <c r="W451" t="s">
        <v>2528</v>
      </c>
      <c r="X451" t="s">
        <v>2053</v>
      </c>
    </row>
    <row r="452" spans="2:24" x14ac:dyDescent="0.45">
      <c r="B452" t="s">
        <v>583</v>
      </c>
      <c r="C452">
        <v>4.4686910835277036</v>
      </c>
      <c r="D452">
        <v>1.1000000000000001</v>
      </c>
      <c r="E452">
        <v>0.99994000000000005</v>
      </c>
      <c r="U452" t="s">
        <v>131</v>
      </c>
      <c r="V452" t="s">
        <v>2534</v>
      </c>
      <c r="W452" t="s">
        <v>2528</v>
      </c>
      <c r="X452" t="s">
        <v>2053</v>
      </c>
    </row>
    <row r="453" spans="2:24" x14ac:dyDescent="0.45">
      <c r="B453" t="s">
        <v>584</v>
      </c>
      <c r="C453">
        <v>1.9662240767521897</v>
      </c>
      <c r="D453">
        <v>5.5</v>
      </c>
      <c r="E453">
        <v>0.99970000000000003</v>
      </c>
      <c r="U453" t="s">
        <v>131</v>
      </c>
      <c r="V453" t="s">
        <v>2535</v>
      </c>
      <c r="W453" t="s">
        <v>2528</v>
      </c>
      <c r="X453" t="s">
        <v>2053</v>
      </c>
    </row>
    <row r="454" spans="2:24" x14ac:dyDescent="0.45">
      <c r="B454" t="s">
        <v>585</v>
      </c>
      <c r="C454">
        <v>4.4686910835277036</v>
      </c>
      <c r="D454">
        <v>2.2000000000000002</v>
      </c>
      <c r="E454">
        <v>0.99987999999999999</v>
      </c>
      <c r="U454" t="s">
        <v>131</v>
      </c>
      <c r="V454" t="s">
        <v>2536</v>
      </c>
      <c r="W454" t="s">
        <v>2528</v>
      </c>
      <c r="X454" t="s">
        <v>2053</v>
      </c>
    </row>
    <row r="455" spans="2:24" x14ac:dyDescent="0.45">
      <c r="B455" t="s">
        <v>586</v>
      </c>
      <c r="C455">
        <v>4.4686910835277036</v>
      </c>
      <c r="D455">
        <v>9.9</v>
      </c>
      <c r="E455">
        <v>0.99946000000000002</v>
      </c>
      <c r="U455" t="s">
        <v>131</v>
      </c>
      <c r="V455" t="s">
        <v>2537</v>
      </c>
      <c r="W455" t="s">
        <v>2528</v>
      </c>
      <c r="X455" t="s">
        <v>2053</v>
      </c>
    </row>
    <row r="456" spans="2:24" x14ac:dyDescent="0.45">
      <c r="B456" t="s">
        <v>587</v>
      </c>
      <c r="C456">
        <v>2.2343455417638518</v>
      </c>
      <c r="D456">
        <v>3.3000000000000003</v>
      </c>
      <c r="E456">
        <v>0.99982000000000004</v>
      </c>
      <c r="U456" t="s">
        <v>131</v>
      </c>
      <c r="V456" t="s">
        <v>2538</v>
      </c>
      <c r="W456" t="s">
        <v>2528</v>
      </c>
      <c r="X456" t="s">
        <v>2053</v>
      </c>
    </row>
    <row r="457" spans="2:24" x14ac:dyDescent="0.45">
      <c r="B457" t="s">
        <v>588</v>
      </c>
      <c r="C457">
        <v>0.98311203837609484</v>
      </c>
      <c r="D457">
        <v>8.8000000000000007</v>
      </c>
      <c r="E457">
        <v>0.99951999999999996</v>
      </c>
      <c r="U457" t="s">
        <v>131</v>
      </c>
      <c r="V457" t="s">
        <v>2539</v>
      </c>
      <c r="W457" t="s">
        <v>2528</v>
      </c>
      <c r="X457" t="s">
        <v>2053</v>
      </c>
    </row>
    <row r="458" spans="2:24" x14ac:dyDescent="0.45">
      <c r="B458" t="s">
        <v>589</v>
      </c>
      <c r="C458">
        <v>0.49155601918804742</v>
      </c>
      <c r="D458">
        <v>44</v>
      </c>
      <c r="E458">
        <v>0.99760000000000004</v>
      </c>
      <c r="U458" t="s">
        <v>131</v>
      </c>
      <c r="V458" t="s">
        <v>2540</v>
      </c>
      <c r="W458" t="s">
        <v>2528</v>
      </c>
      <c r="X458" t="s">
        <v>2053</v>
      </c>
    </row>
    <row r="459" spans="2:24" x14ac:dyDescent="0.45">
      <c r="B459" t="s">
        <v>590</v>
      </c>
      <c r="C459">
        <v>0.98311203837609484</v>
      </c>
      <c r="D459">
        <v>15.400000000000002</v>
      </c>
      <c r="E459">
        <v>0.99916000000000005</v>
      </c>
      <c r="U459" t="s">
        <v>131</v>
      </c>
      <c r="V459" t="s">
        <v>2541</v>
      </c>
      <c r="W459" t="s">
        <v>2542</v>
      </c>
      <c r="X459" t="s">
        <v>2053</v>
      </c>
    </row>
    <row r="460" spans="2:24" x14ac:dyDescent="0.45">
      <c r="B460" t="s">
        <v>591</v>
      </c>
      <c r="C460">
        <v>0.98311203837609484</v>
      </c>
      <c r="D460">
        <v>16.5</v>
      </c>
      <c r="E460">
        <v>0.99909999999999999</v>
      </c>
      <c r="U460" t="s">
        <v>131</v>
      </c>
      <c r="V460" t="s">
        <v>2543</v>
      </c>
      <c r="W460" t="s">
        <v>2542</v>
      </c>
      <c r="X460" t="s">
        <v>2053</v>
      </c>
    </row>
    <row r="461" spans="2:24" x14ac:dyDescent="0.45">
      <c r="B461" t="s">
        <v>592</v>
      </c>
      <c r="C461">
        <v>0.49155601918804742</v>
      </c>
      <c r="D461">
        <v>3.3000000000000003</v>
      </c>
      <c r="E461">
        <v>0.99982000000000004</v>
      </c>
      <c r="U461" t="s">
        <v>131</v>
      </c>
      <c r="V461" t="s">
        <v>2544</v>
      </c>
      <c r="W461" t="s">
        <v>2542</v>
      </c>
      <c r="X461" t="s">
        <v>2053</v>
      </c>
    </row>
    <row r="462" spans="2:24" x14ac:dyDescent="0.45">
      <c r="B462" t="s">
        <v>593</v>
      </c>
      <c r="C462">
        <v>4.4686910835277036</v>
      </c>
      <c r="D462">
        <v>3.3000000000000003</v>
      </c>
      <c r="E462">
        <v>0.99982000000000004</v>
      </c>
      <c r="U462" t="s">
        <v>131</v>
      </c>
      <c r="V462" t="s">
        <v>2545</v>
      </c>
      <c r="W462" t="s">
        <v>2542</v>
      </c>
      <c r="X462" t="s">
        <v>2053</v>
      </c>
    </row>
    <row r="463" spans="2:24" x14ac:dyDescent="0.45">
      <c r="B463" t="s">
        <v>594</v>
      </c>
      <c r="C463">
        <v>4.4686910835277036</v>
      </c>
      <c r="D463">
        <v>3.3000000000000003</v>
      </c>
      <c r="E463">
        <v>0.99982000000000004</v>
      </c>
      <c r="U463" t="s">
        <v>131</v>
      </c>
      <c r="V463" t="s">
        <v>2546</v>
      </c>
      <c r="W463" t="s">
        <v>2542</v>
      </c>
      <c r="X463" t="s">
        <v>2053</v>
      </c>
    </row>
    <row r="464" spans="2:24" x14ac:dyDescent="0.45">
      <c r="B464" t="s">
        <v>595</v>
      </c>
      <c r="C464">
        <v>0.98311203837609484</v>
      </c>
      <c r="D464">
        <v>2.2000000000000002</v>
      </c>
      <c r="E464">
        <v>0.99987999999999999</v>
      </c>
      <c r="U464" t="s">
        <v>131</v>
      </c>
      <c r="V464" t="s">
        <v>2547</v>
      </c>
      <c r="W464" t="s">
        <v>2542</v>
      </c>
      <c r="X464" t="s">
        <v>2053</v>
      </c>
    </row>
    <row r="465" spans="2:24" x14ac:dyDescent="0.45">
      <c r="B465" t="s">
        <v>596</v>
      </c>
      <c r="C465">
        <v>0.98311203837609484</v>
      </c>
      <c r="D465">
        <v>15.400000000000002</v>
      </c>
      <c r="E465">
        <v>0.99916000000000005</v>
      </c>
      <c r="U465" t="s">
        <v>131</v>
      </c>
      <c r="V465" t="s">
        <v>2548</v>
      </c>
      <c r="W465" t="s">
        <v>2542</v>
      </c>
      <c r="X465" t="s">
        <v>2053</v>
      </c>
    </row>
    <row r="466" spans="2:24" x14ac:dyDescent="0.45">
      <c r="B466" t="s">
        <v>597</v>
      </c>
      <c r="C466">
        <v>4.4686910835277036</v>
      </c>
      <c r="D466">
        <v>1.1000000000000001</v>
      </c>
      <c r="E466">
        <v>0.99994000000000005</v>
      </c>
      <c r="U466" t="s">
        <v>131</v>
      </c>
      <c r="V466" t="s">
        <v>2549</v>
      </c>
      <c r="W466" t="s">
        <v>2542</v>
      </c>
      <c r="X466" t="s">
        <v>2053</v>
      </c>
    </row>
    <row r="467" spans="2:24" x14ac:dyDescent="0.45">
      <c r="B467" t="s">
        <v>598</v>
      </c>
      <c r="C467">
        <v>4.4686910835277036</v>
      </c>
      <c r="D467">
        <v>5.5</v>
      </c>
      <c r="E467">
        <v>0.99970000000000003</v>
      </c>
      <c r="U467" t="s">
        <v>131</v>
      </c>
      <c r="V467" t="s">
        <v>2550</v>
      </c>
      <c r="W467" t="s">
        <v>2542</v>
      </c>
      <c r="X467" t="s">
        <v>2053</v>
      </c>
    </row>
    <row r="468" spans="2:24" x14ac:dyDescent="0.45">
      <c r="B468" t="s">
        <v>599</v>
      </c>
      <c r="C468">
        <v>0.98311203837609484</v>
      </c>
      <c r="D468">
        <v>11</v>
      </c>
      <c r="E468">
        <v>0.99939999999999996</v>
      </c>
      <c r="U468" t="s">
        <v>131</v>
      </c>
      <c r="V468" t="s">
        <v>2551</v>
      </c>
      <c r="W468" t="s">
        <v>2542</v>
      </c>
      <c r="X468" t="s">
        <v>2053</v>
      </c>
    </row>
    <row r="469" spans="2:24" x14ac:dyDescent="0.45">
      <c r="B469" t="s">
        <v>600</v>
      </c>
      <c r="C469">
        <v>0.98311203837609484</v>
      </c>
      <c r="D469">
        <v>27.500000000000004</v>
      </c>
      <c r="E469">
        <v>0.99850000000000005</v>
      </c>
      <c r="U469" t="s">
        <v>131</v>
      </c>
      <c r="V469" t="s">
        <v>2552</v>
      </c>
      <c r="W469" t="s">
        <v>2542</v>
      </c>
      <c r="X469" t="s">
        <v>2053</v>
      </c>
    </row>
    <row r="470" spans="2:24" x14ac:dyDescent="0.45">
      <c r="B470" t="s">
        <v>601</v>
      </c>
      <c r="C470">
        <v>0.98311203837609484</v>
      </c>
      <c r="D470">
        <v>2.2000000000000002</v>
      </c>
      <c r="E470">
        <v>0.99987999999999999</v>
      </c>
      <c r="U470" t="s">
        <v>131</v>
      </c>
      <c r="V470" t="s">
        <v>2553</v>
      </c>
      <c r="W470" t="s">
        <v>2542</v>
      </c>
      <c r="X470" t="s">
        <v>2053</v>
      </c>
    </row>
    <row r="471" spans="2:24" x14ac:dyDescent="0.45">
      <c r="B471" t="s">
        <v>602</v>
      </c>
      <c r="C471">
        <v>2.2343455417638518</v>
      </c>
      <c r="D471">
        <v>4.4000000000000004</v>
      </c>
      <c r="E471">
        <v>0.99975999999999998</v>
      </c>
      <c r="U471" t="s">
        <v>131</v>
      </c>
      <c r="V471" t="s">
        <v>2554</v>
      </c>
      <c r="W471" t="s">
        <v>2542</v>
      </c>
      <c r="X471" t="s">
        <v>2053</v>
      </c>
    </row>
    <row r="472" spans="2:24" x14ac:dyDescent="0.45">
      <c r="B472" t="s">
        <v>603</v>
      </c>
      <c r="C472">
        <v>4.4686910835277036</v>
      </c>
      <c r="D472">
        <v>1.1000000000000001</v>
      </c>
      <c r="E472">
        <v>0.99994000000000005</v>
      </c>
      <c r="U472" t="s">
        <v>131</v>
      </c>
      <c r="V472" t="s">
        <v>2555</v>
      </c>
      <c r="W472" t="s">
        <v>2556</v>
      </c>
      <c r="X472" t="s">
        <v>2053</v>
      </c>
    </row>
    <row r="473" spans="2:24" x14ac:dyDescent="0.45">
      <c r="B473" t="s">
        <v>604</v>
      </c>
      <c r="C473">
        <v>4.4686910835277036</v>
      </c>
      <c r="D473">
        <v>1.1000000000000001</v>
      </c>
      <c r="E473">
        <v>0.99994000000000005</v>
      </c>
      <c r="U473" t="s">
        <v>131</v>
      </c>
      <c r="V473" t="s">
        <v>2557</v>
      </c>
      <c r="W473" t="s">
        <v>2556</v>
      </c>
      <c r="X473" t="s">
        <v>2053</v>
      </c>
    </row>
    <row r="474" spans="2:24" x14ac:dyDescent="0.45">
      <c r="B474" t="s">
        <v>605</v>
      </c>
      <c r="C474">
        <v>4.4686910835277036</v>
      </c>
      <c r="D474">
        <v>1.1000000000000001</v>
      </c>
      <c r="E474">
        <v>0.99994000000000005</v>
      </c>
      <c r="U474" t="s">
        <v>131</v>
      </c>
      <c r="V474" t="s">
        <v>2558</v>
      </c>
      <c r="W474" t="s">
        <v>2556</v>
      </c>
      <c r="X474" t="s">
        <v>2053</v>
      </c>
    </row>
    <row r="475" spans="2:24" x14ac:dyDescent="0.45">
      <c r="B475" t="s">
        <v>606</v>
      </c>
      <c r="C475">
        <v>4.4686910835277036</v>
      </c>
      <c r="D475">
        <v>3.3000000000000003</v>
      </c>
      <c r="E475">
        <v>0.99982000000000004</v>
      </c>
      <c r="U475" t="s">
        <v>131</v>
      </c>
      <c r="V475" t="s">
        <v>2559</v>
      </c>
      <c r="W475" t="s">
        <v>2556</v>
      </c>
      <c r="X475" t="s">
        <v>2053</v>
      </c>
    </row>
    <row r="476" spans="2:24" x14ac:dyDescent="0.45">
      <c r="B476" t="s">
        <v>607</v>
      </c>
      <c r="C476">
        <v>4.4686910835277036</v>
      </c>
      <c r="D476">
        <v>3.3000000000000003</v>
      </c>
      <c r="E476">
        <v>0.99982000000000004</v>
      </c>
      <c r="U476" t="s">
        <v>131</v>
      </c>
      <c r="V476" t="s">
        <v>2560</v>
      </c>
      <c r="W476" t="s">
        <v>2556</v>
      </c>
      <c r="X476" t="s">
        <v>2053</v>
      </c>
    </row>
    <row r="477" spans="2:24" x14ac:dyDescent="0.45">
      <c r="B477" t="s">
        <v>608</v>
      </c>
      <c r="C477">
        <v>4.4686910835277036</v>
      </c>
      <c r="D477">
        <v>3.3000000000000003</v>
      </c>
      <c r="E477">
        <v>0.99982000000000004</v>
      </c>
      <c r="U477" t="s">
        <v>131</v>
      </c>
      <c r="V477" t="s">
        <v>2561</v>
      </c>
      <c r="W477" t="s">
        <v>2556</v>
      </c>
      <c r="X477" t="s">
        <v>2053</v>
      </c>
    </row>
    <row r="478" spans="2:24" x14ac:dyDescent="0.45">
      <c r="B478" t="s">
        <v>609</v>
      </c>
      <c r="C478">
        <v>4.4686910835277036</v>
      </c>
      <c r="D478">
        <v>5.5</v>
      </c>
      <c r="E478">
        <v>0.99970000000000003</v>
      </c>
      <c r="U478" t="s">
        <v>131</v>
      </c>
      <c r="V478" t="s">
        <v>2562</v>
      </c>
      <c r="W478" t="s">
        <v>2556</v>
      </c>
      <c r="X478" t="s">
        <v>2053</v>
      </c>
    </row>
    <row r="479" spans="2:24" x14ac:dyDescent="0.45">
      <c r="B479" t="s">
        <v>610</v>
      </c>
      <c r="C479">
        <v>4.4686910835277036</v>
      </c>
      <c r="D479">
        <v>2.2000000000000002</v>
      </c>
      <c r="E479">
        <v>0.99987999999999999</v>
      </c>
      <c r="U479" t="s">
        <v>131</v>
      </c>
      <c r="V479" t="s">
        <v>2563</v>
      </c>
      <c r="W479" t="s">
        <v>2556</v>
      </c>
      <c r="X479" t="s">
        <v>2053</v>
      </c>
    </row>
    <row r="480" spans="2:24" x14ac:dyDescent="0.45">
      <c r="B480" t="s">
        <v>611</v>
      </c>
      <c r="C480">
        <v>4.4686910835277036</v>
      </c>
      <c r="D480">
        <v>1.1000000000000001</v>
      </c>
      <c r="E480">
        <v>0.99994000000000005</v>
      </c>
      <c r="U480" t="s">
        <v>131</v>
      </c>
      <c r="V480" t="s">
        <v>2564</v>
      </c>
      <c r="W480" t="s">
        <v>2556</v>
      </c>
      <c r="X480" t="s">
        <v>2053</v>
      </c>
    </row>
    <row r="481" spans="2:24" x14ac:dyDescent="0.45">
      <c r="B481" t="s">
        <v>612</v>
      </c>
      <c r="C481">
        <v>4.4686910835277036</v>
      </c>
      <c r="D481">
        <v>5.5</v>
      </c>
      <c r="E481">
        <v>0.99970000000000003</v>
      </c>
      <c r="U481" t="s">
        <v>131</v>
      </c>
      <c r="V481" t="s">
        <v>2565</v>
      </c>
      <c r="W481" t="s">
        <v>2556</v>
      </c>
      <c r="X481" t="s">
        <v>2053</v>
      </c>
    </row>
    <row r="482" spans="2:24" x14ac:dyDescent="0.45">
      <c r="B482" t="s">
        <v>613</v>
      </c>
      <c r="C482">
        <v>4.4686910835277036</v>
      </c>
      <c r="D482">
        <v>4.4000000000000004</v>
      </c>
      <c r="E482">
        <v>0.99975999999999998</v>
      </c>
      <c r="U482" t="s">
        <v>131</v>
      </c>
      <c r="V482" t="s">
        <v>2566</v>
      </c>
      <c r="W482" t="s">
        <v>2556</v>
      </c>
      <c r="X482" t="s">
        <v>2053</v>
      </c>
    </row>
    <row r="483" spans="2:24" x14ac:dyDescent="0.45">
      <c r="B483" t="s">
        <v>614</v>
      </c>
      <c r="C483">
        <v>4.4686910835277036</v>
      </c>
      <c r="D483">
        <v>3.3000000000000003</v>
      </c>
      <c r="E483">
        <v>0.99982000000000004</v>
      </c>
      <c r="U483" t="s">
        <v>131</v>
      </c>
      <c r="V483" t="s">
        <v>2567</v>
      </c>
      <c r="W483" t="s">
        <v>2556</v>
      </c>
      <c r="X483" t="s">
        <v>2053</v>
      </c>
    </row>
    <row r="484" spans="2:24" x14ac:dyDescent="0.45">
      <c r="B484" t="s">
        <v>615</v>
      </c>
      <c r="C484">
        <v>4.4686910835277036</v>
      </c>
      <c r="D484">
        <v>3.3000000000000003</v>
      </c>
      <c r="E484">
        <v>0.99982000000000004</v>
      </c>
      <c r="U484" t="s">
        <v>131</v>
      </c>
      <c r="V484" t="s">
        <v>2568</v>
      </c>
      <c r="W484" t="s">
        <v>2556</v>
      </c>
      <c r="X484" t="s">
        <v>2053</v>
      </c>
    </row>
    <row r="485" spans="2:24" x14ac:dyDescent="0.45">
      <c r="B485" t="s">
        <v>616</v>
      </c>
      <c r="C485">
        <v>4.4686910835277036</v>
      </c>
      <c r="D485">
        <v>4.4000000000000004</v>
      </c>
      <c r="E485">
        <v>0.99975999999999998</v>
      </c>
      <c r="U485" t="s">
        <v>131</v>
      </c>
      <c r="V485" t="s">
        <v>2569</v>
      </c>
      <c r="W485" t="s">
        <v>2570</v>
      </c>
      <c r="X485" t="s">
        <v>2053</v>
      </c>
    </row>
    <row r="486" spans="2:24" x14ac:dyDescent="0.45">
      <c r="B486" t="s">
        <v>617</v>
      </c>
      <c r="C486">
        <v>4.4686910835277036</v>
      </c>
      <c r="D486">
        <v>9.9</v>
      </c>
      <c r="E486">
        <v>0.99946000000000002</v>
      </c>
      <c r="U486" t="s">
        <v>131</v>
      </c>
      <c r="V486" t="s">
        <v>2571</v>
      </c>
      <c r="W486" t="s">
        <v>2570</v>
      </c>
      <c r="X486" t="s">
        <v>2053</v>
      </c>
    </row>
    <row r="487" spans="2:24" x14ac:dyDescent="0.45">
      <c r="B487" t="s">
        <v>618</v>
      </c>
      <c r="C487">
        <v>4.4686910835277036</v>
      </c>
      <c r="D487">
        <v>2.2000000000000002</v>
      </c>
      <c r="E487">
        <v>0.99987999999999999</v>
      </c>
      <c r="U487" t="s">
        <v>131</v>
      </c>
      <c r="V487" t="s">
        <v>2572</v>
      </c>
      <c r="W487" t="s">
        <v>2570</v>
      </c>
      <c r="X487" t="s">
        <v>2053</v>
      </c>
    </row>
    <row r="488" spans="2:24" x14ac:dyDescent="0.45">
      <c r="B488" t="s">
        <v>619</v>
      </c>
      <c r="C488">
        <v>2.2343455417638518</v>
      </c>
      <c r="D488">
        <v>34.1</v>
      </c>
      <c r="E488">
        <v>0.99814000000000003</v>
      </c>
      <c r="U488" t="s">
        <v>131</v>
      </c>
      <c r="V488" t="s">
        <v>2573</v>
      </c>
      <c r="W488" t="s">
        <v>2570</v>
      </c>
      <c r="X488" t="s">
        <v>2053</v>
      </c>
    </row>
    <row r="489" spans="2:24" x14ac:dyDescent="0.45">
      <c r="B489" t="s">
        <v>620</v>
      </c>
      <c r="C489">
        <v>4.4686910835277036</v>
      </c>
      <c r="D489">
        <v>2.2000000000000002</v>
      </c>
      <c r="E489">
        <v>0.99987999999999999</v>
      </c>
      <c r="U489" t="s">
        <v>131</v>
      </c>
      <c r="V489" t="s">
        <v>2574</v>
      </c>
      <c r="W489" t="s">
        <v>2570</v>
      </c>
      <c r="X489" t="s">
        <v>2053</v>
      </c>
    </row>
    <row r="490" spans="2:24" x14ac:dyDescent="0.45">
      <c r="B490" t="s">
        <v>621</v>
      </c>
      <c r="C490">
        <v>0.49155601918804742</v>
      </c>
      <c r="D490">
        <v>24.200000000000003</v>
      </c>
      <c r="E490">
        <v>0.99868000000000001</v>
      </c>
      <c r="U490" t="s">
        <v>131</v>
      </c>
      <c r="V490" t="s">
        <v>2575</v>
      </c>
      <c r="W490" t="s">
        <v>2570</v>
      </c>
      <c r="X490" t="s">
        <v>2053</v>
      </c>
    </row>
    <row r="491" spans="2:24" x14ac:dyDescent="0.45">
      <c r="B491" t="s">
        <v>622</v>
      </c>
      <c r="C491">
        <v>0.98311203837609484</v>
      </c>
      <c r="D491">
        <v>1.1000000000000001</v>
      </c>
      <c r="E491">
        <v>0.99994000000000005</v>
      </c>
      <c r="U491" t="s">
        <v>131</v>
      </c>
      <c r="V491" t="s">
        <v>2576</v>
      </c>
      <c r="W491" t="s">
        <v>2570</v>
      </c>
      <c r="X491" t="s">
        <v>2053</v>
      </c>
    </row>
    <row r="492" spans="2:24" x14ac:dyDescent="0.45">
      <c r="B492" t="s">
        <v>623</v>
      </c>
      <c r="C492">
        <v>4.4686910835277036</v>
      </c>
      <c r="D492">
        <v>4.4000000000000004</v>
      </c>
      <c r="E492">
        <v>0.99975999999999998</v>
      </c>
      <c r="U492" t="s">
        <v>131</v>
      </c>
      <c r="V492" t="s">
        <v>2577</v>
      </c>
      <c r="W492" t="s">
        <v>2570</v>
      </c>
      <c r="X492" t="s">
        <v>2053</v>
      </c>
    </row>
    <row r="493" spans="2:24" x14ac:dyDescent="0.45">
      <c r="B493" t="s">
        <v>624</v>
      </c>
      <c r="C493">
        <v>0.98311203837609484</v>
      </c>
      <c r="D493">
        <v>67.100000000000009</v>
      </c>
      <c r="E493">
        <v>0.99634</v>
      </c>
      <c r="U493" t="s">
        <v>131</v>
      </c>
      <c r="V493" t="s">
        <v>2578</v>
      </c>
      <c r="W493" t="s">
        <v>2570</v>
      </c>
      <c r="X493" t="s">
        <v>2053</v>
      </c>
    </row>
    <row r="494" spans="2:24" x14ac:dyDescent="0.45">
      <c r="B494" t="s">
        <v>625</v>
      </c>
      <c r="C494">
        <v>0.98311203837609484</v>
      </c>
      <c r="D494">
        <v>40.700000000000003</v>
      </c>
      <c r="E494">
        <v>0.99778</v>
      </c>
      <c r="U494" t="s">
        <v>131</v>
      </c>
      <c r="V494" t="s">
        <v>2579</v>
      </c>
      <c r="W494" t="s">
        <v>2570</v>
      </c>
      <c r="X494" t="s">
        <v>2053</v>
      </c>
    </row>
    <row r="495" spans="2:24" x14ac:dyDescent="0.45">
      <c r="B495" t="s">
        <v>626</v>
      </c>
      <c r="C495">
        <v>0.98311203837609484</v>
      </c>
      <c r="D495">
        <v>59.400000000000006</v>
      </c>
      <c r="E495">
        <v>0.99675999999999998</v>
      </c>
      <c r="U495" t="s">
        <v>131</v>
      </c>
      <c r="V495" t="s">
        <v>2580</v>
      </c>
      <c r="W495" t="s">
        <v>2570</v>
      </c>
      <c r="X495" t="s">
        <v>2053</v>
      </c>
    </row>
    <row r="496" spans="2:24" x14ac:dyDescent="0.45">
      <c r="B496" t="s">
        <v>627</v>
      </c>
      <c r="C496">
        <v>0.49155601918804742</v>
      </c>
      <c r="D496">
        <v>56.1</v>
      </c>
      <c r="E496">
        <v>0.99694000000000005</v>
      </c>
      <c r="U496" t="s">
        <v>131</v>
      </c>
      <c r="V496" t="s">
        <v>2581</v>
      </c>
      <c r="W496" t="s">
        <v>2570</v>
      </c>
      <c r="X496" t="s">
        <v>2053</v>
      </c>
    </row>
    <row r="497" spans="2:24" x14ac:dyDescent="0.45">
      <c r="B497" t="s">
        <v>628</v>
      </c>
      <c r="C497">
        <v>0.49155601918804742</v>
      </c>
      <c r="D497">
        <v>3.3000000000000003</v>
      </c>
      <c r="E497">
        <v>0.99982000000000004</v>
      </c>
      <c r="U497" t="s">
        <v>131</v>
      </c>
      <c r="V497" t="s">
        <v>2582</v>
      </c>
      <c r="W497" t="s">
        <v>2570</v>
      </c>
      <c r="X497" t="s">
        <v>2053</v>
      </c>
    </row>
    <row r="498" spans="2:24" x14ac:dyDescent="0.45">
      <c r="B498" t="s">
        <v>629</v>
      </c>
      <c r="C498">
        <v>4.4686910835277036</v>
      </c>
      <c r="D498">
        <v>1.1000000000000001</v>
      </c>
      <c r="E498">
        <v>0.99994000000000005</v>
      </c>
      <c r="U498" t="s">
        <v>131</v>
      </c>
      <c r="V498" t="s">
        <v>2583</v>
      </c>
      <c r="W498" t="s">
        <v>2584</v>
      </c>
      <c r="X498" t="s">
        <v>2053</v>
      </c>
    </row>
    <row r="499" spans="2:24" x14ac:dyDescent="0.45">
      <c r="B499" t="s">
        <v>630</v>
      </c>
      <c r="C499">
        <v>4.4686910835277036</v>
      </c>
      <c r="D499">
        <v>2.2000000000000002</v>
      </c>
      <c r="E499">
        <v>0.99987999999999999</v>
      </c>
      <c r="U499" t="s">
        <v>131</v>
      </c>
      <c r="V499" t="s">
        <v>2585</v>
      </c>
      <c r="W499" t="s">
        <v>2584</v>
      </c>
      <c r="X499" t="s">
        <v>2053</v>
      </c>
    </row>
    <row r="500" spans="2:24" x14ac:dyDescent="0.45">
      <c r="B500" t="s">
        <v>631</v>
      </c>
      <c r="C500">
        <v>4.4686910835277036</v>
      </c>
      <c r="D500">
        <v>4.4000000000000004</v>
      </c>
      <c r="E500">
        <v>0.99975999999999998</v>
      </c>
      <c r="U500" t="s">
        <v>131</v>
      </c>
      <c r="V500" t="s">
        <v>2586</v>
      </c>
      <c r="W500" t="s">
        <v>2584</v>
      </c>
      <c r="X500" t="s">
        <v>2053</v>
      </c>
    </row>
    <row r="501" spans="2:24" x14ac:dyDescent="0.45">
      <c r="B501" t="s">
        <v>632</v>
      </c>
      <c r="C501">
        <v>4.4686910835277036</v>
      </c>
      <c r="D501">
        <v>3.3000000000000003</v>
      </c>
      <c r="E501">
        <v>0.99982000000000004</v>
      </c>
      <c r="U501" t="s">
        <v>131</v>
      </c>
      <c r="V501" t="s">
        <v>2587</v>
      </c>
      <c r="W501" t="s">
        <v>2584</v>
      </c>
      <c r="X501" t="s">
        <v>2053</v>
      </c>
    </row>
    <row r="502" spans="2:24" x14ac:dyDescent="0.45">
      <c r="B502" t="s">
        <v>633</v>
      </c>
      <c r="C502">
        <v>4.4686910835277036</v>
      </c>
      <c r="D502">
        <v>2.2000000000000002</v>
      </c>
      <c r="E502">
        <v>0.99987999999999999</v>
      </c>
      <c r="U502" t="s">
        <v>131</v>
      </c>
      <c r="V502" t="s">
        <v>2588</v>
      </c>
      <c r="W502" t="s">
        <v>2584</v>
      </c>
      <c r="X502" t="s">
        <v>2053</v>
      </c>
    </row>
    <row r="503" spans="2:24" x14ac:dyDescent="0.45">
      <c r="B503" t="s">
        <v>634</v>
      </c>
      <c r="C503">
        <v>4.4686910835277036</v>
      </c>
      <c r="D503">
        <v>8.8000000000000007</v>
      </c>
      <c r="E503">
        <v>0.99951999999999996</v>
      </c>
      <c r="U503" t="s">
        <v>131</v>
      </c>
      <c r="V503" t="s">
        <v>2589</v>
      </c>
      <c r="W503" t="s">
        <v>2584</v>
      </c>
      <c r="X503" t="s">
        <v>2053</v>
      </c>
    </row>
    <row r="504" spans="2:24" x14ac:dyDescent="0.45">
      <c r="B504" t="s">
        <v>635</v>
      </c>
      <c r="C504">
        <v>4.4686910835277036</v>
      </c>
      <c r="D504">
        <v>2.2000000000000002</v>
      </c>
      <c r="E504">
        <v>0.99987999999999999</v>
      </c>
      <c r="U504" t="s">
        <v>131</v>
      </c>
      <c r="V504" t="s">
        <v>2590</v>
      </c>
      <c r="W504" t="s">
        <v>2584</v>
      </c>
      <c r="X504" t="s">
        <v>2053</v>
      </c>
    </row>
    <row r="505" spans="2:24" x14ac:dyDescent="0.45">
      <c r="B505" t="s">
        <v>636</v>
      </c>
      <c r="C505">
        <v>4.4686910835277036</v>
      </c>
      <c r="D505">
        <v>5.5</v>
      </c>
      <c r="E505">
        <v>0.99970000000000003</v>
      </c>
      <c r="U505" t="s">
        <v>131</v>
      </c>
      <c r="V505" t="s">
        <v>2591</v>
      </c>
      <c r="W505" t="s">
        <v>2584</v>
      </c>
      <c r="X505" t="s">
        <v>2053</v>
      </c>
    </row>
    <row r="506" spans="2:24" x14ac:dyDescent="0.45">
      <c r="B506" t="s">
        <v>637</v>
      </c>
      <c r="C506">
        <v>4.4686910835277036</v>
      </c>
      <c r="D506">
        <v>1.1000000000000001</v>
      </c>
      <c r="E506">
        <v>0.99994000000000005</v>
      </c>
      <c r="U506" t="s">
        <v>131</v>
      </c>
      <c r="V506" t="s">
        <v>2592</v>
      </c>
      <c r="W506" t="s">
        <v>2584</v>
      </c>
      <c r="X506" t="s">
        <v>2053</v>
      </c>
    </row>
    <row r="507" spans="2:24" x14ac:dyDescent="0.45">
      <c r="B507" t="s">
        <v>638</v>
      </c>
      <c r="C507">
        <v>4.4686910835277036</v>
      </c>
      <c r="D507">
        <v>2.2000000000000002</v>
      </c>
      <c r="E507">
        <v>0.99987999999999999</v>
      </c>
      <c r="U507" t="s">
        <v>131</v>
      </c>
      <c r="V507" t="s">
        <v>2593</v>
      </c>
      <c r="W507" t="s">
        <v>2584</v>
      </c>
      <c r="X507" t="s">
        <v>2053</v>
      </c>
    </row>
    <row r="508" spans="2:24" x14ac:dyDescent="0.45">
      <c r="B508" t="s">
        <v>639</v>
      </c>
      <c r="C508">
        <v>4.4686910835277036</v>
      </c>
      <c r="D508">
        <v>3.3000000000000003</v>
      </c>
      <c r="E508">
        <v>0.99982000000000004</v>
      </c>
      <c r="U508" t="s">
        <v>131</v>
      </c>
      <c r="V508" t="s">
        <v>2594</v>
      </c>
      <c r="W508" t="s">
        <v>2584</v>
      </c>
      <c r="X508" t="s">
        <v>2053</v>
      </c>
    </row>
    <row r="509" spans="2:24" x14ac:dyDescent="0.45">
      <c r="B509" t="s">
        <v>640</v>
      </c>
      <c r="C509">
        <v>4.4686910835277036</v>
      </c>
      <c r="D509">
        <v>3.3000000000000003</v>
      </c>
      <c r="E509">
        <v>0.99982000000000004</v>
      </c>
      <c r="U509" t="s">
        <v>131</v>
      </c>
      <c r="V509" t="s">
        <v>2595</v>
      </c>
      <c r="W509" t="s">
        <v>2584</v>
      </c>
      <c r="X509" t="s">
        <v>2053</v>
      </c>
    </row>
    <row r="510" spans="2:24" x14ac:dyDescent="0.45">
      <c r="B510" t="s">
        <v>641</v>
      </c>
      <c r="C510">
        <v>4.4686910835277036</v>
      </c>
      <c r="D510">
        <v>1.1000000000000001</v>
      </c>
      <c r="E510">
        <v>0.99994000000000005</v>
      </c>
      <c r="U510" t="s">
        <v>131</v>
      </c>
      <c r="V510" t="s">
        <v>2596</v>
      </c>
      <c r="W510" t="s">
        <v>2584</v>
      </c>
      <c r="X510" t="s">
        <v>2053</v>
      </c>
    </row>
    <row r="511" spans="2:24" x14ac:dyDescent="0.45">
      <c r="B511" t="s">
        <v>642</v>
      </c>
      <c r="C511">
        <v>4.4686910835277036</v>
      </c>
      <c r="D511">
        <v>3.3000000000000003</v>
      </c>
      <c r="E511">
        <v>0.99982000000000004</v>
      </c>
      <c r="U511" t="s">
        <v>131</v>
      </c>
      <c r="V511" t="s">
        <v>2597</v>
      </c>
      <c r="W511" t="s">
        <v>2598</v>
      </c>
      <c r="X511" t="s">
        <v>2053</v>
      </c>
    </row>
    <row r="512" spans="2:24" x14ac:dyDescent="0.45">
      <c r="B512" t="s">
        <v>643</v>
      </c>
      <c r="C512">
        <v>4.4686910835277036</v>
      </c>
      <c r="D512">
        <v>1.1000000000000001</v>
      </c>
      <c r="E512">
        <v>0.99994000000000005</v>
      </c>
      <c r="U512" t="s">
        <v>131</v>
      </c>
      <c r="V512" t="s">
        <v>2599</v>
      </c>
      <c r="W512" t="s">
        <v>2598</v>
      </c>
      <c r="X512" t="s">
        <v>2053</v>
      </c>
    </row>
    <row r="513" spans="2:24" x14ac:dyDescent="0.45">
      <c r="B513" t="s">
        <v>644</v>
      </c>
      <c r="C513">
        <v>4.4686910835277036</v>
      </c>
      <c r="D513">
        <v>4.4000000000000004</v>
      </c>
      <c r="E513">
        <v>0.99975999999999998</v>
      </c>
      <c r="U513" t="s">
        <v>131</v>
      </c>
      <c r="V513" t="s">
        <v>2600</v>
      </c>
      <c r="W513" t="s">
        <v>2598</v>
      </c>
      <c r="X513" t="s">
        <v>2053</v>
      </c>
    </row>
    <row r="514" spans="2:24" x14ac:dyDescent="0.45">
      <c r="B514" t="s">
        <v>645</v>
      </c>
      <c r="C514">
        <v>4.4686910835277036</v>
      </c>
      <c r="D514">
        <v>1.1000000000000001</v>
      </c>
      <c r="E514">
        <v>0.99994000000000005</v>
      </c>
      <c r="U514" t="s">
        <v>131</v>
      </c>
      <c r="V514" t="s">
        <v>2601</v>
      </c>
      <c r="W514" t="s">
        <v>2598</v>
      </c>
      <c r="X514" t="s">
        <v>2053</v>
      </c>
    </row>
    <row r="515" spans="2:24" x14ac:dyDescent="0.45">
      <c r="B515" t="s">
        <v>646</v>
      </c>
      <c r="C515">
        <v>4.4686910835277036</v>
      </c>
      <c r="D515">
        <v>3.3000000000000003</v>
      </c>
      <c r="E515">
        <v>0.99982000000000004</v>
      </c>
      <c r="U515" t="s">
        <v>131</v>
      </c>
      <c r="V515" t="s">
        <v>2602</v>
      </c>
      <c r="W515" t="s">
        <v>2598</v>
      </c>
      <c r="X515" t="s">
        <v>2053</v>
      </c>
    </row>
    <row r="516" spans="2:24" x14ac:dyDescent="0.45">
      <c r="B516" t="s">
        <v>647</v>
      </c>
      <c r="C516">
        <v>2.2343455417638518</v>
      </c>
      <c r="D516">
        <v>3.3000000000000003</v>
      </c>
      <c r="E516">
        <v>0.99982000000000004</v>
      </c>
      <c r="U516" t="s">
        <v>131</v>
      </c>
      <c r="V516" t="s">
        <v>2603</v>
      </c>
      <c r="W516" t="s">
        <v>2598</v>
      </c>
      <c r="X516" t="s">
        <v>2053</v>
      </c>
    </row>
    <row r="517" spans="2:24" x14ac:dyDescent="0.45">
      <c r="B517" t="s">
        <v>648</v>
      </c>
      <c r="C517">
        <v>2.2343455417638518</v>
      </c>
      <c r="D517">
        <v>89.100000000000009</v>
      </c>
      <c r="E517">
        <v>0.99514000000000002</v>
      </c>
      <c r="U517" t="s">
        <v>131</v>
      </c>
      <c r="V517" t="s">
        <v>2604</v>
      </c>
      <c r="W517" t="s">
        <v>2598</v>
      </c>
      <c r="X517" t="s">
        <v>2053</v>
      </c>
    </row>
    <row r="518" spans="2:24" x14ac:dyDescent="0.45">
      <c r="B518" t="s">
        <v>649</v>
      </c>
      <c r="C518">
        <v>4.4686910835277036</v>
      </c>
      <c r="D518">
        <v>5.5</v>
      </c>
      <c r="E518">
        <v>0.99970000000000003</v>
      </c>
      <c r="U518" t="s">
        <v>131</v>
      </c>
      <c r="V518" t="s">
        <v>2605</v>
      </c>
      <c r="W518" t="s">
        <v>2598</v>
      </c>
      <c r="X518" t="s">
        <v>2053</v>
      </c>
    </row>
    <row r="519" spans="2:24" x14ac:dyDescent="0.45">
      <c r="B519" t="s">
        <v>650</v>
      </c>
      <c r="C519">
        <v>2.2343455417638518</v>
      </c>
      <c r="D519">
        <v>3.3000000000000003</v>
      </c>
      <c r="E519">
        <v>0.99982000000000004</v>
      </c>
      <c r="U519" t="s">
        <v>131</v>
      </c>
      <c r="V519" t="s">
        <v>2606</v>
      </c>
      <c r="W519" t="s">
        <v>2598</v>
      </c>
      <c r="X519" t="s">
        <v>2053</v>
      </c>
    </row>
    <row r="520" spans="2:24" x14ac:dyDescent="0.45">
      <c r="B520" t="s">
        <v>651</v>
      </c>
      <c r="C520">
        <v>2.2343455417638518</v>
      </c>
      <c r="D520">
        <v>3.3000000000000003</v>
      </c>
      <c r="E520">
        <v>0.99982000000000004</v>
      </c>
      <c r="U520" t="s">
        <v>131</v>
      </c>
      <c r="V520" t="s">
        <v>2607</v>
      </c>
      <c r="W520" t="s">
        <v>2598</v>
      </c>
      <c r="X520" t="s">
        <v>2053</v>
      </c>
    </row>
    <row r="521" spans="2:24" x14ac:dyDescent="0.45">
      <c r="B521" t="s">
        <v>652</v>
      </c>
      <c r="C521">
        <v>4.4686910835277036</v>
      </c>
      <c r="D521">
        <v>3.3000000000000003</v>
      </c>
      <c r="E521">
        <v>0.99982000000000004</v>
      </c>
      <c r="U521" t="s">
        <v>131</v>
      </c>
      <c r="V521" t="s">
        <v>2608</v>
      </c>
      <c r="W521" t="s">
        <v>2598</v>
      </c>
      <c r="X521" t="s">
        <v>2053</v>
      </c>
    </row>
    <row r="522" spans="2:24" x14ac:dyDescent="0.45">
      <c r="B522" t="s">
        <v>653</v>
      </c>
      <c r="C522">
        <v>4.4686910835277036</v>
      </c>
      <c r="D522">
        <v>2.2000000000000002</v>
      </c>
      <c r="E522">
        <v>0.99987999999999999</v>
      </c>
      <c r="U522" t="s">
        <v>131</v>
      </c>
      <c r="V522" t="s">
        <v>2609</v>
      </c>
      <c r="W522" t="s">
        <v>2598</v>
      </c>
      <c r="X522" t="s">
        <v>2053</v>
      </c>
    </row>
    <row r="523" spans="2:24" x14ac:dyDescent="0.45">
      <c r="B523" t="s">
        <v>654</v>
      </c>
      <c r="C523">
        <v>4.4686910835277036</v>
      </c>
      <c r="D523">
        <v>2.2000000000000002</v>
      </c>
      <c r="E523">
        <v>0.99987999999999999</v>
      </c>
      <c r="U523" t="s">
        <v>131</v>
      </c>
      <c r="V523" t="s">
        <v>2610</v>
      </c>
      <c r="W523" t="s">
        <v>2598</v>
      </c>
      <c r="X523" t="s">
        <v>2053</v>
      </c>
    </row>
    <row r="524" spans="2:24" x14ac:dyDescent="0.45">
      <c r="B524" t="s">
        <v>655</v>
      </c>
      <c r="C524">
        <v>4.4686910835277036</v>
      </c>
      <c r="D524">
        <v>5.5</v>
      </c>
      <c r="E524">
        <v>0.99970000000000003</v>
      </c>
      <c r="U524" t="s">
        <v>131</v>
      </c>
      <c r="V524" t="s">
        <v>2611</v>
      </c>
      <c r="W524" t="s">
        <v>2612</v>
      </c>
      <c r="X524" t="s">
        <v>2053</v>
      </c>
    </row>
    <row r="525" spans="2:24" x14ac:dyDescent="0.45">
      <c r="B525" t="s">
        <v>656</v>
      </c>
      <c r="C525">
        <v>4.4686910835277036</v>
      </c>
      <c r="D525">
        <v>1.1000000000000001</v>
      </c>
      <c r="E525">
        <v>0.99994000000000005</v>
      </c>
      <c r="U525" t="s">
        <v>131</v>
      </c>
      <c r="V525" t="s">
        <v>2613</v>
      </c>
      <c r="W525" t="s">
        <v>2612</v>
      </c>
      <c r="X525" t="s">
        <v>2053</v>
      </c>
    </row>
    <row r="526" spans="2:24" x14ac:dyDescent="0.45">
      <c r="B526" t="s">
        <v>657</v>
      </c>
      <c r="C526">
        <v>4.4686910835277036</v>
      </c>
      <c r="D526">
        <v>3.3000000000000003</v>
      </c>
      <c r="E526">
        <v>0.99982000000000004</v>
      </c>
      <c r="U526" t="s">
        <v>131</v>
      </c>
      <c r="V526" t="s">
        <v>2614</v>
      </c>
      <c r="W526" t="s">
        <v>2612</v>
      </c>
      <c r="X526" t="s">
        <v>2053</v>
      </c>
    </row>
    <row r="527" spans="2:24" x14ac:dyDescent="0.45">
      <c r="B527" t="s">
        <v>658</v>
      </c>
      <c r="C527">
        <v>4.4686910835277036</v>
      </c>
      <c r="D527">
        <v>2.2000000000000002</v>
      </c>
      <c r="E527">
        <v>0.99987999999999999</v>
      </c>
      <c r="U527" t="s">
        <v>131</v>
      </c>
      <c r="V527" t="s">
        <v>2615</v>
      </c>
      <c r="W527" t="s">
        <v>2612</v>
      </c>
      <c r="X527" t="s">
        <v>2053</v>
      </c>
    </row>
    <row r="528" spans="2:24" x14ac:dyDescent="0.45">
      <c r="B528" t="s">
        <v>659</v>
      </c>
      <c r="C528">
        <v>2.2343455417638518</v>
      </c>
      <c r="D528">
        <v>48.400000000000006</v>
      </c>
      <c r="E528">
        <v>0.99736000000000002</v>
      </c>
      <c r="U528" t="s">
        <v>131</v>
      </c>
      <c r="V528" t="s">
        <v>2616</v>
      </c>
      <c r="W528" t="s">
        <v>2612</v>
      </c>
      <c r="X528" t="s">
        <v>2053</v>
      </c>
    </row>
    <row r="529" spans="2:24" x14ac:dyDescent="0.45">
      <c r="B529" t="s">
        <v>660</v>
      </c>
      <c r="C529">
        <v>2.2343455417638518</v>
      </c>
      <c r="D529">
        <v>37.400000000000006</v>
      </c>
      <c r="E529">
        <v>0.99795999999999996</v>
      </c>
      <c r="U529" t="s">
        <v>131</v>
      </c>
      <c r="V529" t="s">
        <v>2617</v>
      </c>
      <c r="W529" t="s">
        <v>2612</v>
      </c>
      <c r="X529" t="s">
        <v>2053</v>
      </c>
    </row>
    <row r="530" spans="2:24" x14ac:dyDescent="0.45">
      <c r="B530" t="s">
        <v>661</v>
      </c>
      <c r="C530">
        <v>0.98311203837609484</v>
      </c>
      <c r="D530">
        <v>2.2000000000000002</v>
      </c>
      <c r="E530">
        <v>0.99987999999999999</v>
      </c>
      <c r="U530" t="s">
        <v>131</v>
      </c>
      <c r="V530" t="s">
        <v>2618</v>
      </c>
      <c r="W530" t="s">
        <v>2612</v>
      </c>
      <c r="X530" t="s">
        <v>2053</v>
      </c>
    </row>
    <row r="531" spans="2:24" x14ac:dyDescent="0.45">
      <c r="B531" t="s">
        <v>662</v>
      </c>
      <c r="C531">
        <v>0.98311203837609484</v>
      </c>
      <c r="D531">
        <v>31.900000000000002</v>
      </c>
      <c r="E531">
        <v>0.99826000000000004</v>
      </c>
      <c r="U531" t="s">
        <v>131</v>
      </c>
      <c r="V531" t="s">
        <v>2619</v>
      </c>
      <c r="W531" t="s">
        <v>2612</v>
      </c>
      <c r="X531" t="s">
        <v>2053</v>
      </c>
    </row>
    <row r="532" spans="2:24" x14ac:dyDescent="0.45">
      <c r="B532" t="s">
        <v>663</v>
      </c>
      <c r="C532">
        <v>0.98311203837609484</v>
      </c>
      <c r="D532">
        <v>58.300000000000004</v>
      </c>
      <c r="E532">
        <v>0.99682000000000004</v>
      </c>
      <c r="U532" t="s">
        <v>131</v>
      </c>
      <c r="V532" t="s">
        <v>2620</v>
      </c>
      <c r="W532" t="s">
        <v>2612</v>
      </c>
      <c r="X532" t="s">
        <v>2053</v>
      </c>
    </row>
    <row r="533" spans="2:24" x14ac:dyDescent="0.45">
      <c r="B533" t="s">
        <v>664</v>
      </c>
      <c r="C533">
        <v>0.98311203837609484</v>
      </c>
      <c r="D533">
        <v>4.4000000000000004</v>
      </c>
      <c r="E533">
        <v>0.99975999999999998</v>
      </c>
      <c r="U533" t="s">
        <v>131</v>
      </c>
      <c r="V533" t="s">
        <v>2621</v>
      </c>
      <c r="W533" t="s">
        <v>2612</v>
      </c>
      <c r="X533" t="s">
        <v>2053</v>
      </c>
    </row>
    <row r="534" spans="2:24" x14ac:dyDescent="0.45">
      <c r="B534" t="s">
        <v>665</v>
      </c>
      <c r="C534">
        <v>0.98311203837609484</v>
      </c>
      <c r="D534">
        <v>3.3000000000000003</v>
      </c>
      <c r="E534">
        <v>0.99982000000000004</v>
      </c>
      <c r="U534" t="s">
        <v>131</v>
      </c>
      <c r="V534" t="s">
        <v>2622</v>
      </c>
      <c r="W534" t="s">
        <v>2612</v>
      </c>
      <c r="X534" t="s">
        <v>2053</v>
      </c>
    </row>
    <row r="535" spans="2:24" x14ac:dyDescent="0.45">
      <c r="B535" t="s">
        <v>666</v>
      </c>
      <c r="C535">
        <v>0.98311203837609484</v>
      </c>
      <c r="D535">
        <v>44</v>
      </c>
      <c r="E535">
        <v>0.99760000000000004</v>
      </c>
      <c r="U535" t="s">
        <v>131</v>
      </c>
      <c r="V535" t="s">
        <v>2623</v>
      </c>
      <c r="W535" t="s">
        <v>2612</v>
      </c>
      <c r="X535" t="s">
        <v>2053</v>
      </c>
    </row>
    <row r="536" spans="2:24" x14ac:dyDescent="0.45">
      <c r="B536" t="s">
        <v>667</v>
      </c>
      <c r="C536">
        <v>1.9662240767521897</v>
      </c>
      <c r="D536">
        <v>7.7000000000000011</v>
      </c>
      <c r="E536">
        <v>0.99958000000000002</v>
      </c>
      <c r="U536" t="s">
        <v>131</v>
      </c>
      <c r="V536" t="s">
        <v>2624</v>
      </c>
      <c r="W536" t="s">
        <v>2612</v>
      </c>
      <c r="X536" t="s">
        <v>2053</v>
      </c>
    </row>
    <row r="537" spans="2:24" x14ac:dyDescent="0.45">
      <c r="B537" t="s">
        <v>668</v>
      </c>
      <c r="C537">
        <v>1.474668057564142</v>
      </c>
      <c r="D537">
        <v>5.5</v>
      </c>
      <c r="E537">
        <v>0.99970000000000003</v>
      </c>
      <c r="U537" t="s">
        <v>131</v>
      </c>
      <c r="V537" t="s">
        <v>2625</v>
      </c>
      <c r="W537" t="s">
        <v>2626</v>
      </c>
      <c r="X537" t="s">
        <v>2053</v>
      </c>
    </row>
    <row r="538" spans="2:24" x14ac:dyDescent="0.45">
      <c r="B538" t="s">
        <v>669</v>
      </c>
      <c r="C538">
        <v>0.98311203837609484</v>
      </c>
      <c r="D538">
        <v>8.8000000000000007</v>
      </c>
      <c r="E538">
        <v>0.99951999999999996</v>
      </c>
      <c r="U538" t="s">
        <v>131</v>
      </c>
      <c r="V538" t="s">
        <v>2627</v>
      </c>
      <c r="W538" t="s">
        <v>2626</v>
      </c>
      <c r="X538" t="s">
        <v>2053</v>
      </c>
    </row>
    <row r="539" spans="2:24" x14ac:dyDescent="0.45">
      <c r="B539" t="s">
        <v>670</v>
      </c>
      <c r="C539">
        <v>4.4686910835277036</v>
      </c>
      <c r="D539">
        <v>2.2000000000000002</v>
      </c>
      <c r="E539">
        <v>0.99987999999999999</v>
      </c>
      <c r="U539" t="s">
        <v>131</v>
      </c>
      <c r="V539" t="s">
        <v>2628</v>
      </c>
      <c r="W539" t="s">
        <v>2626</v>
      </c>
      <c r="X539" t="s">
        <v>2053</v>
      </c>
    </row>
    <row r="540" spans="2:24" x14ac:dyDescent="0.45">
      <c r="B540" t="s">
        <v>671</v>
      </c>
      <c r="C540">
        <v>4.4686910835277036</v>
      </c>
      <c r="D540">
        <v>4.4000000000000004</v>
      </c>
      <c r="E540">
        <v>0.99975999999999998</v>
      </c>
      <c r="U540" t="s">
        <v>131</v>
      </c>
      <c r="V540" t="s">
        <v>2629</v>
      </c>
      <c r="W540" t="s">
        <v>2626</v>
      </c>
      <c r="X540" t="s">
        <v>2053</v>
      </c>
    </row>
    <row r="541" spans="2:24" x14ac:dyDescent="0.45">
      <c r="B541" t="s">
        <v>672</v>
      </c>
      <c r="C541">
        <v>2.2343455417638518</v>
      </c>
      <c r="D541">
        <v>155.10000000000002</v>
      </c>
      <c r="E541">
        <v>0.99153999999999998</v>
      </c>
      <c r="U541" t="s">
        <v>131</v>
      </c>
      <c r="V541" t="s">
        <v>2630</v>
      </c>
      <c r="W541" t="s">
        <v>2626</v>
      </c>
      <c r="X541" t="s">
        <v>2053</v>
      </c>
    </row>
    <row r="542" spans="2:24" x14ac:dyDescent="0.45">
      <c r="B542" t="s">
        <v>673</v>
      </c>
      <c r="C542">
        <v>4.4686910835277036</v>
      </c>
      <c r="D542">
        <v>4.4000000000000004</v>
      </c>
      <c r="E542">
        <v>0.99975999999999998</v>
      </c>
      <c r="U542" t="s">
        <v>131</v>
      </c>
      <c r="V542" t="s">
        <v>2631</v>
      </c>
      <c r="W542" t="s">
        <v>2626</v>
      </c>
      <c r="X542" t="s">
        <v>2053</v>
      </c>
    </row>
    <row r="543" spans="2:24" x14ac:dyDescent="0.45">
      <c r="B543" t="s">
        <v>674</v>
      </c>
      <c r="C543">
        <v>4.4686910835277036</v>
      </c>
      <c r="D543">
        <v>3.3000000000000003</v>
      </c>
      <c r="E543">
        <v>0.99982000000000004</v>
      </c>
      <c r="U543" t="s">
        <v>131</v>
      </c>
      <c r="V543" t="s">
        <v>2632</v>
      </c>
      <c r="W543" t="s">
        <v>2626</v>
      </c>
      <c r="X543" t="s">
        <v>2053</v>
      </c>
    </row>
    <row r="544" spans="2:24" x14ac:dyDescent="0.45">
      <c r="B544" t="s">
        <v>675</v>
      </c>
      <c r="C544">
        <v>4.4686910835277036</v>
      </c>
      <c r="D544">
        <v>8.8000000000000007</v>
      </c>
      <c r="E544">
        <v>0.99951999999999996</v>
      </c>
      <c r="U544" t="s">
        <v>131</v>
      </c>
      <c r="V544" t="s">
        <v>2633</v>
      </c>
      <c r="W544" t="s">
        <v>2626</v>
      </c>
      <c r="X544" t="s">
        <v>2053</v>
      </c>
    </row>
    <row r="545" spans="2:24" x14ac:dyDescent="0.45">
      <c r="B545" t="s">
        <v>676</v>
      </c>
      <c r="C545">
        <v>4.4686910835277036</v>
      </c>
      <c r="D545">
        <v>1.1000000000000001</v>
      </c>
      <c r="E545">
        <v>0.99994000000000005</v>
      </c>
      <c r="U545" t="s">
        <v>131</v>
      </c>
      <c r="V545" t="s">
        <v>2634</v>
      </c>
      <c r="W545" t="s">
        <v>2626</v>
      </c>
      <c r="X545" t="s">
        <v>2053</v>
      </c>
    </row>
    <row r="546" spans="2:24" x14ac:dyDescent="0.45">
      <c r="B546" t="s">
        <v>677</v>
      </c>
      <c r="C546">
        <v>0.98311203837609484</v>
      </c>
      <c r="D546">
        <v>30.800000000000004</v>
      </c>
      <c r="E546">
        <v>0.99831999999999999</v>
      </c>
      <c r="U546" t="s">
        <v>131</v>
      </c>
      <c r="V546" t="s">
        <v>2635</v>
      </c>
      <c r="W546" t="s">
        <v>2626</v>
      </c>
      <c r="X546" t="s">
        <v>2053</v>
      </c>
    </row>
    <row r="547" spans="2:24" x14ac:dyDescent="0.45">
      <c r="B547" t="s">
        <v>678</v>
      </c>
      <c r="C547">
        <v>0.49155601918804742</v>
      </c>
      <c r="D547">
        <v>36.300000000000004</v>
      </c>
      <c r="E547">
        <v>0.99802000000000002</v>
      </c>
      <c r="U547" t="s">
        <v>131</v>
      </c>
      <c r="V547" t="s">
        <v>2636</v>
      </c>
      <c r="W547" t="s">
        <v>2626</v>
      </c>
      <c r="X547" t="s">
        <v>2053</v>
      </c>
    </row>
    <row r="548" spans="2:24" x14ac:dyDescent="0.45">
      <c r="B548" t="s">
        <v>679</v>
      </c>
      <c r="C548">
        <v>0.98311203837609484</v>
      </c>
      <c r="D548">
        <v>31.900000000000002</v>
      </c>
      <c r="E548">
        <v>0.99826000000000004</v>
      </c>
      <c r="U548" t="s">
        <v>131</v>
      </c>
      <c r="V548" t="s">
        <v>2637</v>
      </c>
      <c r="W548" t="s">
        <v>2626</v>
      </c>
      <c r="X548" t="s">
        <v>2053</v>
      </c>
    </row>
    <row r="549" spans="2:24" x14ac:dyDescent="0.45">
      <c r="B549" t="s">
        <v>680</v>
      </c>
      <c r="C549">
        <v>0.98311203837609484</v>
      </c>
      <c r="D549">
        <v>71.5</v>
      </c>
      <c r="E549">
        <v>0.99609999999999999</v>
      </c>
      <c r="U549" t="s">
        <v>131</v>
      </c>
      <c r="V549" t="s">
        <v>2638</v>
      </c>
      <c r="W549" t="s">
        <v>2626</v>
      </c>
      <c r="X549" t="s">
        <v>2053</v>
      </c>
    </row>
    <row r="550" spans="2:24" x14ac:dyDescent="0.45">
      <c r="B550" t="s">
        <v>681</v>
      </c>
      <c r="C550">
        <v>4.4686910835277036</v>
      </c>
      <c r="D550">
        <v>4.4000000000000004</v>
      </c>
      <c r="E550">
        <v>0.99975999999999998</v>
      </c>
      <c r="U550" t="s">
        <v>131</v>
      </c>
      <c r="V550" t="s">
        <v>2639</v>
      </c>
      <c r="W550" t="s">
        <v>2014</v>
      </c>
      <c r="X550" t="s">
        <v>2053</v>
      </c>
    </row>
    <row r="551" spans="2:24" x14ac:dyDescent="0.45">
      <c r="B551" t="s">
        <v>682</v>
      </c>
      <c r="C551">
        <v>8.9373821670554072</v>
      </c>
      <c r="D551">
        <v>2.2000000000000002</v>
      </c>
      <c r="E551">
        <v>0.99987999999999999</v>
      </c>
      <c r="U551" t="s">
        <v>131</v>
      </c>
      <c r="V551" t="s">
        <v>2640</v>
      </c>
      <c r="W551" t="s">
        <v>2014</v>
      </c>
      <c r="X551" t="s">
        <v>2053</v>
      </c>
    </row>
    <row r="552" spans="2:24" x14ac:dyDescent="0.45">
      <c r="B552" t="s">
        <v>683</v>
      </c>
      <c r="C552">
        <v>8.9373821670554072</v>
      </c>
      <c r="D552">
        <v>4.4000000000000004</v>
      </c>
      <c r="E552">
        <v>0.99975999999999998</v>
      </c>
      <c r="U552" t="s">
        <v>131</v>
      </c>
      <c r="V552" t="s">
        <v>2641</v>
      </c>
      <c r="W552" t="s">
        <v>2014</v>
      </c>
      <c r="X552" t="s">
        <v>2053</v>
      </c>
    </row>
    <row r="553" spans="2:24" x14ac:dyDescent="0.45">
      <c r="B553" t="s">
        <v>684</v>
      </c>
      <c r="C553">
        <v>6.7030366252915554</v>
      </c>
      <c r="D553">
        <v>2.2000000000000002</v>
      </c>
      <c r="E553">
        <v>0.99987999999999999</v>
      </c>
      <c r="U553" t="s">
        <v>131</v>
      </c>
      <c r="V553" t="s">
        <v>2642</v>
      </c>
      <c r="W553" t="s">
        <v>2014</v>
      </c>
      <c r="X553" t="s">
        <v>2053</v>
      </c>
    </row>
    <row r="554" spans="2:24" x14ac:dyDescent="0.45">
      <c r="B554" t="s">
        <v>685</v>
      </c>
      <c r="C554">
        <v>8.9373821670554072</v>
      </c>
      <c r="D554">
        <v>1.1000000000000001</v>
      </c>
      <c r="E554">
        <v>0.99994000000000005</v>
      </c>
      <c r="U554" t="s">
        <v>131</v>
      </c>
      <c r="V554" t="s">
        <v>2643</v>
      </c>
      <c r="W554" t="s">
        <v>2014</v>
      </c>
      <c r="X554" t="s">
        <v>2053</v>
      </c>
    </row>
    <row r="555" spans="2:24" x14ac:dyDescent="0.45">
      <c r="B555" t="s">
        <v>686</v>
      </c>
      <c r="C555">
        <v>8.9373821670554072</v>
      </c>
      <c r="D555">
        <v>3.3000000000000003</v>
      </c>
      <c r="E555">
        <v>0.99982000000000004</v>
      </c>
      <c r="U555" t="s">
        <v>131</v>
      </c>
      <c r="V555" t="s">
        <v>2644</v>
      </c>
      <c r="W555" t="s">
        <v>2014</v>
      </c>
      <c r="X555" t="s">
        <v>2053</v>
      </c>
    </row>
    <row r="556" spans="2:24" x14ac:dyDescent="0.45">
      <c r="B556" t="s">
        <v>687</v>
      </c>
      <c r="C556">
        <v>8.9373821670554072</v>
      </c>
      <c r="D556">
        <v>8.8000000000000007</v>
      </c>
      <c r="E556">
        <v>0.99951999999999996</v>
      </c>
      <c r="U556" t="s">
        <v>131</v>
      </c>
      <c r="V556" t="s">
        <v>2645</v>
      </c>
      <c r="W556" t="s">
        <v>2014</v>
      </c>
      <c r="X556" t="s">
        <v>2053</v>
      </c>
    </row>
    <row r="557" spans="2:24" x14ac:dyDescent="0.45">
      <c r="B557" t="s">
        <v>688</v>
      </c>
      <c r="C557">
        <v>4.4686910835277036</v>
      </c>
      <c r="D557">
        <v>2.2000000000000002</v>
      </c>
      <c r="E557">
        <v>0.99987999999999999</v>
      </c>
      <c r="U557" t="s">
        <v>131</v>
      </c>
      <c r="V557" t="s">
        <v>2646</v>
      </c>
      <c r="W557" t="s">
        <v>2014</v>
      </c>
      <c r="X557" t="s">
        <v>2053</v>
      </c>
    </row>
    <row r="558" spans="2:24" x14ac:dyDescent="0.45">
      <c r="B558" t="s">
        <v>689</v>
      </c>
      <c r="C558">
        <v>8.9373821670554072</v>
      </c>
      <c r="D558">
        <v>2.2000000000000002</v>
      </c>
      <c r="E558">
        <v>0.99987999999999999</v>
      </c>
      <c r="U558" t="s">
        <v>131</v>
      </c>
      <c r="V558" t="s">
        <v>2647</v>
      </c>
      <c r="W558" t="s">
        <v>2014</v>
      </c>
      <c r="X558" t="s">
        <v>2053</v>
      </c>
    </row>
    <row r="559" spans="2:24" x14ac:dyDescent="0.45">
      <c r="B559" t="s">
        <v>690</v>
      </c>
      <c r="C559">
        <v>8.9373821670554072</v>
      </c>
      <c r="D559">
        <v>2.2000000000000002</v>
      </c>
      <c r="E559">
        <v>0.99987999999999999</v>
      </c>
      <c r="U559" t="s">
        <v>131</v>
      </c>
      <c r="V559" t="s">
        <v>2648</v>
      </c>
      <c r="W559" t="s">
        <v>2014</v>
      </c>
      <c r="X559" t="s">
        <v>2053</v>
      </c>
    </row>
    <row r="560" spans="2:24" x14ac:dyDescent="0.45">
      <c r="B560" t="s">
        <v>691</v>
      </c>
      <c r="C560">
        <v>8.9373821670554072</v>
      </c>
      <c r="D560">
        <v>3.3000000000000003</v>
      </c>
      <c r="E560">
        <v>0.99982000000000004</v>
      </c>
      <c r="U560" t="s">
        <v>131</v>
      </c>
      <c r="V560" t="s">
        <v>2649</v>
      </c>
      <c r="W560" t="s">
        <v>2014</v>
      </c>
      <c r="X560" t="s">
        <v>2053</v>
      </c>
    </row>
    <row r="561" spans="2:24" x14ac:dyDescent="0.45">
      <c r="B561" t="s">
        <v>692</v>
      </c>
      <c r="C561">
        <v>8.9373821670554072</v>
      </c>
      <c r="D561">
        <v>4.4000000000000004</v>
      </c>
      <c r="E561">
        <v>0.99975999999999998</v>
      </c>
      <c r="U561" t="s">
        <v>131</v>
      </c>
      <c r="V561" t="s">
        <v>2650</v>
      </c>
      <c r="W561" t="s">
        <v>2014</v>
      </c>
      <c r="X561" t="s">
        <v>2053</v>
      </c>
    </row>
    <row r="562" spans="2:24" x14ac:dyDescent="0.45">
      <c r="B562" t="s">
        <v>693</v>
      </c>
      <c r="C562">
        <v>2.2343455417638518</v>
      </c>
      <c r="D562">
        <v>1.1000000000000001</v>
      </c>
      <c r="E562">
        <v>0.99994000000000005</v>
      </c>
      <c r="U562" t="s">
        <v>131</v>
      </c>
      <c r="V562" t="s">
        <v>2651</v>
      </c>
      <c r="W562" t="s">
        <v>2014</v>
      </c>
      <c r="X562" t="s">
        <v>2053</v>
      </c>
    </row>
    <row r="563" spans="2:24" x14ac:dyDescent="0.45">
      <c r="B563" t="s">
        <v>694</v>
      </c>
      <c r="C563">
        <v>2.2343455417638518</v>
      </c>
      <c r="D563">
        <v>6.6000000000000005</v>
      </c>
      <c r="E563">
        <v>0.99963999999999997</v>
      </c>
      <c r="U563" t="s">
        <v>131</v>
      </c>
      <c r="V563" t="s">
        <v>2652</v>
      </c>
      <c r="W563" t="s">
        <v>2653</v>
      </c>
      <c r="X563" t="s">
        <v>2053</v>
      </c>
    </row>
    <row r="564" spans="2:24" x14ac:dyDescent="0.45">
      <c r="B564" t="s">
        <v>695</v>
      </c>
      <c r="C564">
        <v>2.2343455417638518</v>
      </c>
      <c r="D564">
        <v>166.10000000000002</v>
      </c>
      <c r="E564">
        <v>0.99094000000000004</v>
      </c>
      <c r="U564" t="s">
        <v>131</v>
      </c>
      <c r="V564" t="s">
        <v>2654</v>
      </c>
      <c r="W564" t="s">
        <v>2653</v>
      </c>
      <c r="X564" t="s">
        <v>2053</v>
      </c>
    </row>
    <row r="565" spans="2:24" x14ac:dyDescent="0.45">
      <c r="B565" t="s">
        <v>696</v>
      </c>
      <c r="C565">
        <v>2.2343455417638518</v>
      </c>
      <c r="D565">
        <v>5.5</v>
      </c>
      <c r="E565">
        <v>0.99970000000000003</v>
      </c>
      <c r="U565" t="s">
        <v>131</v>
      </c>
      <c r="V565" t="s">
        <v>2655</v>
      </c>
      <c r="W565" t="s">
        <v>2653</v>
      </c>
      <c r="X565" t="s">
        <v>2053</v>
      </c>
    </row>
    <row r="566" spans="2:24" x14ac:dyDescent="0.45">
      <c r="B566" t="s">
        <v>697</v>
      </c>
      <c r="C566">
        <v>6.7030366252915554</v>
      </c>
      <c r="D566">
        <v>2.2000000000000002</v>
      </c>
      <c r="E566">
        <v>0.99987999999999999</v>
      </c>
      <c r="U566" t="s">
        <v>131</v>
      </c>
      <c r="V566" t="s">
        <v>2656</v>
      </c>
      <c r="W566" t="s">
        <v>2653</v>
      </c>
      <c r="X566" t="s">
        <v>2053</v>
      </c>
    </row>
    <row r="567" spans="2:24" x14ac:dyDescent="0.45">
      <c r="B567" t="s">
        <v>698</v>
      </c>
      <c r="C567">
        <v>6.7030366252915554</v>
      </c>
      <c r="D567">
        <v>2.2000000000000002</v>
      </c>
      <c r="E567">
        <v>0.99987999999999999</v>
      </c>
      <c r="U567" t="s">
        <v>131</v>
      </c>
      <c r="V567" t="s">
        <v>2657</v>
      </c>
      <c r="W567" t="s">
        <v>2653</v>
      </c>
      <c r="X567" t="s">
        <v>2053</v>
      </c>
    </row>
    <row r="568" spans="2:24" x14ac:dyDescent="0.45">
      <c r="B568" t="s">
        <v>699</v>
      </c>
      <c r="C568">
        <v>4.4686910835277036</v>
      </c>
      <c r="D568">
        <v>2.2000000000000002</v>
      </c>
      <c r="E568">
        <v>0.99987999999999999</v>
      </c>
      <c r="U568" t="s">
        <v>131</v>
      </c>
      <c r="V568" t="s">
        <v>2658</v>
      </c>
      <c r="W568" t="s">
        <v>2653</v>
      </c>
      <c r="X568" t="s">
        <v>2053</v>
      </c>
    </row>
    <row r="569" spans="2:24" x14ac:dyDescent="0.45">
      <c r="B569" t="s">
        <v>700</v>
      </c>
      <c r="C569">
        <v>2.2343455417638518</v>
      </c>
      <c r="D569">
        <v>2.2000000000000002</v>
      </c>
      <c r="E569">
        <v>0.99987999999999999</v>
      </c>
      <c r="U569" t="s">
        <v>131</v>
      </c>
      <c r="V569" t="s">
        <v>2659</v>
      </c>
      <c r="W569" t="s">
        <v>2653</v>
      </c>
      <c r="X569" t="s">
        <v>2053</v>
      </c>
    </row>
    <row r="570" spans="2:24" x14ac:dyDescent="0.45">
      <c r="B570" t="s">
        <v>701</v>
      </c>
      <c r="C570">
        <v>2.2343455417638518</v>
      </c>
      <c r="D570">
        <v>3.3000000000000003</v>
      </c>
      <c r="E570">
        <v>0.99982000000000004</v>
      </c>
      <c r="U570" t="s">
        <v>131</v>
      </c>
      <c r="V570" t="s">
        <v>2660</v>
      </c>
      <c r="W570" t="s">
        <v>2653</v>
      </c>
      <c r="X570" t="s">
        <v>2053</v>
      </c>
    </row>
    <row r="571" spans="2:24" x14ac:dyDescent="0.45">
      <c r="B571" t="s">
        <v>702</v>
      </c>
      <c r="C571">
        <v>4.4686910835277036</v>
      </c>
      <c r="D571">
        <v>1.1000000000000001</v>
      </c>
      <c r="E571">
        <v>0.99994000000000005</v>
      </c>
      <c r="U571" t="s">
        <v>131</v>
      </c>
      <c r="V571" t="s">
        <v>2661</v>
      </c>
      <c r="W571" t="s">
        <v>2653</v>
      </c>
      <c r="X571" t="s">
        <v>2053</v>
      </c>
    </row>
    <row r="572" spans="2:24" x14ac:dyDescent="0.45">
      <c r="B572" t="s">
        <v>703</v>
      </c>
      <c r="C572">
        <v>2.2343455417638518</v>
      </c>
      <c r="D572">
        <v>2.2000000000000002</v>
      </c>
      <c r="E572">
        <v>0.99987999999999999</v>
      </c>
      <c r="U572" t="s">
        <v>131</v>
      </c>
      <c r="V572" t="s">
        <v>2662</v>
      </c>
      <c r="W572" t="s">
        <v>2653</v>
      </c>
      <c r="X572" t="s">
        <v>2053</v>
      </c>
    </row>
    <row r="573" spans="2:24" x14ac:dyDescent="0.45">
      <c r="B573" t="s">
        <v>704</v>
      </c>
      <c r="C573">
        <v>2.2343455417638518</v>
      </c>
      <c r="D573">
        <v>7.7000000000000011</v>
      </c>
      <c r="E573">
        <v>0.99958000000000002</v>
      </c>
      <c r="U573" t="s">
        <v>131</v>
      </c>
      <c r="V573" t="s">
        <v>2663</v>
      </c>
      <c r="W573" t="s">
        <v>2653</v>
      </c>
      <c r="X573" t="s">
        <v>2053</v>
      </c>
    </row>
    <row r="574" spans="2:24" x14ac:dyDescent="0.45">
      <c r="B574" t="s">
        <v>705</v>
      </c>
      <c r="C574">
        <v>2.2343455417638518</v>
      </c>
      <c r="D574">
        <v>2.2000000000000002</v>
      </c>
      <c r="E574">
        <v>0.99987999999999999</v>
      </c>
      <c r="U574" t="s">
        <v>131</v>
      </c>
      <c r="V574" t="s">
        <v>2664</v>
      </c>
      <c r="W574" t="s">
        <v>2653</v>
      </c>
      <c r="X574" t="s">
        <v>2053</v>
      </c>
    </row>
    <row r="575" spans="2:24" x14ac:dyDescent="0.45">
      <c r="B575" t="s">
        <v>706</v>
      </c>
      <c r="C575">
        <v>2.2343455417638518</v>
      </c>
      <c r="D575">
        <v>5.5</v>
      </c>
      <c r="E575">
        <v>0.99970000000000003</v>
      </c>
      <c r="U575" t="s">
        <v>131</v>
      </c>
      <c r="V575" t="s">
        <v>2665</v>
      </c>
      <c r="W575" t="s">
        <v>2653</v>
      </c>
      <c r="X575" t="s">
        <v>2053</v>
      </c>
    </row>
    <row r="576" spans="2:24" x14ac:dyDescent="0.45">
      <c r="B576" t="s">
        <v>707</v>
      </c>
      <c r="C576">
        <v>2.2343455417638518</v>
      </c>
      <c r="D576">
        <v>6.6000000000000005</v>
      </c>
      <c r="E576">
        <v>0.99963999999999997</v>
      </c>
      <c r="U576" t="s">
        <v>131</v>
      </c>
      <c r="V576" t="s">
        <v>2666</v>
      </c>
      <c r="W576" t="s">
        <v>2667</v>
      </c>
      <c r="X576" t="s">
        <v>2053</v>
      </c>
    </row>
    <row r="577" spans="2:24" x14ac:dyDescent="0.45">
      <c r="B577" t="s">
        <v>708</v>
      </c>
      <c r="C577">
        <v>2.2343455417638518</v>
      </c>
      <c r="D577">
        <v>1.1000000000000001</v>
      </c>
      <c r="E577">
        <v>0.99994000000000005</v>
      </c>
      <c r="U577" t="s">
        <v>131</v>
      </c>
      <c r="V577" t="s">
        <v>2668</v>
      </c>
      <c r="W577" t="s">
        <v>2667</v>
      </c>
      <c r="X577" t="s">
        <v>2053</v>
      </c>
    </row>
    <row r="578" spans="2:24" x14ac:dyDescent="0.45">
      <c r="B578" t="s">
        <v>709</v>
      </c>
      <c r="C578">
        <v>4.4686910835277036</v>
      </c>
      <c r="D578">
        <v>1.1000000000000001</v>
      </c>
      <c r="E578">
        <v>0.99994000000000005</v>
      </c>
      <c r="U578" t="s">
        <v>131</v>
      </c>
      <c r="V578" t="s">
        <v>2669</v>
      </c>
      <c r="W578" t="s">
        <v>2667</v>
      </c>
      <c r="X578" t="s">
        <v>2053</v>
      </c>
    </row>
    <row r="579" spans="2:24" x14ac:dyDescent="0.45">
      <c r="B579" t="s">
        <v>710</v>
      </c>
      <c r="C579">
        <v>2.2343455417638518</v>
      </c>
      <c r="D579">
        <v>4.4000000000000004</v>
      </c>
      <c r="E579">
        <v>0.99975999999999998</v>
      </c>
      <c r="U579" t="s">
        <v>131</v>
      </c>
      <c r="V579" t="s">
        <v>2670</v>
      </c>
      <c r="W579" t="s">
        <v>2667</v>
      </c>
      <c r="X579" t="s">
        <v>2053</v>
      </c>
    </row>
    <row r="580" spans="2:24" x14ac:dyDescent="0.45">
      <c r="B580" t="s">
        <v>711</v>
      </c>
      <c r="C580">
        <v>2.2343455417638518</v>
      </c>
      <c r="D580">
        <v>4.4000000000000004</v>
      </c>
      <c r="E580">
        <v>0.99975999999999998</v>
      </c>
      <c r="U580" t="s">
        <v>131</v>
      </c>
      <c r="V580" t="s">
        <v>2671</v>
      </c>
      <c r="W580" t="s">
        <v>2667</v>
      </c>
      <c r="X580" t="s">
        <v>2053</v>
      </c>
    </row>
    <row r="581" spans="2:24" x14ac:dyDescent="0.45">
      <c r="B581" t="s">
        <v>712</v>
      </c>
      <c r="C581">
        <v>4.4686910835277036</v>
      </c>
      <c r="D581">
        <v>2.2000000000000002</v>
      </c>
      <c r="E581">
        <v>0.99987999999999999</v>
      </c>
      <c r="U581" t="s">
        <v>131</v>
      </c>
      <c r="V581" t="s">
        <v>2672</v>
      </c>
      <c r="W581" t="s">
        <v>2667</v>
      </c>
      <c r="X581" t="s">
        <v>2053</v>
      </c>
    </row>
    <row r="582" spans="2:24" x14ac:dyDescent="0.45">
      <c r="B582" t="s">
        <v>713</v>
      </c>
      <c r="C582">
        <v>2.2343455417638518</v>
      </c>
      <c r="D582">
        <v>5.5</v>
      </c>
      <c r="E582">
        <v>0.99970000000000003</v>
      </c>
      <c r="U582" t="s">
        <v>131</v>
      </c>
      <c r="V582" t="s">
        <v>2673</v>
      </c>
      <c r="W582" t="s">
        <v>2667</v>
      </c>
      <c r="X582" t="s">
        <v>2053</v>
      </c>
    </row>
    <row r="583" spans="2:24" x14ac:dyDescent="0.45">
      <c r="B583" t="s">
        <v>714</v>
      </c>
      <c r="C583">
        <v>2.2343455417638518</v>
      </c>
      <c r="D583">
        <v>2.2000000000000002</v>
      </c>
      <c r="E583">
        <v>0.99987999999999999</v>
      </c>
      <c r="U583" t="s">
        <v>131</v>
      </c>
      <c r="V583" t="s">
        <v>2674</v>
      </c>
      <c r="W583" t="s">
        <v>2667</v>
      </c>
      <c r="X583" t="s">
        <v>2053</v>
      </c>
    </row>
    <row r="584" spans="2:24" x14ac:dyDescent="0.45">
      <c r="B584" t="s">
        <v>715</v>
      </c>
      <c r="C584">
        <v>2.2343455417638518</v>
      </c>
      <c r="D584">
        <v>6.6000000000000005</v>
      </c>
      <c r="E584">
        <v>0.99963999999999997</v>
      </c>
      <c r="U584" t="s">
        <v>131</v>
      </c>
      <c r="V584" t="s">
        <v>2675</v>
      </c>
      <c r="W584" t="s">
        <v>2667</v>
      </c>
      <c r="X584" t="s">
        <v>2053</v>
      </c>
    </row>
    <row r="585" spans="2:24" x14ac:dyDescent="0.45">
      <c r="B585" t="s">
        <v>716</v>
      </c>
      <c r="C585">
        <v>2.2343455417638518</v>
      </c>
      <c r="D585">
        <v>6.6000000000000005</v>
      </c>
      <c r="E585">
        <v>0.99963999999999997</v>
      </c>
      <c r="U585" t="s">
        <v>131</v>
      </c>
      <c r="V585" t="s">
        <v>2676</v>
      </c>
      <c r="W585" t="s">
        <v>2667</v>
      </c>
      <c r="X585" t="s">
        <v>2053</v>
      </c>
    </row>
    <row r="586" spans="2:24" x14ac:dyDescent="0.45">
      <c r="B586" t="s">
        <v>717</v>
      </c>
      <c r="C586">
        <v>4.4686910835277036</v>
      </c>
      <c r="D586">
        <v>2.2000000000000002</v>
      </c>
      <c r="E586">
        <v>0.99987999999999999</v>
      </c>
      <c r="U586" t="s">
        <v>131</v>
      </c>
      <c r="V586" t="s">
        <v>2677</v>
      </c>
      <c r="W586" t="s">
        <v>2667</v>
      </c>
      <c r="X586" t="s">
        <v>2053</v>
      </c>
    </row>
    <row r="587" spans="2:24" x14ac:dyDescent="0.45">
      <c r="B587" t="s">
        <v>718</v>
      </c>
      <c r="C587">
        <v>2.2343455417638518</v>
      </c>
      <c r="D587">
        <v>2.2000000000000002</v>
      </c>
      <c r="E587">
        <v>0.99987999999999999</v>
      </c>
      <c r="U587" t="s">
        <v>131</v>
      </c>
      <c r="V587" t="s">
        <v>2678</v>
      </c>
      <c r="W587" t="s">
        <v>2667</v>
      </c>
      <c r="X587" t="s">
        <v>2053</v>
      </c>
    </row>
    <row r="588" spans="2:24" x14ac:dyDescent="0.45">
      <c r="B588" t="s">
        <v>719</v>
      </c>
      <c r="C588">
        <v>2.2343455417638518</v>
      </c>
      <c r="D588">
        <v>3.3000000000000003</v>
      </c>
      <c r="E588">
        <v>0.99982000000000004</v>
      </c>
      <c r="U588" t="s">
        <v>131</v>
      </c>
      <c r="V588" t="s">
        <v>2679</v>
      </c>
      <c r="W588" t="s">
        <v>2667</v>
      </c>
      <c r="X588" t="s">
        <v>2053</v>
      </c>
    </row>
    <row r="589" spans="2:24" x14ac:dyDescent="0.45">
      <c r="B589" t="s">
        <v>720</v>
      </c>
      <c r="C589">
        <v>4.4686910835277036</v>
      </c>
      <c r="D589">
        <v>2.2000000000000002</v>
      </c>
      <c r="E589">
        <v>0.99987999999999999</v>
      </c>
      <c r="U589" t="s">
        <v>131</v>
      </c>
      <c r="V589" t="s">
        <v>2680</v>
      </c>
      <c r="W589" t="s">
        <v>2681</v>
      </c>
      <c r="X589" t="s">
        <v>2053</v>
      </c>
    </row>
    <row r="590" spans="2:24" x14ac:dyDescent="0.45">
      <c r="B590" t="s">
        <v>721</v>
      </c>
      <c r="C590">
        <v>0.98311203837609484</v>
      </c>
      <c r="D590">
        <v>22</v>
      </c>
      <c r="E590">
        <v>0.99880000000000002</v>
      </c>
      <c r="U590" t="s">
        <v>131</v>
      </c>
      <c r="V590" t="s">
        <v>2682</v>
      </c>
      <c r="W590" t="s">
        <v>2681</v>
      </c>
      <c r="X590" t="s">
        <v>2053</v>
      </c>
    </row>
    <row r="591" spans="2:24" x14ac:dyDescent="0.45">
      <c r="B591" t="s">
        <v>722</v>
      </c>
      <c r="C591">
        <v>2.2343455417638518</v>
      </c>
      <c r="D591">
        <v>2.2000000000000002</v>
      </c>
      <c r="E591">
        <v>0.99987999999999999</v>
      </c>
      <c r="U591" t="s">
        <v>131</v>
      </c>
      <c r="V591" t="s">
        <v>2683</v>
      </c>
      <c r="W591" t="s">
        <v>2681</v>
      </c>
      <c r="X591" t="s">
        <v>2053</v>
      </c>
    </row>
    <row r="592" spans="2:24" x14ac:dyDescent="0.45">
      <c r="B592" t="s">
        <v>723</v>
      </c>
      <c r="C592">
        <v>2.2343455417638518</v>
      </c>
      <c r="D592">
        <v>2.2000000000000002</v>
      </c>
      <c r="E592">
        <v>0.99987999999999999</v>
      </c>
      <c r="U592" t="s">
        <v>131</v>
      </c>
      <c r="V592" t="s">
        <v>2684</v>
      </c>
      <c r="W592" t="s">
        <v>2681</v>
      </c>
      <c r="X592" t="s">
        <v>2053</v>
      </c>
    </row>
    <row r="593" spans="2:24" x14ac:dyDescent="0.45">
      <c r="B593" t="s">
        <v>724</v>
      </c>
      <c r="C593">
        <v>4.4686910835277036</v>
      </c>
      <c r="D593">
        <v>2.2000000000000002</v>
      </c>
      <c r="E593">
        <v>0.99987999999999999</v>
      </c>
      <c r="U593" t="s">
        <v>131</v>
      </c>
      <c r="V593" t="s">
        <v>2685</v>
      </c>
      <c r="W593" t="s">
        <v>2681</v>
      </c>
      <c r="X593" t="s">
        <v>2053</v>
      </c>
    </row>
    <row r="594" spans="2:24" x14ac:dyDescent="0.45">
      <c r="B594" t="s">
        <v>725</v>
      </c>
      <c r="C594">
        <v>4.4686910835277036</v>
      </c>
      <c r="D594">
        <v>2.2000000000000002</v>
      </c>
      <c r="E594">
        <v>0.99987999999999999</v>
      </c>
      <c r="U594" t="s">
        <v>131</v>
      </c>
      <c r="V594" t="s">
        <v>2686</v>
      </c>
      <c r="W594" t="s">
        <v>2681</v>
      </c>
      <c r="X594" t="s">
        <v>2053</v>
      </c>
    </row>
    <row r="595" spans="2:24" x14ac:dyDescent="0.45">
      <c r="B595" t="s">
        <v>726</v>
      </c>
      <c r="C595">
        <v>2.2343455417638518</v>
      </c>
      <c r="D595">
        <v>2.2000000000000002</v>
      </c>
      <c r="E595">
        <v>0.99987999999999999</v>
      </c>
      <c r="U595" t="s">
        <v>131</v>
      </c>
      <c r="V595" t="s">
        <v>2687</v>
      </c>
      <c r="W595" t="s">
        <v>2681</v>
      </c>
      <c r="X595" t="s">
        <v>2053</v>
      </c>
    </row>
    <row r="596" spans="2:24" x14ac:dyDescent="0.45">
      <c r="B596" t="s">
        <v>727</v>
      </c>
      <c r="C596">
        <v>2.2343455417638518</v>
      </c>
      <c r="D596">
        <v>1.1000000000000001</v>
      </c>
      <c r="E596">
        <v>0.99994000000000005</v>
      </c>
      <c r="U596" t="s">
        <v>131</v>
      </c>
      <c r="V596" t="s">
        <v>2688</v>
      </c>
      <c r="W596" t="s">
        <v>2681</v>
      </c>
      <c r="X596" t="s">
        <v>2053</v>
      </c>
    </row>
    <row r="597" spans="2:24" x14ac:dyDescent="0.45">
      <c r="B597" t="s">
        <v>728</v>
      </c>
      <c r="C597">
        <v>2.2343455417638518</v>
      </c>
      <c r="D597">
        <v>3.3000000000000003</v>
      </c>
      <c r="E597">
        <v>0.99982000000000004</v>
      </c>
      <c r="U597" t="s">
        <v>131</v>
      </c>
      <c r="V597" t="s">
        <v>2689</v>
      </c>
      <c r="W597" t="s">
        <v>2681</v>
      </c>
      <c r="X597" t="s">
        <v>2053</v>
      </c>
    </row>
    <row r="598" spans="2:24" x14ac:dyDescent="0.45">
      <c r="B598" t="s">
        <v>729</v>
      </c>
      <c r="C598">
        <v>2.2343455417638518</v>
      </c>
      <c r="D598">
        <v>2.2000000000000002</v>
      </c>
      <c r="E598">
        <v>0.99987999999999999</v>
      </c>
      <c r="U598" t="s">
        <v>131</v>
      </c>
      <c r="V598" t="s">
        <v>2690</v>
      </c>
      <c r="W598" t="s">
        <v>2681</v>
      </c>
      <c r="X598" t="s">
        <v>2053</v>
      </c>
    </row>
    <row r="599" spans="2:24" x14ac:dyDescent="0.45">
      <c r="B599" t="s">
        <v>730</v>
      </c>
      <c r="C599">
        <v>2.2343455417638518</v>
      </c>
      <c r="D599">
        <v>3.3000000000000003</v>
      </c>
      <c r="E599">
        <v>0.99982000000000004</v>
      </c>
      <c r="U599" t="s">
        <v>131</v>
      </c>
      <c r="V599" t="s">
        <v>2691</v>
      </c>
      <c r="W599" t="s">
        <v>2681</v>
      </c>
      <c r="X599" t="s">
        <v>2053</v>
      </c>
    </row>
    <row r="600" spans="2:24" x14ac:dyDescent="0.45">
      <c r="B600" t="s">
        <v>731</v>
      </c>
      <c r="C600">
        <v>2.2343455417638518</v>
      </c>
      <c r="D600">
        <v>2.2000000000000002</v>
      </c>
      <c r="E600">
        <v>0.99987999999999999</v>
      </c>
      <c r="U600" t="s">
        <v>131</v>
      </c>
      <c r="V600" t="s">
        <v>2692</v>
      </c>
      <c r="W600" t="s">
        <v>2681</v>
      </c>
      <c r="X600" t="s">
        <v>2053</v>
      </c>
    </row>
    <row r="601" spans="2:24" x14ac:dyDescent="0.45">
      <c r="B601" t="s">
        <v>732</v>
      </c>
      <c r="C601">
        <v>0.49155601918804742</v>
      </c>
      <c r="D601">
        <v>37.400000000000006</v>
      </c>
      <c r="E601">
        <v>0.99795999999999996</v>
      </c>
      <c r="U601" t="s">
        <v>131</v>
      </c>
      <c r="V601" t="s">
        <v>2693</v>
      </c>
      <c r="W601" t="s">
        <v>2681</v>
      </c>
      <c r="X601" t="s">
        <v>2053</v>
      </c>
    </row>
    <row r="602" spans="2:24" x14ac:dyDescent="0.45">
      <c r="B602" t="s">
        <v>733</v>
      </c>
      <c r="C602">
        <v>2.2343455417638518</v>
      </c>
      <c r="D602">
        <v>7.7000000000000011</v>
      </c>
      <c r="E602">
        <v>0.99958000000000002</v>
      </c>
      <c r="U602" t="s">
        <v>131</v>
      </c>
      <c r="V602" t="s">
        <v>2694</v>
      </c>
      <c r="W602" t="s">
        <v>2695</v>
      </c>
      <c r="X602" t="s">
        <v>2053</v>
      </c>
    </row>
    <row r="603" spans="2:24" x14ac:dyDescent="0.45">
      <c r="B603" t="s">
        <v>734</v>
      </c>
      <c r="C603">
        <v>2.2343455417638518</v>
      </c>
      <c r="D603">
        <v>6.6000000000000005</v>
      </c>
      <c r="E603">
        <v>0.99963999999999997</v>
      </c>
      <c r="U603" t="s">
        <v>131</v>
      </c>
      <c r="V603" t="s">
        <v>2696</v>
      </c>
      <c r="W603" t="s">
        <v>2695</v>
      </c>
      <c r="X603" t="s">
        <v>2053</v>
      </c>
    </row>
    <row r="604" spans="2:24" x14ac:dyDescent="0.45">
      <c r="B604" t="s">
        <v>735</v>
      </c>
      <c r="C604">
        <v>2.2343455417638518</v>
      </c>
      <c r="D604">
        <v>2.2000000000000002</v>
      </c>
      <c r="E604">
        <v>0.99987999999999999</v>
      </c>
      <c r="U604" t="s">
        <v>131</v>
      </c>
      <c r="V604" t="s">
        <v>2697</v>
      </c>
      <c r="W604" t="s">
        <v>2695</v>
      </c>
      <c r="X604" t="s">
        <v>2053</v>
      </c>
    </row>
    <row r="605" spans="2:24" x14ac:dyDescent="0.45">
      <c r="B605" t="s">
        <v>736</v>
      </c>
      <c r="C605">
        <v>2.2343455417638518</v>
      </c>
      <c r="D605">
        <v>5.5</v>
      </c>
      <c r="E605">
        <v>0.99970000000000003</v>
      </c>
      <c r="U605" t="s">
        <v>131</v>
      </c>
      <c r="V605" t="s">
        <v>2698</v>
      </c>
      <c r="W605" t="s">
        <v>2695</v>
      </c>
      <c r="X605" t="s">
        <v>2053</v>
      </c>
    </row>
    <row r="606" spans="2:24" x14ac:dyDescent="0.45">
      <c r="B606" t="s">
        <v>737</v>
      </c>
      <c r="C606">
        <v>4.4686910835277036</v>
      </c>
      <c r="D606">
        <v>2.2000000000000002</v>
      </c>
      <c r="E606">
        <v>0.99987999999999999</v>
      </c>
      <c r="U606" t="s">
        <v>131</v>
      </c>
      <c r="V606" t="s">
        <v>2699</v>
      </c>
      <c r="W606" t="s">
        <v>2695</v>
      </c>
      <c r="X606" t="s">
        <v>2053</v>
      </c>
    </row>
    <row r="607" spans="2:24" x14ac:dyDescent="0.45">
      <c r="B607" t="s">
        <v>738</v>
      </c>
      <c r="C607">
        <v>2.2343455417638518</v>
      </c>
      <c r="D607">
        <v>4.4000000000000004</v>
      </c>
      <c r="E607">
        <v>0.99975999999999998</v>
      </c>
      <c r="U607" t="s">
        <v>131</v>
      </c>
      <c r="V607" t="s">
        <v>2700</v>
      </c>
      <c r="W607" t="s">
        <v>2695</v>
      </c>
      <c r="X607" t="s">
        <v>2053</v>
      </c>
    </row>
    <row r="608" spans="2:24" x14ac:dyDescent="0.45">
      <c r="B608" t="s">
        <v>739</v>
      </c>
      <c r="C608">
        <v>2.2343455417638518</v>
      </c>
      <c r="D608">
        <v>3.3000000000000003</v>
      </c>
      <c r="E608">
        <v>0.99982000000000004</v>
      </c>
      <c r="U608" t="s">
        <v>131</v>
      </c>
      <c r="V608" t="s">
        <v>2701</v>
      </c>
      <c r="W608" t="s">
        <v>2695</v>
      </c>
      <c r="X608" t="s">
        <v>2053</v>
      </c>
    </row>
    <row r="609" spans="2:24" x14ac:dyDescent="0.45">
      <c r="B609" t="s">
        <v>740</v>
      </c>
      <c r="C609">
        <v>2.2343455417638518</v>
      </c>
      <c r="D609">
        <v>3.3000000000000003</v>
      </c>
      <c r="E609">
        <v>0.99982000000000004</v>
      </c>
      <c r="U609" t="s">
        <v>131</v>
      </c>
      <c r="V609" t="s">
        <v>2702</v>
      </c>
      <c r="W609" t="s">
        <v>2695</v>
      </c>
      <c r="X609" t="s">
        <v>2053</v>
      </c>
    </row>
    <row r="610" spans="2:24" x14ac:dyDescent="0.45">
      <c r="B610" t="s">
        <v>741</v>
      </c>
      <c r="C610">
        <v>2.2343455417638518</v>
      </c>
      <c r="D610">
        <v>7.7000000000000011</v>
      </c>
      <c r="E610">
        <v>0.99958000000000002</v>
      </c>
      <c r="U610" t="s">
        <v>131</v>
      </c>
      <c r="V610" t="s">
        <v>2703</v>
      </c>
      <c r="W610" t="s">
        <v>2695</v>
      </c>
      <c r="X610" t="s">
        <v>2053</v>
      </c>
    </row>
    <row r="611" spans="2:24" x14ac:dyDescent="0.45">
      <c r="B611" t="s">
        <v>742</v>
      </c>
      <c r="C611">
        <v>4.4686910835277036</v>
      </c>
      <c r="D611">
        <v>2.2000000000000002</v>
      </c>
      <c r="E611">
        <v>0.99987999999999999</v>
      </c>
      <c r="U611" t="s">
        <v>131</v>
      </c>
      <c r="V611" t="s">
        <v>2704</v>
      </c>
      <c r="W611" t="s">
        <v>2695</v>
      </c>
      <c r="X611" t="s">
        <v>2053</v>
      </c>
    </row>
    <row r="612" spans="2:24" x14ac:dyDescent="0.45">
      <c r="B612" t="s">
        <v>743</v>
      </c>
      <c r="C612">
        <v>0.49155601918804742</v>
      </c>
      <c r="D612">
        <v>13.200000000000001</v>
      </c>
      <c r="E612">
        <v>0.99927999999999995</v>
      </c>
      <c r="U612" t="s">
        <v>131</v>
      </c>
      <c r="V612" t="s">
        <v>2705</v>
      </c>
      <c r="W612" t="s">
        <v>2695</v>
      </c>
      <c r="X612" t="s">
        <v>2053</v>
      </c>
    </row>
    <row r="613" spans="2:24" x14ac:dyDescent="0.45">
      <c r="B613" t="s">
        <v>744</v>
      </c>
      <c r="C613">
        <v>2.2343455417638518</v>
      </c>
      <c r="D613">
        <v>4.4000000000000004</v>
      </c>
      <c r="E613">
        <v>0.99975999999999998</v>
      </c>
      <c r="U613" t="s">
        <v>131</v>
      </c>
      <c r="V613" t="s">
        <v>2706</v>
      </c>
      <c r="W613" t="s">
        <v>2695</v>
      </c>
      <c r="X613" t="s">
        <v>2053</v>
      </c>
    </row>
    <row r="614" spans="2:24" x14ac:dyDescent="0.45">
      <c r="B614" t="s">
        <v>745</v>
      </c>
      <c r="C614">
        <v>2.2343455417638518</v>
      </c>
      <c r="D614">
        <v>2.2000000000000002</v>
      </c>
      <c r="E614">
        <v>0.99987999999999999</v>
      </c>
      <c r="U614" t="s">
        <v>131</v>
      </c>
      <c r="V614" t="s">
        <v>2707</v>
      </c>
      <c r="W614" t="s">
        <v>2695</v>
      </c>
      <c r="X614" t="s">
        <v>2053</v>
      </c>
    </row>
    <row r="615" spans="2:24" x14ac:dyDescent="0.45">
      <c r="B615" t="s">
        <v>746</v>
      </c>
      <c r="C615">
        <v>4.4686910835277036</v>
      </c>
      <c r="D615">
        <v>1.1000000000000001</v>
      </c>
      <c r="E615">
        <v>0.99994000000000005</v>
      </c>
      <c r="U615" t="s">
        <v>131</v>
      </c>
      <c r="V615" t="s">
        <v>2708</v>
      </c>
      <c r="W615" t="s">
        <v>2709</v>
      </c>
      <c r="X615" t="s">
        <v>2053</v>
      </c>
    </row>
    <row r="616" spans="2:24" x14ac:dyDescent="0.45">
      <c r="B616" t="s">
        <v>747</v>
      </c>
      <c r="C616">
        <v>4.4686910835277036</v>
      </c>
      <c r="D616">
        <v>1.1000000000000001</v>
      </c>
      <c r="E616">
        <v>0.99994000000000005</v>
      </c>
      <c r="U616" t="s">
        <v>131</v>
      </c>
      <c r="V616" t="s">
        <v>2710</v>
      </c>
      <c r="W616" t="s">
        <v>2709</v>
      </c>
      <c r="X616" t="s">
        <v>2053</v>
      </c>
    </row>
    <row r="617" spans="2:24" x14ac:dyDescent="0.45">
      <c r="B617" t="s">
        <v>748</v>
      </c>
      <c r="C617">
        <v>4.4686910835277036</v>
      </c>
      <c r="D617">
        <v>2.2000000000000002</v>
      </c>
      <c r="E617">
        <v>0.99987999999999999</v>
      </c>
      <c r="U617" t="s">
        <v>131</v>
      </c>
      <c r="V617" t="s">
        <v>2711</v>
      </c>
      <c r="W617" t="s">
        <v>2709</v>
      </c>
      <c r="X617" t="s">
        <v>2053</v>
      </c>
    </row>
    <row r="618" spans="2:24" x14ac:dyDescent="0.45">
      <c r="B618" t="s">
        <v>749</v>
      </c>
      <c r="C618">
        <v>4.4686910835277036</v>
      </c>
      <c r="D618">
        <v>5.5</v>
      </c>
      <c r="E618">
        <v>0.99970000000000003</v>
      </c>
      <c r="U618" t="s">
        <v>131</v>
      </c>
      <c r="V618" t="s">
        <v>2712</v>
      </c>
      <c r="W618" t="s">
        <v>2709</v>
      </c>
      <c r="X618" t="s">
        <v>2053</v>
      </c>
    </row>
    <row r="619" spans="2:24" x14ac:dyDescent="0.45">
      <c r="B619" t="s">
        <v>750</v>
      </c>
      <c r="C619">
        <v>4.4686910835277036</v>
      </c>
      <c r="D619">
        <v>5.5</v>
      </c>
      <c r="E619">
        <v>0.99970000000000003</v>
      </c>
      <c r="U619" t="s">
        <v>131</v>
      </c>
      <c r="V619" t="s">
        <v>2713</v>
      </c>
      <c r="W619" t="s">
        <v>2709</v>
      </c>
      <c r="X619" t="s">
        <v>2053</v>
      </c>
    </row>
    <row r="620" spans="2:24" x14ac:dyDescent="0.45">
      <c r="B620" t="s">
        <v>751</v>
      </c>
      <c r="C620">
        <v>2.2343455417638518</v>
      </c>
      <c r="D620">
        <v>2.2000000000000002</v>
      </c>
      <c r="E620">
        <v>0.99987999999999999</v>
      </c>
      <c r="U620" t="s">
        <v>131</v>
      </c>
      <c r="V620" t="s">
        <v>2714</v>
      </c>
      <c r="W620" t="s">
        <v>2709</v>
      </c>
      <c r="X620" t="s">
        <v>2053</v>
      </c>
    </row>
    <row r="621" spans="2:24" x14ac:dyDescent="0.45">
      <c r="B621" t="s">
        <v>752</v>
      </c>
      <c r="C621">
        <v>4.4686910835277036</v>
      </c>
      <c r="D621">
        <v>4.4000000000000004</v>
      </c>
      <c r="E621">
        <v>0.99975999999999998</v>
      </c>
      <c r="U621" t="s">
        <v>131</v>
      </c>
      <c r="V621" t="s">
        <v>2715</v>
      </c>
      <c r="W621" t="s">
        <v>2709</v>
      </c>
      <c r="X621" t="s">
        <v>2053</v>
      </c>
    </row>
    <row r="622" spans="2:24" x14ac:dyDescent="0.45">
      <c r="B622" t="s">
        <v>753</v>
      </c>
      <c r="C622">
        <v>4.4686910835277036</v>
      </c>
      <c r="D622">
        <v>2.2000000000000002</v>
      </c>
      <c r="E622">
        <v>0.99987999999999999</v>
      </c>
      <c r="U622" t="s">
        <v>131</v>
      </c>
      <c r="V622" t="s">
        <v>2716</v>
      </c>
      <c r="W622" t="s">
        <v>2709</v>
      </c>
      <c r="X622" t="s">
        <v>2053</v>
      </c>
    </row>
    <row r="623" spans="2:24" x14ac:dyDescent="0.45">
      <c r="B623" t="s">
        <v>754</v>
      </c>
      <c r="C623">
        <v>2.2343455417638518</v>
      </c>
      <c r="D623">
        <v>2.2000000000000002</v>
      </c>
      <c r="E623">
        <v>0.99987999999999999</v>
      </c>
      <c r="U623" t="s">
        <v>131</v>
      </c>
      <c r="V623" t="s">
        <v>2717</v>
      </c>
      <c r="W623" t="s">
        <v>2709</v>
      </c>
      <c r="X623" t="s">
        <v>2053</v>
      </c>
    </row>
    <row r="624" spans="2:24" x14ac:dyDescent="0.45">
      <c r="B624" t="s">
        <v>755</v>
      </c>
      <c r="C624">
        <v>4.4686910835277036</v>
      </c>
      <c r="D624">
        <v>2.2000000000000002</v>
      </c>
      <c r="E624">
        <v>0.99987999999999999</v>
      </c>
      <c r="U624" t="s">
        <v>131</v>
      </c>
      <c r="V624" t="s">
        <v>2718</v>
      </c>
      <c r="W624" t="s">
        <v>2709</v>
      </c>
      <c r="X624" t="s">
        <v>2053</v>
      </c>
    </row>
    <row r="625" spans="2:24" x14ac:dyDescent="0.45">
      <c r="B625" t="s">
        <v>756</v>
      </c>
      <c r="C625">
        <v>4.4686910835277036</v>
      </c>
      <c r="D625">
        <v>5.5</v>
      </c>
      <c r="E625">
        <v>0.99970000000000003</v>
      </c>
      <c r="U625" t="s">
        <v>131</v>
      </c>
      <c r="V625" t="s">
        <v>2719</v>
      </c>
      <c r="W625" t="s">
        <v>2709</v>
      </c>
      <c r="X625" t="s">
        <v>2053</v>
      </c>
    </row>
    <row r="626" spans="2:24" x14ac:dyDescent="0.45">
      <c r="B626" t="s">
        <v>757</v>
      </c>
      <c r="C626">
        <v>4.4686910835277036</v>
      </c>
      <c r="D626">
        <v>2.2000000000000002</v>
      </c>
      <c r="E626">
        <v>0.99987999999999999</v>
      </c>
      <c r="U626" t="s">
        <v>131</v>
      </c>
      <c r="V626" t="s">
        <v>2720</v>
      </c>
      <c r="W626" t="s">
        <v>2709</v>
      </c>
      <c r="X626" t="s">
        <v>2053</v>
      </c>
    </row>
    <row r="627" spans="2:24" x14ac:dyDescent="0.45">
      <c r="B627" t="s">
        <v>758</v>
      </c>
      <c r="C627">
        <v>4.4686910835277036</v>
      </c>
      <c r="D627">
        <v>3.3000000000000003</v>
      </c>
      <c r="E627">
        <v>0.99982000000000004</v>
      </c>
      <c r="U627" t="s">
        <v>131</v>
      </c>
      <c r="V627" t="s">
        <v>2721</v>
      </c>
      <c r="W627" t="s">
        <v>2709</v>
      </c>
      <c r="X627" t="s">
        <v>2053</v>
      </c>
    </row>
    <row r="628" spans="2:24" x14ac:dyDescent="0.45">
      <c r="B628" t="s">
        <v>759</v>
      </c>
      <c r="C628">
        <v>4.4686910835277036</v>
      </c>
      <c r="D628">
        <v>2.2000000000000002</v>
      </c>
      <c r="E628">
        <v>0.99987999999999999</v>
      </c>
      <c r="U628" t="s">
        <v>131</v>
      </c>
      <c r="V628" t="s">
        <v>2722</v>
      </c>
      <c r="W628" t="s">
        <v>2723</v>
      </c>
      <c r="X628" t="s">
        <v>2053</v>
      </c>
    </row>
    <row r="629" spans="2:24" x14ac:dyDescent="0.45">
      <c r="B629" t="s">
        <v>760</v>
      </c>
      <c r="C629">
        <v>4.4686910835277036</v>
      </c>
      <c r="D629">
        <v>4.4000000000000004</v>
      </c>
      <c r="E629">
        <v>0.99975999999999998</v>
      </c>
      <c r="U629" t="s">
        <v>131</v>
      </c>
      <c r="V629" t="s">
        <v>2724</v>
      </c>
      <c r="W629" t="s">
        <v>2723</v>
      </c>
      <c r="X629" t="s">
        <v>2053</v>
      </c>
    </row>
    <row r="630" spans="2:24" x14ac:dyDescent="0.45">
      <c r="B630" t="s">
        <v>761</v>
      </c>
      <c r="C630">
        <v>4.4686910835277036</v>
      </c>
      <c r="D630">
        <v>6.6000000000000005</v>
      </c>
      <c r="E630">
        <v>0.99963999999999997</v>
      </c>
      <c r="U630" t="s">
        <v>131</v>
      </c>
      <c r="V630" t="s">
        <v>2725</v>
      </c>
      <c r="W630" t="s">
        <v>2723</v>
      </c>
      <c r="X630" t="s">
        <v>2053</v>
      </c>
    </row>
    <row r="631" spans="2:24" x14ac:dyDescent="0.45">
      <c r="B631" t="s">
        <v>762</v>
      </c>
      <c r="C631">
        <v>4.4686910835277036</v>
      </c>
      <c r="D631">
        <v>3.3000000000000003</v>
      </c>
      <c r="E631">
        <v>0.99982000000000004</v>
      </c>
      <c r="U631" t="s">
        <v>131</v>
      </c>
      <c r="V631" t="s">
        <v>2726</v>
      </c>
      <c r="W631" t="s">
        <v>2727</v>
      </c>
      <c r="X631" t="s">
        <v>2053</v>
      </c>
    </row>
    <row r="632" spans="2:24" x14ac:dyDescent="0.45">
      <c r="B632" t="s">
        <v>763</v>
      </c>
      <c r="C632">
        <v>4.4686910835277036</v>
      </c>
      <c r="D632">
        <v>3.3000000000000003</v>
      </c>
      <c r="E632">
        <v>0.99982000000000004</v>
      </c>
      <c r="U632" t="s">
        <v>131</v>
      </c>
      <c r="V632" t="s">
        <v>2728</v>
      </c>
      <c r="W632" t="s">
        <v>2727</v>
      </c>
      <c r="X632" t="s">
        <v>2053</v>
      </c>
    </row>
    <row r="633" spans="2:24" x14ac:dyDescent="0.45">
      <c r="B633" t="s">
        <v>764</v>
      </c>
      <c r="C633">
        <v>4.4686910835277036</v>
      </c>
      <c r="D633">
        <v>12.100000000000001</v>
      </c>
      <c r="E633">
        <v>0.99934000000000001</v>
      </c>
      <c r="U633" t="s">
        <v>131</v>
      </c>
      <c r="V633" t="s">
        <v>2729</v>
      </c>
      <c r="W633" t="s">
        <v>2727</v>
      </c>
      <c r="X633" t="s">
        <v>2053</v>
      </c>
    </row>
    <row r="634" spans="2:24" x14ac:dyDescent="0.45">
      <c r="B634" t="s">
        <v>765</v>
      </c>
      <c r="C634">
        <v>4.4686910835277036</v>
      </c>
      <c r="D634">
        <v>6.6000000000000005</v>
      </c>
      <c r="E634">
        <v>0.99963999999999997</v>
      </c>
      <c r="U634" t="s">
        <v>131</v>
      </c>
      <c r="V634" t="s">
        <v>2730</v>
      </c>
      <c r="W634" t="s">
        <v>2731</v>
      </c>
      <c r="X634" t="s">
        <v>2053</v>
      </c>
    </row>
    <row r="635" spans="2:24" x14ac:dyDescent="0.45">
      <c r="B635" t="s">
        <v>766</v>
      </c>
      <c r="C635">
        <v>2.2343455417638518</v>
      </c>
      <c r="D635">
        <v>3.3000000000000003</v>
      </c>
      <c r="E635">
        <v>0.99982000000000004</v>
      </c>
      <c r="U635" t="s">
        <v>131</v>
      </c>
      <c r="V635" t="s">
        <v>2732</v>
      </c>
      <c r="W635" t="s">
        <v>2731</v>
      </c>
      <c r="X635" t="s">
        <v>2053</v>
      </c>
    </row>
    <row r="636" spans="2:24" x14ac:dyDescent="0.45">
      <c r="B636" t="s">
        <v>767</v>
      </c>
      <c r="C636">
        <v>4.4686910835277036</v>
      </c>
      <c r="D636">
        <v>3.3000000000000003</v>
      </c>
      <c r="E636">
        <v>0.99982000000000004</v>
      </c>
      <c r="U636" t="s">
        <v>131</v>
      </c>
      <c r="V636" t="s">
        <v>2733</v>
      </c>
      <c r="W636" t="s">
        <v>2731</v>
      </c>
      <c r="X636" t="s">
        <v>2053</v>
      </c>
    </row>
    <row r="637" spans="2:24" x14ac:dyDescent="0.45">
      <c r="B637" t="s">
        <v>768</v>
      </c>
      <c r="C637">
        <v>11.17172770881926</v>
      </c>
      <c r="D637">
        <v>3.3000000000000003</v>
      </c>
      <c r="E637">
        <v>0.99982000000000004</v>
      </c>
      <c r="U637" t="s">
        <v>131</v>
      </c>
      <c r="V637" t="s">
        <v>2734</v>
      </c>
      <c r="W637" t="s">
        <v>2735</v>
      </c>
      <c r="X637" t="s">
        <v>2053</v>
      </c>
    </row>
    <row r="638" spans="2:24" x14ac:dyDescent="0.45">
      <c r="B638" t="s">
        <v>769</v>
      </c>
      <c r="C638">
        <v>4.4686910835277036</v>
      </c>
      <c r="D638">
        <v>2.2000000000000002</v>
      </c>
      <c r="E638">
        <v>0.99987999999999999</v>
      </c>
      <c r="U638" t="s">
        <v>131</v>
      </c>
      <c r="V638" t="s">
        <v>2736</v>
      </c>
      <c r="W638" t="s">
        <v>2735</v>
      </c>
      <c r="X638" t="s">
        <v>2053</v>
      </c>
    </row>
    <row r="639" spans="2:24" x14ac:dyDescent="0.45">
      <c r="B639" t="s">
        <v>770</v>
      </c>
      <c r="C639">
        <v>2.2343455417638518</v>
      </c>
      <c r="D639">
        <v>3.3000000000000003</v>
      </c>
      <c r="E639">
        <v>0.99982000000000004</v>
      </c>
      <c r="U639" t="s">
        <v>131</v>
      </c>
      <c r="V639" t="s">
        <v>2737</v>
      </c>
      <c r="W639" t="s">
        <v>2735</v>
      </c>
      <c r="X639" t="s">
        <v>2053</v>
      </c>
    </row>
    <row r="640" spans="2:24" x14ac:dyDescent="0.45">
      <c r="B640" t="s">
        <v>771</v>
      </c>
      <c r="C640">
        <v>2.2343455417638518</v>
      </c>
      <c r="D640">
        <v>7.7000000000000011</v>
      </c>
      <c r="E640">
        <v>0.99958000000000002</v>
      </c>
      <c r="U640" t="s">
        <v>131</v>
      </c>
      <c r="V640" t="s">
        <v>2738</v>
      </c>
      <c r="W640" t="s">
        <v>2739</v>
      </c>
      <c r="X640" t="s">
        <v>2053</v>
      </c>
    </row>
    <row r="641" spans="2:24" x14ac:dyDescent="0.45">
      <c r="B641" t="s">
        <v>772</v>
      </c>
      <c r="C641">
        <v>4.4686910835277036</v>
      </c>
      <c r="D641">
        <v>2.2000000000000002</v>
      </c>
      <c r="E641">
        <v>0.99987999999999999</v>
      </c>
      <c r="U641" t="s">
        <v>131</v>
      </c>
      <c r="V641" t="s">
        <v>2740</v>
      </c>
      <c r="W641" t="s">
        <v>2739</v>
      </c>
      <c r="X641" t="s">
        <v>2053</v>
      </c>
    </row>
    <row r="642" spans="2:24" x14ac:dyDescent="0.45">
      <c r="B642" t="s">
        <v>773</v>
      </c>
      <c r="C642">
        <v>2.2343455417638518</v>
      </c>
      <c r="D642">
        <v>5.5</v>
      </c>
      <c r="E642">
        <v>0.99970000000000003</v>
      </c>
      <c r="U642" t="s">
        <v>131</v>
      </c>
      <c r="V642" t="s">
        <v>2741</v>
      </c>
      <c r="W642" t="s">
        <v>2739</v>
      </c>
      <c r="X642" t="s">
        <v>2053</v>
      </c>
    </row>
    <row r="643" spans="2:24" x14ac:dyDescent="0.45">
      <c r="B643" t="s">
        <v>774</v>
      </c>
      <c r="C643">
        <v>4.4686910835277036</v>
      </c>
      <c r="D643">
        <v>5.5</v>
      </c>
      <c r="E643">
        <v>0.99970000000000003</v>
      </c>
      <c r="U643" t="s">
        <v>131</v>
      </c>
      <c r="V643" t="s">
        <v>2742</v>
      </c>
      <c r="W643" t="s">
        <v>2743</v>
      </c>
      <c r="X643" t="s">
        <v>2053</v>
      </c>
    </row>
    <row r="644" spans="2:24" x14ac:dyDescent="0.45">
      <c r="B644" t="s">
        <v>775</v>
      </c>
      <c r="C644">
        <v>0.98311203837609484</v>
      </c>
      <c r="D644">
        <v>105.60000000000001</v>
      </c>
      <c r="E644">
        <v>0.99424000000000001</v>
      </c>
      <c r="U644" t="s">
        <v>131</v>
      </c>
      <c r="V644" t="s">
        <v>2744</v>
      </c>
      <c r="W644" t="s">
        <v>2743</v>
      </c>
      <c r="X644" t="s">
        <v>2053</v>
      </c>
    </row>
    <row r="645" spans="2:24" x14ac:dyDescent="0.45">
      <c r="B645" t="s">
        <v>776</v>
      </c>
      <c r="C645">
        <v>4.4686910835277036</v>
      </c>
      <c r="D645">
        <v>11</v>
      </c>
      <c r="E645">
        <v>0.99939999999999996</v>
      </c>
      <c r="U645" t="s">
        <v>131</v>
      </c>
      <c r="V645" t="s">
        <v>2745</v>
      </c>
      <c r="W645" t="s">
        <v>2743</v>
      </c>
      <c r="X645" t="s">
        <v>2053</v>
      </c>
    </row>
    <row r="646" spans="2:24" x14ac:dyDescent="0.45">
      <c r="B646" t="s">
        <v>777</v>
      </c>
      <c r="C646">
        <v>4.4686910835277036</v>
      </c>
      <c r="D646">
        <v>6.6000000000000005</v>
      </c>
      <c r="E646">
        <v>0.99963999999999997</v>
      </c>
      <c r="U646" t="s">
        <v>131</v>
      </c>
      <c r="V646" t="s">
        <v>2746</v>
      </c>
      <c r="W646" t="s">
        <v>2747</v>
      </c>
      <c r="X646" t="s">
        <v>2053</v>
      </c>
    </row>
    <row r="647" spans="2:24" x14ac:dyDescent="0.45">
      <c r="B647" t="s">
        <v>778</v>
      </c>
      <c r="C647">
        <v>4.4686910835277036</v>
      </c>
      <c r="D647">
        <v>3.3000000000000003</v>
      </c>
      <c r="E647">
        <v>0.99982000000000004</v>
      </c>
      <c r="U647" t="s">
        <v>131</v>
      </c>
      <c r="V647" t="s">
        <v>2748</v>
      </c>
      <c r="W647" t="s">
        <v>2747</v>
      </c>
      <c r="X647" t="s">
        <v>2053</v>
      </c>
    </row>
    <row r="648" spans="2:24" x14ac:dyDescent="0.45">
      <c r="B648" t="s">
        <v>779</v>
      </c>
      <c r="C648">
        <v>4.4686910835277036</v>
      </c>
      <c r="D648">
        <v>1.1000000000000001</v>
      </c>
      <c r="E648">
        <v>0.99994000000000005</v>
      </c>
      <c r="U648" t="s">
        <v>131</v>
      </c>
      <c r="V648" t="s">
        <v>2749</v>
      </c>
      <c r="W648" t="s">
        <v>2747</v>
      </c>
      <c r="X648" t="s">
        <v>2053</v>
      </c>
    </row>
    <row r="649" spans="2:24" x14ac:dyDescent="0.45">
      <c r="B649" t="s">
        <v>780</v>
      </c>
      <c r="C649">
        <v>4.4686910835277036</v>
      </c>
      <c r="D649">
        <v>4.4000000000000004</v>
      </c>
      <c r="E649">
        <v>0.99975999999999998</v>
      </c>
      <c r="U649" t="s">
        <v>131</v>
      </c>
      <c r="V649" t="s">
        <v>2750</v>
      </c>
      <c r="W649" t="s">
        <v>2751</v>
      </c>
      <c r="X649" t="s">
        <v>2053</v>
      </c>
    </row>
    <row r="650" spans="2:24" x14ac:dyDescent="0.45">
      <c r="B650" t="s">
        <v>781</v>
      </c>
      <c r="C650">
        <v>4.4686910835277036</v>
      </c>
      <c r="D650">
        <v>6.6000000000000005</v>
      </c>
      <c r="E650">
        <v>0.99963999999999997</v>
      </c>
      <c r="U650" t="s">
        <v>131</v>
      </c>
      <c r="V650" t="s">
        <v>2752</v>
      </c>
      <c r="W650" t="s">
        <v>2751</v>
      </c>
      <c r="X650" t="s">
        <v>2053</v>
      </c>
    </row>
    <row r="651" spans="2:24" x14ac:dyDescent="0.45">
      <c r="B651" t="s">
        <v>782</v>
      </c>
      <c r="C651">
        <v>4.4686910835277036</v>
      </c>
      <c r="D651">
        <v>4.4000000000000004</v>
      </c>
      <c r="E651">
        <v>0.99975999999999998</v>
      </c>
      <c r="U651" t="s">
        <v>131</v>
      </c>
      <c r="V651" t="s">
        <v>2753</v>
      </c>
      <c r="W651" t="s">
        <v>2751</v>
      </c>
      <c r="X651" t="s">
        <v>2053</v>
      </c>
    </row>
    <row r="652" spans="2:24" x14ac:dyDescent="0.45">
      <c r="B652" t="s">
        <v>783</v>
      </c>
      <c r="C652">
        <v>4.4686910835277036</v>
      </c>
      <c r="D652">
        <v>2.2000000000000002</v>
      </c>
      <c r="E652">
        <v>0.99987999999999999</v>
      </c>
      <c r="U652" t="s">
        <v>131</v>
      </c>
      <c r="V652" t="s">
        <v>2754</v>
      </c>
      <c r="W652" t="s">
        <v>2755</v>
      </c>
      <c r="X652" t="s">
        <v>2053</v>
      </c>
    </row>
    <row r="653" spans="2:24" x14ac:dyDescent="0.45">
      <c r="B653" t="s">
        <v>784</v>
      </c>
      <c r="C653">
        <v>8.9373821670554072</v>
      </c>
      <c r="D653">
        <v>1.1000000000000001</v>
      </c>
      <c r="E653">
        <v>0.99994000000000005</v>
      </c>
      <c r="U653" t="s">
        <v>131</v>
      </c>
      <c r="V653" t="s">
        <v>2756</v>
      </c>
      <c r="W653" t="s">
        <v>2755</v>
      </c>
      <c r="X653" t="s">
        <v>2053</v>
      </c>
    </row>
    <row r="654" spans="2:24" x14ac:dyDescent="0.45">
      <c r="B654" t="s">
        <v>785</v>
      </c>
      <c r="C654">
        <v>4.4686910835277036</v>
      </c>
      <c r="D654">
        <v>4.4000000000000004</v>
      </c>
      <c r="E654">
        <v>0.99975999999999998</v>
      </c>
      <c r="U654" t="s">
        <v>131</v>
      </c>
      <c r="V654" t="s">
        <v>2757</v>
      </c>
      <c r="W654" t="s">
        <v>2755</v>
      </c>
      <c r="X654" t="s">
        <v>2053</v>
      </c>
    </row>
    <row r="655" spans="2:24" x14ac:dyDescent="0.45">
      <c r="B655" t="s">
        <v>786</v>
      </c>
      <c r="C655">
        <v>1.9662240767521897</v>
      </c>
      <c r="D655">
        <v>13.200000000000001</v>
      </c>
      <c r="E655">
        <v>0.99927999999999995</v>
      </c>
      <c r="U655" t="s">
        <v>131</v>
      </c>
      <c r="V655" t="s">
        <v>2758</v>
      </c>
      <c r="W655" t="s">
        <v>2759</v>
      </c>
      <c r="X655" t="s">
        <v>2053</v>
      </c>
    </row>
    <row r="656" spans="2:24" x14ac:dyDescent="0.45">
      <c r="B656" t="s">
        <v>787</v>
      </c>
      <c r="C656">
        <v>8.9373821670554072</v>
      </c>
      <c r="D656">
        <v>3.3000000000000003</v>
      </c>
      <c r="E656">
        <v>0.99982000000000004</v>
      </c>
      <c r="U656" t="s">
        <v>131</v>
      </c>
      <c r="V656" t="s">
        <v>2760</v>
      </c>
      <c r="W656" t="s">
        <v>2759</v>
      </c>
      <c r="X656" t="s">
        <v>2053</v>
      </c>
    </row>
    <row r="657" spans="2:24" x14ac:dyDescent="0.45">
      <c r="B657" t="s">
        <v>788</v>
      </c>
      <c r="C657">
        <v>4.4686910835277036</v>
      </c>
      <c r="D657">
        <v>8.8000000000000007</v>
      </c>
      <c r="E657">
        <v>0.99951999999999996</v>
      </c>
      <c r="U657" t="s">
        <v>131</v>
      </c>
      <c r="V657" t="s">
        <v>2761</v>
      </c>
      <c r="W657" t="s">
        <v>2759</v>
      </c>
      <c r="X657" t="s">
        <v>2053</v>
      </c>
    </row>
    <row r="658" spans="2:24" x14ac:dyDescent="0.45">
      <c r="B658" t="s">
        <v>789</v>
      </c>
      <c r="C658">
        <v>8.9373821670554072</v>
      </c>
      <c r="D658">
        <v>2.2000000000000002</v>
      </c>
      <c r="E658">
        <v>0.99987999999999999</v>
      </c>
      <c r="U658" t="s">
        <v>131</v>
      </c>
      <c r="V658" t="s">
        <v>2762</v>
      </c>
      <c r="W658" t="s">
        <v>2763</v>
      </c>
      <c r="X658" t="s">
        <v>2053</v>
      </c>
    </row>
    <row r="659" spans="2:24" x14ac:dyDescent="0.45">
      <c r="B659" t="s">
        <v>790</v>
      </c>
      <c r="C659">
        <v>4.4686910835277036</v>
      </c>
      <c r="D659">
        <v>6.6000000000000005</v>
      </c>
      <c r="E659">
        <v>0.99963999999999997</v>
      </c>
      <c r="U659" t="s">
        <v>131</v>
      </c>
      <c r="V659" t="s">
        <v>2764</v>
      </c>
      <c r="W659" t="s">
        <v>2763</v>
      </c>
      <c r="X659" t="s">
        <v>2053</v>
      </c>
    </row>
    <row r="660" spans="2:24" x14ac:dyDescent="0.45">
      <c r="B660" t="s">
        <v>791</v>
      </c>
      <c r="C660">
        <v>0.98311203837609484</v>
      </c>
      <c r="D660">
        <v>23.1</v>
      </c>
      <c r="E660">
        <v>0.99873999999999996</v>
      </c>
      <c r="U660" t="s">
        <v>131</v>
      </c>
      <c r="V660" t="s">
        <v>2765</v>
      </c>
      <c r="W660" t="s">
        <v>2763</v>
      </c>
      <c r="X660" t="s">
        <v>2053</v>
      </c>
    </row>
    <row r="661" spans="2:24" x14ac:dyDescent="0.45">
      <c r="B661" t="s">
        <v>792</v>
      </c>
      <c r="C661">
        <v>4.4686910835277036</v>
      </c>
      <c r="D661">
        <v>3.3000000000000003</v>
      </c>
      <c r="E661">
        <v>0.99982000000000004</v>
      </c>
      <c r="U661" t="s">
        <v>131</v>
      </c>
      <c r="V661" t="s">
        <v>2766</v>
      </c>
      <c r="W661" t="s">
        <v>2767</v>
      </c>
      <c r="X661" t="s">
        <v>2053</v>
      </c>
    </row>
    <row r="662" spans="2:24" x14ac:dyDescent="0.45">
      <c r="B662" t="s">
        <v>793</v>
      </c>
      <c r="C662">
        <v>4.4686910835277036</v>
      </c>
      <c r="D662">
        <v>16.5</v>
      </c>
      <c r="E662">
        <v>0.99909999999999999</v>
      </c>
      <c r="U662" t="s">
        <v>131</v>
      </c>
      <c r="V662" t="s">
        <v>2768</v>
      </c>
      <c r="W662" t="s">
        <v>2767</v>
      </c>
      <c r="X662" t="s">
        <v>2053</v>
      </c>
    </row>
    <row r="663" spans="2:24" x14ac:dyDescent="0.45">
      <c r="B663" t="s">
        <v>794</v>
      </c>
      <c r="C663">
        <v>4.4686910835277036</v>
      </c>
      <c r="D663">
        <v>2.2000000000000002</v>
      </c>
      <c r="E663">
        <v>0.99987999999999999</v>
      </c>
      <c r="U663" t="s">
        <v>131</v>
      </c>
      <c r="V663" t="s">
        <v>2769</v>
      </c>
      <c r="W663" t="s">
        <v>2767</v>
      </c>
      <c r="X663" t="s">
        <v>2053</v>
      </c>
    </row>
    <row r="664" spans="2:24" x14ac:dyDescent="0.45">
      <c r="B664" t="s">
        <v>795</v>
      </c>
      <c r="C664">
        <v>4.4686910835277036</v>
      </c>
      <c r="D664">
        <v>2.2000000000000002</v>
      </c>
      <c r="E664">
        <v>0.99987999999999999</v>
      </c>
      <c r="U664" t="s">
        <v>131</v>
      </c>
      <c r="V664" t="s">
        <v>2770</v>
      </c>
      <c r="W664" t="s">
        <v>2771</v>
      </c>
      <c r="X664" t="s">
        <v>2053</v>
      </c>
    </row>
    <row r="665" spans="2:24" x14ac:dyDescent="0.45">
      <c r="B665" t="s">
        <v>796</v>
      </c>
      <c r="C665">
        <v>4.4686910835277036</v>
      </c>
      <c r="D665">
        <v>3.3000000000000003</v>
      </c>
      <c r="E665">
        <v>0.99982000000000004</v>
      </c>
      <c r="U665" t="s">
        <v>131</v>
      </c>
      <c r="V665" t="s">
        <v>2772</v>
      </c>
      <c r="W665" t="s">
        <v>2771</v>
      </c>
      <c r="X665" t="s">
        <v>2053</v>
      </c>
    </row>
    <row r="666" spans="2:24" x14ac:dyDescent="0.45">
      <c r="B666" t="s">
        <v>797</v>
      </c>
      <c r="C666">
        <v>0.98311203837609484</v>
      </c>
      <c r="D666">
        <v>56.1</v>
      </c>
      <c r="E666">
        <v>0.99694000000000005</v>
      </c>
      <c r="U666" t="s">
        <v>131</v>
      </c>
      <c r="V666" t="s">
        <v>2773</v>
      </c>
      <c r="W666" t="s">
        <v>2771</v>
      </c>
      <c r="X666" t="s">
        <v>2053</v>
      </c>
    </row>
    <row r="667" spans="2:24" x14ac:dyDescent="0.45">
      <c r="B667" t="s">
        <v>798</v>
      </c>
      <c r="C667">
        <v>0.49155601918804742</v>
      </c>
      <c r="D667">
        <v>12.100000000000001</v>
      </c>
      <c r="E667">
        <v>0.99934000000000001</v>
      </c>
      <c r="U667" t="s">
        <v>131</v>
      </c>
      <c r="V667" t="s">
        <v>2774</v>
      </c>
      <c r="W667" t="s">
        <v>2775</v>
      </c>
      <c r="X667" t="s">
        <v>2053</v>
      </c>
    </row>
    <row r="668" spans="2:24" x14ac:dyDescent="0.45">
      <c r="B668" t="s">
        <v>799</v>
      </c>
      <c r="C668">
        <v>0.98311203837609484</v>
      </c>
      <c r="D668">
        <v>4.4000000000000004</v>
      </c>
      <c r="E668">
        <v>0.99975999999999998</v>
      </c>
      <c r="U668" t="s">
        <v>131</v>
      </c>
      <c r="V668" t="s">
        <v>2776</v>
      </c>
      <c r="W668" t="s">
        <v>2775</v>
      </c>
      <c r="X668" t="s">
        <v>2053</v>
      </c>
    </row>
    <row r="669" spans="2:24" x14ac:dyDescent="0.45">
      <c r="B669" t="s">
        <v>800</v>
      </c>
      <c r="C669">
        <v>2.2343455417638518</v>
      </c>
      <c r="D669">
        <v>2.2000000000000002</v>
      </c>
      <c r="E669">
        <v>0.99987999999999999</v>
      </c>
      <c r="U669" t="s">
        <v>131</v>
      </c>
      <c r="V669" t="s">
        <v>2777</v>
      </c>
      <c r="W669" t="s">
        <v>2775</v>
      </c>
      <c r="X669" t="s">
        <v>2053</v>
      </c>
    </row>
    <row r="670" spans="2:24" x14ac:dyDescent="0.45">
      <c r="B670" t="s">
        <v>801</v>
      </c>
      <c r="C670">
        <v>4.4686910835277036</v>
      </c>
      <c r="D670">
        <v>1.1000000000000001</v>
      </c>
      <c r="E670">
        <v>0.99994000000000005</v>
      </c>
      <c r="U670" t="s">
        <v>131</v>
      </c>
      <c r="V670" t="s">
        <v>2778</v>
      </c>
      <c r="W670" t="s">
        <v>2779</v>
      </c>
      <c r="X670" t="s">
        <v>2053</v>
      </c>
    </row>
    <row r="671" spans="2:24" x14ac:dyDescent="0.45">
      <c r="B671" t="s">
        <v>802</v>
      </c>
      <c r="C671">
        <v>2.2343455417638518</v>
      </c>
      <c r="D671">
        <v>3.3000000000000003</v>
      </c>
      <c r="E671">
        <v>0.99982000000000004</v>
      </c>
      <c r="U671" t="s">
        <v>131</v>
      </c>
      <c r="V671" t="s">
        <v>2780</v>
      </c>
      <c r="W671" t="s">
        <v>2779</v>
      </c>
      <c r="X671" t="s">
        <v>2053</v>
      </c>
    </row>
    <row r="672" spans="2:24" x14ac:dyDescent="0.45">
      <c r="B672" t="s">
        <v>803</v>
      </c>
      <c r="C672">
        <v>2.2343455417638518</v>
      </c>
      <c r="D672">
        <v>1.1000000000000001</v>
      </c>
      <c r="E672">
        <v>0.99994000000000005</v>
      </c>
      <c r="U672" t="s">
        <v>131</v>
      </c>
      <c r="V672" t="s">
        <v>2781</v>
      </c>
      <c r="W672" t="s">
        <v>2779</v>
      </c>
      <c r="X672" t="s">
        <v>2053</v>
      </c>
    </row>
    <row r="673" spans="2:24" x14ac:dyDescent="0.45">
      <c r="B673" t="s">
        <v>804</v>
      </c>
      <c r="C673">
        <v>4.4686910835277036</v>
      </c>
      <c r="D673">
        <v>2.2000000000000002</v>
      </c>
      <c r="E673">
        <v>0.99987999999999999</v>
      </c>
      <c r="U673" t="s">
        <v>131</v>
      </c>
      <c r="V673" t="s">
        <v>2782</v>
      </c>
      <c r="W673" t="s">
        <v>2783</v>
      </c>
      <c r="X673" t="s">
        <v>2053</v>
      </c>
    </row>
    <row r="674" spans="2:24" x14ac:dyDescent="0.45">
      <c r="B674" t="s">
        <v>805</v>
      </c>
      <c r="C674">
        <v>4.4686910835277036</v>
      </c>
      <c r="D674">
        <v>4.4000000000000004</v>
      </c>
      <c r="E674">
        <v>0.99975999999999998</v>
      </c>
      <c r="U674" t="s">
        <v>131</v>
      </c>
      <c r="V674" t="s">
        <v>2784</v>
      </c>
      <c r="W674" t="s">
        <v>2783</v>
      </c>
      <c r="X674" t="s">
        <v>2053</v>
      </c>
    </row>
    <row r="675" spans="2:24" x14ac:dyDescent="0.45">
      <c r="B675" t="s">
        <v>806</v>
      </c>
      <c r="C675">
        <v>4.4686910835277036</v>
      </c>
      <c r="D675">
        <v>2.2000000000000002</v>
      </c>
      <c r="E675">
        <v>0.99987999999999999</v>
      </c>
      <c r="U675" t="s">
        <v>131</v>
      </c>
      <c r="V675" t="s">
        <v>2785</v>
      </c>
      <c r="W675" t="s">
        <v>2783</v>
      </c>
      <c r="X675" t="s">
        <v>2053</v>
      </c>
    </row>
    <row r="676" spans="2:24" x14ac:dyDescent="0.45">
      <c r="B676" t="s">
        <v>807</v>
      </c>
      <c r="C676">
        <v>4.4686910835277036</v>
      </c>
      <c r="D676">
        <v>2.2000000000000002</v>
      </c>
      <c r="E676">
        <v>0.99987999999999999</v>
      </c>
      <c r="U676" t="s">
        <v>131</v>
      </c>
      <c r="V676" t="s">
        <v>2786</v>
      </c>
      <c r="W676" t="s">
        <v>2787</v>
      </c>
      <c r="X676" t="s">
        <v>2053</v>
      </c>
    </row>
    <row r="677" spans="2:24" x14ac:dyDescent="0.45">
      <c r="B677" t="s">
        <v>808</v>
      </c>
      <c r="C677">
        <v>2.2343455417638518</v>
      </c>
      <c r="D677">
        <v>4.4000000000000004</v>
      </c>
      <c r="E677">
        <v>0.99975999999999998</v>
      </c>
      <c r="U677" t="s">
        <v>131</v>
      </c>
      <c r="V677" t="s">
        <v>2788</v>
      </c>
      <c r="W677" t="s">
        <v>2787</v>
      </c>
      <c r="X677" t="s">
        <v>2053</v>
      </c>
    </row>
    <row r="678" spans="2:24" x14ac:dyDescent="0.45">
      <c r="B678" t="s">
        <v>809</v>
      </c>
      <c r="C678">
        <v>4.4686910835277036</v>
      </c>
      <c r="D678">
        <v>15.400000000000002</v>
      </c>
      <c r="E678">
        <v>0.99916000000000005</v>
      </c>
      <c r="U678" t="s">
        <v>131</v>
      </c>
      <c r="V678" t="s">
        <v>2789</v>
      </c>
      <c r="W678" t="s">
        <v>2787</v>
      </c>
      <c r="X678" t="s">
        <v>2053</v>
      </c>
    </row>
    <row r="679" spans="2:24" x14ac:dyDescent="0.45">
      <c r="B679" t="s">
        <v>810</v>
      </c>
      <c r="C679">
        <v>4.4686910835277036</v>
      </c>
      <c r="D679">
        <v>1.1000000000000001</v>
      </c>
      <c r="E679">
        <v>0.99994000000000005</v>
      </c>
      <c r="U679" t="s">
        <v>131</v>
      </c>
      <c r="V679" t="s">
        <v>2790</v>
      </c>
      <c r="W679" t="s">
        <v>2791</v>
      </c>
      <c r="X679" t="s">
        <v>2053</v>
      </c>
    </row>
    <row r="680" spans="2:24" x14ac:dyDescent="0.45">
      <c r="B680" t="s">
        <v>811</v>
      </c>
      <c r="C680">
        <v>2.2343455417638518</v>
      </c>
      <c r="D680">
        <v>4.4000000000000004</v>
      </c>
      <c r="E680">
        <v>0.99975999999999998</v>
      </c>
      <c r="U680" t="s">
        <v>131</v>
      </c>
      <c r="V680" t="s">
        <v>2792</v>
      </c>
      <c r="W680" t="s">
        <v>2791</v>
      </c>
      <c r="X680" t="s">
        <v>2053</v>
      </c>
    </row>
    <row r="681" spans="2:24" x14ac:dyDescent="0.45">
      <c r="B681" t="s">
        <v>812</v>
      </c>
      <c r="C681">
        <v>6.7030366252915554</v>
      </c>
      <c r="D681">
        <v>1.1000000000000001</v>
      </c>
      <c r="E681">
        <v>0.99994000000000005</v>
      </c>
      <c r="U681" t="s">
        <v>131</v>
      </c>
      <c r="V681" t="s">
        <v>2793</v>
      </c>
      <c r="W681" t="s">
        <v>2791</v>
      </c>
      <c r="X681" t="s">
        <v>2053</v>
      </c>
    </row>
    <row r="682" spans="2:24" x14ac:dyDescent="0.45">
      <c r="B682" t="s">
        <v>813</v>
      </c>
      <c r="C682">
        <v>4.4686910835277036</v>
      </c>
      <c r="D682">
        <v>2.2000000000000002</v>
      </c>
      <c r="E682">
        <v>0.99987999999999999</v>
      </c>
      <c r="U682" t="s">
        <v>131</v>
      </c>
      <c r="V682" t="s">
        <v>2794</v>
      </c>
      <c r="W682" t="s">
        <v>2795</v>
      </c>
      <c r="X682" t="s">
        <v>2053</v>
      </c>
    </row>
    <row r="683" spans="2:24" x14ac:dyDescent="0.45">
      <c r="B683" t="s">
        <v>814</v>
      </c>
      <c r="C683">
        <v>6.7030366252915554</v>
      </c>
      <c r="D683">
        <v>1.1000000000000001</v>
      </c>
      <c r="E683">
        <v>0.99994000000000005</v>
      </c>
      <c r="U683" t="s">
        <v>131</v>
      </c>
      <c r="V683" t="s">
        <v>2796</v>
      </c>
      <c r="W683" t="s">
        <v>2795</v>
      </c>
      <c r="X683" t="s">
        <v>2053</v>
      </c>
    </row>
    <row r="684" spans="2:24" x14ac:dyDescent="0.45">
      <c r="B684" t="s">
        <v>815</v>
      </c>
      <c r="C684">
        <v>2.2343455417638518</v>
      </c>
      <c r="D684">
        <v>2.2000000000000002</v>
      </c>
      <c r="E684">
        <v>0.99987999999999999</v>
      </c>
      <c r="U684" t="s">
        <v>131</v>
      </c>
      <c r="V684" t="s">
        <v>2797</v>
      </c>
      <c r="W684" t="s">
        <v>2795</v>
      </c>
      <c r="X684" t="s">
        <v>2053</v>
      </c>
    </row>
    <row r="685" spans="2:24" x14ac:dyDescent="0.45">
      <c r="B685" t="s">
        <v>816</v>
      </c>
      <c r="C685">
        <v>4.4686910835277036</v>
      </c>
      <c r="D685">
        <v>2.2000000000000002</v>
      </c>
      <c r="E685">
        <v>0.99987999999999999</v>
      </c>
      <c r="U685" t="s">
        <v>131</v>
      </c>
      <c r="V685" t="s">
        <v>2798</v>
      </c>
      <c r="W685" t="s">
        <v>2799</v>
      </c>
      <c r="X685" t="s">
        <v>2053</v>
      </c>
    </row>
    <row r="686" spans="2:24" x14ac:dyDescent="0.45">
      <c r="B686" t="s">
        <v>817</v>
      </c>
      <c r="C686">
        <v>2.2343455417638518</v>
      </c>
      <c r="D686">
        <v>2.2000000000000002</v>
      </c>
      <c r="E686">
        <v>0.99987999999999999</v>
      </c>
      <c r="U686" t="s">
        <v>131</v>
      </c>
      <c r="V686" t="s">
        <v>2800</v>
      </c>
      <c r="W686" t="s">
        <v>2799</v>
      </c>
      <c r="X686" t="s">
        <v>2053</v>
      </c>
    </row>
    <row r="687" spans="2:24" x14ac:dyDescent="0.45">
      <c r="B687" t="s">
        <v>818</v>
      </c>
      <c r="C687">
        <v>2.2343455417638518</v>
      </c>
      <c r="D687">
        <v>6.6000000000000005</v>
      </c>
      <c r="E687">
        <v>0.99963999999999997</v>
      </c>
      <c r="U687" t="s">
        <v>131</v>
      </c>
      <c r="V687" t="s">
        <v>2801</v>
      </c>
      <c r="W687" t="s">
        <v>2799</v>
      </c>
      <c r="X687" t="s">
        <v>2053</v>
      </c>
    </row>
    <row r="688" spans="2:24" x14ac:dyDescent="0.45">
      <c r="B688" t="s">
        <v>819</v>
      </c>
      <c r="C688">
        <v>4.4686910835277036</v>
      </c>
      <c r="D688">
        <v>6.6000000000000005</v>
      </c>
      <c r="E688">
        <v>0.99963999999999997</v>
      </c>
      <c r="U688" t="s">
        <v>131</v>
      </c>
      <c r="V688" t="s">
        <v>2802</v>
      </c>
      <c r="W688" t="s">
        <v>2803</v>
      </c>
      <c r="X688" t="s">
        <v>2053</v>
      </c>
    </row>
    <row r="689" spans="2:24" x14ac:dyDescent="0.45">
      <c r="B689" t="s">
        <v>820</v>
      </c>
      <c r="C689">
        <v>2.2343455417638518</v>
      </c>
      <c r="D689">
        <v>6.6000000000000005</v>
      </c>
      <c r="E689">
        <v>0.99963999999999997</v>
      </c>
      <c r="U689" t="s">
        <v>131</v>
      </c>
      <c r="V689" t="s">
        <v>2804</v>
      </c>
      <c r="W689" t="s">
        <v>2803</v>
      </c>
      <c r="X689" t="s">
        <v>2053</v>
      </c>
    </row>
    <row r="690" spans="2:24" x14ac:dyDescent="0.45">
      <c r="B690" t="s">
        <v>821</v>
      </c>
      <c r="C690">
        <v>2.2343455417638518</v>
      </c>
      <c r="D690">
        <v>6.6000000000000005</v>
      </c>
      <c r="E690">
        <v>0.99963999999999997</v>
      </c>
      <c r="U690" t="s">
        <v>131</v>
      </c>
      <c r="V690" t="s">
        <v>2805</v>
      </c>
      <c r="W690" t="s">
        <v>2803</v>
      </c>
      <c r="X690" t="s">
        <v>2053</v>
      </c>
    </row>
    <row r="691" spans="2:24" x14ac:dyDescent="0.45">
      <c r="B691" t="s">
        <v>822</v>
      </c>
      <c r="C691">
        <v>2.2343455417638518</v>
      </c>
      <c r="D691">
        <v>5.5</v>
      </c>
      <c r="E691">
        <v>0.99970000000000003</v>
      </c>
      <c r="U691" t="s">
        <v>131</v>
      </c>
      <c r="V691" t="s">
        <v>2806</v>
      </c>
      <c r="W691" t="s">
        <v>2807</v>
      </c>
      <c r="X691" t="s">
        <v>2053</v>
      </c>
    </row>
    <row r="692" spans="2:24" x14ac:dyDescent="0.45">
      <c r="B692" t="s">
        <v>823</v>
      </c>
      <c r="C692">
        <v>4.4686910835277036</v>
      </c>
      <c r="D692">
        <v>6.6000000000000005</v>
      </c>
      <c r="E692">
        <v>0.99963999999999997</v>
      </c>
      <c r="U692" t="s">
        <v>131</v>
      </c>
      <c r="V692" t="s">
        <v>2808</v>
      </c>
      <c r="W692" t="s">
        <v>2807</v>
      </c>
      <c r="X692" t="s">
        <v>2053</v>
      </c>
    </row>
    <row r="693" spans="2:24" x14ac:dyDescent="0.45">
      <c r="B693" t="s">
        <v>824</v>
      </c>
      <c r="C693">
        <v>4.4686910835277036</v>
      </c>
      <c r="D693">
        <v>4.4000000000000004</v>
      </c>
      <c r="E693">
        <v>0.99975999999999998</v>
      </c>
      <c r="U693" t="s">
        <v>131</v>
      </c>
      <c r="V693" t="s">
        <v>2809</v>
      </c>
      <c r="W693" t="s">
        <v>2807</v>
      </c>
      <c r="X693" t="s">
        <v>2053</v>
      </c>
    </row>
    <row r="694" spans="2:24" x14ac:dyDescent="0.45">
      <c r="B694" t="s">
        <v>825</v>
      </c>
      <c r="C694">
        <v>4.4686910835277036</v>
      </c>
      <c r="D694">
        <v>1.1000000000000001</v>
      </c>
      <c r="E694">
        <v>0.99994000000000005</v>
      </c>
      <c r="U694" t="s">
        <v>131</v>
      </c>
      <c r="V694" t="s">
        <v>2810</v>
      </c>
      <c r="W694" t="s">
        <v>2811</v>
      </c>
      <c r="X694" t="s">
        <v>2053</v>
      </c>
    </row>
    <row r="695" spans="2:24" x14ac:dyDescent="0.45">
      <c r="B695" t="s">
        <v>826</v>
      </c>
      <c r="C695">
        <v>4.4686910835277036</v>
      </c>
      <c r="D695">
        <v>1.1000000000000001</v>
      </c>
      <c r="E695">
        <v>0.99994000000000005</v>
      </c>
      <c r="U695" t="s">
        <v>131</v>
      </c>
      <c r="V695" t="s">
        <v>2812</v>
      </c>
      <c r="W695" t="s">
        <v>2811</v>
      </c>
      <c r="X695" t="s">
        <v>2053</v>
      </c>
    </row>
    <row r="696" spans="2:24" x14ac:dyDescent="0.45">
      <c r="B696" t="s">
        <v>827</v>
      </c>
      <c r="C696">
        <v>2.2343455417638518</v>
      </c>
      <c r="D696">
        <v>6.6000000000000005</v>
      </c>
      <c r="E696">
        <v>0.99963999999999997</v>
      </c>
      <c r="U696" t="s">
        <v>131</v>
      </c>
      <c r="V696" t="s">
        <v>2813</v>
      </c>
      <c r="W696" t="s">
        <v>2811</v>
      </c>
      <c r="X696" t="s">
        <v>2053</v>
      </c>
    </row>
    <row r="697" spans="2:24" x14ac:dyDescent="0.45">
      <c r="B697" t="s">
        <v>828</v>
      </c>
      <c r="C697">
        <v>2.2343455417638518</v>
      </c>
      <c r="D697">
        <v>9.9</v>
      </c>
      <c r="E697">
        <v>0.99946000000000002</v>
      </c>
      <c r="U697" t="s">
        <v>131</v>
      </c>
      <c r="V697" t="s">
        <v>2814</v>
      </c>
      <c r="W697" t="s">
        <v>2815</v>
      </c>
      <c r="X697" t="s">
        <v>2053</v>
      </c>
    </row>
    <row r="698" spans="2:24" x14ac:dyDescent="0.45">
      <c r="B698" t="s">
        <v>829</v>
      </c>
      <c r="C698">
        <v>2.2343455417638518</v>
      </c>
      <c r="D698">
        <v>9.9</v>
      </c>
      <c r="E698">
        <v>0.99946000000000002</v>
      </c>
      <c r="U698" t="s">
        <v>131</v>
      </c>
      <c r="V698" t="s">
        <v>2816</v>
      </c>
      <c r="W698" t="s">
        <v>2815</v>
      </c>
      <c r="X698" t="s">
        <v>2053</v>
      </c>
    </row>
    <row r="699" spans="2:24" x14ac:dyDescent="0.45">
      <c r="B699" t="s">
        <v>830</v>
      </c>
      <c r="C699">
        <v>6.7030366252915554</v>
      </c>
      <c r="D699">
        <v>1.1000000000000001</v>
      </c>
      <c r="E699">
        <v>0.99994000000000005</v>
      </c>
      <c r="U699" t="s">
        <v>131</v>
      </c>
      <c r="V699" t="s">
        <v>2817</v>
      </c>
      <c r="W699" t="s">
        <v>2815</v>
      </c>
      <c r="X699" t="s">
        <v>2053</v>
      </c>
    </row>
    <row r="700" spans="2:24" x14ac:dyDescent="0.45">
      <c r="B700" t="s">
        <v>831</v>
      </c>
      <c r="C700">
        <v>6.7030366252915554</v>
      </c>
      <c r="D700">
        <v>1.1000000000000001</v>
      </c>
      <c r="E700">
        <v>0.99994000000000005</v>
      </c>
      <c r="U700" t="s">
        <v>131</v>
      </c>
      <c r="V700" t="s">
        <v>2818</v>
      </c>
      <c r="W700" t="s">
        <v>2819</v>
      </c>
      <c r="X700" t="s">
        <v>2053</v>
      </c>
    </row>
    <row r="701" spans="2:24" x14ac:dyDescent="0.45">
      <c r="B701" t="s">
        <v>832</v>
      </c>
      <c r="C701">
        <v>2.2343455417638518</v>
      </c>
      <c r="D701">
        <v>1.1000000000000001</v>
      </c>
      <c r="E701">
        <v>0.99994000000000005</v>
      </c>
      <c r="U701" t="s">
        <v>131</v>
      </c>
      <c r="V701" t="s">
        <v>2820</v>
      </c>
      <c r="W701" t="s">
        <v>2819</v>
      </c>
      <c r="X701" t="s">
        <v>2053</v>
      </c>
    </row>
    <row r="702" spans="2:24" x14ac:dyDescent="0.45">
      <c r="B702" t="s">
        <v>833</v>
      </c>
      <c r="C702">
        <v>2.2343455417638518</v>
      </c>
      <c r="D702">
        <v>1.1000000000000001</v>
      </c>
      <c r="E702">
        <v>0.99994000000000005</v>
      </c>
      <c r="U702" t="s">
        <v>131</v>
      </c>
      <c r="V702" t="s">
        <v>2821</v>
      </c>
      <c r="W702" t="s">
        <v>2819</v>
      </c>
      <c r="X702" t="s">
        <v>2053</v>
      </c>
    </row>
    <row r="703" spans="2:24" x14ac:dyDescent="0.45">
      <c r="B703" t="s">
        <v>834</v>
      </c>
      <c r="C703">
        <v>6.7030366252915554</v>
      </c>
      <c r="D703">
        <v>1.1000000000000001</v>
      </c>
      <c r="E703">
        <v>0.99994000000000005</v>
      </c>
      <c r="U703" t="s">
        <v>131</v>
      </c>
      <c r="V703" t="s">
        <v>2822</v>
      </c>
      <c r="W703" t="s">
        <v>2823</v>
      </c>
      <c r="X703" t="s">
        <v>2053</v>
      </c>
    </row>
    <row r="704" spans="2:24" x14ac:dyDescent="0.45">
      <c r="B704" t="s">
        <v>835</v>
      </c>
      <c r="C704">
        <v>6.7030366252915554</v>
      </c>
      <c r="D704">
        <v>1.1000000000000001</v>
      </c>
      <c r="E704">
        <v>0.99994000000000005</v>
      </c>
      <c r="U704" t="s">
        <v>131</v>
      </c>
      <c r="V704" t="s">
        <v>2824</v>
      </c>
      <c r="W704" t="s">
        <v>2823</v>
      </c>
      <c r="X704" t="s">
        <v>2053</v>
      </c>
    </row>
    <row r="705" spans="2:24" x14ac:dyDescent="0.45">
      <c r="B705" t="s">
        <v>836</v>
      </c>
      <c r="C705">
        <v>2.2343455417638518</v>
      </c>
      <c r="D705">
        <v>1.1000000000000001</v>
      </c>
      <c r="E705">
        <v>0.99994000000000005</v>
      </c>
      <c r="U705" t="s">
        <v>131</v>
      </c>
      <c r="V705" t="s">
        <v>2825</v>
      </c>
      <c r="W705" t="s">
        <v>2823</v>
      </c>
      <c r="X705" t="s">
        <v>2053</v>
      </c>
    </row>
    <row r="706" spans="2:24" x14ac:dyDescent="0.45">
      <c r="B706" t="s">
        <v>837</v>
      </c>
      <c r="C706">
        <v>2.2343455417638518</v>
      </c>
      <c r="D706">
        <v>1.1000000000000001</v>
      </c>
      <c r="E706">
        <v>0.99994000000000005</v>
      </c>
      <c r="U706" t="s">
        <v>131</v>
      </c>
      <c r="V706" t="s">
        <v>2826</v>
      </c>
      <c r="W706" t="s">
        <v>2827</v>
      </c>
      <c r="X706" t="s">
        <v>2053</v>
      </c>
    </row>
    <row r="707" spans="2:24" x14ac:dyDescent="0.45">
      <c r="B707" t="s">
        <v>838</v>
      </c>
      <c r="C707">
        <v>2.2343455417638518</v>
      </c>
      <c r="D707">
        <v>5.5</v>
      </c>
      <c r="E707">
        <v>0.99970000000000003</v>
      </c>
      <c r="U707" t="s">
        <v>131</v>
      </c>
      <c r="V707" t="s">
        <v>2828</v>
      </c>
      <c r="W707" t="s">
        <v>2827</v>
      </c>
      <c r="X707" t="s">
        <v>2053</v>
      </c>
    </row>
    <row r="708" spans="2:24" x14ac:dyDescent="0.45">
      <c r="B708" t="s">
        <v>839</v>
      </c>
      <c r="C708">
        <v>4.4686910835277036</v>
      </c>
      <c r="D708">
        <v>3.3000000000000003</v>
      </c>
      <c r="E708">
        <v>0.99982000000000004</v>
      </c>
      <c r="U708" t="s">
        <v>131</v>
      </c>
      <c r="V708" t="s">
        <v>2829</v>
      </c>
      <c r="W708" t="s">
        <v>2827</v>
      </c>
      <c r="X708" t="s">
        <v>2053</v>
      </c>
    </row>
    <row r="709" spans="2:24" x14ac:dyDescent="0.45">
      <c r="B709" t="s">
        <v>840</v>
      </c>
      <c r="C709">
        <v>4.4686910835277036</v>
      </c>
      <c r="D709">
        <v>15.400000000000002</v>
      </c>
      <c r="E709">
        <v>0.99916000000000005</v>
      </c>
      <c r="U709" t="s">
        <v>131</v>
      </c>
      <c r="V709" t="s">
        <v>2830</v>
      </c>
      <c r="W709" t="s">
        <v>2831</v>
      </c>
      <c r="X709" t="s">
        <v>2053</v>
      </c>
    </row>
    <row r="710" spans="2:24" x14ac:dyDescent="0.45">
      <c r="B710" t="s">
        <v>841</v>
      </c>
      <c r="C710">
        <v>4.4686910835277036</v>
      </c>
      <c r="D710">
        <v>3.3000000000000003</v>
      </c>
      <c r="E710">
        <v>0.99982000000000004</v>
      </c>
      <c r="U710" t="s">
        <v>131</v>
      </c>
      <c r="V710" t="s">
        <v>2832</v>
      </c>
      <c r="W710" t="s">
        <v>2831</v>
      </c>
      <c r="X710" t="s">
        <v>2053</v>
      </c>
    </row>
    <row r="711" spans="2:24" x14ac:dyDescent="0.45">
      <c r="B711" t="s">
        <v>842</v>
      </c>
      <c r="C711">
        <v>2.2343455417638518</v>
      </c>
      <c r="D711">
        <v>5.5</v>
      </c>
      <c r="E711">
        <v>0.99970000000000003</v>
      </c>
      <c r="U711" t="s">
        <v>131</v>
      </c>
      <c r="V711" t="s">
        <v>2833</v>
      </c>
      <c r="W711" t="s">
        <v>2831</v>
      </c>
      <c r="X711" t="s">
        <v>2053</v>
      </c>
    </row>
    <row r="712" spans="2:24" x14ac:dyDescent="0.45">
      <c r="B712" t="s">
        <v>843</v>
      </c>
      <c r="C712">
        <v>2.2343455417638518</v>
      </c>
      <c r="D712">
        <v>4.4000000000000004</v>
      </c>
      <c r="E712">
        <v>0.99975999999999998</v>
      </c>
      <c r="U712" t="s">
        <v>131</v>
      </c>
      <c r="V712" t="s">
        <v>2834</v>
      </c>
      <c r="W712" t="s">
        <v>2835</v>
      </c>
      <c r="X712" t="s">
        <v>2053</v>
      </c>
    </row>
    <row r="713" spans="2:24" x14ac:dyDescent="0.45">
      <c r="B713" t="s">
        <v>844</v>
      </c>
      <c r="C713">
        <v>4.4686910835277036</v>
      </c>
      <c r="D713">
        <v>5.5</v>
      </c>
      <c r="E713">
        <v>0.99970000000000003</v>
      </c>
      <c r="U713" t="s">
        <v>131</v>
      </c>
      <c r="V713" t="s">
        <v>2836</v>
      </c>
      <c r="W713" t="s">
        <v>2835</v>
      </c>
      <c r="X713" t="s">
        <v>2053</v>
      </c>
    </row>
    <row r="714" spans="2:24" x14ac:dyDescent="0.45">
      <c r="B714" t="s">
        <v>845</v>
      </c>
      <c r="C714">
        <v>2.2343455417638518</v>
      </c>
      <c r="D714">
        <v>4.4000000000000004</v>
      </c>
      <c r="E714">
        <v>0.99975999999999998</v>
      </c>
      <c r="U714" t="s">
        <v>131</v>
      </c>
      <c r="V714" t="s">
        <v>2837</v>
      </c>
      <c r="W714" t="s">
        <v>2835</v>
      </c>
      <c r="X714" t="s">
        <v>2053</v>
      </c>
    </row>
    <row r="715" spans="2:24" x14ac:dyDescent="0.45">
      <c r="B715" t="s">
        <v>846</v>
      </c>
      <c r="C715">
        <v>2.2343455417638518</v>
      </c>
      <c r="D715">
        <v>5.5</v>
      </c>
      <c r="E715">
        <v>0.99970000000000003</v>
      </c>
      <c r="U715" t="s">
        <v>131</v>
      </c>
      <c r="V715" t="s">
        <v>2838</v>
      </c>
      <c r="W715" t="s">
        <v>2839</v>
      </c>
      <c r="X715" t="s">
        <v>2053</v>
      </c>
    </row>
    <row r="716" spans="2:24" x14ac:dyDescent="0.45">
      <c r="B716" t="s">
        <v>847</v>
      </c>
      <c r="C716">
        <v>4.4686910835277036</v>
      </c>
      <c r="D716">
        <v>1.1000000000000001</v>
      </c>
      <c r="E716">
        <v>0.99994000000000005</v>
      </c>
      <c r="U716" t="s">
        <v>131</v>
      </c>
      <c r="V716" t="s">
        <v>2840</v>
      </c>
      <c r="W716" t="s">
        <v>2839</v>
      </c>
      <c r="X716" t="s">
        <v>2053</v>
      </c>
    </row>
    <row r="717" spans="2:24" x14ac:dyDescent="0.45">
      <c r="B717" t="s">
        <v>848</v>
      </c>
      <c r="C717">
        <v>4.4686910835277036</v>
      </c>
      <c r="D717">
        <v>1.1000000000000001</v>
      </c>
      <c r="E717">
        <v>0.99994000000000005</v>
      </c>
      <c r="U717" t="s">
        <v>131</v>
      </c>
      <c r="V717" t="s">
        <v>2841</v>
      </c>
      <c r="W717" t="s">
        <v>2839</v>
      </c>
      <c r="X717" t="s">
        <v>2053</v>
      </c>
    </row>
    <row r="718" spans="2:24" x14ac:dyDescent="0.45">
      <c r="B718" t="s">
        <v>849</v>
      </c>
      <c r="C718">
        <v>4.4686910835277036</v>
      </c>
      <c r="D718">
        <v>2.2000000000000002</v>
      </c>
      <c r="E718">
        <v>0.99987999999999999</v>
      </c>
      <c r="U718" t="s">
        <v>131</v>
      </c>
      <c r="V718" t="s">
        <v>2842</v>
      </c>
      <c r="W718" t="s">
        <v>2843</v>
      </c>
      <c r="X718" t="s">
        <v>2053</v>
      </c>
    </row>
    <row r="719" spans="2:24" x14ac:dyDescent="0.45">
      <c r="B719" t="s">
        <v>850</v>
      </c>
      <c r="C719">
        <v>2.2343455417638518</v>
      </c>
      <c r="D719">
        <v>5.5</v>
      </c>
      <c r="E719">
        <v>0.99970000000000003</v>
      </c>
      <c r="U719" t="s">
        <v>131</v>
      </c>
      <c r="V719" t="s">
        <v>2844</v>
      </c>
      <c r="W719" t="s">
        <v>2843</v>
      </c>
      <c r="X719" t="s">
        <v>2053</v>
      </c>
    </row>
    <row r="720" spans="2:24" x14ac:dyDescent="0.45">
      <c r="B720" t="s">
        <v>851</v>
      </c>
      <c r="C720">
        <v>2.2343455417638518</v>
      </c>
      <c r="D720">
        <v>3.3000000000000003</v>
      </c>
      <c r="E720">
        <v>0.99982000000000004</v>
      </c>
      <c r="U720" t="s">
        <v>131</v>
      </c>
      <c r="V720" t="s">
        <v>2845</v>
      </c>
      <c r="W720" t="s">
        <v>2843</v>
      </c>
      <c r="X720" t="s">
        <v>2053</v>
      </c>
    </row>
    <row r="721" spans="2:24" x14ac:dyDescent="0.45">
      <c r="B721" t="s">
        <v>852</v>
      </c>
      <c r="C721">
        <v>4.4686910835277036</v>
      </c>
      <c r="D721">
        <v>15.400000000000002</v>
      </c>
      <c r="E721">
        <v>0.99916000000000005</v>
      </c>
      <c r="U721" t="s">
        <v>131</v>
      </c>
      <c r="V721" t="s">
        <v>2846</v>
      </c>
      <c r="W721" t="s">
        <v>2847</v>
      </c>
      <c r="X721" t="s">
        <v>2053</v>
      </c>
    </row>
    <row r="722" spans="2:24" x14ac:dyDescent="0.45">
      <c r="B722" t="s">
        <v>853</v>
      </c>
      <c r="C722">
        <v>2.2343455417638518</v>
      </c>
      <c r="D722">
        <v>3.3000000000000003</v>
      </c>
      <c r="E722">
        <v>0.99982000000000004</v>
      </c>
      <c r="U722" t="s">
        <v>131</v>
      </c>
      <c r="V722" t="s">
        <v>2848</v>
      </c>
      <c r="W722" t="s">
        <v>2847</v>
      </c>
      <c r="X722" t="s">
        <v>2053</v>
      </c>
    </row>
    <row r="723" spans="2:24" x14ac:dyDescent="0.45">
      <c r="B723" t="s">
        <v>854</v>
      </c>
      <c r="C723">
        <v>4.4686910835277036</v>
      </c>
      <c r="D723">
        <v>6.6000000000000005</v>
      </c>
      <c r="E723">
        <v>0.99963999999999997</v>
      </c>
      <c r="U723" t="s">
        <v>131</v>
      </c>
      <c r="V723" t="s">
        <v>2849</v>
      </c>
      <c r="W723" t="s">
        <v>2847</v>
      </c>
      <c r="X723" t="s">
        <v>2053</v>
      </c>
    </row>
    <row r="724" spans="2:24" x14ac:dyDescent="0.45">
      <c r="B724" t="s">
        <v>855</v>
      </c>
      <c r="C724">
        <v>4.4686910835277036</v>
      </c>
      <c r="D724">
        <v>3.3000000000000003</v>
      </c>
      <c r="E724">
        <v>0.99982000000000004</v>
      </c>
      <c r="U724" t="s">
        <v>131</v>
      </c>
      <c r="V724" t="s">
        <v>2850</v>
      </c>
      <c r="W724" t="s">
        <v>2851</v>
      </c>
      <c r="X724" t="s">
        <v>2053</v>
      </c>
    </row>
    <row r="725" spans="2:24" x14ac:dyDescent="0.45">
      <c r="B725" t="s">
        <v>856</v>
      </c>
      <c r="C725">
        <v>4.4686910835277036</v>
      </c>
      <c r="D725">
        <v>2.2000000000000002</v>
      </c>
      <c r="E725">
        <v>0.99987999999999999</v>
      </c>
      <c r="U725" t="s">
        <v>131</v>
      </c>
      <c r="V725" t="s">
        <v>2852</v>
      </c>
      <c r="W725" t="s">
        <v>2851</v>
      </c>
      <c r="X725" t="s">
        <v>2053</v>
      </c>
    </row>
    <row r="726" spans="2:24" x14ac:dyDescent="0.45">
      <c r="B726" t="s">
        <v>857</v>
      </c>
      <c r="C726">
        <v>4.4686910835277036</v>
      </c>
      <c r="D726">
        <v>5.5</v>
      </c>
      <c r="E726">
        <v>0.99970000000000003</v>
      </c>
      <c r="U726" t="s">
        <v>131</v>
      </c>
      <c r="V726" t="s">
        <v>2853</v>
      </c>
      <c r="W726" t="s">
        <v>2851</v>
      </c>
      <c r="X726" t="s">
        <v>2053</v>
      </c>
    </row>
    <row r="727" spans="2:24" x14ac:dyDescent="0.45">
      <c r="B727" t="s">
        <v>858</v>
      </c>
      <c r="C727">
        <v>4.4686910835277036</v>
      </c>
      <c r="D727">
        <v>4.4000000000000004</v>
      </c>
      <c r="E727">
        <v>0.99975999999999998</v>
      </c>
      <c r="U727" t="s">
        <v>131</v>
      </c>
      <c r="V727" t="s">
        <v>2854</v>
      </c>
      <c r="W727" t="s">
        <v>2855</v>
      </c>
      <c r="X727" t="s">
        <v>2053</v>
      </c>
    </row>
    <row r="728" spans="2:24" x14ac:dyDescent="0.45">
      <c r="B728" t="s">
        <v>859</v>
      </c>
      <c r="C728">
        <v>4.4686910835277036</v>
      </c>
      <c r="D728">
        <v>7.7000000000000011</v>
      </c>
      <c r="E728">
        <v>0.99958000000000002</v>
      </c>
      <c r="U728" t="s">
        <v>131</v>
      </c>
      <c r="V728" t="s">
        <v>2856</v>
      </c>
      <c r="W728" t="s">
        <v>2855</v>
      </c>
      <c r="X728" t="s">
        <v>2053</v>
      </c>
    </row>
    <row r="729" spans="2:24" x14ac:dyDescent="0.45">
      <c r="B729" t="s">
        <v>860</v>
      </c>
      <c r="C729">
        <v>4.4686910835277036</v>
      </c>
      <c r="D729">
        <v>4.4000000000000004</v>
      </c>
      <c r="E729">
        <v>0.99975999999999998</v>
      </c>
      <c r="U729" t="s">
        <v>131</v>
      </c>
      <c r="V729" t="s">
        <v>2857</v>
      </c>
      <c r="W729" t="s">
        <v>2855</v>
      </c>
      <c r="X729" t="s">
        <v>2053</v>
      </c>
    </row>
    <row r="730" spans="2:24" x14ac:dyDescent="0.45">
      <c r="B730" t="s">
        <v>861</v>
      </c>
      <c r="C730">
        <v>4.4686910835277036</v>
      </c>
      <c r="D730">
        <v>6.6000000000000005</v>
      </c>
      <c r="E730">
        <v>0.99963999999999997</v>
      </c>
      <c r="U730" t="s">
        <v>131</v>
      </c>
      <c r="V730" t="s">
        <v>2858</v>
      </c>
      <c r="W730" t="s">
        <v>2859</v>
      </c>
      <c r="X730" t="s">
        <v>2053</v>
      </c>
    </row>
    <row r="731" spans="2:24" x14ac:dyDescent="0.45">
      <c r="B731" t="s">
        <v>862</v>
      </c>
      <c r="C731">
        <v>4.4686910835277036</v>
      </c>
      <c r="D731">
        <v>5.5</v>
      </c>
      <c r="E731">
        <v>0.99970000000000003</v>
      </c>
      <c r="U731" t="s">
        <v>131</v>
      </c>
      <c r="V731" t="s">
        <v>2860</v>
      </c>
      <c r="W731" t="s">
        <v>2859</v>
      </c>
      <c r="X731" t="s">
        <v>2053</v>
      </c>
    </row>
    <row r="732" spans="2:24" x14ac:dyDescent="0.45">
      <c r="B732" t="s">
        <v>863</v>
      </c>
      <c r="C732">
        <v>4.4686910835277036</v>
      </c>
      <c r="D732">
        <v>4.4000000000000004</v>
      </c>
      <c r="E732">
        <v>0.99975999999999998</v>
      </c>
      <c r="U732" t="s">
        <v>131</v>
      </c>
      <c r="V732" t="s">
        <v>2861</v>
      </c>
      <c r="W732" t="s">
        <v>2859</v>
      </c>
      <c r="X732" t="s">
        <v>2053</v>
      </c>
    </row>
    <row r="733" spans="2:24" x14ac:dyDescent="0.45">
      <c r="B733" t="s">
        <v>864</v>
      </c>
      <c r="C733">
        <v>4.4686910835277036</v>
      </c>
      <c r="D733">
        <v>2.2000000000000002</v>
      </c>
      <c r="E733">
        <v>0.99987999999999999</v>
      </c>
      <c r="U733" t="s">
        <v>131</v>
      </c>
      <c r="V733" t="s">
        <v>2862</v>
      </c>
      <c r="W733" t="s">
        <v>2863</v>
      </c>
      <c r="X733" t="s">
        <v>2053</v>
      </c>
    </row>
    <row r="734" spans="2:24" x14ac:dyDescent="0.45">
      <c r="B734" t="s">
        <v>865</v>
      </c>
      <c r="C734">
        <v>4.4686910835277036</v>
      </c>
      <c r="D734">
        <v>5.5</v>
      </c>
      <c r="E734">
        <v>0.99970000000000003</v>
      </c>
      <c r="U734" t="s">
        <v>131</v>
      </c>
      <c r="V734" t="s">
        <v>2864</v>
      </c>
      <c r="W734" t="s">
        <v>2863</v>
      </c>
      <c r="X734" t="s">
        <v>2053</v>
      </c>
    </row>
    <row r="735" spans="2:24" x14ac:dyDescent="0.45">
      <c r="B735" t="s">
        <v>866</v>
      </c>
      <c r="C735">
        <v>4.4686910835277036</v>
      </c>
      <c r="D735">
        <v>2.2000000000000002</v>
      </c>
      <c r="E735">
        <v>0.99987999999999999</v>
      </c>
      <c r="U735" t="s">
        <v>131</v>
      </c>
      <c r="V735" t="s">
        <v>2865</v>
      </c>
      <c r="W735" t="s">
        <v>2863</v>
      </c>
      <c r="X735" t="s">
        <v>2053</v>
      </c>
    </row>
    <row r="736" spans="2:24" x14ac:dyDescent="0.45">
      <c r="B736" t="s">
        <v>867</v>
      </c>
      <c r="C736">
        <v>4.4686910835277036</v>
      </c>
      <c r="D736">
        <v>2.2000000000000002</v>
      </c>
      <c r="E736">
        <v>0.99987999999999999</v>
      </c>
      <c r="U736" t="s">
        <v>131</v>
      </c>
      <c r="V736" t="s">
        <v>2866</v>
      </c>
      <c r="W736" t="s">
        <v>2867</v>
      </c>
      <c r="X736" t="s">
        <v>2053</v>
      </c>
    </row>
    <row r="737" spans="2:24" x14ac:dyDescent="0.45">
      <c r="B737" t="s">
        <v>868</v>
      </c>
      <c r="C737">
        <v>4.4686910835277036</v>
      </c>
      <c r="D737">
        <v>2.2000000000000002</v>
      </c>
      <c r="E737">
        <v>0.99987999999999999</v>
      </c>
      <c r="U737" t="s">
        <v>131</v>
      </c>
      <c r="V737" t="s">
        <v>2868</v>
      </c>
      <c r="W737" t="s">
        <v>2867</v>
      </c>
      <c r="X737" t="s">
        <v>2053</v>
      </c>
    </row>
    <row r="738" spans="2:24" x14ac:dyDescent="0.45">
      <c r="B738" t="s">
        <v>869</v>
      </c>
      <c r="C738">
        <v>4.4686910835277036</v>
      </c>
      <c r="D738">
        <v>5.5</v>
      </c>
      <c r="E738">
        <v>0.99970000000000003</v>
      </c>
      <c r="U738" t="s">
        <v>131</v>
      </c>
      <c r="V738" t="s">
        <v>2869</v>
      </c>
      <c r="W738" t="s">
        <v>2867</v>
      </c>
      <c r="X738" t="s">
        <v>2053</v>
      </c>
    </row>
    <row r="739" spans="2:24" x14ac:dyDescent="0.45">
      <c r="B739" t="s">
        <v>870</v>
      </c>
      <c r="C739">
        <v>4.4686910835277036</v>
      </c>
      <c r="D739">
        <v>6.6000000000000005</v>
      </c>
      <c r="E739">
        <v>0.99963999999999997</v>
      </c>
      <c r="U739" t="s">
        <v>131</v>
      </c>
      <c r="V739" t="s">
        <v>2870</v>
      </c>
      <c r="W739" t="s">
        <v>2871</v>
      </c>
      <c r="X739" t="s">
        <v>2053</v>
      </c>
    </row>
    <row r="740" spans="2:24" x14ac:dyDescent="0.45">
      <c r="B740" t="s">
        <v>871</v>
      </c>
      <c r="C740">
        <v>2.2343455417638518</v>
      </c>
      <c r="D740">
        <v>1.1000000000000001</v>
      </c>
      <c r="E740">
        <v>0.99994000000000005</v>
      </c>
      <c r="U740" t="s">
        <v>131</v>
      </c>
      <c r="V740" t="s">
        <v>2872</v>
      </c>
      <c r="W740" t="s">
        <v>2871</v>
      </c>
      <c r="X740" t="s">
        <v>2053</v>
      </c>
    </row>
    <row r="741" spans="2:24" x14ac:dyDescent="0.45">
      <c r="B741" t="s">
        <v>872</v>
      </c>
      <c r="C741">
        <v>2.2343455417638518</v>
      </c>
      <c r="D741">
        <v>7.7000000000000011</v>
      </c>
      <c r="E741">
        <v>0.99958000000000002</v>
      </c>
      <c r="U741" t="s">
        <v>131</v>
      </c>
      <c r="V741" t="s">
        <v>2873</v>
      </c>
      <c r="W741" t="s">
        <v>2871</v>
      </c>
      <c r="X741" t="s">
        <v>2053</v>
      </c>
    </row>
    <row r="742" spans="2:24" x14ac:dyDescent="0.45">
      <c r="B742" t="s">
        <v>873</v>
      </c>
      <c r="C742">
        <v>2.2343455417638518</v>
      </c>
      <c r="D742">
        <v>6.6000000000000005</v>
      </c>
      <c r="E742">
        <v>0.99963999999999997</v>
      </c>
      <c r="U742" t="s">
        <v>131</v>
      </c>
      <c r="V742" t="s">
        <v>2874</v>
      </c>
      <c r="W742" t="s">
        <v>2875</v>
      </c>
      <c r="X742" t="s">
        <v>2053</v>
      </c>
    </row>
    <row r="743" spans="2:24" x14ac:dyDescent="0.45">
      <c r="B743" t="s">
        <v>874</v>
      </c>
      <c r="C743">
        <v>4.4686910835277036</v>
      </c>
      <c r="D743">
        <v>7.7000000000000011</v>
      </c>
      <c r="E743">
        <v>0.99958000000000002</v>
      </c>
      <c r="U743" t="s">
        <v>131</v>
      </c>
      <c r="V743" t="s">
        <v>2876</v>
      </c>
      <c r="W743" t="s">
        <v>2875</v>
      </c>
      <c r="X743" t="s">
        <v>2053</v>
      </c>
    </row>
    <row r="744" spans="2:24" x14ac:dyDescent="0.45">
      <c r="B744" t="s">
        <v>875</v>
      </c>
      <c r="C744">
        <v>2.2343455417638518</v>
      </c>
      <c r="D744">
        <v>2.2000000000000002</v>
      </c>
      <c r="E744">
        <v>0.99987999999999999</v>
      </c>
      <c r="U744" t="s">
        <v>131</v>
      </c>
      <c r="V744" t="s">
        <v>2877</v>
      </c>
      <c r="W744" t="s">
        <v>2875</v>
      </c>
      <c r="X744" t="s">
        <v>2053</v>
      </c>
    </row>
    <row r="745" spans="2:24" x14ac:dyDescent="0.45">
      <c r="B745" t="s">
        <v>876</v>
      </c>
      <c r="C745">
        <v>2.2343455417638518</v>
      </c>
      <c r="D745">
        <v>3.3000000000000003</v>
      </c>
      <c r="E745">
        <v>0.99982000000000004</v>
      </c>
      <c r="U745" t="s">
        <v>131</v>
      </c>
      <c r="V745" t="s">
        <v>2878</v>
      </c>
      <c r="W745" t="s">
        <v>2879</v>
      </c>
      <c r="X745" t="s">
        <v>2053</v>
      </c>
    </row>
    <row r="746" spans="2:24" x14ac:dyDescent="0.45">
      <c r="B746" t="s">
        <v>877</v>
      </c>
      <c r="C746">
        <v>4.4686910835277036</v>
      </c>
      <c r="D746">
        <v>2.2000000000000002</v>
      </c>
      <c r="E746">
        <v>0.99987999999999999</v>
      </c>
      <c r="U746" t="s">
        <v>131</v>
      </c>
      <c r="V746" t="s">
        <v>2880</v>
      </c>
      <c r="W746" t="s">
        <v>2879</v>
      </c>
      <c r="X746" t="s">
        <v>2053</v>
      </c>
    </row>
    <row r="747" spans="2:24" x14ac:dyDescent="0.45">
      <c r="B747" t="s">
        <v>878</v>
      </c>
      <c r="C747">
        <v>2.2343455417638518</v>
      </c>
      <c r="D747">
        <v>5.5</v>
      </c>
      <c r="E747">
        <v>0.99970000000000003</v>
      </c>
      <c r="U747" t="s">
        <v>131</v>
      </c>
      <c r="V747" t="s">
        <v>2881</v>
      </c>
      <c r="W747" t="s">
        <v>2879</v>
      </c>
      <c r="X747" t="s">
        <v>2053</v>
      </c>
    </row>
    <row r="748" spans="2:24" x14ac:dyDescent="0.45">
      <c r="B748" t="s">
        <v>879</v>
      </c>
      <c r="C748">
        <v>4.4686910835277036</v>
      </c>
      <c r="D748">
        <v>2.2000000000000002</v>
      </c>
      <c r="E748">
        <v>0.99987999999999999</v>
      </c>
      <c r="U748" t="s">
        <v>131</v>
      </c>
      <c r="V748" t="s">
        <v>2882</v>
      </c>
      <c r="W748" t="s">
        <v>2883</v>
      </c>
      <c r="X748" t="s">
        <v>2053</v>
      </c>
    </row>
    <row r="749" spans="2:24" x14ac:dyDescent="0.45">
      <c r="B749" t="s">
        <v>880</v>
      </c>
      <c r="C749">
        <v>2.2343455417638518</v>
      </c>
      <c r="D749">
        <v>2.2000000000000002</v>
      </c>
      <c r="E749">
        <v>0.99987999999999999</v>
      </c>
      <c r="U749" t="s">
        <v>131</v>
      </c>
      <c r="V749" t="s">
        <v>2884</v>
      </c>
      <c r="W749" t="s">
        <v>2883</v>
      </c>
      <c r="X749" t="s">
        <v>2053</v>
      </c>
    </row>
    <row r="750" spans="2:24" x14ac:dyDescent="0.45">
      <c r="B750" t="s">
        <v>881</v>
      </c>
      <c r="C750">
        <v>2.2343455417638518</v>
      </c>
      <c r="D750">
        <v>2.2000000000000002</v>
      </c>
      <c r="E750">
        <v>0.99987999999999999</v>
      </c>
      <c r="U750" t="s">
        <v>131</v>
      </c>
      <c r="V750" t="s">
        <v>2885</v>
      </c>
      <c r="W750" t="s">
        <v>2883</v>
      </c>
      <c r="X750" t="s">
        <v>2053</v>
      </c>
    </row>
    <row r="751" spans="2:24" x14ac:dyDescent="0.45">
      <c r="B751" t="s">
        <v>882</v>
      </c>
      <c r="C751">
        <v>4.4686910835277036</v>
      </c>
      <c r="D751">
        <v>7.7000000000000011</v>
      </c>
      <c r="E751">
        <v>0.99958000000000002</v>
      </c>
      <c r="U751" t="s">
        <v>131</v>
      </c>
      <c r="V751" t="s">
        <v>2886</v>
      </c>
      <c r="W751" t="s">
        <v>2887</v>
      </c>
      <c r="X751" t="s">
        <v>2053</v>
      </c>
    </row>
    <row r="752" spans="2:24" x14ac:dyDescent="0.45">
      <c r="B752" t="s">
        <v>883</v>
      </c>
      <c r="C752">
        <v>4.4686910835277036</v>
      </c>
      <c r="D752">
        <v>5.5</v>
      </c>
      <c r="E752">
        <v>0.99970000000000003</v>
      </c>
      <c r="U752" t="s">
        <v>131</v>
      </c>
      <c r="V752" t="s">
        <v>2888</v>
      </c>
      <c r="W752" t="s">
        <v>2887</v>
      </c>
      <c r="X752" t="s">
        <v>2053</v>
      </c>
    </row>
    <row r="753" spans="2:24" x14ac:dyDescent="0.45">
      <c r="B753" t="s">
        <v>884</v>
      </c>
      <c r="C753">
        <v>4.4686910835277036</v>
      </c>
      <c r="D753">
        <v>4.4000000000000004</v>
      </c>
      <c r="E753">
        <v>0.99975999999999998</v>
      </c>
      <c r="U753" t="s">
        <v>131</v>
      </c>
      <c r="V753" t="s">
        <v>2889</v>
      </c>
      <c r="W753" t="s">
        <v>2887</v>
      </c>
      <c r="X753" t="s">
        <v>2053</v>
      </c>
    </row>
    <row r="754" spans="2:24" x14ac:dyDescent="0.45">
      <c r="B754" t="s">
        <v>885</v>
      </c>
      <c r="C754">
        <v>4.4686910835277036</v>
      </c>
      <c r="D754">
        <v>7.7000000000000011</v>
      </c>
      <c r="E754">
        <v>0.99958000000000002</v>
      </c>
      <c r="U754" t="s">
        <v>131</v>
      </c>
      <c r="V754" t="s">
        <v>2890</v>
      </c>
      <c r="W754" t="s">
        <v>2891</v>
      </c>
      <c r="X754" t="s">
        <v>2053</v>
      </c>
    </row>
    <row r="755" spans="2:24" x14ac:dyDescent="0.45">
      <c r="B755" t="s">
        <v>886</v>
      </c>
      <c r="C755">
        <v>2.2343455417638518</v>
      </c>
      <c r="D755">
        <v>6.6000000000000005</v>
      </c>
      <c r="E755">
        <v>0.99963999999999997</v>
      </c>
      <c r="U755" t="s">
        <v>131</v>
      </c>
      <c r="V755" t="s">
        <v>2892</v>
      </c>
      <c r="W755" t="s">
        <v>2891</v>
      </c>
      <c r="X755" t="s">
        <v>2053</v>
      </c>
    </row>
    <row r="756" spans="2:24" x14ac:dyDescent="0.45">
      <c r="B756" t="s">
        <v>887</v>
      </c>
      <c r="C756">
        <v>2.2343455417638518</v>
      </c>
      <c r="D756">
        <v>12.100000000000001</v>
      </c>
      <c r="E756">
        <v>0.99934000000000001</v>
      </c>
      <c r="U756" t="s">
        <v>131</v>
      </c>
      <c r="V756" t="s">
        <v>2893</v>
      </c>
      <c r="W756" t="s">
        <v>2891</v>
      </c>
      <c r="X756" t="s">
        <v>2053</v>
      </c>
    </row>
    <row r="757" spans="2:24" x14ac:dyDescent="0.45">
      <c r="B757" t="s">
        <v>888</v>
      </c>
      <c r="C757">
        <v>4.4686910835277036</v>
      </c>
      <c r="D757">
        <v>2.2000000000000002</v>
      </c>
      <c r="E757">
        <v>0.99987999999999999</v>
      </c>
      <c r="U757" t="s">
        <v>131</v>
      </c>
      <c r="V757" t="s">
        <v>2894</v>
      </c>
      <c r="W757" t="s">
        <v>2895</v>
      </c>
      <c r="X757" t="s">
        <v>2053</v>
      </c>
    </row>
    <row r="758" spans="2:24" x14ac:dyDescent="0.45">
      <c r="B758" t="s">
        <v>889</v>
      </c>
      <c r="C758">
        <v>4.4686910835277036</v>
      </c>
      <c r="D758">
        <v>5.5</v>
      </c>
      <c r="E758">
        <v>0.99970000000000003</v>
      </c>
      <c r="U758" t="s">
        <v>131</v>
      </c>
      <c r="V758" t="s">
        <v>2896</v>
      </c>
      <c r="W758" t="s">
        <v>2895</v>
      </c>
      <c r="X758" t="s">
        <v>2053</v>
      </c>
    </row>
    <row r="759" spans="2:24" x14ac:dyDescent="0.45">
      <c r="B759" t="s">
        <v>890</v>
      </c>
      <c r="C759">
        <v>4.4686910835277036</v>
      </c>
      <c r="D759">
        <v>7.7000000000000011</v>
      </c>
      <c r="E759">
        <v>0.99958000000000002</v>
      </c>
      <c r="U759" t="s">
        <v>131</v>
      </c>
      <c r="V759" t="s">
        <v>2897</v>
      </c>
      <c r="W759" t="s">
        <v>2895</v>
      </c>
      <c r="X759" t="s">
        <v>2053</v>
      </c>
    </row>
    <row r="760" spans="2:24" x14ac:dyDescent="0.45">
      <c r="B760" t="s">
        <v>891</v>
      </c>
      <c r="C760">
        <v>1.4746680575641422</v>
      </c>
      <c r="D760">
        <v>101.2</v>
      </c>
      <c r="E760">
        <v>0.99448000000000003</v>
      </c>
      <c r="U760" t="s">
        <v>131</v>
      </c>
      <c r="V760" t="s">
        <v>2898</v>
      </c>
      <c r="W760" t="s">
        <v>2899</v>
      </c>
      <c r="X760" t="s">
        <v>2053</v>
      </c>
    </row>
    <row r="761" spans="2:24" x14ac:dyDescent="0.45">
      <c r="B761" t="s">
        <v>892</v>
      </c>
      <c r="C761">
        <v>0.98311203837609484</v>
      </c>
      <c r="D761">
        <v>6.6000000000000005</v>
      </c>
      <c r="E761">
        <v>0.99963999999999997</v>
      </c>
      <c r="U761" t="s">
        <v>131</v>
      </c>
      <c r="V761" t="s">
        <v>2900</v>
      </c>
      <c r="W761" t="s">
        <v>2899</v>
      </c>
      <c r="X761" t="s">
        <v>2053</v>
      </c>
    </row>
    <row r="762" spans="2:24" x14ac:dyDescent="0.45">
      <c r="B762" t="s">
        <v>893</v>
      </c>
      <c r="C762">
        <v>2.9493361151282844</v>
      </c>
      <c r="D762">
        <v>4.4000000000000004</v>
      </c>
      <c r="E762">
        <v>0.99975999999999998</v>
      </c>
      <c r="U762" t="s">
        <v>131</v>
      </c>
      <c r="V762" t="s">
        <v>2901</v>
      </c>
      <c r="W762" t="s">
        <v>2899</v>
      </c>
      <c r="X762" t="s">
        <v>2053</v>
      </c>
    </row>
    <row r="763" spans="2:24" x14ac:dyDescent="0.45">
      <c r="B763" t="s">
        <v>894</v>
      </c>
      <c r="C763">
        <v>4.4686910835277036</v>
      </c>
      <c r="D763">
        <v>3.3000000000000003</v>
      </c>
      <c r="E763">
        <v>0.99982000000000004</v>
      </c>
      <c r="U763" t="s">
        <v>131</v>
      </c>
      <c r="V763" t="s">
        <v>2902</v>
      </c>
      <c r="W763" t="s">
        <v>2903</v>
      </c>
      <c r="X763" t="s">
        <v>2053</v>
      </c>
    </row>
    <row r="764" spans="2:24" x14ac:dyDescent="0.45">
      <c r="B764" t="s">
        <v>895</v>
      </c>
      <c r="C764">
        <v>2.2343455417638518</v>
      </c>
      <c r="D764">
        <v>4.4000000000000004</v>
      </c>
      <c r="E764">
        <v>0.99975999999999998</v>
      </c>
      <c r="U764" t="s">
        <v>131</v>
      </c>
      <c r="V764" t="s">
        <v>2904</v>
      </c>
      <c r="W764" t="s">
        <v>2903</v>
      </c>
      <c r="X764" t="s">
        <v>2053</v>
      </c>
    </row>
    <row r="765" spans="2:24" x14ac:dyDescent="0.45">
      <c r="B765" t="s">
        <v>896</v>
      </c>
      <c r="C765">
        <v>0.49155601918804742</v>
      </c>
      <c r="D765">
        <v>6.6000000000000005</v>
      </c>
      <c r="E765">
        <v>0.99963999999999997</v>
      </c>
      <c r="U765" t="s">
        <v>131</v>
      </c>
      <c r="V765" t="s">
        <v>2905</v>
      </c>
      <c r="W765" t="s">
        <v>2903</v>
      </c>
      <c r="X765" t="s">
        <v>2053</v>
      </c>
    </row>
    <row r="766" spans="2:24" x14ac:dyDescent="0.45">
      <c r="B766" t="s">
        <v>897</v>
      </c>
      <c r="C766">
        <v>0.98311203837609484</v>
      </c>
      <c r="D766">
        <v>64.900000000000006</v>
      </c>
      <c r="E766">
        <v>0.99646000000000001</v>
      </c>
      <c r="U766" t="s">
        <v>131</v>
      </c>
      <c r="V766" t="s">
        <v>2906</v>
      </c>
      <c r="W766" t="s">
        <v>2907</v>
      </c>
      <c r="X766" t="s">
        <v>2053</v>
      </c>
    </row>
    <row r="767" spans="2:24" x14ac:dyDescent="0.45">
      <c r="B767" t="s">
        <v>898</v>
      </c>
      <c r="C767">
        <v>4.4686910835277036</v>
      </c>
      <c r="D767">
        <v>5.5</v>
      </c>
      <c r="E767">
        <v>0.99970000000000003</v>
      </c>
      <c r="U767" t="s">
        <v>131</v>
      </c>
      <c r="V767" t="s">
        <v>2908</v>
      </c>
      <c r="W767" t="s">
        <v>2907</v>
      </c>
      <c r="X767" t="s">
        <v>2053</v>
      </c>
    </row>
    <row r="768" spans="2:24" x14ac:dyDescent="0.45">
      <c r="B768" t="s">
        <v>899</v>
      </c>
      <c r="C768">
        <v>4.4686910835277036</v>
      </c>
      <c r="D768">
        <v>4.4000000000000004</v>
      </c>
      <c r="E768">
        <v>0.99975999999999998</v>
      </c>
      <c r="U768" t="s">
        <v>131</v>
      </c>
      <c r="V768" t="s">
        <v>2909</v>
      </c>
      <c r="W768" t="s">
        <v>2907</v>
      </c>
      <c r="X768" t="s">
        <v>2053</v>
      </c>
    </row>
    <row r="769" spans="2:24" x14ac:dyDescent="0.45">
      <c r="B769" t="s">
        <v>900</v>
      </c>
      <c r="C769">
        <v>4.4686910835277036</v>
      </c>
      <c r="D769">
        <v>2.2000000000000002</v>
      </c>
      <c r="E769">
        <v>0.99987999999999999</v>
      </c>
      <c r="U769" t="s">
        <v>131</v>
      </c>
      <c r="V769" t="s">
        <v>2910</v>
      </c>
      <c r="W769" t="s">
        <v>2911</v>
      </c>
      <c r="X769" t="s">
        <v>2053</v>
      </c>
    </row>
    <row r="770" spans="2:24" x14ac:dyDescent="0.45">
      <c r="B770" t="s">
        <v>901</v>
      </c>
      <c r="C770">
        <v>4.4686910835277036</v>
      </c>
      <c r="D770">
        <v>5.5</v>
      </c>
      <c r="E770">
        <v>0.99970000000000003</v>
      </c>
      <c r="U770" t="s">
        <v>131</v>
      </c>
      <c r="V770" t="s">
        <v>2912</v>
      </c>
      <c r="W770" t="s">
        <v>2911</v>
      </c>
      <c r="X770" t="s">
        <v>2053</v>
      </c>
    </row>
    <row r="771" spans="2:24" x14ac:dyDescent="0.45">
      <c r="B771" t="s">
        <v>902</v>
      </c>
      <c r="C771">
        <v>8.9373821670554072</v>
      </c>
      <c r="D771">
        <v>8.8000000000000007</v>
      </c>
      <c r="E771">
        <v>0.99951999999999996</v>
      </c>
      <c r="U771" t="s">
        <v>131</v>
      </c>
      <c r="V771" t="s">
        <v>2913</v>
      </c>
      <c r="W771" t="s">
        <v>2911</v>
      </c>
      <c r="X771" t="s">
        <v>2053</v>
      </c>
    </row>
    <row r="772" spans="2:24" x14ac:dyDescent="0.45">
      <c r="B772" t="s">
        <v>903</v>
      </c>
      <c r="C772">
        <v>8.9373821670554072</v>
      </c>
      <c r="D772">
        <v>7.7000000000000011</v>
      </c>
      <c r="E772">
        <v>0.99958000000000002</v>
      </c>
      <c r="U772" t="s">
        <v>131</v>
      </c>
      <c r="V772" t="s">
        <v>2914</v>
      </c>
      <c r="W772" t="s">
        <v>2915</v>
      </c>
      <c r="X772" t="s">
        <v>2053</v>
      </c>
    </row>
    <row r="773" spans="2:24" x14ac:dyDescent="0.45">
      <c r="B773" t="s">
        <v>904</v>
      </c>
      <c r="C773">
        <v>4.4686910835277036</v>
      </c>
      <c r="D773">
        <v>7.7000000000000011</v>
      </c>
      <c r="E773">
        <v>0.99958000000000002</v>
      </c>
      <c r="U773" t="s">
        <v>131</v>
      </c>
      <c r="V773" t="s">
        <v>2916</v>
      </c>
      <c r="W773" t="s">
        <v>2915</v>
      </c>
      <c r="X773" t="s">
        <v>2053</v>
      </c>
    </row>
    <row r="774" spans="2:24" x14ac:dyDescent="0.45">
      <c r="B774" t="s">
        <v>905</v>
      </c>
      <c r="C774">
        <v>4.4686910835277036</v>
      </c>
      <c r="D774">
        <v>7.7000000000000011</v>
      </c>
      <c r="E774">
        <v>0.99958000000000002</v>
      </c>
      <c r="U774" t="s">
        <v>131</v>
      </c>
      <c r="V774" t="s">
        <v>2917</v>
      </c>
      <c r="W774" t="s">
        <v>2915</v>
      </c>
      <c r="X774" t="s">
        <v>2053</v>
      </c>
    </row>
    <row r="775" spans="2:24" x14ac:dyDescent="0.45">
      <c r="B775" t="s">
        <v>906</v>
      </c>
      <c r="C775">
        <v>0.49155601918804742</v>
      </c>
      <c r="D775">
        <v>2.2000000000000002</v>
      </c>
      <c r="E775">
        <v>0.99987999999999999</v>
      </c>
      <c r="U775" t="s">
        <v>131</v>
      </c>
      <c r="V775" t="s">
        <v>2918</v>
      </c>
      <c r="W775" t="s">
        <v>2919</v>
      </c>
      <c r="X775" t="s">
        <v>2053</v>
      </c>
    </row>
    <row r="776" spans="2:24" x14ac:dyDescent="0.45">
      <c r="B776" t="s">
        <v>907</v>
      </c>
      <c r="C776">
        <v>0.49155601918804742</v>
      </c>
      <c r="D776">
        <v>24.200000000000003</v>
      </c>
      <c r="E776">
        <v>0.99868000000000001</v>
      </c>
      <c r="U776" t="s">
        <v>131</v>
      </c>
      <c r="V776" t="s">
        <v>2920</v>
      </c>
      <c r="W776" t="s">
        <v>2919</v>
      </c>
      <c r="X776" t="s">
        <v>2053</v>
      </c>
    </row>
    <row r="777" spans="2:24" x14ac:dyDescent="0.45">
      <c r="B777" t="s">
        <v>908</v>
      </c>
      <c r="C777">
        <v>6.7030366252915554</v>
      </c>
      <c r="D777">
        <v>2.2000000000000002</v>
      </c>
      <c r="E777">
        <v>0.99987999999999999</v>
      </c>
      <c r="U777" t="s">
        <v>131</v>
      </c>
      <c r="V777" t="s">
        <v>2921</v>
      </c>
      <c r="W777" t="s">
        <v>2919</v>
      </c>
      <c r="X777" t="s">
        <v>2053</v>
      </c>
    </row>
    <row r="778" spans="2:24" x14ac:dyDescent="0.45">
      <c r="B778" t="s">
        <v>909</v>
      </c>
      <c r="C778">
        <v>4.4686910835277036</v>
      </c>
      <c r="D778">
        <v>6.6000000000000005</v>
      </c>
      <c r="E778">
        <v>0.99963999999999997</v>
      </c>
      <c r="U778" t="s">
        <v>131</v>
      </c>
      <c r="V778" t="s">
        <v>2922</v>
      </c>
      <c r="W778" t="s">
        <v>2923</v>
      </c>
      <c r="X778" t="s">
        <v>2053</v>
      </c>
    </row>
    <row r="779" spans="2:24" x14ac:dyDescent="0.45">
      <c r="B779" t="s">
        <v>910</v>
      </c>
      <c r="C779">
        <v>4.4686910835277036</v>
      </c>
      <c r="D779">
        <v>5.5</v>
      </c>
      <c r="E779">
        <v>0.99970000000000003</v>
      </c>
      <c r="U779" t="s">
        <v>131</v>
      </c>
      <c r="V779" t="s">
        <v>2924</v>
      </c>
      <c r="W779" t="s">
        <v>2923</v>
      </c>
      <c r="X779" t="s">
        <v>2053</v>
      </c>
    </row>
    <row r="780" spans="2:24" x14ac:dyDescent="0.45">
      <c r="B780" t="s">
        <v>911</v>
      </c>
      <c r="C780">
        <v>2.2343455417638518</v>
      </c>
      <c r="D780">
        <v>9.9</v>
      </c>
      <c r="E780">
        <v>0.99946000000000002</v>
      </c>
      <c r="U780" t="s">
        <v>131</v>
      </c>
      <c r="V780" t="s">
        <v>2925</v>
      </c>
      <c r="W780" t="s">
        <v>2923</v>
      </c>
      <c r="X780" t="s">
        <v>2053</v>
      </c>
    </row>
    <row r="781" spans="2:24" x14ac:dyDescent="0.45">
      <c r="B781" t="s">
        <v>912</v>
      </c>
      <c r="C781">
        <v>2.2343455417638518</v>
      </c>
      <c r="D781">
        <v>14.3</v>
      </c>
      <c r="E781">
        <v>0.99922</v>
      </c>
      <c r="U781" t="s">
        <v>131</v>
      </c>
      <c r="V781" t="s">
        <v>2926</v>
      </c>
      <c r="W781" t="s">
        <v>2927</v>
      </c>
      <c r="X781" t="s">
        <v>2053</v>
      </c>
    </row>
    <row r="782" spans="2:24" x14ac:dyDescent="0.45">
      <c r="B782" t="s">
        <v>913</v>
      </c>
      <c r="C782">
        <v>4.4686910835277036</v>
      </c>
      <c r="D782">
        <v>8.8000000000000007</v>
      </c>
      <c r="E782">
        <v>0.99951999999999996</v>
      </c>
      <c r="U782" t="s">
        <v>131</v>
      </c>
      <c r="V782" t="s">
        <v>2928</v>
      </c>
      <c r="W782" t="s">
        <v>2927</v>
      </c>
      <c r="X782" t="s">
        <v>2053</v>
      </c>
    </row>
    <row r="783" spans="2:24" x14ac:dyDescent="0.45">
      <c r="B783" t="s">
        <v>914</v>
      </c>
      <c r="C783">
        <v>2.2343455417638518</v>
      </c>
      <c r="D783">
        <v>3.3000000000000003</v>
      </c>
      <c r="E783">
        <v>0.99982000000000004</v>
      </c>
      <c r="U783" t="s">
        <v>131</v>
      </c>
      <c r="V783" t="s">
        <v>2929</v>
      </c>
      <c r="W783" t="s">
        <v>2927</v>
      </c>
      <c r="X783" t="s">
        <v>2053</v>
      </c>
    </row>
    <row r="784" spans="2:24" x14ac:dyDescent="0.45">
      <c r="B784" t="s">
        <v>915</v>
      </c>
      <c r="C784">
        <v>4.4686910835277036</v>
      </c>
      <c r="D784">
        <v>3.3000000000000003</v>
      </c>
      <c r="E784">
        <v>0.99982000000000004</v>
      </c>
      <c r="U784" t="s">
        <v>131</v>
      </c>
      <c r="V784" t="s">
        <v>2930</v>
      </c>
      <c r="W784" t="s">
        <v>2931</v>
      </c>
      <c r="X784" t="s">
        <v>2053</v>
      </c>
    </row>
    <row r="785" spans="2:24" x14ac:dyDescent="0.45">
      <c r="B785" t="s">
        <v>916</v>
      </c>
      <c r="C785">
        <v>4.4686910835277036</v>
      </c>
      <c r="D785">
        <v>3.3000000000000003</v>
      </c>
      <c r="E785">
        <v>0.99982000000000004</v>
      </c>
      <c r="U785" t="s">
        <v>131</v>
      </c>
      <c r="V785" t="s">
        <v>2932</v>
      </c>
      <c r="W785" t="s">
        <v>2931</v>
      </c>
      <c r="X785" t="s">
        <v>2053</v>
      </c>
    </row>
    <row r="786" spans="2:24" x14ac:dyDescent="0.45">
      <c r="B786" t="s">
        <v>917</v>
      </c>
      <c r="C786">
        <v>6.7030366252915554</v>
      </c>
      <c r="D786">
        <v>1.1000000000000001</v>
      </c>
      <c r="E786">
        <v>0.99994000000000005</v>
      </c>
      <c r="U786" t="s">
        <v>131</v>
      </c>
      <c r="V786" t="s">
        <v>2933</v>
      </c>
      <c r="W786" t="s">
        <v>2931</v>
      </c>
      <c r="X786" t="s">
        <v>2053</v>
      </c>
    </row>
    <row r="787" spans="2:24" x14ac:dyDescent="0.45">
      <c r="B787" t="s">
        <v>918</v>
      </c>
      <c r="C787">
        <v>0.49155601918804742</v>
      </c>
      <c r="D787">
        <v>26.400000000000002</v>
      </c>
      <c r="E787">
        <v>0.99856</v>
      </c>
      <c r="U787" t="s">
        <v>131</v>
      </c>
      <c r="V787" t="s">
        <v>2934</v>
      </c>
      <c r="W787" t="s">
        <v>2935</v>
      </c>
      <c r="X787" t="s">
        <v>2053</v>
      </c>
    </row>
    <row r="788" spans="2:24" x14ac:dyDescent="0.45">
      <c r="B788" t="s">
        <v>919</v>
      </c>
      <c r="C788">
        <v>0.98311203837609484</v>
      </c>
      <c r="D788">
        <v>35.200000000000003</v>
      </c>
      <c r="E788">
        <v>0.99807999999999997</v>
      </c>
      <c r="U788" t="s">
        <v>131</v>
      </c>
      <c r="V788" t="s">
        <v>2936</v>
      </c>
      <c r="W788" t="s">
        <v>2935</v>
      </c>
      <c r="X788" t="s">
        <v>2053</v>
      </c>
    </row>
    <row r="789" spans="2:24" x14ac:dyDescent="0.45">
      <c r="B789" t="s">
        <v>920</v>
      </c>
      <c r="C789">
        <v>2.2343455417638518</v>
      </c>
      <c r="D789">
        <v>1.1000000000000001</v>
      </c>
      <c r="E789">
        <v>0.99994000000000005</v>
      </c>
      <c r="U789" t="s">
        <v>131</v>
      </c>
      <c r="V789" t="s">
        <v>2937</v>
      </c>
      <c r="W789" t="s">
        <v>2935</v>
      </c>
      <c r="X789" t="s">
        <v>2053</v>
      </c>
    </row>
    <row r="790" spans="2:24" x14ac:dyDescent="0.45">
      <c r="B790" t="s">
        <v>921</v>
      </c>
      <c r="C790">
        <v>4.4686910835277036</v>
      </c>
      <c r="D790">
        <v>9.9</v>
      </c>
      <c r="E790">
        <v>0.99946000000000002</v>
      </c>
      <c r="U790" t="s">
        <v>131</v>
      </c>
      <c r="V790" t="s">
        <v>2938</v>
      </c>
      <c r="W790" t="s">
        <v>2939</v>
      </c>
      <c r="X790" t="s">
        <v>2053</v>
      </c>
    </row>
    <row r="791" spans="2:24" x14ac:dyDescent="0.45">
      <c r="B791" t="s">
        <v>922</v>
      </c>
      <c r="C791">
        <v>4.4686910835277036</v>
      </c>
      <c r="D791">
        <v>3.3000000000000003</v>
      </c>
      <c r="E791">
        <v>0.99982000000000004</v>
      </c>
      <c r="U791" t="s">
        <v>131</v>
      </c>
      <c r="V791" t="s">
        <v>2940</v>
      </c>
      <c r="W791" t="s">
        <v>2939</v>
      </c>
      <c r="X791" t="s">
        <v>2053</v>
      </c>
    </row>
    <row r="792" spans="2:24" x14ac:dyDescent="0.45">
      <c r="B792" t="s">
        <v>923</v>
      </c>
      <c r="C792">
        <v>4.4686910835277036</v>
      </c>
      <c r="D792">
        <v>2.2000000000000002</v>
      </c>
      <c r="E792">
        <v>0.99987999999999999</v>
      </c>
      <c r="U792" t="s">
        <v>131</v>
      </c>
      <c r="V792" t="s">
        <v>2941</v>
      </c>
      <c r="W792" t="s">
        <v>2939</v>
      </c>
      <c r="X792" t="s">
        <v>2053</v>
      </c>
    </row>
    <row r="793" spans="2:24" x14ac:dyDescent="0.45">
      <c r="B793" t="s">
        <v>924</v>
      </c>
      <c r="C793">
        <v>4.4686910835277036</v>
      </c>
      <c r="D793">
        <v>5.5</v>
      </c>
      <c r="E793">
        <v>0.99970000000000003</v>
      </c>
      <c r="U793" t="s">
        <v>131</v>
      </c>
      <c r="V793" t="s">
        <v>2942</v>
      </c>
      <c r="W793" t="s">
        <v>2943</v>
      </c>
      <c r="X793" t="s">
        <v>2053</v>
      </c>
    </row>
    <row r="794" spans="2:24" x14ac:dyDescent="0.45">
      <c r="B794" t="s">
        <v>925</v>
      </c>
      <c r="C794">
        <v>4.4686910835277036</v>
      </c>
      <c r="D794">
        <v>3.3000000000000003</v>
      </c>
      <c r="E794">
        <v>0.99982000000000004</v>
      </c>
      <c r="U794" t="s">
        <v>131</v>
      </c>
      <c r="V794" t="s">
        <v>2944</v>
      </c>
      <c r="W794" t="s">
        <v>2943</v>
      </c>
      <c r="X794" t="s">
        <v>2053</v>
      </c>
    </row>
    <row r="795" spans="2:24" x14ac:dyDescent="0.45">
      <c r="B795" t="s">
        <v>926</v>
      </c>
      <c r="C795">
        <v>0.98311203837609484</v>
      </c>
      <c r="D795">
        <v>20.900000000000002</v>
      </c>
      <c r="E795">
        <v>0.99885999999999997</v>
      </c>
      <c r="U795" t="s">
        <v>131</v>
      </c>
      <c r="V795" t="s">
        <v>2945</v>
      </c>
      <c r="W795" t="s">
        <v>2943</v>
      </c>
      <c r="X795" t="s">
        <v>2053</v>
      </c>
    </row>
    <row r="796" spans="2:24" x14ac:dyDescent="0.45">
      <c r="B796" t="s">
        <v>927</v>
      </c>
      <c r="C796">
        <v>4.4686910835277036</v>
      </c>
      <c r="D796">
        <v>3.3000000000000003</v>
      </c>
      <c r="E796">
        <v>0.99982000000000004</v>
      </c>
      <c r="U796" t="s">
        <v>131</v>
      </c>
      <c r="V796" t="s">
        <v>2946</v>
      </c>
      <c r="W796" t="s">
        <v>2947</v>
      </c>
      <c r="X796" t="s">
        <v>2053</v>
      </c>
    </row>
    <row r="797" spans="2:24" x14ac:dyDescent="0.45">
      <c r="B797" t="s">
        <v>928</v>
      </c>
      <c r="C797">
        <v>4.4686910835277036</v>
      </c>
      <c r="D797">
        <v>5.5</v>
      </c>
      <c r="E797">
        <v>0.99970000000000003</v>
      </c>
      <c r="U797" t="s">
        <v>131</v>
      </c>
      <c r="V797" t="s">
        <v>2948</v>
      </c>
      <c r="W797" t="s">
        <v>2947</v>
      </c>
      <c r="X797" t="s">
        <v>2053</v>
      </c>
    </row>
    <row r="798" spans="2:24" x14ac:dyDescent="0.45">
      <c r="B798" t="s">
        <v>929</v>
      </c>
      <c r="C798">
        <v>4.4686910835277036</v>
      </c>
      <c r="D798">
        <v>8.8000000000000007</v>
      </c>
      <c r="E798">
        <v>0.99951999999999996</v>
      </c>
      <c r="U798" t="s">
        <v>131</v>
      </c>
      <c r="V798" t="s">
        <v>2949</v>
      </c>
      <c r="W798" t="s">
        <v>2947</v>
      </c>
      <c r="X798" t="s">
        <v>2053</v>
      </c>
    </row>
    <row r="799" spans="2:24" x14ac:dyDescent="0.45">
      <c r="B799" t="s">
        <v>930</v>
      </c>
      <c r="C799">
        <v>4.4686910835277036</v>
      </c>
      <c r="D799">
        <v>1.1000000000000001</v>
      </c>
      <c r="E799">
        <v>0.99994000000000005</v>
      </c>
      <c r="U799" t="s">
        <v>131</v>
      </c>
      <c r="V799" t="s">
        <v>2950</v>
      </c>
      <c r="W799" t="s">
        <v>2951</v>
      </c>
      <c r="X799" t="s">
        <v>2053</v>
      </c>
    </row>
    <row r="800" spans="2:24" x14ac:dyDescent="0.45">
      <c r="B800" t="s">
        <v>931</v>
      </c>
      <c r="C800">
        <v>4.4686910835277036</v>
      </c>
      <c r="D800">
        <v>16.5</v>
      </c>
      <c r="E800">
        <v>0.99909999999999999</v>
      </c>
      <c r="U800" t="s">
        <v>131</v>
      </c>
      <c r="V800" t="s">
        <v>2952</v>
      </c>
      <c r="W800" t="s">
        <v>2951</v>
      </c>
      <c r="X800" t="s">
        <v>2053</v>
      </c>
    </row>
    <row r="801" spans="2:24" x14ac:dyDescent="0.45">
      <c r="B801" t="s">
        <v>932</v>
      </c>
      <c r="C801">
        <v>4.4686910835277036</v>
      </c>
      <c r="D801">
        <v>59.400000000000006</v>
      </c>
      <c r="E801">
        <v>0.99675999999999998</v>
      </c>
      <c r="U801" t="s">
        <v>131</v>
      </c>
      <c r="V801" t="s">
        <v>2953</v>
      </c>
      <c r="W801" t="s">
        <v>2951</v>
      </c>
      <c r="X801" t="s">
        <v>2053</v>
      </c>
    </row>
    <row r="802" spans="2:24" x14ac:dyDescent="0.45">
      <c r="B802" t="s">
        <v>933</v>
      </c>
      <c r="C802">
        <v>4.4686910835277036</v>
      </c>
      <c r="D802">
        <v>6.6000000000000005</v>
      </c>
      <c r="E802">
        <v>0.99963999999999997</v>
      </c>
      <c r="U802" t="s">
        <v>131</v>
      </c>
      <c r="V802" t="s">
        <v>2954</v>
      </c>
      <c r="W802" t="s">
        <v>2955</v>
      </c>
      <c r="X802" t="s">
        <v>2053</v>
      </c>
    </row>
    <row r="803" spans="2:24" x14ac:dyDescent="0.45">
      <c r="B803" t="s">
        <v>934</v>
      </c>
      <c r="C803">
        <v>4.4686910835277036</v>
      </c>
      <c r="D803">
        <v>5.5</v>
      </c>
      <c r="E803">
        <v>0.99970000000000003</v>
      </c>
      <c r="U803" t="s">
        <v>131</v>
      </c>
      <c r="V803" t="s">
        <v>2956</v>
      </c>
      <c r="W803" t="s">
        <v>2955</v>
      </c>
      <c r="X803" t="s">
        <v>2053</v>
      </c>
    </row>
    <row r="804" spans="2:24" x14ac:dyDescent="0.45">
      <c r="B804" t="s">
        <v>935</v>
      </c>
      <c r="C804">
        <v>0.98311203837609484</v>
      </c>
      <c r="D804">
        <v>3.3000000000000003</v>
      </c>
      <c r="E804">
        <v>0.99982000000000004</v>
      </c>
      <c r="U804" t="s">
        <v>131</v>
      </c>
      <c r="V804" t="s">
        <v>2957</v>
      </c>
      <c r="W804" t="s">
        <v>2955</v>
      </c>
      <c r="X804" t="s">
        <v>2053</v>
      </c>
    </row>
    <row r="805" spans="2:24" x14ac:dyDescent="0.45">
      <c r="B805" t="s">
        <v>936</v>
      </c>
      <c r="C805">
        <v>0.98311203837609484</v>
      </c>
      <c r="D805">
        <v>9.9</v>
      </c>
      <c r="E805">
        <v>0.99946000000000002</v>
      </c>
      <c r="U805" t="s">
        <v>131</v>
      </c>
      <c r="V805" t="s">
        <v>2958</v>
      </c>
      <c r="W805" t="s">
        <v>2959</v>
      </c>
      <c r="X805" t="s">
        <v>2053</v>
      </c>
    </row>
    <row r="806" spans="2:24" x14ac:dyDescent="0.45">
      <c r="B806" t="s">
        <v>937</v>
      </c>
      <c r="C806">
        <v>4.4686910835277036</v>
      </c>
      <c r="D806">
        <v>4.4000000000000004</v>
      </c>
      <c r="E806">
        <v>0.99975999999999998</v>
      </c>
      <c r="U806" t="s">
        <v>131</v>
      </c>
      <c r="V806" t="s">
        <v>2960</v>
      </c>
      <c r="W806" t="s">
        <v>2959</v>
      </c>
      <c r="X806" t="s">
        <v>2053</v>
      </c>
    </row>
    <row r="807" spans="2:24" x14ac:dyDescent="0.45">
      <c r="B807" t="s">
        <v>938</v>
      </c>
      <c r="C807">
        <v>11.17172770881926</v>
      </c>
      <c r="D807">
        <v>2.2000000000000002</v>
      </c>
      <c r="E807">
        <v>0.99987999999999999</v>
      </c>
      <c r="U807" t="s">
        <v>131</v>
      </c>
      <c r="V807" t="s">
        <v>2961</v>
      </c>
      <c r="W807" t="s">
        <v>2959</v>
      </c>
      <c r="X807" t="s">
        <v>2053</v>
      </c>
    </row>
    <row r="808" spans="2:24" x14ac:dyDescent="0.45">
      <c r="B808" t="s">
        <v>939</v>
      </c>
      <c r="C808">
        <v>2.2343455417638518</v>
      </c>
      <c r="D808">
        <v>2.2000000000000002</v>
      </c>
      <c r="E808">
        <v>0.99987999999999999</v>
      </c>
      <c r="U808" t="s">
        <v>131</v>
      </c>
      <c r="V808" t="s">
        <v>2962</v>
      </c>
      <c r="W808" t="s">
        <v>2963</v>
      </c>
      <c r="X808" t="s">
        <v>2053</v>
      </c>
    </row>
    <row r="809" spans="2:24" x14ac:dyDescent="0.45">
      <c r="B809" t="s">
        <v>940</v>
      </c>
      <c r="C809">
        <v>4.4686910835277036</v>
      </c>
      <c r="D809">
        <v>3.3000000000000003</v>
      </c>
      <c r="E809">
        <v>0.99982000000000004</v>
      </c>
      <c r="U809" t="s">
        <v>131</v>
      </c>
      <c r="V809" t="s">
        <v>2964</v>
      </c>
      <c r="W809" t="s">
        <v>2963</v>
      </c>
      <c r="X809" t="s">
        <v>2053</v>
      </c>
    </row>
    <row r="810" spans="2:24" x14ac:dyDescent="0.45">
      <c r="B810" t="s">
        <v>941</v>
      </c>
      <c r="C810">
        <v>2.2343455417638518</v>
      </c>
      <c r="D810">
        <v>2.2000000000000002</v>
      </c>
      <c r="E810">
        <v>0.99987999999999999</v>
      </c>
      <c r="U810" t="s">
        <v>131</v>
      </c>
      <c r="V810" t="s">
        <v>2965</v>
      </c>
      <c r="W810" t="s">
        <v>2963</v>
      </c>
      <c r="X810" t="s">
        <v>2053</v>
      </c>
    </row>
    <row r="811" spans="2:24" x14ac:dyDescent="0.45">
      <c r="B811" t="s">
        <v>942</v>
      </c>
      <c r="C811">
        <v>6.7030366252915554</v>
      </c>
      <c r="D811">
        <v>2.2000000000000002</v>
      </c>
      <c r="E811">
        <v>0.99987999999999999</v>
      </c>
      <c r="U811" t="s">
        <v>131</v>
      </c>
      <c r="V811" t="s">
        <v>2966</v>
      </c>
      <c r="W811" t="s">
        <v>2967</v>
      </c>
      <c r="X811" t="s">
        <v>2053</v>
      </c>
    </row>
    <row r="812" spans="2:24" x14ac:dyDescent="0.45">
      <c r="B812" t="s">
        <v>943</v>
      </c>
      <c r="C812">
        <v>11.17172770881926</v>
      </c>
      <c r="D812">
        <v>2.2000000000000002</v>
      </c>
      <c r="E812">
        <v>0.99987999999999999</v>
      </c>
      <c r="U812" t="s">
        <v>131</v>
      </c>
      <c r="V812" t="s">
        <v>2968</v>
      </c>
      <c r="W812" t="s">
        <v>2967</v>
      </c>
      <c r="X812" t="s">
        <v>2053</v>
      </c>
    </row>
    <row r="813" spans="2:24" x14ac:dyDescent="0.45">
      <c r="B813" t="s">
        <v>944</v>
      </c>
      <c r="C813">
        <v>6.7030366252915554</v>
      </c>
      <c r="D813">
        <v>2.2000000000000002</v>
      </c>
      <c r="E813">
        <v>0.99987999999999999</v>
      </c>
      <c r="U813" t="s">
        <v>131</v>
      </c>
      <c r="V813" t="s">
        <v>2969</v>
      </c>
      <c r="W813" t="s">
        <v>2967</v>
      </c>
      <c r="X813" t="s">
        <v>2053</v>
      </c>
    </row>
    <row r="814" spans="2:24" x14ac:dyDescent="0.45">
      <c r="B814" t="s">
        <v>945</v>
      </c>
      <c r="C814">
        <v>8.9373821670554072</v>
      </c>
      <c r="D814">
        <v>2.2000000000000002</v>
      </c>
      <c r="E814">
        <v>0.99987999999999999</v>
      </c>
      <c r="U814" t="s">
        <v>131</v>
      </c>
      <c r="V814" t="s">
        <v>2970</v>
      </c>
      <c r="W814" t="s">
        <v>2971</v>
      </c>
      <c r="X814" t="s">
        <v>2053</v>
      </c>
    </row>
    <row r="815" spans="2:24" x14ac:dyDescent="0.45">
      <c r="B815" t="s">
        <v>946</v>
      </c>
      <c r="C815">
        <v>4.4686910835277036</v>
      </c>
      <c r="D815">
        <v>3.3000000000000003</v>
      </c>
      <c r="E815">
        <v>0.99982000000000004</v>
      </c>
      <c r="U815" t="s">
        <v>131</v>
      </c>
      <c r="V815" t="s">
        <v>2972</v>
      </c>
      <c r="W815" t="s">
        <v>2971</v>
      </c>
      <c r="X815" t="s">
        <v>2053</v>
      </c>
    </row>
    <row r="816" spans="2:24" x14ac:dyDescent="0.45">
      <c r="B816" t="s">
        <v>947</v>
      </c>
      <c r="C816">
        <v>4.4686910835277036</v>
      </c>
      <c r="D816">
        <v>6.6000000000000005</v>
      </c>
      <c r="E816">
        <v>0.99963999999999997</v>
      </c>
      <c r="U816" t="s">
        <v>131</v>
      </c>
      <c r="V816" t="s">
        <v>2973</v>
      </c>
      <c r="W816" t="s">
        <v>2971</v>
      </c>
      <c r="X816" t="s">
        <v>2053</v>
      </c>
    </row>
    <row r="817" spans="2:24" x14ac:dyDescent="0.45">
      <c r="B817" t="s">
        <v>948</v>
      </c>
      <c r="C817">
        <v>0.98311203837609484</v>
      </c>
      <c r="D817">
        <v>26.400000000000002</v>
      </c>
      <c r="E817">
        <v>0.99856</v>
      </c>
      <c r="U817" t="s">
        <v>131</v>
      </c>
      <c r="V817" t="s">
        <v>2974</v>
      </c>
      <c r="W817" t="s">
        <v>2975</v>
      </c>
      <c r="X817" t="s">
        <v>2053</v>
      </c>
    </row>
    <row r="818" spans="2:24" x14ac:dyDescent="0.45">
      <c r="B818" t="s">
        <v>949</v>
      </c>
      <c r="C818">
        <v>4.4686910835277036</v>
      </c>
      <c r="D818">
        <v>4.4000000000000004</v>
      </c>
      <c r="E818">
        <v>0.99975999999999998</v>
      </c>
      <c r="U818" t="s">
        <v>131</v>
      </c>
      <c r="V818" t="s">
        <v>2976</v>
      </c>
      <c r="W818" t="s">
        <v>2975</v>
      </c>
      <c r="X818" t="s">
        <v>2053</v>
      </c>
    </row>
    <row r="819" spans="2:24" x14ac:dyDescent="0.45">
      <c r="B819" t="s">
        <v>950</v>
      </c>
      <c r="C819">
        <v>4.4686910835277036</v>
      </c>
      <c r="D819">
        <v>5.5</v>
      </c>
      <c r="E819">
        <v>0.99970000000000003</v>
      </c>
      <c r="U819" t="s">
        <v>131</v>
      </c>
      <c r="V819" t="s">
        <v>2977</v>
      </c>
      <c r="W819" t="s">
        <v>2975</v>
      </c>
      <c r="X819" t="s">
        <v>2053</v>
      </c>
    </row>
    <row r="820" spans="2:24" x14ac:dyDescent="0.45">
      <c r="B820" t="s">
        <v>951</v>
      </c>
      <c r="C820">
        <v>4.4686910835277036</v>
      </c>
      <c r="D820">
        <v>2.2000000000000002</v>
      </c>
      <c r="E820">
        <v>0.99987999999999999</v>
      </c>
      <c r="U820" t="s">
        <v>131</v>
      </c>
      <c r="V820" t="s">
        <v>2978</v>
      </c>
      <c r="W820" t="s">
        <v>2979</v>
      </c>
      <c r="X820" t="s">
        <v>2053</v>
      </c>
    </row>
    <row r="821" spans="2:24" x14ac:dyDescent="0.45">
      <c r="B821" t="s">
        <v>952</v>
      </c>
      <c r="C821">
        <v>8.9373821670554072</v>
      </c>
      <c r="D821">
        <v>4.4000000000000004</v>
      </c>
      <c r="E821">
        <v>0.99975999999999998</v>
      </c>
      <c r="U821" t="s">
        <v>131</v>
      </c>
      <c r="V821" t="s">
        <v>2980</v>
      </c>
      <c r="W821" t="s">
        <v>2979</v>
      </c>
      <c r="X821" t="s">
        <v>2053</v>
      </c>
    </row>
    <row r="822" spans="2:24" x14ac:dyDescent="0.45">
      <c r="B822" t="s">
        <v>953</v>
      </c>
      <c r="C822">
        <v>0.98311203837609484</v>
      </c>
      <c r="D822">
        <v>19.8</v>
      </c>
      <c r="E822">
        <v>0.99892000000000003</v>
      </c>
      <c r="U822" t="s">
        <v>131</v>
      </c>
      <c r="V822" t="s">
        <v>2981</v>
      </c>
      <c r="W822" t="s">
        <v>2979</v>
      </c>
      <c r="X822" t="s">
        <v>2053</v>
      </c>
    </row>
    <row r="823" spans="2:24" x14ac:dyDescent="0.45">
      <c r="B823" t="s">
        <v>954</v>
      </c>
      <c r="C823">
        <v>4.4686910835277036</v>
      </c>
      <c r="D823">
        <v>4.4000000000000004</v>
      </c>
      <c r="E823">
        <v>0.99975999999999998</v>
      </c>
      <c r="U823" t="s">
        <v>131</v>
      </c>
      <c r="V823" t="s">
        <v>2982</v>
      </c>
      <c r="W823" t="s">
        <v>2983</v>
      </c>
      <c r="X823" t="s">
        <v>2053</v>
      </c>
    </row>
    <row r="824" spans="2:24" x14ac:dyDescent="0.45">
      <c r="B824" t="s">
        <v>955</v>
      </c>
      <c r="C824">
        <v>11.17172770881926</v>
      </c>
      <c r="D824">
        <v>4.4000000000000004</v>
      </c>
      <c r="E824">
        <v>0.99975999999999998</v>
      </c>
      <c r="U824" t="s">
        <v>131</v>
      </c>
      <c r="V824" t="s">
        <v>2984</v>
      </c>
      <c r="W824" t="s">
        <v>2983</v>
      </c>
      <c r="X824" t="s">
        <v>2053</v>
      </c>
    </row>
    <row r="825" spans="2:24" x14ac:dyDescent="0.45">
      <c r="B825" t="s">
        <v>956</v>
      </c>
      <c r="C825">
        <v>2.2343455417638518</v>
      </c>
      <c r="D825">
        <v>4.4000000000000004</v>
      </c>
      <c r="E825">
        <v>0.99975999999999998</v>
      </c>
      <c r="U825" t="s">
        <v>131</v>
      </c>
      <c r="V825" t="s">
        <v>2985</v>
      </c>
      <c r="W825" t="s">
        <v>2983</v>
      </c>
      <c r="X825" t="s">
        <v>2053</v>
      </c>
    </row>
    <row r="826" spans="2:24" x14ac:dyDescent="0.45">
      <c r="B826" t="s">
        <v>957</v>
      </c>
      <c r="C826">
        <v>8.9373821670554072</v>
      </c>
      <c r="D826">
        <v>3.3000000000000003</v>
      </c>
      <c r="E826">
        <v>0.99982000000000004</v>
      </c>
      <c r="U826" t="s">
        <v>131</v>
      </c>
      <c r="V826" t="s">
        <v>2986</v>
      </c>
      <c r="W826" t="s">
        <v>2987</v>
      </c>
      <c r="X826" t="s">
        <v>2053</v>
      </c>
    </row>
    <row r="827" spans="2:24" x14ac:dyDescent="0.45">
      <c r="B827" t="s">
        <v>958</v>
      </c>
      <c r="C827">
        <v>4.4686910835277036</v>
      </c>
      <c r="D827">
        <v>7.7000000000000011</v>
      </c>
      <c r="E827">
        <v>0.99958000000000002</v>
      </c>
      <c r="U827" t="s">
        <v>131</v>
      </c>
      <c r="V827" t="s">
        <v>2988</v>
      </c>
      <c r="W827" t="s">
        <v>2987</v>
      </c>
      <c r="X827" t="s">
        <v>2053</v>
      </c>
    </row>
    <row r="828" spans="2:24" x14ac:dyDescent="0.45">
      <c r="B828" t="s">
        <v>959</v>
      </c>
      <c r="C828">
        <v>4.4686910835277036</v>
      </c>
      <c r="D828">
        <v>3.3000000000000003</v>
      </c>
      <c r="E828">
        <v>0.99982000000000004</v>
      </c>
      <c r="U828" t="s">
        <v>131</v>
      </c>
      <c r="V828" t="s">
        <v>2989</v>
      </c>
      <c r="W828" t="s">
        <v>2052</v>
      </c>
      <c r="X828" t="s">
        <v>2053</v>
      </c>
    </row>
    <row r="829" spans="2:24" x14ac:dyDescent="0.45">
      <c r="B829" t="s">
        <v>960</v>
      </c>
      <c r="C829">
        <v>6.7030366252915554</v>
      </c>
      <c r="D829">
        <v>1.1000000000000001</v>
      </c>
      <c r="E829">
        <v>0.99994000000000005</v>
      </c>
      <c r="U829" t="s">
        <v>131</v>
      </c>
      <c r="V829" t="s">
        <v>2990</v>
      </c>
      <c r="W829" t="s">
        <v>2052</v>
      </c>
      <c r="X829" t="s">
        <v>2053</v>
      </c>
    </row>
    <row r="830" spans="2:24" x14ac:dyDescent="0.45">
      <c r="B830" t="s">
        <v>961</v>
      </c>
      <c r="C830">
        <v>2.2343455417638518</v>
      </c>
      <c r="D830">
        <v>1.1000000000000001</v>
      </c>
      <c r="E830">
        <v>0.99994000000000005</v>
      </c>
      <c r="U830" t="s">
        <v>131</v>
      </c>
      <c r="V830" t="s">
        <v>2991</v>
      </c>
      <c r="W830" t="s">
        <v>2067</v>
      </c>
      <c r="X830" t="s">
        <v>2053</v>
      </c>
    </row>
    <row r="831" spans="2:24" x14ac:dyDescent="0.45">
      <c r="B831" t="s">
        <v>962</v>
      </c>
      <c r="C831">
        <v>8.9373821670554072</v>
      </c>
      <c r="D831">
        <v>2.2000000000000002</v>
      </c>
      <c r="E831">
        <v>0.99987999999999999</v>
      </c>
      <c r="U831" t="s">
        <v>131</v>
      </c>
      <c r="V831" t="s">
        <v>2992</v>
      </c>
      <c r="W831" t="s">
        <v>2067</v>
      </c>
      <c r="X831" t="s">
        <v>2053</v>
      </c>
    </row>
    <row r="832" spans="2:24" x14ac:dyDescent="0.45">
      <c r="B832" t="s">
        <v>963</v>
      </c>
      <c r="C832">
        <v>4.4686910835277036</v>
      </c>
      <c r="D832">
        <v>2.2000000000000002</v>
      </c>
      <c r="E832">
        <v>0.99987999999999999</v>
      </c>
      <c r="U832" t="s">
        <v>131</v>
      </c>
      <c r="V832" t="s">
        <v>2993</v>
      </c>
      <c r="W832" t="s">
        <v>2081</v>
      </c>
      <c r="X832" t="s">
        <v>2053</v>
      </c>
    </row>
    <row r="833" spans="2:24" x14ac:dyDescent="0.45">
      <c r="B833" t="s">
        <v>964</v>
      </c>
      <c r="C833">
        <v>4.4686910835277036</v>
      </c>
      <c r="D833">
        <v>1.1000000000000001</v>
      </c>
      <c r="E833">
        <v>0.99994000000000005</v>
      </c>
      <c r="U833" t="s">
        <v>131</v>
      </c>
      <c r="V833" t="s">
        <v>2994</v>
      </c>
      <c r="W833" t="s">
        <v>2081</v>
      </c>
      <c r="X833" t="s">
        <v>2053</v>
      </c>
    </row>
    <row r="834" spans="2:24" x14ac:dyDescent="0.45">
      <c r="B834" t="s">
        <v>965</v>
      </c>
      <c r="C834">
        <v>4.4686910835277036</v>
      </c>
      <c r="D834">
        <v>8.8000000000000007</v>
      </c>
      <c r="E834">
        <v>0.99951999999999996</v>
      </c>
      <c r="U834" t="s">
        <v>131</v>
      </c>
      <c r="V834" t="s">
        <v>2995</v>
      </c>
      <c r="W834" t="s">
        <v>2095</v>
      </c>
      <c r="X834" t="s">
        <v>2053</v>
      </c>
    </row>
    <row r="835" spans="2:24" x14ac:dyDescent="0.45">
      <c r="B835" t="s">
        <v>966</v>
      </c>
      <c r="C835">
        <v>4.4686910835277036</v>
      </c>
      <c r="D835">
        <v>2.2000000000000002</v>
      </c>
      <c r="E835">
        <v>0.99987999999999999</v>
      </c>
      <c r="U835" t="s">
        <v>131</v>
      </c>
      <c r="V835" t="s">
        <v>2996</v>
      </c>
      <c r="W835" t="s">
        <v>2095</v>
      </c>
      <c r="X835" t="s">
        <v>2053</v>
      </c>
    </row>
    <row r="836" spans="2:24" x14ac:dyDescent="0.45">
      <c r="B836" t="s">
        <v>967</v>
      </c>
      <c r="C836">
        <v>4.4686910835277036</v>
      </c>
      <c r="D836">
        <v>1.1000000000000001</v>
      </c>
      <c r="E836">
        <v>0.99994000000000005</v>
      </c>
      <c r="U836" t="s">
        <v>131</v>
      </c>
      <c r="V836" t="s">
        <v>2997</v>
      </c>
      <c r="W836" t="s">
        <v>2109</v>
      </c>
      <c r="X836" t="s">
        <v>2053</v>
      </c>
    </row>
    <row r="837" spans="2:24" x14ac:dyDescent="0.45">
      <c r="B837" t="s">
        <v>968</v>
      </c>
      <c r="C837">
        <v>4.4686910835277036</v>
      </c>
      <c r="D837">
        <v>2.2000000000000002</v>
      </c>
      <c r="E837">
        <v>0.99987999999999999</v>
      </c>
      <c r="U837" t="s">
        <v>131</v>
      </c>
      <c r="V837" t="s">
        <v>2998</v>
      </c>
      <c r="W837" t="s">
        <v>2109</v>
      </c>
      <c r="X837" t="s">
        <v>2053</v>
      </c>
    </row>
    <row r="838" spans="2:24" x14ac:dyDescent="0.45">
      <c r="B838" t="s">
        <v>969</v>
      </c>
      <c r="C838">
        <v>4.4686910835277036</v>
      </c>
      <c r="D838">
        <v>3.3000000000000003</v>
      </c>
      <c r="E838">
        <v>0.99982000000000004</v>
      </c>
      <c r="U838" t="s">
        <v>131</v>
      </c>
      <c r="V838" t="s">
        <v>2999</v>
      </c>
      <c r="W838" t="s">
        <v>2123</v>
      </c>
      <c r="X838" t="s">
        <v>2053</v>
      </c>
    </row>
    <row r="839" spans="2:24" x14ac:dyDescent="0.45">
      <c r="B839" t="s">
        <v>970</v>
      </c>
      <c r="C839">
        <v>4.4686910835277036</v>
      </c>
      <c r="D839">
        <v>7.7000000000000011</v>
      </c>
      <c r="E839">
        <v>0.99958000000000002</v>
      </c>
      <c r="U839" t="s">
        <v>131</v>
      </c>
      <c r="V839" t="s">
        <v>3000</v>
      </c>
      <c r="W839" t="s">
        <v>2123</v>
      </c>
      <c r="X839" t="s">
        <v>2053</v>
      </c>
    </row>
    <row r="840" spans="2:24" x14ac:dyDescent="0.45">
      <c r="B840" t="s">
        <v>971</v>
      </c>
      <c r="C840">
        <v>4.4686910835277036</v>
      </c>
      <c r="D840">
        <v>3.3000000000000003</v>
      </c>
      <c r="E840">
        <v>0.99982000000000004</v>
      </c>
      <c r="U840" t="s">
        <v>131</v>
      </c>
      <c r="V840" t="s">
        <v>3001</v>
      </c>
      <c r="W840" t="s">
        <v>2137</v>
      </c>
      <c r="X840" t="s">
        <v>2053</v>
      </c>
    </row>
    <row r="841" spans="2:24" x14ac:dyDescent="0.45">
      <c r="B841" t="s">
        <v>972</v>
      </c>
      <c r="C841">
        <v>4.4686910835277036</v>
      </c>
      <c r="D841">
        <v>2.2000000000000002</v>
      </c>
      <c r="E841">
        <v>0.99987999999999999</v>
      </c>
      <c r="U841" t="s">
        <v>131</v>
      </c>
      <c r="V841" t="s">
        <v>3002</v>
      </c>
      <c r="W841" t="s">
        <v>2137</v>
      </c>
      <c r="X841" t="s">
        <v>2053</v>
      </c>
    </row>
    <row r="842" spans="2:24" x14ac:dyDescent="0.45">
      <c r="B842" t="s">
        <v>973</v>
      </c>
      <c r="C842">
        <v>4.4686910835277036</v>
      </c>
      <c r="D842">
        <v>5.5</v>
      </c>
      <c r="E842">
        <v>0.99970000000000003</v>
      </c>
      <c r="U842" t="s">
        <v>131</v>
      </c>
      <c r="V842" t="s">
        <v>3003</v>
      </c>
      <c r="W842" t="s">
        <v>2151</v>
      </c>
      <c r="X842" t="s">
        <v>2053</v>
      </c>
    </row>
    <row r="843" spans="2:24" x14ac:dyDescent="0.45">
      <c r="B843" t="s">
        <v>974</v>
      </c>
      <c r="C843">
        <v>0.98311203837609484</v>
      </c>
      <c r="D843">
        <v>9.9</v>
      </c>
      <c r="E843">
        <v>0.99946000000000002</v>
      </c>
      <c r="U843" t="s">
        <v>131</v>
      </c>
      <c r="V843" t="s">
        <v>3004</v>
      </c>
      <c r="W843" t="s">
        <v>2151</v>
      </c>
      <c r="X843" t="s">
        <v>2053</v>
      </c>
    </row>
    <row r="844" spans="2:24" x14ac:dyDescent="0.45">
      <c r="B844" t="s">
        <v>975</v>
      </c>
      <c r="C844">
        <v>4.4686910835277036</v>
      </c>
      <c r="D844">
        <v>6.6000000000000005</v>
      </c>
      <c r="E844">
        <v>0.99963999999999997</v>
      </c>
      <c r="U844" t="s">
        <v>131</v>
      </c>
      <c r="V844" t="s">
        <v>3005</v>
      </c>
      <c r="W844" t="s">
        <v>2165</v>
      </c>
      <c r="X844" t="s">
        <v>2053</v>
      </c>
    </row>
    <row r="845" spans="2:24" x14ac:dyDescent="0.45">
      <c r="B845" t="s">
        <v>976</v>
      </c>
      <c r="C845">
        <v>4.4686910835277036</v>
      </c>
      <c r="D845">
        <v>5.5</v>
      </c>
      <c r="E845">
        <v>0.99970000000000003</v>
      </c>
      <c r="U845" t="s">
        <v>131</v>
      </c>
      <c r="V845" t="s">
        <v>3006</v>
      </c>
      <c r="W845" t="s">
        <v>2165</v>
      </c>
      <c r="X845" t="s">
        <v>2053</v>
      </c>
    </row>
    <row r="846" spans="2:24" x14ac:dyDescent="0.45">
      <c r="B846" t="s">
        <v>977</v>
      </c>
      <c r="C846">
        <v>0.49155601918804742</v>
      </c>
      <c r="D846">
        <v>2.2000000000000002</v>
      </c>
      <c r="E846">
        <v>0.99987999999999999</v>
      </c>
      <c r="U846" t="s">
        <v>131</v>
      </c>
      <c r="V846" t="s">
        <v>3007</v>
      </c>
      <c r="W846" t="s">
        <v>2179</v>
      </c>
      <c r="X846" t="s">
        <v>2053</v>
      </c>
    </row>
    <row r="847" spans="2:24" x14ac:dyDescent="0.45">
      <c r="B847" t="s">
        <v>978</v>
      </c>
      <c r="C847">
        <v>0.98311203837609484</v>
      </c>
      <c r="D847">
        <v>6.6000000000000005</v>
      </c>
      <c r="E847">
        <v>0.99963999999999997</v>
      </c>
      <c r="U847" t="s">
        <v>131</v>
      </c>
      <c r="V847" t="s">
        <v>3008</v>
      </c>
      <c r="W847" t="s">
        <v>2179</v>
      </c>
      <c r="X847" t="s">
        <v>2053</v>
      </c>
    </row>
    <row r="848" spans="2:24" x14ac:dyDescent="0.45">
      <c r="B848" t="s">
        <v>979</v>
      </c>
      <c r="C848">
        <v>0.49155601918804742</v>
      </c>
      <c r="D848">
        <v>4.4000000000000004</v>
      </c>
      <c r="E848">
        <v>0.99975999999999998</v>
      </c>
      <c r="U848" t="s">
        <v>131</v>
      </c>
      <c r="V848" t="s">
        <v>3009</v>
      </c>
      <c r="W848" t="s">
        <v>2193</v>
      </c>
      <c r="X848" t="s">
        <v>2053</v>
      </c>
    </row>
    <row r="849" spans="2:24" x14ac:dyDescent="0.45">
      <c r="B849" t="s">
        <v>980</v>
      </c>
      <c r="C849">
        <v>0.49155601918804742</v>
      </c>
      <c r="D849">
        <v>4.4000000000000004</v>
      </c>
      <c r="E849">
        <v>0.99975999999999998</v>
      </c>
      <c r="U849" t="s">
        <v>131</v>
      </c>
      <c r="V849" t="s">
        <v>3010</v>
      </c>
      <c r="W849" t="s">
        <v>2193</v>
      </c>
      <c r="X849" t="s">
        <v>2053</v>
      </c>
    </row>
    <row r="850" spans="2:24" x14ac:dyDescent="0.45">
      <c r="B850" t="s">
        <v>981</v>
      </c>
      <c r="C850">
        <v>0.98311203837609484</v>
      </c>
      <c r="D850">
        <v>61.600000000000009</v>
      </c>
      <c r="E850">
        <v>0.99663999999999997</v>
      </c>
      <c r="U850" t="s">
        <v>131</v>
      </c>
      <c r="V850" t="s">
        <v>3011</v>
      </c>
      <c r="W850" t="s">
        <v>2207</v>
      </c>
      <c r="X850" t="s">
        <v>2053</v>
      </c>
    </row>
    <row r="851" spans="2:24" x14ac:dyDescent="0.45">
      <c r="B851" t="s">
        <v>982</v>
      </c>
      <c r="C851">
        <v>4.4686910835277036</v>
      </c>
      <c r="D851">
        <v>3.3000000000000003</v>
      </c>
      <c r="E851">
        <v>0.99982000000000004</v>
      </c>
      <c r="U851" t="s">
        <v>131</v>
      </c>
      <c r="V851" t="s">
        <v>3012</v>
      </c>
      <c r="W851" t="s">
        <v>2207</v>
      </c>
      <c r="X851" t="s">
        <v>2053</v>
      </c>
    </row>
    <row r="852" spans="2:24" x14ac:dyDescent="0.45">
      <c r="B852" t="s">
        <v>983</v>
      </c>
      <c r="C852">
        <v>4.4686910835277036</v>
      </c>
      <c r="D852">
        <v>2.2000000000000002</v>
      </c>
      <c r="E852">
        <v>0.99987999999999999</v>
      </c>
      <c r="U852" t="s">
        <v>131</v>
      </c>
      <c r="V852" t="s">
        <v>3013</v>
      </c>
      <c r="W852" t="s">
        <v>2221</v>
      </c>
      <c r="X852" t="s">
        <v>2053</v>
      </c>
    </row>
    <row r="853" spans="2:24" x14ac:dyDescent="0.45">
      <c r="B853" t="s">
        <v>984</v>
      </c>
      <c r="C853">
        <v>4.4686910835277036</v>
      </c>
      <c r="D853">
        <v>3.3000000000000003</v>
      </c>
      <c r="E853">
        <v>0.99982000000000004</v>
      </c>
      <c r="U853" t="s">
        <v>131</v>
      </c>
      <c r="V853" t="s">
        <v>3014</v>
      </c>
      <c r="W853" t="s">
        <v>2221</v>
      </c>
      <c r="X853" t="s">
        <v>2053</v>
      </c>
    </row>
    <row r="854" spans="2:24" x14ac:dyDescent="0.45">
      <c r="B854" t="s">
        <v>985</v>
      </c>
      <c r="C854">
        <v>0.98311203837609484</v>
      </c>
      <c r="D854">
        <v>19.8</v>
      </c>
      <c r="E854">
        <v>0.99892000000000003</v>
      </c>
      <c r="U854" t="s">
        <v>131</v>
      </c>
      <c r="V854" t="s">
        <v>3015</v>
      </c>
      <c r="W854" t="s">
        <v>2235</v>
      </c>
      <c r="X854" t="s">
        <v>2053</v>
      </c>
    </row>
    <row r="855" spans="2:24" x14ac:dyDescent="0.45">
      <c r="B855" t="s">
        <v>986</v>
      </c>
      <c r="C855">
        <v>2.2343455417638518</v>
      </c>
      <c r="D855">
        <v>2.2000000000000002</v>
      </c>
      <c r="E855">
        <v>0.99987999999999999</v>
      </c>
      <c r="U855" t="s">
        <v>131</v>
      </c>
      <c r="V855" t="s">
        <v>3016</v>
      </c>
      <c r="W855" t="s">
        <v>2235</v>
      </c>
      <c r="X855" t="s">
        <v>2053</v>
      </c>
    </row>
    <row r="856" spans="2:24" x14ac:dyDescent="0.45">
      <c r="B856" t="s">
        <v>987</v>
      </c>
      <c r="C856">
        <v>4.4686910835277036</v>
      </c>
      <c r="D856">
        <v>6.6000000000000005</v>
      </c>
      <c r="E856">
        <v>0.99963999999999997</v>
      </c>
      <c r="U856" t="s">
        <v>131</v>
      </c>
      <c r="V856" t="s">
        <v>3017</v>
      </c>
      <c r="W856" t="s">
        <v>2030</v>
      </c>
      <c r="X856" t="s">
        <v>2053</v>
      </c>
    </row>
    <row r="857" spans="2:24" x14ac:dyDescent="0.45">
      <c r="B857" t="s">
        <v>988</v>
      </c>
      <c r="C857">
        <v>6.7030366252915554</v>
      </c>
      <c r="D857">
        <v>1.1000000000000001</v>
      </c>
      <c r="E857">
        <v>0.99994000000000005</v>
      </c>
      <c r="U857" t="s">
        <v>131</v>
      </c>
      <c r="V857" t="s">
        <v>3018</v>
      </c>
      <c r="W857" t="s">
        <v>2030</v>
      </c>
      <c r="X857" t="s">
        <v>2053</v>
      </c>
    </row>
    <row r="858" spans="2:24" x14ac:dyDescent="0.45">
      <c r="B858" t="s">
        <v>989</v>
      </c>
      <c r="C858">
        <v>2.2343455417638518</v>
      </c>
      <c r="D858">
        <v>6.6000000000000005</v>
      </c>
      <c r="E858">
        <v>0.99963999999999997</v>
      </c>
      <c r="U858" t="s">
        <v>131</v>
      </c>
      <c r="V858" t="s">
        <v>3019</v>
      </c>
      <c r="W858" t="s">
        <v>2262</v>
      </c>
      <c r="X858" t="s">
        <v>2053</v>
      </c>
    </row>
    <row r="859" spans="2:24" x14ac:dyDescent="0.45">
      <c r="B859" t="s">
        <v>990</v>
      </c>
      <c r="C859">
        <v>2.2343455417638518</v>
      </c>
      <c r="D859">
        <v>4.4000000000000004</v>
      </c>
      <c r="E859">
        <v>0.99975999999999998</v>
      </c>
      <c r="U859" t="s">
        <v>131</v>
      </c>
      <c r="V859" t="s">
        <v>3020</v>
      </c>
      <c r="W859" t="s">
        <v>2262</v>
      </c>
      <c r="X859" t="s">
        <v>2053</v>
      </c>
    </row>
    <row r="860" spans="2:24" x14ac:dyDescent="0.45">
      <c r="B860" t="s">
        <v>991</v>
      </c>
      <c r="C860">
        <v>4.4686910835277036</v>
      </c>
      <c r="D860">
        <v>6.6000000000000005</v>
      </c>
      <c r="E860">
        <v>0.99963999999999997</v>
      </c>
      <c r="U860" t="s">
        <v>131</v>
      </c>
      <c r="V860" t="s">
        <v>3021</v>
      </c>
      <c r="W860" t="s">
        <v>2276</v>
      </c>
      <c r="X860" t="s">
        <v>2053</v>
      </c>
    </row>
    <row r="861" spans="2:24" x14ac:dyDescent="0.45">
      <c r="B861" t="s">
        <v>992</v>
      </c>
      <c r="C861">
        <v>2.2343455417638518</v>
      </c>
      <c r="D861">
        <v>14.3</v>
      </c>
      <c r="E861">
        <v>0.99922</v>
      </c>
      <c r="U861" t="s">
        <v>131</v>
      </c>
      <c r="V861" t="s">
        <v>3022</v>
      </c>
      <c r="W861" t="s">
        <v>2276</v>
      </c>
      <c r="X861" t="s">
        <v>2053</v>
      </c>
    </row>
    <row r="862" spans="2:24" x14ac:dyDescent="0.45">
      <c r="B862" t="s">
        <v>993</v>
      </c>
      <c r="C862">
        <v>4.4686910835277036</v>
      </c>
      <c r="D862">
        <v>2.2000000000000002</v>
      </c>
      <c r="E862">
        <v>0.99987999999999999</v>
      </c>
      <c r="U862" t="s">
        <v>131</v>
      </c>
      <c r="V862" t="s">
        <v>3023</v>
      </c>
      <c r="W862" t="s">
        <v>2290</v>
      </c>
      <c r="X862" t="s">
        <v>2053</v>
      </c>
    </row>
    <row r="863" spans="2:24" x14ac:dyDescent="0.45">
      <c r="B863" t="s">
        <v>994</v>
      </c>
      <c r="C863">
        <v>4.4686910835277036</v>
      </c>
      <c r="D863">
        <v>3.3000000000000003</v>
      </c>
      <c r="E863">
        <v>0.99982000000000004</v>
      </c>
      <c r="U863" t="s">
        <v>131</v>
      </c>
      <c r="V863" t="s">
        <v>3024</v>
      </c>
      <c r="W863" t="s">
        <v>2290</v>
      </c>
      <c r="X863" t="s">
        <v>2053</v>
      </c>
    </row>
    <row r="864" spans="2:24" x14ac:dyDescent="0.45">
      <c r="B864" t="s">
        <v>995</v>
      </c>
      <c r="C864">
        <v>0.98311203837609484</v>
      </c>
      <c r="D864">
        <v>30.800000000000004</v>
      </c>
      <c r="E864">
        <v>0.99831999999999999</v>
      </c>
      <c r="U864" t="s">
        <v>131</v>
      </c>
      <c r="V864" t="s">
        <v>3025</v>
      </c>
      <c r="W864" t="s">
        <v>2304</v>
      </c>
      <c r="X864" t="s">
        <v>2053</v>
      </c>
    </row>
    <row r="865" spans="2:24" x14ac:dyDescent="0.45">
      <c r="B865" t="s">
        <v>996</v>
      </c>
      <c r="C865">
        <v>2.2343455417638518</v>
      </c>
      <c r="D865">
        <v>4.4000000000000004</v>
      </c>
      <c r="E865">
        <v>0.99975999999999998</v>
      </c>
      <c r="U865" t="s">
        <v>131</v>
      </c>
      <c r="V865" t="s">
        <v>3026</v>
      </c>
      <c r="W865" t="s">
        <v>2304</v>
      </c>
      <c r="X865" t="s">
        <v>2053</v>
      </c>
    </row>
    <row r="866" spans="2:24" x14ac:dyDescent="0.45">
      <c r="B866" t="s">
        <v>997</v>
      </c>
      <c r="C866">
        <v>2.2343455417638518</v>
      </c>
      <c r="D866">
        <v>1.1000000000000001</v>
      </c>
      <c r="E866">
        <v>0.99994000000000005</v>
      </c>
      <c r="U866" t="s">
        <v>131</v>
      </c>
      <c r="V866" t="s">
        <v>3027</v>
      </c>
      <c r="W866" t="s">
        <v>2318</v>
      </c>
      <c r="X866" t="s">
        <v>2053</v>
      </c>
    </row>
    <row r="867" spans="2:24" x14ac:dyDescent="0.45">
      <c r="B867" t="s">
        <v>998</v>
      </c>
      <c r="C867">
        <v>4.4686910835277036</v>
      </c>
      <c r="D867">
        <v>1.1000000000000001</v>
      </c>
      <c r="E867">
        <v>0.99994000000000005</v>
      </c>
      <c r="U867" t="s">
        <v>131</v>
      </c>
      <c r="V867" t="s">
        <v>3028</v>
      </c>
      <c r="W867" t="s">
        <v>2318</v>
      </c>
      <c r="X867" t="s">
        <v>2053</v>
      </c>
    </row>
    <row r="868" spans="2:24" x14ac:dyDescent="0.45">
      <c r="B868" t="s">
        <v>999</v>
      </c>
      <c r="C868">
        <v>2.2343455417638518</v>
      </c>
      <c r="D868">
        <v>2.2000000000000002</v>
      </c>
      <c r="E868">
        <v>0.99987999999999999</v>
      </c>
      <c r="U868" t="s">
        <v>131</v>
      </c>
      <c r="V868" t="s">
        <v>3029</v>
      </c>
      <c r="W868" t="s">
        <v>2332</v>
      </c>
      <c r="X868" t="s">
        <v>2053</v>
      </c>
    </row>
    <row r="869" spans="2:24" x14ac:dyDescent="0.45">
      <c r="B869" t="s">
        <v>1000</v>
      </c>
      <c r="C869">
        <v>4.4686910835277036</v>
      </c>
      <c r="D869">
        <v>3.3000000000000003</v>
      </c>
      <c r="E869">
        <v>0.99982000000000004</v>
      </c>
      <c r="U869" t="s">
        <v>131</v>
      </c>
      <c r="V869" t="s">
        <v>3030</v>
      </c>
      <c r="W869" t="s">
        <v>2332</v>
      </c>
      <c r="X869" t="s">
        <v>2053</v>
      </c>
    </row>
    <row r="870" spans="2:24" x14ac:dyDescent="0.45">
      <c r="B870" t="s">
        <v>1001</v>
      </c>
      <c r="C870">
        <v>4.4686910835277036</v>
      </c>
      <c r="D870">
        <v>4.4000000000000004</v>
      </c>
      <c r="E870">
        <v>0.99975999999999998</v>
      </c>
      <c r="U870" t="s">
        <v>131</v>
      </c>
      <c r="V870" t="s">
        <v>3031</v>
      </c>
      <c r="W870" t="s">
        <v>2346</v>
      </c>
      <c r="X870" t="s">
        <v>2053</v>
      </c>
    </row>
    <row r="871" spans="2:24" x14ac:dyDescent="0.45">
      <c r="B871" t="s">
        <v>1002</v>
      </c>
      <c r="C871">
        <v>6.7030366252915554</v>
      </c>
      <c r="D871">
        <v>3.3000000000000003</v>
      </c>
      <c r="E871">
        <v>0.99982000000000004</v>
      </c>
      <c r="U871" t="s">
        <v>131</v>
      </c>
      <c r="V871" t="s">
        <v>3032</v>
      </c>
      <c r="W871" t="s">
        <v>2346</v>
      </c>
      <c r="X871" t="s">
        <v>2053</v>
      </c>
    </row>
    <row r="872" spans="2:24" x14ac:dyDescent="0.45">
      <c r="B872" t="s">
        <v>1003</v>
      </c>
      <c r="C872">
        <v>4.4686910835277036</v>
      </c>
      <c r="D872">
        <v>6.6000000000000005</v>
      </c>
      <c r="E872">
        <v>0.99963999999999997</v>
      </c>
      <c r="U872" t="s">
        <v>131</v>
      </c>
      <c r="V872" t="s">
        <v>3033</v>
      </c>
      <c r="W872" t="s">
        <v>2360</v>
      </c>
      <c r="X872" t="s">
        <v>2053</v>
      </c>
    </row>
    <row r="873" spans="2:24" x14ac:dyDescent="0.45">
      <c r="B873" t="s">
        <v>1004</v>
      </c>
      <c r="C873">
        <v>2.2343455417638518</v>
      </c>
      <c r="D873">
        <v>1.1000000000000001</v>
      </c>
      <c r="E873">
        <v>0.99994000000000005</v>
      </c>
      <c r="U873" t="s">
        <v>131</v>
      </c>
      <c r="V873" t="s">
        <v>3034</v>
      </c>
      <c r="W873" t="s">
        <v>2360</v>
      </c>
      <c r="X873" t="s">
        <v>2053</v>
      </c>
    </row>
    <row r="874" spans="2:24" x14ac:dyDescent="0.45">
      <c r="B874" t="s">
        <v>1005</v>
      </c>
      <c r="C874">
        <v>4.4686910835277036</v>
      </c>
      <c r="D874">
        <v>1.1000000000000001</v>
      </c>
      <c r="E874">
        <v>0.99994000000000005</v>
      </c>
      <c r="U874" t="s">
        <v>131</v>
      </c>
      <c r="V874" t="s">
        <v>3035</v>
      </c>
      <c r="W874" t="s">
        <v>2374</v>
      </c>
      <c r="X874" t="s">
        <v>2053</v>
      </c>
    </row>
    <row r="875" spans="2:24" x14ac:dyDescent="0.45">
      <c r="B875" t="s">
        <v>1006</v>
      </c>
      <c r="C875">
        <v>2.2343455417638518</v>
      </c>
      <c r="D875">
        <v>12.100000000000001</v>
      </c>
      <c r="E875">
        <v>0.99934000000000001</v>
      </c>
      <c r="U875" t="s">
        <v>131</v>
      </c>
      <c r="V875" t="s">
        <v>3036</v>
      </c>
      <c r="W875" t="s">
        <v>2374</v>
      </c>
      <c r="X875" t="s">
        <v>2053</v>
      </c>
    </row>
    <row r="876" spans="2:24" x14ac:dyDescent="0.45">
      <c r="B876" t="s">
        <v>1007</v>
      </c>
      <c r="C876">
        <v>4.4686910835277036</v>
      </c>
      <c r="D876">
        <v>3.3000000000000003</v>
      </c>
      <c r="E876">
        <v>0.99982000000000004</v>
      </c>
      <c r="U876" t="s">
        <v>131</v>
      </c>
      <c r="V876" t="s">
        <v>3037</v>
      </c>
      <c r="W876" t="s">
        <v>2388</v>
      </c>
      <c r="X876" t="s">
        <v>2053</v>
      </c>
    </row>
    <row r="877" spans="2:24" x14ac:dyDescent="0.45">
      <c r="B877" t="s">
        <v>1008</v>
      </c>
      <c r="C877">
        <v>6.7030366252915554</v>
      </c>
      <c r="D877">
        <v>1.1000000000000001</v>
      </c>
      <c r="E877">
        <v>0.99994000000000005</v>
      </c>
      <c r="U877" t="s">
        <v>131</v>
      </c>
      <c r="V877" t="s">
        <v>3038</v>
      </c>
      <c r="W877" t="s">
        <v>2388</v>
      </c>
      <c r="X877" t="s">
        <v>2053</v>
      </c>
    </row>
    <row r="878" spans="2:24" x14ac:dyDescent="0.45">
      <c r="B878" t="s">
        <v>1009</v>
      </c>
      <c r="C878">
        <v>4.4686910835277036</v>
      </c>
      <c r="D878">
        <v>1.1000000000000001</v>
      </c>
      <c r="E878">
        <v>0.99994000000000005</v>
      </c>
      <c r="U878" t="s">
        <v>131</v>
      </c>
      <c r="V878" t="s">
        <v>3039</v>
      </c>
      <c r="W878" t="s">
        <v>2402</v>
      </c>
      <c r="X878" t="s">
        <v>2053</v>
      </c>
    </row>
    <row r="879" spans="2:24" x14ac:dyDescent="0.45">
      <c r="B879" t="s">
        <v>1010</v>
      </c>
      <c r="C879">
        <v>4.4686910835277036</v>
      </c>
      <c r="D879">
        <v>9.9</v>
      </c>
      <c r="E879">
        <v>0.99946000000000002</v>
      </c>
      <c r="U879" t="s">
        <v>131</v>
      </c>
      <c r="V879" t="s">
        <v>3040</v>
      </c>
      <c r="W879" t="s">
        <v>2402</v>
      </c>
      <c r="X879" t="s">
        <v>2053</v>
      </c>
    </row>
    <row r="880" spans="2:24" x14ac:dyDescent="0.45">
      <c r="B880" t="s">
        <v>1011</v>
      </c>
      <c r="C880">
        <v>0.49155601918804742</v>
      </c>
      <c r="D880">
        <v>2.2000000000000002</v>
      </c>
      <c r="E880">
        <v>0.99987999999999999</v>
      </c>
      <c r="U880" t="s">
        <v>131</v>
      </c>
      <c r="V880" t="s">
        <v>3041</v>
      </c>
      <c r="W880" t="s">
        <v>2416</v>
      </c>
      <c r="X880" t="s">
        <v>2053</v>
      </c>
    </row>
    <row r="881" spans="2:24" x14ac:dyDescent="0.45">
      <c r="B881" t="s">
        <v>1012</v>
      </c>
      <c r="C881">
        <v>2.2343455417638518</v>
      </c>
      <c r="D881">
        <v>2.2000000000000002</v>
      </c>
      <c r="E881">
        <v>0.99987999999999999</v>
      </c>
      <c r="U881" t="s">
        <v>131</v>
      </c>
      <c r="V881" t="s">
        <v>3042</v>
      </c>
      <c r="W881" t="s">
        <v>2416</v>
      </c>
      <c r="X881" t="s">
        <v>2053</v>
      </c>
    </row>
    <row r="882" spans="2:24" x14ac:dyDescent="0.45">
      <c r="B882" t="s">
        <v>1013</v>
      </c>
      <c r="C882">
        <v>2.2343455417638518</v>
      </c>
      <c r="D882">
        <v>2.2000000000000002</v>
      </c>
      <c r="E882">
        <v>0.99987999999999999</v>
      </c>
      <c r="U882" t="s">
        <v>131</v>
      </c>
      <c r="V882" t="s">
        <v>3043</v>
      </c>
      <c r="W882" t="s">
        <v>2430</v>
      </c>
      <c r="X882" t="s">
        <v>2053</v>
      </c>
    </row>
    <row r="883" spans="2:24" x14ac:dyDescent="0.45">
      <c r="B883" t="s">
        <v>1014</v>
      </c>
      <c r="C883">
        <v>6.7030366252915554</v>
      </c>
      <c r="D883">
        <v>1.1000000000000001</v>
      </c>
      <c r="E883">
        <v>0.99994000000000005</v>
      </c>
      <c r="U883" t="s">
        <v>131</v>
      </c>
      <c r="V883" t="s">
        <v>3044</v>
      </c>
      <c r="W883" t="s">
        <v>2430</v>
      </c>
      <c r="X883" t="s">
        <v>2053</v>
      </c>
    </row>
    <row r="884" spans="2:24" x14ac:dyDescent="0.45">
      <c r="B884" t="s">
        <v>1015</v>
      </c>
      <c r="C884">
        <v>2.2343455417638518</v>
      </c>
      <c r="D884">
        <v>5.5</v>
      </c>
      <c r="E884">
        <v>0.99970000000000003</v>
      </c>
      <c r="U884" t="s">
        <v>131</v>
      </c>
      <c r="V884" t="s">
        <v>3045</v>
      </c>
      <c r="W884" t="s">
        <v>2444</v>
      </c>
      <c r="X884" t="s">
        <v>2053</v>
      </c>
    </row>
    <row r="885" spans="2:24" x14ac:dyDescent="0.45">
      <c r="B885" t="s">
        <v>1016</v>
      </c>
      <c r="C885">
        <v>6.7030366252915554</v>
      </c>
      <c r="D885">
        <v>1.1000000000000001</v>
      </c>
      <c r="E885">
        <v>0.99994000000000005</v>
      </c>
      <c r="U885" t="s">
        <v>131</v>
      </c>
      <c r="V885" t="s">
        <v>3046</v>
      </c>
      <c r="W885" t="s">
        <v>2444</v>
      </c>
      <c r="X885" t="s">
        <v>2053</v>
      </c>
    </row>
    <row r="886" spans="2:24" x14ac:dyDescent="0.45">
      <c r="B886" t="s">
        <v>1017</v>
      </c>
      <c r="C886">
        <v>4.4686910835277036</v>
      </c>
      <c r="D886">
        <v>1.1000000000000001</v>
      </c>
      <c r="E886">
        <v>0.99994000000000005</v>
      </c>
      <c r="U886" t="s">
        <v>131</v>
      </c>
      <c r="V886" t="s">
        <v>3047</v>
      </c>
      <c r="W886" t="s">
        <v>2458</v>
      </c>
      <c r="X886" t="s">
        <v>2053</v>
      </c>
    </row>
    <row r="887" spans="2:24" x14ac:dyDescent="0.45">
      <c r="B887" t="s">
        <v>1018</v>
      </c>
      <c r="C887">
        <v>2.2343455417638518</v>
      </c>
      <c r="D887">
        <v>2.2000000000000002</v>
      </c>
      <c r="E887">
        <v>0.99987999999999999</v>
      </c>
      <c r="U887" t="s">
        <v>131</v>
      </c>
      <c r="V887" t="s">
        <v>3048</v>
      </c>
      <c r="W887" t="s">
        <v>2458</v>
      </c>
      <c r="X887" t="s">
        <v>2053</v>
      </c>
    </row>
    <row r="888" spans="2:24" x14ac:dyDescent="0.45">
      <c r="B888" t="s">
        <v>1019</v>
      </c>
      <c r="C888">
        <v>4.4686910835277036</v>
      </c>
      <c r="D888">
        <v>12.100000000000001</v>
      </c>
      <c r="E888">
        <v>0.99934000000000001</v>
      </c>
      <c r="U888" t="s">
        <v>131</v>
      </c>
      <c r="V888" t="s">
        <v>3049</v>
      </c>
      <c r="W888" t="s">
        <v>2472</v>
      </c>
      <c r="X888" t="s">
        <v>2053</v>
      </c>
    </row>
    <row r="889" spans="2:24" x14ac:dyDescent="0.45">
      <c r="B889" t="s">
        <v>1020</v>
      </c>
      <c r="C889">
        <v>2.2343455417638518</v>
      </c>
      <c r="D889">
        <v>7.7000000000000011</v>
      </c>
      <c r="E889">
        <v>0.99958000000000002</v>
      </c>
      <c r="U889" t="s">
        <v>131</v>
      </c>
      <c r="V889" t="s">
        <v>3050</v>
      </c>
      <c r="W889" t="s">
        <v>2472</v>
      </c>
      <c r="X889" t="s">
        <v>2053</v>
      </c>
    </row>
    <row r="890" spans="2:24" x14ac:dyDescent="0.45">
      <c r="B890" t="s">
        <v>1021</v>
      </c>
      <c r="C890">
        <v>2.2343455417638518</v>
      </c>
      <c r="D890">
        <v>4.4000000000000004</v>
      </c>
      <c r="E890">
        <v>0.99975999999999998</v>
      </c>
      <c r="U890" t="s">
        <v>131</v>
      </c>
      <c r="V890" t="s">
        <v>3051</v>
      </c>
      <c r="W890" t="s">
        <v>2486</v>
      </c>
      <c r="X890" t="s">
        <v>2053</v>
      </c>
    </row>
    <row r="891" spans="2:24" x14ac:dyDescent="0.45">
      <c r="B891" t="s">
        <v>1022</v>
      </c>
      <c r="C891">
        <v>2.2343455417638518</v>
      </c>
      <c r="D891">
        <v>3.3000000000000003</v>
      </c>
      <c r="E891">
        <v>0.99982000000000004</v>
      </c>
      <c r="U891" t="s">
        <v>131</v>
      </c>
      <c r="V891" t="s">
        <v>3052</v>
      </c>
      <c r="W891" t="s">
        <v>2486</v>
      </c>
      <c r="X891" t="s">
        <v>2053</v>
      </c>
    </row>
    <row r="892" spans="2:24" x14ac:dyDescent="0.45">
      <c r="B892" t="s">
        <v>1023</v>
      </c>
      <c r="C892">
        <v>0.98311203837609484</v>
      </c>
      <c r="D892">
        <v>39.6</v>
      </c>
      <c r="E892">
        <v>0.99783999999999995</v>
      </c>
      <c r="U892" t="s">
        <v>131</v>
      </c>
      <c r="V892" t="s">
        <v>3053</v>
      </c>
      <c r="W892" t="s">
        <v>2500</v>
      </c>
      <c r="X892" t="s">
        <v>2053</v>
      </c>
    </row>
    <row r="893" spans="2:24" x14ac:dyDescent="0.45">
      <c r="B893" t="s">
        <v>1024</v>
      </c>
      <c r="C893">
        <v>4.4686910835277036</v>
      </c>
      <c r="D893">
        <v>3.3000000000000003</v>
      </c>
      <c r="E893">
        <v>0.99982000000000004</v>
      </c>
      <c r="U893" t="s">
        <v>131</v>
      </c>
      <c r="V893" t="s">
        <v>3054</v>
      </c>
      <c r="W893" t="s">
        <v>2500</v>
      </c>
      <c r="X893" t="s">
        <v>2053</v>
      </c>
    </row>
    <row r="894" spans="2:24" x14ac:dyDescent="0.45">
      <c r="B894" t="s">
        <v>1025</v>
      </c>
      <c r="C894">
        <v>4.4686910835277036</v>
      </c>
      <c r="D894">
        <v>3.3000000000000003</v>
      </c>
      <c r="E894">
        <v>0.99982000000000004</v>
      </c>
      <c r="U894" t="s">
        <v>131</v>
      </c>
      <c r="V894" t="s">
        <v>3055</v>
      </c>
      <c r="W894" t="s">
        <v>2514</v>
      </c>
      <c r="X894" t="s">
        <v>2053</v>
      </c>
    </row>
    <row r="895" spans="2:24" x14ac:dyDescent="0.45">
      <c r="B895" t="s">
        <v>1026</v>
      </c>
      <c r="C895">
        <v>4.4686910835277036</v>
      </c>
      <c r="D895">
        <v>2.2000000000000002</v>
      </c>
      <c r="E895">
        <v>0.99987999999999999</v>
      </c>
      <c r="U895" t="s">
        <v>131</v>
      </c>
      <c r="V895" t="s">
        <v>3056</v>
      </c>
      <c r="W895" t="s">
        <v>2514</v>
      </c>
      <c r="X895" t="s">
        <v>2053</v>
      </c>
    </row>
    <row r="896" spans="2:24" x14ac:dyDescent="0.45">
      <c r="B896" t="s">
        <v>1027</v>
      </c>
      <c r="C896">
        <v>2.2343455417638518</v>
      </c>
      <c r="D896">
        <v>3.3000000000000003</v>
      </c>
      <c r="E896">
        <v>0.99982000000000004</v>
      </c>
      <c r="U896" t="s">
        <v>131</v>
      </c>
      <c r="V896" t="s">
        <v>3057</v>
      </c>
      <c r="W896" t="s">
        <v>2528</v>
      </c>
      <c r="X896" t="s">
        <v>2053</v>
      </c>
    </row>
    <row r="897" spans="2:24" x14ac:dyDescent="0.45">
      <c r="B897" t="s">
        <v>1028</v>
      </c>
      <c r="C897">
        <v>2.2343455417638518</v>
      </c>
      <c r="D897">
        <v>3.3000000000000003</v>
      </c>
      <c r="E897">
        <v>0.99982000000000004</v>
      </c>
      <c r="U897" t="s">
        <v>131</v>
      </c>
      <c r="V897" t="s">
        <v>3058</v>
      </c>
      <c r="W897" t="s">
        <v>2528</v>
      </c>
      <c r="X897" t="s">
        <v>2053</v>
      </c>
    </row>
    <row r="898" spans="2:24" x14ac:dyDescent="0.45">
      <c r="B898" t="s">
        <v>1029</v>
      </c>
      <c r="C898">
        <v>4.4686910835277036</v>
      </c>
      <c r="D898">
        <v>4.4000000000000004</v>
      </c>
      <c r="E898">
        <v>0.99975999999999998</v>
      </c>
      <c r="U898" t="s">
        <v>131</v>
      </c>
      <c r="V898" t="s">
        <v>3059</v>
      </c>
      <c r="W898" t="s">
        <v>2542</v>
      </c>
      <c r="X898" t="s">
        <v>2053</v>
      </c>
    </row>
    <row r="899" spans="2:24" x14ac:dyDescent="0.45">
      <c r="B899" t="s">
        <v>1030</v>
      </c>
      <c r="C899">
        <v>4.4686910835277036</v>
      </c>
      <c r="D899">
        <v>2.2000000000000002</v>
      </c>
      <c r="E899">
        <v>0.99987999999999999</v>
      </c>
      <c r="U899" t="s">
        <v>131</v>
      </c>
      <c r="V899" t="s">
        <v>3060</v>
      </c>
      <c r="W899" t="s">
        <v>2542</v>
      </c>
      <c r="X899" t="s">
        <v>2053</v>
      </c>
    </row>
    <row r="900" spans="2:24" x14ac:dyDescent="0.45">
      <c r="B900" t="s">
        <v>1031</v>
      </c>
      <c r="C900">
        <v>2.2343455417638518</v>
      </c>
      <c r="D900">
        <v>8.8000000000000007</v>
      </c>
      <c r="E900">
        <v>0.99951999999999996</v>
      </c>
      <c r="U900" t="s">
        <v>131</v>
      </c>
      <c r="V900" t="s">
        <v>3061</v>
      </c>
      <c r="W900" t="s">
        <v>2556</v>
      </c>
      <c r="X900" t="s">
        <v>2053</v>
      </c>
    </row>
    <row r="901" spans="2:24" x14ac:dyDescent="0.45">
      <c r="B901" t="s">
        <v>1032</v>
      </c>
      <c r="C901">
        <v>4.4686910835277036</v>
      </c>
      <c r="D901">
        <v>2.2000000000000002</v>
      </c>
      <c r="E901">
        <v>0.99987999999999999</v>
      </c>
      <c r="U901" t="s">
        <v>131</v>
      </c>
      <c r="V901" t="s">
        <v>3062</v>
      </c>
      <c r="W901" t="s">
        <v>2556</v>
      </c>
      <c r="X901" t="s">
        <v>2053</v>
      </c>
    </row>
    <row r="902" spans="2:24" x14ac:dyDescent="0.45">
      <c r="B902" t="s">
        <v>1033</v>
      </c>
      <c r="C902">
        <v>4.4686910835277036</v>
      </c>
      <c r="D902">
        <v>1.1000000000000001</v>
      </c>
      <c r="E902">
        <v>0.99994000000000005</v>
      </c>
      <c r="U902" t="s">
        <v>131</v>
      </c>
      <c r="V902" t="s">
        <v>3063</v>
      </c>
      <c r="W902" t="s">
        <v>2570</v>
      </c>
      <c r="X902" t="s">
        <v>2053</v>
      </c>
    </row>
    <row r="903" spans="2:24" x14ac:dyDescent="0.45">
      <c r="B903" t="s">
        <v>1034</v>
      </c>
      <c r="C903">
        <v>4.4686910835277036</v>
      </c>
      <c r="D903">
        <v>9.9</v>
      </c>
      <c r="E903">
        <v>0.99946000000000002</v>
      </c>
      <c r="U903" t="s">
        <v>131</v>
      </c>
      <c r="V903" t="s">
        <v>3064</v>
      </c>
      <c r="W903" t="s">
        <v>2570</v>
      </c>
      <c r="X903" t="s">
        <v>2053</v>
      </c>
    </row>
    <row r="904" spans="2:24" x14ac:dyDescent="0.45">
      <c r="B904" t="s">
        <v>1035</v>
      </c>
      <c r="C904">
        <v>4.4686910835277036</v>
      </c>
      <c r="D904">
        <v>57.2</v>
      </c>
      <c r="E904">
        <v>0.99687999999999999</v>
      </c>
      <c r="U904" t="s">
        <v>131</v>
      </c>
      <c r="V904" t="s">
        <v>3065</v>
      </c>
      <c r="W904" t="s">
        <v>2584</v>
      </c>
      <c r="X904" t="s">
        <v>2053</v>
      </c>
    </row>
    <row r="905" spans="2:24" x14ac:dyDescent="0.45">
      <c r="B905" t="s">
        <v>1036</v>
      </c>
      <c r="C905">
        <v>2.2343455417638518</v>
      </c>
      <c r="D905">
        <v>12.100000000000001</v>
      </c>
      <c r="E905">
        <v>0.99934000000000001</v>
      </c>
      <c r="U905" t="s">
        <v>131</v>
      </c>
      <c r="V905" t="s">
        <v>3066</v>
      </c>
      <c r="W905" t="s">
        <v>2584</v>
      </c>
      <c r="X905" t="s">
        <v>2053</v>
      </c>
    </row>
    <row r="906" spans="2:24" x14ac:dyDescent="0.45">
      <c r="B906" t="s">
        <v>1037</v>
      </c>
      <c r="C906">
        <v>6.7030366252915554</v>
      </c>
      <c r="D906">
        <v>1.1000000000000001</v>
      </c>
      <c r="E906">
        <v>0.99994000000000005</v>
      </c>
      <c r="U906" t="s">
        <v>131</v>
      </c>
      <c r="V906" t="s">
        <v>3067</v>
      </c>
      <c r="W906" t="s">
        <v>2598</v>
      </c>
      <c r="X906" t="s">
        <v>2053</v>
      </c>
    </row>
    <row r="907" spans="2:24" x14ac:dyDescent="0.45">
      <c r="B907" t="s">
        <v>1038</v>
      </c>
      <c r="C907">
        <v>4.4686910835277036</v>
      </c>
      <c r="D907">
        <v>5.5</v>
      </c>
      <c r="E907">
        <v>0.99970000000000003</v>
      </c>
      <c r="U907" t="s">
        <v>131</v>
      </c>
      <c r="V907" t="s">
        <v>3068</v>
      </c>
      <c r="W907" t="s">
        <v>2598</v>
      </c>
      <c r="X907" t="s">
        <v>2053</v>
      </c>
    </row>
    <row r="908" spans="2:24" x14ac:dyDescent="0.45">
      <c r="B908" t="s">
        <v>1039</v>
      </c>
      <c r="C908">
        <v>0.98311203837609484</v>
      </c>
      <c r="D908">
        <v>81.400000000000006</v>
      </c>
      <c r="E908">
        <v>0.99556</v>
      </c>
      <c r="U908" t="s">
        <v>131</v>
      </c>
      <c r="V908" t="s">
        <v>3069</v>
      </c>
      <c r="W908" t="s">
        <v>2612</v>
      </c>
      <c r="X908" t="s">
        <v>2053</v>
      </c>
    </row>
    <row r="909" spans="2:24" x14ac:dyDescent="0.45">
      <c r="B909" t="s">
        <v>1040</v>
      </c>
      <c r="C909">
        <v>2.2343455417638518</v>
      </c>
      <c r="D909">
        <v>2.2000000000000002</v>
      </c>
      <c r="E909">
        <v>0.99987999999999999</v>
      </c>
      <c r="U909" t="s">
        <v>131</v>
      </c>
      <c r="V909" t="s">
        <v>3070</v>
      </c>
      <c r="W909" t="s">
        <v>2612</v>
      </c>
      <c r="X909" t="s">
        <v>2053</v>
      </c>
    </row>
    <row r="910" spans="2:24" x14ac:dyDescent="0.45">
      <c r="B910" t="s">
        <v>1041</v>
      </c>
      <c r="C910">
        <v>2.2343455417638518</v>
      </c>
      <c r="D910">
        <v>2.2000000000000002</v>
      </c>
      <c r="E910">
        <v>0.99987999999999999</v>
      </c>
      <c r="U910" t="s">
        <v>131</v>
      </c>
      <c r="V910" t="s">
        <v>3071</v>
      </c>
      <c r="W910" t="s">
        <v>2626</v>
      </c>
      <c r="X910" t="s">
        <v>2053</v>
      </c>
    </row>
    <row r="911" spans="2:24" x14ac:dyDescent="0.45">
      <c r="B911" t="s">
        <v>1042</v>
      </c>
      <c r="C911">
        <v>2.2343455417638518</v>
      </c>
      <c r="D911">
        <v>2.2000000000000002</v>
      </c>
      <c r="E911">
        <v>0.99987999999999999</v>
      </c>
      <c r="U911" t="s">
        <v>131</v>
      </c>
      <c r="V911" t="s">
        <v>3072</v>
      </c>
      <c r="W911" t="s">
        <v>2626</v>
      </c>
      <c r="X911" t="s">
        <v>2053</v>
      </c>
    </row>
    <row r="912" spans="2:24" x14ac:dyDescent="0.45">
      <c r="B912" t="s">
        <v>1043</v>
      </c>
      <c r="C912">
        <v>6.7030366252915554</v>
      </c>
      <c r="D912">
        <v>2.2000000000000002</v>
      </c>
      <c r="E912">
        <v>0.99987999999999999</v>
      </c>
      <c r="U912" t="s">
        <v>131</v>
      </c>
      <c r="V912" t="s">
        <v>3073</v>
      </c>
      <c r="W912" t="s">
        <v>2014</v>
      </c>
      <c r="X912" t="s">
        <v>2053</v>
      </c>
    </row>
    <row r="913" spans="2:24" x14ac:dyDescent="0.45">
      <c r="B913" t="s">
        <v>1044</v>
      </c>
      <c r="C913">
        <v>4.4686910835277036</v>
      </c>
      <c r="D913">
        <v>2.2000000000000002</v>
      </c>
      <c r="E913">
        <v>0.99987999999999999</v>
      </c>
      <c r="U913" t="s">
        <v>131</v>
      </c>
      <c r="V913" t="s">
        <v>3074</v>
      </c>
      <c r="W913" t="s">
        <v>2014</v>
      </c>
      <c r="X913" t="s">
        <v>2053</v>
      </c>
    </row>
    <row r="914" spans="2:24" x14ac:dyDescent="0.45">
      <c r="B914" t="s">
        <v>1045</v>
      </c>
      <c r="C914">
        <v>4.4686910835277036</v>
      </c>
      <c r="D914">
        <v>6.6000000000000005</v>
      </c>
      <c r="E914">
        <v>0.99963999999999997</v>
      </c>
      <c r="U914" t="s">
        <v>131</v>
      </c>
      <c r="V914" t="s">
        <v>3075</v>
      </c>
      <c r="W914" t="s">
        <v>2653</v>
      </c>
      <c r="X914" t="s">
        <v>2053</v>
      </c>
    </row>
    <row r="915" spans="2:24" x14ac:dyDescent="0.45">
      <c r="B915" t="s">
        <v>1046</v>
      </c>
      <c r="C915">
        <v>4.4686910835277036</v>
      </c>
      <c r="D915">
        <v>5.5</v>
      </c>
      <c r="E915">
        <v>0.99970000000000003</v>
      </c>
      <c r="U915" t="s">
        <v>131</v>
      </c>
      <c r="V915" t="s">
        <v>3076</v>
      </c>
      <c r="W915" t="s">
        <v>2653</v>
      </c>
      <c r="X915" t="s">
        <v>2053</v>
      </c>
    </row>
    <row r="916" spans="2:24" x14ac:dyDescent="0.45">
      <c r="B916" t="s">
        <v>1047</v>
      </c>
      <c r="C916">
        <v>2.2343455417638518</v>
      </c>
      <c r="D916">
        <v>2.2000000000000002</v>
      </c>
      <c r="E916">
        <v>0.99987999999999999</v>
      </c>
      <c r="U916" t="s">
        <v>131</v>
      </c>
      <c r="V916" t="s">
        <v>3077</v>
      </c>
      <c r="W916" t="s">
        <v>2667</v>
      </c>
      <c r="X916" t="s">
        <v>2053</v>
      </c>
    </row>
    <row r="917" spans="2:24" x14ac:dyDescent="0.45">
      <c r="B917" t="s">
        <v>1048</v>
      </c>
      <c r="C917">
        <v>4.4686910835277036</v>
      </c>
      <c r="D917">
        <v>1.1000000000000001</v>
      </c>
      <c r="E917">
        <v>0.99994000000000005</v>
      </c>
      <c r="U917" t="s">
        <v>131</v>
      </c>
      <c r="V917" t="s">
        <v>3078</v>
      </c>
      <c r="W917" t="s">
        <v>2667</v>
      </c>
      <c r="X917" t="s">
        <v>2053</v>
      </c>
    </row>
    <row r="918" spans="2:24" x14ac:dyDescent="0.45">
      <c r="B918" t="s">
        <v>1049</v>
      </c>
      <c r="C918">
        <v>4.4686910835277036</v>
      </c>
      <c r="D918">
        <v>13.200000000000001</v>
      </c>
      <c r="E918">
        <v>0.99927999999999995</v>
      </c>
      <c r="U918" t="s">
        <v>131</v>
      </c>
      <c r="V918" t="s">
        <v>3079</v>
      </c>
      <c r="W918" t="s">
        <v>2681</v>
      </c>
      <c r="X918" t="s">
        <v>2053</v>
      </c>
    </row>
    <row r="919" spans="2:24" x14ac:dyDescent="0.45">
      <c r="B919" t="s">
        <v>1050</v>
      </c>
      <c r="C919">
        <v>4.4686910835277036</v>
      </c>
      <c r="D919">
        <v>1.1000000000000001</v>
      </c>
      <c r="E919">
        <v>0.99994000000000005</v>
      </c>
      <c r="U919" t="s">
        <v>131</v>
      </c>
      <c r="V919" t="s">
        <v>3080</v>
      </c>
      <c r="W919" t="s">
        <v>2681</v>
      </c>
      <c r="X919" t="s">
        <v>2053</v>
      </c>
    </row>
    <row r="920" spans="2:24" x14ac:dyDescent="0.45">
      <c r="B920" t="s">
        <v>1051</v>
      </c>
      <c r="C920">
        <v>4.4686910835277036</v>
      </c>
      <c r="D920">
        <v>3.3000000000000003</v>
      </c>
      <c r="E920">
        <v>0.99982000000000004</v>
      </c>
      <c r="U920" t="s">
        <v>131</v>
      </c>
      <c r="V920" t="s">
        <v>3081</v>
      </c>
      <c r="W920" t="s">
        <v>2695</v>
      </c>
      <c r="X920" t="s">
        <v>2053</v>
      </c>
    </row>
    <row r="921" spans="2:24" x14ac:dyDescent="0.45">
      <c r="B921" t="s">
        <v>1052</v>
      </c>
      <c r="C921">
        <v>4.4686910835277036</v>
      </c>
      <c r="D921">
        <v>4.4000000000000004</v>
      </c>
      <c r="E921">
        <v>0.99975999999999998</v>
      </c>
      <c r="U921" t="s">
        <v>131</v>
      </c>
      <c r="V921" t="s">
        <v>3082</v>
      </c>
      <c r="W921" t="s">
        <v>2695</v>
      </c>
      <c r="X921" t="s">
        <v>2053</v>
      </c>
    </row>
    <row r="922" spans="2:24" x14ac:dyDescent="0.45">
      <c r="B922" t="s">
        <v>1053</v>
      </c>
      <c r="C922">
        <v>4.4686910835277036</v>
      </c>
      <c r="D922">
        <v>1.1000000000000001</v>
      </c>
      <c r="E922">
        <v>0.99994000000000005</v>
      </c>
      <c r="U922" t="s">
        <v>131</v>
      </c>
      <c r="V922" t="s">
        <v>3083</v>
      </c>
      <c r="W922" t="s">
        <v>2709</v>
      </c>
      <c r="X922" t="s">
        <v>2053</v>
      </c>
    </row>
    <row r="923" spans="2:24" x14ac:dyDescent="0.45">
      <c r="B923" t="s">
        <v>1054</v>
      </c>
      <c r="C923">
        <v>4.4686910835277036</v>
      </c>
      <c r="D923">
        <v>3.3000000000000003</v>
      </c>
      <c r="E923">
        <v>0.99982000000000004</v>
      </c>
      <c r="U923" t="s">
        <v>131</v>
      </c>
      <c r="V923" t="s">
        <v>3084</v>
      </c>
      <c r="W923" t="s">
        <v>2709</v>
      </c>
      <c r="X923" t="s">
        <v>2053</v>
      </c>
    </row>
    <row r="924" spans="2:24" x14ac:dyDescent="0.45">
      <c r="B924" t="s">
        <v>1055</v>
      </c>
      <c r="C924">
        <v>4.4686910835277036</v>
      </c>
      <c r="D924">
        <v>1.1000000000000001</v>
      </c>
      <c r="E924">
        <v>0.99994000000000005</v>
      </c>
      <c r="U924" t="s">
        <v>131</v>
      </c>
      <c r="V924" t="s">
        <v>3085</v>
      </c>
      <c r="W924" t="s">
        <v>3086</v>
      </c>
      <c r="X924" t="s">
        <v>2053</v>
      </c>
    </row>
    <row r="925" spans="2:24" x14ac:dyDescent="0.45">
      <c r="B925" t="s">
        <v>1056</v>
      </c>
      <c r="C925">
        <v>4.4686910835277036</v>
      </c>
      <c r="D925">
        <v>4.4000000000000004</v>
      </c>
      <c r="E925">
        <v>0.99975999999999998</v>
      </c>
      <c r="U925" t="s">
        <v>131</v>
      </c>
      <c r="V925" t="s">
        <v>3087</v>
      </c>
      <c r="W925" t="s">
        <v>3086</v>
      </c>
      <c r="X925" t="s">
        <v>2053</v>
      </c>
    </row>
    <row r="926" spans="2:24" x14ac:dyDescent="0.45">
      <c r="B926" t="s">
        <v>1057</v>
      </c>
      <c r="C926">
        <v>4.4686910835277036</v>
      </c>
      <c r="D926">
        <v>9.9</v>
      </c>
      <c r="E926">
        <v>0.99946000000000002</v>
      </c>
      <c r="U926" t="s">
        <v>131</v>
      </c>
      <c r="V926" t="s">
        <v>3088</v>
      </c>
      <c r="W926" t="s">
        <v>3089</v>
      </c>
      <c r="X926" t="s">
        <v>2053</v>
      </c>
    </row>
    <row r="927" spans="2:24" x14ac:dyDescent="0.45">
      <c r="B927" t="s">
        <v>1058</v>
      </c>
      <c r="C927">
        <v>2.2343455417638518</v>
      </c>
      <c r="D927">
        <v>23.1</v>
      </c>
      <c r="E927">
        <v>0.99873999999999996</v>
      </c>
      <c r="U927" t="s">
        <v>131</v>
      </c>
      <c r="V927" t="s">
        <v>3090</v>
      </c>
      <c r="W927" t="s">
        <v>3089</v>
      </c>
      <c r="X927" t="s">
        <v>2053</v>
      </c>
    </row>
    <row r="928" spans="2:24" x14ac:dyDescent="0.45">
      <c r="B928" t="s">
        <v>1059</v>
      </c>
      <c r="C928">
        <v>4.4686910835277036</v>
      </c>
      <c r="D928">
        <v>1.1000000000000001</v>
      </c>
      <c r="E928">
        <v>0.99994000000000005</v>
      </c>
      <c r="U928" t="s">
        <v>131</v>
      </c>
      <c r="V928" t="s">
        <v>3091</v>
      </c>
      <c r="W928" t="s">
        <v>3092</v>
      </c>
      <c r="X928" t="s">
        <v>2053</v>
      </c>
    </row>
    <row r="929" spans="2:24" x14ac:dyDescent="0.45">
      <c r="B929" t="s">
        <v>1060</v>
      </c>
      <c r="C929">
        <v>2.2343455417638518</v>
      </c>
      <c r="D929">
        <v>1.1000000000000001</v>
      </c>
      <c r="E929">
        <v>0.99994000000000005</v>
      </c>
      <c r="U929" t="s">
        <v>131</v>
      </c>
      <c r="V929" t="s">
        <v>3093</v>
      </c>
      <c r="W929" t="s">
        <v>3092</v>
      </c>
      <c r="X929" t="s">
        <v>2053</v>
      </c>
    </row>
    <row r="930" spans="2:24" x14ac:dyDescent="0.45">
      <c r="B930" t="s">
        <v>1061</v>
      </c>
      <c r="C930">
        <v>4.4686910835277036</v>
      </c>
      <c r="D930">
        <v>1.1000000000000001</v>
      </c>
      <c r="E930">
        <v>0.99994000000000005</v>
      </c>
      <c r="U930" t="s">
        <v>131</v>
      </c>
      <c r="V930" t="s">
        <v>3094</v>
      </c>
      <c r="W930" t="s">
        <v>3095</v>
      </c>
      <c r="X930" t="s">
        <v>2053</v>
      </c>
    </row>
    <row r="931" spans="2:24" x14ac:dyDescent="0.45">
      <c r="B931" t="s">
        <v>1062</v>
      </c>
      <c r="C931">
        <v>4.4686910835277036</v>
      </c>
      <c r="D931">
        <v>47.300000000000004</v>
      </c>
      <c r="E931">
        <v>0.99741999999999997</v>
      </c>
      <c r="U931" t="s">
        <v>131</v>
      </c>
      <c r="V931" t="s">
        <v>3096</v>
      </c>
      <c r="W931" t="s">
        <v>3095</v>
      </c>
      <c r="X931" t="s">
        <v>2053</v>
      </c>
    </row>
    <row r="932" spans="2:24" x14ac:dyDescent="0.45">
      <c r="B932" t="s">
        <v>1063</v>
      </c>
      <c r="C932">
        <v>2.2343455417638518</v>
      </c>
      <c r="D932">
        <v>6.6000000000000005</v>
      </c>
      <c r="E932">
        <v>0.99963999999999997</v>
      </c>
      <c r="U932" t="s">
        <v>131</v>
      </c>
      <c r="V932" t="s">
        <v>3097</v>
      </c>
      <c r="W932" t="s">
        <v>3098</v>
      </c>
      <c r="X932" t="s">
        <v>2053</v>
      </c>
    </row>
    <row r="933" spans="2:24" x14ac:dyDescent="0.45">
      <c r="B933" t="s">
        <v>1064</v>
      </c>
      <c r="C933">
        <v>2.2343455417638518</v>
      </c>
      <c r="D933">
        <v>2.2000000000000002</v>
      </c>
      <c r="E933">
        <v>0.99987999999999999</v>
      </c>
      <c r="U933" t="s">
        <v>131</v>
      </c>
      <c r="V933" t="s">
        <v>3099</v>
      </c>
      <c r="W933" t="s">
        <v>3098</v>
      </c>
      <c r="X933" t="s">
        <v>2053</v>
      </c>
    </row>
    <row r="934" spans="2:24" x14ac:dyDescent="0.45">
      <c r="B934" t="s">
        <v>1065</v>
      </c>
      <c r="C934">
        <v>4.4686910835277036</v>
      </c>
      <c r="D934">
        <v>1.1000000000000001</v>
      </c>
      <c r="E934">
        <v>0.99994000000000005</v>
      </c>
      <c r="U934" t="s">
        <v>131</v>
      </c>
      <c r="V934" t="s">
        <v>3100</v>
      </c>
      <c r="W934" t="s">
        <v>3101</v>
      </c>
      <c r="X934" t="s">
        <v>2053</v>
      </c>
    </row>
    <row r="935" spans="2:24" x14ac:dyDescent="0.45">
      <c r="B935" t="s">
        <v>1066</v>
      </c>
      <c r="C935">
        <v>4.4686910835277036</v>
      </c>
      <c r="D935">
        <v>6.6000000000000005</v>
      </c>
      <c r="E935">
        <v>0.99963999999999997</v>
      </c>
      <c r="U935" t="s">
        <v>131</v>
      </c>
      <c r="V935" t="s">
        <v>3102</v>
      </c>
      <c r="W935" t="s">
        <v>3101</v>
      </c>
      <c r="X935" t="s">
        <v>2053</v>
      </c>
    </row>
    <row r="936" spans="2:24" x14ac:dyDescent="0.45">
      <c r="B936" t="s">
        <v>1067</v>
      </c>
      <c r="C936">
        <v>2.2343455417638518</v>
      </c>
      <c r="D936">
        <v>1.1000000000000001</v>
      </c>
      <c r="E936">
        <v>0.99994000000000005</v>
      </c>
      <c r="U936" t="s">
        <v>131</v>
      </c>
      <c r="V936" t="s">
        <v>3103</v>
      </c>
      <c r="W936" t="s">
        <v>3104</v>
      </c>
      <c r="X936" t="s">
        <v>2053</v>
      </c>
    </row>
    <row r="937" spans="2:24" x14ac:dyDescent="0.45">
      <c r="B937" t="s">
        <v>1068</v>
      </c>
      <c r="C937">
        <v>2.2343455417638518</v>
      </c>
      <c r="D937">
        <v>4.4000000000000004</v>
      </c>
      <c r="E937">
        <v>0.99975999999999998</v>
      </c>
      <c r="U937" t="s">
        <v>131</v>
      </c>
      <c r="V937" t="s">
        <v>3105</v>
      </c>
      <c r="W937" t="s">
        <v>3104</v>
      </c>
      <c r="X937" t="s">
        <v>2053</v>
      </c>
    </row>
    <row r="938" spans="2:24" x14ac:dyDescent="0.45">
      <c r="B938" t="s">
        <v>1069</v>
      </c>
      <c r="C938">
        <v>2.2343455417638518</v>
      </c>
      <c r="D938">
        <v>5.5</v>
      </c>
      <c r="E938">
        <v>0.99970000000000003</v>
      </c>
      <c r="U938" t="s">
        <v>131</v>
      </c>
      <c r="V938" t="s">
        <v>3106</v>
      </c>
      <c r="W938" t="s">
        <v>3107</v>
      </c>
      <c r="X938" t="s">
        <v>2053</v>
      </c>
    </row>
    <row r="939" spans="2:24" x14ac:dyDescent="0.45">
      <c r="B939" t="s">
        <v>1070</v>
      </c>
      <c r="C939">
        <v>4.4686910835277036</v>
      </c>
      <c r="D939">
        <v>1.1000000000000001</v>
      </c>
      <c r="E939">
        <v>0.99994000000000005</v>
      </c>
      <c r="U939" t="s">
        <v>131</v>
      </c>
      <c r="V939" t="s">
        <v>3108</v>
      </c>
      <c r="W939" t="s">
        <v>3107</v>
      </c>
      <c r="X939" t="s">
        <v>2053</v>
      </c>
    </row>
    <row r="940" spans="2:24" x14ac:dyDescent="0.45">
      <c r="B940" t="s">
        <v>1071</v>
      </c>
      <c r="C940">
        <v>2.2343455417638518</v>
      </c>
      <c r="D940">
        <v>1.1000000000000001</v>
      </c>
      <c r="E940">
        <v>0.99994000000000005</v>
      </c>
      <c r="U940" t="s">
        <v>131</v>
      </c>
      <c r="V940" t="s">
        <v>3109</v>
      </c>
      <c r="W940" t="s">
        <v>3110</v>
      </c>
      <c r="X940" t="s">
        <v>2053</v>
      </c>
    </row>
    <row r="941" spans="2:24" x14ac:dyDescent="0.45">
      <c r="B941" t="s">
        <v>1072</v>
      </c>
      <c r="C941">
        <v>0.98311203837609484</v>
      </c>
      <c r="D941">
        <v>83.600000000000009</v>
      </c>
      <c r="E941">
        <v>0.99543999999999999</v>
      </c>
      <c r="U941" t="s">
        <v>131</v>
      </c>
      <c r="V941" t="s">
        <v>3111</v>
      </c>
      <c r="W941" t="s">
        <v>3110</v>
      </c>
      <c r="X941" t="s">
        <v>2053</v>
      </c>
    </row>
    <row r="942" spans="2:24" x14ac:dyDescent="0.45">
      <c r="B942" t="s">
        <v>1073</v>
      </c>
      <c r="C942">
        <v>2.2343455417638518</v>
      </c>
      <c r="D942">
        <v>3.3000000000000003</v>
      </c>
      <c r="E942">
        <v>0.99982000000000004</v>
      </c>
      <c r="U942" t="s">
        <v>131</v>
      </c>
      <c r="V942" t="s">
        <v>3112</v>
      </c>
      <c r="W942" t="s">
        <v>3113</v>
      </c>
      <c r="X942" t="s">
        <v>2053</v>
      </c>
    </row>
    <row r="943" spans="2:24" x14ac:dyDescent="0.45">
      <c r="B943" t="s">
        <v>1074</v>
      </c>
      <c r="C943">
        <v>2.2343455417638518</v>
      </c>
      <c r="D943">
        <v>8.8000000000000007</v>
      </c>
      <c r="E943">
        <v>0.99951999999999996</v>
      </c>
      <c r="U943" t="s">
        <v>131</v>
      </c>
      <c r="V943" t="s">
        <v>3114</v>
      </c>
      <c r="W943" t="s">
        <v>3113</v>
      </c>
      <c r="X943" t="s">
        <v>2053</v>
      </c>
    </row>
    <row r="944" spans="2:24" x14ac:dyDescent="0.45">
      <c r="B944" t="s">
        <v>1075</v>
      </c>
      <c r="C944">
        <v>0.49155601918804742</v>
      </c>
      <c r="D944">
        <v>89.100000000000009</v>
      </c>
      <c r="E944">
        <v>0.99514000000000002</v>
      </c>
      <c r="U944" t="s">
        <v>131</v>
      </c>
      <c r="V944" t="s">
        <v>3115</v>
      </c>
      <c r="W944" t="s">
        <v>3116</v>
      </c>
      <c r="X944" t="s">
        <v>2053</v>
      </c>
    </row>
    <row r="945" spans="2:24" x14ac:dyDescent="0.45">
      <c r="B945" t="s">
        <v>1076</v>
      </c>
      <c r="C945">
        <v>2.2343455417638518</v>
      </c>
      <c r="D945">
        <v>11</v>
      </c>
      <c r="E945">
        <v>0.99939999999999996</v>
      </c>
      <c r="U945" t="s">
        <v>131</v>
      </c>
      <c r="V945" t="s">
        <v>3117</v>
      </c>
      <c r="W945" t="s">
        <v>3116</v>
      </c>
      <c r="X945" t="s">
        <v>2053</v>
      </c>
    </row>
    <row r="946" spans="2:24" x14ac:dyDescent="0.45">
      <c r="B946" t="s">
        <v>1077</v>
      </c>
      <c r="C946">
        <v>4.4686910835277036</v>
      </c>
      <c r="D946">
        <v>2.2000000000000002</v>
      </c>
      <c r="E946">
        <v>0.99987999999999999</v>
      </c>
      <c r="U946" t="s">
        <v>131</v>
      </c>
      <c r="V946" t="s">
        <v>3118</v>
      </c>
      <c r="W946" t="s">
        <v>3119</v>
      </c>
      <c r="X946" t="s">
        <v>2053</v>
      </c>
    </row>
    <row r="947" spans="2:24" x14ac:dyDescent="0.45">
      <c r="B947" t="s">
        <v>1078</v>
      </c>
      <c r="C947">
        <v>2.2343455417638518</v>
      </c>
      <c r="D947">
        <v>4.4000000000000004</v>
      </c>
      <c r="E947">
        <v>0.99975999999999998</v>
      </c>
      <c r="U947" t="s">
        <v>131</v>
      </c>
      <c r="V947" t="s">
        <v>3120</v>
      </c>
      <c r="W947" t="s">
        <v>3119</v>
      </c>
      <c r="X947" t="s">
        <v>2053</v>
      </c>
    </row>
    <row r="948" spans="2:24" x14ac:dyDescent="0.45">
      <c r="B948" t="s">
        <v>1079</v>
      </c>
      <c r="C948">
        <v>4.4686910835277036</v>
      </c>
      <c r="D948">
        <v>1.1000000000000001</v>
      </c>
      <c r="E948">
        <v>0.99994000000000005</v>
      </c>
      <c r="U948" t="s">
        <v>131</v>
      </c>
      <c r="V948" t="s">
        <v>3121</v>
      </c>
      <c r="W948" t="s">
        <v>3122</v>
      </c>
      <c r="X948" t="s">
        <v>2053</v>
      </c>
    </row>
    <row r="949" spans="2:24" x14ac:dyDescent="0.45">
      <c r="B949" t="s">
        <v>1080</v>
      </c>
      <c r="C949">
        <v>4.4686910835277036</v>
      </c>
      <c r="D949">
        <v>22</v>
      </c>
      <c r="E949">
        <v>0.99880000000000002</v>
      </c>
      <c r="U949" t="s">
        <v>131</v>
      </c>
      <c r="V949" t="s">
        <v>3123</v>
      </c>
      <c r="W949" t="s">
        <v>3122</v>
      </c>
      <c r="X949" t="s">
        <v>2053</v>
      </c>
    </row>
    <row r="950" spans="2:24" x14ac:dyDescent="0.45">
      <c r="B950" t="s">
        <v>1081</v>
      </c>
      <c r="C950">
        <v>0.98311203837609484</v>
      </c>
      <c r="D950">
        <v>83.600000000000009</v>
      </c>
      <c r="E950">
        <v>0.99543999999999999</v>
      </c>
      <c r="U950" t="s">
        <v>131</v>
      </c>
      <c r="V950" t="s">
        <v>3124</v>
      </c>
      <c r="W950" t="s">
        <v>3125</v>
      </c>
      <c r="X950" t="s">
        <v>2053</v>
      </c>
    </row>
    <row r="951" spans="2:24" x14ac:dyDescent="0.45">
      <c r="B951" t="s">
        <v>1082</v>
      </c>
      <c r="C951">
        <v>2.2343455417638518</v>
      </c>
      <c r="D951">
        <v>8.8000000000000007</v>
      </c>
      <c r="E951">
        <v>0.99951999999999996</v>
      </c>
      <c r="U951" t="s">
        <v>131</v>
      </c>
      <c r="V951" t="s">
        <v>3126</v>
      </c>
      <c r="W951" t="s">
        <v>3125</v>
      </c>
      <c r="X951" t="s">
        <v>2053</v>
      </c>
    </row>
    <row r="952" spans="2:24" x14ac:dyDescent="0.45">
      <c r="B952" t="s">
        <v>1083</v>
      </c>
      <c r="C952">
        <v>4.4686910835277036</v>
      </c>
      <c r="D952">
        <v>2.2000000000000002</v>
      </c>
      <c r="E952">
        <v>0.99987999999999999</v>
      </c>
      <c r="U952" t="s">
        <v>131</v>
      </c>
      <c r="V952" t="s">
        <v>3127</v>
      </c>
      <c r="W952" t="s">
        <v>3128</v>
      </c>
      <c r="X952" t="s">
        <v>2053</v>
      </c>
    </row>
    <row r="953" spans="2:24" x14ac:dyDescent="0.45">
      <c r="B953" t="s">
        <v>1084</v>
      </c>
      <c r="C953">
        <v>2.2343455417638518</v>
      </c>
      <c r="D953">
        <v>2.2000000000000002</v>
      </c>
      <c r="E953">
        <v>0.99987999999999999</v>
      </c>
      <c r="U953" t="s">
        <v>131</v>
      </c>
      <c r="V953" t="s">
        <v>3129</v>
      </c>
      <c r="W953" t="s">
        <v>3128</v>
      </c>
      <c r="X953" t="s">
        <v>2053</v>
      </c>
    </row>
    <row r="954" spans="2:24" x14ac:dyDescent="0.45">
      <c r="B954" t="s">
        <v>1085</v>
      </c>
      <c r="C954">
        <v>2.2343455417638518</v>
      </c>
      <c r="D954">
        <v>3.3000000000000003</v>
      </c>
      <c r="E954">
        <v>0.99982000000000004</v>
      </c>
      <c r="U954" t="s">
        <v>131</v>
      </c>
      <c r="V954" t="s">
        <v>3130</v>
      </c>
      <c r="W954" t="s">
        <v>3131</v>
      </c>
      <c r="X954" t="s">
        <v>2053</v>
      </c>
    </row>
    <row r="955" spans="2:24" x14ac:dyDescent="0.45">
      <c r="B955" t="s">
        <v>1086</v>
      </c>
      <c r="C955">
        <v>2.2343455417638518</v>
      </c>
      <c r="D955">
        <v>1.1000000000000001</v>
      </c>
      <c r="E955">
        <v>0.99994000000000005</v>
      </c>
      <c r="U955" t="s">
        <v>131</v>
      </c>
      <c r="V955" t="s">
        <v>3132</v>
      </c>
      <c r="W955" t="s">
        <v>3131</v>
      </c>
      <c r="X955" t="s">
        <v>2053</v>
      </c>
    </row>
    <row r="956" spans="2:24" x14ac:dyDescent="0.45">
      <c r="B956" t="s">
        <v>1087</v>
      </c>
      <c r="C956">
        <v>4.4686910835277036</v>
      </c>
      <c r="D956">
        <v>1.1000000000000001</v>
      </c>
      <c r="E956">
        <v>0.99994000000000005</v>
      </c>
      <c r="U956" t="s">
        <v>131</v>
      </c>
      <c r="V956" t="s">
        <v>3133</v>
      </c>
      <c r="W956" t="s">
        <v>3134</v>
      </c>
      <c r="X956" t="s">
        <v>2053</v>
      </c>
    </row>
    <row r="957" spans="2:24" x14ac:dyDescent="0.45">
      <c r="B957" t="s">
        <v>1088</v>
      </c>
      <c r="C957">
        <v>2.2343455417638518</v>
      </c>
      <c r="D957">
        <v>2.2000000000000002</v>
      </c>
      <c r="E957">
        <v>0.99987999999999999</v>
      </c>
      <c r="U957" t="s">
        <v>131</v>
      </c>
      <c r="V957" t="s">
        <v>3135</v>
      </c>
      <c r="W957" t="s">
        <v>3134</v>
      </c>
      <c r="X957" t="s">
        <v>2053</v>
      </c>
    </row>
    <row r="958" spans="2:24" x14ac:dyDescent="0.45">
      <c r="B958" t="s">
        <v>1089</v>
      </c>
      <c r="C958">
        <v>2.2343455417638518</v>
      </c>
      <c r="D958">
        <v>1.1000000000000001</v>
      </c>
      <c r="E958">
        <v>0.99994000000000005</v>
      </c>
      <c r="U958" t="s">
        <v>131</v>
      </c>
      <c r="V958" t="s">
        <v>3136</v>
      </c>
      <c r="W958" t="s">
        <v>3137</v>
      </c>
      <c r="X958" t="s">
        <v>2053</v>
      </c>
    </row>
    <row r="959" spans="2:24" x14ac:dyDescent="0.45">
      <c r="B959" t="s">
        <v>1090</v>
      </c>
      <c r="C959">
        <v>4.4686910835277036</v>
      </c>
      <c r="D959">
        <v>1.1000000000000001</v>
      </c>
      <c r="E959">
        <v>0.99994000000000005</v>
      </c>
      <c r="U959" t="s">
        <v>131</v>
      </c>
      <c r="V959" t="s">
        <v>3138</v>
      </c>
      <c r="W959" t="s">
        <v>3137</v>
      </c>
      <c r="X959" t="s">
        <v>2053</v>
      </c>
    </row>
    <row r="960" spans="2:24" x14ac:dyDescent="0.45">
      <c r="B960" t="s">
        <v>1091</v>
      </c>
      <c r="C960">
        <v>2.2343455417638518</v>
      </c>
      <c r="D960">
        <v>3.3000000000000003</v>
      </c>
      <c r="E960">
        <v>0.99982000000000004</v>
      </c>
      <c r="U960" t="s">
        <v>131</v>
      </c>
      <c r="V960" t="s">
        <v>3139</v>
      </c>
      <c r="W960" t="s">
        <v>3140</v>
      </c>
      <c r="X960" t="s">
        <v>2053</v>
      </c>
    </row>
    <row r="961" spans="2:24" x14ac:dyDescent="0.45">
      <c r="B961" t="s">
        <v>1092</v>
      </c>
      <c r="C961">
        <v>2.2343455417638518</v>
      </c>
      <c r="D961">
        <v>7.7000000000000011</v>
      </c>
      <c r="E961">
        <v>0.99958000000000002</v>
      </c>
      <c r="U961" t="s">
        <v>131</v>
      </c>
      <c r="V961" t="s">
        <v>3141</v>
      </c>
      <c r="W961" t="s">
        <v>3140</v>
      </c>
      <c r="X961" t="s">
        <v>2053</v>
      </c>
    </row>
    <row r="962" spans="2:24" x14ac:dyDescent="0.45">
      <c r="B962" t="s">
        <v>1093</v>
      </c>
      <c r="C962">
        <v>6.7030366252915554</v>
      </c>
      <c r="D962">
        <v>1.1000000000000001</v>
      </c>
      <c r="E962">
        <v>0.99994000000000005</v>
      </c>
      <c r="U962" t="s">
        <v>131</v>
      </c>
      <c r="V962" t="s">
        <v>3142</v>
      </c>
      <c r="W962" t="s">
        <v>3143</v>
      </c>
      <c r="X962" t="s">
        <v>2053</v>
      </c>
    </row>
    <row r="963" spans="2:24" x14ac:dyDescent="0.45">
      <c r="B963" t="s">
        <v>1094</v>
      </c>
      <c r="C963">
        <v>2.2343455417638518</v>
      </c>
      <c r="D963">
        <v>5.5</v>
      </c>
      <c r="E963">
        <v>0.99970000000000003</v>
      </c>
      <c r="U963" t="s">
        <v>131</v>
      </c>
      <c r="V963" t="s">
        <v>3144</v>
      </c>
      <c r="W963" t="s">
        <v>3143</v>
      </c>
      <c r="X963" t="s">
        <v>2053</v>
      </c>
    </row>
    <row r="964" spans="2:24" x14ac:dyDescent="0.45">
      <c r="B964" t="s">
        <v>1095</v>
      </c>
      <c r="C964">
        <v>6.7030366252915554</v>
      </c>
      <c r="D964">
        <v>2.2000000000000002</v>
      </c>
      <c r="E964">
        <v>0.99987999999999999</v>
      </c>
      <c r="U964" t="s">
        <v>131</v>
      </c>
      <c r="V964" t="s">
        <v>3145</v>
      </c>
      <c r="W964" t="s">
        <v>3146</v>
      </c>
      <c r="X964" t="s">
        <v>2053</v>
      </c>
    </row>
    <row r="965" spans="2:24" x14ac:dyDescent="0.45">
      <c r="B965" t="s">
        <v>1096</v>
      </c>
      <c r="C965">
        <v>2.2343455417638518</v>
      </c>
      <c r="D965">
        <v>4.4000000000000004</v>
      </c>
      <c r="E965">
        <v>0.99975999999999998</v>
      </c>
      <c r="U965" t="s">
        <v>131</v>
      </c>
      <c r="V965" t="s">
        <v>3147</v>
      </c>
      <c r="W965" t="s">
        <v>3146</v>
      </c>
      <c r="X965" t="s">
        <v>2053</v>
      </c>
    </row>
    <row r="966" spans="2:24" x14ac:dyDescent="0.45">
      <c r="B966" t="s">
        <v>1097</v>
      </c>
      <c r="C966">
        <v>4.4686910835277036</v>
      </c>
      <c r="D966">
        <v>29.700000000000003</v>
      </c>
      <c r="E966">
        <v>0.99838000000000005</v>
      </c>
      <c r="U966" t="s">
        <v>131</v>
      </c>
      <c r="V966" t="s">
        <v>3148</v>
      </c>
      <c r="W966" t="s">
        <v>3149</v>
      </c>
      <c r="X966" t="s">
        <v>2053</v>
      </c>
    </row>
    <row r="967" spans="2:24" x14ac:dyDescent="0.45">
      <c r="B967" t="s">
        <v>1098</v>
      </c>
      <c r="C967">
        <v>4.4686910835277036</v>
      </c>
      <c r="D967">
        <v>4.4000000000000004</v>
      </c>
      <c r="E967">
        <v>0.99975999999999998</v>
      </c>
      <c r="U967" t="s">
        <v>131</v>
      </c>
      <c r="V967" t="s">
        <v>3150</v>
      </c>
      <c r="W967" t="s">
        <v>3149</v>
      </c>
      <c r="X967" t="s">
        <v>2053</v>
      </c>
    </row>
    <row r="968" spans="2:24" x14ac:dyDescent="0.45">
      <c r="B968" t="s">
        <v>1099</v>
      </c>
      <c r="C968">
        <v>4.4686910835277036</v>
      </c>
      <c r="D968">
        <v>2.2000000000000002</v>
      </c>
      <c r="E968">
        <v>0.99987999999999999</v>
      </c>
      <c r="U968" t="s">
        <v>131</v>
      </c>
      <c r="V968" t="s">
        <v>3151</v>
      </c>
      <c r="W968" t="s">
        <v>3152</v>
      </c>
      <c r="X968" t="s">
        <v>2053</v>
      </c>
    </row>
    <row r="969" spans="2:24" x14ac:dyDescent="0.45">
      <c r="B969" t="s">
        <v>1100</v>
      </c>
      <c r="C969">
        <v>2.2343455417638518</v>
      </c>
      <c r="D969">
        <v>1.1000000000000001</v>
      </c>
      <c r="E969">
        <v>0.99994000000000005</v>
      </c>
      <c r="U969" t="s">
        <v>131</v>
      </c>
      <c r="V969" t="s">
        <v>3153</v>
      </c>
      <c r="W969" t="s">
        <v>3152</v>
      </c>
      <c r="X969" t="s">
        <v>2053</v>
      </c>
    </row>
    <row r="970" spans="2:24" x14ac:dyDescent="0.45">
      <c r="B970" t="s">
        <v>1101</v>
      </c>
      <c r="C970">
        <v>6.7030366252915554</v>
      </c>
      <c r="D970">
        <v>2.2000000000000002</v>
      </c>
      <c r="E970">
        <v>0.99987999999999999</v>
      </c>
      <c r="U970" t="s">
        <v>131</v>
      </c>
      <c r="V970" t="s">
        <v>3154</v>
      </c>
      <c r="W970" t="s">
        <v>2943</v>
      </c>
      <c r="X970" t="s">
        <v>2053</v>
      </c>
    </row>
    <row r="971" spans="2:24" x14ac:dyDescent="0.45">
      <c r="B971" t="s">
        <v>1102</v>
      </c>
      <c r="C971">
        <v>2.2343455417638518</v>
      </c>
      <c r="D971">
        <v>8.8000000000000007</v>
      </c>
      <c r="E971">
        <v>0.99951999999999996</v>
      </c>
      <c r="U971" t="s">
        <v>131</v>
      </c>
      <c r="V971" t="s">
        <v>3155</v>
      </c>
      <c r="W971" t="s">
        <v>2943</v>
      </c>
      <c r="X971" t="s">
        <v>2053</v>
      </c>
    </row>
    <row r="972" spans="2:24" x14ac:dyDescent="0.45">
      <c r="B972" t="s">
        <v>1103</v>
      </c>
      <c r="C972">
        <v>2.2343455417638518</v>
      </c>
      <c r="D972">
        <v>8.8000000000000007</v>
      </c>
      <c r="E972">
        <v>0.99951999999999996</v>
      </c>
      <c r="U972" t="s">
        <v>131</v>
      </c>
      <c r="V972" t="s">
        <v>3156</v>
      </c>
      <c r="W972" t="s">
        <v>3157</v>
      </c>
      <c r="X972" t="s">
        <v>2053</v>
      </c>
    </row>
    <row r="973" spans="2:24" x14ac:dyDescent="0.45">
      <c r="B973" t="s">
        <v>1104</v>
      </c>
      <c r="C973">
        <v>4.4686910835277036</v>
      </c>
      <c r="D973">
        <v>4.4000000000000004</v>
      </c>
      <c r="E973">
        <v>0.99975999999999998</v>
      </c>
      <c r="U973" t="s">
        <v>131</v>
      </c>
      <c r="V973" t="s">
        <v>3158</v>
      </c>
      <c r="W973" t="s">
        <v>3157</v>
      </c>
      <c r="X973" t="s">
        <v>2053</v>
      </c>
    </row>
    <row r="974" spans="2:24" x14ac:dyDescent="0.45">
      <c r="B974" t="s">
        <v>1105</v>
      </c>
      <c r="C974">
        <v>2.2343455417638518</v>
      </c>
      <c r="D974">
        <v>3.3000000000000003</v>
      </c>
      <c r="E974">
        <v>0.99982000000000004</v>
      </c>
      <c r="U974" t="s">
        <v>131</v>
      </c>
      <c r="V974" t="s">
        <v>3159</v>
      </c>
      <c r="W974" t="s">
        <v>3160</v>
      </c>
      <c r="X974" t="s">
        <v>2053</v>
      </c>
    </row>
    <row r="975" spans="2:24" x14ac:dyDescent="0.45">
      <c r="B975" t="s">
        <v>1106</v>
      </c>
      <c r="C975">
        <v>2.2343455417638518</v>
      </c>
      <c r="D975">
        <v>2.2000000000000002</v>
      </c>
      <c r="E975">
        <v>0.99987999999999999</v>
      </c>
      <c r="U975" t="s">
        <v>131</v>
      </c>
      <c r="V975" t="s">
        <v>3161</v>
      </c>
      <c r="W975" t="s">
        <v>3160</v>
      </c>
      <c r="X975" t="s">
        <v>2053</v>
      </c>
    </row>
    <row r="976" spans="2:24" x14ac:dyDescent="0.45">
      <c r="B976" t="s">
        <v>1107</v>
      </c>
      <c r="C976">
        <v>4.4686910835277036</v>
      </c>
      <c r="D976">
        <v>11</v>
      </c>
      <c r="E976">
        <v>0.99939999999999996</v>
      </c>
      <c r="U976" t="s">
        <v>131</v>
      </c>
      <c r="V976" t="s">
        <v>3162</v>
      </c>
      <c r="W976" t="s">
        <v>3163</v>
      </c>
      <c r="X976" t="s">
        <v>2053</v>
      </c>
    </row>
    <row r="977" spans="2:24" x14ac:dyDescent="0.45">
      <c r="B977" t="s">
        <v>1108</v>
      </c>
      <c r="C977">
        <v>2.2343455417638518</v>
      </c>
      <c r="D977">
        <v>4.4000000000000004</v>
      </c>
      <c r="E977">
        <v>0.99975999999999998</v>
      </c>
      <c r="U977" t="s">
        <v>131</v>
      </c>
      <c r="V977" t="s">
        <v>3164</v>
      </c>
      <c r="W977" t="s">
        <v>3163</v>
      </c>
      <c r="X977" t="s">
        <v>2053</v>
      </c>
    </row>
    <row r="978" spans="2:24" x14ac:dyDescent="0.45">
      <c r="B978" t="s">
        <v>1109</v>
      </c>
      <c r="C978">
        <v>4.4686910835277036</v>
      </c>
      <c r="D978">
        <v>1.1000000000000001</v>
      </c>
      <c r="E978">
        <v>0.99994000000000005</v>
      </c>
      <c r="U978" t="s">
        <v>131</v>
      </c>
      <c r="V978" t="s">
        <v>3165</v>
      </c>
      <c r="W978" t="s">
        <v>3166</v>
      </c>
      <c r="X978" t="s">
        <v>2053</v>
      </c>
    </row>
    <row r="979" spans="2:24" x14ac:dyDescent="0.45">
      <c r="B979" t="s">
        <v>1110</v>
      </c>
      <c r="C979">
        <v>6.7030366252915554</v>
      </c>
      <c r="D979">
        <v>2.2000000000000002</v>
      </c>
      <c r="E979">
        <v>0.99987999999999999</v>
      </c>
      <c r="U979" t="s">
        <v>131</v>
      </c>
      <c r="V979" t="s">
        <v>3167</v>
      </c>
      <c r="W979" t="s">
        <v>3166</v>
      </c>
      <c r="X979" t="s">
        <v>2053</v>
      </c>
    </row>
    <row r="980" spans="2:24" x14ac:dyDescent="0.45">
      <c r="B980" t="s">
        <v>1111</v>
      </c>
      <c r="C980">
        <v>4.4686910835277036</v>
      </c>
      <c r="D980">
        <v>2.2000000000000002</v>
      </c>
      <c r="E980">
        <v>0.99987999999999999</v>
      </c>
      <c r="U980" t="s">
        <v>131</v>
      </c>
      <c r="V980" t="s">
        <v>3168</v>
      </c>
      <c r="W980" t="s">
        <v>3169</v>
      </c>
      <c r="X980" t="s">
        <v>2053</v>
      </c>
    </row>
    <row r="981" spans="2:24" x14ac:dyDescent="0.45">
      <c r="B981" t="s">
        <v>1112</v>
      </c>
      <c r="C981">
        <v>0.49155601918804742</v>
      </c>
      <c r="D981">
        <v>138.60000000000002</v>
      </c>
      <c r="E981">
        <v>0.99243999999999999</v>
      </c>
      <c r="U981" t="s">
        <v>131</v>
      </c>
      <c r="V981" t="s">
        <v>3170</v>
      </c>
      <c r="W981" t="s">
        <v>3169</v>
      </c>
      <c r="X981" t="s">
        <v>2053</v>
      </c>
    </row>
    <row r="982" spans="2:24" x14ac:dyDescent="0.45">
      <c r="B982" t="s">
        <v>1113</v>
      </c>
      <c r="C982">
        <v>2.2343455417638518</v>
      </c>
      <c r="D982">
        <v>2.2000000000000002</v>
      </c>
      <c r="E982">
        <v>0.99987999999999999</v>
      </c>
      <c r="U982" t="s">
        <v>131</v>
      </c>
      <c r="V982" t="s">
        <v>3171</v>
      </c>
      <c r="W982" t="s">
        <v>3172</v>
      </c>
      <c r="X982" t="s">
        <v>2053</v>
      </c>
    </row>
    <row r="983" spans="2:24" x14ac:dyDescent="0.45">
      <c r="B983" t="s">
        <v>1114</v>
      </c>
      <c r="C983">
        <v>2.2343455417638518</v>
      </c>
      <c r="D983">
        <v>2.2000000000000002</v>
      </c>
      <c r="E983">
        <v>0.99987999999999999</v>
      </c>
      <c r="U983" t="s">
        <v>131</v>
      </c>
      <c r="V983" t="s">
        <v>3173</v>
      </c>
      <c r="W983" t="s">
        <v>3172</v>
      </c>
      <c r="X983" t="s">
        <v>2053</v>
      </c>
    </row>
    <row r="984" spans="2:24" x14ac:dyDescent="0.45">
      <c r="B984" t="s">
        <v>1115</v>
      </c>
      <c r="C984">
        <v>6.7030366252915554</v>
      </c>
      <c r="D984">
        <v>2.2000000000000002</v>
      </c>
      <c r="E984">
        <v>0.99987999999999999</v>
      </c>
      <c r="U984" t="s">
        <v>131</v>
      </c>
      <c r="V984" t="s">
        <v>3174</v>
      </c>
      <c r="W984" t="s">
        <v>3175</v>
      </c>
      <c r="X984" t="s">
        <v>2053</v>
      </c>
    </row>
    <row r="985" spans="2:24" x14ac:dyDescent="0.45">
      <c r="B985" t="s">
        <v>1116</v>
      </c>
      <c r="C985">
        <v>4.4686910835277036</v>
      </c>
      <c r="D985">
        <v>48.400000000000006</v>
      </c>
      <c r="E985">
        <v>0.99736000000000002</v>
      </c>
      <c r="U985" t="s">
        <v>131</v>
      </c>
      <c r="V985" t="s">
        <v>3176</v>
      </c>
      <c r="W985" t="s">
        <v>3175</v>
      </c>
      <c r="X985" t="s">
        <v>2053</v>
      </c>
    </row>
    <row r="986" spans="2:24" x14ac:dyDescent="0.45">
      <c r="B986" t="s">
        <v>1117</v>
      </c>
      <c r="C986">
        <v>2.2343455417638518</v>
      </c>
      <c r="D986">
        <v>3.3000000000000003</v>
      </c>
      <c r="E986">
        <v>0.99982000000000004</v>
      </c>
      <c r="U986" t="s">
        <v>131</v>
      </c>
      <c r="V986" t="s">
        <v>3177</v>
      </c>
      <c r="W986" t="s">
        <v>2723</v>
      </c>
      <c r="X986" t="s">
        <v>2053</v>
      </c>
    </row>
    <row r="987" spans="2:24" x14ac:dyDescent="0.45">
      <c r="B987" t="s">
        <v>1118</v>
      </c>
      <c r="C987">
        <v>2.2343455417638518</v>
      </c>
      <c r="D987">
        <v>7.7000000000000011</v>
      </c>
      <c r="E987">
        <v>0.99958000000000002</v>
      </c>
      <c r="U987" t="s">
        <v>131</v>
      </c>
      <c r="V987" t="s">
        <v>3178</v>
      </c>
      <c r="W987" t="s">
        <v>2723</v>
      </c>
      <c r="X987" t="s">
        <v>2053</v>
      </c>
    </row>
    <row r="988" spans="2:24" x14ac:dyDescent="0.45">
      <c r="B988" t="s">
        <v>1119</v>
      </c>
      <c r="C988">
        <v>2.2343455417638518</v>
      </c>
      <c r="D988">
        <v>3.3000000000000003</v>
      </c>
      <c r="E988">
        <v>0.99982000000000004</v>
      </c>
      <c r="U988" t="s">
        <v>131</v>
      </c>
      <c r="V988" t="s">
        <v>3179</v>
      </c>
      <c r="W988" t="s">
        <v>2727</v>
      </c>
      <c r="X988" t="s">
        <v>2053</v>
      </c>
    </row>
    <row r="989" spans="2:24" x14ac:dyDescent="0.45">
      <c r="B989" t="s">
        <v>1120</v>
      </c>
      <c r="C989">
        <v>4.4686910835277036</v>
      </c>
      <c r="D989">
        <v>3.3000000000000003</v>
      </c>
      <c r="E989">
        <v>0.99982000000000004</v>
      </c>
      <c r="U989" t="s">
        <v>131</v>
      </c>
      <c r="V989" t="s">
        <v>3180</v>
      </c>
      <c r="W989" t="s">
        <v>2727</v>
      </c>
      <c r="X989" t="s">
        <v>2053</v>
      </c>
    </row>
    <row r="990" spans="2:24" x14ac:dyDescent="0.45">
      <c r="B990" t="s">
        <v>1121</v>
      </c>
      <c r="C990">
        <v>2.2343455417638518</v>
      </c>
      <c r="D990">
        <v>3.3000000000000003</v>
      </c>
      <c r="E990">
        <v>0.99982000000000004</v>
      </c>
      <c r="U990" t="s">
        <v>131</v>
      </c>
      <c r="V990" t="s">
        <v>3181</v>
      </c>
      <c r="W990" t="s">
        <v>2731</v>
      </c>
      <c r="X990" t="s">
        <v>2053</v>
      </c>
    </row>
    <row r="991" spans="2:24" x14ac:dyDescent="0.45">
      <c r="B991" t="s">
        <v>1122</v>
      </c>
      <c r="C991">
        <v>6.7030366252915554</v>
      </c>
      <c r="D991">
        <v>1.1000000000000001</v>
      </c>
      <c r="E991">
        <v>0.99994000000000005</v>
      </c>
      <c r="U991" t="s">
        <v>131</v>
      </c>
      <c r="V991" t="s">
        <v>3182</v>
      </c>
      <c r="W991" t="s">
        <v>2731</v>
      </c>
      <c r="X991" t="s">
        <v>2053</v>
      </c>
    </row>
    <row r="992" spans="2:24" x14ac:dyDescent="0.45">
      <c r="B992" t="s">
        <v>1123</v>
      </c>
      <c r="C992">
        <v>2.2343455417638518</v>
      </c>
      <c r="D992">
        <v>4.4000000000000004</v>
      </c>
      <c r="E992">
        <v>0.99975999999999998</v>
      </c>
      <c r="U992" t="s">
        <v>131</v>
      </c>
      <c r="V992" t="s">
        <v>3183</v>
      </c>
      <c r="W992" t="s">
        <v>2735</v>
      </c>
      <c r="X992" t="s">
        <v>2053</v>
      </c>
    </row>
    <row r="993" spans="2:24" x14ac:dyDescent="0.45">
      <c r="B993" t="s">
        <v>1124</v>
      </c>
      <c r="C993">
        <v>4.4686910835277036</v>
      </c>
      <c r="D993">
        <v>2.2000000000000002</v>
      </c>
      <c r="E993">
        <v>0.99987999999999999</v>
      </c>
      <c r="U993" t="s">
        <v>131</v>
      </c>
      <c r="V993" t="s">
        <v>3184</v>
      </c>
      <c r="W993" t="s">
        <v>2735</v>
      </c>
      <c r="X993" t="s">
        <v>2053</v>
      </c>
    </row>
    <row r="994" spans="2:24" x14ac:dyDescent="0.45">
      <c r="B994" t="s">
        <v>1125</v>
      </c>
      <c r="C994">
        <v>2.2343455417638518</v>
      </c>
      <c r="D994">
        <v>4.4000000000000004</v>
      </c>
      <c r="E994">
        <v>0.99975999999999998</v>
      </c>
      <c r="U994" t="s">
        <v>131</v>
      </c>
      <c r="V994" t="s">
        <v>3185</v>
      </c>
      <c r="W994" t="s">
        <v>2739</v>
      </c>
      <c r="X994" t="s">
        <v>2053</v>
      </c>
    </row>
    <row r="995" spans="2:24" x14ac:dyDescent="0.45">
      <c r="B995" t="s">
        <v>1126</v>
      </c>
      <c r="C995">
        <v>2.2343455417638518</v>
      </c>
      <c r="D995">
        <v>2.2000000000000002</v>
      </c>
      <c r="E995">
        <v>0.99987999999999999</v>
      </c>
      <c r="U995" t="s">
        <v>131</v>
      </c>
      <c r="V995" t="s">
        <v>3186</v>
      </c>
      <c r="W995" t="s">
        <v>2739</v>
      </c>
      <c r="X995" t="s">
        <v>2053</v>
      </c>
    </row>
    <row r="996" spans="2:24" x14ac:dyDescent="0.45">
      <c r="B996" t="s">
        <v>1127</v>
      </c>
      <c r="C996">
        <v>6.7030366252915554</v>
      </c>
      <c r="D996">
        <v>1.1000000000000001</v>
      </c>
      <c r="E996">
        <v>0.99994000000000005</v>
      </c>
      <c r="U996" t="s">
        <v>131</v>
      </c>
      <c r="V996" t="s">
        <v>3187</v>
      </c>
      <c r="W996" t="s">
        <v>2743</v>
      </c>
      <c r="X996" t="s">
        <v>2053</v>
      </c>
    </row>
    <row r="997" spans="2:24" x14ac:dyDescent="0.45">
      <c r="B997" t="s">
        <v>1128</v>
      </c>
      <c r="C997">
        <v>2.2343455417638518</v>
      </c>
      <c r="D997">
        <v>6.6000000000000005</v>
      </c>
      <c r="E997">
        <v>0.99963999999999997</v>
      </c>
      <c r="U997" t="s">
        <v>131</v>
      </c>
      <c r="V997" t="s">
        <v>3188</v>
      </c>
      <c r="W997" t="s">
        <v>2743</v>
      </c>
      <c r="X997" t="s">
        <v>2053</v>
      </c>
    </row>
    <row r="998" spans="2:24" x14ac:dyDescent="0.45">
      <c r="B998" t="s">
        <v>1129</v>
      </c>
      <c r="C998">
        <v>2.2343455417638518</v>
      </c>
      <c r="D998">
        <v>4.4000000000000004</v>
      </c>
      <c r="E998">
        <v>0.99975999999999998</v>
      </c>
      <c r="U998" t="s">
        <v>131</v>
      </c>
      <c r="V998" t="s">
        <v>3189</v>
      </c>
      <c r="W998" t="s">
        <v>2747</v>
      </c>
      <c r="X998" t="s">
        <v>2053</v>
      </c>
    </row>
    <row r="999" spans="2:24" x14ac:dyDescent="0.45">
      <c r="B999" t="s">
        <v>1130</v>
      </c>
      <c r="C999">
        <v>2.2343455417638518</v>
      </c>
      <c r="D999">
        <v>3.3000000000000003</v>
      </c>
      <c r="E999">
        <v>0.99982000000000004</v>
      </c>
      <c r="U999" t="s">
        <v>131</v>
      </c>
      <c r="V999" t="s">
        <v>3190</v>
      </c>
      <c r="W999" t="s">
        <v>2747</v>
      </c>
      <c r="X999" t="s">
        <v>2053</v>
      </c>
    </row>
    <row r="1000" spans="2:24" x14ac:dyDescent="0.45">
      <c r="B1000" t="s">
        <v>1131</v>
      </c>
      <c r="C1000">
        <v>2.2343455417638518</v>
      </c>
      <c r="D1000">
        <v>3.3000000000000003</v>
      </c>
      <c r="E1000">
        <v>0.99982000000000004</v>
      </c>
      <c r="U1000" t="s">
        <v>131</v>
      </c>
      <c r="V1000" t="s">
        <v>3191</v>
      </c>
      <c r="W1000" t="s">
        <v>2751</v>
      </c>
      <c r="X1000" t="s">
        <v>2053</v>
      </c>
    </row>
    <row r="1001" spans="2:24" x14ac:dyDescent="0.45">
      <c r="B1001" t="s">
        <v>1132</v>
      </c>
      <c r="C1001">
        <v>2.2343455417638518</v>
      </c>
      <c r="D1001">
        <v>8.8000000000000007</v>
      </c>
      <c r="E1001">
        <v>0.99951999999999996</v>
      </c>
      <c r="U1001" t="s">
        <v>131</v>
      </c>
      <c r="V1001" t="s">
        <v>3192</v>
      </c>
      <c r="W1001" t="s">
        <v>2751</v>
      </c>
      <c r="X1001" t="s">
        <v>2053</v>
      </c>
    </row>
    <row r="1002" spans="2:24" x14ac:dyDescent="0.45">
      <c r="B1002" t="s">
        <v>1133</v>
      </c>
      <c r="C1002">
        <v>2.2343455417638518</v>
      </c>
      <c r="D1002">
        <v>5.5</v>
      </c>
      <c r="E1002">
        <v>0.99970000000000003</v>
      </c>
      <c r="U1002" t="s">
        <v>131</v>
      </c>
      <c r="V1002" t="s">
        <v>3193</v>
      </c>
      <c r="W1002" t="s">
        <v>2755</v>
      </c>
      <c r="X1002" t="s">
        <v>2053</v>
      </c>
    </row>
    <row r="1003" spans="2:24" x14ac:dyDescent="0.45">
      <c r="B1003" t="s">
        <v>1134</v>
      </c>
      <c r="C1003">
        <v>4.4686910835277036</v>
      </c>
      <c r="D1003">
        <v>11</v>
      </c>
      <c r="E1003">
        <v>0.99939999999999996</v>
      </c>
      <c r="U1003" t="s">
        <v>131</v>
      </c>
      <c r="V1003" t="s">
        <v>3194</v>
      </c>
      <c r="W1003" t="s">
        <v>2755</v>
      </c>
      <c r="X1003" t="s">
        <v>2053</v>
      </c>
    </row>
    <row r="1004" spans="2:24" x14ac:dyDescent="0.45">
      <c r="B1004" t="s">
        <v>1135</v>
      </c>
      <c r="C1004">
        <v>2.2343455417638518</v>
      </c>
      <c r="D1004">
        <v>4.4000000000000004</v>
      </c>
      <c r="E1004">
        <v>0.99975999999999998</v>
      </c>
      <c r="U1004" t="s">
        <v>131</v>
      </c>
      <c r="V1004" t="s">
        <v>3195</v>
      </c>
      <c r="W1004" t="s">
        <v>2759</v>
      </c>
      <c r="X1004" t="s">
        <v>2053</v>
      </c>
    </row>
    <row r="1005" spans="2:24" x14ac:dyDescent="0.45">
      <c r="B1005" t="s">
        <v>1136</v>
      </c>
      <c r="C1005">
        <v>6.7030366252915554</v>
      </c>
      <c r="D1005">
        <v>2.2000000000000002</v>
      </c>
      <c r="E1005">
        <v>0.99987999999999999</v>
      </c>
      <c r="U1005" t="s">
        <v>131</v>
      </c>
      <c r="V1005" t="s">
        <v>3196</v>
      </c>
      <c r="W1005" t="s">
        <v>2759</v>
      </c>
      <c r="X1005" t="s">
        <v>2053</v>
      </c>
    </row>
    <row r="1006" spans="2:24" x14ac:dyDescent="0.45">
      <c r="B1006" t="s">
        <v>1137</v>
      </c>
      <c r="C1006">
        <v>2.2343455417638518</v>
      </c>
      <c r="D1006">
        <v>3.3000000000000003</v>
      </c>
      <c r="E1006">
        <v>0.99982000000000004</v>
      </c>
      <c r="U1006" t="s">
        <v>131</v>
      </c>
      <c r="V1006" t="s">
        <v>3197</v>
      </c>
      <c r="W1006" t="s">
        <v>2763</v>
      </c>
      <c r="X1006" t="s">
        <v>2053</v>
      </c>
    </row>
    <row r="1007" spans="2:24" x14ac:dyDescent="0.45">
      <c r="B1007" t="s">
        <v>1138</v>
      </c>
      <c r="C1007">
        <v>2.2343455417638518</v>
      </c>
      <c r="D1007">
        <v>2.2000000000000002</v>
      </c>
      <c r="E1007">
        <v>0.99987999999999999</v>
      </c>
      <c r="U1007" t="s">
        <v>131</v>
      </c>
      <c r="V1007" t="s">
        <v>3198</v>
      </c>
      <c r="W1007" t="s">
        <v>2763</v>
      </c>
      <c r="X1007" t="s">
        <v>2053</v>
      </c>
    </row>
    <row r="1008" spans="2:24" x14ac:dyDescent="0.45">
      <c r="B1008" t="s">
        <v>1139</v>
      </c>
      <c r="C1008">
        <v>2.2343455417638518</v>
      </c>
      <c r="D1008">
        <v>1.1000000000000001</v>
      </c>
      <c r="E1008">
        <v>0.99994000000000005</v>
      </c>
      <c r="U1008" t="s">
        <v>131</v>
      </c>
      <c r="V1008" t="s">
        <v>3199</v>
      </c>
      <c r="W1008" t="s">
        <v>2767</v>
      </c>
      <c r="X1008" t="s">
        <v>2053</v>
      </c>
    </row>
    <row r="1009" spans="2:24" x14ac:dyDescent="0.45">
      <c r="B1009" t="s">
        <v>1140</v>
      </c>
      <c r="C1009">
        <v>4.4686910835277036</v>
      </c>
      <c r="D1009">
        <v>6.6000000000000005</v>
      </c>
      <c r="E1009">
        <v>0.99963999999999997</v>
      </c>
      <c r="U1009" t="s">
        <v>131</v>
      </c>
      <c r="V1009" t="s">
        <v>3200</v>
      </c>
      <c r="W1009" t="s">
        <v>2767</v>
      </c>
      <c r="X1009" t="s">
        <v>2053</v>
      </c>
    </row>
    <row r="1010" spans="2:24" x14ac:dyDescent="0.45">
      <c r="B1010" t="s">
        <v>1141</v>
      </c>
      <c r="C1010">
        <v>2.2343455417638518</v>
      </c>
      <c r="D1010">
        <v>1.1000000000000001</v>
      </c>
      <c r="E1010">
        <v>0.99994000000000005</v>
      </c>
      <c r="U1010" t="s">
        <v>131</v>
      </c>
      <c r="V1010" t="s">
        <v>3201</v>
      </c>
      <c r="W1010" t="s">
        <v>2771</v>
      </c>
      <c r="X1010" t="s">
        <v>2053</v>
      </c>
    </row>
    <row r="1011" spans="2:24" x14ac:dyDescent="0.45">
      <c r="B1011" t="s">
        <v>1142</v>
      </c>
      <c r="C1011">
        <v>2.2343455417638518</v>
      </c>
      <c r="D1011">
        <v>5.5</v>
      </c>
      <c r="E1011">
        <v>0.99970000000000003</v>
      </c>
      <c r="U1011" t="s">
        <v>131</v>
      </c>
      <c r="V1011" t="s">
        <v>3202</v>
      </c>
      <c r="W1011" t="s">
        <v>2771</v>
      </c>
      <c r="X1011" t="s">
        <v>2053</v>
      </c>
    </row>
    <row r="1012" spans="2:24" x14ac:dyDescent="0.45">
      <c r="B1012" t="s">
        <v>1143</v>
      </c>
      <c r="C1012">
        <v>2.2343455417638518</v>
      </c>
      <c r="D1012">
        <v>4.4000000000000004</v>
      </c>
      <c r="E1012">
        <v>0.99975999999999998</v>
      </c>
      <c r="U1012" t="s">
        <v>131</v>
      </c>
      <c r="V1012" t="s">
        <v>3203</v>
      </c>
      <c r="W1012" t="s">
        <v>2775</v>
      </c>
      <c r="X1012" t="s">
        <v>2053</v>
      </c>
    </row>
    <row r="1013" spans="2:24" x14ac:dyDescent="0.45">
      <c r="B1013" t="s">
        <v>1144</v>
      </c>
      <c r="C1013">
        <v>4.4686910835277036</v>
      </c>
      <c r="D1013">
        <v>14.3</v>
      </c>
      <c r="E1013">
        <v>0.99922</v>
      </c>
      <c r="U1013" t="s">
        <v>131</v>
      </c>
      <c r="V1013" t="s">
        <v>3204</v>
      </c>
      <c r="W1013" t="s">
        <v>2775</v>
      </c>
      <c r="X1013" t="s">
        <v>2053</v>
      </c>
    </row>
    <row r="1014" spans="2:24" x14ac:dyDescent="0.45">
      <c r="B1014" t="s">
        <v>1145</v>
      </c>
      <c r="C1014">
        <v>2.2343455417638518</v>
      </c>
      <c r="D1014">
        <v>6.6000000000000005</v>
      </c>
      <c r="E1014">
        <v>0.99963999999999997</v>
      </c>
      <c r="U1014" t="s">
        <v>131</v>
      </c>
      <c r="V1014" t="s">
        <v>3205</v>
      </c>
      <c r="W1014" t="s">
        <v>2779</v>
      </c>
      <c r="X1014" t="s">
        <v>2053</v>
      </c>
    </row>
    <row r="1015" spans="2:24" x14ac:dyDescent="0.45">
      <c r="B1015" t="s">
        <v>1146</v>
      </c>
      <c r="C1015">
        <v>2.2343455417638518</v>
      </c>
      <c r="D1015">
        <v>2.2000000000000002</v>
      </c>
      <c r="E1015">
        <v>0.99987999999999999</v>
      </c>
      <c r="U1015" t="s">
        <v>131</v>
      </c>
      <c r="V1015" t="s">
        <v>3206</v>
      </c>
      <c r="W1015" t="s">
        <v>2779</v>
      </c>
      <c r="X1015" t="s">
        <v>2053</v>
      </c>
    </row>
    <row r="1016" spans="2:24" x14ac:dyDescent="0.45">
      <c r="B1016" t="s">
        <v>1147</v>
      </c>
      <c r="C1016">
        <v>0.98311203837609484</v>
      </c>
      <c r="D1016">
        <v>5.5</v>
      </c>
      <c r="E1016">
        <v>0.99970000000000003</v>
      </c>
      <c r="U1016" t="s">
        <v>131</v>
      </c>
      <c r="V1016" t="s">
        <v>3207</v>
      </c>
      <c r="W1016" t="s">
        <v>2783</v>
      </c>
      <c r="X1016" t="s">
        <v>2053</v>
      </c>
    </row>
    <row r="1017" spans="2:24" x14ac:dyDescent="0.45">
      <c r="B1017" t="s">
        <v>1148</v>
      </c>
      <c r="C1017">
        <v>0.98311203837609484</v>
      </c>
      <c r="D1017">
        <v>1.1000000000000001</v>
      </c>
      <c r="E1017">
        <v>0.99994000000000005</v>
      </c>
      <c r="U1017" t="s">
        <v>131</v>
      </c>
      <c r="V1017" t="s">
        <v>3208</v>
      </c>
      <c r="W1017" t="s">
        <v>2783</v>
      </c>
      <c r="X1017" t="s">
        <v>2053</v>
      </c>
    </row>
    <row r="1018" spans="2:24" x14ac:dyDescent="0.45">
      <c r="B1018" t="s">
        <v>1149</v>
      </c>
      <c r="C1018">
        <v>4.4686910835277036</v>
      </c>
      <c r="D1018">
        <v>8.8000000000000007</v>
      </c>
      <c r="E1018">
        <v>0.99951999999999996</v>
      </c>
      <c r="U1018" t="s">
        <v>131</v>
      </c>
      <c r="V1018" t="s">
        <v>3209</v>
      </c>
      <c r="W1018" t="s">
        <v>2787</v>
      </c>
      <c r="X1018" t="s">
        <v>2053</v>
      </c>
    </row>
    <row r="1019" spans="2:24" x14ac:dyDescent="0.45">
      <c r="B1019" t="s">
        <v>1150</v>
      </c>
      <c r="C1019">
        <v>2.2343455417638518</v>
      </c>
      <c r="D1019">
        <v>3.3000000000000003</v>
      </c>
      <c r="E1019">
        <v>0.99982000000000004</v>
      </c>
      <c r="U1019" t="s">
        <v>131</v>
      </c>
      <c r="V1019" t="s">
        <v>3210</v>
      </c>
      <c r="W1019" t="s">
        <v>2787</v>
      </c>
      <c r="X1019" t="s">
        <v>2053</v>
      </c>
    </row>
    <row r="1020" spans="2:24" x14ac:dyDescent="0.45">
      <c r="B1020" t="s">
        <v>1151</v>
      </c>
      <c r="C1020">
        <v>6.7030366252915554</v>
      </c>
      <c r="D1020">
        <v>2.2000000000000002</v>
      </c>
      <c r="E1020">
        <v>0.99987999999999999</v>
      </c>
      <c r="U1020" t="s">
        <v>131</v>
      </c>
      <c r="V1020" t="s">
        <v>3211</v>
      </c>
      <c r="W1020" t="s">
        <v>2791</v>
      </c>
      <c r="X1020" t="s">
        <v>2053</v>
      </c>
    </row>
    <row r="1021" spans="2:24" x14ac:dyDescent="0.45">
      <c r="B1021" t="s">
        <v>1152</v>
      </c>
      <c r="C1021">
        <v>2.2343455417638518</v>
      </c>
      <c r="D1021">
        <v>3.3000000000000003</v>
      </c>
      <c r="E1021">
        <v>0.99982000000000004</v>
      </c>
      <c r="U1021" t="s">
        <v>131</v>
      </c>
      <c r="V1021" t="s">
        <v>3212</v>
      </c>
      <c r="W1021" t="s">
        <v>2791</v>
      </c>
      <c r="X1021" t="s">
        <v>2053</v>
      </c>
    </row>
    <row r="1022" spans="2:24" x14ac:dyDescent="0.45">
      <c r="B1022" t="s">
        <v>1153</v>
      </c>
      <c r="C1022">
        <v>2.2343455417638518</v>
      </c>
      <c r="D1022">
        <v>5.5</v>
      </c>
      <c r="E1022">
        <v>0.99970000000000003</v>
      </c>
      <c r="U1022" t="s">
        <v>131</v>
      </c>
      <c r="V1022" t="s">
        <v>3213</v>
      </c>
      <c r="W1022" t="s">
        <v>2795</v>
      </c>
      <c r="X1022" t="s">
        <v>2053</v>
      </c>
    </row>
    <row r="1023" spans="2:24" x14ac:dyDescent="0.45">
      <c r="B1023" t="s">
        <v>1154</v>
      </c>
      <c r="C1023">
        <v>0.49155601918804742</v>
      </c>
      <c r="D1023">
        <v>55.000000000000007</v>
      </c>
      <c r="E1023">
        <v>0.997</v>
      </c>
      <c r="U1023" t="s">
        <v>131</v>
      </c>
      <c r="V1023" t="s">
        <v>3214</v>
      </c>
      <c r="W1023" t="s">
        <v>2795</v>
      </c>
      <c r="X1023" t="s">
        <v>2053</v>
      </c>
    </row>
    <row r="1024" spans="2:24" x14ac:dyDescent="0.45">
      <c r="B1024" t="s">
        <v>1155</v>
      </c>
      <c r="C1024">
        <v>2.2343455417638518</v>
      </c>
      <c r="D1024">
        <v>2.2000000000000002</v>
      </c>
      <c r="E1024">
        <v>0.99987999999999999</v>
      </c>
      <c r="U1024" t="s">
        <v>131</v>
      </c>
      <c r="V1024" t="s">
        <v>3215</v>
      </c>
      <c r="W1024" t="s">
        <v>2799</v>
      </c>
      <c r="X1024" t="s">
        <v>2053</v>
      </c>
    </row>
    <row r="1025" spans="2:24" x14ac:dyDescent="0.45">
      <c r="B1025" t="s">
        <v>1156</v>
      </c>
      <c r="C1025">
        <v>4.4686910835277036</v>
      </c>
      <c r="D1025">
        <v>14.3</v>
      </c>
      <c r="E1025">
        <v>0.99922</v>
      </c>
      <c r="U1025" t="s">
        <v>131</v>
      </c>
      <c r="V1025" t="s">
        <v>3216</v>
      </c>
      <c r="W1025" t="s">
        <v>2799</v>
      </c>
      <c r="X1025" t="s">
        <v>2053</v>
      </c>
    </row>
    <row r="1026" spans="2:24" x14ac:dyDescent="0.45">
      <c r="B1026" t="s">
        <v>1157</v>
      </c>
      <c r="C1026">
        <v>0.98311203837609484</v>
      </c>
      <c r="D1026">
        <v>2.2000000000000002</v>
      </c>
      <c r="E1026">
        <v>0.99987999999999999</v>
      </c>
      <c r="U1026" t="s">
        <v>131</v>
      </c>
      <c r="V1026" t="s">
        <v>3217</v>
      </c>
      <c r="W1026" t="s">
        <v>2803</v>
      </c>
      <c r="X1026" t="s">
        <v>2053</v>
      </c>
    </row>
    <row r="1027" spans="2:24" x14ac:dyDescent="0.45">
      <c r="B1027" t="s">
        <v>1158</v>
      </c>
      <c r="C1027">
        <v>2.2343455417638518</v>
      </c>
      <c r="D1027">
        <v>6.6000000000000005</v>
      </c>
      <c r="E1027">
        <v>0.99963999999999997</v>
      </c>
      <c r="U1027" t="s">
        <v>131</v>
      </c>
      <c r="V1027" t="s">
        <v>3218</v>
      </c>
      <c r="W1027" t="s">
        <v>2803</v>
      </c>
      <c r="X1027" t="s">
        <v>2053</v>
      </c>
    </row>
    <row r="1028" spans="2:24" x14ac:dyDescent="0.45">
      <c r="B1028" t="s">
        <v>1159</v>
      </c>
      <c r="C1028">
        <v>4.4686910835277036</v>
      </c>
      <c r="D1028">
        <v>3.3000000000000003</v>
      </c>
      <c r="E1028">
        <v>0.99982000000000004</v>
      </c>
      <c r="U1028" t="s">
        <v>131</v>
      </c>
      <c r="V1028" t="s">
        <v>3219</v>
      </c>
      <c r="W1028" t="s">
        <v>2807</v>
      </c>
      <c r="X1028" t="s">
        <v>2053</v>
      </c>
    </row>
    <row r="1029" spans="2:24" x14ac:dyDescent="0.45">
      <c r="B1029" t="s">
        <v>1160</v>
      </c>
      <c r="C1029">
        <v>1.9662240767521897</v>
      </c>
      <c r="D1029">
        <v>8.8000000000000007</v>
      </c>
      <c r="E1029">
        <v>0.99951999999999996</v>
      </c>
      <c r="U1029" t="s">
        <v>131</v>
      </c>
      <c r="V1029" t="s">
        <v>3220</v>
      </c>
      <c r="W1029" t="s">
        <v>2807</v>
      </c>
      <c r="X1029" t="s">
        <v>2053</v>
      </c>
    </row>
    <row r="1030" spans="2:24" x14ac:dyDescent="0.45">
      <c r="B1030" t="s">
        <v>1161</v>
      </c>
      <c r="C1030">
        <v>2.2343455417638518</v>
      </c>
      <c r="D1030">
        <v>12.100000000000001</v>
      </c>
      <c r="E1030">
        <v>0.99934000000000001</v>
      </c>
      <c r="U1030" t="s">
        <v>131</v>
      </c>
      <c r="V1030" t="s">
        <v>3221</v>
      </c>
      <c r="W1030" t="s">
        <v>2811</v>
      </c>
      <c r="X1030" t="s">
        <v>2053</v>
      </c>
    </row>
    <row r="1031" spans="2:24" x14ac:dyDescent="0.45">
      <c r="B1031" t="s">
        <v>1162</v>
      </c>
      <c r="C1031">
        <v>6.7030366252915554</v>
      </c>
      <c r="D1031">
        <v>1.1000000000000001</v>
      </c>
      <c r="E1031">
        <v>0.99994000000000005</v>
      </c>
      <c r="U1031" t="s">
        <v>131</v>
      </c>
      <c r="V1031" t="s">
        <v>3222</v>
      </c>
      <c r="W1031" t="s">
        <v>2811</v>
      </c>
      <c r="X1031" t="s">
        <v>2053</v>
      </c>
    </row>
    <row r="1032" spans="2:24" x14ac:dyDescent="0.45">
      <c r="B1032" t="s">
        <v>1163</v>
      </c>
      <c r="C1032">
        <v>2.2343455417638518</v>
      </c>
      <c r="D1032">
        <v>5.5</v>
      </c>
      <c r="E1032">
        <v>0.99970000000000003</v>
      </c>
      <c r="U1032" t="s">
        <v>131</v>
      </c>
      <c r="V1032" t="s">
        <v>3223</v>
      </c>
      <c r="W1032" t="s">
        <v>2815</v>
      </c>
      <c r="X1032" t="s">
        <v>2053</v>
      </c>
    </row>
    <row r="1033" spans="2:24" x14ac:dyDescent="0.45">
      <c r="B1033" t="s">
        <v>1164</v>
      </c>
      <c r="C1033">
        <v>4.4686910835277036</v>
      </c>
      <c r="D1033">
        <v>5.5</v>
      </c>
      <c r="E1033">
        <v>0.99970000000000003</v>
      </c>
      <c r="U1033" t="s">
        <v>131</v>
      </c>
      <c r="V1033" t="s">
        <v>3224</v>
      </c>
      <c r="W1033" t="s">
        <v>2815</v>
      </c>
      <c r="X1033" t="s">
        <v>2053</v>
      </c>
    </row>
    <row r="1034" spans="2:24" x14ac:dyDescent="0.45">
      <c r="B1034" t="s">
        <v>1165</v>
      </c>
      <c r="C1034">
        <v>4.4686910835277036</v>
      </c>
      <c r="D1034">
        <v>4.4000000000000004</v>
      </c>
      <c r="E1034">
        <v>0.99975999999999998</v>
      </c>
      <c r="U1034" t="s">
        <v>131</v>
      </c>
      <c r="V1034" t="s">
        <v>3225</v>
      </c>
      <c r="W1034" t="s">
        <v>2819</v>
      </c>
      <c r="X1034" t="s">
        <v>2053</v>
      </c>
    </row>
    <row r="1035" spans="2:24" x14ac:dyDescent="0.45">
      <c r="B1035" t="s">
        <v>1166</v>
      </c>
      <c r="C1035">
        <v>0.49155601918804742</v>
      </c>
      <c r="D1035">
        <v>5.5</v>
      </c>
      <c r="E1035">
        <v>0.99970000000000003</v>
      </c>
      <c r="U1035" t="s">
        <v>131</v>
      </c>
      <c r="V1035" t="s">
        <v>3226</v>
      </c>
      <c r="W1035" t="s">
        <v>2819</v>
      </c>
      <c r="X1035" t="s">
        <v>2053</v>
      </c>
    </row>
    <row r="1036" spans="2:24" x14ac:dyDescent="0.45">
      <c r="B1036" t="s">
        <v>1167</v>
      </c>
      <c r="C1036">
        <v>0.49155601918804742</v>
      </c>
      <c r="D1036">
        <v>4.4000000000000004</v>
      </c>
      <c r="E1036">
        <v>0.99975999999999998</v>
      </c>
      <c r="U1036" t="s">
        <v>131</v>
      </c>
      <c r="V1036" t="s">
        <v>3227</v>
      </c>
      <c r="W1036" t="s">
        <v>2823</v>
      </c>
      <c r="X1036" t="s">
        <v>2053</v>
      </c>
    </row>
    <row r="1037" spans="2:24" x14ac:dyDescent="0.45">
      <c r="B1037" t="s">
        <v>1168</v>
      </c>
      <c r="C1037">
        <v>2.2343455417638518</v>
      </c>
      <c r="D1037">
        <v>5.5</v>
      </c>
      <c r="E1037">
        <v>0.99970000000000003</v>
      </c>
      <c r="U1037" t="s">
        <v>131</v>
      </c>
      <c r="V1037" t="s">
        <v>3228</v>
      </c>
      <c r="W1037" t="s">
        <v>2823</v>
      </c>
      <c r="X1037" t="s">
        <v>2053</v>
      </c>
    </row>
    <row r="1038" spans="2:24" x14ac:dyDescent="0.45">
      <c r="B1038" t="s">
        <v>1169</v>
      </c>
      <c r="C1038">
        <v>2.2343455417638518</v>
      </c>
      <c r="D1038">
        <v>2.2000000000000002</v>
      </c>
      <c r="E1038">
        <v>0.99987999999999999</v>
      </c>
      <c r="U1038" t="s">
        <v>131</v>
      </c>
      <c r="V1038" t="s">
        <v>3229</v>
      </c>
      <c r="W1038" t="s">
        <v>2827</v>
      </c>
      <c r="X1038" t="s">
        <v>2053</v>
      </c>
    </row>
    <row r="1039" spans="2:24" x14ac:dyDescent="0.45">
      <c r="B1039" t="s">
        <v>1170</v>
      </c>
      <c r="C1039">
        <v>0.49155601918804742</v>
      </c>
      <c r="D1039">
        <v>9.9</v>
      </c>
      <c r="E1039">
        <v>0.99946000000000002</v>
      </c>
      <c r="U1039" t="s">
        <v>131</v>
      </c>
      <c r="V1039" t="s">
        <v>3230</v>
      </c>
      <c r="W1039" t="s">
        <v>2827</v>
      </c>
      <c r="X1039" t="s">
        <v>2053</v>
      </c>
    </row>
    <row r="1040" spans="2:24" x14ac:dyDescent="0.45">
      <c r="B1040" t="s">
        <v>1171</v>
      </c>
      <c r="C1040">
        <v>0.49155601918804742</v>
      </c>
      <c r="D1040">
        <v>13.200000000000001</v>
      </c>
      <c r="E1040">
        <v>0.99927999999999995</v>
      </c>
      <c r="U1040" t="s">
        <v>131</v>
      </c>
      <c r="V1040" t="s">
        <v>3231</v>
      </c>
      <c r="W1040" t="s">
        <v>2831</v>
      </c>
      <c r="X1040" t="s">
        <v>2053</v>
      </c>
    </row>
    <row r="1041" spans="2:24" x14ac:dyDescent="0.45">
      <c r="B1041" t="s">
        <v>1172</v>
      </c>
      <c r="C1041">
        <v>2.2343455417638518</v>
      </c>
      <c r="D1041">
        <v>4.4000000000000004</v>
      </c>
      <c r="E1041">
        <v>0.99975999999999998</v>
      </c>
      <c r="U1041" t="s">
        <v>131</v>
      </c>
      <c r="V1041" t="s">
        <v>3232</v>
      </c>
      <c r="W1041" t="s">
        <v>2831</v>
      </c>
      <c r="X1041" t="s">
        <v>2053</v>
      </c>
    </row>
    <row r="1042" spans="2:24" x14ac:dyDescent="0.45">
      <c r="B1042" t="s">
        <v>1173</v>
      </c>
      <c r="C1042">
        <v>8.9373821670554072</v>
      </c>
      <c r="D1042">
        <v>13.200000000000001</v>
      </c>
      <c r="E1042">
        <v>0.99927999999999995</v>
      </c>
      <c r="U1042" t="s">
        <v>131</v>
      </c>
      <c r="V1042" t="s">
        <v>3233</v>
      </c>
      <c r="W1042" t="s">
        <v>2835</v>
      </c>
      <c r="X1042" t="s">
        <v>2053</v>
      </c>
    </row>
    <row r="1043" spans="2:24" x14ac:dyDescent="0.45">
      <c r="B1043" t="s">
        <v>1174</v>
      </c>
      <c r="C1043">
        <v>0.49155601918804742</v>
      </c>
      <c r="D1043">
        <v>9.9</v>
      </c>
      <c r="E1043">
        <v>0.99946000000000002</v>
      </c>
      <c r="U1043" t="s">
        <v>131</v>
      </c>
      <c r="V1043" t="s">
        <v>3234</v>
      </c>
      <c r="W1043" t="s">
        <v>2835</v>
      </c>
      <c r="X1043" t="s">
        <v>2053</v>
      </c>
    </row>
    <row r="1044" spans="2:24" x14ac:dyDescent="0.45">
      <c r="B1044" t="s">
        <v>1175</v>
      </c>
      <c r="C1044">
        <v>0.49155601918804742</v>
      </c>
      <c r="D1044">
        <v>47.300000000000004</v>
      </c>
      <c r="E1044">
        <v>0.99741999999999997</v>
      </c>
      <c r="U1044" t="s">
        <v>131</v>
      </c>
      <c r="V1044" t="s">
        <v>3235</v>
      </c>
      <c r="W1044" t="s">
        <v>2839</v>
      </c>
      <c r="X1044" t="s">
        <v>2053</v>
      </c>
    </row>
    <row r="1045" spans="2:24" x14ac:dyDescent="0.45">
      <c r="B1045" t="s">
        <v>1176</v>
      </c>
      <c r="C1045">
        <v>2.2343455417638518</v>
      </c>
      <c r="D1045">
        <v>8.8000000000000007</v>
      </c>
      <c r="E1045">
        <v>0.99951999999999996</v>
      </c>
      <c r="U1045" t="s">
        <v>131</v>
      </c>
      <c r="V1045" t="s">
        <v>3236</v>
      </c>
      <c r="W1045" t="s">
        <v>2839</v>
      </c>
      <c r="X1045" t="s">
        <v>2053</v>
      </c>
    </row>
    <row r="1046" spans="2:24" x14ac:dyDescent="0.45">
      <c r="B1046" t="s">
        <v>1177</v>
      </c>
      <c r="C1046">
        <v>0.98311203837609484</v>
      </c>
      <c r="D1046">
        <v>12.100000000000001</v>
      </c>
      <c r="E1046">
        <v>0.99934000000000001</v>
      </c>
      <c r="U1046" t="s">
        <v>131</v>
      </c>
      <c r="V1046" t="s">
        <v>3237</v>
      </c>
      <c r="W1046" t="s">
        <v>2843</v>
      </c>
      <c r="X1046" t="s">
        <v>2053</v>
      </c>
    </row>
    <row r="1047" spans="2:24" x14ac:dyDescent="0.45">
      <c r="B1047" t="s">
        <v>1178</v>
      </c>
      <c r="C1047">
        <v>0.49155601918804742</v>
      </c>
      <c r="D1047">
        <v>5.5</v>
      </c>
      <c r="E1047">
        <v>0.99970000000000003</v>
      </c>
      <c r="U1047" t="s">
        <v>131</v>
      </c>
      <c r="V1047" t="s">
        <v>3238</v>
      </c>
      <c r="W1047" t="s">
        <v>2843</v>
      </c>
      <c r="X1047" t="s">
        <v>2053</v>
      </c>
    </row>
    <row r="1048" spans="2:24" x14ac:dyDescent="0.45">
      <c r="B1048" t="s">
        <v>1179</v>
      </c>
      <c r="C1048">
        <v>2.2343455417638518</v>
      </c>
      <c r="D1048">
        <v>2.2000000000000002</v>
      </c>
      <c r="E1048">
        <v>0.99987999999999999</v>
      </c>
      <c r="U1048" t="s">
        <v>131</v>
      </c>
      <c r="V1048" t="s">
        <v>3239</v>
      </c>
      <c r="W1048" t="s">
        <v>2847</v>
      </c>
      <c r="X1048" t="s">
        <v>2053</v>
      </c>
    </row>
    <row r="1049" spans="2:24" x14ac:dyDescent="0.45">
      <c r="B1049" t="s">
        <v>1180</v>
      </c>
      <c r="C1049">
        <v>6.7030366252915554</v>
      </c>
      <c r="D1049">
        <v>1.1000000000000001</v>
      </c>
      <c r="E1049">
        <v>0.99994000000000005</v>
      </c>
      <c r="U1049" t="s">
        <v>131</v>
      </c>
      <c r="V1049" t="s">
        <v>3240</v>
      </c>
      <c r="W1049" t="s">
        <v>2847</v>
      </c>
      <c r="X1049" t="s">
        <v>2053</v>
      </c>
    </row>
    <row r="1050" spans="2:24" x14ac:dyDescent="0.45">
      <c r="B1050" t="s">
        <v>1181</v>
      </c>
      <c r="C1050">
        <v>0.98311203837609484</v>
      </c>
      <c r="D1050">
        <v>5.5</v>
      </c>
      <c r="E1050">
        <v>0.99970000000000003</v>
      </c>
      <c r="U1050" t="s">
        <v>131</v>
      </c>
      <c r="V1050" t="s">
        <v>3241</v>
      </c>
      <c r="W1050" t="s">
        <v>2851</v>
      </c>
      <c r="X1050" t="s">
        <v>2053</v>
      </c>
    </row>
    <row r="1051" spans="2:24" x14ac:dyDescent="0.45">
      <c r="B1051" t="s">
        <v>1182</v>
      </c>
      <c r="C1051">
        <v>0.49155601918804742</v>
      </c>
      <c r="D1051">
        <v>6.6000000000000005</v>
      </c>
      <c r="E1051">
        <v>0.99963999999999997</v>
      </c>
      <c r="U1051" t="s">
        <v>131</v>
      </c>
      <c r="V1051" t="s">
        <v>3242</v>
      </c>
      <c r="W1051" t="s">
        <v>2851</v>
      </c>
      <c r="X1051" t="s">
        <v>2053</v>
      </c>
    </row>
    <row r="1052" spans="2:24" x14ac:dyDescent="0.45">
      <c r="B1052" t="s">
        <v>1183</v>
      </c>
      <c r="C1052">
        <v>0.49155601918804742</v>
      </c>
      <c r="D1052">
        <v>41.800000000000004</v>
      </c>
      <c r="E1052">
        <v>0.99772000000000005</v>
      </c>
      <c r="U1052" t="s">
        <v>131</v>
      </c>
      <c r="V1052" t="s">
        <v>3243</v>
      </c>
      <c r="W1052" t="s">
        <v>2855</v>
      </c>
      <c r="X1052" t="s">
        <v>2053</v>
      </c>
    </row>
    <row r="1053" spans="2:24" x14ac:dyDescent="0.45">
      <c r="B1053" t="s">
        <v>1184</v>
      </c>
      <c r="C1053">
        <v>4.4686910835277036</v>
      </c>
      <c r="D1053">
        <v>4.4000000000000004</v>
      </c>
      <c r="E1053">
        <v>0.99975999999999998</v>
      </c>
      <c r="U1053" t="s">
        <v>131</v>
      </c>
      <c r="V1053" t="s">
        <v>3244</v>
      </c>
      <c r="W1053" t="s">
        <v>2855</v>
      </c>
      <c r="X1053" t="s">
        <v>2053</v>
      </c>
    </row>
    <row r="1054" spans="2:24" x14ac:dyDescent="0.45">
      <c r="B1054" t="s">
        <v>1185</v>
      </c>
      <c r="C1054">
        <v>2.2343455417638518</v>
      </c>
      <c r="D1054">
        <v>7.7000000000000011</v>
      </c>
      <c r="E1054">
        <v>0.99958000000000002</v>
      </c>
      <c r="U1054" t="s">
        <v>131</v>
      </c>
      <c r="V1054" t="s">
        <v>3245</v>
      </c>
      <c r="W1054" t="s">
        <v>2859</v>
      </c>
      <c r="X1054" t="s">
        <v>2053</v>
      </c>
    </row>
    <row r="1055" spans="2:24" x14ac:dyDescent="0.45">
      <c r="B1055" t="s">
        <v>1186</v>
      </c>
      <c r="C1055">
        <v>0.98311203837609484</v>
      </c>
      <c r="D1055">
        <v>3.3000000000000003</v>
      </c>
      <c r="E1055">
        <v>0.99982000000000004</v>
      </c>
      <c r="U1055" t="s">
        <v>131</v>
      </c>
      <c r="V1055" t="s">
        <v>3246</v>
      </c>
      <c r="W1055" t="s">
        <v>2859</v>
      </c>
      <c r="X1055" t="s">
        <v>2053</v>
      </c>
    </row>
    <row r="1056" spans="2:24" x14ac:dyDescent="0.45">
      <c r="B1056" t="s">
        <v>1187</v>
      </c>
      <c r="C1056">
        <v>0.49155601918804742</v>
      </c>
      <c r="D1056">
        <v>27.500000000000004</v>
      </c>
      <c r="E1056">
        <v>0.99850000000000005</v>
      </c>
      <c r="U1056" t="s">
        <v>131</v>
      </c>
      <c r="V1056" t="s">
        <v>3247</v>
      </c>
      <c r="W1056" t="s">
        <v>2863</v>
      </c>
      <c r="X1056" t="s">
        <v>2053</v>
      </c>
    </row>
    <row r="1057" spans="2:24" x14ac:dyDescent="0.45">
      <c r="B1057" t="s">
        <v>1188</v>
      </c>
      <c r="C1057">
        <v>0.49155601918804742</v>
      </c>
      <c r="D1057">
        <v>121.00000000000001</v>
      </c>
      <c r="E1057">
        <v>0.99339999999999995</v>
      </c>
      <c r="U1057" t="s">
        <v>131</v>
      </c>
      <c r="V1057" t="s">
        <v>3248</v>
      </c>
      <c r="W1057" t="s">
        <v>2863</v>
      </c>
      <c r="X1057" t="s">
        <v>2053</v>
      </c>
    </row>
    <row r="1058" spans="2:24" x14ac:dyDescent="0.45">
      <c r="B1058" t="s">
        <v>1189</v>
      </c>
      <c r="C1058">
        <v>0.49155601918804742</v>
      </c>
      <c r="D1058">
        <v>19.8</v>
      </c>
      <c r="E1058">
        <v>0.99892000000000003</v>
      </c>
      <c r="U1058" t="s">
        <v>131</v>
      </c>
      <c r="V1058" t="s">
        <v>3249</v>
      </c>
      <c r="W1058" t="s">
        <v>2867</v>
      </c>
      <c r="X1058" t="s">
        <v>2053</v>
      </c>
    </row>
    <row r="1059" spans="2:24" x14ac:dyDescent="0.45">
      <c r="B1059" t="s">
        <v>1190</v>
      </c>
      <c r="C1059">
        <v>2.2343455417638518</v>
      </c>
      <c r="D1059">
        <v>5.5</v>
      </c>
      <c r="E1059">
        <v>0.99970000000000003</v>
      </c>
      <c r="U1059" t="s">
        <v>131</v>
      </c>
      <c r="V1059" t="s">
        <v>3250</v>
      </c>
      <c r="W1059" t="s">
        <v>2867</v>
      </c>
      <c r="X1059" t="s">
        <v>2053</v>
      </c>
    </row>
    <row r="1060" spans="2:24" x14ac:dyDescent="0.45">
      <c r="B1060" t="s">
        <v>1191</v>
      </c>
      <c r="C1060">
        <v>2.2343455417638518</v>
      </c>
      <c r="D1060">
        <v>13.200000000000001</v>
      </c>
      <c r="E1060">
        <v>0.99927999999999995</v>
      </c>
      <c r="U1060" t="s">
        <v>131</v>
      </c>
      <c r="V1060" t="s">
        <v>3251</v>
      </c>
      <c r="W1060" t="s">
        <v>2871</v>
      </c>
      <c r="X1060" t="s">
        <v>2053</v>
      </c>
    </row>
    <row r="1061" spans="2:24" x14ac:dyDescent="0.45">
      <c r="B1061" t="s">
        <v>1192</v>
      </c>
      <c r="C1061">
        <v>0.98311203837609484</v>
      </c>
      <c r="D1061">
        <v>39.6</v>
      </c>
      <c r="E1061">
        <v>0.99783999999999995</v>
      </c>
      <c r="U1061" t="s">
        <v>131</v>
      </c>
      <c r="V1061" t="s">
        <v>3252</v>
      </c>
      <c r="W1061" t="s">
        <v>2871</v>
      </c>
      <c r="X1061" t="s">
        <v>2053</v>
      </c>
    </row>
    <row r="1062" spans="2:24" x14ac:dyDescent="0.45">
      <c r="B1062" t="s">
        <v>1193</v>
      </c>
      <c r="C1062">
        <v>2.2343455417638518</v>
      </c>
      <c r="D1062">
        <v>7.7000000000000011</v>
      </c>
      <c r="E1062">
        <v>0.99958000000000002</v>
      </c>
      <c r="U1062" t="s">
        <v>131</v>
      </c>
      <c r="V1062" t="s">
        <v>3253</v>
      </c>
      <c r="W1062" t="s">
        <v>2875</v>
      </c>
      <c r="X1062" t="s">
        <v>2053</v>
      </c>
    </row>
    <row r="1063" spans="2:24" x14ac:dyDescent="0.45">
      <c r="B1063" t="s">
        <v>1194</v>
      </c>
      <c r="C1063">
        <v>0.49155601918804742</v>
      </c>
      <c r="D1063">
        <v>9.9</v>
      </c>
      <c r="E1063">
        <v>0.99946000000000002</v>
      </c>
      <c r="U1063" t="s">
        <v>131</v>
      </c>
      <c r="V1063" t="s">
        <v>3254</v>
      </c>
      <c r="W1063" t="s">
        <v>2875</v>
      </c>
      <c r="X1063" t="s">
        <v>2053</v>
      </c>
    </row>
    <row r="1064" spans="2:24" x14ac:dyDescent="0.45">
      <c r="B1064" t="s">
        <v>1195</v>
      </c>
      <c r="C1064">
        <v>4.4686910835277036</v>
      </c>
      <c r="D1064">
        <v>6.6000000000000005</v>
      </c>
      <c r="E1064">
        <v>0.99963999999999997</v>
      </c>
      <c r="U1064" t="s">
        <v>131</v>
      </c>
      <c r="V1064" t="s">
        <v>3255</v>
      </c>
      <c r="W1064" t="s">
        <v>2879</v>
      </c>
      <c r="X1064" t="s">
        <v>2053</v>
      </c>
    </row>
    <row r="1065" spans="2:24" x14ac:dyDescent="0.45">
      <c r="B1065" t="s">
        <v>1196</v>
      </c>
      <c r="C1065">
        <v>2.2343455417638518</v>
      </c>
      <c r="D1065">
        <v>2.2000000000000002</v>
      </c>
      <c r="E1065">
        <v>0.99987999999999999</v>
      </c>
      <c r="U1065" t="s">
        <v>131</v>
      </c>
      <c r="V1065" t="s">
        <v>3256</v>
      </c>
      <c r="W1065" t="s">
        <v>2879</v>
      </c>
      <c r="X1065" t="s">
        <v>2053</v>
      </c>
    </row>
    <row r="1066" spans="2:24" x14ac:dyDescent="0.45">
      <c r="B1066" t="s">
        <v>1197</v>
      </c>
      <c r="C1066">
        <v>2.2343455417638518</v>
      </c>
      <c r="D1066">
        <v>5.5</v>
      </c>
      <c r="E1066">
        <v>0.99970000000000003</v>
      </c>
      <c r="U1066" t="s">
        <v>131</v>
      </c>
      <c r="V1066" t="s">
        <v>3257</v>
      </c>
      <c r="W1066" t="s">
        <v>2883</v>
      </c>
      <c r="X1066" t="s">
        <v>2053</v>
      </c>
    </row>
    <row r="1067" spans="2:24" x14ac:dyDescent="0.45">
      <c r="B1067" t="s">
        <v>1198</v>
      </c>
      <c r="C1067">
        <v>4.4686910835277036</v>
      </c>
      <c r="D1067">
        <v>11</v>
      </c>
      <c r="E1067">
        <v>0.99939999999999996</v>
      </c>
      <c r="U1067" t="s">
        <v>131</v>
      </c>
      <c r="V1067" t="s">
        <v>3258</v>
      </c>
      <c r="W1067" t="s">
        <v>2883</v>
      </c>
      <c r="X1067" t="s">
        <v>2053</v>
      </c>
    </row>
    <row r="1068" spans="2:24" x14ac:dyDescent="0.45">
      <c r="B1068" t="s">
        <v>1199</v>
      </c>
      <c r="C1068">
        <v>2.2343455417638518</v>
      </c>
      <c r="D1068">
        <v>7.7000000000000011</v>
      </c>
      <c r="E1068">
        <v>0.99958000000000002</v>
      </c>
      <c r="U1068" t="s">
        <v>131</v>
      </c>
      <c r="V1068" t="s">
        <v>3259</v>
      </c>
      <c r="W1068" t="s">
        <v>2887</v>
      </c>
      <c r="X1068" t="s">
        <v>2053</v>
      </c>
    </row>
    <row r="1069" spans="2:24" x14ac:dyDescent="0.45">
      <c r="B1069" t="s">
        <v>1200</v>
      </c>
      <c r="C1069">
        <v>2.2343455417638518</v>
      </c>
      <c r="D1069">
        <v>5.5</v>
      </c>
      <c r="E1069">
        <v>0.99970000000000003</v>
      </c>
      <c r="U1069" t="s">
        <v>131</v>
      </c>
      <c r="V1069" t="s">
        <v>3260</v>
      </c>
      <c r="W1069" t="s">
        <v>2887</v>
      </c>
      <c r="X1069" t="s">
        <v>2053</v>
      </c>
    </row>
    <row r="1070" spans="2:24" x14ac:dyDescent="0.45">
      <c r="B1070" t="s">
        <v>1201</v>
      </c>
      <c r="C1070">
        <v>4.4686910835277036</v>
      </c>
      <c r="D1070">
        <v>5.5</v>
      </c>
      <c r="E1070">
        <v>0.99970000000000003</v>
      </c>
      <c r="U1070" t="s">
        <v>131</v>
      </c>
      <c r="V1070" t="s">
        <v>3261</v>
      </c>
      <c r="W1070" t="s">
        <v>2891</v>
      </c>
      <c r="X1070" t="s">
        <v>2053</v>
      </c>
    </row>
    <row r="1071" spans="2:24" x14ac:dyDescent="0.45">
      <c r="B1071" t="s">
        <v>1202</v>
      </c>
      <c r="C1071">
        <v>2.2343455417638518</v>
      </c>
      <c r="D1071">
        <v>3.3000000000000003</v>
      </c>
      <c r="E1071">
        <v>0.99982000000000004</v>
      </c>
      <c r="U1071" t="s">
        <v>131</v>
      </c>
      <c r="V1071" t="s">
        <v>3262</v>
      </c>
      <c r="W1071" t="s">
        <v>2891</v>
      </c>
      <c r="X1071" t="s">
        <v>2053</v>
      </c>
    </row>
    <row r="1072" spans="2:24" x14ac:dyDescent="0.45">
      <c r="B1072" t="s">
        <v>1203</v>
      </c>
      <c r="C1072">
        <v>2.2343455417638518</v>
      </c>
      <c r="D1072">
        <v>5.5</v>
      </c>
      <c r="E1072">
        <v>0.99970000000000003</v>
      </c>
      <c r="U1072" t="s">
        <v>131</v>
      </c>
      <c r="V1072" t="s">
        <v>3263</v>
      </c>
      <c r="W1072" t="s">
        <v>2895</v>
      </c>
      <c r="X1072" t="s">
        <v>2053</v>
      </c>
    </row>
    <row r="1073" spans="2:24" x14ac:dyDescent="0.45">
      <c r="B1073" t="s">
        <v>1204</v>
      </c>
      <c r="C1073">
        <v>2.2343455417638518</v>
      </c>
      <c r="D1073">
        <v>7.7000000000000011</v>
      </c>
      <c r="E1073">
        <v>0.99958000000000002</v>
      </c>
      <c r="U1073" t="s">
        <v>131</v>
      </c>
      <c r="V1073" t="s">
        <v>3264</v>
      </c>
      <c r="W1073" t="s">
        <v>2895</v>
      </c>
      <c r="X1073" t="s">
        <v>2053</v>
      </c>
    </row>
    <row r="1074" spans="2:24" x14ac:dyDescent="0.45">
      <c r="B1074" t="s">
        <v>1205</v>
      </c>
      <c r="C1074">
        <v>2.2343455417638518</v>
      </c>
      <c r="D1074">
        <v>6.6000000000000005</v>
      </c>
      <c r="E1074">
        <v>0.99963999999999997</v>
      </c>
      <c r="U1074" t="s">
        <v>131</v>
      </c>
      <c r="V1074" t="s">
        <v>3265</v>
      </c>
      <c r="W1074" t="s">
        <v>2899</v>
      </c>
      <c r="X1074" t="s">
        <v>2053</v>
      </c>
    </row>
    <row r="1075" spans="2:24" x14ac:dyDescent="0.45">
      <c r="B1075" t="s">
        <v>1206</v>
      </c>
      <c r="C1075">
        <v>4.4686910835277036</v>
      </c>
      <c r="D1075">
        <v>8.8000000000000007</v>
      </c>
      <c r="E1075">
        <v>0.99951999999999996</v>
      </c>
      <c r="U1075" t="s">
        <v>131</v>
      </c>
      <c r="V1075" t="s">
        <v>3266</v>
      </c>
      <c r="W1075" t="s">
        <v>2899</v>
      </c>
      <c r="X1075" t="s">
        <v>2053</v>
      </c>
    </row>
    <row r="1076" spans="2:24" x14ac:dyDescent="0.45">
      <c r="B1076" t="s">
        <v>1207</v>
      </c>
      <c r="C1076">
        <v>4.4686910835277036</v>
      </c>
      <c r="D1076">
        <v>2.2000000000000002</v>
      </c>
      <c r="E1076">
        <v>0.99987999999999999</v>
      </c>
      <c r="U1076" t="s">
        <v>131</v>
      </c>
      <c r="V1076" t="s">
        <v>3267</v>
      </c>
      <c r="W1076" t="s">
        <v>2903</v>
      </c>
      <c r="X1076" t="s">
        <v>2053</v>
      </c>
    </row>
    <row r="1077" spans="2:24" x14ac:dyDescent="0.45">
      <c r="B1077" t="s">
        <v>1208</v>
      </c>
      <c r="C1077">
        <v>4.4686910835277036</v>
      </c>
      <c r="D1077">
        <v>24.200000000000003</v>
      </c>
      <c r="E1077">
        <v>0.99868000000000001</v>
      </c>
      <c r="U1077" t="s">
        <v>131</v>
      </c>
      <c r="V1077" t="s">
        <v>3268</v>
      </c>
      <c r="W1077" t="s">
        <v>2903</v>
      </c>
      <c r="X1077" t="s">
        <v>2053</v>
      </c>
    </row>
    <row r="1078" spans="2:24" x14ac:dyDescent="0.45">
      <c r="B1078" t="s">
        <v>1209</v>
      </c>
      <c r="C1078">
        <v>4.4686910835277036</v>
      </c>
      <c r="D1078">
        <v>9.9</v>
      </c>
      <c r="E1078">
        <v>0.99946000000000002</v>
      </c>
      <c r="U1078" t="s">
        <v>131</v>
      </c>
      <c r="V1078" t="s">
        <v>3269</v>
      </c>
      <c r="W1078" t="s">
        <v>2907</v>
      </c>
      <c r="X1078" t="s">
        <v>2053</v>
      </c>
    </row>
    <row r="1079" spans="2:24" x14ac:dyDescent="0.45">
      <c r="B1079" t="s">
        <v>1210</v>
      </c>
      <c r="C1079">
        <v>4.4686910835277036</v>
      </c>
      <c r="D1079">
        <v>7.7000000000000011</v>
      </c>
      <c r="E1079">
        <v>0.99958000000000002</v>
      </c>
      <c r="U1079" t="s">
        <v>131</v>
      </c>
      <c r="V1079" t="s">
        <v>3270</v>
      </c>
      <c r="W1079" t="s">
        <v>2907</v>
      </c>
      <c r="X1079" t="s">
        <v>2053</v>
      </c>
    </row>
    <row r="1080" spans="2:24" x14ac:dyDescent="0.45">
      <c r="B1080" t="s">
        <v>1211</v>
      </c>
      <c r="C1080">
        <v>2.2343455417638518</v>
      </c>
      <c r="D1080">
        <v>7.7000000000000011</v>
      </c>
      <c r="E1080">
        <v>0.99958000000000002</v>
      </c>
      <c r="U1080" t="s">
        <v>131</v>
      </c>
      <c r="V1080" t="s">
        <v>3271</v>
      </c>
      <c r="W1080" t="s">
        <v>2911</v>
      </c>
      <c r="X1080" t="s">
        <v>2053</v>
      </c>
    </row>
    <row r="1081" spans="2:24" x14ac:dyDescent="0.45">
      <c r="B1081" t="s">
        <v>1212</v>
      </c>
      <c r="C1081">
        <v>2.2343455417638518</v>
      </c>
      <c r="D1081">
        <v>6.6000000000000005</v>
      </c>
      <c r="E1081">
        <v>0.99963999999999997</v>
      </c>
      <c r="U1081" t="s">
        <v>131</v>
      </c>
      <c r="V1081" t="s">
        <v>3272</v>
      </c>
      <c r="W1081" t="s">
        <v>2911</v>
      </c>
      <c r="X1081" t="s">
        <v>2053</v>
      </c>
    </row>
    <row r="1082" spans="2:24" x14ac:dyDescent="0.45">
      <c r="B1082" t="s">
        <v>1213</v>
      </c>
      <c r="C1082">
        <v>2.2343455417638518</v>
      </c>
      <c r="D1082">
        <v>3.3000000000000003</v>
      </c>
      <c r="E1082">
        <v>0.99982000000000004</v>
      </c>
      <c r="U1082" t="s">
        <v>131</v>
      </c>
      <c r="V1082" t="s">
        <v>3273</v>
      </c>
      <c r="W1082" t="s">
        <v>2915</v>
      </c>
      <c r="X1082" t="s">
        <v>2053</v>
      </c>
    </row>
    <row r="1083" spans="2:24" x14ac:dyDescent="0.45">
      <c r="B1083" t="s">
        <v>1214</v>
      </c>
      <c r="C1083">
        <v>2.2343455417638518</v>
      </c>
      <c r="D1083">
        <v>2.2000000000000002</v>
      </c>
      <c r="E1083">
        <v>0.99987999999999999</v>
      </c>
      <c r="U1083" t="s">
        <v>131</v>
      </c>
      <c r="V1083" t="s">
        <v>3274</v>
      </c>
      <c r="W1083" t="s">
        <v>2915</v>
      </c>
      <c r="X1083" t="s">
        <v>2053</v>
      </c>
    </row>
    <row r="1084" spans="2:24" x14ac:dyDescent="0.45">
      <c r="B1084" t="s">
        <v>1215</v>
      </c>
      <c r="C1084">
        <v>2.2343455417638518</v>
      </c>
      <c r="D1084">
        <v>1.1000000000000001</v>
      </c>
      <c r="E1084">
        <v>0.99994000000000005</v>
      </c>
      <c r="U1084" t="s">
        <v>131</v>
      </c>
      <c r="V1084" t="s">
        <v>3275</v>
      </c>
      <c r="W1084" t="s">
        <v>2919</v>
      </c>
      <c r="X1084" t="s">
        <v>2053</v>
      </c>
    </row>
    <row r="1085" spans="2:24" x14ac:dyDescent="0.45">
      <c r="B1085" t="s">
        <v>1216</v>
      </c>
      <c r="C1085">
        <v>2.2343455417638518</v>
      </c>
      <c r="D1085">
        <v>7.7000000000000011</v>
      </c>
      <c r="E1085">
        <v>0.99958000000000002</v>
      </c>
      <c r="U1085" t="s">
        <v>131</v>
      </c>
      <c r="V1085" t="s">
        <v>3276</v>
      </c>
      <c r="W1085" t="s">
        <v>2919</v>
      </c>
      <c r="X1085" t="s">
        <v>2053</v>
      </c>
    </row>
    <row r="1086" spans="2:24" x14ac:dyDescent="0.45">
      <c r="B1086" t="s">
        <v>1217</v>
      </c>
      <c r="C1086">
        <v>4.4686910835277036</v>
      </c>
      <c r="D1086">
        <v>1.1000000000000001</v>
      </c>
      <c r="E1086">
        <v>0.99994000000000005</v>
      </c>
      <c r="U1086" t="s">
        <v>131</v>
      </c>
      <c r="V1086" t="s">
        <v>3277</v>
      </c>
      <c r="W1086" t="s">
        <v>2923</v>
      </c>
      <c r="X1086" t="s">
        <v>2053</v>
      </c>
    </row>
    <row r="1087" spans="2:24" x14ac:dyDescent="0.45">
      <c r="B1087" t="s">
        <v>1218</v>
      </c>
      <c r="C1087">
        <v>2.2343455417638518</v>
      </c>
      <c r="D1087">
        <v>5.5</v>
      </c>
      <c r="E1087">
        <v>0.99970000000000003</v>
      </c>
      <c r="U1087" t="s">
        <v>131</v>
      </c>
      <c r="V1087" t="s">
        <v>3278</v>
      </c>
      <c r="W1087" t="s">
        <v>2923</v>
      </c>
      <c r="X1087" t="s">
        <v>2053</v>
      </c>
    </row>
    <row r="1088" spans="2:24" x14ac:dyDescent="0.45">
      <c r="B1088" t="s">
        <v>1219</v>
      </c>
      <c r="C1088">
        <v>4.4686910835277036</v>
      </c>
      <c r="D1088">
        <v>24.200000000000003</v>
      </c>
      <c r="E1088">
        <v>0.99868000000000001</v>
      </c>
      <c r="U1088" t="s">
        <v>131</v>
      </c>
      <c r="V1088" t="s">
        <v>3279</v>
      </c>
      <c r="W1088" t="s">
        <v>2927</v>
      </c>
      <c r="X1088" t="s">
        <v>2053</v>
      </c>
    </row>
    <row r="1089" spans="2:24" x14ac:dyDescent="0.45">
      <c r="B1089" t="s">
        <v>1220</v>
      </c>
      <c r="C1089">
        <v>2.2343455417638518</v>
      </c>
      <c r="D1089">
        <v>4.4000000000000004</v>
      </c>
      <c r="E1089">
        <v>0.99975999999999998</v>
      </c>
      <c r="U1089" t="s">
        <v>131</v>
      </c>
      <c r="V1089" t="s">
        <v>3280</v>
      </c>
      <c r="W1089" t="s">
        <v>2927</v>
      </c>
      <c r="X1089" t="s">
        <v>2053</v>
      </c>
    </row>
    <row r="1090" spans="2:24" x14ac:dyDescent="0.45">
      <c r="B1090" t="s">
        <v>1221</v>
      </c>
      <c r="C1090">
        <v>2.2343455417638518</v>
      </c>
      <c r="D1090">
        <v>6.6000000000000005</v>
      </c>
      <c r="E1090">
        <v>0.99963999999999997</v>
      </c>
      <c r="U1090" t="s">
        <v>131</v>
      </c>
      <c r="V1090" t="s">
        <v>3281</v>
      </c>
      <c r="W1090" t="s">
        <v>2931</v>
      </c>
      <c r="X1090" t="s">
        <v>2053</v>
      </c>
    </row>
    <row r="1091" spans="2:24" x14ac:dyDescent="0.45">
      <c r="B1091" t="s">
        <v>1222</v>
      </c>
      <c r="C1091">
        <v>4.4686910835277036</v>
      </c>
      <c r="D1091">
        <v>5.5</v>
      </c>
      <c r="E1091">
        <v>0.99970000000000003</v>
      </c>
      <c r="U1091" t="s">
        <v>131</v>
      </c>
      <c r="V1091" t="s">
        <v>3282</v>
      </c>
      <c r="W1091" t="s">
        <v>2931</v>
      </c>
      <c r="X1091" t="s">
        <v>2053</v>
      </c>
    </row>
    <row r="1092" spans="2:24" x14ac:dyDescent="0.45">
      <c r="B1092" t="s">
        <v>1223</v>
      </c>
      <c r="C1092">
        <v>4.4686910835277036</v>
      </c>
      <c r="D1092">
        <v>39.6</v>
      </c>
      <c r="E1092">
        <v>0.99783999999999995</v>
      </c>
      <c r="U1092" t="s">
        <v>131</v>
      </c>
      <c r="V1092" t="s">
        <v>3283</v>
      </c>
      <c r="W1092" t="s">
        <v>2935</v>
      </c>
      <c r="X1092" t="s">
        <v>2053</v>
      </c>
    </row>
    <row r="1093" spans="2:24" x14ac:dyDescent="0.45">
      <c r="B1093" t="s">
        <v>1224</v>
      </c>
      <c r="C1093">
        <v>4.4686910835277036</v>
      </c>
      <c r="D1093">
        <v>2.2000000000000002</v>
      </c>
      <c r="E1093">
        <v>0.99987999999999999</v>
      </c>
      <c r="U1093" t="s">
        <v>131</v>
      </c>
      <c r="V1093" t="s">
        <v>3284</v>
      </c>
      <c r="W1093" t="s">
        <v>2935</v>
      </c>
      <c r="X1093" t="s">
        <v>2053</v>
      </c>
    </row>
    <row r="1094" spans="2:24" x14ac:dyDescent="0.45">
      <c r="B1094" t="s">
        <v>1225</v>
      </c>
      <c r="C1094">
        <v>2.2343455417638518</v>
      </c>
      <c r="D1094">
        <v>4.4000000000000004</v>
      </c>
      <c r="E1094">
        <v>0.99975999999999998</v>
      </c>
      <c r="U1094" t="s">
        <v>131</v>
      </c>
      <c r="V1094" t="s">
        <v>3285</v>
      </c>
      <c r="W1094" t="s">
        <v>2939</v>
      </c>
      <c r="X1094" t="s">
        <v>2053</v>
      </c>
    </row>
    <row r="1095" spans="2:24" x14ac:dyDescent="0.45">
      <c r="B1095" t="s">
        <v>1226</v>
      </c>
      <c r="C1095">
        <v>2.2343455417638518</v>
      </c>
      <c r="D1095">
        <v>6.6000000000000005</v>
      </c>
      <c r="E1095">
        <v>0.99963999999999997</v>
      </c>
      <c r="U1095" t="s">
        <v>131</v>
      </c>
      <c r="V1095" t="s">
        <v>3286</v>
      </c>
      <c r="W1095" t="s">
        <v>2939</v>
      </c>
      <c r="X1095" t="s">
        <v>2053</v>
      </c>
    </row>
    <row r="1096" spans="2:24" x14ac:dyDescent="0.45">
      <c r="B1096" t="s">
        <v>1227</v>
      </c>
      <c r="C1096">
        <v>2.2343455417638518</v>
      </c>
      <c r="D1096">
        <v>4.4000000000000004</v>
      </c>
      <c r="E1096">
        <v>0.99975999999999998</v>
      </c>
      <c r="U1096" t="s">
        <v>131</v>
      </c>
      <c r="V1096" t="s">
        <v>3287</v>
      </c>
      <c r="W1096" t="s">
        <v>2947</v>
      </c>
      <c r="X1096" t="s">
        <v>2053</v>
      </c>
    </row>
    <row r="1097" spans="2:24" x14ac:dyDescent="0.45">
      <c r="B1097" t="s">
        <v>1228</v>
      </c>
      <c r="C1097">
        <v>2.2343455417638518</v>
      </c>
      <c r="D1097">
        <v>4.4000000000000004</v>
      </c>
      <c r="E1097">
        <v>0.99975999999999998</v>
      </c>
      <c r="U1097" t="s">
        <v>131</v>
      </c>
      <c r="V1097" t="s">
        <v>3288</v>
      </c>
      <c r="W1097" t="s">
        <v>2947</v>
      </c>
      <c r="X1097" t="s">
        <v>2053</v>
      </c>
    </row>
    <row r="1098" spans="2:24" x14ac:dyDescent="0.45">
      <c r="B1098" t="s">
        <v>1229</v>
      </c>
      <c r="C1098">
        <v>4.4686910835277036</v>
      </c>
      <c r="D1098">
        <v>13.200000000000001</v>
      </c>
      <c r="E1098">
        <v>0.99927999999999995</v>
      </c>
      <c r="U1098" t="s">
        <v>131</v>
      </c>
      <c r="V1098" t="s">
        <v>3289</v>
      </c>
      <c r="W1098" t="s">
        <v>2951</v>
      </c>
      <c r="X1098" t="s">
        <v>2053</v>
      </c>
    </row>
    <row r="1099" spans="2:24" x14ac:dyDescent="0.45">
      <c r="B1099" t="s">
        <v>1230</v>
      </c>
      <c r="C1099">
        <v>2.2343455417638518</v>
      </c>
      <c r="D1099">
        <v>5.5</v>
      </c>
      <c r="E1099">
        <v>0.99970000000000003</v>
      </c>
      <c r="U1099" t="s">
        <v>131</v>
      </c>
      <c r="V1099" t="s">
        <v>3290</v>
      </c>
      <c r="W1099" t="s">
        <v>2951</v>
      </c>
      <c r="X1099" t="s">
        <v>2053</v>
      </c>
    </row>
    <row r="1100" spans="2:24" x14ac:dyDescent="0.45">
      <c r="B1100" t="s">
        <v>1231</v>
      </c>
      <c r="C1100">
        <v>2.2343455417638518</v>
      </c>
      <c r="D1100">
        <v>3.3000000000000003</v>
      </c>
      <c r="E1100">
        <v>0.99982000000000004</v>
      </c>
      <c r="U1100" t="s">
        <v>131</v>
      </c>
      <c r="V1100" t="s">
        <v>3291</v>
      </c>
      <c r="W1100" t="s">
        <v>2955</v>
      </c>
      <c r="X1100" t="s">
        <v>2053</v>
      </c>
    </row>
    <row r="1101" spans="2:24" x14ac:dyDescent="0.45">
      <c r="B1101" t="s">
        <v>1232</v>
      </c>
      <c r="C1101">
        <v>2.2343455417638518</v>
      </c>
      <c r="D1101">
        <v>3.3000000000000003</v>
      </c>
      <c r="E1101">
        <v>0.99982000000000004</v>
      </c>
      <c r="U1101" t="s">
        <v>131</v>
      </c>
      <c r="V1101" t="s">
        <v>3292</v>
      </c>
      <c r="W1101" t="s">
        <v>2955</v>
      </c>
      <c r="X1101" t="s">
        <v>2053</v>
      </c>
    </row>
    <row r="1102" spans="2:24" x14ac:dyDescent="0.45">
      <c r="B1102" t="s">
        <v>1233</v>
      </c>
      <c r="C1102">
        <v>4.4686910835277036</v>
      </c>
      <c r="D1102">
        <v>11</v>
      </c>
      <c r="E1102">
        <v>0.99939999999999996</v>
      </c>
      <c r="U1102" t="s">
        <v>131</v>
      </c>
      <c r="V1102" t="s">
        <v>3293</v>
      </c>
      <c r="W1102" t="s">
        <v>2959</v>
      </c>
      <c r="X1102" t="s">
        <v>2053</v>
      </c>
    </row>
    <row r="1103" spans="2:24" x14ac:dyDescent="0.45">
      <c r="B1103" t="s">
        <v>1234</v>
      </c>
      <c r="C1103">
        <v>2.2343455417638518</v>
      </c>
      <c r="D1103">
        <v>2.2000000000000002</v>
      </c>
      <c r="E1103">
        <v>0.99987999999999999</v>
      </c>
      <c r="U1103" t="s">
        <v>131</v>
      </c>
      <c r="V1103" t="s">
        <v>3294</v>
      </c>
      <c r="W1103" t="s">
        <v>2959</v>
      </c>
      <c r="X1103" t="s">
        <v>2053</v>
      </c>
    </row>
    <row r="1104" spans="2:24" x14ac:dyDescent="0.45">
      <c r="B1104" t="s">
        <v>1235</v>
      </c>
      <c r="C1104">
        <v>2.2343455417638518</v>
      </c>
      <c r="D1104">
        <v>6.6000000000000005</v>
      </c>
      <c r="E1104">
        <v>0.99963999999999997</v>
      </c>
      <c r="U1104" t="s">
        <v>131</v>
      </c>
      <c r="V1104" t="s">
        <v>3295</v>
      </c>
      <c r="W1104" t="s">
        <v>2963</v>
      </c>
      <c r="X1104" t="s">
        <v>2053</v>
      </c>
    </row>
    <row r="1105" spans="2:24" x14ac:dyDescent="0.45">
      <c r="B1105" t="s">
        <v>1236</v>
      </c>
      <c r="C1105">
        <v>2.2343455417638518</v>
      </c>
      <c r="D1105">
        <v>6.6000000000000005</v>
      </c>
      <c r="E1105">
        <v>0.99963999999999997</v>
      </c>
      <c r="U1105" t="s">
        <v>131</v>
      </c>
      <c r="V1105" t="s">
        <v>3296</v>
      </c>
      <c r="W1105" t="s">
        <v>2963</v>
      </c>
      <c r="X1105" t="s">
        <v>2053</v>
      </c>
    </row>
    <row r="1106" spans="2:24" x14ac:dyDescent="0.45">
      <c r="B1106" t="s">
        <v>1237</v>
      </c>
      <c r="C1106">
        <v>4.4686910835277036</v>
      </c>
      <c r="D1106">
        <v>7.7000000000000011</v>
      </c>
      <c r="E1106">
        <v>0.99958000000000002</v>
      </c>
      <c r="U1106" t="s">
        <v>131</v>
      </c>
      <c r="V1106" t="s">
        <v>3297</v>
      </c>
      <c r="W1106" t="s">
        <v>2967</v>
      </c>
      <c r="X1106" t="s">
        <v>2053</v>
      </c>
    </row>
    <row r="1107" spans="2:24" x14ac:dyDescent="0.45">
      <c r="B1107" t="s">
        <v>1238</v>
      </c>
      <c r="C1107">
        <v>2.2343455417638518</v>
      </c>
      <c r="D1107">
        <v>3.3000000000000003</v>
      </c>
      <c r="E1107">
        <v>0.99982000000000004</v>
      </c>
      <c r="U1107" t="s">
        <v>131</v>
      </c>
      <c r="V1107" t="s">
        <v>3298</v>
      </c>
      <c r="W1107" t="s">
        <v>2967</v>
      </c>
      <c r="X1107" t="s">
        <v>2053</v>
      </c>
    </row>
    <row r="1108" spans="2:24" x14ac:dyDescent="0.45">
      <c r="B1108" t="s">
        <v>1239</v>
      </c>
      <c r="C1108">
        <v>2.2343455417638518</v>
      </c>
      <c r="D1108">
        <v>6.6000000000000005</v>
      </c>
      <c r="E1108">
        <v>0.99963999999999997</v>
      </c>
      <c r="U1108" t="s">
        <v>131</v>
      </c>
      <c r="V1108" t="s">
        <v>3299</v>
      </c>
      <c r="W1108" t="s">
        <v>2971</v>
      </c>
      <c r="X1108" t="s">
        <v>2053</v>
      </c>
    </row>
    <row r="1109" spans="2:24" x14ac:dyDescent="0.45">
      <c r="B1109" t="s">
        <v>1240</v>
      </c>
      <c r="C1109">
        <v>2.2343455417638518</v>
      </c>
      <c r="D1109">
        <v>3.3000000000000003</v>
      </c>
      <c r="E1109">
        <v>0.99982000000000004</v>
      </c>
      <c r="U1109" t="s">
        <v>131</v>
      </c>
      <c r="V1109" t="s">
        <v>3300</v>
      </c>
      <c r="W1109" t="s">
        <v>2971</v>
      </c>
      <c r="X1109" t="s">
        <v>2053</v>
      </c>
    </row>
    <row r="1110" spans="2:24" x14ac:dyDescent="0.45">
      <c r="B1110" t="s">
        <v>1241</v>
      </c>
      <c r="C1110">
        <v>2.2343455417638518</v>
      </c>
      <c r="D1110">
        <v>2.2000000000000002</v>
      </c>
      <c r="E1110">
        <v>0.99987999999999999</v>
      </c>
      <c r="U1110" t="s">
        <v>131</v>
      </c>
      <c r="V1110" t="s">
        <v>3301</v>
      </c>
      <c r="W1110" t="s">
        <v>2975</v>
      </c>
      <c r="X1110" t="s">
        <v>2053</v>
      </c>
    </row>
    <row r="1111" spans="2:24" x14ac:dyDescent="0.45">
      <c r="B1111" t="s">
        <v>1242</v>
      </c>
      <c r="C1111">
        <v>2.2343455417638518</v>
      </c>
      <c r="D1111">
        <v>6.6000000000000005</v>
      </c>
      <c r="E1111">
        <v>0.99963999999999997</v>
      </c>
      <c r="U1111" t="s">
        <v>131</v>
      </c>
      <c r="V1111" t="s">
        <v>3302</v>
      </c>
      <c r="W1111" t="s">
        <v>2975</v>
      </c>
      <c r="X1111" t="s">
        <v>2053</v>
      </c>
    </row>
    <row r="1112" spans="2:24" x14ac:dyDescent="0.45">
      <c r="B1112" t="s">
        <v>1243</v>
      </c>
      <c r="C1112">
        <v>4.4686910835277036</v>
      </c>
      <c r="D1112">
        <v>1.1000000000000001</v>
      </c>
      <c r="E1112">
        <v>0.99994000000000005</v>
      </c>
      <c r="U1112" t="s">
        <v>131</v>
      </c>
      <c r="V1112" t="s">
        <v>3303</v>
      </c>
      <c r="W1112" t="s">
        <v>2979</v>
      </c>
      <c r="X1112" t="s">
        <v>2053</v>
      </c>
    </row>
    <row r="1113" spans="2:24" x14ac:dyDescent="0.45">
      <c r="B1113" t="s">
        <v>1244</v>
      </c>
      <c r="C1113">
        <v>2.2343455417638518</v>
      </c>
      <c r="D1113">
        <v>1.1000000000000001</v>
      </c>
      <c r="E1113">
        <v>0.99994000000000005</v>
      </c>
      <c r="U1113" t="s">
        <v>131</v>
      </c>
      <c r="V1113" t="s">
        <v>3304</v>
      </c>
      <c r="W1113" t="s">
        <v>2979</v>
      </c>
      <c r="X1113" t="s">
        <v>2053</v>
      </c>
    </row>
    <row r="1114" spans="2:24" x14ac:dyDescent="0.45">
      <c r="B1114" t="s">
        <v>1245</v>
      </c>
      <c r="C1114">
        <v>2.2343455417638518</v>
      </c>
      <c r="D1114">
        <v>9.9</v>
      </c>
      <c r="E1114">
        <v>0.99946000000000002</v>
      </c>
      <c r="U1114" t="s">
        <v>131</v>
      </c>
      <c r="V1114" t="s">
        <v>3305</v>
      </c>
      <c r="W1114" t="s">
        <v>2983</v>
      </c>
      <c r="X1114" t="s">
        <v>2053</v>
      </c>
    </row>
    <row r="1115" spans="2:24" x14ac:dyDescent="0.45">
      <c r="B1115" t="s">
        <v>1246</v>
      </c>
      <c r="C1115">
        <v>0.98311203837609484</v>
      </c>
      <c r="D1115">
        <v>3.3000000000000003</v>
      </c>
      <c r="E1115">
        <v>0.99982000000000004</v>
      </c>
      <c r="U1115" t="s">
        <v>131</v>
      </c>
      <c r="V1115" t="s">
        <v>3306</v>
      </c>
      <c r="W1115" t="s">
        <v>2983</v>
      </c>
      <c r="X1115" t="s">
        <v>2053</v>
      </c>
    </row>
    <row r="1116" spans="2:24" x14ac:dyDescent="0.45">
      <c r="B1116" t="s">
        <v>1247</v>
      </c>
      <c r="C1116">
        <v>2.2343455417638518</v>
      </c>
      <c r="D1116">
        <v>1.1000000000000001</v>
      </c>
      <c r="E1116">
        <v>0.99994000000000005</v>
      </c>
      <c r="U1116" t="s">
        <v>131</v>
      </c>
      <c r="V1116" t="s">
        <v>3307</v>
      </c>
      <c r="W1116" t="s">
        <v>3308</v>
      </c>
      <c r="X1116" t="s">
        <v>2053</v>
      </c>
    </row>
    <row r="1117" spans="2:24" x14ac:dyDescent="0.45">
      <c r="B1117" t="s">
        <v>1248</v>
      </c>
      <c r="C1117">
        <v>4.4686910835277036</v>
      </c>
      <c r="D1117">
        <v>1.1000000000000001</v>
      </c>
      <c r="E1117">
        <v>0.99994000000000005</v>
      </c>
      <c r="U1117" t="s">
        <v>131</v>
      </c>
      <c r="V1117" t="s">
        <v>3309</v>
      </c>
      <c r="W1117" t="s">
        <v>3308</v>
      </c>
      <c r="X1117" t="s">
        <v>2053</v>
      </c>
    </row>
    <row r="1118" spans="2:24" x14ac:dyDescent="0.45">
      <c r="B1118" t="s">
        <v>1249</v>
      </c>
      <c r="C1118">
        <v>0.98311203837609484</v>
      </c>
      <c r="D1118">
        <v>2.2000000000000002</v>
      </c>
      <c r="E1118">
        <v>0.99987999999999999</v>
      </c>
      <c r="U1118" t="s">
        <v>131</v>
      </c>
      <c r="V1118" t="s">
        <v>3310</v>
      </c>
      <c r="W1118" t="s">
        <v>3311</v>
      </c>
      <c r="X1118" t="s">
        <v>2053</v>
      </c>
    </row>
    <row r="1119" spans="2:24" x14ac:dyDescent="0.45">
      <c r="B1119" t="s">
        <v>1250</v>
      </c>
      <c r="C1119">
        <v>4.4686910835277036</v>
      </c>
      <c r="D1119">
        <v>1.1000000000000001</v>
      </c>
      <c r="E1119">
        <v>0.99994000000000005</v>
      </c>
      <c r="U1119" t="s">
        <v>131</v>
      </c>
      <c r="V1119" t="s">
        <v>3312</v>
      </c>
      <c r="W1119" t="s">
        <v>3311</v>
      </c>
      <c r="X1119" t="s">
        <v>2053</v>
      </c>
    </row>
    <row r="1120" spans="2:24" x14ac:dyDescent="0.45">
      <c r="B1120" t="s">
        <v>1251</v>
      </c>
      <c r="C1120">
        <v>2.2343455417638518</v>
      </c>
      <c r="D1120">
        <v>4.4000000000000004</v>
      </c>
      <c r="E1120">
        <v>0.99975999999999998</v>
      </c>
    </row>
    <row r="1121" spans="2:5" x14ac:dyDescent="0.45">
      <c r="B1121" t="s">
        <v>1252</v>
      </c>
      <c r="C1121">
        <v>4.4686910835277036</v>
      </c>
      <c r="D1121">
        <v>18.700000000000003</v>
      </c>
      <c r="E1121">
        <v>0.99897999999999998</v>
      </c>
    </row>
    <row r="1122" spans="2:5" x14ac:dyDescent="0.45">
      <c r="B1122" t="s">
        <v>1253</v>
      </c>
      <c r="C1122">
        <v>2.2343455417638518</v>
      </c>
      <c r="D1122">
        <v>12.100000000000001</v>
      </c>
      <c r="E1122">
        <v>0.99934000000000001</v>
      </c>
    </row>
    <row r="1123" spans="2:5" x14ac:dyDescent="0.45">
      <c r="B1123" t="s">
        <v>1254</v>
      </c>
      <c r="C1123">
        <v>2.2343455417638518</v>
      </c>
      <c r="D1123">
        <v>5.5</v>
      </c>
      <c r="E1123">
        <v>0.99970000000000003</v>
      </c>
    </row>
    <row r="1124" spans="2:5" x14ac:dyDescent="0.45">
      <c r="B1124" t="s">
        <v>1255</v>
      </c>
      <c r="C1124">
        <v>2.2343455417638518</v>
      </c>
      <c r="D1124">
        <v>1.1000000000000001</v>
      </c>
      <c r="E1124">
        <v>0.99994000000000005</v>
      </c>
    </row>
    <row r="1125" spans="2:5" x14ac:dyDescent="0.45">
      <c r="B1125" t="s">
        <v>1256</v>
      </c>
      <c r="C1125">
        <v>4.4686910835277036</v>
      </c>
      <c r="D1125">
        <v>1.1000000000000001</v>
      </c>
      <c r="E1125">
        <v>0.99994000000000005</v>
      </c>
    </row>
    <row r="1126" spans="2:5" x14ac:dyDescent="0.45">
      <c r="B1126" t="s">
        <v>1257</v>
      </c>
      <c r="C1126">
        <v>2.2343455417638518</v>
      </c>
      <c r="D1126">
        <v>12.100000000000001</v>
      </c>
      <c r="E1126">
        <v>0.99934000000000001</v>
      </c>
    </row>
    <row r="1127" spans="2:5" x14ac:dyDescent="0.45">
      <c r="B1127" t="s">
        <v>1258</v>
      </c>
      <c r="C1127">
        <v>2.2343455417638518</v>
      </c>
      <c r="D1127">
        <v>6.6000000000000005</v>
      </c>
      <c r="E1127">
        <v>0.99963999999999997</v>
      </c>
    </row>
    <row r="1128" spans="2:5" x14ac:dyDescent="0.45">
      <c r="B1128" t="s">
        <v>1259</v>
      </c>
      <c r="C1128">
        <v>2.2343455417638518</v>
      </c>
      <c r="D1128">
        <v>3.3000000000000003</v>
      </c>
      <c r="E1128">
        <v>0.99982000000000004</v>
      </c>
    </row>
    <row r="1129" spans="2:5" x14ac:dyDescent="0.45">
      <c r="B1129" t="s">
        <v>1260</v>
      </c>
      <c r="C1129">
        <v>2.2343455417638518</v>
      </c>
      <c r="D1129">
        <v>2.2000000000000002</v>
      </c>
      <c r="E1129">
        <v>0.99987999999999999</v>
      </c>
    </row>
    <row r="1130" spans="2:5" x14ac:dyDescent="0.45">
      <c r="B1130" t="s">
        <v>1261</v>
      </c>
      <c r="C1130">
        <v>4.4686910835277036</v>
      </c>
      <c r="D1130">
        <v>5.5</v>
      </c>
      <c r="E1130">
        <v>0.99970000000000003</v>
      </c>
    </row>
    <row r="1131" spans="2:5" x14ac:dyDescent="0.45">
      <c r="B1131" t="s">
        <v>1262</v>
      </c>
      <c r="C1131">
        <v>2.2343455417638518</v>
      </c>
      <c r="D1131">
        <v>2.2000000000000002</v>
      </c>
      <c r="E1131">
        <v>0.99987999999999999</v>
      </c>
    </row>
    <row r="1132" spans="2:5" x14ac:dyDescent="0.45">
      <c r="B1132" t="s">
        <v>1263</v>
      </c>
      <c r="C1132">
        <v>2.2343455417638518</v>
      </c>
      <c r="D1132">
        <v>8.8000000000000007</v>
      </c>
      <c r="E1132">
        <v>0.99951999999999996</v>
      </c>
    </row>
    <row r="1133" spans="2:5" x14ac:dyDescent="0.45">
      <c r="B1133" t="s">
        <v>1264</v>
      </c>
      <c r="C1133">
        <v>4.4686910835277036</v>
      </c>
      <c r="D1133">
        <v>2.2000000000000002</v>
      </c>
      <c r="E1133">
        <v>0.99987999999999999</v>
      </c>
    </row>
    <row r="1134" spans="2:5" x14ac:dyDescent="0.45">
      <c r="B1134" t="s">
        <v>1265</v>
      </c>
      <c r="C1134">
        <v>4.4686910835277036</v>
      </c>
      <c r="D1134">
        <v>24.200000000000003</v>
      </c>
      <c r="E1134">
        <v>0.99868000000000001</v>
      </c>
    </row>
    <row r="1135" spans="2:5" x14ac:dyDescent="0.45">
      <c r="B1135" t="s">
        <v>1266</v>
      </c>
      <c r="C1135">
        <v>4.4686910835277036</v>
      </c>
      <c r="D1135">
        <v>1.1000000000000001</v>
      </c>
      <c r="E1135">
        <v>0.99994000000000005</v>
      </c>
    </row>
    <row r="1136" spans="2:5" x14ac:dyDescent="0.45">
      <c r="B1136" t="s">
        <v>1267</v>
      </c>
      <c r="C1136">
        <v>0.98311203837609484</v>
      </c>
      <c r="D1136">
        <v>14.3</v>
      </c>
      <c r="E1136">
        <v>0.99922</v>
      </c>
    </row>
    <row r="1137" spans="2:5" x14ac:dyDescent="0.45">
      <c r="B1137" t="s">
        <v>1268</v>
      </c>
      <c r="C1137">
        <v>4.4686910835277036</v>
      </c>
      <c r="D1137">
        <v>6.6000000000000005</v>
      </c>
      <c r="E1137">
        <v>0.99963999999999997</v>
      </c>
    </row>
    <row r="1138" spans="2:5" x14ac:dyDescent="0.45">
      <c r="B1138" t="s">
        <v>1269</v>
      </c>
      <c r="C1138">
        <v>2.2343455417638518</v>
      </c>
      <c r="D1138">
        <v>4.4000000000000004</v>
      </c>
      <c r="E1138">
        <v>0.99975999999999998</v>
      </c>
    </row>
    <row r="1139" spans="2:5" x14ac:dyDescent="0.45">
      <c r="B1139" t="s">
        <v>1270</v>
      </c>
      <c r="C1139">
        <v>6.7030366252915554</v>
      </c>
      <c r="D1139">
        <v>1.1000000000000001</v>
      </c>
      <c r="E1139">
        <v>0.99994000000000005</v>
      </c>
    </row>
    <row r="1140" spans="2:5" x14ac:dyDescent="0.45">
      <c r="B1140" t="s">
        <v>1271</v>
      </c>
      <c r="C1140">
        <v>2.2343455417638518</v>
      </c>
      <c r="D1140">
        <v>6.6000000000000005</v>
      </c>
      <c r="E1140">
        <v>0.99963999999999997</v>
      </c>
    </row>
    <row r="1141" spans="2:5" x14ac:dyDescent="0.45">
      <c r="B1141" t="s">
        <v>1272</v>
      </c>
      <c r="C1141">
        <v>2.2343455417638518</v>
      </c>
      <c r="D1141">
        <v>11</v>
      </c>
      <c r="E1141">
        <v>0.99939999999999996</v>
      </c>
    </row>
    <row r="1142" spans="2:5" x14ac:dyDescent="0.45">
      <c r="B1142" t="s">
        <v>1273</v>
      </c>
      <c r="C1142">
        <v>2.2343455417638518</v>
      </c>
      <c r="D1142">
        <v>1.1000000000000001</v>
      </c>
      <c r="E1142">
        <v>0.99994000000000005</v>
      </c>
    </row>
    <row r="1143" spans="2:5" x14ac:dyDescent="0.45">
      <c r="B1143" t="s">
        <v>1274</v>
      </c>
      <c r="C1143">
        <v>4.4686910835277036</v>
      </c>
      <c r="D1143">
        <v>4.4000000000000004</v>
      </c>
      <c r="E1143">
        <v>0.99975999999999998</v>
      </c>
    </row>
    <row r="1144" spans="2:5" x14ac:dyDescent="0.45">
      <c r="B1144" t="s">
        <v>1275</v>
      </c>
      <c r="C1144">
        <v>2.2343455417638518</v>
      </c>
      <c r="D1144">
        <v>9.9</v>
      </c>
      <c r="E1144">
        <v>0.99946000000000002</v>
      </c>
    </row>
    <row r="1145" spans="2:5" x14ac:dyDescent="0.45">
      <c r="B1145" t="s">
        <v>1276</v>
      </c>
      <c r="C1145">
        <v>4.4686910835277036</v>
      </c>
      <c r="D1145">
        <v>1.1000000000000001</v>
      </c>
      <c r="E1145">
        <v>0.99994000000000005</v>
      </c>
    </row>
    <row r="1146" spans="2:5" x14ac:dyDescent="0.45">
      <c r="B1146" t="s">
        <v>1277</v>
      </c>
      <c r="C1146">
        <v>0.98311203837609484</v>
      </c>
      <c r="D1146">
        <v>60.500000000000007</v>
      </c>
      <c r="E1146">
        <v>0.99670000000000003</v>
      </c>
    </row>
    <row r="1147" spans="2:5" x14ac:dyDescent="0.45">
      <c r="B1147" t="s">
        <v>1278</v>
      </c>
      <c r="C1147">
        <v>2.2343455417638518</v>
      </c>
      <c r="D1147">
        <v>8.8000000000000007</v>
      </c>
      <c r="E1147">
        <v>0.99951999999999996</v>
      </c>
    </row>
    <row r="1148" spans="2:5" x14ac:dyDescent="0.45">
      <c r="B1148" t="s">
        <v>1279</v>
      </c>
      <c r="C1148">
        <v>4.4686910835277036</v>
      </c>
      <c r="D1148">
        <v>1.1000000000000001</v>
      </c>
      <c r="E1148">
        <v>0.99994000000000005</v>
      </c>
    </row>
    <row r="1149" spans="2:5" x14ac:dyDescent="0.45">
      <c r="B1149" t="s">
        <v>1280</v>
      </c>
      <c r="C1149">
        <v>0.98311203837609484</v>
      </c>
      <c r="D1149">
        <v>6.6000000000000005</v>
      </c>
      <c r="E1149">
        <v>0.99963999999999997</v>
      </c>
    </row>
    <row r="1150" spans="2:5" x14ac:dyDescent="0.45">
      <c r="B1150" t="s">
        <v>1281</v>
      </c>
      <c r="C1150">
        <v>2.2343455417638518</v>
      </c>
      <c r="D1150">
        <v>1.1000000000000001</v>
      </c>
      <c r="E1150">
        <v>0.99994000000000005</v>
      </c>
    </row>
    <row r="1151" spans="2:5" x14ac:dyDescent="0.45">
      <c r="B1151" t="s">
        <v>1282</v>
      </c>
      <c r="C1151">
        <v>2.2343455417638518</v>
      </c>
      <c r="D1151">
        <v>3.3000000000000003</v>
      </c>
      <c r="E1151">
        <v>0.99982000000000004</v>
      </c>
    </row>
    <row r="1152" spans="2:5" x14ac:dyDescent="0.45">
      <c r="B1152" t="s">
        <v>1283</v>
      </c>
      <c r="C1152">
        <v>2.2343455417638518</v>
      </c>
      <c r="D1152">
        <v>8.8000000000000007</v>
      </c>
      <c r="E1152">
        <v>0.99951999999999996</v>
      </c>
    </row>
    <row r="1153" spans="2:5" x14ac:dyDescent="0.45">
      <c r="B1153" t="s">
        <v>1284</v>
      </c>
      <c r="C1153">
        <v>2.2343455417638518</v>
      </c>
      <c r="D1153">
        <v>3.3000000000000003</v>
      </c>
      <c r="E1153">
        <v>0.99982000000000004</v>
      </c>
    </row>
    <row r="1154" spans="2:5" x14ac:dyDescent="0.45">
      <c r="B1154" t="s">
        <v>1285</v>
      </c>
      <c r="C1154">
        <v>6.7030366252915554</v>
      </c>
      <c r="D1154">
        <v>1.1000000000000001</v>
      </c>
      <c r="E1154">
        <v>0.99994000000000005</v>
      </c>
    </row>
    <row r="1155" spans="2:5" x14ac:dyDescent="0.45">
      <c r="B1155" t="s">
        <v>1286</v>
      </c>
      <c r="C1155">
        <v>2.2343455417638518</v>
      </c>
      <c r="D1155">
        <v>4.4000000000000004</v>
      </c>
      <c r="E1155">
        <v>0.99975999999999998</v>
      </c>
    </row>
    <row r="1156" spans="2:5" x14ac:dyDescent="0.45">
      <c r="B1156" t="s">
        <v>1287</v>
      </c>
      <c r="C1156">
        <v>4.4686910835277036</v>
      </c>
      <c r="D1156">
        <v>1.1000000000000001</v>
      </c>
      <c r="E1156">
        <v>0.99994000000000005</v>
      </c>
    </row>
    <row r="1157" spans="2:5" x14ac:dyDescent="0.45">
      <c r="B1157" t="s">
        <v>1288</v>
      </c>
      <c r="C1157">
        <v>2.2343455417638518</v>
      </c>
      <c r="D1157">
        <v>8.8000000000000007</v>
      </c>
      <c r="E1157">
        <v>0.99951999999999996</v>
      </c>
    </row>
    <row r="1158" spans="2:5" x14ac:dyDescent="0.45">
      <c r="B1158" t="s">
        <v>1289</v>
      </c>
      <c r="C1158">
        <v>2.2343455417638518</v>
      </c>
      <c r="D1158">
        <v>4.4000000000000004</v>
      </c>
      <c r="E1158">
        <v>0.99975999999999998</v>
      </c>
    </row>
    <row r="1159" spans="2:5" x14ac:dyDescent="0.45">
      <c r="B1159" t="s">
        <v>1290</v>
      </c>
      <c r="C1159">
        <v>2.2343455417638518</v>
      </c>
      <c r="D1159">
        <v>4.4000000000000004</v>
      </c>
      <c r="E1159">
        <v>0.99975999999999998</v>
      </c>
    </row>
    <row r="1160" spans="2:5" x14ac:dyDescent="0.45">
      <c r="B1160" t="s">
        <v>1291</v>
      </c>
      <c r="C1160">
        <v>2.2343455417638518</v>
      </c>
      <c r="D1160">
        <v>2.2000000000000002</v>
      </c>
      <c r="E1160">
        <v>0.99987999999999999</v>
      </c>
    </row>
    <row r="1161" spans="2:5" x14ac:dyDescent="0.45">
      <c r="B1161" t="s">
        <v>1292</v>
      </c>
      <c r="C1161">
        <v>2.2343455417638518</v>
      </c>
      <c r="D1161">
        <v>1.1000000000000001</v>
      </c>
      <c r="E1161">
        <v>0.99994000000000005</v>
      </c>
    </row>
    <row r="1162" spans="2:5" x14ac:dyDescent="0.45">
      <c r="B1162" t="s">
        <v>1293</v>
      </c>
      <c r="C1162">
        <v>4.4686910835277036</v>
      </c>
      <c r="D1162">
        <v>35.200000000000003</v>
      </c>
      <c r="E1162">
        <v>0.99807999999999997</v>
      </c>
    </row>
    <row r="1163" spans="2:5" x14ac:dyDescent="0.45">
      <c r="B1163" t="s">
        <v>1294</v>
      </c>
      <c r="C1163">
        <v>4.4686910835277036</v>
      </c>
      <c r="D1163">
        <v>1.1000000000000001</v>
      </c>
      <c r="E1163">
        <v>0.99994000000000005</v>
      </c>
    </row>
    <row r="1164" spans="2:5" x14ac:dyDescent="0.45">
      <c r="B1164" t="s">
        <v>1295</v>
      </c>
      <c r="C1164">
        <v>4.4686910835277036</v>
      </c>
      <c r="D1164">
        <v>3.3000000000000003</v>
      </c>
      <c r="E1164">
        <v>0.99982000000000004</v>
      </c>
    </row>
    <row r="1165" spans="2:5" x14ac:dyDescent="0.45">
      <c r="B1165" t="s">
        <v>1296</v>
      </c>
      <c r="C1165">
        <v>2.2343455417638518</v>
      </c>
      <c r="D1165">
        <v>7.7000000000000011</v>
      </c>
      <c r="E1165">
        <v>0.99958000000000002</v>
      </c>
    </row>
    <row r="1166" spans="2:5" x14ac:dyDescent="0.45">
      <c r="B1166" t="s">
        <v>1297</v>
      </c>
      <c r="C1166">
        <v>4.4686910835277036</v>
      </c>
      <c r="D1166">
        <v>4.4000000000000004</v>
      </c>
      <c r="E1166">
        <v>0.99975999999999998</v>
      </c>
    </row>
    <row r="1167" spans="2:5" x14ac:dyDescent="0.45">
      <c r="B1167" t="s">
        <v>1298</v>
      </c>
      <c r="C1167">
        <v>4.4686910835277036</v>
      </c>
      <c r="D1167">
        <v>1.1000000000000001</v>
      </c>
      <c r="E1167">
        <v>0.99994000000000005</v>
      </c>
    </row>
    <row r="1168" spans="2:5" x14ac:dyDescent="0.45">
      <c r="B1168" t="s">
        <v>1299</v>
      </c>
      <c r="C1168">
        <v>4.4686910835277036</v>
      </c>
      <c r="D1168">
        <v>2.2000000000000002</v>
      </c>
      <c r="E1168">
        <v>0.99987999999999999</v>
      </c>
    </row>
    <row r="1169" spans="2:5" x14ac:dyDescent="0.45">
      <c r="B1169" t="s">
        <v>1300</v>
      </c>
      <c r="C1169">
        <v>4.4686910835277036</v>
      </c>
      <c r="D1169">
        <v>5.5</v>
      </c>
      <c r="E1169">
        <v>0.99970000000000003</v>
      </c>
    </row>
    <row r="1170" spans="2:5" x14ac:dyDescent="0.45">
      <c r="B1170" t="s">
        <v>1301</v>
      </c>
      <c r="C1170">
        <v>2.2343455417638518</v>
      </c>
      <c r="D1170">
        <v>3.3000000000000003</v>
      </c>
      <c r="E1170">
        <v>0.99982000000000004</v>
      </c>
    </row>
    <row r="1171" spans="2:5" x14ac:dyDescent="0.45">
      <c r="B1171" t="s">
        <v>1302</v>
      </c>
      <c r="C1171">
        <v>2.2343455417638518</v>
      </c>
      <c r="D1171">
        <v>4.4000000000000004</v>
      </c>
      <c r="E1171">
        <v>0.99975999999999998</v>
      </c>
    </row>
    <row r="1172" spans="2:5" x14ac:dyDescent="0.45">
      <c r="B1172" t="s">
        <v>1303</v>
      </c>
      <c r="C1172">
        <v>4.4686910835277036</v>
      </c>
      <c r="D1172">
        <v>3.3000000000000003</v>
      </c>
      <c r="E1172">
        <v>0.99982000000000004</v>
      </c>
    </row>
    <row r="1173" spans="2:5" x14ac:dyDescent="0.45">
      <c r="B1173" t="s">
        <v>1304</v>
      </c>
      <c r="C1173">
        <v>4.4686910835277036</v>
      </c>
      <c r="D1173">
        <v>1.1000000000000001</v>
      </c>
      <c r="E1173">
        <v>0.99994000000000005</v>
      </c>
    </row>
    <row r="1174" spans="2:5" x14ac:dyDescent="0.45">
      <c r="B1174" t="s">
        <v>1305</v>
      </c>
      <c r="C1174">
        <v>4.4686910835277036</v>
      </c>
      <c r="D1174">
        <v>3.3000000000000003</v>
      </c>
      <c r="E1174">
        <v>0.99982000000000004</v>
      </c>
    </row>
    <row r="1175" spans="2:5" x14ac:dyDescent="0.45">
      <c r="B1175" t="s">
        <v>1306</v>
      </c>
      <c r="C1175">
        <v>4.4686910835277036</v>
      </c>
      <c r="D1175">
        <v>11</v>
      </c>
      <c r="E1175">
        <v>0.99939999999999996</v>
      </c>
    </row>
    <row r="1176" spans="2:5" x14ac:dyDescent="0.45">
      <c r="B1176" t="s">
        <v>1307</v>
      </c>
      <c r="C1176">
        <v>4.4686910835277036</v>
      </c>
      <c r="D1176">
        <v>4.4000000000000004</v>
      </c>
      <c r="E1176">
        <v>0.99975999999999998</v>
      </c>
    </row>
    <row r="1177" spans="2:5" x14ac:dyDescent="0.45">
      <c r="B1177" t="s">
        <v>1308</v>
      </c>
      <c r="C1177">
        <v>4.4686910835277036</v>
      </c>
      <c r="D1177">
        <v>3.3000000000000003</v>
      </c>
      <c r="E1177">
        <v>0.99982000000000004</v>
      </c>
    </row>
    <row r="1178" spans="2:5" x14ac:dyDescent="0.45">
      <c r="B1178" t="s">
        <v>1309</v>
      </c>
      <c r="C1178">
        <v>4.4686910835277036</v>
      </c>
      <c r="D1178">
        <v>2.2000000000000002</v>
      </c>
      <c r="E1178">
        <v>0.99987999999999999</v>
      </c>
    </row>
    <row r="1179" spans="2:5" x14ac:dyDescent="0.45">
      <c r="B1179" t="s">
        <v>1310</v>
      </c>
      <c r="C1179">
        <v>4.4686910835277036</v>
      </c>
      <c r="D1179">
        <v>1.1000000000000001</v>
      </c>
      <c r="E1179">
        <v>0.99994000000000005</v>
      </c>
    </row>
    <row r="1180" spans="2:5" x14ac:dyDescent="0.45">
      <c r="B1180" t="s">
        <v>1311</v>
      </c>
      <c r="C1180">
        <v>2.2343455417638518</v>
      </c>
      <c r="D1180">
        <v>9.9</v>
      </c>
      <c r="E1180">
        <v>0.99946000000000002</v>
      </c>
    </row>
    <row r="1181" spans="2:5" x14ac:dyDescent="0.45">
      <c r="B1181" t="s">
        <v>1312</v>
      </c>
      <c r="C1181">
        <v>1.9662240767521897</v>
      </c>
      <c r="D1181">
        <v>3.3000000000000003</v>
      </c>
      <c r="E1181">
        <v>0.99982000000000004</v>
      </c>
    </row>
    <row r="1182" spans="2:5" x14ac:dyDescent="0.45">
      <c r="B1182" t="s">
        <v>1313</v>
      </c>
      <c r="C1182">
        <v>1.9662240767521897</v>
      </c>
      <c r="D1182">
        <v>2.2000000000000002</v>
      </c>
      <c r="E1182">
        <v>0.99987999999999999</v>
      </c>
    </row>
    <row r="1183" spans="2:5" x14ac:dyDescent="0.45">
      <c r="B1183" t="s">
        <v>1314</v>
      </c>
      <c r="C1183">
        <v>4.4686910835277036</v>
      </c>
      <c r="D1183">
        <v>3.3000000000000003</v>
      </c>
      <c r="E1183">
        <v>0.99982000000000004</v>
      </c>
    </row>
    <row r="1184" spans="2:5" x14ac:dyDescent="0.45">
      <c r="B1184" t="s">
        <v>1315</v>
      </c>
      <c r="C1184">
        <v>2.2343455417638518</v>
      </c>
      <c r="D1184">
        <v>6.6000000000000005</v>
      </c>
      <c r="E1184">
        <v>0.99963999999999997</v>
      </c>
    </row>
    <row r="1185" spans="2:5" x14ac:dyDescent="0.45">
      <c r="B1185" t="s">
        <v>1316</v>
      </c>
      <c r="C1185">
        <v>4.4686910835277036</v>
      </c>
      <c r="D1185">
        <v>2.2000000000000002</v>
      </c>
      <c r="E1185">
        <v>0.99987999999999999</v>
      </c>
    </row>
    <row r="1186" spans="2:5" x14ac:dyDescent="0.45">
      <c r="B1186" t="s">
        <v>1317</v>
      </c>
      <c r="C1186">
        <v>4.4686910835277036</v>
      </c>
      <c r="D1186">
        <v>1.1000000000000001</v>
      </c>
      <c r="E1186">
        <v>0.99994000000000005</v>
      </c>
    </row>
    <row r="1187" spans="2:5" x14ac:dyDescent="0.45">
      <c r="B1187" t="s">
        <v>1318</v>
      </c>
      <c r="C1187">
        <v>4.4686910835277036</v>
      </c>
      <c r="D1187">
        <v>9.9</v>
      </c>
      <c r="E1187">
        <v>0.99946000000000002</v>
      </c>
    </row>
    <row r="1188" spans="2:5" x14ac:dyDescent="0.45">
      <c r="B1188" t="s">
        <v>1319</v>
      </c>
      <c r="C1188">
        <v>4.4686910835277036</v>
      </c>
      <c r="D1188">
        <v>2.2000000000000002</v>
      </c>
      <c r="E1188">
        <v>0.99987999999999999</v>
      </c>
    </row>
    <row r="1189" spans="2:5" x14ac:dyDescent="0.45">
      <c r="B1189" t="s">
        <v>1320</v>
      </c>
      <c r="C1189">
        <v>4.4686910835277036</v>
      </c>
      <c r="D1189">
        <v>2.2000000000000002</v>
      </c>
      <c r="E1189">
        <v>0.99987999999999999</v>
      </c>
    </row>
    <row r="1190" spans="2:5" x14ac:dyDescent="0.45">
      <c r="B1190" t="s">
        <v>1321</v>
      </c>
      <c r="C1190">
        <v>2.2343455417638518</v>
      </c>
      <c r="D1190">
        <v>3.3000000000000003</v>
      </c>
      <c r="E1190">
        <v>0.99982000000000004</v>
      </c>
    </row>
    <row r="1191" spans="2:5" x14ac:dyDescent="0.45">
      <c r="B1191" t="s">
        <v>1322</v>
      </c>
      <c r="C1191">
        <v>2.2343455417638518</v>
      </c>
      <c r="D1191">
        <v>6.6000000000000005</v>
      </c>
      <c r="E1191">
        <v>0.99963999999999997</v>
      </c>
    </row>
    <row r="1192" spans="2:5" x14ac:dyDescent="0.45">
      <c r="B1192" t="s">
        <v>1323</v>
      </c>
      <c r="C1192">
        <v>4.4686910835277036</v>
      </c>
      <c r="D1192">
        <v>3.3000000000000003</v>
      </c>
      <c r="E1192">
        <v>0.99982000000000004</v>
      </c>
    </row>
    <row r="1193" spans="2:5" x14ac:dyDescent="0.45">
      <c r="B1193" t="s">
        <v>1324</v>
      </c>
      <c r="C1193">
        <v>6.7030366252915554</v>
      </c>
      <c r="D1193">
        <v>2.2000000000000002</v>
      </c>
      <c r="E1193">
        <v>0.99987999999999999</v>
      </c>
    </row>
    <row r="1194" spans="2:5" x14ac:dyDescent="0.45">
      <c r="B1194" t="s">
        <v>1325</v>
      </c>
      <c r="C1194">
        <v>4.4686910835277036</v>
      </c>
      <c r="D1194">
        <v>1.1000000000000001</v>
      </c>
      <c r="E1194">
        <v>0.99994000000000005</v>
      </c>
    </row>
    <row r="1195" spans="2:5" x14ac:dyDescent="0.45">
      <c r="B1195" t="s">
        <v>1326</v>
      </c>
      <c r="C1195">
        <v>4.4686910835277036</v>
      </c>
      <c r="D1195">
        <v>4.4000000000000004</v>
      </c>
      <c r="E1195">
        <v>0.99975999999999998</v>
      </c>
    </row>
    <row r="1196" spans="2:5" x14ac:dyDescent="0.45">
      <c r="B1196" t="s">
        <v>1327</v>
      </c>
      <c r="C1196">
        <v>4.4686910835277036</v>
      </c>
      <c r="D1196">
        <v>9.9</v>
      </c>
      <c r="E1196">
        <v>0.99946000000000002</v>
      </c>
    </row>
    <row r="1197" spans="2:5" x14ac:dyDescent="0.45">
      <c r="B1197" t="s">
        <v>1328</v>
      </c>
      <c r="C1197">
        <v>2.2343455417638518</v>
      </c>
      <c r="D1197">
        <v>6.6000000000000005</v>
      </c>
      <c r="E1197">
        <v>0.99963999999999997</v>
      </c>
    </row>
    <row r="1198" spans="2:5" x14ac:dyDescent="0.45">
      <c r="B1198" t="s">
        <v>1329</v>
      </c>
      <c r="C1198">
        <v>4.4686910835277036</v>
      </c>
      <c r="D1198">
        <v>1.1000000000000001</v>
      </c>
      <c r="E1198">
        <v>0.99994000000000005</v>
      </c>
    </row>
    <row r="1199" spans="2:5" x14ac:dyDescent="0.45">
      <c r="B1199" t="s">
        <v>1330</v>
      </c>
      <c r="C1199">
        <v>4.4686910835277036</v>
      </c>
      <c r="D1199">
        <v>1.1000000000000001</v>
      </c>
      <c r="E1199">
        <v>0.99994000000000005</v>
      </c>
    </row>
    <row r="1200" spans="2:5" x14ac:dyDescent="0.45">
      <c r="B1200" t="s">
        <v>1331</v>
      </c>
      <c r="C1200">
        <v>2.2343455417638518</v>
      </c>
      <c r="D1200">
        <v>1.1000000000000001</v>
      </c>
      <c r="E1200">
        <v>0.99994000000000005</v>
      </c>
    </row>
    <row r="1201" spans="2:5" x14ac:dyDescent="0.45">
      <c r="B1201" t="s">
        <v>1332</v>
      </c>
      <c r="C1201">
        <v>2.2343455417638518</v>
      </c>
      <c r="D1201">
        <v>2.2000000000000002</v>
      </c>
      <c r="E1201">
        <v>0.99987999999999999</v>
      </c>
    </row>
    <row r="1202" spans="2:5" x14ac:dyDescent="0.45">
      <c r="B1202" t="s">
        <v>1333</v>
      </c>
      <c r="C1202">
        <v>2.2343455417638518</v>
      </c>
      <c r="D1202">
        <v>2.2000000000000002</v>
      </c>
      <c r="E1202">
        <v>0.99987999999999999</v>
      </c>
    </row>
    <row r="1203" spans="2:5" x14ac:dyDescent="0.45">
      <c r="B1203" t="s">
        <v>1334</v>
      </c>
      <c r="C1203">
        <v>4.4686910835277036</v>
      </c>
      <c r="D1203">
        <v>1.1000000000000001</v>
      </c>
      <c r="E1203">
        <v>0.99994000000000005</v>
      </c>
    </row>
    <row r="1204" spans="2:5" x14ac:dyDescent="0.45">
      <c r="B1204" t="s">
        <v>1335</v>
      </c>
      <c r="C1204">
        <v>4.4686910835277036</v>
      </c>
      <c r="D1204">
        <v>1.1000000000000001</v>
      </c>
      <c r="E1204">
        <v>0.99994000000000005</v>
      </c>
    </row>
    <row r="1205" spans="2:5" x14ac:dyDescent="0.45">
      <c r="B1205" t="s">
        <v>1336</v>
      </c>
      <c r="C1205">
        <v>6.7030366252915554</v>
      </c>
      <c r="D1205">
        <v>3.3000000000000003</v>
      </c>
      <c r="E1205">
        <v>0.99982000000000004</v>
      </c>
    </row>
    <row r="1206" spans="2:5" x14ac:dyDescent="0.45">
      <c r="B1206" t="s">
        <v>1337</v>
      </c>
      <c r="C1206">
        <v>4.4686910835277036</v>
      </c>
      <c r="D1206">
        <v>11</v>
      </c>
      <c r="E1206">
        <v>0.99939999999999996</v>
      </c>
    </row>
    <row r="1207" spans="2:5" x14ac:dyDescent="0.45">
      <c r="B1207" t="s">
        <v>1338</v>
      </c>
      <c r="C1207">
        <v>4.4686910835277036</v>
      </c>
      <c r="D1207">
        <v>2.2000000000000002</v>
      </c>
      <c r="E1207">
        <v>0.99987999999999999</v>
      </c>
    </row>
    <row r="1208" spans="2:5" x14ac:dyDescent="0.45">
      <c r="B1208" t="s">
        <v>1339</v>
      </c>
      <c r="C1208">
        <v>2.2343455417638518</v>
      </c>
      <c r="D1208">
        <v>6.6000000000000005</v>
      </c>
      <c r="E1208">
        <v>0.99963999999999997</v>
      </c>
    </row>
    <row r="1209" spans="2:5" x14ac:dyDescent="0.45">
      <c r="B1209" t="s">
        <v>1340</v>
      </c>
      <c r="C1209">
        <v>4.4686910835277036</v>
      </c>
      <c r="D1209">
        <v>3.3000000000000003</v>
      </c>
      <c r="E1209">
        <v>0.99982000000000004</v>
      </c>
    </row>
    <row r="1210" spans="2:5" x14ac:dyDescent="0.45">
      <c r="B1210" t="s">
        <v>1341</v>
      </c>
      <c r="C1210">
        <v>2.2343455417638518</v>
      </c>
      <c r="D1210">
        <v>7.7000000000000011</v>
      </c>
      <c r="E1210">
        <v>0.99958000000000002</v>
      </c>
    </row>
    <row r="1211" spans="2:5" x14ac:dyDescent="0.45">
      <c r="B1211" t="s">
        <v>1342</v>
      </c>
      <c r="C1211">
        <v>4.4686910835277036</v>
      </c>
      <c r="D1211">
        <v>1.1000000000000001</v>
      </c>
      <c r="E1211">
        <v>0.99994000000000005</v>
      </c>
    </row>
    <row r="1212" spans="2:5" x14ac:dyDescent="0.45">
      <c r="B1212" t="s">
        <v>1343</v>
      </c>
      <c r="C1212">
        <v>4.4686910835277036</v>
      </c>
      <c r="D1212">
        <v>8.8000000000000007</v>
      </c>
      <c r="E1212">
        <v>0.99951999999999996</v>
      </c>
    </row>
    <row r="1213" spans="2:5" x14ac:dyDescent="0.45">
      <c r="B1213" t="s">
        <v>1344</v>
      </c>
      <c r="C1213">
        <v>4.4686910835277036</v>
      </c>
      <c r="D1213">
        <v>7.7000000000000011</v>
      </c>
      <c r="E1213">
        <v>0.99958000000000002</v>
      </c>
    </row>
    <row r="1214" spans="2:5" x14ac:dyDescent="0.45">
      <c r="B1214" t="s">
        <v>1345</v>
      </c>
      <c r="C1214">
        <v>4.4686910835277036</v>
      </c>
      <c r="D1214">
        <v>1.1000000000000001</v>
      </c>
      <c r="E1214">
        <v>0.99994000000000005</v>
      </c>
    </row>
    <row r="1215" spans="2:5" x14ac:dyDescent="0.45">
      <c r="B1215" t="s">
        <v>1346</v>
      </c>
      <c r="C1215">
        <v>0.98311203837609484</v>
      </c>
      <c r="D1215">
        <v>37.400000000000006</v>
      </c>
      <c r="E1215">
        <v>0.99795999999999996</v>
      </c>
    </row>
    <row r="1216" spans="2:5" x14ac:dyDescent="0.45">
      <c r="B1216" t="s">
        <v>1347</v>
      </c>
      <c r="C1216">
        <v>4.4686910835277036</v>
      </c>
      <c r="D1216">
        <v>3.3000000000000003</v>
      </c>
      <c r="E1216">
        <v>0.99982000000000004</v>
      </c>
    </row>
    <row r="1217" spans="2:5" x14ac:dyDescent="0.45">
      <c r="B1217" t="s">
        <v>1348</v>
      </c>
      <c r="C1217">
        <v>0.49155601918804742</v>
      </c>
      <c r="D1217">
        <v>82.5</v>
      </c>
      <c r="E1217">
        <v>0.99550000000000005</v>
      </c>
    </row>
    <row r="1218" spans="2:5" x14ac:dyDescent="0.45">
      <c r="B1218" t="s">
        <v>1349</v>
      </c>
      <c r="C1218">
        <v>0.49155601918804742</v>
      </c>
      <c r="D1218">
        <v>42.900000000000006</v>
      </c>
      <c r="E1218">
        <v>0.99765999999999999</v>
      </c>
    </row>
    <row r="1219" spans="2:5" x14ac:dyDescent="0.45">
      <c r="B1219" t="s">
        <v>1350</v>
      </c>
      <c r="C1219">
        <v>0.98311203837609484</v>
      </c>
      <c r="D1219">
        <v>6.6000000000000005</v>
      </c>
      <c r="E1219">
        <v>0.99963999999999997</v>
      </c>
    </row>
    <row r="1220" spans="2:5" x14ac:dyDescent="0.45">
      <c r="B1220" t="s">
        <v>1351</v>
      </c>
      <c r="C1220">
        <v>4.4686910835277036</v>
      </c>
      <c r="D1220">
        <v>2.2000000000000002</v>
      </c>
      <c r="E1220">
        <v>0.99987999999999999</v>
      </c>
    </row>
    <row r="1221" spans="2:5" x14ac:dyDescent="0.45">
      <c r="B1221" t="s">
        <v>1352</v>
      </c>
      <c r="C1221">
        <v>4.4686910835277036</v>
      </c>
      <c r="D1221">
        <v>1.1000000000000001</v>
      </c>
      <c r="E1221">
        <v>0.99994000000000005</v>
      </c>
    </row>
    <row r="1222" spans="2:5" x14ac:dyDescent="0.45">
      <c r="B1222" t="s">
        <v>1353</v>
      </c>
      <c r="C1222">
        <v>6.7030366252915554</v>
      </c>
      <c r="D1222">
        <v>1.1000000000000001</v>
      </c>
      <c r="E1222">
        <v>0.99994000000000005</v>
      </c>
    </row>
    <row r="1223" spans="2:5" x14ac:dyDescent="0.45">
      <c r="B1223" t="s">
        <v>1354</v>
      </c>
      <c r="C1223">
        <v>2.2343455417638518</v>
      </c>
      <c r="D1223">
        <v>3.3000000000000003</v>
      </c>
      <c r="E1223">
        <v>0.99982000000000004</v>
      </c>
    </row>
    <row r="1224" spans="2:5" x14ac:dyDescent="0.45">
      <c r="B1224" t="s">
        <v>1355</v>
      </c>
      <c r="C1224">
        <v>2.2343455417638518</v>
      </c>
      <c r="D1224">
        <v>5.5</v>
      </c>
      <c r="E1224">
        <v>0.99970000000000003</v>
      </c>
    </row>
    <row r="1225" spans="2:5" x14ac:dyDescent="0.45">
      <c r="B1225" t="s">
        <v>1356</v>
      </c>
      <c r="C1225">
        <v>2.2343455417638518</v>
      </c>
      <c r="D1225">
        <v>2.2000000000000002</v>
      </c>
      <c r="E1225">
        <v>0.99987999999999999</v>
      </c>
    </row>
    <row r="1226" spans="2:5" x14ac:dyDescent="0.45">
      <c r="B1226" t="s">
        <v>1357</v>
      </c>
      <c r="C1226">
        <v>6.7030366252915554</v>
      </c>
      <c r="D1226">
        <v>2.2000000000000002</v>
      </c>
      <c r="E1226">
        <v>0.99987999999999999</v>
      </c>
    </row>
    <row r="1227" spans="2:5" x14ac:dyDescent="0.45">
      <c r="B1227" t="s">
        <v>1358</v>
      </c>
      <c r="C1227">
        <v>4.4686910835277036</v>
      </c>
      <c r="D1227">
        <v>2.2000000000000002</v>
      </c>
      <c r="E1227">
        <v>0.99987999999999999</v>
      </c>
    </row>
    <row r="1228" spans="2:5" x14ac:dyDescent="0.45">
      <c r="B1228" t="s">
        <v>1359</v>
      </c>
      <c r="C1228">
        <v>4.4686910835277036</v>
      </c>
      <c r="D1228">
        <v>3.3000000000000003</v>
      </c>
      <c r="E1228">
        <v>0.99982000000000004</v>
      </c>
    </row>
    <row r="1229" spans="2:5" x14ac:dyDescent="0.45">
      <c r="B1229" t="s">
        <v>1360</v>
      </c>
      <c r="C1229">
        <v>2.2343455417638518</v>
      </c>
      <c r="D1229">
        <v>2.2000000000000002</v>
      </c>
      <c r="E1229">
        <v>0.99987999999999999</v>
      </c>
    </row>
    <row r="1230" spans="2:5" x14ac:dyDescent="0.45">
      <c r="B1230" t="s">
        <v>1361</v>
      </c>
      <c r="C1230">
        <v>2.2343455417638518</v>
      </c>
      <c r="D1230">
        <v>4.4000000000000004</v>
      </c>
      <c r="E1230">
        <v>0.99975999999999998</v>
      </c>
    </row>
    <row r="1231" spans="2:5" x14ac:dyDescent="0.45">
      <c r="B1231" t="s">
        <v>1362</v>
      </c>
      <c r="C1231">
        <v>4.4686910835277036</v>
      </c>
      <c r="D1231">
        <v>3.3000000000000003</v>
      </c>
      <c r="E1231">
        <v>0.99982000000000004</v>
      </c>
    </row>
    <row r="1232" spans="2:5" x14ac:dyDescent="0.45">
      <c r="B1232" t="s">
        <v>1363</v>
      </c>
      <c r="C1232">
        <v>4.4686910835277036</v>
      </c>
      <c r="D1232">
        <v>4.4000000000000004</v>
      </c>
      <c r="E1232">
        <v>0.99975999999999998</v>
      </c>
    </row>
    <row r="1233" spans="2:5" x14ac:dyDescent="0.45">
      <c r="B1233" t="s">
        <v>1364</v>
      </c>
      <c r="C1233">
        <v>2.2343455417638518</v>
      </c>
      <c r="D1233">
        <v>7.7000000000000011</v>
      </c>
      <c r="E1233">
        <v>0.99958000000000002</v>
      </c>
    </row>
    <row r="1234" spans="2:5" x14ac:dyDescent="0.45">
      <c r="B1234" t="s">
        <v>1365</v>
      </c>
      <c r="C1234">
        <v>4.4686910835277036</v>
      </c>
      <c r="D1234">
        <v>14.3</v>
      </c>
      <c r="E1234">
        <v>0.99922</v>
      </c>
    </row>
    <row r="1235" spans="2:5" x14ac:dyDescent="0.45">
      <c r="B1235" t="s">
        <v>1366</v>
      </c>
      <c r="C1235">
        <v>6.7030366252915554</v>
      </c>
      <c r="D1235">
        <v>1.1000000000000001</v>
      </c>
      <c r="E1235">
        <v>0.99994000000000005</v>
      </c>
    </row>
    <row r="1236" spans="2:5" x14ac:dyDescent="0.45">
      <c r="B1236" t="s">
        <v>1367</v>
      </c>
      <c r="C1236">
        <v>4.4686910835277036</v>
      </c>
      <c r="D1236">
        <v>1.1000000000000001</v>
      </c>
      <c r="E1236">
        <v>0.99994000000000005</v>
      </c>
    </row>
    <row r="1237" spans="2:5" x14ac:dyDescent="0.45">
      <c r="B1237" t="s">
        <v>1368</v>
      </c>
      <c r="C1237">
        <v>2.2343455417638518</v>
      </c>
      <c r="D1237">
        <v>3.3000000000000003</v>
      </c>
      <c r="E1237">
        <v>0.99982000000000004</v>
      </c>
    </row>
    <row r="1238" spans="2:5" x14ac:dyDescent="0.45">
      <c r="B1238" t="s">
        <v>1369</v>
      </c>
      <c r="C1238">
        <v>4.4686910835277036</v>
      </c>
      <c r="D1238">
        <v>2.2000000000000002</v>
      </c>
      <c r="E1238">
        <v>0.99987999999999999</v>
      </c>
    </row>
    <row r="1239" spans="2:5" x14ac:dyDescent="0.45">
      <c r="B1239" t="s">
        <v>1370</v>
      </c>
      <c r="C1239">
        <v>4.4686910835277036</v>
      </c>
      <c r="D1239">
        <v>5.5</v>
      </c>
      <c r="E1239">
        <v>0.99970000000000003</v>
      </c>
    </row>
    <row r="1240" spans="2:5" x14ac:dyDescent="0.45">
      <c r="B1240" t="s">
        <v>1371</v>
      </c>
      <c r="C1240">
        <v>4.4686910835277036</v>
      </c>
      <c r="D1240">
        <v>1.1000000000000001</v>
      </c>
      <c r="E1240">
        <v>0.99994000000000005</v>
      </c>
    </row>
    <row r="1241" spans="2:5" x14ac:dyDescent="0.45">
      <c r="B1241" t="s">
        <v>1372</v>
      </c>
      <c r="C1241">
        <v>2.2343455417638518</v>
      </c>
      <c r="D1241">
        <v>7.7000000000000011</v>
      </c>
      <c r="E1241">
        <v>0.99958000000000002</v>
      </c>
    </row>
    <row r="1242" spans="2:5" x14ac:dyDescent="0.45">
      <c r="B1242" t="s">
        <v>1373</v>
      </c>
      <c r="C1242">
        <v>6.7030366252915554</v>
      </c>
      <c r="D1242">
        <v>1.1000000000000001</v>
      </c>
      <c r="E1242">
        <v>0.99994000000000005</v>
      </c>
    </row>
    <row r="1243" spans="2:5" x14ac:dyDescent="0.45">
      <c r="B1243" t="s">
        <v>1374</v>
      </c>
      <c r="C1243">
        <v>4.4686910835277036</v>
      </c>
      <c r="D1243">
        <v>2.2000000000000002</v>
      </c>
      <c r="E1243">
        <v>0.99987999999999999</v>
      </c>
    </row>
    <row r="1244" spans="2:5" x14ac:dyDescent="0.45">
      <c r="B1244" t="s">
        <v>1375</v>
      </c>
      <c r="C1244">
        <v>2.2343455417638518</v>
      </c>
      <c r="D1244">
        <v>4.4000000000000004</v>
      </c>
      <c r="E1244">
        <v>0.99975999999999998</v>
      </c>
    </row>
    <row r="1245" spans="2:5" x14ac:dyDescent="0.45">
      <c r="B1245" t="s">
        <v>1376</v>
      </c>
      <c r="C1245">
        <v>2.2343455417638518</v>
      </c>
      <c r="D1245">
        <v>6.6000000000000005</v>
      </c>
      <c r="E1245">
        <v>0.99963999999999997</v>
      </c>
    </row>
    <row r="1246" spans="2:5" x14ac:dyDescent="0.45">
      <c r="B1246" t="s">
        <v>1377</v>
      </c>
      <c r="C1246">
        <v>6.7030366252915554</v>
      </c>
      <c r="D1246">
        <v>1.1000000000000001</v>
      </c>
      <c r="E1246">
        <v>0.99994000000000005</v>
      </c>
    </row>
    <row r="1247" spans="2:5" x14ac:dyDescent="0.45">
      <c r="B1247" t="s">
        <v>1378</v>
      </c>
      <c r="C1247">
        <v>4.4686910835277036</v>
      </c>
      <c r="D1247">
        <v>3.3000000000000003</v>
      </c>
      <c r="E1247">
        <v>0.99982000000000004</v>
      </c>
    </row>
    <row r="1248" spans="2:5" x14ac:dyDescent="0.45">
      <c r="B1248" t="s">
        <v>1379</v>
      </c>
      <c r="C1248">
        <v>6.7030366252915554</v>
      </c>
      <c r="D1248">
        <v>2.2000000000000002</v>
      </c>
      <c r="E1248">
        <v>0.99987999999999999</v>
      </c>
    </row>
    <row r="1249" spans="2:5" x14ac:dyDescent="0.45">
      <c r="B1249" t="s">
        <v>1380</v>
      </c>
      <c r="C1249">
        <v>0.98311203837609484</v>
      </c>
      <c r="D1249">
        <v>7.7000000000000011</v>
      </c>
      <c r="E1249">
        <v>0.99958000000000002</v>
      </c>
    </row>
    <row r="1250" spans="2:5" x14ac:dyDescent="0.45">
      <c r="B1250" t="s">
        <v>1381</v>
      </c>
      <c r="C1250">
        <v>4.4686910835277036</v>
      </c>
      <c r="D1250">
        <v>11</v>
      </c>
      <c r="E1250">
        <v>0.99939999999999996</v>
      </c>
    </row>
    <row r="1251" spans="2:5" x14ac:dyDescent="0.45">
      <c r="B1251" t="s">
        <v>1382</v>
      </c>
      <c r="C1251">
        <v>2.2343455417638518</v>
      </c>
      <c r="D1251">
        <v>11</v>
      </c>
      <c r="E1251">
        <v>0.99939999999999996</v>
      </c>
    </row>
    <row r="1252" spans="2:5" x14ac:dyDescent="0.45">
      <c r="B1252" t="s">
        <v>1383</v>
      </c>
      <c r="C1252">
        <v>2.2343455417638518</v>
      </c>
      <c r="D1252">
        <v>2.2000000000000002</v>
      </c>
      <c r="E1252">
        <v>0.99987999999999999</v>
      </c>
    </row>
    <row r="1253" spans="2:5" x14ac:dyDescent="0.45">
      <c r="B1253" t="s">
        <v>1384</v>
      </c>
      <c r="C1253">
        <v>4.4686910835277036</v>
      </c>
      <c r="D1253">
        <v>12.100000000000001</v>
      </c>
      <c r="E1253">
        <v>0.99934000000000001</v>
      </c>
    </row>
    <row r="1254" spans="2:5" x14ac:dyDescent="0.45">
      <c r="B1254" t="s">
        <v>1385</v>
      </c>
      <c r="C1254">
        <v>6.7030366252915554</v>
      </c>
      <c r="D1254">
        <v>1.1000000000000001</v>
      </c>
      <c r="E1254">
        <v>0.99994000000000005</v>
      </c>
    </row>
    <row r="1255" spans="2:5" x14ac:dyDescent="0.45">
      <c r="B1255" t="s">
        <v>1386</v>
      </c>
      <c r="C1255">
        <v>4.4686910835277036</v>
      </c>
      <c r="D1255">
        <v>2.2000000000000002</v>
      </c>
      <c r="E1255">
        <v>0.99987999999999999</v>
      </c>
    </row>
    <row r="1256" spans="2:5" x14ac:dyDescent="0.45">
      <c r="B1256" t="s">
        <v>1387</v>
      </c>
      <c r="C1256">
        <v>4.4686910835277036</v>
      </c>
      <c r="D1256">
        <v>2.2000000000000002</v>
      </c>
      <c r="E1256">
        <v>0.99987999999999999</v>
      </c>
    </row>
    <row r="1257" spans="2:5" x14ac:dyDescent="0.45">
      <c r="B1257" t="s">
        <v>1388</v>
      </c>
      <c r="C1257">
        <v>6.7030366252915554</v>
      </c>
      <c r="D1257">
        <v>1.1000000000000001</v>
      </c>
      <c r="E1257">
        <v>0.99994000000000005</v>
      </c>
    </row>
    <row r="1258" spans="2:5" x14ac:dyDescent="0.45">
      <c r="B1258" t="s">
        <v>1389</v>
      </c>
      <c r="C1258">
        <v>4.4686910835277036</v>
      </c>
      <c r="D1258">
        <v>8.8000000000000007</v>
      </c>
      <c r="E1258">
        <v>0.99951999999999996</v>
      </c>
    </row>
    <row r="1259" spans="2:5" x14ac:dyDescent="0.45">
      <c r="B1259" t="s">
        <v>1390</v>
      </c>
      <c r="C1259">
        <v>2.2343455417638518</v>
      </c>
      <c r="D1259">
        <v>7.7000000000000011</v>
      </c>
      <c r="E1259">
        <v>0.99958000000000002</v>
      </c>
    </row>
    <row r="1260" spans="2:5" x14ac:dyDescent="0.45">
      <c r="B1260" t="s">
        <v>1391</v>
      </c>
      <c r="C1260">
        <v>6.7030366252915554</v>
      </c>
      <c r="D1260">
        <v>1.1000000000000001</v>
      </c>
      <c r="E1260">
        <v>0.99994000000000005</v>
      </c>
    </row>
    <row r="1261" spans="2:5" x14ac:dyDescent="0.45">
      <c r="B1261" t="s">
        <v>1392</v>
      </c>
      <c r="C1261">
        <v>4.4686910835277036</v>
      </c>
      <c r="D1261">
        <v>1.1000000000000001</v>
      </c>
      <c r="E1261">
        <v>0.99994000000000005</v>
      </c>
    </row>
    <row r="1262" spans="2:5" x14ac:dyDescent="0.45">
      <c r="B1262" t="s">
        <v>1393</v>
      </c>
      <c r="C1262">
        <v>4.4686910835277036</v>
      </c>
      <c r="D1262">
        <v>3.3000000000000003</v>
      </c>
      <c r="E1262">
        <v>0.99982000000000004</v>
      </c>
    </row>
    <row r="1263" spans="2:5" x14ac:dyDescent="0.45">
      <c r="B1263" t="s">
        <v>1394</v>
      </c>
      <c r="C1263">
        <v>4.4686910835277036</v>
      </c>
      <c r="D1263">
        <v>1.1000000000000001</v>
      </c>
      <c r="E1263">
        <v>0.99994000000000005</v>
      </c>
    </row>
    <row r="1264" spans="2:5" x14ac:dyDescent="0.45">
      <c r="B1264" t="s">
        <v>1395</v>
      </c>
      <c r="C1264">
        <v>4.4686910835277036</v>
      </c>
      <c r="D1264">
        <v>5.5</v>
      </c>
      <c r="E1264">
        <v>0.99970000000000003</v>
      </c>
    </row>
    <row r="1265" spans="2:5" x14ac:dyDescent="0.45">
      <c r="B1265" t="s">
        <v>1396</v>
      </c>
      <c r="C1265">
        <v>4.4686910835277036</v>
      </c>
      <c r="D1265">
        <v>2.2000000000000002</v>
      </c>
      <c r="E1265">
        <v>0.99987999999999999</v>
      </c>
    </row>
    <row r="1266" spans="2:5" x14ac:dyDescent="0.45">
      <c r="B1266" t="s">
        <v>1397</v>
      </c>
      <c r="C1266">
        <v>4.4686910835277036</v>
      </c>
      <c r="D1266">
        <v>1.1000000000000001</v>
      </c>
      <c r="E1266">
        <v>0.99994000000000005</v>
      </c>
    </row>
    <row r="1267" spans="2:5" x14ac:dyDescent="0.45">
      <c r="B1267" t="s">
        <v>1398</v>
      </c>
      <c r="C1267">
        <v>6.7030366252915554</v>
      </c>
      <c r="D1267">
        <v>5.5</v>
      </c>
      <c r="E1267">
        <v>0.99970000000000003</v>
      </c>
    </row>
    <row r="1268" spans="2:5" x14ac:dyDescent="0.45">
      <c r="B1268" t="s">
        <v>1399</v>
      </c>
      <c r="C1268">
        <v>2.2343455417638518</v>
      </c>
      <c r="D1268">
        <v>3.3000000000000003</v>
      </c>
      <c r="E1268">
        <v>0.99982000000000004</v>
      </c>
    </row>
    <row r="1269" spans="2:5" x14ac:dyDescent="0.45">
      <c r="B1269" t="s">
        <v>1400</v>
      </c>
      <c r="C1269">
        <v>0.98311203837609484</v>
      </c>
      <c r="D1269">
        <v>11</v>
      </c>
      <c r="E1269">
        <v>0.99939999999999996</v>
      </c>
    </row>
    <row r="1270" spans="2:5" x14ac:dyDescent="0.45">
      <c r="B1270" t="s">
        <v>1401</v>
      </c>
      <c r="C1270">
        <v>4.4686910835277036</v>
      </c>
      <c r="D1270">
        <v>5.5</v>
      </c>
      <c r="E1270">
        <v>0.99970000000000003</v>
      </c>
    </row>
    <row r="1271" spans="2:5" x14ac:dyDescent="0.45">
      <c r="B1271" t="s">
        <v>1402</v>
      </c>
      <c r="C1271">
        <v>2.2343455417638518</v>
      </c>
      <c r="D1271">
        <v>9.9</v>
      </c>
      <c r="E1271">
        <v>0.99946000000000002</v>
      </c>
    </row>
    <row r="1272" spans="2:5" x14ac:dyDescent="0.45">
      <c r="B1272" t="s">
        <v>1403</v>
      </c>
      <c r="C1272">
        <v>2.2343455417638518</v>
      </c>
      <c r="D1272">
        <v>15.400000000000002</v>
      </c>
      <c r="E1272">
        <v>0.99916000000000005</v>
      </c>
    </row>
    <row r="1273" spans="2:5" x14ac:dyDescent="0.45">
      <c r="B1273" t="s">
        <v>1404</v>
      </c>
      <c r="C1273">
        <v>4.4686910835277036</v>
      </c>
      <c r="D1273">
        <v>1.1000000000000001</v>
      </c>
      <c r="E1273">
        <v>0.99994000000000005</v>
      </c>
    </row>
    <row r="1274" spans="2:5" x14ac:dyDescent="0.45">
      <c r="B1274" t="s">
        <v>1405</v>
      </c>
      <c r="C1274">
        <v>6.7030366252915554</v>
      </c>
      <c r="D1274">
        <v>4.4000000000000004</v>
      </c>
      <c r="E1274">
        <v>0.99975999999999998</v>
      </c>
    </row>
    <row r="1275" spans="2:5" x14ac:dyDescent="0.45">
      <c r="B1275" t="s">
        <v>1406</v>
      </c>
      <c r="C1275">
        <v>2.2343455417638518</v>
      </c>
      <c r="D1275">
        <v>2.2000000000000002</v>
      </c>
      <c r="E1275">
        <v>0.99987999999999999</v>
      </c>
    </row>
    <row r="1276" spans="2:5" x14ac:dyDescent="0.45">
      <c r="B1276" t="s">
        <v>1407</v>
      </c>
      <c r="C1276">
        <v>4.4686910835277036</v>
      </c>
      <c r="D1276">
        <v>6.6000000000000005</v>
      </c>
      <c r="E1276">
        <v>0.99963999999999997</v>
      </c>
    </row>
    <row r="1277" spans="2:5" x14ac:dyDescent="0.45">
      <c r="B1277" t="s">
        <v>1408</v>
      </c>
      <c r="C1277">
        <v>4.4686910835277036</v>
      </c>
      <c r="D1277">
        <v>3.3000000000000003</v>
      </c>
      <c r="E1277">
        <v>0.99982000000000004</v>
      </c>
    </row>
    <row r="1278" spans="2:5" x14ac:dyDescent="0.45">
      <c r="B1278" t="s">
        <v>1409</v>
      </c>
      <c r="C1278">
        <v>4.4686910835277036</v>
      </c>
      <c r="D1278">
        <v>13.200000000000001</v>
      </c>
      <c r="E1278">
        <v>0.99927999999999995</v>
      </c>
    </row>
    <row r="1279" spans="2:5" x14ac:dyDescent="0.45">
      <c r="B1279" t="s">
        <v>1410</v>
      </c>
      <c r="C1279">
        <v>4.4686910835277036</v>
      </c>
      <c r="D1279">
        <v>1.1000000000000001</v>
      </c>
      <c r="E1279">
        <v>0.99994000000000005</v>
      </c>
    </row>
    <row r="1280" spans="2:5" x14ac:dyDescent="0.45">
      <c r="B1280" t="s">
        <v>1411</v>
      </c>
      <c r="C1280">
        <v>2.2343455417638518</v>
      </c>
      <c r="D1280">
        <v>2.2000000000000002</v>
      </c>
      <c r="E1280">
        <v>0.99987999999999999</v>
      </c>
    </row>
    <row r="1281" spans="2:5" x14ac:dyDescent="0.45">
      <c r="B1281" t="s">
        <v>1412</v>
      </c>
      <c r="C1281">
        <v>0.49155601918804742</v>
      </c>
      <c r="D1281">
        <v>5.5</v>
      </c>
      <c r="E1281">
        <v>0.99970000000000003</v>
      </c>
    </row>
    <row r="1282" spans="2:5" x14ac:dyDescent="0.45">
      <c r="B1282" t="s">
        <v>1413</v>
      </c>
      <c r="C1282">
        <v>2.2343455417638518</v>
      </c>
      <c r="D1282">
        <v>2.2000000000000002</v>
      </c>
      <c r="E1282">
        <v>0.99987999999999999</v>
      </c>
    </row>
    <row r="1283" spans="2:5" x14ac:dyDescent="0.45">
      <c r="B1283" t="s">
        <v>1414</v>
      </c>
      <c r="C1283">
        <v>2.2343455417638518</v>
      </c>
      <c r="D1283">
        <v>5.5</v>
      </c>
      <c r="E1283">
        <v>0.99970000000000003</v>
      </c>
    </row>
    <row r="1284" spans="2:5" x14ac:dyDescent="0.45">
      <c r="B1284" t="s">
        <v>1415</v>
      </c>
      <c r="C1284">
        <v>4.4686910835277036</v>
      </c>
      <c r="D1284">
        <v>36.300000000000004</v>
      </c>
      <c r="E1284">
        <v>0.99802000000000002</v>
      </c>
    </row>
    <row r="1285" spans="2:5" x14ac:dyDescent="0.45">
      <c r="B1285" t="s">
        <v>1416</v>
      </c>
      <c r="C1285">
        <v>2.2343455417638518</v>
      </c>
      <c r="D1285">
        <v>20.900000000000002</v>
      </c>
      <c r="E1285">
        <v>0.99885999999999997</v>
      </c>
    </row>
    <row r="1286" spans="2:5" x14ac:dyDescent="0.45">
      <c r="B1286" t="s">
        <v>1417</v>
      </c>
      <c r="C1286">
        <v>2.2343455417638518</v>
      </c>
      <c r="D1286">
        <v>1.1000000000000001</v>
      </c>
      <c r="E1286">
        <v>0.99994000000000005</v>
      </c>
    </row>
    <row r="1287" spans="2:5" x14ac:dyDescent="0.45">
      <c r="B1287" t="s">
        <v>1418</v>
      </c>
      <c r="C1287">
        <v>4.4686910835277036</v>
      </c>
      <c r="D1287">
        <v>3.3000000000000003</v>
      </c>
      <c r="E1287">
        <v>0.99982000000000004</v>
      </c>
    </row>
    <row r="1288" spans="2:5" x14ac:dyDescent="0.45">
      <c r="B1288" t="s">
        <v>1419</v>
      </c>
      <c r="C1288">
        <v>4.4686910835277036</v>
      </c>
      <c r="D1288">
        <v>3.3000000000000003</v>
      </c>
      <c r="E1288">
        <v>0.99982000000000004</v>
      </c>
    </row>
    <row r="1289" spans="2:5" x14ac:dyDescent="0.45">
      <c r="B1289" t="s">
        <v>1420</v>
      </c>
      <c r="C1289">
        <v>4.4686910835277036</v>
      </c>
      <c r="D1289">
        <v>1.1000000000000001</v>
      </c>
      <c r="E1289">
        <v>0.99994000000000005</v>
      </c>
    </row>
    <row r="1290" spans="2:5" x14ac:dyDescent="0.45">
      <c r="B1290" t="s">
        <v>1421</v>
      </c>
      <c r="C1290">
        <v>2.2343455417638518</v>
      </c>
      <c r="D1290">
        <v>8.8000000000000007</v>
      </c>
      <c r="E1290">
        <v>0.99951999999999996</v>
      </c>
    </row>
    <row r="1291" spans="2:5" x14ac:dyDescent="0.45">
      <c r="B1291" t="s">
        <v>1422</v>
      </c>
      <c r="C1291">
        <v>0.49155601918804742</v>
      </c>
      <c r="D1291">
        <v>3.3000000000000003</v>
      </c>
      <c r="E1291">
        <v>0.99982000000000004</v>
      </c>
    </row>
    <row r="1292" spans="2:5" x14ac:dyDescent="0.45">
      <c r="B1292" t="s">
        <v>1423</v>
      </c>
      <c r="C1292">
        <v>4.4686910835277036</v>
      </c>
      <c r="D1292">
        <v>1.1000000000000001</v>
      </c>
      <c r="E1292">
        <v>0.99994000000000005</v>
      </c>
    </row>
    <row r="1293" spans="2:5" x14ac:dyDescent="0.45">
      <c r="B1293" t="s">
        <v>1424</v>
      </c>
      <c r="C1293">
        <v>2.2343455417638518</v>
      </c>
      <c r="D1293">
        <v>7.7000000000000011</v>
      </c>
      <c r="E1293">
        <v>0.99958000000000002</v>
      </c>
    </row>
    <row r="1294" spans="2:5" x14ac:dyDescent="0.45">
      <c r="B1294" t="s">
        <v>1425</v>
      </c>
      <c r="C1294">
        <v>2.2343455417638518</v>
      </c>
      <c r="D1294">
        <v>1.1000000000000001</v>
      </c>
      <c r="E1294">
        <v>0.99994000000000005</v>
      </c>
    </row>
    <row r="1295" spans="2:5" x14ac:dyDescent="0.45">
      <c r="B1295" t="s">
        <v>1426</v>
      </c>
      <c r="C1295">
        <v>2.2343455417638518</v>
      </c>
      <c r="D1295">
        <v>1.1000000000000001</v>
      </c>
      <c r="E1295">
        <v>0.99994000000000005</v>
      </c>
    </row>
    <row r="1296" spans="2:5" x14ac:dyDescent="0.45">
      <c r="B1296" t="s">
        <v>1427</v>
      </c>
      <c r="C1296">
        <v>6.7030366252915554</v>
      </c>
      <c r="D1296">
        <v>2.2000000000000002</v>
      </c>
      <c r="E1296">
        <v>0.99987999999999999</v>
      </c>
    </row>
    <row r="1297" spans="2:5" x14ac:dyDescent="0.45">
      <c r="B1297" t="s">
        <v>1428</v>
      </c>
      <c r="C1297">
        <v>4.4686910835277036</v>
      </c>
      <c r="D1297">
        <v>1.1000000000000001</v>
      </c>
      <c r="E1297">
        <v>0.99994000000000005</v>
      </c>
    </row>
    <row r="1298" spans="2:5" x14ac:dyDescent="0.45">
      <c r="B1298" t="s">
        <v>1429</v>
      </c>
      <c r="C1298">
        <v>4.4686910835277036</v>
      </c>
      <c r="D1298">
        <v>26.400000000000002</v>
      </c>
      <c r="E1298">
        <v>0.99856</v>
      </c>
    </row>
    <row r="1299" spans="2:5" x14ac:dyDescent="0.45">
      <c r="B1299" t="s">
        <v>1430</v>
      </c>
      <c r="C1299">
        <v>4.4686910835277036</v>
      </c>
      <c r="D1299">
        <v>1.1000000000000001</v>
      </c>
      <c r="E1299">
        <v>0.99994000000000005</v>
      </c>
    </row>
    <row r="1300" spans="2:5" x14ac:dyDescent="0.45">
      <c r="B1300" t="s">
        <v>1431</v>
      </c>
      <c r="C1300">
        <v>4.4686910835277036</v>
      </c>
      <c r="D1300">
        <v>2.2000000000000002</v>
      </c>
      <c r="E1300">
        <v>0.99987999999999999</v>
      </c>
    </row>
    <row r="1301" spans="2:5" x14ac:dyDescent="0.45">
      <c r="B1301" t="s">
        <v>1432</v>
      </c>
      <c r="C1301">
        <v>4.4686910835277036</v>
      </c>
      <c r="D1301">
        <v>5.5</v>
      </c>
      <c r="E1301">
        <v>0.99970000000000003</v>
      </c>
    </row>
    <row r="1302" spans="2:5" x14ac:dyDescent="0.45">
      <c r="B1302" t="s">
        <v>1433</v>
      </c>
      <c r="C1302">
        <v>2.2343455417638518</v>
      </c>
      <c r="D1302">
        <v>2.2000000000000002</v>
      </c>
      <c r="E1302">
        <v>0.99987999999999999</v>
      </c>
    </row>
    <row r="1303" spans="2:5" x14ac:dyDescent="0.45">
      <c r="B1303" t="s">
        <v>1434</v>
      </c>
      <c r="C1303">
        <v>4.4686910835277036</v>
      </c>
      <c r="D1303">
        <v>2.2000000000000002</v>
      </c>
      <c r="E1303">
        <v>0.99987999999999999</v>
      </c>
    </row>
    <row r="1304" spans="2:5" x14ac:dyDescent="0.45">
      <c r="B1304" t="s">
        <v>1435</v>
      </c>
      <c r="C1304">
        <v>2.2343455417638518</v>
      </c>
      <c r="D1304">
        <v>5.5</v>
      </c>
      <c r="E1304">
        <v>0.99970000000000003</v>
      </c>
    </row>
    <row r="1305" spans="2:5" x14ac:dyDescent="0.45">
      <c r="B1305" t="s">
        <v>1436</v>
      </c>
      <c r="C1305">
        <v>2.2343455417638518</v>
      </c>
      <c r="D1305">
        <v>3.3000000000000003</v>
      </c>
      <c r="E1305">
        <v>0.99982000000000004</v>
      </c>
    </row>
    <row r="1306" spans="2:5" x14ac:dyDescent="0.45">
      <c r="B1306" t="s">
        <v>1437</v>
      </c>
      <c r="C1306">
        <v>0.49155601918804742</v>
      </c>
      <c r="D1306">
        <v>62.7</v>
      </c>
      <c r="E1306">
        <v>0.99658000000000002</v>
      </c>
    </row>
    <row r="1307" spans="2:5" x14ac:dyDescent="0.45">
      <c r="B1307" t="s">
        <v>1438</v>
      </c>
      <c r="C1307">
        <v>0.49155601918804742</v>
      </c>
      <c r="D1307">
        <v>29.700000000000003</v>
      </c>
      <c r="E1307">
        <v>0.99838000000000005</v>
      </c>
    </row>
    <row r="1308" spans="2:5" x14ac:dyDescent="0.45">
      <c r="B1308" t="s">
        <v>1439</v>
      </c>
      <c r="C1308">
        <v>4.4686910835277036</v>
      </c>
      <c r="D1308">
        <v>6.6000000000000005</v>
      </c>
      <c r="E1308">
        <v>0.99963999999999997</v>
      </c>
    </row>
    <row r="1309" spans="2:5" x14ac:dyDescent="0.45">
      <c r="B1309" t="s">
        <v>1440</v>
      </c>
      <c r="C1309">
        <v>4.4686910835277036</v>
      </c>
      <c r="D1309">
        <v>1.1000000000000001</v>
      </c>
      <c r="E1309">
        <v>0.99994000000000005</v>
      </c>
    </row>
    <row r="1310" spans="2:5" x14ac:dyDescent="0.45">
      <c r="B1310" t="s">
        <v>1441</v>
      </c>
      <c r="C1310">
        <v>4.4686910835277036</v>
      </c>
      <c r="D1310">
        <v>4.4000000000000004</v>
      </c>
      <c r="E1310">
        <v>0.99975999999999998</v>
      </c>
    </row>
    <row r="1311" spans="2:5" x14ac:dyDescent="0.45">
      <c r="B1311" t="s">
        <v>1442</v>
      </c>
      <c r="C1311">
        <v>4.4686910835277036</v>
      </c>
      <c r="D1311">
        <v>1.1000000000000001</v>
      </c>
      <c r="E1311">
        <v>0.99994000000000005</v>
      </c>
    </row>
    <row r="1312" spans="2:5" x14ac:dyDescent="0.45">
      <c r="B1312" t="s">
        <v>1443</v>
      </c>
      <c r="C1312">
        <v>4.4686910835277036</v>
      </c>
      <c r="D1312">
        <v>2.2000000000000002</v>
      </c>
      <c r="E1312">
        <v>0.99987999999999999</v>
      </c>
    </row>
    <row r="1313" spans="2:5" x14ac:dyDescent="0.45">
      <c r="B1313" t="s">
        <v>1444</v>
      </c>
      <c r="C1313">
        <v>2.2343455417638518</v>
      </c>
      <c r="D1313">
        <v>7.7000000000000011</v>
      </c>
      <c r="E1313">
        <v>0.99958000000000002</v>
      </c>
    </row>
    <row r="1314" spans="2:5" x14ac:dyDescent="0.45">
      <c r="B1314" t="s">
        <v>1445</v>
      </c>
      <c r="C1314">
        <v>2.2343455417638518</v>
      </c>
      <c r="D1314">
        <v>15.400000000000002</v>
      </c>
      <c r="E1314">
        <v>0.99916000000000005</v>
      </c>
    </row>
    <row r="1315" spans="2:5" x14ac:dyDescent="0.45">
      <c r="B1315" t="s">
        <v>1446</v>
      </c>
      <c r="C1315">
        <v>2.2343455417638518</v>
      </c>
      <c r="D1315">
        <v>2.2000000000000002</v>
      </c>
      <c r="E1315">
        <v>0.99987999999999999</v>
      </c>
    </row>
    <row r="1316" spans="2:5" x14ac:dyDescent="0.45">
      <c r="B1316" t="s">
        <v>1447</v>
      </c>
      <c r="C1316">
        <v>2.2343455417638518</v>
      </c>
      <c r="D1316">
        <v>3.3000000000000003</v>
      </c>
      <c r="E1316">
        <v>0.99982000000000004</v>
      </c>
    </row>
    <row r="1317" spans="2:5" x14ac:dyDescent="0.45">
      <c r="B1317" t="s">
        <v>1448</v>
      </c>
      <c r="C1317">
        <v>2.2343455417638518</v>
      </c>
      <c r="D1317">
        <v>1.1000000000000001</v>
      </c>
      <c r="E1317">
        <v>0.99994000000000005</v>
      </c>
    </row>
    <row r="1318" spans="2:5" x14ac:dyDescent="0.45">
      <c r="B1318" t="s">
        <v>1449</v>
      </c>
      <c r="C1318">
        <v>4.4686910835277036</v>
      </c>
      <c r="D1318">
        <v>1.1000000000000001</v>
      </c>
      <c r="E1318">
        <v>0.99994000000000005</v>
      </c>
    </row>
    <row r="1319" spans="2:5" x14ac:dyDescent="0.45">
      <c r="B1319" t="s">
        <v>1450</v>
      </c>
      <c r="C1319">
        <v>2.2343455417638518</v>
      </c>
      <c r="D1319">
        <v>1.1000000000000001</v>
      </c>
      <c r="E1319">
        <v>0.99994000000000005</v>
      </c>
    </row>
    <row r="1320" spans="2:5" x14ac:dyDescent="0.45">
      <c r="B1320" t="s">
        <v>1451</v>
      </c>
      <c r="C1320">
        <v>2.2343455417638518</v>
      </c>
      <c r="D1320">
        <v>4.4000000000000004</v>
      </c>
      <c r="E1320">
        <v>0.99975999999999998</v>
      </c>
    </row>
    <row r="1321" spans="2:5" x14ac:dyDescent="0.45">
      <c r="B1321" t="s">
        <v>1452</v>
      </c>
      <c r="C1321">
        <v>4.4686910835277036</v>
      </c>
      <c r="D1321">
        <v>12.100000000000001</v>
      </c>
      <c r="E1321">
        <v>0.99934000000000001</v>
      </c>
    </row>
    <row r="1322" spans="2:5" x14ac:dyDescent="0.45">
      <c r="B1322" t="s">
        <v>1453</v>
      </c>
      <c r="C1322">
        <v>2.2343455417638518</v>
      </c>
      <c r="D1322">
        <v>4.4000000000000004</v>
      </c>
      <c r="E1322">
        <v>0.99975999999999998</v>
      </c>
    </row>
    <row r="1323" spans="2:5" x14ac:dyDescent="0.45">
      <c r="B1323" t="s">
        <v>1454</v>
      </c>
      <c r="C1323">
        <v>2.2343455417638518</v>
      </c>
      <c r="D1323">
        <v>2.2000000000000002</v>
      </c>
      <c r="E1323">
        <v>0.99987999999999999</v>
      </c>
    </row>
    <row r="1324" spans="2:5" x14ac:dyDescent="0.45">
      <c r="B1324" t="s">
        <v>1455</v>
      </c>
      <c r="C1324">
        <v>6.7030366252915554</v>
      </c>
      <c r="D1324">
        <v>1.1000000000000001</v>
      </c>
      <c r="E1324">
        <v>0.99994000000000005</v>
      </c>
    </row>
    <row r="1325" spans="2:5" x14ac:dyDescent="0.45">
      <c r="B1325" t="s">
        <v>1456</v>
      </c>
      <c r="C1325">
        <v>4.4686910835277036</v>
      </c>
      <c r="D1325">
        <v>12.100000000000001</v>
      </c>
      <c r="E1325">
        <v>0.99934000000000001</v>
      </c>
    </row>
    <row r="1326" spans="2:5" x14ac:dyDescent="0.45">
      <c r="B1326" t="s">
        <v>1457</v>
      </c>
      <c r="C1326">
        <v>4.4686910835277036</v>
      </c>
      <c r="D1326">
        <v>2.2000000000000002</v>
      </c>
      <c r="E1326">
        <v>0.99987999999999999</v>
      </c>
    </row>
    <row r="1327" spans="2:5" x14ac:dyDescent="0.45">
      <c r="B1327" t="s">
        <v>1458</v>
      </c>
      <c r="C1327">
        <v>4.4686910835277036</v>
      </c>
      <c r="D1327">
        <v>2.2000000000000002</v>
      </c>
      <c r="E1327">
        <v>0.99987999999999999</v>
      </c>
    </row>
    <row r="1328" spans="2:5" x14ac:dyDescent="0.45">
      <c r="B1328" t="s">
        <v>1459</v>
      </c>
      <c r="C1328">
        <v>2.2343455417638518</v>
      </c>
      <c r="D1328">
        <v>4.4000000000000004</v>
      </c>
      <c r="E1328">
        <v>0.99975999999999998</v>
      </c>
    </row>
    <row r="1329" spans="2:5" x14ac:dyDescent="0.45">
      <c r="B1329" t="s">
        <v>1460</v>
      </c>
      <c r="C1329">
        <v>2.2343455417638518</v>
      </c>
      <c r="D1329">
        <v>3.3000000000000003</v>
      </c>
      <c r="E1329">
        <v>0.99982000000000004</v>
      </c>
    </row>
    <row r="1330" spans="2:5" x14ac:dyDescent="0.45">
      <c r="B1330" t="s">
        <v>1461</v>
      </c>
      <c r="C1330">
        <v>6.7030366252915554</v>
      </c>
      <c r="D1330">
        <v>1.1000000000000001</v>
      </c>
      <c r="E1330">
        <v>0.99994000000000005</v>
      </c>
    </row>
    <row r="1331" spans="2:5" x14ac:dyDescent="0.45">
      <c r="B1331" t="s">
        <v>1462</v>
      </c>
      <c r="C1331">
        <v>2.2343455417638518</v>
      </c>
      <c r="D1331">
        <v>3.3000000000000003</v>
      </c>
      <c r="E1331">
        <v>0.99982000000000004</v>
      </c>
    </row>
    <row r="1332" spans="2:5" x14ac:dyDescent="0.45">
      <c r="B1332" t="s">
        <v>1463</v>
      </c>
      <c r="C1332">
        <v>6.7030366252915554</v>
      </c>
      <c r="D1332">
        <v>1.1000000000000001</v>
      </c>
      <c r="E1332">
        <v>0.99994000000000005</v>
      </c>
    </row>
    <row r="1333" spans="2:5" x14ac:dyDescent="0.45">
      <c r="B1333" t="s">
        <v>1464</v>
      </c>
      <c r="C1333">
        <v>2.2343455417638518</v>
      </c>
      <c r="D1333">
        <v>7.7000000000000011</v>
      </c>
      <c r="E1333">
        <v>0.99958000000000002</v>
      </c>
    </row>
    <row r="1334" spans="2:5" x14ac:dyDescent="0.45">
      <c r="B1334" t="s">
        <v>1465</v>
      </c>
      <c r="C1334">
        <v>4.4686910835277036</v>
      </c>
      <c r="D1334">
        <v>2.2000000000000002</v>
      </c>
      <c r="E1334">
        <v>0.99987999999999999</v>
      </c>
    </row>
    <row r="1335" spans="2:5" x14ac:dyDescent="0.45">
      <c r="B1335" t="s">
        <v>1466</v>
      </c>
      <c r="C1335">
        <v>2.2343455417638518</v>
      </c>
      <c r="D1335">
        <v>2.2000000000000002</v>
      </c>
      <c r="E1335">
        <v>0.99987999999999999</v>
      </c>
    </row>
    <row r="1336" spans="2:5" x14ac:dyDescent="0.45">
      <c r="B1336" t="s">
        <v>1467</v>
      </c>
      <c r="C1336">
        <v>2.2343455417638518</v>
      </c>
      <c r="D1336">
        <v>2.2000000000000002</v>
      </c>
      <c r="E1336">
        <v>0.99987999999999999</v>
      </c>
    </row>
    <row r="1337" spans="2:5" x14ac:dyDescent="0.45">
      <c r="B1337" t="s">
        <v>1468</v>
      </c>
      <c r="C1337">
        <v>2.2343455417638518</v>
      </c>
      <c r="D1337">
        <v>2.2000000000000002</v>
      </c>
      <c r="E1337">
        <v>0.99987999999999999</v>
      </c>
    </row>
    <row r="1338" spans="2:5" x14ac:dyDescent="0.45">
      <c r="B1338" t="s">
        <v>1469</v>
      </c>
      <c r="C1338">
        <v>2.2343455417638518</v>
      </c>
      <c r="D1338">
        <v>6.6000000000000005</v>
      </c>
      <c r="E1338">
        <v>0.99963999999999997</v>
      </c>
    </row>
    <row r="1339" spans="2:5" x14ac:dyDescent="0.45">
      <c r="B1339" t="s">
        <v>1470</v>
      </c>
      <c r="C1339">
        <v>4.4686910835277036</v>
      </c>
      <c r="D1339">
        <v>2.2000000000000002</v>
      </c>
      <c r="E1339">
        <v>0.99987999999999999</v>
      </c>
    </row>
    <row r="1340" spans="2:5" x14ac:dyDescent="0.45">
      <c r="B1340" t="s">
        <v>1471</v>
      </c>
      <c r="C1340">
        <v>6.7030366252915554</v>
      </c>
      <c r="D1340">
        <v>1.1000000000000001</v>
      </c>
      <c r="E1340">
        <v>0.99994000000000005</v>
      </c>
    </row>
    <row r="1341" spans="2:5" x14ac:dyDescent="0.45">
      <c r="B1341" t="s">
        <v>1472</v>
      </c>
      <c r="C1341">
        <v>2.2343455417638518</v>
      </c>
      <c r="D1341">
        <v>4.4000000000000004</v>
      </c>
      <c r="E1341">
        <v>0.99975999999999998</v>
      </c>
    </row>
    <row r="1342" spans="2:5" x14ac:dyDescent="0.45">
      <c r="B1342" t="s">
        <v>1473</v>
      </c>
      <c r="C1342">
        <v>2.2343455417638518</v>
      </c>
      <c r="D1342">
        <v>4.4000000000000004</v>
      </c>
      <c r="E1342">
        <v>0.99975999999999998</v>
      </c>
    </row>
    <row r="1343" spans="2:5" x14ac:dyDescent="0.45">
      <c r="B1343" t="s">
        <v>1474</v>
      </c>
      <c r="C1343">
        <v>0.98311203837609484</v>
      </c>
      <c r="D1343">
        <v>25.3</v>
      </c>
      <c r="E1343">
        <v>0.99861999999999995</v>
      </c>
    </row>
    <row r="1344" spans="2:5" x14ac:dyDescent="0.45">
      <c r="B1344" t="s">
        <v>1475</v>
      </c>
      <c r="C1344">
        <v>2.2343455417638518</v>
      </c>
      <c r="D1344">
        <v>4.4000000000000004</v>
      </c>
      <c r="E1344">
        <v>0.99975999999999998</v>
      </c>
    </row>
    <row r="1345" spans="2:5" x14ac:dyDescent="0.45">
      <c r="B1345" t="s">
        <v>1476</v>
      </c>
      <c r="C1345">
        <v>4.4686910835277036</v>
      </c>
      <c r="D1345">
        <v>3.3000000000000003</v>
      </c>
      <c r="E1345">
        <v>0.99982000000000004</v>
      </c>
    </row>
    <row r="1346" spans="2:5" x14ac:dyDescent="0.45">
      <c r="B1346" t="s">
        <v>1477</v>
      </c>
      <c r="C1346">
        <v>4.4686910835277036</v>
      </c>
      <c r="D1346">
        <v>31.900000000000002</v>
      </c>
      <c r="E1346">
        <v>0.99826000000000004</v>
      </c>
    </row>
    <row r="1347" spans="2:5" x14ac:dyDescent="0.45">
      <c r="B1347" t="s">
        <v>1478</v>
      </c>
      <c r="C1347">
        <v>2.2343455417638518</v>
      </c>
      <c r="D1347">
        <v>2.2000000000000002</v>
      </c>
      <c r="E1347">
        <v>0.99987999999999999</v>
      </c>
    </row>
    <row r="1348" spans="2:5" x14ac:dyDescent="0.45">
      <c r="B1348" t="s">
        <v>1479</v>
      </c>
      <c r="C1348">
        <v>4.4686910835277036</v>
      </c>
      <c r="D1348">
        <v>1.1000000000000001</v>
      </c>
      <c r="E1348">
        <v>0.99994000000000005</v>
      </c>
    </row>
    <row r="1349" spans="2:5" x14ac:dyDescent="0.45">
      <c r="B1349" t="s">
        <v>1480</v>
      </c>
      <c r="C1349">
        <v>4.4686910835277036</v>
      </c>
      <c r="D1349">
        <v>18.700000000000003</v>
      </c>
      <c r="E1349">
        <v>0.99897999999999998</v>
      </c>
    </row>
    <row r="1350" spans="2:5" x14ac:dyDescent="0.45">
      <c r="B1350" t="s">
        <v>1481</v>
      </c>
      <c r="C1350">
        <v>4.4686910835277036</v>
      </c>
      <c r="D1350">
        <v>5.5</v>
      </c>
      <c r="E1350">
        <v>0.99970000000000003</v>
      </c>
    </row>
    <row r="1351" spans="2:5" x14ac:dyDescent="0.45">
      <c r="B1351" t="s">
        <v>1482</v>
      </c>
      <c r="C1351">
        <v>4.4686910835277036</v>
      </c>
      <c r="D1351">
        <v>1.1000000000000001</v>
      </c>
      <c r="E1351">
        <v>0.99994000000000005</v>
      </c>
    </row>
    <row r="1352" spans="2:5" x14ac:dyDescent="0.45">
      <c r="B1352" t="s">
        <v>1483</v>
      </c>
      <c r="C1352">
        <v>2.2343455417638518</v>
      </c>
      <c r="D1352">
        <v>3.3000000000000003</v>
      </c>
      <c r="E1352">
        <v>0.99982000000000004</v>
      </c>
    </row>
    <row r="1353" spans="2:5" x14ac:dyDescent="0.45">
      <c r="B1353" t="s">
        <v>1484</v>
      </c>
      <c r="C1353">
        <v>4.4686910835277036</v>
      </c>
      <c r="D1353">
        <v>1.1000000000000001</v>
      </c>
      <c r="E1353">
        <v>0.99994000000000005</v>
      </c>
    </row>
    <row r="1354" spans="2:5" x14ac:dyDescent="0.45">
      <c r="B1354" t="s">
        <v>1485</v>
      </c>
      <c r="C1354">
        <v>0.98311203837609484</v>
      </c>
      <c r="D1354">
        <v>7.7000000000000011</v>
      </c>
      <c r="E1354">
        <v>0.99958000000000002</v>
      </c>
    </row>
    <row r="1355" spans="2:5" x14ac:dyDescent="0.45">
      <c r="B1355" t="s">
        <v>1486</v>
      </c>
      <c r="C1355">
        <v>2.2343455417638518</v>
      </c>
      <c r="D1355">
        <v>1.1000000000000001</v>
      </c>
      <c r="E1355">
        <v>0.99994000000000005</v>
      </c>
    </row>
    <row r="1356" spans="2:5" x14ac:dyDescent="0.45">
      <c r="B1356" t="s">
        <v>1487</v>
      </c>
      <c r="C1356">
        <v>2.2343455417638518</v>
      </c>
      <c r="D1356">
        <v>6.6000000000000005</v>
      </c>
      <c r="E1356">
        <v>0.99963999999999997</v>
      </c>
    </row>
    <row r="1357" spans="2:5" x14ac:dyDescent="0.45">
      <c r="B1357" t="s">
        <v>1488</v>
      </c>
      <c r="C1357">
        <v>2.2343455417638518</v>
      </c>
      <c r="D1357">
        <v>9.9</v>
      </c>
      <c r="E1357">
        <v>0.99946000000000002</v>
      </c>
    </row>
    <row r="1358" spans="2:5" x14ac:dyDescent="0.45">
      <c r="B1358" t="s">
        <v>1489</v>
      </c>
      <c r="C1358">
        <v>0.98311203837609484</v>
      </c>
      <c r="D1358">
        <v>24.200000000000003</v>
      </c>
      <c r="E1358">
        <v>0.99868000000000001</v>
      </c>
    </row>
    <row r="1359" spans="2:5" x14ac:dyDescent="0.45">
      <c r="B1359" t="s">
        <v>1490</v>
      </c>
      <c r="C1359">
        <v>0.98311203837609484</v>
      </c>
      <c r="D1359">
        <v>5.5</v>
      </c>
      <c r="E1359">
        <v>0.99970000000000003</v>
      </c>
    </row>
    <row r="1360" spans="2:5" x14ac:dyDescent="0.45">
      <c r="B1360" t="s">
        <v>1491</v>
      </c>
      <c r="C1360">
        <v>2.2343455417638518</v>
      </c>
      <c r="D1360">
        <v>7.7000000000000011</v>
      </c>
      <c r="E1360">
        <v>0.99958000000000002</v>
      </c>
    </row>
    <row r="1361" spans="2:5" x14ac:dyDescent="0.45">
      <c r="B1361" t="s">
        <v>1492</v>
      </c>
      <c r="C1361">
        <v>0.98311203837609484</v>
      </c>
      <c r="D1361">
        <v>3.3000000000000003</v>
      </c>
      <c r="E1361">
        <v>0.99982000000000004</v>
      </c>
    </row>
    <row r="1362" spans="2:5" x14ac:dyDescent="0.45">
      <c r="B1362" t="s">
        <v>1493</v>
      </c>
      <c r="C1362">
        <v>2.2343455417638518</v>
      </c>
      <c r="D1362">
        <v>7.7000000000000011</v>
      </c>
      <c r="E1362">
        <v>0.99958000000000002</v>
      </c>
    </row>
    <row r="1363" spans="2:5" x14ac:dyDescent="0.45">
      <c r="B1363" t="s">
        <v>1494</v>
      </c>
      <c r="C1363">
        <v>2.2343455417638518</v>
      </c>
      <c r="D1363">
        <v>9.9</v>
      </c>
      <c r="E1363">
        <v>0.99946000000000002</v>
      </c>
    </row>
    <row r="1364" spans="2:5" x14ac:dyDescent="0.45">
      <c r="B1364" t="s">
        <v>1495</v>
      </c>
      <c r="C1364">
        <v>6.7030366252915554</v>
      </c>
      <c r="D1364">
        <v>1.1000000000000001</v>
      </c>
      <c r="E1364">
        <v>0.99994000000000005</v>
      </c>
    </row>
    <row r="1365" spans="2:5" x14ac:dyDescent="0.45">
      <c r="B1365" t="s">
        <v>1496</v>
      </c>
      <c r="C1365">
        <v>0.98311203837609484</v>
      </c>
      <c r="D1365">
        <v>12.100000000000001</v>
      </c>
      <c r="E1365">
        <v>0.99934000000000001</v>
      </c>
    </row>
    <row r="1366" spans="2:5" x14ac:dyDescent="0.45">
      <c r="B1366" t="s">
        <v>1497</v>
      </c>
      <c r="C1366">
        <v>4.4686910835277036</v>
      </c>
      <c r="D1366">
        <v>3.3000000000000003</v>
      </c>
      <c r="E1366">
        <v>0.99982000000000004</v>
      </c>
    </row>
    <row r="1367" spans="2:5" x14ac:dyDescent="0.45">
      <c r="B1367" t="s">
        <v>1498</v>
      </c>
      <c r="C1367">
        <v>2.2343455417638518</v>
      </c>
      <c r="D1367">
        <v>4.4000000000000004</v>
      </c>
      <c r="E1367">
        <v>0.99975999999999998</v>
      </c>
    </row>
    <row r="1368" spans="2:5" x14ac:dyDescent="0.45">
      <c r="B1368" t="s">
        <v>1499</v>
      </c>
      <c r="C1368">
        <v>2.2343455417638518</v>
      </c>
      <c r="D1368">
        <v>3.3000000000000003</v>
      </c>
      <c r="E1368">
        <v>0.99982000000000004</v>
      </c>
    </row>
    <row r="1369" spans="2:5" x14ac:dyDescent="0.45">
      <c r="B1369" t="s">
        <v>1500</v>
      </c>
      <c r="C1369">
        <v>2.2343455417638518</v>
      </c>
      <c r="D1369">
        <v>1.1000000000000001</v>
      </c>
      <c r="E1369">
        <v>0.99994000000000005</v>
      </c>
    </row>
    <row r="1370" spans="2:5" x14ac:dyDescent="0.45">
      <c r="B1370" t="s">
        <v>1501</v>
      </c>
      <c r="C1370">
        <v>4.4686910835277036</v>
      </c>
      <c r="D1370">
        <v>1.1000000000000001</v>
      </c>
      <c r="E1370">
        <v>0.99994000000000005</v>
      </c>
    </row>
    <row r="1371" spans="2:5" x14ac:dyDescent="0.45">
      <c r="B1371" t="s">
        <v>1502</v>
      </c>
      <c r="C1371">
        <v>0.98311203837609484</v>
      </c>
      <c r="D1371">
        <v>11</v>
      </c>
      <c r="E1371">
        <v>0.99939999999999996</v>
      </c>
    </row>
    <row r="1372" spans="2:5" x14ac:dyDescent="0.45">
      <c r="B1372" t="s">
        <v>1503</v>
      </c>
      <c r="C1372">
        <v>4.4686910835277036</v>
      </c>
      <c r="D1372">
        <v>1.1000000000000001</v>
      </c>
      <c r="E1372">
        <v>0.99994000000000005</v>
      </c>
    </row>
    <row r="1373" spans="2:5" x14ac:dyDescent="0.45">
      <c r="B1373" t="s">
        <v>1504</v>
      </c>
      <c r="C1373">
        <v>4.4686910835277036</v>
      </c>
      <c r="D1373">
        <v>12.100000000000001</v>
      </c>
      <c r="E1373">
        <v>0.99934000000000001</v>
      </c>
    </row>
    <row r="1374" spans="2:5" x14ac:dyDescent="0.45">
      <c r="B1374" t="s">
        <v>1505</v>
      </c>
      <c r="C1374">
        <v>4.4686910835277036</v>
      </c>
      <c r="D1374">
        <v>1.1000000000000001</v>
      </c>
      <c r="E1374">
        <v>0.99994000000000005</v>
      </c>
    </row>
    <row r="1375" spans="2:5" x14ac:dyDescent="0.45">
      <c r="B1375" t="s">
        <v>1506</v>
      </c>
      <c r="C1375">
        <v>2.2343455417638518</v>
      </c>
      <c r="D1375">
        <v>7.7000000000000011</v>
      </c>
      <c r="E1375">
        <v>0.99958000000000002</v>
      </c>
    </row>
    <row r="1376" spans="2:5" x14ac:dyDescent="0.45">
      <c r="B1376" t="s">
        <v>1507</v>
      </c>
      <c r="C1376">
        <v>4.4686910835277036</v>
      </c>
      <c r="D1376">
        <v>8.8000000000000007</v>
      </c>
      <c r="E1376">
        <v>0.99951999999999996</v>
      </c>
    </row>
    <row r="1377" spans="2:5" x14ac:dyDescent="0.45">
      <c r="B1377" t="s">
        <v>1508</v>
      </c>
      <c r="C1377">
        <v>2.2343455417638518</v>
      </c>
      <c r="D1377">
        <v>11</v>
      </c>
      <c r="E1377">
        <v>0.99939999999999996</v>
      </c>
    </row>
    <row r="1378" spans="2:5" x14ac:dyDescent="0.45">
      <c r="B1378" t="s">
        <v>1509</v>
      </c>
      <c r="C1378">
        <v>2.2343455417638518</v>
      </c>
      <c r="D1378">
        <v>1.1000000000000001</v>
      </c>
      <c r="E1378">
        <v>0.99994000000000005</v>
      </c>
    </row>
    <row r="1379" spans="2:5" x14ac:dyDescent="0.45">
      <c r="B1379" t="s">
        <v>1510</v>
      </c>
      <c r="C1379">
        <v>0.49155601918804742</v>
      </c>
      <c r="D1379">
        <v>6.6000000000000005</v>
      </c>
      <c r="E1379">
        <v>0.99963999999999997</v>
      </c>
    </row>
    <row r="1380" spans="2:5" x14ac:dyDescent="0.45">
      <c r="B1380" t="s">
        <v>1511</v>
      </c>
      <c r="C1380">
        <v>4.4686910835277036</v>
      </c>
      <c r="D1380">
        <v>1.1000000000000001</v>
      </c>
      <c r="E1380">
        <v>0.99994000000000005</v>
      </c>
    </row>
    <row r="1381" spans="2:5" x14ac:dyDescent="0.45">
      <c r="B1381" t="s">
        <v>1512</v>
      </c>
      <c r="C1381">
        <v>4.4686910835277036</v>
      </c>
      <c r="D1381">
        <v>3.3000000000000003</v>
      </c>
      <c r="E1381">
        <v>0.99982000000000004</v>
      </c>
    </row>
    <row r="1382" spans="2:5" x14ac:dyDescent="0.45">
      <c r="B1382" t="s">
        <v>1513</v>
      </c>
      <c r="C1382">
        <v>0.98311203837609484</v>
      </c>
      <c r="D1382">
        <v>9.9</v>
      </c>
      <c r="E1382">
        <v>0.99946000000000002</v>
      </c>
    </row>
    <row r="1383" spans="2:5" x14ac:dyDescent="0.45">
      <c r="B1383" t="s">
        <v>1514</v>
      </c>
      <c r="C1383">
        <v>2.2343455417638518</v>
      </c>
      <c r="D1383">
        <v>8.8000000000000007</v>
      </c>
      <c r="E1383">
        <v>0.99951999999999996</v>
      </c>
    </row>
    <row r="1384" spans="2:5" x14ac:dyDescent="0.45">
      <c r="B1384" t="s">
        <v>1515</v>
      </c>
      <c r="C1384">
        <v>0.98311203837609484</v>
      </c>
      <c r="D1384">
        <v>5.5</v>
      </c>
      <c r="E1384">
        <v>0.99970000000000003</v>
      </c>
    </row>
    <row r="1385" spans="2:5" x14ac:dyDescent="0.45">
      <c r="B1385" t="s">
        <v>1516</v>
      </c>
      <c r="C1385">
        <v>0.49155601918804742</v>
      </c>
      <c r="D1385">
        <v>6.6000000000000005</v>
      </c>
      <c r="E1385">
        <v>0.99963999999999997</v>
      </c>
    </row>
    <row r="1386" spans="2:5" x14ac:dyDescent="0.45">
      <c r="B1386" t="s">
        <v>1517</v>
      </c>
      <c r="C1386">
        <v>4.4686910835277036</v>
      </c>
      <c r="D1386">
        <v>5.5</v>
      </c>
      <c r="E1386">
        <v>0.99970000000000003</v>
      </c>
    </row>
    <row r="1387" spans="2:5" x14ac:dyDescent="0.45">
      <c r="B1387" t="s">
        <v>1518</v>
      </c>
      <c r="C1387">
        <v>2.2343455417638518</v>
      </c>
      <c r="D1387">
        <v>6.6000000000000005</v>
      </c>
      <c r="E1387">
        <v>0.99963999999999997</v>
      </c>
    </row>
    <row r="1388" spans="2:5" x14ac:dyDescent="0.45">
      <c r="B1388" t="s">
        <v>1519</v>
      </c>
      <c r="C1388">
        <v>4.4686910835277036</v>
      </c>
      <c r="D1388">
        <v>14.3</v>
      </c>
      <c r="E1388">
        <v>0.99922</v>
      </c>
    </row>
    <row r="1389" spans="2:5" x14ac:dyDescent="0.45">
      <c r="B1389" t="s">
        <v>1520</v>
      </c>
      <c r="C1389">
        <v>4.4686910835277036</v>
      </c>
      <c r="D1389">
        <v>1.1000000000000001</v>
      </c>
      <c r="E1389">
        <v>0.99994000000000005</v>
      </c>
    </row>
    <row r="1390" spans="2:5" x14ac:dyDescent="0.45">
      <c r="B1390" t="s">
        <v>1521</v>
      </c>
      <c r="C1390">
        <v>4.4686910835277036</v>
      </c>
      <c r="D1390">
        <v>3.3000000000000003</v>
      </c>
      <c r="E1390">
        <v>0.99982000000000004</v>
      </c>
    </row>
    <row r="1391" spans="2:5" x14ac:dyDescent="0.45">
      <c r="B1391" t="s">
        <v>1522</v>
      </c>
      <c r="C1391">
        <v>0.49155601918804742</v>
      </c>
      <c r="D1391">
        <v>6.6000000000000005</v>
      </c>
      <c r="E1391">
        <v>0.99963999999999997</v>
      </c>
    </row>
    <row r="1392" spans="2:5" x14ac:dyDescent="0.45">
      <c r="B1392" t="s">
        <v>1523</v>
      </c>
      <c r="C1392">
        <v>4.4686910835277036</v>
      </c>
      <c r="D1392">
        <v>11</v>
      </c>
      <c r="E1392">
        <v>0.99939999999999996</v>
      </c>
    </row>
    <row r="1393" spans="2:5" x14ac:dyDescent="0.45">
      <c r="B1393" t="s">
        <v>1524</v>
      </c>
      <c r="C1393">
        <v>0.98311203837609484</v>
      </c>
      <c r="D1393">
        <v>7.7000000000000011</v>
      </c>
      <c r="E1393">
        <v>0.99958000000000002</v>
      </c>
    </row>
    <row r="1394" spans="2:5" x14ac:dyDescent="0.45">
      <c r="B1394" t="s">
        <v>1525</v>
      </c>
      <c r="C1394">
        <v>1.9662240767521897</v>
      </c>
      <c r="D1394">
        <v>2.2000000000000002</v>
      </c>
      <c r="E1394">
        <v>0.99987999999999999</v>
      </c>
    </row>
    <row r="1395" spans="2:5" x14ac:dyDescent="0.45">
      <c r="B1395" t="s">
        <v>1526</v>
      </c>
      <c r="C1395">
        <v>4.4686910835277036</v>
      </c>
      <c r="D1395">
        <v>2.2000000000000002</v>
      </c>
      <c r="E1395">
        <v>0.99987999999999999</v>
      </c>
    </row>
    <row r="1396" spans="2:5" x14ac:dyDescent="0.45">
      <c r="B1396" t="s">
        <v>1527</v>
      </c>
      <c r="C1396">
        <v>4.4686910835277036</v>
      </c>
      <c r="D1396">
        <v>1.1000000000000001</v>
      </c>
      <c r="E1396">
        <v>0.99994000000000005</v>
      </c>
    </row>
    <row r="1397" spans="2:5" x14ac:dyDescent="0.45">
      <c r="B1397" t="s">
        <v>1528</v>
      </c>
      <c r="C1397">
        <v>2.2343455417638518</v>
      </c>
      <c r="D1397">
        <v>9.9</v>
      </c>
      <c r="E1397">
        <v>0.99946000000000002</v>
      </c>
    </row>
    <row r="1398" spans="2:5" x14ac:dyDescent="0.45">
      <c r="B1398" t="s">
        <v>1529</v>
      </c>
      <c r="C1398">
        <v>2.2343455417638518</v>
      </c>
      <c r="D1398">
        <v>14.3</v>
      </c>
      <c r="E1398">
        <v>0.99922</v>
      </c>
    </row>
    <row r="1399" spans="2:5" x14ac:dyDescent="0.45">
      <c r="B1399" t="s">
        <v>1530</v>
      </c>
      <c r="C1399">
        <v>4.4686910835277036</v>
      </c>
      <c r="D1399">
        <v>6.6000000000000005</v>
      </c>
      <c r="E1399">
        <v>0.99963999999999997</v>
      </c>
    </row>
    <row r="1400" spans="2:5" x14ac:dyDescent="0.45">
      <c r="B1400" t="s">
        <v>1531</v>
      </c>
      <c r="C1400">
        <v>2.2343455417638518</v>
      </c>
      <c r="D1400">
        <v>6.6000000000000005</v>
      </c>
      <c r="E1400">
        <v>0.99963999999999997</v>
      </c>
    </row>
    <row r="1401" spans="2:5" x14ac:dyDescent="0.45">
      <c r="B1401" t="s">
        <v>1532</v>
      </c>
      <c r="C1401">
        <v>6.7030366252915554</v>
      </c>
      <c r="D1401">
        <v>3.3000000000000003</v>
      </c>
      <c r="E1401">
        <v>0.99982000000000004</v>
      </c>
    </row>
    <row r="1402" spans="2:5" x14ac:dyDescent="0.45">
      <c r="B1402" t="s">
        <v>1533</v>
      </c>
      <c r="C1402">
        <v>2.2343455417638518</v>
      </c>
      <c r="D1402">
        <v>4.4000000000000004</v>
      </c>
      <c r="E1402">
        <v>0.99975999999999998</v>
      </c>
    </row>
    <row r="1403" spans="2:5" x14ac:dyDescent="0.45">
      <c r="B1403" t="s">
        <v>1534</v>
      </c>
      <c r="C1403">
        <v>4.4686910835277036</v>
      </c>
      <c r="D1403">
        <v>3.3000000000000003</v>
      </c>
      <c r="E1403">
        <v>0.99982000000000004</v>
      </c>
    </row>
    <row r="1404" spans="2:5" x14ac:dyDescent="0.45">
      <c r="B1404" t="s">
        <v>1535</v>
      </c>
      <c r="C1404">
        <v>2.2343455417638518</v>
      </c>
      <c r="D1404">
        <v>3.3000000000000003</v>
      </c>
      <c r="E1404">
        <v>0.99982000000000004</v>
      </c>
    </row>
    <row r="1405" spans="2:5" x14ac:dyDescent="0.45">
      <c r="B1405" t="s">
        <v>1536</v>
      </c>
      <c r="C1405">
        <v>2.2343455417638518</v>
      </c>
      <c r="D1405">
        <v>4.4000000000000004</v>
      </c>
      <c r="E1405">
        <v>0.99975999999999998</v>
      </c>
    </row>
    <row r="1406" spans="2:5" x14ac:dyDescent="0.45">
      <c r="B1406" t="s">
        <v>1537</v>
      </c>
      <c r="C1406">
        <v>4.4686910835277036</v>
      </c>
      <c r="D1406">
        <v>2.2000000000000002</v>
      </c>
      <c r="E1406">
        <v>0.99987999999999999</v>
      </c>
    </row>
    <row r="1407" spans="2:5" x14ac:dyDescent="0.45">
      <c r="B1407" t="s">
        <v>1538</v>
      </c>
      <c r="C1407">
        <v>4.4686910835277036</v>
      </c>
      <c r="D1407">
        <v>4.4000000000000004</v>
      </c>
      <c r="E1407">
        <v>0.99975999999999998</v>
      </c>
    </row>
    <row r="1408" spans="2:5" x14ac:dyDescent="0.45">
      <c r="B1408" t="s">
        <v>1539</v>
      </c>
      <c r="C1408">
        <v>2.2343455417638518</v>
      </c>
      <c r="D1408">
        <v>3.3000000000000003</v>
      </c>
      <c r="E1408">
        <v>0.99982000000000004</v>
      </c>
    </row>
    <row r="1409" spans="2:5" x14ac:dyDescent="0.45">
      <c r="B1409" t="s">
        <v>1540</v>
      </c>
      <c r="C1409">
        <v>2.2343455417638518</v>
      </c>
      <c r="D1409">
        <v>1.1000000000000001</v>
      </c>
      <c r="E1409">
        <v>0.99994000000000005</v>
      </c>
    </row>
    <row r="1410" spans="2:5" x14ac:dyDescent="0.45">
      <c r="B1410" t="s">
        <v>1541</v>
      </c>
      <c r="C1410">
        <v>2.2343455417638518</v>
      </c>
      <c r="D1410">
        <v>12.100000000000001</v>
      </c>
      <c r="E1410">
        <v>0.99934000000000001</v>
      </c>
    </row>
    <row r="1411" spans="2:5" x14ac:dyDescent="0.45">
      <c r="B1411" t="s">
        <v>1542</v>
      </c>
      <c r="C1411">
        <v>4.4686910835277036</v>
      </c>
      <c r="D1411">
        <v>4.4000000000000004</v>
      </c>
      <c r="E1411">
        <v>0.99975999999999998</v>
      </c>
    </row>
    <row r="1412" spans="2:5" x14ac:dyDescent="0.45">
      <c r="B1412" t="s">
        <v>1543</v>
      </c>
      <c r="C1412">
        <v>4.4686910835277036</v>
      </c>
      <c r="D1412">
        <v>1.1000000000000001</v>
      </c>
      <c r="E1412">
        <v>0.99994000000000005</v>
      </c>
    </row>
    <row r="1413" spans="2:5" x14ac:dyDescent="0.45">
      <c r="B1413" t="s">
        <v>1544</v>
      </c>
      <c r="C1413">
        <v>0.49155601918804742</v>
      </c>
      <c r="D1413">
        <v>12.100000000000001</v>
      </c>
      <c r="E1413">
        <v>0.99934000000000001</v>
      </c>
    </row>
    <row r="1414" spans="2:5" x14ac:dyDescent="0.45">
      <c r="B1414" t="s">
        <v>1545</v>
      </c>
      <c r="C1414">
        <v>2.2343455417638518</v>
      </c>
      <c r="D1414">
        <v>3.3000000000000003</v>
      </c>
      <c r="E1414">
        <v>0.99982000000000004</v>
      </c>
    </row>
    <row r="1415" spans="2:5" x14ac:dyDescent="0.45">
      <c r="B1415" t="s">
        <v>1546</v>
      </c>
      <c r="C1415">
        <v>0.98311203837609484</v>
      </c>
      <c r="D1415">
        <v>16.5</v>
      </c>
      <c r="E1415">
        <v>0.99909999999999999</v>
      </c>
    </row>
    <row r="1416" spans="2:5" x14ac:dyDescent="0.45">
      <c r="B1416" t="s">
        <v>1547</v>
      </c>
      <c r="C1416">
        <v>0.98311203837609484</v>
      </c>
      <c r="D1416">
        <v>36.300000000000004</v>
      </c>
      <c r="E1416">
        <v>0.99802000000000002</v>
      </c>
    </row>
    <row r="1417" spans="2:5" x14ac:dyDescent="0.45">
      <c r="B1417" t="s">
        <v>1548</v>
      </c>
      <c r="C1417">
        <v>0.98311203837609484</v>
      </c>
      <c r="D1417">
        <v>7.7000000000000011</v>
      </c>
      <c r="E1417">
        <v>0.99958000000000002</v>
      </c>
    </row>
    <row r="1418" spans="2:5" x14ac:dyDescent="0.45">
      <c r="B1418" t="s">
        <v>1549</v>
      </c>
      <c r="C1418">
        <v>0.98311203837609484</v>
      </c>
      <c r="D1418">
        <v>31.900000000000002</v>
      </c>
      <c r="E1418">
        <v>0.99826000000000004</v>
      </c>
    </row>
    <row r="1419" spans="2:5" x14ac:dyDescent="0.45">
      <c r="B1419" t="s">
        <v>1550</v>
      </c>
      <c r="C1419">
        <v>0.98311203837609484</v>
      </c>
      <c r="D1419">
        <v>45.1</v>
      </c>
      <c r="E1419">
        <v>0.99753999999999998</v>
      </c>
    </row>
    <row r="1420" spans="2:5" x14ac:dyDescent="0.45">
      <c r="B1420" t="s">
        <v>1551</v>
      </c>
      <c r="C1420">
        <v>1.9662240767521897</v>
      </c>
      <c r="D1420">
        <v>6.6000000000000005</v>
      </c>
      <c r="E1420">
        <v>0.99963999999999997</v>
      </c>
    </row>
    <row r="1421" spans="2:5" x14ac:dyDescent="0.45">
      <c r="B1421" t="s">
        <v>1552</v>
      </c>
      <c r="C1421">
        <v>2.2343455417638518</v>
      </c>
      <c r="D1421">
        <v>3.3000000000000003</v>
      </c>
      <c r="E1421">
        <v>0.99982000000000004</v>
      </c>
    </row>
    <row r="1422" spans="2:5" x14ac:dyDescent="0.45">
      <c r="B1422" t="s">
        <v>1553</v>
      </c>
      <c r="C1422">
        <v>2.2343455417638518</v>
      </c>
      <c r="D1422">
        <v>30.800000000000004</v>
      </c>
      <c r="E1422">
        <v>0.99831999999999999</v>
      </c>
    </row>
    <row r="1423" spans="2:5" x14ac:dyDescent="0.45">
      <c r="B1423" t="s">
        <v>1554</v>
      </c>
      <c r="C1423">
        <v>1.9662240767521897</v>
      </c>
      <c r="D1423">
        <v>14.3</v>
      </c>
      <c r="E1423">
        <v>0.99922</v>
      </c>
    </row>
    <row r="1424" spans="2:5" x14ac:dyDescent="0.45">
      <c r="B1424" t="s">
        <v>1555</v>
      </c>
      <c r="C1424">
        <v>0.98311203837609484</v>
      </c>
      <c r="D1424">
        <v>11</v>
      </c>
      <c r="E1424">
        <v>0.99939999999999996</v>
      </c>
    </row>
    <row r="1425" spans="2:5" x14ac:dyDescent="0.45">
      <c r="B1425" t="s">
        <v>1556</v>
      </c>
      <c r="C1425">
        <v>0.98311203837609484</v>
      </c>
      <c r="D1425">
        <v>14.3</v>
      </c>
      <c r="E1425">
        <v>0.99922</v>
      </c>
    </row>
    <row r="1426" spans="2:5" x14ac:dyDescent="0.45">
      <c r="B1426" t="s">
        <v>1557</v>
      </c>
      <c r="C1426">
        <v>0.98311203837609484</v>
      </c>
      <c r="D1426">
        <v>20.900000000000002</v>
      </c>
      <c r="E1426">
        <v>0.99885999999999997</v>
      </c>
    </row>
    <row r="1427" spans="2:5" x14ac:dyDescent="0.45">
      <c r="B1427" t="s">
        <v>1558</v>
      </c>
      <c r="C1427">
        <v>0.49155601918804742</v>
      </c>
      <c r="D1427">
        <v>5.5</v>
      </c>
      <c r="E1427">
        <v>0.99970000000000003</v>
      </c>
    </row>
    <row r="1428" spans="2:5" x14ac:dyDescent="0.45">
      <c r="B1428" t="s">
        <v>1559</v>
      </c>
      <c r="C1428">
        <v>0.49155601918804742</v>
      </c>
      <c r="D1428">
        <v>22</v>
      </c>
      <c r="E1428">
        <v>0.99880000000000002</v>
      </c>
    </row>
    <row r="1429" spans="2:5" x14ac:dyDescent="0.45">
      <c r="B1429" t="s">
        <v>1560</v>
      </c>
      <c r="C1429">
        <v>0.49155601918804742</v>
      </c>
      <c r="D1429">
        <v>3.3000000000000003</v>
      </c>
      <c r="E1429">
        <v>0.99982000000000004</v>
      </c>
    </row>
    <row r="1430" spans="2:5" x14ac:dyDescent="0.45">
      <c r="B1430" t="s">
        <v>1561</v>
      </c>
      <c r="C1430">
        <v>0.49155601918804742</v>
      </c>
      <c r="D1430">
        <v>49.500000000000007</v>
      </c>
      <c r="E1430">
        <v>0.99729999999999996</v>
      </c>
    </row>
    <row r="1431" spans="2:5" x14ac:dyDescent="0.45">
      <c r="B1431" t="s">
        <v>1562</v>
      </c>
      <c r="C1431">
        <v>0.98311203837609484</v>
      </c>
      <c r="D1431">
        <v>11</v>
      </c>
      <c r="E1431">
        <v>0.99939999999999996</v>
      </c>
    </row>
    <row r="1432" spans="2:5" x14ac:dyDescent="0.45">
      <c r="B1432" t="s">
        <v>1563</v>
      </c>
      <c r="C1432">
        <v>4.4686910835277036</v>
      </c>
      <c r="D1432">
        <v>4.4000000000000004</v>
      </c>
      <c r="E1432">
        <v>0.99975999999999998</v>
      </c>
    </row>
    <row r="1433" spans="2:5" x14ac:dyDescent="0.45">
      <c r="B1433" t="s">
        <v>1564</v>
      </c>
      <c r="C1433">
        <v>8.9373821670554072</v>
      </c>
      <c r="D1433">
        <v>3.3000000000000003</v>
      </c>
      <c r="E1433">
        <v>0.99982000000000004</v>
      </c>
    </row>
    <row r="1434" spans="2:5" x14ac:dyDescent="0.45">
      <c r="B1434" t="s">
        <v>1565</v>
      </c>
      <c r="C1434">
        <v>0.49155601918804742</v>
      </c>
      <c r="D1434">
        <v>45.1</v>
      </c>
      <c r="E1434">
        <v>0.99753999999999998</v>
      </c>
    </row>
    <row r="1435" spans="2:5" x14ac:dyDescent="0.45">
      <c r="B1435" t="s">
        <v>1566</v>
      </c>
      <c r="C1435">
        <v>0.49155601918804742</v>
      </c>
      <c r="D1435">
        <v>28.6</v>
      </c>
      <c r="E1435">
        <v>0.99843999999999999</v>
      </c>
    </row>
    <row r="1436" spans="2:5" x14ac:dyDescent="0.45">
      <c r="B1436" t="s">
        <v>1567</v>
      </c>
      <c r="C1436">
        <v>0.98311203837609484</v>
      </c>
      <c r="D1436">
        <v>91.300000000000011</v>
      </c>
      <c r="E1436">
        <v>0.99502000000000002</v>
      </c>
    </row>
    <row r="1437" spans="2:5" x14ac:dyDescent="0.45">
      <c r="B1437" t="s">
        <v>1568</v>
      </c>
      <c r="C1437">
        <v>0.98311203837609484</v>
      </c>
      <c r="D1437">
        <v>22</v>
      </c>
      <c r="E1437">
        <v>0.99880000000000002</v>
      </c>
    </row>
    <row r="1438" spans="2:5" x14ac:dyDescent="0.45">
      <c r="B1438" t="s">
        <v>1569</v>
      </c>
      <c r="C1438">
        <v>1.9662240767521897</v>
      </c>
      <c r="D1438">
        <v>14.3</v>
      </c>
      <c r="E1438">
        <v>0.99922</v>
      </c>
    </row>
    <row r="1439" spans="2:5" x14ac:dyDescent="0.45">
      <c r="B1439" t="s">
        <v>1570</v>
      </c>
      <c r="C1439">
        <v>0.98311203837609484</v>
      </c>
      <c r="D1439">
        <v>3.3000000000000003</v>
      </c>
      <c r="E1439">
        <v>0.99982000000000004</v>
      </c>
    </row>
    <row r="1440" spans="2:5" x14ac:dyDescent="0.45">
      <c r="B1440" t="s">
        <v>1571</v>
      </c>
      <c r="C1440">
        <v>0.98311203837609484</v>
      </c>
      <c r="D1440">
        <v>4.4000000000000004</v>
      </c>
      <c r="E1440">
        <v>0.99975999999999998</v>
      </c>
    </row>
    <row r="1441" spans="2:5" x14ac:dyDescent="0.45">
      <c r="B1441" t="s">
        <v>1572</v>
      </c>
      <c r="C1441">
        <v>4.4686910835277036</v>
      </c>
      <c r="D1441">
        <v>12.100000000000001</v>
      </c>
      <c r="E1441">
        <v>0.99934000000000001</v>
      </c>
    </row>
    <row r="1442" spans="2:5" x14ac:dyDescent="0.45">
      <c r="B1442" t="s">
        <v>1573</v>
      </c>
      <c r="C1442">
        <v>4.4686910835277036</v>
      </c>
      <c r="D1442">
        <v>7.7000000000000011</v>
      </c>
      <c r="E1442">
        <v>0.99958000000000002</v>
      </c>
    </row>
    <row r="1443" spans="2:5" x14ac:dyDescent="0.45">
      <c r="B1443" t="s">
        <v>1574</v>
      </c>
      <c r="C1443">
        <v>0.98311203837609484</v>
      </c>
      <c r="D1443">
        <v>14.3</v>
      </c>
      <c r="E1443">
        <v>0.99922</v>
      </c>
    </row>
    <row r="1444" spans="2:5" x14ac:dyDescent="0.45">
      <c r="B1444" t="s">
        <v>1575</v>
      </c>
      <c r="C1444">
        <v>1.9662240767521897</v>
      </c>
      <c r="D1444">
        <v>7.7000000000000011</v>
      </c>
      <c r="E1444">
        <v>0.99958000000000002</v>
      </c>
    </row>
    <row r="1445" spans="2:5" x14ac:dyDescent="0.45">
      <c r="B1445" t="s">
        <v>1576</v>
      </c>
      <c r="C1445">
        <v>8.9373821670554072</v>
      </c>
      <c r="D1445">
        <v>11</v>
      </c>
      <c r="E1445">
        <v>0.99939999999999996</v>
      </c>
    </row>
    <row r="1446" spans="2:5" x14ac:dyDescent="0.45">
      <c r="B1446" t="s">
        <v>1577</v>
      </c>
      <c r="C1446">
        <v>0.98311203837609484</v>
      </c>
      <c r="D1446">
        <v>71.5</v>
      </c>
      <c r="E1446">
        <v>0.99609999999999999</v>
      </c>
    </row>
    <row r="1447" spans="2:5" x14ac:dyDescent="0.45">
      <c r="B1447" t="s">
        <v>1578</v>
      </c>
      <c r="C1447">
        <v>0.49155601918804742</v>
      </c>
      <c r="D1447">
        <v>33</v>
      </c>
      <c r="E1447">
        <v>0.99819999999999998</v>
      </c>
    </row>
    <row r="1448" spans="2:5" x14ac:dyDescent="0.45">
      <c r="B1448" t="s">
        <v>1579</v>
      </c>
      <c r="C1448">
        <v>0.49155601918804742</v>
      </c>
      <c r="D1448">
        <v>63.800000000000004</v>
      </c>
      <c r="E1448">
        <v>0.99651999999999996</v>
      </c>
    </row>
    <row r="1449" spans="2:5" x14ac:dyDescent="0.45">
      <c r="B1449" t="s">
        <v>1580</v>
      </c>
      <c r="C1449">
        <v>0.98311203837609484</v>
      </c>
      <c r="D1449">
        <v>80.300000000000011</v>
      </c>
      <c r="E1449">
        <v>0.99561999999999995</v>
      </c>
    </row>
    <row r="1450" spans="2:5" x14ac:dyDescent="0.45">
      <c r="B1450" t="s">
        <v>1581</v>
      </c>
      <c r="C1450">
        <v>0.98311203837609484</v>
      </c>
      <c r="D1450">
        <v>39.6</v>
      </c>
      <c r="E1450">
        <v>0.99783999999999995</v>
      </c>
    </row>
    <row r="1451" spans="2:5" x14ac:dyDescent="0.45">
      <c r="B1451" t="s">
        <v>1582</v>
      </c>
      <c r="C1451">
        <v>0.98311203837609484</v>
      </c>
      <c r="D1451">
        <v>22</v>
      </c>
      <c r="E1451">
        <v>0.99880000000000002</v>
      </c>
    </row>
    <row r="1452" spans="2:5" x14ac:dyDescent="0.45">
      <c r="B1452" t="s">
        <v>1583</v>
      </c>
      <c r="C1452">
        <v>0.98311203837609484</v>
      </c>
      <c r="D1452">
        <v>15.400000000000002</v>
      </c>
      <c r="E1452">
        <v>0.99916000000000005</v>
      </c>
    </row>
    <row r="1453" spans="2:5" x14ac:dyDescent="0.45">
      <c r="B1453" t="s">
        <v>1584</v>
      </c>
      <c r="C1453">
        <v>0.98311203837609484</v>
      </c>
      <c r="D1453">
        <v>12.100000000000001</v>
      </c>
      <c r="E1453">
        <v>0.99934000000000001</v>
      </c>
    </row>
    <row r="1454" spans="2:5" x14ac:dyDescent="0.45">
      <c r="B1454" t="s">
        <v>1585</v>
      </c>
      <c r="C1454">
        <v>0.98311203837609484</v>
      </c>
      <c r="D1454">
        <v>48.400000000000006</v>
      </c>
      <c r="E1454">
        <v>0.99736000000000002</v>
      </c>
    </row>
    <row r="1455" spans="2:5" x14ac:dyDescent="0.45">
      <c r="B1455" t="s">
        <v>1586</v>
      </c>
      <c r="C1455">
        <v>4.4686910835277036</v>
      </c>
      <c r="D1455">
        <v>56.1</v>
      </c>
      <c r="E1455">
        <v>0.99694000000000005</v>
      </c>
    </row>
    <row r="1456" spans="2:5" x14ac:dyDescent="0.45">
      <c r="B1456" t="s">
        <v>1587</v>
      </c>
      <c r="C1456">
        <v>4.4686910835277036</v>
      </c>
      <c r="D1456">
        <v>3.3000000000000003</v>
      </c>
      <c r="E1456">
        <v>0.99982000000000004</v>
      </c>
    </row>
    <row r="1457" spans="2:5" x14ac:dyDescent="0.45">
      <c r="B1457" t="s">
        <v>1588</v>
      </c>
      <c r="C1457">
        <v>0.98311203837609484</v>
      </c>
      <c r="D1457">
        <v>57.2</v>
      </c>
      <c r="E1457">
        <v>0.99687999999999999</v>
      </c>
    </row>
    <row r="1458" spans="2:5" x14ac:dyDescent="0.45">
      <c r="B1458" t="s">
        <v>1589</v>
      </c>
      <c r="C1458">
        <v>4.4686910835277036</v>
      </c>
      <c r="D1458">
        <v>3.3000000000000003</v>
      </c>
      <c r="E1458">
        <v>0.99982000000000004</v>
      </c>
    </row>
    <row r="1459" spans="2:5" x14ac:dyDescent="0.45">
      <c r="B1459" t="s">
        <v>1590</v>
      </c>
      <c r="C1459">
        <v>0.98311203837609484</v>
      </c>
      <c r="D1459">
        <v>9.9</v>
      </c>
      <c r="E1459">
        <v>0.99946000000000002</v>
      </c>
    </row>
    <row r="1460" spans="2:5" x14ac:dyDescent="0.45">
      <c r="B1460" t="s">
        <v>1591</v>
      </c>
      <c r="C1460">
        <v>0.98311203837609484</v>
      </c>
      <c r="D1460">
        <v>17.600000000000001</v>
      </c>
      <c r="E1460">
        <v>0.99904000000000004</v>
      </c>
    </row>
    <row r="1461" spans="2:5" x14ac:dyDescent="0.45">
      <c r="B1461" t="s">
        <v>1592</v>
      </c>
      <c r="C1461">
        <v>0.98311203837609484</v>
      </c>
      <c r="D1461">
        <v>20.900000000000002</v>
      </c>
      <c r="E1461">
        <v>0.99885999999999997</v>
      </c>
    </row>
    <row r="1462" spans="2:5" x14ac:dyDescent="0.45">
      <c r="B1462" t="s">
        <v>1593</v>
      </c>
      <c r="C1462">
        <v>4.4686910835277036</v>
      </c>
      <c r="D1462">
        <v>4.4000000000000004</v>
      </c>
      <c r="E1462">
        <v>0.99975999999999998</v>
      </c>
    </row>
    <row r="1463" spans="2:5" x14ac:dyDescent="0.45">
      <c r="B1463" t="s">
        <v>1594</v>
      </c>
      <c r="C1463">
        <v>0.98311203837609484</v>
      </c>
      <c r="D1463">
        <v>61.600000000000009</v>
      </c>
      <c r="E1463">
        <v>0.99663999999999997</v>
      </c>
    </row>
    <row r="1464" spans="2:5" x14ac:dyDescent="0.45">
      <c r="B1464" t="s">
        <v>1595</v>
      </c>
      <c r="C1464">
        <v>1.9662240767521897</v>
      </c>
      <c r="D1464">
        <v>11</v>
      </c>
      <c r="E1464">
        <v>0.99939999999999996</v>
      </c>
    </row>
    <row r="1465" spans="2:5" x14ac:dyDescent="0.45">
      <c r="B1465" t="s">
        <v>1596</v>
      </c>
      <c r="C1465">
        <v>0.49155601918804742</v>
      </c>
      <c r="D1465">
        <v>36.300000000000004</v>
      </c>
      <c r="E1465">
        <v>0.99802000000000002</v>
      </c>
    </row>
    <row r="1466" spans="2:5" x14ac:dyDescent="0.45">
      <c r="B1466" t="s">
        <v>1597</v>
      </c>
      <c r="C1466">
        <v>0.49155601918804742</v>
      </c>
      <c r="D1466">
        <v>15.400000000000002</v>
      </c>
      <c r="E1466">
        <v>0.99916000000000005</v>
      </c>
    </row>
    <row r="1467" spans="2:5" x14ac:dyDescent="0.45">
      <c r="B1467" t="s">
        <v>1598</v>
      </c>
      <c r="C1467">
        <v>0.98311203837609484</v>
      </c>
      <c r="D1467">
        <v>26.400000000000002</v>
      </c>
      <c r="E1467">
        <v>0.99856</v>
      </c>
    </row>
    <row r="1468" spans="2:5" x14ac:dyDescent="0.45">
      <c r="B1468" t="s">
        <v>1599</v>
      </c>
      <c r="C1468">
        <v>0.49155601918804742</v>
      </c>
      <c r="D1468">
        <v>19.8</v>
      </c>
      <c r="E1468">
        <v>0.99892000000000003</v>
      </c>
    </row>
    <row r="1469" spans="2:5" x14ac:dyDescent="0.45">
      <c r="B1469" t="s">
        <v>1600</v>
      </c>
      <c r="C1469">
        <v>0.98311203837609484</v>
      </c>
      <c r="D1469">
        <v>6.6000000000000005</v>
      </c>
      <c r="E1469">
        <v>0.99963999999999997</v>
      </c>
    </row>
    <row r="1470" spans="2:5" x14ac:dyDescent="0.45">
      <c r="B1470" t="s">
        <v>1601</v>
      </c>
      <c r="C1470">
        <v>0.98311203837609484</v>
      </c>
      <c r="D1470">
        <v>3.3000000000000003</v>
      </c>
      <c r="E1470">
        <v>0.99982000000000004</v>
      </c>
    </row>
    <row r="1471" spans="2:5" x14ac:dyDescent="0.45">
      <c r="B1471" t="s">
        <v>1602</v>
      </c>
      <c r="C1471">
        <v>0.98311203837609484</v>
      </c>
      <c r="D1471">
        <v>26.400000000000002</v>
      </c>
      <c r="E1471">
        <v>0.99856</v>
      </c>
    </row>
    <row r="1472" spans="2:5" x14ac:dyDescent="0.45">
      <c r="B1472" t="s">
        <v>1603</v>
      </c>
      <c r="C1472">
        <v>0.49155601918804742</v>
      </c>
      <c r="D1472">
        <v>24.200000000000003</v>
      </c>
      <c r="E1472">
        <v>0.99868000000000001</v>
      </c>
    </row>
    <row r="1473" spans="2:5" x14ac:dyDescent="0.45">
      <c r="B1473" t="s">
        <v>1604</v>
      </c>
      <c r="C1473">
        <v>0.49155601918804742</v>
      </c>
      <c r="D1473">
        <v>3.3000000000000003</v>
      </c>
      <c r="E1473">
        <v>0.99982000000000004</v>
      </c>
    </row>
    <row r="1474" spans="2:5" x14ac:dyDescent="0.45">
      <c r="B1474" t="s">
        <v>1605</v>
      </c>
      <c r="C1474">
        <v>0.49155601918804742</v>
      </c>
      <c r="D1474">
        <v>3.3000000000000003</v>
      </c>
      <c r="E1474">
        <v>0.99982000000000004</v>
      </c>
    </row>
    <row r="1475" spans="2:5" x14ac:dyDescent="0.45">
      <c r="B1475" t="s">
        <v>1606</v>
      </c>
      <c r="C1475">
        <v>0.98311203837609484</v>
      </c>
      <c r="D1475">
        <v>31.900000000000002</v>
      </c>
      <c r="E1475">
        <v>0.99826000000000004</v>
      </c>
    </row>
    <row r="1476" spans="2:5" x14ac:dyDescent="0.45">
      <c r="B1476" t="s">
        <v>1607</v>
      </c>
      <c r="C1476">
        <v>4.4686910835277036</v>
      </c>
      <c r="D1476">
        <v>4.4000000000000004</v>
      </c>
      <c r="E1476">
        <v>0.99975999999999998</v>
      </c>
    </row>
    <row r="1477" spans="2:5" x14ac:dyDescent="0.45">
      <c r="B1477" t="s">
        <v>1608</v>
      </c>
      <c r="C1477">
        <v>4.4686910835277036</v>
      </c>
      <c r="D1477">
        <v>7.7000000000000011</v>
      </c>
      <c r="E1477">
        <v>0.99958000000000002</v>
      </c>
    </row>
    <row r="1478" spans="2:5" x14ac:dyDescent="0.45">
      <c r="B1478" t="s">
        <v>1609</v>
      </c>
      <c r="C1478">
        <v>2.2343455417638518</v>
      </c>
      <c r="D1478">
        <v>26.400000000000002</v>
      </c>
      <c r="E1478">
        <v>0.99856</v>
      </c>
    </row>
    <row r="1479" spans="2:5" x14ac:dyDescent="0.45">
      <c r="B1479" t="s">
        <v>1610</v>
      </c>
      <c r="C1479">
        <v>2.2343455417638518</v>
      </c>
      <c r="D1479">
        <v>33</v>
      </c>
      <c r="E1479">
        <v>0.99819999999999998</v>
      </c>
    </row>
    <row r="1480" spans="2:5" x14ac:dyDescent="0.45">
      <c r="B1480" t="s">
        <v>1611</v>
      </c>
      <c r="C1480">
        <v>0.49155601918804742</v>
      </c>
      <c r="D1480">
        <v>3.3000000000000003</v>
      </c>
      <c r="E1480">
        <v>0.99982000000000004</v>
      </c>
    </row>
    <row r="1481" spans="2:5" x14ac:dyDescent="0.45">
      <c r="B1481" t="s">
        <v>1612</v>
      </c>
      <c r="C1481">
        <v>0.98311203837609484</v>
      </c>
      <c r="D1481">
        <v>31.900000000000002</v>
      </c>
      <c r="E1481">
        <v>0.99826000000000004</v>
      </c>
    </row>
    <row r="1482" spans="2:5" x14ac:dyDescent="0.45">
      <c r="B1482" t="s">
        <v>1613</v>
      </c>
      <c r="C1482">
        <v>0.49155601918804742</v>
      </c>
      <c r="D1482">
        <v>11</v>
      </c>
      <c r="E1482">
        <v>0.99939999999999996</v>
      </c>
    </row>
    <row r="1483" spans="2:5" x14ac:dyDescent="0.45">
      <c r="B1483" t="s">
        <v>1614</v>
      </c>
      <c r="C1483">
        <v>0.98311203837609484</v>
      </c>
      <c r="D1483">
        <v>6.6000000000000005</v>
      </c>
      <c r="E1483">
        <v>0.99963999999999997</v>
      </c>
    </row>
    <row r="1484" spans="2:5" x14ac:dyDescent="0.45">
      <c r="B1484" t="s">
        <v>1615</v>
      </c>
      <c r="C1484">
        <v>2.2343455417638518</v>
      </c>
      <c r="D1484">
        <v>14.3</v>
      </c>
      <c r="E1484">
        <v>0.99922</v>
      </c>
    </row>
    <row r="1485" spans="2:5" x14ac:dyDescent="0.45">
      <c r="B1485" t="s">
        <v>1616</v>
      </c>
      <c r="C1485">
        <v>4.4686910835277036</v>
      </c>
      <c r="D1485">
        <v>5.5</v>
      </c>
      <c r="E1485">
        <v>0.99970000000000003</v>
      </c>
    </row>
    <row r="1486" spans="2:5" x14ac:dyDescent="0.45">
      <c r="B1486" t="s">
        <v>1617</v>
      </c>
      <c r="C1486">
        <v>0.98311203837609484</v>
      </c>
      <c r="D1486">
        <v>6.6000000000000005</v>
      </c>
      <c r="E1486">
        <v>0.99963999999999997</v>
      </c>
    </row>
    <row r="1487" spans="2:5" x14ac:dyDescent="0.45">
      <c r="B1487" t="s">
        <v>1618</v>
      </c>
      <c r="C1487">
        <v>2.2343455417638518</v>
      </c>
      <c r="D1487">
        <v>6.6000000000000005</v>
      </c>
      <c r="E1487">
        <v>0.99963999999999997</v>
      </c>
    </row>
    <row r="1488" spans="2:5" x14ac:dyDescent="0.45">
      <c r="B1488" t="s">
        <v>1619</v>
      </c>
      <c r="C1488">
        <v>4.4686910835277036</v>
      </c>
      <c r="D1488">
        <v>12.100000000000001</v>
      </c>
      <c r="E1488">
        <v>0.99934000000000001</v>
      </c>
    </row>
    <row r="1489" spans="2:5" x14ac:dyDescent="0.45">
      <c r="B1489" t="s">
        <v>1620</v>
      </c>
      <c r="C1489">
        <v>0.98311203837609484</v>
      </c>
      <c r="D1489">
        <v>6.6000000000000005</v>
      </c>
      <c r="E1489">
        <v>0.99963999999999997</v>
      </c>
    </row>
    <row r="1490" spans="2:5" x14ac:dyDescent="0.45">
      <c r="B1490" t="s">
        <v>1621</v>
      </c>
      <c r="C1490">
        <v>0.98311203837609484</v>
      </c>
      <c r="D1490">
        <v>9.9</v>
      </c>
      <c r="E1490">
        <v>0.99946000000000002</v>
      </c>
    </row>
    <row r="1491" spans="2:5" x14ac:dyDescent="0.45">
      <c r="B1491" t="s">
        <v>1622</v>
      </c>
      <c r="C1491">
        <v>1.9662240767521897</v>
      </c>
      <c r="D1491">
        <v>4.4000000000000004</v>
      </c>
      <c r="E1491">
        <v>0.99975999999999998</v>
      </c>
    </row>
    <row r="1492" spans="2:5" x14ac:dyDescent="0.45">
      <c r="B1492" t="s">
        <v>1623</v>
      </c>
      <c r="C1492">
        <v>0.98311203837609484</v>
      </c>
      <c r="D1492">
        <v>14.3</v>
      </c>
      <c r="E1492">
        <v>0.99922</v>
      </c>
    </row>
    <row r="1493" spans="2:5" x14ac:dyDescent="0.45">
      <c r="B1493" t="s">
        <v>1624</v>
      </c>
      <c r="C1493">
        <v>0.98311203837609484</v>
      </c>
      <c r="D1493">
        <v>13.200000000000001</v>
      </c>
      <c r="E1493">
        <v>0.99927999999999995</v>
      </c>
    </row>
    <row r="1494" spans="2:5" x14ac:dyDescent="0.45">
      <c r="B1494" t="s">
        <v>1625</v>
      </c>
      <c r="C1494">
        <v>0.98311203837609484</v>
      </c>
      <c r="D1494">
        <v>60.500000000000007</v>
      </c>
      <c r="E1494">
        <v>0.99670000000000003</v>
      </c>
    </row>
    <row r="1495" spans="2:5" x14ac:dyDescent="0.45">
      <c r="B1495" t="s">
        <v>1626</v>
      </c>
      <c r="C1495">
        <v>0.98311203837609484</v>
      </c>
      <c r="D1495">
        <v>111.10000000000001</v>
      </c>
      <c r="E1495">
        <v>0.99394000000000005</v>
      </c>
    </row>
    <row r="1496" spans="2:5" x14ac:dyDescent="0.45">
      <c r="B1496" t="s">
        <v>1627</v>
      </c>
      <c r="C1496">
        <v>0.49155601918804742</v>
      </c>
      <c r="D1496">
        <v>4.4000000000000004</v>
      </c>
      <c r="E1496">
        <v>0.99975999999999998</v>
      </c>
    </row>
    <row r="1497" spans="2:5" x14ac:dyDescent="0.45">
      <c r="B1497" t="s">
        <v>1628</v>
      </c>
      <c r="C1497">
        <v>0.98311203837609484</v>
      </c>
      <c r="D1497">
        <v>11</v>
      </c>
      <c r="E1497">
        <v>0.99939999999999996</v>
      </c>
    </row>
    <row r="1498" spans="2:5" x14ac:dyDescent="0.45">
      <c r="B1498" t="s">
        <v>1629</v>
      </c>
      <c r="C1498">
        <v>0.98311203837609484</v>
      </c>
      <c r="D1498">
        <v>30.800000000000004</v>
      </c>
      <c r="E1498">
        <v>0.99831999999999999</v>
      </c>
    </row>
    <row r="1499" spans="2:5" x14ac:dyDescent="0.45">
      <c r="B1499" t="s">
        <v>1630</v>
      </c>
      <c r="C1499">
        <v>0.98311203837609484</v>
      </c>
      <c r="D1499">
        <v>28.6</v>
      </c>
      <c r="E1499">
        <v>0.99843999999999999</v>
      </c>
    </row>
    <row r="1500" spans="2:5" x14ac:dyDescent="0.45">
      <c r="B1500" t="s">
        <v>1631</v>
      </c>
      <c r="C1500">
        <v>0.98311203837609484</v>
      </c>
      <c r="D1500">
        <v>18.700000000000003</v>
      </c>
      <c r="E1500">
        <v>0.99897999999999998</v>
      </c>
    </row>
    <row r="1501" spans="2:5" x14ac:dyDescent="0.45">
      <c r="B1501" t="s">
        <v>1632</v>
      </c>
      <c r="C1501">
        <v>0.98311203837609484</v>
      </c>
      <c r="D1501">
        <v>64.900000000000006</v>
      </c>
      <c r="E1501">
        <v>0.99646000000000001</v>
      </c>
    </row>
    <row r="1502" spans="2:5" x14ac:dyDescent="0.45">
      <c r="B1502" t="s">
        <v>1633</v>
      </c>
      <c r="C1502">
        <v>0.98311203837609484</v>
      </c>
      <c r="D1502">
        <v>95.7</v>
      </c>
      <c r="E1502">
        <v>0.99478</v>
      </c>
    </row>
    <row r="1503" spans="2:5" x14ac:dyDescent="0.45">
      <c r="B1503" t="s">
        <v>1634</v>
      </c>
      <c r="C1503">
        <v>0.98311203837609484</v>
      </c>
      <c r="D1503">
        <v>2.2000000000000002</v>
      </c>
      <c r="E1503">
        <v>0.99987999999999999</v>
      </c>
    </row>
    <row r="1504" spans="2:5" x14ac:dyDescent="0.45">
      <c r="B1504" t="s">
        <v>1635</v>
      </c>
      <c r="C1504">
        <v>0.49155601918804742</v>
      </c>
      <c r="D1504">
        <v>2.2000000000000002</v>
      </c>
      <c r="E1504">
        <v>0.99987999999999999</v>
      </c>
    </row>
    <row r="1505" spans="2:5" x14ac:dyDescent="0.45">
      <c r="B1505" t="s">
        <v>1636</v>
      </c>
      <c r="C1505">
        <v>0.49155601918804742</v>
      </c>
      <c r="D1505">
        <v>16.5</v>
      </c>
      <c r="E1505">
        <v>0.99909999999999999</v>
      </c>
    </row>
    <row r="1506" spans="2:5" x14ac:dyDescent="0.45">
      <c r="B1506" t="s">
        <v>1637</v>
      </c>
      <c r="C1506">
        <v>0.98311203837609484</v>
      </c>
      <c r="D1506">
        <v>20.900000000000002</v>
      </c>
      <c r="E1506">
        <v>0.99885999999999997</v>
      </c>
    </row>
    <row r="1507" spans="2:5" x14ac:dyDescent="0.45">
      <c r="B1507" t="s">
        <v>1638</v>
      </c>
      <c r="C1507">
        <v>0.49155601918804742</v>
      </c>
      <c r="D1507">
        <v>42.900000000000006</v>
      </c>
      <c r="E1507">
        <v>0.99765999999999999</v>
      </c>
    </row>
    <row r="1508" spans="2:5" x14ac:dyDescent="0.45">
      <c r="B1508" t="s">
        <v>1639</v>
      </c>
      <c r="C1508">
        <v>0.49155601918804742</v>
      </c>
      <c r="D1508">
        <v>17.600000000000001</v>
      </c>
      <c r="E1508">
        <v>0.99904000000000004</v>
      </c>
    </row>
    <row r="1509" spans="2:5" x14ac:dyDescent="0.45">
      <c r="B1509" t="s">
        <v>1640</v>
      </c>
      <c r="C1509">
        <v>0.98311203837609484</v>
      </c>
      <c r="D1509">
        <v>3.3000000000000003</v>
      </c>
      <c r="E1509">
        <v>0.99982000000000004</v>
      </c>
    </row>
    <row r="1510" spans="2:5" x14ac:dyDescent="0.45">
      <c r="B1510" t="s">
        <v>1641</v>
      </c>
      <c r="C1510">
        <v>0.98311203837609484</v>
      </c>
      <c r="D1510">
        <v>27.500000000000004</v>
      </c>
      <c r="E1510">
        <v>0.99850000000000005</v>
      </c>
    </row>
    <row r="1511" spans="2:5" x14ac:dyDescent="0.45">
      <c r="B1511" t="s">
        <v>1642</v>
      </c>
      <c r="C1511">
        <v>0.98311203837609484</v>
      </c>
      <c r="D1511">
        <v>17.600000000000001</v>
      </c>
      <c r="E1511">
        <v>0.99904000000000004</v>
      </c>
    </row>
    <row r="1512" spans="2:5" x14ac:dyDescent="0.45">
      <c r="B1512" t="s">
        <v>1643</v>
      </c>
      <c r="C1512">
        <v>0.98311203837609484</v>
      </c>
      <c r="D1512">
        <v>90.2</v>
      </c>
      <c r="E1512">
        <v>0.99507999999999996</v>
      </c>
    </row>
    <row r="1513" spans="2:5" x14ac:dyDescent="0.45">
      <c r="B1513" t="s">
        <v>1644</v>
      </c>
      <c r="C1513">
        <v>0.98311203837609484</v>
      </c>
      <c r="D1513">
        <v>24.200000000000003</v>
      </c>
      <c r="E1513">
        <v>0.99868000000000001</v>
      </c>
    </row>
    <row r="1514" spans="2:5" x14ac:dyDescent="0.45">
      <c r="B1514" t="s">
        <v>1645</v>
      </c>
      <c r="C1514">
        <v>0.98311203837609484</v>
      </c>
      <c r="D1514">
        <v>40.700000000000003</v>
      </c>
      <c r="E1514">
        <v>0.99778</v>
      </c>
    </row>
    <row r="1515" spans="2:5" x14ac:dyDescent="0.45">
      <c r="B1515" t="s">
        <v>1646</v>
      </c>
      <c r="C1515">
        <v>0.98311203837609484</v>
      </c>
      <c r="D1515">
        <v>49.500000000000007</v>
      </c>
      <c r="E1515">
        <v>0.99729999999999996</v>
      </c>
    </row>
    <row r="1516" spans="2:5" x14ac:dyDescent="0.45">
      <c r="B1516" t="s">
        <v>1647</v>
      </c>
      <c r="C1516">
        <v>4.4686910835277036</v>
      </c>
      <c r="D1516">
        <v>9.9</v>
      </c>
      <c r="E1516">
        <v>0.99946000000000002</v>
      </c>
    </row>
    <row r="1517" spans="2:5" x14ac:dyDescent="0.45">
      <c r="B1517" t="s">
        <v>1648</v>
      </c>
      <c r="C1517">
        <v>0.98311203837609484</v>
      </c>
      <c r="D1517">
        <v>24.200000000000003</v>
      </c>
      <c r="E1517">
        <v>0.99868000000000001</v>
      </c>
    </row>
    <row r="1518" spans="2:5" x14ac:dyDescent="0.45">
      <c r="B1518" t="s">
        <v>1649</v>
      </c>
      <c r="C1518">
        <v>0.98311203837609484</v>
      </c>
      <c r="D1518">
        <v>30.800000000000004</v>
      </c>
      <c r="E1518">
        <v>0.99831999999999999</v>
      </c>
    </row>
    <row r="1519" spans="2:5" x14ac:dyDescent="0.45">
      <c r="B1519" t="s">
        <v>1650</v>
      </c>
      <c r="C1519">
        <v>0.98311203837609484</v>
      </c>
      <c r="D1519">
        <v>70.400000000000006</v>
      </c>
      <c r="E1519">
        <v>0.99616000000000005</v>
      </c>
    </row>
    <row r="1520" spans="2:5" x14ac:dyDescent="0.45">
      <c r="B1520" t="s">
        <v>1651</v>
      </c>
      <c r="C1520">
        <v>0.49155601918804742</v>
      </c>
      <c r="D1520">
        <v>33</v>
      </c>
      <c r="E1520">
        <v>0.99819999999999998</v>
      </c>
    </row>
    <row r="1521" spans="2:5" x14ac:dyDescent="0.45">
      <c r="B1521" t="s">
        <v>1652</v>
      </c>
      <c r="C1521">
        <v>0.98311203837609484</v>
      </c>
      <c r="D1521">
        <v>34.1</v>
      </c>
      <c r="E1521">
        <v>0.99814000000000003</v>
      </c>
    </row>
    <row r="1522" spans="2:5" x14ac:dyDescent="0.45">
      <c r="B1522" t="s">
        <v>1653</v>
      </c>
      <c r="C1522">
        <v>0.98311203837609484</v>
      </c>
      <c r="D1522">
        <v>129.80000000000001</v>
      </c>
      <c r="E1522">
        <v>0.99292000000000002</v>
      </c>
    </row>
    <row r="1523" spans="2:5" x14ac:dyDescent="0.45">
      <c r="B1523" t="s">
        <v>1654</v>
      </c>
      <c r="C1523">
        <v>0.98311203837609484</v>
      </c>
      <c r="D1523">
        <v>79.2</v>
      </c>
      <c r="E1523">
        <v>0.99568000000000001</v>
      </c>
    </row>
    <row r="1524" spans="2:5" x14ac:dyDescent="0.45">
      <c r="B1524" t="s">
        <v>1655</v>
      </c>
      <c r="C1524">
        <v>0.98311203837609484</v>
      </c>
      <c r="D1524">
        <v>101.2</v>
      </c>
      <c r="E1524">
        <v>0.99448000000000003</v>
      </c>
    </row>
    <row r="1525" spans="2:5" x14ac:dyDescent="0.45">
      <c r="B1525" t="s">
        <v>1656</v>
      </c>
      <c r="C1525">
        <v>4.4686910835277036</v>
      </c>
      <c r="D1525">
        <v>1.1000000000000001</v>
      </c>
      <c r="E1525">
        <v>0.99994000000000005</v>
      </c>
    </row>
    <row r="1526" spans="2:5" x14ac:dyDescent="0.45">
      <c r="B1526" t="s">
        <v>1657</v>
      </c>
      <c r="C1526">
        <v>0.98311203837609484</v>
      </c>
      <c r="D1526">
        <v>8.8000000000000007</v>
      </c>
      <c r="E1526">
        <v>0.99951999999999996</v>
      </c>
    </row>
    <row r="1527" spans="2:5" x14ac:dyDescent="0.45">
      <c r="B1527" t="s">
        <v>1658</v>
      </c>
      <c r="C1527">
        <v>0.98311203837609484</v>
      </c>
      <c r="D1527">
        <v>29.700000000000003</v>
      </c>
      <c r="E1527">
        <v>0.99838000000000005</v>
      </c>
    </row>
    <row r="1528" spans="2:5" x14ac:dyDescent="0.45">
      <c r="B1528" t="s">
        <v>1659</v>
      </c>
      <c r="C1528">
        <v>0.98311203837609484</v>
      </c>
      <c r="D1528">
        <v>11</v>
      </c>
      <c r="E1528">
        <v>0.99939999999999996</v>
      </c>
    </row>
    <row r="1529" spans="2:5" x14ac:dyDescent="0.45">
      <c r="B1529" t="s">
        <v>1660</v>
      </c>
      <c r="C1529">
        <v>0.98311203837609484</v>
      </c>
      <c r="D1529">
        <v>6.6000000000000005</v>
      </c>
      <c r="E1529">
        <v>0.99963999999999997</v>
      </c>
    </row>
    <row r="1530" spans="2:5" x14ac:dyDescent="0.45">
      <c r="B1530" t="s">
        <v>1661</v>
      </c>
      <c r="C1530">
        <v>0.49155601918804742</v>
      </c>
      <c r="D1530">
        <v>2.2000000000000002</v>
      </c>
      <c r="E1530">
        <v>0.99987999999999999</v>
      </c>
    </row>
    <row r="1531" spans="2:5" x14ac:dyDescent="0.45">
      <c r="B1531" t="s">
        <v>1662</v>
      </c>
      <c r="C1531">
        <v>0.98311203837609484</v>
      </c>
      <c r="D1531">
        <v>15.400000000000002</v>
      </c>
      <c r="E1531">
        <v>0.99916000000000005</v>
      </c>
    </row>
    <row r="1532" spans="2:5" x14ac:dyDescent="0.45">
      <c r="B1532" t="s">
        <v>1663</v>
      </c>
      <c r="C1532">
        <v>0.98311203837609484</v>
      </c>
      <c r="D1532">
        <v>5.5</v>
      </c>
      <c r="E1532">
        <v>0.99970000000000003</v>
      </c>
    </row>
    <row r="1533" spans="2:5" x14ac:dyDescent="0.45">
      <c r="B1533" t="s">
        <v>1664</v>
      </c>
      <c r="C1533">
        <v>0.98311203837609484</v>
      </c>
      <c r="D1533">
        <v>6.6000000000000005</v>
      </c>
      <c r="E1533">
        <v>0.99963999999999997</v>
      </c>
    </row>
    <row r="1534" spans="2:5" x14ac:dyDescent="0.45">
      <c r="B1534" t="s">
        <v>1665</v>
      </c>
      <c r="C1534">
        <v>0.49155601918804742</v>
      </c>
      <c r="D1534">
        <v>4.4000000000000004</v>
      </c>
      <c r="E1534">
        <v>0.99975999999999998</v>
      </c>
    </row>
    <row r="1535" spans="2:5" x14ac:dyDescent="0.45">
      <c r="B1535" t="s">
        <v>1666</v>
      </c>
      <c r="C1535">
        <v>0.98311203837609484</v>
      </c>
      <c r="D1535">
        <v>25.3</v>
      </c>
      <c r="E1535">
        <v>0.99861999999999995</v>
      </c>
    </row>
    <row r="1536" spans="2:5" x14ac:dyDescent="0.45">
      <c r="B1536" t="s">
        <v>1667</v>
      </c>
      <c r="C1536">
        <v>0.98311203837609484</v>
      </c>
      <c r="D1536">
        <v>27.500000000000004</v>
      </c>
      <c r="E1536">
        <v>0.99850000000000005</v>
      </c>
    </row>
    <row r="1537" spans="2:5" x14ac:dyDescent="0.45">
      <c r="B1537" t="s">
        <v>1668</v>
      </c>
      <c r="C1537">
        <v>0.98311203837609484</v>
      </c>
      <c r="D1537">
        <v>9.9</v>
      </c>
      <c r="E1537">
        <v>0.99946000000000002</v>
      </c>
    </row>
    <row r="1538" spans="2:5" x14ac:dyDescent="0.45">
      <c r="B1538" t="s">
        <v>1669</v>
      </c>
      <c r="C1538">
        <v>0.98311203837609484</v>
      </c>
      <c r="D1538">
        <v>56.1</v>
      </c>
      <c r="E1538">
        <v>0.99694000000000005</v>
      </c>
    </row>
    <row r="1539" spans="2:5" x14ac:dyDescent="0.45">
      <c r="B1539" t="s">
        <v>1670</v>
      </c>
      <c r="C1539">
        <v>0.49155601918804742</v>
      </c>
      <c r="D1539">
        <v>26.400000000000002</v>
      </c>
      <c r="E1539">
        <v>0.99856</v>
      </c>
    </row>
    <row r="1540" spans="2:5" x14ac:dyDescent="0.45">
      <c r="B1540" t="s">
        <v>1671</v>
      </c>
      <c r="C1540">
        <v>1.4746680575641422</v>
      </c>
      <c r="D1540">
        <v>4.4000000000000004</v>
      </c>
      <c r="E1540">
        <v>0.99975999999999998</v>
      </c>
    </row>
    <row r="1541" spans="2:5" x14ac:dyDescent="0.45">
      <c r="B1541" t="s">
        <v>1672</v>
      </c>
      <c r="C1541">
        <v>0.49155601918804742</v>
      </c>
      <c r="D1541">
        <v>4.4000000000000004</v>
      </c>
      <c r="E1541">
        <v>0.99975999999999998</v>
      </c>
    </row>
    <row r="1542" spans="2:5" x14ac:dyDescent="0.45">
      <c r="B1542" t="s">
        <v>1673</v>
      </c>
      <c r="C1542">
        <v>0.98311203837609484</v>
      </c>
      <c r="D1542">
        <v>14.3</v>
      </c>
      <c r="E1542">
        <v>0.99922</v>
      </c>
    </row>
    <row r="1543" spans="2:5" x14ac:dyDescent="0.45">
      <c r="B1543" t="s">
        <v>1674</v>
      </c>
      <c r="C1543">
        <v>0.98311203837609484</v>
      </c>
      <c r="D1543">
        <v>11</v>
      </c>
      <c r="E1543">
        <v>0.99939999999999996</v>
      </c>
    </row>
    <row r="1544" spans="2:5" x14ac:dyDescent="0.45">
      <c r="B1544" t="s">
        <v>1675</v>
      </c>
      <c r="C1544">
        <v>0.98311203837609484</v>
      </c>
      <c r="D1544">
        <v>3.3000000000000003</v>
      </c>
      <c r="E1544">
        <v>0.99982000000000004</v>
      </c>
    </row>
    <row r="1545" spans="2:5" x14ac:dyDescent="0.45">
      <c r="B1545" t="s">
        <v>1676</v>
      </c>
      <c r="C1545">
        <v>0.49155601918804742</v>
      </c>
      <c r="D1545">
        <v>6.6000000000000005</v>
      </c>
      <c r="E1545">
        <v>0.99963999999999997</v>
      </c>
    </row>
    <row r="1546" spans="2:5" x14ac:dyDescent="0.45">
      <c r="B1546" t="s">
        <v>1677</v>
      </c>
      <c r="C1546">
        <v>1.9662240767521897</v>
      </c>
      <c r="D1546">
        <v>4.4000000000000004</v>
      </c>
      <c r="E1546">
        <v>0.99975999999999998</v>
      </c>
    </row>
    <row r="1547" spans="2:5" x14ac:dyDescent="0.45">
      <c r="B1547" t="s">
        <v>1678</v>
      </c>
      <c r="C1547">
        <v>0.98311203837609484</v>
      </c>
      <c r="D1547">
        <v>4.4000000000000004</v>
      </c>
      <c r="E1547">
        <v>0.99975999999999998</v>
      </c>
    </row>
    <row r="1548" spans="2:5" x14ac:dyDescent="0.45">
      <c r="B1548" t="s">
        <v>1679</v>
      </c>
      <c r="C1548">
        <v>0.49155601918804742</v>
      </c>
      <c r="D1548">
        <v>6.6000000000000005</v>
      </c>
      <c r="E1548">
        <v>0.99963999999999997</v>
      </c>
    </row>
    <row r="1549" spans="2:5" x14ac:dyDescent="0.45">
      <c r="B1549" t="s">
        <v>1680</v>
      </c>
      <c r="C1549">
        <v>0.98311203837609484</v>
      </c>
      <c r="D1549">
        <v>58.300000000000004</v>
      </c>
      <c r="E1549">
        <v>0.99682000000000004</v>
      </c>
    </row>
    <row r="1550" spans="2:5" x14ac:dyDescent="0.45">
      <c r="B1550" t="s">
        <v>1681</v>
      </c>
      <c r="C1550">
        <v>0.49155601918804742</v>
      </c>
      <c r="D1550">
        <v>6.6000000000000005</v>
      </c>
      <c r="E1550">
        <v>0.99963999999999997</v>
      </c>
    </row>
    <row r="1551" spans="2:5" x14ac:dyDescent="0.45">
      <c r="B1551" t="s">
        <v>1682</v>
      </c>
      <c r="C1551">
        <v>0.49155601918804742</v>
      </c>
      <c r="D1551">
        <v>12.100000000000001</v>
      </c>
      <c r="E1551">
        <v>0.99934000000000001</v>
      </c>
    </row>
    <row r="1552" spans="2:5" x14ac:dyDescent="0.45">
      <c r="B1552" t="s">
        <v>1683</v>
      </c>
      <c r="C1552">
        <v>2.2343455417638518</v>
      </c>
      <c r="D1552">
        <v>3.3000000000000003</v>
      </c>
      <c r="E1552">
        <v>0.99982000000000004</v>
      </c>
    </row>
    <row r="1553" spans="2:5" x14ac:dyDescent="0.45">
      <c r="B1553" t="s">
        <v>1684</v>
      </c>
      <c r="C1553">
        <v>0.49155601918804742</v>
      </c>
      <c r="D1553">
        <v>44</v>
      </c>
      <c r="E1553">
        <v>0.99760000000000004</v>
      </c>
    </row>
    <row r="1554" spans="2:5" x14ac:dyDescent="0.45">
      <c r="B1554" t="s">
        <v>1685</v>
      </c>
      <c r="C1554">
        <v>4.4686910835277036</v>
      </c>
      <c r="D1554">
        <v>7.7000000000000011</v>
      </c>
      <c r="E1554">
        <v>0.99958000000000002</v>
      </c>
    </row>
    <row r="1555" spans="2:5" x14ac:dyDescent="0.45">
      <c r="B1555" t="s">
        <v>1686</v>
      </c>
      <c r="C1555">
        <v>0.98311203837609484</v>
      </c>
      <c r="D1555">
        <v>27.500000000000004</v>
      </c>
      <c r="E1555">
        <v>0.99850000000000005</v>
      </c>
    </row>
    <row r="1556" spans="2:5" x14ac:dyDescent="0.45">
      <c r="B1556" t="s">
        <v>1687</v>
      </c>
      <c r="C1556">
        <v>0.49155601918804742</v>
      </c>
      <c r="D1556">
        <v>28.6</v>
      </c>
      <c r="E1556">
        <v>0.99843999999999999</v>
      </c>
    </row>
    <row r="1557" spans="2:5" x14ac:dyDescent="0.45">
      <c r="B1557" t="s">
        <v>1688</v>
      </c>
      <c r="C1557">
        <v>0.98311203837609484</v>
      </c>
      <c r="D1557">
        <v>17.600000000000001</v>
      </c>
      <c r="E1557">
        <v>0.99904000000000004</v>
      </c>
    </row>
    <row r="1558" spans="2:5" x14ac:dyDescent="0.45">
      <c r="B1558" t="s">
        <v>1689</v>
      </c>
      <c r="C1558">
        <v>0.98311203837609484</v>
      </c>
      <c r="D1558">
        <v>40.700000000000003</v>
      </c>
      <c r="E1558">
        <v>0.99778</v>
      </c>
    </row>
    <row r="1559" spans="2:5" x14ac:dyDescent="0.45">
      <c r="B1559" t="s">
        <v>1690</v>
      </c>
      <c r="C1559">
        <v>2.2343455417638518</v>
      </c>
      <c r="D1559">
        <v>5.5</v>
      </c>
      <c r="E1559">
        <v>0.99970000000000003</v>
      </c>
    </row>
    <row r="1560" spans="2:5" x14ac:dyDescent="0.45">
      <c r="B1560" t="s">
        <v>1691</v>
      </c>
      <c r="C1560">
        <v>4.4686910835277036</v>
      </c>
      <c r="D1560">
        <v>4.4000000000000004</v>
      </c>
      <c r="E1560">
        <v>0.99975999999999998</v>
      </c>
    </row>
    <row r="1561" spans="2:5" x14ac:dyDescent="0.45">
      <c r="B1561" t="s">
        <v>1692</v>
      </c>
      <c r="C1561">
        <v>2.2343455417638518</v>
      </c>
      <c r="D1561">
        <v>9.9</v>
      </c>
      <c r="E1561">
        <v>0.99946000000000002</v>
      </c>
    </row>
    <row r="1562" spans="2:5" x14ac:dyDescent="0.45">
      <c r="B1562" t="s">
        <v>1693</v>
      </c>
      <c r="C1562">
        <v>2.2343455417638518</v>
      </c>
      <c r="D1562">
        <v>13.200000000000001</v>
      </c>
      <c r="E1562">
        <v>0.99927999999999995</v>
      </c>
    </row>
    <row r="1563" spans="2:5" x14ac:dyDescent="0.45">
      <c r="B1563" t="s">
        <v>1694</v>
      </c>
      <c r="C1563">
        <v>1.4746680575641422</v>
      </c>
      <c r="D1563">
        <v>3.3000000000000003</v>
      </c>
      <c r="E1563">
        <v>0.99982000000000004</v>
      </c>
    </row>
    <row r="1564" spans="2:5" x14ac:dyDescent="0.45">
      <c r="B1564" t="s">
        <v>1695</v>
      </c>
      <c r="C1564">
        <v>6.7030366252915554</v>
      </c>
      <c r="D1564">
        <v>2.2000000000000002</v>
      </c>
      <c r="E1564">
        <v>0.99987999999999999</v>
      </c>
    </row>
    <row r="1565" spans="2:5" x14ac:dyDescent="0.45">
      <c r="B1565" t="s">
        <v>1696</v>
      </c>
      <c r="C1565">
        <v>4.4686910835277036</v>
      </c>
      <c r="D1565">
        <v>3.3000000000000003</v>
      </c>
      <c r="E1565">
        <v>0.99982000000000004</v>
      </c>
    </row>
    <row r="1566" spans="2:5" x14ac:dyDescent="0.45">
      <c r="B1566" t="s">
        <v>1697</v>
      </c>
      <c r="C1566">
        <v>0.49155601918804742</v>
      </c>
      <c r="D1566">
        <v>11</v>
      </c>
      <c r="E1566">
        <v>0.99939999999999996</v>
      </c>
    </row>
    <row r="1567" spans="2:5" x14ac:dyDescent="0.45">
      <c r="B1567" t="s">
        <v>1698</v>
      </c>
      <c r="C1567">
        <v>0.49155601918804742</v>
      </c>
      <c r="D1567">
        <v>14.3</v>
      </c>
      <c r="E1567">
        <v>0.99922</v>
      </c>
    </row>
    <row r="1568" spans="2:5" x14ac:dyDescent="0.45">
      <c r="B1568" t="s">
        <v>1699</v>
      </c>
      <c r="C1568">
        <v>0.98311203837609484</v>
      </c>
      <c r="D1568">
        <v>3.3000000000000003</v>
      </c>
      <c r="E1568">
        <v>0.99982000000000004</v>
      </c>
    </row>
    <row r="1569" spans="2:5" x14ac:dyDescent="0.45">
      <c r="B1569" t="s">
        <v>1700</v>
      </c>
      <c r="C1569">
        <v>2.2343455417638518</v>
      </c>
      <c r="D1569">
        <v>3.3000000000000003</v>
      </c>
      <c r="E1569">
        <v>0.99982000000000004</v>
      </c>
    </row>
    <row r="1570" spans="2:5" x14ac:dyDescent="0.45">
      <c r="B1570" t="s">
        <v>1701</v>
      </c>
      <c r="C1570">
        <v>0.49155601918804742</v>
      </c>
      <c r="D1570">
        <v>2.2000000000000002</v>
      </c>
      <c r="E1570">
        <v>0.99987999999999999</v>
      </c>
    </row>
    <row r="1571" spans="2:5" x14ac:dyDescent="0.45">
      <c r="B1571" t="s">
        <v>1702</v>
      </c>
      <c r="C1571">
        <v>0.49155601918804742</v>
      </c>
      <c r="D1571">
        <v>33</v>
      </c>
      <c r="E1571">
        <v>0.99819999999999998</v>
      </c>
    </row>
    <row r="1572" spans="2:5" x14ac:dyDescent="0.45">
      <c r="B1572" t="s">
        <v>1703</v>
      </c>
      <c r="C1572">
        <v>0.49155601918804742</v>
      </c>
      <c r="D1572">
        <v>13.200000000000001</v>
      </c>
      <c r="E1572">
        <v>0.99927999999999995</v>
      </c>
    </row>
    <row r="1573" spans="2:5" x14ac:dyDescent="0.45">
      <c r="B1573" t="s">
        <v>1704</v>
      </c>
      <c r="C1573">
        <v>0.49155601918804742</v>
      </c>
      <c r="D1573">
        <v>4.4000000000000004</v>
      </c>
      <c r="E1573">
        <v>0.99975999999999998</v>
      </c>
    </row>
    <row r="1574" spans="2:5" x14ac:dyDescent="0.45">
      <c r="B1574" t="s">
        <v>1705</v>
      </c>
      <c r="C1574">
        <v>13.406073250583113</v>
      </c>
      <c r="D1574">
        <v>2.2000000000000002</v>
      </c>
      <c r="E1574">
        <v>0.99987999999999999</v>
      </c>
    </row>
    <row r="1575" spans="2:5" x14ac:dyDescent="0.45">
      <c r="B1575" t="s">
        <v>1706</v>
      </c>
      <c r="C1575">
        <v>0.98311203837609484</v>
      </c>
      <c r="D1575">
        <v>13.200000000000001</v>
      </c>
      <c r="E1575">
        <v>0.99927999999999995</v>
      </c>
    </row>
    <row r="1576" spans="2:5" x14ac:dyDescent="0.45">
      <c r="B1576" t="s">
        <v>1707</v>
      </c>
      <c r="C1576">
        <v>0.98311203837609484</v>
      </c>
      <c r="D1576">
        <v>11</v>
      </c>
      <c r="E1576">
        <v>0.99939999999999996</v>
      </c>
    </row>
    <row r="1577" spans="2:5" x14ac:dyDescent="0.45">
      <c r="B1577" t="s">
        <v>1708</v>
      </c>
      <c r="C1577">
        <v>0.49155601918804742</v>
      </c>
      <c r="D1577">
        <v>108.9</v>
      </c>
      <c r="E1577">
        <v>0.99406000000000005</v>
      </c>
    </row>
    <row r="1578" spans="2:5" x14ac:dyDescent="0.45">
      <c r="B1578" t="s">
        <v>1709</v>
      </c>
      <c r="C1578">
        <v>0.98311203837609484</v>
      </c>
      <c r="D1578">
        <v>18.700000000000003</v>
      </c>
      <c r="E1578">
        <v>0.99897999999999998</v>
      </c>
    </row>
    <row r="1579" spans="2:5" x14ac:dyDescent="0.45">
      <c r="B1579" t="s">
        <v>1710</v>
      </c>
      <c r="C1579">
        <v>0.98311203837609484</v>
      </c>
      <c r="D1579">
        <v>19.8</v>
      </c>
      <c r="E1579">
        <v>0.99892000000000003</v>
      </c>
    </row>
    <row r="1580" spans="2:5" x14ac:dyDescent="0.45">
      <c r="B1580" t="s">
        <v>1711</v>
      </c>
      <c r="C1580">
        <v>0.98311203837609484</v>
      </c>
      <c r="D1580">
        <v>29.700000000000003</v>
      </c>
      <c r="E1580">
        <v>0.99838000000000005</v>
      </c>
    </row>
    <row r="1581" spans="2:5" x14ac:dyDescent="0.45">
      <c r="B1581" t="s">
        <v>1712</v>
      </c>
      <c r="C1581">
        <v>4.4686910835277036</v>
      </c>
      <c r="D1581">
        <v>3.3000000000000003</v>
      </c>
      <c r="E1581">
        <v>0.99982000000000004</v>
      </c>
    </row>
    <row r="1582" spans="2:5" x14ac:dyDescent="0.45">
      <c r="B1582" t="s">
        <v>1713</v>
      </c>
      <c r="C1582">
        <v>8.9373821670554072</v>
      </c>
      <c r="D1582">
        <v>3.3000000000000003</v>
      </c>
      <c r="E1582">
        <v>0.99982000000000004</v>
      </c>
    </row>
    <row r="1583" spans="2:5" x14ac:dyDescent="0.45">
      <c r="B1583" t="s">
        <v>1714</v>
      </c>
      <c r="C1583">
        <v>0.49155601918804742</v>
      </c>
      <c r="D1583">
        <v>17.600000000000001</v>
      </c>
      <c r="E1583">
        <v>0.99904000000000004</v>
      </c>
    </row>
    <row r="1584" spans="2:5" x14ac:dyDescent="0.45">
      <c r="B1584" t="s">
        <v>1715</v>
      </c>
      <c r="C1584">
        <v>0.49155601918804742</v>
      </c>
      <c r="D1584">
        <v>22</v>
      </c>
      <c r="E1584">
        <v>0.99880000000000002</v>
      </c>
    </row>
    <row r="1585" spans="2:5" x14ac:dyDescent="0.45">
      <c r="B1585" t="s">
        <v>1716</v>
      </c>
      <c r="C1585">
        <v>0.49155601918804742</v>
      </c>
      <c r="D1585">
        <v>2.2000000000000002</v>
      </c>
      <c r="E1585">
        <v>0.99987999999999999</v>
      </c>
    </row>
    <row r="1586" spans="2:5" x14ac:dyDescent="0.45">
      <c r="B1586" t="s">
        <v>1717</v>
      </c>
      <c r="C1586">
        <v>0.98311203837609484</v>
      </c>
      <c r="D1586">
        <v>2.2000000000000002</v>
      </c>
      <c r="E1586">
        <v>0.99987999999999999</v>
      </c>
    </row>
    <row r="1587" spans="2:5" x14ac:dyDescent="0.45">
      <c r="B1587" t="s">
        <v>1718</v>
      </c>
      <c r="C1587">
        <v>4.4686910835277036</v>
      </c>
      <c r="D1587">
        <v>3.3000000000000003</v>
      </c>
      <c r="E1587">
        <v>0.99982000000000004</v>
      </c>
    </row>
    <row r="1588" spans="2:5" x14ac:dyDescent="0.45">
      <c r="B1588" t="s">
        <v>1719</v>
      </c>
      <c r="C1588">
        <v>2.2343455417638518</v>
      </c>
      <c r="D1588">
        <v>18.700000000000003</v>
      </c>
      <c r="E1588">
        <v>0.99897999999999998</v>
      </c>
    </row>
    <row r="1589" spans="2:5" x14ac:dyDescent="0.45">
      <c r="B1589" t="s">
        <v>1720</v>
      </c>
      <c r="C1589">
        <v>0.98311203837609484</v>
      </c>
      <c r="D1589">
        <v>8.8000000000000007</v>
      </c>
      <c r="E1589">
        <v>0.99951999999999996</v>
      </c>
    </row>
    <row r="1590" spans="2:5" x14ac:dyDescent="0.45">
      <c r="B1590" t="s">
        <v>1721</v>
      </c>
      <c r="C1590">
        <v>0.98311203837609484</v>
      </c>
      <c r="D1590">
        <v>11</v>
      </c>
      <c r="E1590">
        <v>0.99939999999999996</v>
      </c>
    </row>
    <row r="1591" spans="2:5" x14ac:dyDescent="0.45">
      <c r="B1591" t="s">
        <v>1722</v>
      </c>
      <c r="C1591">
        <v>2.2343455417638518</v>
      </c>
      <c r="D1591">
        <v>7.7000000000000011</v>
      </c>
      <c r="E1591">
        <v>0.99958000000000002</v>
      </c>
    </row>
    <row r="1592" spans="2:5" x14ac:dyDescent="0.45">
      <c r="B1592" t="s">
        <v>1723</v>
      </c>
      <c r="C1592">
        <v>4.4686910835277036</v>
      </c>
      <c r="D1592">
        <v>20.900000000000002</v>
      </c>
      <c r="E1592">
        <v>0.99885999999999997</v>
      </c>
    </row>
    <row r="1593" spans="2:5" x14ac:dyDescent="0.45">
      <c r="B1593" t="s">
        <v>1724</v>
      </c>
      <c r="C1593">
        <v>0.98311203837609484</v>
      </c>
      <c r="D1593">
        <v>8.8000000000000007</v>
      </c>
      <c r="E1593">
        <v>0.99951999999999996</v>
      </c>
    </row>
    <row r="1594" spans="2:5" x14ac:dyDescent="0.45">
      <c r="B1594" t="s">
        <v>1725</v>
      </c>
      <c r="C1594">
        <v>0.49155601918804742</v>
      </c>
      <c r="D1594">
        <v>14.3</v>
      </c>
      <c r="E1594">
        <v>0.99922</v>
      </c>
    </row>
    <row r="1595" spans="2:5" x14ac:dyDescent="0.45">
      <c r="B1595" t="s">
        <v>1726</v>
      </c>
      <c r="C1595">
        <v>0.98311203837609484</v>
      </c>
      <c r="D1595">
        <v>8.8000000000000007</v>
      </c>
      <c r="E1595">
        <v>0.99951999999999996</v>
      </c>
    </row>
    <row r="1596" spans="2:5" x14ac:dyDescent="0.45">
      <c r="B1596" t="s">
        <v>1727</v>
      </c>
      <c r="C1596">
        <v>0.49155601918804742</v>
      </c>
      <c r="D1596">
        <v>105.60000000000001</v>
      </c>
      <c r="E1596">
        <v>0.99424000000000001</v>
      </c>
    </row>
    <row r="1597" spans="2:5" x14ac:dyDescent="0.45">
      <c r="B1597" t="s">
        <v>1728</v>
      </c>
      <c r="C1597">
        <v>6.7030366252915554</v>
      </c>
      <c r="D1597">
        <v>2.2000000000000002</v>
      </c>
      <c r="E1597">
        <v>0.99987999999999999</v>
      </c>
    </row>
    <row r="1598" spans="2:5" x14ac:dyDescent="0.45">
      <c r="B1598" t="s">
        <v>1729</v>
      </c>
      <c r="C1598">
        <v>0.98311203837609484</v>
      </c>
      <c r="D1598">
        <v>9.9</v>
      </c>
      <c r="E1598">
        <v>0.99946000000000002</v>
      </c>
    </row>
    <row r="1599" spans="2:5" x14ac:dyDescent="0.45">
      <c r="B1599" t="s">
        <v>1730</v>
      </c>
      <c r="C1599">
        <v>0.98311203837609484</v>
      </c>
      <c r="D1599">
        <v>23.1</v>
      </c>
      <c r="E1599">
        <v>0.99873999999999996</v>
      </c>
    </row>
    <row r="1600" spans="2:5" x14ac:dyDescent="0.45">
      <c r="B1600" t="s">
        <v>1731</v>
      </c>
      <c r="C1600">
        <v>2.2343455417638518</v>
      </c>
      <c r="D1600">
        <v>7.7000000000000011</v>
      </c>
      <c r="E1600">
        <v>0.99958000000000002</v>
      </c>
    </row>
    <row r="1601" spans="2:5" x14ac:dyDescent="0.45">
      <c r="B1601" t="s">
        <v>1732</v>
      </c>
      <c r="C1601">
        <v>2.2343455417638518</v>
      </c>
      <c r="D1601">
        <v>34.1</v>
      </c>
      <c r="E1601">
        <v>0.99814000000000003</v>
      </c>
    </row>
    <row r="1602" spans="2:5" x14ac:dyDescent="0.45">
      <c r="B1602" t="s">
        <v>1733</v>
      </c>
      <c r="C1602">
        <v>0.98311203837609484</v>
      </c>
      <c r="D1602">
        <v>2.2000000000000002</v>
      </c>
      <c r="E1602">
        <v>0.99987999999999999</v>
      </c>
    </row>
    <row r="1603" spans="2:5" x14ac:dyDescent="0.45">
      <c r="B1603" t="s">
        <v>1734</v>
      </c>
      <c r="C1603">
        <v>0.98311203837609484</v>
      </c>
      <c r="D1603">
        <v>77</v>
      </c>
      <c r="E1603">
        <v>0.99580000000000002</v>
      </c>
    </row>
    <row r="1604" spans="2:5" x14ac:dyDescent="0.45">
      <c r="B1604" t="s">
        <v>1735</v>
      </c>
      <c r="C1604">
        <v>0.98311203837609484</v>
      </c>
      <c r="D1604">
        <v>24.200000000000003</v>
      </c>
      <c r="E1604">
        <v>0.99868000000000001</v>
      </c>
    </row>
    <row r="1605" spans="2:5" x14ac:dyDescent="0.45">
      <c r="B1605" t="s">
        <v>1736</v>
      </c>
      <c r="C1605">
        <v>0.98311203837609484</v>
      </c>
      <c r="D1605">
        <v>24.200000000000003</v>
      </c>
      <c r="E1605">
        <v>0.99868000000000001</v>
      </c>
    </row>
    <row r="1606" spans="2:5" x14ac:dyDescent="0.45">
      <c r="B1606" t="s">
        <v>1737</v>
      </c>
      <c r="C1606">
        <v>1.474668057564142</v>
      </c>
      <c r="D1606">
        <v>6.6000000000000005</v>
      </c>
      <c r="E1606">
        <v>0.99963999999999997</v>
      </c>
    </row>
    <row r="1607" spans="2:5" x14ac:dyDescent="0.45">
      <c r="B1607" t="s">
        <v>1738</v>
      </c>
      <c r="C1607">
        <v>0.49155601918804742</v>
      </c>
      <c r="D1607">
        <v>4.4000000000000004</v>
      </c>
      <c r="E1607">
        <v>0.99975999999999998</v>
      </c>
    </row>
    <row r="1608" spans="2:5" x14ac:dyDescent="0.45">
      <c r="B1608" t="s">
        <v>1739</v>
      </c>
      <c r="C1608">
        <v>4.4686910835277036</v>
      </c>
      <c r="D1608">
        <v>3.3000000000000003</v>
      </c>
      <c r="E1608">
        <v>0.99982000000000004</v>
      </c>
    </row>
    <row r="1609" spans="2:5" x14ac:dyDescent="0.45">
      <c r="B1609" t="s">
        <v>1740</v>
      </c>
      <c r="C1609">
        <v>4.4686910835277036</v>
      </c>
      <c r="D1609">
        <v>3.3000000000000003</v>
      </c>
      <c r="E1609">
        <v>0.99982000000000004</v>
      </c>
    </row>
    <row r="1610" spans="2:5" x14ac:dyDescent="0.45">
      <c r="B1610" t="s">
        <v>1741</v>
      </c>
      <c r="C1610">
        <v>1.4746680575641422</v>
      </c>
      <c r="D1610">
        <v>2.2000000000000002</v>
      </c>
      <c r="E1610">
        <v>0.99987999999999999</v>
      </c>
    </row>
    <row r="1611" spans="2:5" x14ac:dyDescent="0.45">
      <c r="B1611" t="s">
        <v>1742</v>
      </c>
      <c r="C1611">
        <v>0.49155601918804742</v>
      </c>
      <c r="D1611">
        <v>6.6000000000000005</v>
      </c>
      <c r="E1611">
        <v>0.99963999999999997</v>
      </c>
    </row>
    <row r="1612" spans="2:5" x14ac:dyDescent="0.45">
      <c r="B1612" t="s">
        <v>1743</v>
      </c>
      <c r="C1612">
        <v>0.49155601918804742</v>
      </c>
      <c r="D1612">
        <v>5.5</v>
      </c>
      <c r="E1612">
        <v>0.99970000000000003</v>
      </c>
    </row>
    <row r="1613" spans="2:5" x14ac:dyDescent="0.45">
      <c r="B1613" t="s">
        <v>1744</v>
      </c>
      <c r="C1613">
        <v>0.98311203837609484</v>
      </c>
      <c r="D1613">
        <v>47.300000000000004</v>
      </c>
      <c r="E1613">
        <v>0.99741999999999997</v>
      </c>
    </row>
    <row r="1614" spans="2:5" x14ac:dyDescent="0.45">
      <c r="B1614" t="s">
        <v>1745</v>
      </c>
      <c r="C1614">
        <v>0.98311203837609484</v>
      </c>
      <c r="D1614">
        <v>33</v>
      </c>
      <c r="E1614">
        <v>0.99819999999999998</v>
      </c>
    </row>
    <row r="1615" spans="2:5" x14ac:dyDescent="0.45">
      <c r="B1615" t="s">
        <v>1746</v>
      </c>
      <c r="C1615">
        <v>0.98311203837609484</v>
      </c>
      <c r="D1615">
        <v>38.5</v>
      </c>
      <c r="E1615">
        <v>0.99790000000000001</v>
      </c>
    </row>
    <row r="1616" spans="2:5" x14ac:dyDescent="0.45">
      <c r="B1616" t="s">
        <v>1747</v>
      </c>
      <c r="C1616">
        <v>2.2343455417638518</v>
      </c>
      <c r="D1616">
        <v>83.600000000000009</v>
      </c>
      <c r="E1616">
        <v>0.99543999999999999</v>
      </c>
    </row>
    <row r="1617" spans="2:5" x14ac:dyDescent="0.45">
      <c r="B1617" t="s">
        <v>1748</v>
      </c>
      <c r="C1617">
        <v>0.49155601918804742</v>
      </c>
      <c r="D1617">
        <v>51.7</v>
      </c>
      <c r="E1617">
        <v>0.99717999999999996</v>
      </c>
    </row>
    <row r="1618" spans="2:5" x14ac:dyDescent="0.45">
      <c r="B1618" t="s">
        <v>1749</v>
      </c>
      <c r="C1618">
        <v>0.98311203837609484</v>
      </c>
      <c r="D1618">
        <v>9.9</v>
      </c>
      <c r="E1618">
        <v>0.99946000000000002</v>
      </c>
    </row>
    <row r="1619" spans="2:5" x14ac:dyDescent="0.45">
      <c r="B1619" t="s">
        <v>1750</v>
      </c>
      <c r="C1619">
        <v>0.98311203837609484</v>
      </c>
      <c r="D1619">
        <v>63.800000000000004</v>
      </c>
      <c r="E1619">
        <v>0.99651999999999996</v>
      </c>
    </row>
    <row r="1620" spans="2:5" x14ac:dyDescent="0.45">
      <c r="B1620" t="s">
        <v>1751</v>
      </c>
      <c r="C1620">
        <v>2.2343455417638518</v>
      </c>
      <c r="D1620">
        <v>141.9</v>
      </c>
      <c r="E1620">
        <v>0.99226000000000003</v>
      </c>
    </row>
    <row r="1621" spans="2:5" x14ac:dyDescent="0.45">
      <c r="B1621" t="s">
        <v>1752</v>
      </c>
      <c r="C1621">
        <v>2.2343455417638518</v>
      </c>
      <c r="D1621">
        <v>1.1000000000000001</v>
      </c>
      <c r="E1621">
        <v>0.99994000000000005</v>
      </c>
    </row>
    <row r="1622" spans="2:5" x14ac:dyDescent="0.45">
      <c r="B1622" t="s">
        <v>1753</v>
      </c>
      <c r="C1622">
        <v>4.4686910835277036</v>
      </c>
      <c r="D1622">
        <v>5.5</v>
      </c>
      <c r="E1622">
        <v>0.99970000000000003</v>
      </c>
    </row>
    <row r="1623" spans="2:5" x14ac:dyDescent="0.45">
      <c r="B1623" t="s">
        <v>1754</v>
      </c>
      <c r="C1623">
        <v>0.49155601918804742</v>
      </c>
      <c r="D1623">
        <v>5.5</v>
      </c>
      <c r="E1623">
        <v>0.99970000000000003</v>
      </c>
    </row>
    <row r="1624" spans="2:5" x14ac:dyDescent="0.45">
      <c r="B1624" t="s">
        <v>1755</v>
      </c>
      <c r="C1624">
        <v>0.98311203837609484</v>
      </c>
      <c r="D1624">
        <v>40.700000000000003</v>
      </c>
      <c r="E1624">
        <v>0.99778</v>
      </c>
    </row>
    <row r="1625" spans="2:5" x14ac:dyDescent="0.45">
      <c r="B1625" t="s">
        <v>1756</v>
      </c>
      <c r="C1625">
        <v>0.49155601918804742</v>
      </c>
      <c r="D1625">
        <v>2.2000000000000002</v>
      </c>
      <c r="E1625">
        <v>0.99987999999999999</v>
      </c>
    </row>
    <row r="1626" spans="2:5" x14ac:dyDescent="0.45">
      <c r="B1626" t="s">
        <v>1757</v>
      </c>
      <c r="C1626">
        <v>0.49155601918804742</v>
      </c>
      <c r="D1626">
        <v>3.3000000000000003</v>
      </c>
      <c r="E1626">
        <v>0.99982000000000004</v>
      </c>
    </row>
    <row r="1627" spans="2:5" x14ac:dyDescent="0.45">
      <c r="B1627" t="s">
        <v>1758</v>
      </c>
      <c r="C1627">
        <v>2.2343455417638518</v>
      </c>
      <c r="D1627">
        <v>11</v>
      </c>
      <c r="E1627">
        <v>0.99939999999999996</v>
      </c>
    </row>
    <row r="1628" spans="2:5" x14ac:dyDescent="0.45">
      <c r="B1628" t="s">
        <v>1759</v>
      </c>
      <c r="C1628">
        <v>2.2343455417638518</v>
      </c>
      <c r="D1628">
        <v>105.60000000000001</v>
      </c>
      <c r="E1628">
        <v>0.99424000000000001</v>
      </c>
    </row>
    <row r="1629" spans="2:5" x14ac:dyDescent="0.45">
      <c r="B1629" t="s">
        <v>1760</v>
      </c>
      <c r="C1629">
        <v>0.49155601918804742</v>
      </c>
      <c r="D1629">
        <v>14.3</v>
      </c>
      <c r="E1629">
        <v>0.99922</v>
      </c>
    </row>
    <row r="1630" spans="2:5" x14ac:dyDescent="0.45">
      <c r="B1630" t="s">
        <v>1761</v>
      </c>
      <c r="C1630">
        <v>0.98311203837609484</v>
      </c>
      <c r="D1630">
        <v>5.5</v>
      </c>
      <c r="E1630">
        <v>0.99970000000000003</v>
      </c>
    </row>
    <row r="1631" spans="2:5" x14ac:dyDescent="0.45">
      <c r="B1631" t="s">
        <v>1762</v>
      </c>
      <c r="C1631">
        <v>0.98311203837609484</v>
      </c>
      <c r="D1631">
        <v>59.400000000000006</v>
      </c>
      <c r="E1631">
        <v>0.99675999999999998</v>
      </c>
    </row>
    <row r="1632" spans="2:5" x14ac:dyDescent="0.45">
      <c r="B1632" t="s">
        <v>1763</v>
      </c>
      <c r="C1632">
        <v>0.98311203837609484</v>
      </c>
      <c r="D1632">
        <v>24.200000000000003</v>
      </c>
      <c r="E1632">
        <v>0.99868000000000001</v>
      </c>
    </row>
    <row r="1633" spans="2:5" x14ac:dyDescent="0.45">
      <c r="B1633" t="s">
        <v>1764</v>
      </c>
      <c r="C1633">
        <v>0.98311203837609484</v>
      </c>
      <c r="D1633">
        <v>27.500000000000004</v>
      </c>
      <c r="E1633">
        <v>0.99850000000000005</v>
      </c>
    </row>
    <row r="1634" spans="2:5" x14ac:dyDescent="0.45">
      <c r="B1634" t="s">
        <v>1765</v>
      </c>
      <c r="C1634">
        <v>0.98311203837609484</v>
      </c>
      <c r="D1634">
        <v>24.200000000000003</v>
      </c>
      <c r="E1634">
        <v>0.99868000000000001</v>
      </c>
    </row>
    <row r="1635" spans="2:5" x14ac:dyDescent="0.45">
      <c r="B1635" t="s">
        <v>1766</v>
      </c>
      <c r="C1635">
        <v>4.4686910835277036</v>
      </c>
      <c r="D1635">
        <v>5.5</v>
      </c>
      <c r="E1635">
        <v>0.99970000000000003</v>
      </c>
    </row>
    <row r="1636" spans="2:5" x14ac:dyDescent="0.45">
      <c r="B1636" t="s">
        <v>1767</v>
      </c>
      <c r="C1636">
        <v>0.49155601918804742</v>
      </c>
      <c r="D1636">
        <v>69.300000000000011</v>
      </c>
      <c r="E1636">
        <v>0.99621999999999999</v>
      </c>
    </row>
    <row r="1637" spans="2:5" x14ac:dyDescent="0.45">
      <c r="B1637" t="s">
        <v>1768</v>
      </c>
      <c r="C1637">
        <v>0.49155601918804742</v>
      </c>
      <c r="D1637">
        <v>33</v>
      </c>
      <c r="E1637">
        <v>0.99819999999999998</v>
      </c>
    </row>
    <row r="1638" spans="2:5" x14ac:dyDescent="0.45">
      <c r="B1638" t="s">
        <v>1769</v>
      </c>
      <c r="C1638">
        <v>0.49155601918804742</v>
      </c>
      <c r="D1638">
        <v>42.900000000000006</v>
      </c>
      <c r="E1638">
        <v>0.99765999999999999</v>
      </c>
    </row>
    <row r="1639" spans="2:5" x14ac:dyDescent="0.45">
      <c r="B1639" t="s">
        <v>1770</v>
      </c>
      <c r="C1639">
        <v>0.98311203837609484</v>
      </c>
      <c r="D1639">
        <v>16.5</v>
      </c>
      <c r="E1639">
        <v>0.99909999999999999</v>
      </c>
    </row>
    <row r="1640" spans="2:5" x14ac:dyDescent="0.45">
      <c r="B1640" t="s">
        <v>1771</v>
      </c>
      <c r="C1640">
        <v>0.98311203837609484</v>
      </c>
      <c r="D1640">
        <v>25.3</v>
      </c>
      <c r="E1640">
        <v>0.99861999999999995</v>
      </c>
    </row>
    <row r="1641" spans="2:5" x14ac:dyDescent="0.45">
      <c r="B1641" t="s">
        <v>1772</v>
      </c>
      <c r="C1641">
        <v>0.98311203837609484</v>
      </c>
      <c r="D1641">
        <v>29.700000000000003</v>
      </c>
      <c r="E1641">
        <v>0.99838000000000005</v>
      </c>
    </row>
    <row r="1642" spans="2:5" x14ac:dyDescent="0.45">
      <c r="B1642" t="s">
        <v>1773</v>
      </c>
      <c r="C1642">
        <v>0.98311203837609484</v>
      </c>
      <c r="D1642">
        <v>69.300000000000011</v>
      </c>
      <c r="E1642">
        <v>0.99621999999999999</v>
      </c>
    </row>
    <row r="1643" spans="2:5" x14ac:dyDescent="0.45">
      <c r="B1643" t="s">
        <v>1774</v>
      </c>
      <c r="C1643">
        <v>0.49155601918804742</v>
      </c>
      <c r="D1643">
        <v>151.80000000000001</v>
      </c>
      <c r="E1643">
        <v>0.99172000000000005</v>
      </c>
    </row>
    <row r="1644" spans="2:5" x14ac:dyDescent="0.45">
      <c r="B1644" t="s">
        <v>1775</v>
      </c>
      <c r="C1644">
        <v>0.98311203837609484</v>
      </c>
      <c r="D1644">
        <v>19.8</v>
      </c>
      <c r="E1644">
        <v>0.99892000000000003</v>
      </c>
    </row>
    <row r="1645" spans="2:5" x14ac:dyDescent="0.45">
      <c r="B1645" t="s">
        <v>1776</v>
      </c>
      <c r="C1645">
        <v>4.4686910835277036</v>
      </c>
      <c r="D1645">
        <v>4.4000000000000004</v>
      </c>
      <c r="E1645">
        <v>0.99975999999999998</v>
      </c>
    </row>
    <row r="1646" spans="2:5" x14ac:dyDescent="0.45">
      <c r="B1646" t="s">
        <v>1777</v>
      </c>
      <c r="C1646">
        <v>4.4686910835277036</v>
      </c>
      <c r="D1646">
        <v>3.3000000000000003</v>
      </c>
      <c r="E1646">
        <v>0.99982000000000004</v>
      </c>
    </row>
    <row r="1647" spans="2:5" x14ac:dyDescent="0.45">
      <c r="B1647" t="s">
        <v>1778</v>
      </c>
      <c r="C1647">
        <v>0.98311203837609484</v>
      </c>
      <c r="D1647">
        <v>35.200000000000003</v>
      </c>
      <c r="E1647">
        <v>0.99807999999999997</v>
      </c>
    </row>
    <row r="1648" spans="2:5" x14ac:dyDescent="0.45">
      <c r="B1648" t="s">
        <v>1779</v>
      </c>
      <c r="C1648">
        <v>0.98311203837609484</v>
      </c>
      <c r="D1648">
        <v>86.9</v>
      </c>
      <c r="E1648">
        <v>0.99526000000000003</v>
      </c>
    </row>
    <row r="1649" spans="2:5" x14ac:dyDescent="0.45">
      <c r="B1649" t="s">
        <v>1780</v>
      </c>
      <c r="C1649">
        <v>0.98311203837609484</v>
      </c>
      <c r="D1649">
        <v>62.7</v>
      </c>
      <c r="E1649">
        <v>0.99658000000000002</v>
      </c>
    </row>
    <row r="1650" spans="2:5" x14ac:dyDescent="0.45">
      <c r="B1650" t="s">
        <v>1781</v>
      </c>
      <c r="C1650">
        <v>0.98311203837609484</v>
      </c>
      <c r="D1650">
        <v>37.400000000000006</v>
      </c>
      <c r="E1650">
        <v>0.99795999999999996</v>
      </c>
    </row>
    <row r="1651" spans="2:5" x14ac:dyDescent="0.45">
      <c r="B1651" t="s">
        <v>1782</v>
      </c>
      <c r="C1651">
        <v>0.98311203837609484</v>
      </c>
      <c r="D1651">
        <v>28.6</v>
      </c>
      <c r="E1651">
        <v>0.99843999999999999</v>
      </c>
    </row>
    <row r="1652" spans="2:5" x14ac:dyDescent="0.45">
      <c r="B1652" t="s">
        <v>1783</v>
      </c>
      <c r="C1652">
        <v>0.49155601918804742</v>
      </c>
      <c r="D1652">
        <v>31.900000000000002</v>
      </c>
      <c r="E1652">
        <v>0.99826000000000004</v>
      </c>
    </row>
    <row r="1653" spans="2:5" x14ac:dyDescent="0.45">
      <c r="B1653" t="s">
        <v>1784</v>
      </c>
      <c r="C1653">
        <v>0.98311203837609484</v>
      </c>
      <c r="D1653">
        <v>3.3000000000000003</v>
      </c>
      <c r="E1653">
        <v>0.99982000000000004</v>
      </c>
    </row>
    <row r="1654" spans="2:5" x14ac:dyDescent="0.45">
      <c r="B1654" t="s">
        <v>1785</v>
      </c>
      <c r="C1654">
        <v>0.98311203837609484</v>
      </c>
      <c r="D1654">
        <v>101.2</v>
      </c>
      <c r="E1654">
        <v>0.99448000000000003</v>
      </c>
    </row>
    <row r="1655" spans="2:5" x14ac:dyDescent="0.45">
      <c r="B1655" t="s">
        <v>1786</v>
      </c>
      <c r="C1655">
        <v>0.98311203837609484</v>
      </c>
      <c r="D1655">
        <v>5.5</v>
      </c>
      <c r="E1655">
        <v>0.99970000000000003</v>
      </c>
    </row>
    <row r="1656" spans="2:5" x14ac:dyDescent="0.45">
      <c r="B1656" t="s">
        <v>1787</v>
      </c>
      <c r="C1656">
        <v>0.98311203837609484</v>
      </c>
      <c r="D1656">
        <v>108.9</v>
      </c>
      <c r="E1656">
        <v>0.99406000000000005</v>
      </c>
    </row>
    <row r="1657" spans="2:5" x14ac:dyDescent="0.45">
      <c r="B1657" t="s">
        <v>1788</v>
      </c>
      <c r="C1657">
        <v>0.98311203837609484</v>
      </c>
      <c r="D1657">
        <v>50.6</v>
      </c>
      <c r="E1657">
        <v>0.99724000000000002</v>
      </c>
    </row>
    <row r="1658" spans="2:5" x14ac:dyDescent="0.45">
      <c r="B1658" t="s">
        <v>1789</v>
      </c>
      <c r="C1658">
        <v>0.49155601918804742</v>
      </c>
      <c r="D1658">
        <v>85.800000000000011</v>
      </c>
      <c r="E1658">
        <v>0.99531999999999998</v>
      </c>
    </row>
    <row r="1659" spans="2:5" x14ac:dyDescent="0.45">
      <c r="B1659" t="s">
        <v>1790</v>
      </c>
      <c r="C1659">
        <v>0.98311203837609484</v>
      </c>
      <c r="D1659">
        <v>74.800000000000011</v>
      </c>
      <c r="E1659">
        <v>0.99592000000000003</v>
      </c>
    </row>
    <row r="1660" spans="2:5" x14ac:dyDescent="0.45">
      <c r="B1660" t="s">
        <v>1791</v>
      </c>
      <c r="C1660">
        <v>0.98311203837609484</v>
      </c>
      <c r="D1660">
        <v>42.900000000000006</v>
      </c>
      <c r="E1660">
        <v>0.99765999999999999</v>
      </c>
    </row>
    <row r="1661" spans="2:5" x14ac:dyDescent="0.45">
      <c r="B1661" t="s">
        <v>1792</v>
      </c>
      <c r="C1661">
        <v>0.98311203837609484</v>
      </c>
      <c r="D1661">
        <v>3.3000000000000003</v>
      </c>
      <c r="E1661">
        <v>0.99982000000000004</v>
      </c>
    </row>
    <row r="1662" spans="2:5" x14ac:dyDescent="0.45">
      <c r="B1662" t="s">
        <v>1793</v>
      </c>
      <c r="C1662">
        <v>0.98311203837609484</v>
      </c>
      <c r="D1662">
        <v>3.3000000000000003</v>
      </c>
      <c r="E1662">
        <v>0.99982000000000004</v>
      </c>
    </row>
    <row r="1663" spans="2:5" x14ac:dyDescent="0.45">
      <c r="B1663" t="s">
        <v>1794</v>
      </c>
      <c r="C1663">
        <v>0.49155601918804742</v>
      </c>
      <c r="D1663">
        <v>2.2000000000000002</v>
      </c>
      <c r="E1663">
        <v>0.99987999999999999</v>
      </c>
    </row>
    <row r="1664" spans="2:5" x14ac:dyDescent="0.45">
      <c r="B1664" t="s">
        <v>1795</v>
      </c>
      <c r="C1664">
        <v>1.4746680575641422</v>
      </c>
      <c r="D1664">
        <v>16.5</v>
      </c>
      <c r="E1664">
        <v>0.99909999999999999</v>
      </c>
    </row>
    <row r="1665" spans="2:5" x14ac:dyDescent="0.45">
      <c r="B1665" t="s">
        <v>1796</v>
      </c>
      <c r="C1665">
        <v>0.98311203837609484</v>
      </c>
      <c r="D1665">
        <v>100.10000000000001</v>
      </c>
      <c r="E1665">
        <v>0.99453999999999998</v>
      </c>
    </row>
    <row r="1666" spans="2:5" x14ac:dyDescent="0.45">
      <c r="B1666" t="s">
        <v>1797</v>
      </c>
      <c r="C1666">
        <v>0.49155601918804742</v>
      </c>
      <c r="D1666">
        <v>94.600000000000009</v>
      </c>
      <c r="E1666">
        <v>0.99483999999999995</v>
      </c>
    </row>
    <row r="1667" spans="2:5" x14ac:dyDescent="0.45">
      <c r="B1667" t="s">
        <v>1798</v>
      </c>
      <c r="C1667">
        <v>0.49155601918804742</v>
      </c>
      <c r="D1667">
        <v>7.7000000000000011</v>
      </c>
      <c r="E1667">
        <v>0.99958000000000002</v>
      </c>
    </row>
    <row r="1668" spans="2:5" x14ac:dyDescent="0.45">
      <c r="B1668" t="s">
        <v>1799</v>
      </c>
      <c r="C1668">
        <v>0.98311203837609484</v>
      </c>
      <c r="D1668">
        <v>61.600000000000009</v>
      </c>
      <c r="E1668">
        <v>0.99663999999999997</v>
      </c>
    </row>
    <row r="1669" spans="2:5" x14ac:dyDescent="0.45">
      <c r="B1669" t="s">
        <v>1800</v>
      </c>
      <c r="C1669">
        <v>0.98311203837609484</v>
      </c>
      <c r="D1669">
        <v>12.100000000000001</v>
      </c>
      <c r="E1669">
        <v>0.99934000000000001</v>
      </c>
    </row>
    <row r="1670" spans="2:5" x14ac:dyDescent="0.45">
      <c r="B1670" t="s">
        <v>1801</v>
      </c>
      <c r="C1670">
        <v>8.9373821670554072</v>
      </c>
      <c r="D1670">
        <v>5.5</v>
      </c>
      <c r="E1670">
        <v>0.99970000000000003</v>
      </c>
    </row>
    <row r="1671" spans="2:5" x14ac:dyDescent="0.45">
      <c r="B1671" t="s">
        <v>1802</v>
      </c>
      <c r="C1671">
        <v>2.2343455417638518</v>
      </c>
      <c r="D1671">
        <v>102.30000000000001</v>
      </c>
      <c r="E1671">
        <v>0.99441999999999997</v>
      </c>
    </row>
    <row r="1672" spans="2:5" x14ac:dyDescent="0.45">
      <c r="B1672" t="s">
        <v>1803</v>
      </c>
      <c r="C1672">
        <v>1.9662240767521897</v>
      </c>
      <c r="D1672">
        <v>6.6000000000000005</v>
      </c>
      <c r="E1672">
        <v>0.99963999999999997</v>
      </c>
    </row>
    <row r="1673" spans="2:5" x14ac:dyDescent="0.45">
      <c r="B1673" t="s">
        <v>1804</v>
      </c>
      <c r="C1673">
        <v>0.98311203837609484</v>
      </c>
      <c r="D1673">
        <v>36.300000000000004</v>
      </c>
      <c r="E1673">
        <v>0.99802000000000002</v>
      </c>
    </row>
    <row r="1674" spans="2:5" x14ac:dyDescent="0.45">
      <c r="B1674" t="s">
        <v>1805</v>
      </c>
      <c r="C1674">
        <v>0.98311203837609484</v>
      </c>
      <c r="D1674">
        <v>20.900000000000002</v>
      </c>
      <c r="E1674">
        <v>0.99885999999999997</v>
      </c>
    </row>
    <row r="1675" spans="2:5" x14ac:dyDescent="0.45">
      <c r="B1675" t="s">
        <v>1806</v>
      </c>
      <c r="C1675">
        <v>0.49155601918804742</v>
      </c>
      <c r="D1675">
        <v>7.7000000000000011</v>
      </c>
      <c r="E1675">
        <v>0.99958000000000002</v>
      </c>
    </row>
    <row r="1676" spans="2:5" x14ac:dyDescent="0.45">
      <c r="B1676" t="s">
        <v>1807</v>
      </c>
      <c r="C1676">
        <v>0.98311203837609484</v>
      </c>
      <c r="D1676">
        <v>9.9</v>
      </c>
      <c r="E1676">
        <v>0.99946000000000002</v>
      </c>
    </row>
    <row r="1677" spans="2:5" x14ac:dyDescent="0.45">
      <c r="B1677" t="s">
        <v>1808</v>
      </c>
      <c r="C1677">
        <v>0.49155601918804742</v>
      </c>
      <c r="D1677">
        <v>16.5</v>
      </c>
      <c r="E1677">
        <v>0.99909999999999999</v>
      </c>
    </row>
    <row r="1678" spans="2:5" x14ac:dyDescent="0.45">
      <c r="B1678" t="s">
        <v>1809</v>
      </c>
      <c r="C1678">
        <v>1.9662240767521897</v>
      </c>
      <c r="D1678">
        <v>4.4000000000000004</v>
      </c>
      <c r="E1678">
        <v>0.99975999999999998</v>
      </c>
    </row>
    <row r="1679" spans="2:5" x14ac:dyDescent="0.45">
      <c r="B1679" t="s">
        <v>1810</v>
      </c>
      <c r="C1679">
        <v>4.4686910835277036</v>
      </c>
      <c r="D1679">
        <v>6.6000000000000005</v>
      </c>
      <c r="E1679">
        <v>0.99963999999999997</v>
      </c>
    </row>
    <row r="1680" spans="2:5" x14ac:dyDescent="0.45">
      <c r="B1680" t="s">
        <v>1811</v>
      </c>
      <c r="C1680">
        <v>2.2343455417638518</v>
      </c>
      <c r="D1680">
        <v>24.200000000000003</v>
      </c>
      <c r="E1680">
        <v>0.99868000000000001</v>
      </c>
    </row>
    <row r="1681" spans="2:5" x14ac:dyDescent="0.45">
      <c r="B1681" t="s">
        <v>1812</v>
      </c>
      <c r="C1681">
        <v>0.98311203837609484</v>
      </c>
      <c r="D1681">
        <v>18.700000000000003</v>
      </c>
      <c r="E1681">
        <v>0.99897999999999998</v>
      </c>
    </row>
    <row r="1682" spans="2:5" x14ac:dyDescent="0.45">
      <c r="B1682" t="s">
        <v>1813</v>
      </c>
      <c r="C1682">
        <v>0.98311203837609484</v>
      </c>
      <c r="D1682">
        <v>28.6</v>
      </c>
      <c r="E1682">
        <v>0.99843999999999999</v>
      </c>
    </row>
    <row r="1683" spans="2:5" x14ac:dyDescent="0.45">
      <c r="B1683" t="s">
        <v>1814</v>
      </c>
      <c r="C1683">
        <v>0.98311203837609484</v>
      </c>
      <c r="D1683">
        <v>14.3</v>
      </c>
      <c r="E1683">
        <v>0.99922</v>
      </c>
    </row>
    <row r="1684" spans="2:5" x14ac:dyDescent="0.45">
      <c r="B1684" t="s">
        <v>1815</v>
      </c>
      <c r="C1684">
        <v>0.49155601918804742</v>
      </c>
      <c r="D1684">
        <v>27.500000000000004</v>
      </c>
      <c r="E1684">
        <v>0.99850000000000005</v>
      </c>
    </row>
    <row r="1685" spans="2:5" x14ac:dyDescent="0.45">
      <c r="B1685" t="s">
        <v>1816</v>
      </c>
      <c r="C1685">
        <v>0.98311203837609484</v>
      </c>
      <c r="D1685">
        <v>35.200000000000003</v>
      </c>
      <c r="E1685">
        <v>0.99807999999999997</v>
      </c>
    </row>
    <row r="1686" spans="2:5" x14ac:dyDescent="0.45">
      <c r="B1686" t="s">
        <v>1817</v>
      </c>
      <c r="C1686">
        <v>0.49155601918804742</v>
      </c>
      <c r="D1686">
        <v>25.3</v>
      </c>
      <c r="E1686">
        <v>0.99861999999999995</v>
      </c>
    </row>
    <row r="1687" spans="2:5" x14ac:dyDescent="0.45">
      <c r="B1687" t="s">
        <v>1818</v>
      </c>
      <c r="C1687">
        <v>0.98311203837609484</v>
      </c>
      <c r="D1687">
        <v>22</v>
      </c>
      <c r="E1687">
        <v>0.99880000000000002</v>
      </c>
    </row>
    <row r="1688" spans="2:5" x14ac:dyDescent="0.45">
      <c r="B1688" t="s">
        <v>1819</v>
      </c>
      <c r="C1688">
        <v>0.98311203837609484</v>
      </c>
      <c r="D1688">
        <v>35.200000000000003</v>
      </c>
      <c r="E1688">
        <v>0.99807999999999997</v>
      </c>
    </row>
    <row r="1689" spans="2:5" x14ac:dyDescent="0.45">
      <c r="B1689" t="s">
        <v>1820</v>
      </c>
      <c r="C1689">
        <v>0.98311203837609484</v>
      </c>
      <c r="D1689">
        <v>20.900000000000002</v>
      </c>
      <c r="E1689">
        <v>0.99885999999999997</v>
      </c>
    </row>
    <row r="1690" spans="2:5" x14ac:dyDescent="0.45">
      <c r="B1690" t="s">
        <v>1821</v>
      </c>
      <c r="C1690">
        <v>0.98311203837609484</v>
      </c>
      <c r="D1690">
        <v>18.700000000000003</v>
      </c>
      <c r="E1690">
        <v>0.99897999999999998</v>
      </c>
    </row>
    <row r="1691" spans="2:5" x14ac:dyDescent="0.45">
      <c r="B1691" t="s">
        <v>1822</v>
      </c>
      <c r="C1691">
        <v>0.98311203837609484</v>
      </c>
      <c r="D1691">
        <v>7.7000000000000011</v>
      </c>
      <c r="E1691">
        <v>0.99958000000000002</v>
      </c>
    </row>
    <row r="1692" spans="2:5" x14ac:dyDescent="0.45">
      <c r="B1692" t="s">
        <v>1823</v>
      </c>
      <c r="C1692">
        <v>0.98311203837609484</v>
      </c>
      <c r="D1692">
        <v>19.8</v>
      </c>
      <c r="E1692">
        <v>0.99892000000000003</v>
      </c>
    </row>
    <row r="1693" spans="2:5" x14ac:dyDescent="0.45">
      <c r="B1693" t="s">
        <v>1824</v>
      </c>
      <c r="C1693">
        <v>0.98311203837609484</v>
      </c>
      <c r="D1693">
        <v>18.700000000000003</v>
      </c>
      <c r="E1693">
        <v>0.99897999999999998</v>
      </c>
    </row>
    <row r="1694" spans="2:5" x14ac:dyDescent="0.45">
      <c r="B1694" t="s">
        <v>1825</v>
      </c>
      <c r="C1694">
        <v>0.49155601918804742</v>
      </c>
      <c r="D1694">
        <v>18.700000000000003</v>
      </c>
      <c r="E1694">
        <v>0.99897999999999998</v>
      </c>
    </row>
    <row r="1695" spans="2:5" x14ac:dyDescent="0.45">
      <c r="B1695" t="s">
        <v>1826</v>
      </c>
      <c r="C1695">
        <v>0.98311203837609484</v>
      </c>
      <c r="D1695">
        <v>5.5</v>
      </c>
      <c r="E1695">
        <v>0.99970000000000003</v>
      </c>
    </row>
    <row r="1696" spans="2:5" x14ac:dyDescent="0.45">
      <c r="B1696" t="s">
        <v>1827</v>
      </c>
      <c r="C1696">
        <v>0.98311203837609484</v>
      </c>
      <c r="D1696">
        <v>19.8</v>
      </c>
      <c r="E1696">
        <v>0.99892000000000003</v>
      </c>
    </row>
    <row r="1697" spans="2:5" x14ac:dyDescent="0.45">
      <c r="B1697" t="s">
        <v>1828</v>
      </c>
      <c r="C1697">
        <v>4.4686910835277036</v>
      </c>
      <c r="D1697">
        <v>2.2000000000000002</v>
      </c>
      <c r="E1697">
        <v>0.99987999999999999</v>
      </c>
    </row>
    <row r="1698" spans="2:5" x14ac:dyDescent="0.45">
      <c r="B1698" t="s">
        <v>1829</v>
      </c>
      <c r="C1698">
        <v>4.4686910835277036</v>
      </c>
      <c r="D1698">
        <v>3.3000000000000003</v>
      </c>
      <c r="E1698">
        <v>0.99982000000000004</v>
      </c>
    </row>
    <row r="1699" spans="2:5" x14ac:dyDescent="0.45">
      <c r="B1699" t="s">
        <v>1830</v>
      </c>
      <c r="C1699">
        <v>1.9662240767521897</v>
      </c>
      <c r="D1699">
        <v>3.3000000000000003</v>
      </c>
      <c r="E1699">
        <v>0.99982000000000004</v>
      </c>
    </row>
    <row r="1700" spans="2:5" x14ac:dyDescent="0.45">
      <c r="B1700" t="s">
        <v>1831</v>
      </c>
      <c r="C1700">
        <v>0.98311203837609484</v>
      </c>
      <c r="D1700">
        <v>17.600000000000001</v>
      </c>
      <c r="E1700">
        <v>0.99904000000000004</v>
      </c>
    </row>
    <row r="1701" spans="2:5" x14ac:dyDescent="0.45">
      <c r="B1701" t="s">
        <v>1832</v>
      </c>
      <c r="C1701">
        <v>1.9662240767521897</v>
      </c>
      <c r="D1701">
        <v>15.400000000000002</v>
      </c>
      <c r="E1701">
        <v>0.99916000000000005</v>
      </c>
    </row>
    <row r="1702" spans="2:5" x14ac:dyDescent="0.45">
      <c r="B1702" t="s">
        <v>1833</v>
      </c>
      <c r="C1702">
        <v>0.98311203837609484</v>
      </c>
      <c r="D1702">
        <v>55.000000000000007</v>
      </c>
      <c r="E1702">
        <v>0.997</v>
      </c>
    </row>
    <row r="1703" spans="2:5" x14ac:dyDescent="0.45">
      <c r="B1703" t="s">
        <v>1834</v>
      </c>
      <c r="C1703">
        <v>0.98311203837609484</v>
      </c>
      <c r="D1703">
        <v>30.800000000000004</v>
      </c>
      <c r="E1703">
        <v>0.99831999999999999</v>
      </c>
    </row>
    <row r="1704" spans="2:5" x14ac:dyDescent="0.45">
      <c r="B1704" t="s">
        <v>1835</v>
      </c>
      <c r="C1704">
        <v>0.98311203837609484</v>
      </c>
      <c r="D1704">
        <v>6.6000000000000005</v>
      </c>
      <c r="E1704">
        <v>0.99963999999999997</v>
      </c>
    </row>
    <row r="1705" spans="2:5" x14ac:dyDescent="0.45">
      <c r="B1705" t="s">
        <v>1836</v>
      </c>
      <c r="C1705">
        <v>0.98311203837609484</v>
      </c>
      <c r="D1705">
        <v>8.8000000000000007</v>
      </c>
      <c r="E1705">
        <v>0.99951999999999996</v>
      </c>
    </row>
    <row r="1706" spans="2:5" x14ac:dyDescent="0.45">
      <c r="B1706" t="s">
        <v>1837</v>
      </c>
      <c r="C1706">
        <v>1.9662240767521897</v>
      </c>
      <c r="D1706">
        <v>37.400000000000006</v>
      </c>
      <c r="E1706">
        <v>0.99795999999999996</v>
      </c>
    </row>
    <row r="1707" spans="2:5" x14ac:dyDescent="0.45">
      <c r="B1707" t="s">
        <v>1838</v>
      </c>
      <c r="C1707">
        <v>4.4686910835277036</v>
      </c>
      <c r="D1707">
        <v>6.6000000000000005</v>
      </c>
      <c r="E1707">
        <v>0.99963999999999997</v>
      </c>
    </row>
    <row r="1708" spans="2:5" x14ac:dyDescent="0.45">
      <c r="B1708" t="s">
        <v>1839</v>
      </c>
      <c r="C1708">
        <v>0.49155601918804742</v>
      </c>
      <c r="D1708">
        <v>15.400000000000002</v>
      </c>
      <c r="E1708">
        <v>0.99916000000000005</v>
      </c>
    </row>
    <row r="1709" spans="2:5" x14ac:dyDescent="0.45">
      <c r="B1709" t="s">
        <v>1840</v>
      </c>
      <c r="C1709">
        <v>0.49155601918804742</v>
      </c>
      <c r="D1709">
        <v>50.6</v>
      </c>
      <c r="E1709">
        <v>0.99724000000000002</v>
      </c>
    </row>
    <row r="1710" spans="2:5" x14ac:dyDescent="0.45">
      <c r="B1710" t="s">
        <v>1841</v>
      </c>
      <c r="C1710">
        <v>4.4686910835277036</v>
      </c>
      <c r="D1710">
        <v>6.6000000000000005</v>
      </c>
      <c r="E1710">
        <v>0.99963999999999997</v>
      </c>
    </row>
    <row r="1711" spans="2:5" x14ac:dyDescent="0.45">
      <c r="B1711" t="s">
        <v>1842</v>
      </c>
      <c r="C1711">
        <v>0.98311203837609484</v>
      </c>
      <c r="D1711">
        <v>7.7000000000000011</v>
      </c>
      <c r="E1711">
        <v>0.99958000000000002</v>
      </c>
    </row>
    <row r="1712" spans="2:5" x14ac:dyDescent="0.45">
      <c r="B1712" t="s">
        <v>1843</v>
      </c>
      <c r="C1712">
        <v>0.98311203837609484</v>
      </c>
      <c r="D1712">
        <v>15.400000000000002</v>
      </c>
      <c r="E1712">
        <v>0.99916000000000005</v>
      </c>
    </row>
    <row r="1713" spans="2:5" x14ac:dyDescent="0.45">
      <c r="B1713" t="s">
        <v>1844</v>
      </c>
      <c r="C1713">
        <v>0.49155601918804742</v>
      </c>
      <c r="D1713">
        <v>72.600000000000009</v>
      </c>
      <c r="E1713">
        <v>0.99604000000000004</v>
      </c>
    </row>
    <row r="1714" spans="2:5" x14ac:dyDescent="0.45">
      <c r="B1714" t="s">
        <v>1845</v>
      </c>
      <c r="C1714">
        <v>0.98311203837609484</v>
      </c>
      <c r="D1714">
        <v>15.400000000000002</v>
      </c>
      <c r="E1714">
        <v>0.99916000000000005</v>
      </c>
    </row>
    <row r="1715" spans="2:5" x14ac:dyDescent="0.45">
      <c r="B1715" t="s">
        <v>1846</v>
      </c>
      <c r="C1715">
        <v>2.2343455417638518</v>
      </c>
      <c r="D1715">
        <v>3.3000000000000003</v>
      </c>
      <c r="E1715">
        <v>0.99982000000000004</v>
      </c>
    </row>
    <row r="1716" spans="2:5" x14ac:dyDescent="0.45">
      <c r="B1716" t="s">
        <v>1847</v>
      </c>
      <c r="C1716">
        <v>0.98311203837609484</v>
      </c>
      <c r="D1716">
        <v>16.5</v>
      </c>
      <c r="E1716">
        <v>0.99909999999999999</v>
      </c>
    </row>
    <row r="1717" spans="2:5" x14ac:dyDescent="0.45">
      <c r="B1717" t="s">
        <v>1848</v>
      </c>
      <c r="C1717">
        <v>0.49155601918804742</v>
      </c>
      <c r="D1717">
        <v>103.4</v>
      </c>
      <c r="E1717">
        <v>0.99436000000000002</v>
      </c>
    </row>
    <row r="1718" spans="2:5" x14ac:dyDescent="0.45">
      <c r="B1718" t="s">
        <v>1849</v>
      </c>
      <c r="C1718">
        <v>0.49155601918804742</v>
      </c>
      <c r="D1718">
        <v>63.800000000000004</v>
      </c>
      <c r="E1718">
        <v>0.99651999999999996</v>
      </c>
    </row>
    <row r="1719" spans="2:5" x14ac:dyDescent="0.45">
      <c r="B1719" t="s">
        <v>1850</v>
      </c>
      <c r="C1719">
        <v>0.49155601918804742</v>
      </c>
      <c r="D1719">
        <v>4.4000000000000004</v>
      </c>
      <c r="E1719">
        <v>0.99975999999999998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0288-ED53-4E25-A7BB-0914B2DDA0B7}">
  <dimension ref="B9:L29"/>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ht="409.5" x14ac:dyDescent="0.45">
      <c r="B11">
        <v>2030</v>
      </c>
      <c r="C11" t="s">
        <v>102</v>
      </c>
      <c r="D11" t="s">
        <v>103</v>
      </c>
      <c r="E11">
        <v>0.3</v>
      </c>
      <c r="F11" t="s">
        <v>104</v>
      </c>
      <c r="G11" t="s">
        <v>105</v>
      </c>
      <c r="H11" t="s">
        <v>106</v>
      </c>
      <c r="I11" s="12">
        <v>45061</v>
      </c>
      <c r="J11" t="s">
        <v>107</v>
      </c>
      <c r="K11" t="s">
        <v>108</v>
      </c>
      <c r="L11" s="13" t="s">
        <v>109</v>
      </c>
    </row>
    <row r="12" spans="2:12" x14ac:dyDescent="0.45">
      <c r="B12">
        <v>2030</v>
      </c>
      <c r="C12" t="s">
        <v>102</v>
      </c>
      <c r="D12" t="s">
        <v>103</v>
      </c>
      <c r="E12">
        <v>16.3</v>
      </c>
      <c r="F12" t="s">
        <v>104</v>
      </c>
      <c r="G12" t="s">
        <v>110</v>
      </c>
      <c r="H12" t="s">
        <v>111</v>
      </c>
      <c r="I12" s="12">
        <v>45762</v>
      </c>
      <c r="J12" t="s">
        <v>112</v>
      </c>
      <c r="K12" t="s">
        <v>113</v>
      </c>
      <c r="L12" t="s">
        <v>114</v>
      </c>
    </row>
    <row r="13" spans="2:12" ht="409.5" x14ac:dyDescent="0.45">
      <c r="B13">
        <v>2030</v>
      </c>
      <c r="C13" t="s">
        <v>115</v>
      </c>
      <c r="D13" t="s">
        <v>103</v>
      </c>
      <c r="E13">
        <v>2.27</v>
      </c>
      <c r="F13" t="s">
        <v>104</v>
      </c>
      <c r="G13" t="s">
        <v>105</v>
      </c>
      <c r="H13" t="s">
        <v>106</v>
      </c>
      <c r="I13" s="12">
        <v>45061</v>
      </c>
      <c r="J13" t="s">
        <v>107</v>
      </c>
      <c r="K13" t="s">
        <v>108</v>
      </c>
      <c r="L13" s="13" t="s">
        <v>109</v>
      </c>
    </row>
    <row r="14" spans="2:12" x14ac:dyDescent="0.45">
      <c r="B14">
        <v>2030</v>
      </c>
      <c r="C14" t="s">
        <v>115</v>
      </c>
      <c r="D14" t="s">
        <v>103</v>
      </c>
      <c r="E14">
        <v>4.8810000000000002</v>
      </c>
      <c r="F14" t="s">
        <v>104</v>
      </c>
      <c r="G14" t="s">
        <v>110</v>
      </c>
      <c r="H14" t="s">
        <v>111</v>
      </c>
      <c r="I14" s="12">
        <v>45762</v>
      </c>
      <c r="J14" t="s">
        <v>112</v>
      </c>
      <c r="K14" t="s">
        <v>113</v>
      </c>
      <c r="L14" t="s">
        <v>114</v>
      </c>
    </row>
    <row r="15" spans="2:12" ht="409.5" x14ac:dyDescent="0.45">
      <c r="B15">
        <v>2030</v>
      </c>
      <c r="C15" t="s">
        <v>116</v>
      </c>
      <c r="D15" t="s">
        <v>103</v>
      </c>
      <c r="E15">
        <v>30.126999999999999</v>
      </c>
      <c r="F15" t="s">
        <v>104</v>
      </c>
      <c r="G15" t="s">
        <v>105</v>
      </c>
      <c r="H15" t="s">
        <v>106</v>
      </c>
      <c r="I15" s="12">
        <v>45061</v>
      </c>
      <c r="J15" t="s">
        <v>107</v>
      </c>
      <c r="K15" t="s">
        <v>108</v>
      </c>
      <c r="L15" s="13" t="s">
        <v>109</v>
      </c>
    </row>
    <row r="16" spans="2:12" ht="409.5" x14ac:dyDescent="0.45">
      <c r="B16">
        <v>2030</v>
      </c>
      <c r="C16" t="s">
        <v>117</v>
      </c>
      <c r="D16" t="s">
        <v>103</v>
      </c>
      <c r="E16">
        <v>37.33</v>
      </c>
      <c r="F16" t="s">
        <v>104</v>
      </c>
      <c r="G16" t="s">
        <v>105</v>
      </c>
      <c r="H16" t="s">
        <v>106</v>
      </c>
      <c r="I16" s="12">
        <v>45061</v>
      </c>
      <c r="J16" t="s">
        <v>107</v>
      </c>
      <c r="K16" t="s">
        <v>108</v>
      </c>
      <c r="L16" s="13" t="s">
        <v>109</v>
      </c>
    </row>
    <row r="17" spans="2:12" ht="409.5" x14ac:dyDescent="0.45">
      <c r="B17">
        <v>2030</v>
      </c>
      <c r="C17" t="s">
        <v>118</v>
      </c>
      <c r="D17" t="s">
        <v>103</v>
      </c>
      <c r="E17">
        <v>29.346</v>
      </c>
      <c r="F17" t="s">
        <v>104</v>
      </c>
      <c r="G17" t="s">
        <v>105</v>
      </c>
      <c r="H17" t="s">
        <v>106</v>
      </c>
      <c r="I17" s="12">
        <v>45061</v>
      </c>
      <c r="J17" t="s">
        <v>107</v>
      </c>
      <c r="K17" t="s">
        <v>108</v>
      </c>
      <c r="L17" s="13" t="s">
        <v>109</v>
      </c>
    </row>
    <row r="18" spans="2:12" x14ac:dyDescent="0.45">
      <c r="B18">
        <v>2030</v>
      </c>
      <c r="C18" t="s">
        <v>118</v>
      </c>
      <c r="D18" t="s">
        <v>103</v>
      </c>
      <c r="E18">
        <v>34.667000000000002</v>
      </c>
      <c r="F18" t="s">
        <v>104</v>
      </c>
      <c r="G18" t="s">
        <v>110</v>
      </c>
      <c r="H18" t="s">
        <v>111</v>
      </c>
      <c r="I18" s="12">
        <v>45762</v>
      </c>
      <c r="J18" t="s">
        <v>112</v>
      </c>
      <c r="K18" t="s">
        <v>113</v>
      </c>
      <c r="L18" t="s">
        <v>114</v>
      </c>
    </row>
    <row r="19" spans="2:12" ht="409.5" x14ac:dyDescent="0.45">
      <c r="B19">
        <v>2030</v>
      </c>
      <c r="C19" t="s">
        <v>119</v>
      </c>
      <c r="D19" t="s">
        <v>103</v>
      </c>
      <c r="E19">
        <v>6</v>
      </c>
      <c r="F19" t="s">
        <v>104</v>
      </c>
      <c r="G19" t="s">
        <v>105</v>
      </c>
      <c r="H19" t="s">
        <v>106</v>
      </c>
      <c r="I19" s="12">
        <v>45061</v>
      </c>
      <c r="J19" t="s">
        <v>107</v>
      </c>
      <c r="K19" t="s">
        <v>108</v>
      </c>
      <c r="L19" s="13" t="s">
        <v>109</v>
      </c>
    </row>
    <row r="20" spans="2:12" x14ac:dyDescent="0.45">
      <c r="B20">
        <v>2030</v>
      </c>
      <c r="C20" t="s">
        <v>119</v>
      </c>
      <c r="D20" t="s">
        <v>103</v>
      </c>
      <c r="E20">
        <v>17.032</v>
      </c>
      <c r="F20" t="s">
        <v>104</v>
      </c>
      <c r="G20" t="s">
        <v>110</v>
      </c>
      <c r="H20" t="s">
        <v>111</v>
      </c>
      <c r="I20" s="12">
        <v>45762</v>
      </c>
      <c r="J20" t="s">
        <v>112</v>
      </c>
      <c r="K20" t="s">
        <v>113</v>
      </c>
      <c r="L20" t="s">
        <v>114</v>
      </c>
    </row>
    <row r="21" spans="2:12" ht="409.5" x14ac:dyDescent="0.45">
      <c r="B21">
        <v>2030</v>
      </c>
      <c r="C21" t="s">
        <v>120</v>
      </c>
      <c r="D21" t="s">
        <v>103</v>
      </c>
      <c r="E21">
        <v>21.88</v>
      </c>
      <c r="F21" t="s">
        <v>104</v>
      </c>
      <c r="G21" t="s">
        <v>105</v>
      </c>
      <c r="H21" t="s">
        <v>106</v>
      </c>
      <c r="I21" s="12">
        <v>45061</v>
      </c>
      <c r="J21" t="s">
        <v>107</v>
      </c>
      <c r="K21" t="s">
        <v>108</v>
      </c>
      <c r="L21" s="13" t="s">
        <v>109</v>
      </c>
    </row>
    <row r="22" spans="2:12" x14ac:dyDescent="0.45">
      <c r="B22">
        <v>2030</v>
      </c>
      <c r="C22" t="s">
        <v>120</v>
      </c>
      <c r="D22" t="s">
        <v>103</v>
      </c>
      <c r="E22">
        <v>38.029000000000003</v>
      </c>
      <c r="F22" t="s">
        <v>104</v>
      </c>
      <c r="G22" t="s">
        <v>110</v>
      </c>
      <c r="H22" t="s">
        <v>111</v>
      </c>
      <c r="I22" s="12">
        <v>45762</v>
      </c>
      <c r="J22" t="s">
        <v>112</v>
      </c>
      <c r="K22" t="s">
        <v>113</v>
      </c>
      <c r="L22" t="s">
        <v>114</v>
      </c>
    </row>
    <row r="23" spans="2:12" ht="409.5" x14ac:dyDescent="0.45">
      <c r="B23">
        <v>2030</v>
      </c>
      <c r="C23" t="s">
        <v>121</v>
      </c>
      <c r="D23" t="s">
        <v>103</v>
      </c>
      <c r="E23">
        <v>2.4</v>
      </c>
      <c r="F23" t="s">
        <v>104</v>
      </c>
      <c r="G23" t="s">
        <v>105</v>
      </c>
      <c r="H23" t="s">
        <v>106</v>
      </c>
      <c r="I23" s="12">
        <v>45061</v>
      </c>
      <c r="J23" t="s">
        <v>107</v>
      </c>
      <c r="K23" t="s">
        <v>108</v>
      </c>
      <c r="L23" s="13" t="s">
        <v>109</v>
      </c>
    </row>
    <row r="24" spans="2:12" x14ac:dyDescent="0.45">
      <c r="B24">
        <v>2030</v>
      </c>
      <c r="C24" t="s">
        <v>121</v>
      </c>
      <c r="D24" t="s">
        <v>103</v>
      </c>
      <c r="E24">
        <v>6</v>
      </c>
      <c r="F24" t="s">
        <v>104</v>
      </c>
      <c r="G24" t="s">
        <v>110</v>
      </c>
      <c r="H24" t="s">
        <v>111</v>
      </c>
      <c r="I24" s="12">
        <v>45762</v>
      </c>
      <c r="J24" t="s">
        <v>112</v>
      </c>
      <c r="K24" t="s">
        <v>113</v>
      </c>
      <c r="L24" t="s">
        <v>114</v>
      </c>
    </row>
    <row r="25" spans="2:12" ht="409.5" x14ac:dyDescent="0.45">
      <c r="B25">
        <v>2030</v>
      </c>
      <c r="C25" t="s">
        <v>122</v>
      </c>
      <c r="D25" t="s">
        <v>103</v>
      </c>
      <c r="E25">
        <v>22.58</v>
      </c>
      <c r="F25" t="s">
        <v>104</v>
      </c>
      <c r="G25" t="s">
        <v>105</v>
      </c>
      <c r="H25" t="s">
        <v>106</v>
      </c>
      <c r="I25" s="12">
        <v>45061</v>
      </c>
      <c r="J25" t="s">
        <v>107</v>
      </c>
      <c r="K25" t="s">
        <v>108</v>
      </c>
      <c r="L25" s="13" t="s">
        <v>109</v>
      </c>
    </row>
    <row r="26" spans="2:12" x14ac:dyDescent="0.45">
      <c r="B26">
        <v>2030</v>
      </c>
      <c r="C26" t="s">
        <v>122</v>
      </c>
      <c r="D26" t="s">
        <v>103</v>
      </c>
      <c r="E26">
        <v>73.415999999999997</v>
      </c>
      <c r="F26" t="s">
        <v>104</v>
      </c>
      <c r="G26" t="s">
        <v>110</v>
      </c>
      <c r="H26" t="s">
        <v>111</v>
      </c>
      <c r="I26" s="12">
        <v>45762</v>
      </c>
      <c r="J26" t="s">
        <v>112</v>
      </c>
      <c r="K26" t="s">
        <v>113</v>
      </c>
      <c r="L26" t="s">
        <v>114</v>
      </c>
    </row>
    <row r="27" spans="2:12" ht="409.5" x14ac:dyDescent="0.45">
      <c r="B27">
        <v>2030</v>
      </c>
      <c r="C27" t="s">
        <v>123</v>
      </c>
      <c r="D27" t="s">
        <v>124</v>
      </c>
      <c r="E27">
        <v>567</v>
      </c>
      <c r="F27" t="s">
        <v>104</v>
      </c>
      <c r="G27" t="s">
        <v>105</v>
      </c>
      <c r="H27" t="s">
        <v>106</v>
      </c>
      <c r="I27" s="12">
        <v>45061</v>
      </c>
      <c r="J27" t="s">
        <v>107</v>
      </c>
      <c r="K27" t="s">
        <v>108</v>
      </c>
      <c r="L27" s="13" t="s">
        <v>109</v>
      </c>
    </row>
    <row r="28" spans="2:12" ht="409.5" x14ac:dyDescent="0.45">
      <c r="B28">
        <v>2030</v>
      </c>
      <c r="C28" t="s">
        <v>125</v>
      </c>
      <c r="D28" t="s">
        <v>126</v>
      </c>
      <c r="E28">
        <v>18.8</v>
      </c>
      <c r="F28" t="s">
        <v>104</v>
      </c>
      <c r="G28" t="s">
        <v>105</v>
      </c>
      <c r="H28" t="s">
        <v>106</v>
      </c>
      <c r="I28" s="12">
        <v>45061</v>
      </c>
      <c r="J28" t="s">
        <v>107</v>
      </c>
      <c r="K28" t="s">
        <v>108</v>
      </c>
      <c r="L28" s="13" t="s">
        <v>109</v>
      </c>
    </row>
    <row r="29" spans="2:12" ht="409.5" x14ac:dyDescent="0.45">
      <c r="B29">
        <v>2030</v>
      </c>
      <c r="C29" t="s">
        <v>127</v>
      </c>
      <c r="D29" t="s">
        <v>128</v>
      </c>
      <c r="E29">
        <v>47</v>
      </c>
      <c r="F29" t="s">
        <v>104</v>
      </c>
      <c r="G29" t="s">
        <v>105</v>
      </c>
      <c r="H29" t="s">
        <v>106</v>
      </c>
      <c r="I29" s="12">
        <v>45061</v>
      </c>
      <c r="J29" t="s">
        <v>107</v>
      </c>
      <c r="K29" t="s">
        <v>108</v>
      </c>
      <c r="L29" s="13"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129</v>
      </c>
    </row>
    <row r="10" spans="2:10" x14ac:dyDescent="0.45">
      <c r="B10" t="s">
        <v>130</v>
      </c>
      <c r="C10" t="s">
        <v>69</v>
      </c>
      <c r="D10" t="s">
        <v>70</v>
      </c>
      <c r="E10" t="s">
        <v>71</v>
      </c>
      <c r="F10" t="s">
        <v>72</v>
      </c>
      <c r="G10" t="s">
        <v>73</v>
      </c>
      <c r="H10" t="s">
        <v>74</v>
      </c>
      <c r="I10" t="s">
        <v>75</v>
      </c>
      <c r="J10" t="s">
        <v>76</v>
      </c>
    </row>
    <row r="11" spans="2:10" x14ac:dyDescent="0.45">
      <c r="B11" t="s">
        <v>131</v>
      </c>
      <c r="C11">
        <v>8</v>
      </c>
      <c r="D11">
        <v>15</v>
      </c>
      <c r="E11">
        <v>4</v>
      </c>
      <c r="F11">
        <v>8</v>
      </c>
      <c r="G11">
        <v>0.5</v>
      </c>
      <c r="H11">
        <v>1</v>
      </c>
      <c r="I11">
        <v>1</v>
      </c>
      <c r="J11">
        <v>2</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8</v>
      </c>
      <c r="G20">
        <f>D11</f>
        <v>15</v>
      </c>
      <c r="H20">
        <v>4</v>
      </c>
    </row>
    <row r="21" spans="1:8" x14ac:dyDescent="0.45">
      <c r="A21" t="s">
        <v>12</v>
      </c>
      <c r="B21" t="str">
        <f t="shared" ref="B21:B23" si="0">"uce_buildrate_"&amp;A21</f>
        <v>uce_buildrate_wind</v>
      </c>
      <c r="C21" t="str">
        <f>A21&amp;"*"</f>
        <v>wind*</v>
      </c>
      <c r="D21" t="s">
        <v>80</v>
      </c>
      <c r="E21">
        <v>1</v>
      </c>
      <c r="F21">
        <f>E11</f>
        <v>4</v>
      </c>
      <c r="G21">
        <f>F11</f>
        <v>8</v>
      </c>
      <c r="H21">
        <v>4</v>
      </c>
    </row>
    <row r="22" spans="1:8" x14ac:dyDescent="0.45">
      <c r="A22" t="s">
        <v>6</v>
      </c>
      <c r="B22" t="str">
        <f t="shared" si="0"/>
        <v>uce_buildrate_hydro</v>
      </c>
      <c r="C22" t="str">
        <f t="shared" ref="C22:C23" si="1">A22</f>
        <v>hydro</v>
      </c>
      <c r="D22" t="s">
        <v>80</v>
      </c>
      <c r="E22">
        <v>1</v>
      </c>
      <c r="F22">
        <f>G11</f>
        <v>0.5</v>
      </c>
      <c r="G22">
        <f>H11</f>
        <v>1</v>
      </c>
      <c r="H22">
        <v>4</v>
      </c>
    </row>
    <row r="23" spans="1:8" x14ac:dyDescent="0.45">
      <c r="A23" t="s">
        <v>19</v>
      </c>
      <c r="B23" t="str">
        <f t="shared" si="0"/>
        <v>uce_buildrate_nuclear</v>
      </c>
      <c r="C23" t="str">
        <f t="shared" si="1"/>
        <v>nuclear</v>
      </c>
      <c r="D23" t="s">
        <v>80</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42"/>
  <sheetViews>
    <sheetView workbookViewId="0">
      <selection sqref="A1:D642"/>
    </sheetView>
  </sheetViews>
  <sheetFormatPr defaultRowHeight="14.25" x14ac:dyDescent="0.45"/>
  <sheetData>
    <row r="1" spans="1:4" x14ac:dyDescent="0.45">
      <c r="A1" t="s">
        <v>50</v>
      </c>
      <c r="B1" t="s">
        <v>56</v>
      </c>
      <c r="C1" t="s">
        <v>57</v>
      </c>
      <c r="D1" t="s">
        <v>58</v>
      </c>
    </row>
    <row r="2" spans="1:4" x14ac:dyDescent="0.45">
      <c r="A2" t="s">
        <v>5</v>
      </c>
      <c r="B2">
        <v>2000</v>
      </c>
      <c r="C2" t="s">
        <v>59</v>
      </c>
      <c r="D2">
        <v>3.13</v>
      </c>
    </row>
    <row r="3" spans="1:4" x14ac:dyDescent="0.45">
      <c r="A3" t="s">
        <v>8</v>
      </c>
      <c r="B3">
        <v>2000</v>
      </c>
      <c r="C3" t="s">
        <v>59</v>
      </c>
      <c r="D3">
        <v>4.3600000000000003</v>
      </c>
    </row>
    <row r="4" spans="1:4" x14ac:dyDescent="0.45">
      <c r="A4" t="s">
        <v>6</v>
      </c>
      <c r="B4">
        <v>2000</v>
      </c>
      <c r="C4" t="s">
        <v>59</v>
      </c>
      <c r="D4">
        <v>14.55</v>
      </c>
    </row>
    <row r="5" spans="1:4" x14ac:dyDescent="0.45">
      <c r="A5" t="s">
        <v>23</v>
      </c>
      <c r="B5">
        <v>2000</v>
      </c>
      <c r="C5" t="s">
        <v>59</v>
      </c>
      <c r="D5">
        <v>4.5199999999999996</v>
      </c>
    </row>
    <row r="6" spans="1:4" x14ac:dyDescent="0.45">
      <c r="A6" t="s">
        <v>5</v>
      </c>
      <c r="B6">
        <v>2001</v>
      </c>
      <c r="C6" t="s">
        <v>59</v>
      </c>
      <c r="D6">
        <v>3.22</v>
      </c>
    </row>
    <row r="7" spans="1:4" x14ac:dyDescent="0.45">
      <c r="A7" t="s">
        <v>8</v>
      </c>
      <c r="B7">
        <v>2001</v>
      </c>
      <c r="C7" t="s">
        <v>59</v>
      </c>
      <c r="D7">
        <v>4.42</v>
      </c>
    </row>
    <row r="8" spans="1:4" x14ac:dyDescent="0.45">
      <c r="A8" t="s">
        <v>6</v>
      </c>
      <c r="B8">
        <v>2001</v>
      </c>
      <c r="C8" t="s">
        <v>59</v>
      </c>
      <c r="D8">
        <v>18.21</v>
      </c>
    </row>
    <row r="9" spans="1:4" x14ac:dyDescent="0.45">
      <c r="A9" t="s">
        <v>23</v>
      </c>
      <c r="B9">
        <v>2001</v>
      </c>
      <c r="C9" t="s">
        <v>59</v>
      </c>
      <c r="D9">
        <v>4.76</v>
      </c>
    </row>
    <row r="10" spans="1:4" x14ac:dyDescent="0.45">
      <c r="A10" t="s">
        <v>5</v>
      </c>
      <c r="B10">
        <v>2002</v>
      </c>
      <c r="C10" t="s">
        <v>59</v>
      </c>
      <c r="D10">
        <v>4.88</v>
      </c>
    </row>
    <row r="11" spans="1:4" x14ac:dyDescent="0.45">
      <c r="A11" t="s">
        <v>8</v>
      </c>
      <c r="B11">
        <v>2002</v>
      </c>
      <c r="C11" t="s">
        <v>59</v>
      </c>
      <c r="D11">
        <v>8.33</v>
      </c>
    </row>
    <row r="12" spans="1:4" x14ac:dyDescent="0.45">
      <c r="A12" t="s">
        <v>6</v>
      </c>
      <c r="B12">
        <v>2002</v>
      </c>
      <c r="C12" t="s">
        <v>59</v>
      </c>
      <c r="D12">
        <v>18.2</v>
      </c>
    </row>
    <row r="13" spans="1:4" x14ac:dyDescent="0.45">
      <c r="A13" t="s">
        <v>23</v>
      </c>
      <c r="B13">
        <v>2002</v>
      </c>
      <c r="C13" t="s">
        <v>59</v>
      </c>
      <c r="D13">
        <v>4.3899999999999997</v>
      </c>
    </row>
    <row r="14" spans="1:4" x14ac:dyDescent="0.45">
      <c r="A14" t="s">
        <v>5</v>
      </c>
      <c r="B14">
        <v>2003</v>
      </c>
      <c r="C14" t="s">
        <v>59</v>
      </c>
      <c r="D14">
        <v>7.24</v>
      </c>
    </row>
    <row r="15" spans="1:4" x14ac:dyDescent="0.45">
      <c r="A15" t="s">
        <v>8</v>
      </c>
      <c r="B15">
        <v>2003</v>
      </c>
      <c r="C15" t="s">
        <v>59</v>
      </c>
      <c r="D15">
        <v>12.04</v>
      </c>
    </row>
    <row r="16" spans="1:4" x14ac:dyDescent="0.45">
      <c r="A16" t="s">
        <v>6</v>
      </c>
      <c r="B16">
        <v>2003</v>
      </c>
      <c r="C16" t="s">
        <v>59</v>
      </c>
      <c r="D16">
        <v>18.989999999999998</v>
      </c>
    </row>
    <row r="17" spans="1:4" x14ac:dyDescent="0.45">
      <c r="A17" t="s">
        <v>23</v>
      </c>
      <c r="B17">
        <v>2003</v>
      </c>
      <c r="C17" t="s">
        <v>59</v>
      </c>
      <c r="D17">
        <v>2.66</v>
      </c>
    </row>
    <row r="18" spans="1:4" x14ac:dyDescent="0.45">
      <c r="A18" t="s">
        <v>5</v>
      </c>
      <c r="B18">
        <v>2004</v>
      </c>
      <c r="C18" t="s">
        <v>59</v>
      </c>
      <c r="D18">
        <v>7.17</v>
      </c>
    </row>
    <row r="19" spans="1:4" x14ac:dyDescent="0.45">
      <c r="A19" t="s">
        <v>8</v>
      </c>
      <c r="B19">
        <v>2004</v>
      </c>
      <c r="C19" t="s">
        <v>59</v>
      </c>
      <c r="D19">
        <v>19.53</v>
      </c>
    </row>
    <row r="20" spans="1:4" x14ac:dyDescent="0.45">
      <c r="A20" t="s">
        <v>6</v>
      </c>
      <c r="B20">
        <v>2004</v>
      </c>
      <c r="C20" t="s">
        <v>59</v>
      </c>
      <c r="D20">
        <v>17.82</v>
      </c>
    </row>
    <row r="21" spans="1:4" x14ac:dyDescent="0.45">
      <c r="A21" t="s">
        <v>23</v>
      </c>
      <c r="B21">
        <v>2004</v>
      </c>
      <c r="C21" t="s">
        <v>59</v>
      </c>
      <c r="D21">
        <v>1.68</v>
      </c>
    </row>
    <row r="22" spans="1:4" x14ac:dyDescent="0.45">
      <c r="A22" t="s">
        <v>5</v>
      </c>
      <c r="B22">
        <v>2005</v>
      </c>
      <c r="C22" t="s">
        <v>59</v>
      </c>
      <c r="D22">
        <v>11.01</v>
      </c>
    </row>
    <row r="23" spans="1:4" x14ac:dyDescent="0.45">
      <c r="A23" t="s">
        <v>8</v>
      </c>
      <c r="B23">
        <v>2005</v>
      </c>
      <c r="C23" t="s">
        <v>59</v>
      </c>
      <c r="D23">
        <v>22.32</v>
      </c>
    </row>
    <row r="24" spans="1:4" x14ac:dyDescent="0.45">
      <c r="A24" t="s">
        <v>6</v>
      </c>
      <c r="B24">
        <v>2005</v>
      </c>
      <c r="C24" t="s">
        <v>59</v>
      </c>
      <c r="D24">
        <v>16.53</v>
      </c>
    </row>
    <row r="25" spans="1:4" x14ac:dyDescent="0.45">
      <c r="A25" t="s">
        <v>23</v>
      </c>
      <c r="B25">
        <v>2005</v>
      </c>
      <c r="C25" t="s">
        <v>59</v>
      </c>
      <c r="D25">
        <v>2.17</v>
      </c>
    </row>
    <row r="26" spans="1:4" x14ac:dyDescent="0.45">
      <c r="A26" t="s">
        <v>5</v>
      </c>
      <c r="B26">
        <v>2006</v>
      </c>
      <c r="C26" t="s">
        <v>59</v>
      </c>
      <c r="D26">
        <v>12.23</v>
      </c>
    </row>
    <row r="27" spans="1:4" x14ac:dyDescent="0.45">
      <c r="A27" t="s">
        <v>8</v>
      </c>
      <c r="B27">
        <v>2006</v>
      </c>
      <c r="C27" t="s">
        <v>59</v>
      </c>
      <c r="D27">
        <v>24.5</v>
      </c>
    </row>
    <row r="28" spans="1:4" x14ac:dyDescent="0.45">
      <c r="A28" t="s">
        <v>6</v>
      </c>
      <c r="B28">
        <v>2006</v>
      </c>
      <c r="C28" t="s">
        <v>59</v>
      </c>
      <c r="D28">
        <v>19.71</v>
      </c>
    </row>
    <row r="29" spans="1:4" x14ac:dyDescent="0.45">
      <c r="A29" t="s">
        <v>23</v>
      </c>
      <c r="B29">
        <v>2006</v>
      </c>
      <c r="C29" t="s">
        <v>59</v>
      </c>
      <c r="D29">
        <v>1.4</v>
      </c>
    </row>
    <row r="30" spans="1:4" x14ac:dyDescent="0.45">
      <c r="A30" t="s">
        <v>5</v>
      </c>
      <c r="B30">
        <v>2007</v>
      </c>
      <c r="C30" t="s">
        <v>59</v>
      </c>
      <c r="D30">
        <v>12.36</v>
      </c>
    </row>
    <row r="31" spans="1:4" x14ac:dyDescent="0.45">
      <c r="A31" t="s">
        <v>8</v>
      </c>
      <c r="B31">
        <v>2007</v>
      </c>
      <c r="C31" t="s">
        <v>59</v>
      </c>
      <c r="D31">
        <v>26.62</v>
      </c>
    </row>
    <row r="32" spans="1:4" x14ac:dyDescent="0.45">
      <c r="A32" t="s">
        <v>6</v>
      </c>
      <c r="B32">
        <v>2007</v>
      </c>
      <c r="C32" t="s">
        <v>59</v>
      </c>
      <c r="D32">
        <v>22.44</v>
      </c>
    </row>
    <row r="33" spans="1:4" x14ac:dyDescent="0.45">
      <c r="A33" t="s">
        <v>23</v>
      </c>
      <c r="B33">
        <v>2007</v>
      </c>
      <c r="C33" t="s">
        <v>59</v>
      </c>
      <c r="D33">
        <v>2.66</v>
      </c>
    </row>
    <row r="34" spans="1:4" x14ac:dyDescent="0.45">
      <c r="A34" t="s">
        <v>5</v>
      </c>
      <c r="B34">
        <v>2008</v>
      </c>
      <c r="C34" t="s">
        <v>59</v>
      </c>
      <c r="D34">
        <v>12.29</v>
      </c>
    </row>
    <row r="35" spans="1:4" x14ac:dyDescent="0.45">
      <c r="A35" t="s">
        <v>8</v>
      </c>
      <c r="B35">
        <v>2008</v>
      </c>
      <c r="C35" t="s">
        <v>59</v>
      </c>
      <c r="D35">
        <v>31.06</v>
      </c>
    </row>
    <row r="36" spans="1:4" x14ac:dyDescent="0.45">
      <c r="A36" t="s">
        <v>6</v>
      </c>
      <c r="B36">
        <v>2008</v>
      </c>
      <c r="C36" t="s">
        <v>59</v>
      </c>
      <c r="D36">
        <v>25.98</v>
      </c>
    </row>
    <row r="37" spans="1:4" x14ac:dyDescent="0.45">
      <c r="A37" t="s">
        <v>23</v>
      </c>
      <c r="B37">
        <v>2008</v>
      </c>
      <c r="C37" t="s">
        <v>59</v>
      </c>
      <c r="D37">
        <v>1.57</v>
      </c>
    </row>
    <row r="38" spans="1:4" x14ac:dyDescent="0.45">
      <c r="A38" t="s">
        <v>5</v>
      </c>
      <c r="B38">
        <v>2009</v>
      </c>
      <c r="C38" t="s">
        <v>59</v>
      </c>
      <c r="D38">
        <v>12.45</v>
      </c>
    </row>
    <row r="39" spans="1:4" x14ac:dyDescent="0.45">
      <c r="A39" t="s">
        <v>8</v>
      </c>
      <c r="B39">
        <v>2009</v>
      </c>
      <c r="C39" t="s">
        <v>59</v>
      </c>
      <c r="D39">
        <v>36.36</v>
      </c>
    </row>
    <row r="40" spans="1:4" x14ac:dyDescent="0.45">
      <c r="A40" t="s">
        <v>6</v>
      </c>
      <c r="B40">
        <v>2009</v>
      </c>
      <c r="C40" t="s">
        <v>59</v>
      </c>
      <c r="D40">
        <v>29.98</v>
      </c>
    </row>
    <row r="41" spans="1:4" x14ac:dyDescent="0.45">
      <c r="A41" t="s">
        <v>23</v>
      </c>
      <c r="B41">
        <v>2009</v>
      </c>
      <c r="C41" t="s">
        <v>59</v>
      </c>
      <c r="D41">
        <v>1.78</v>
      </c>
    </row>
    <row r="42" spans="1:4" x14ac:dyDescent="0.45">
      <c r="A42" t="s">
        <v>5</v>
      </c>
      <c r="B42">
        <v>2010</v>
      </c>
      <c r="C42" t="s">
        <v>59</v>
      </c>
      <c r="D42">
        <v>15.88</v>
      </c>
    </row>
    <row r="43" spans="1:4" x14ac:dyDescent="0.45">
      <c r="A43" t="s">
        <v>8</v>
      </c>
      <c r="B43">
        <v>2010</v>
      </c>
      <c r="C43" t="s">
        <v>59</v>
      </c>
      <c r="D43">
        <v>44.69</v>
      </c>
    </row>
    <row r="44" spans="1:4" x14ac:dyDescent="0.45">
      <c r="A44" t="s">
        <v>6</v>
      </c>
      <c r="B44">
        <v>2010</v>
      </c>
      <c r="C44" t="s">
        <v>59</v>
      </c>
      <c r="D44">
        <v>28.52</v>
      </c>
    </row>
    <row r="45" spans="1:4" x14ac:dyDescent="0.45">
      <c r="A45" t="s">
        <v>19</v>
      </c>
      <c r="B45">
        <v>2010</v>
      </c>
      <c r="C45" t="s">
        <v>59</v>
      </c>
      <c r="D45">
        <v>0</v>
      </c>
    </row>
    <row r="46" spans="1:4" x14ac:dyDescent="0.45">
      <c r="A46" t="s">
        <v>23</v>
      </c>
      <c r="B46">
        <v>2010</v>
      </c>
      <c r="C46" t="s">
        <v>59</v>
      </c>
      <c r="D46">
        <v>2.5299999999999998</v>
      </c>
    </row>
    <row r="47" spans="1:4" x14ac:dyDescent="0.45">
      <c r="A47" t="s">
        <v>5</v>
      </c>
      <c r="B47">
        <v>2011</v>
      </c>
      <c r="C47" t="s">
        <v>59</v>
      </c>
      <c r="D47">
        <v>19.940000000000001</v>
      </c>
    </row>
    <row r="48" spans="1:4" x14ac:dyDescent="0.45">
      <c r="A48" t="s">
        <v>8</v>
      </c>
      <c r="B48">
        <v>2011</v>
      </c>
      <c r="C48" t="s">
        <v>59</v>
      </c>
      <c r="D48">
        <v>39.65</v>
      </c>
    </row>
    <row r="49" spans="1:4" x14ac:dyDescent="0.45">
      <c r="A49" t="s">
        <v>6</v>
      </c>
      <c r="B49">
        <v>2011</v>
      </c>
      <c r="C49" t="s">
        <v>59</v>
      </c>
      <c r="D49">
        <v>41.08</v>
      </c>
    </row>
    <row r="50" spans="1:4" x14ac:dyDescent="0.45">
      <c r="A50" t="s">
        <v>19</v>
      </c>
      <c r="B50">
        <v>2011</v>
      </c>
      <c r="C50" t="s">
        <v>59</v>
      </c>
      <c r="D50">
        <v>0</v>
      </c>
    </row>
    <row r="51" spans="1:4" x14ac:dyDescent="0.45">
      <c r="A51" t="s">
        <v>23</v>
      </c>
      <c r="B51">
        <v>2011</v>
      </c>
      <c r="C51" t="s">
        <v>59</v>
      </c>
      <c r="D51">
        <v>0.73</v>
      </c>
    </row>
    <row r="52" spans="1:4" x14ac:dyDescent="0.45">
      <c r="A52" t="s">
        <v>5</v>
      </c>
      <c r="B52">
        <v>2012</v>
      </c>
      <c r="C52" t="s">
        <v>59</v>
      </c>
      <c r="D52">
        <v>21.25</v>
      </c>
    </row>
    <row r="53" spans="1:4" x14ac:dyDescent="0.45">
      <c r="A53" t="s">
        <v>8</v>
      </c>
      <c r="B53">
        <v>2012</v>
      </c>
      <c r="C53" t="s">
        <v>59</v>
      </c>
      <c r="D53">
        <v>40.380000000000003</v>
      </c>
    </row>
    <row r="54" spans="1:4" x14ac:dyDescent="0.45">
      <c r="A54" t="s">
        <v>6</v>
      </c>
      <c r="B54">
        <v>2012</v>
      </c>
      <c r="C54" t="s">
        <v>59</v>
      </c>
      <c r="D54">
        <v>53.31</v>
      </c>
    </row>
    <row r="55" spans="1:4" x14ac:dyDescent="0.45">
      <c r="A55" t="s">
        <v>19</v>
      </c>
      <c r="B55">
        <v>2012</v>
      </c>
      <c r="C55" t="s">
        <v>59</v>
      </c>
      <c r="D55">
        <v>0</v>
      </c>
    </row>
    <row r="56" spans="1:4" x14ac:dyDescent="0.45">
      <c r="A56" t="s">
        <v>23</v>
      </c>
      <c r="B56">
        <v>2012</v>
      </c>
      <c r="C56" t="s">
        <v>59</v>
      </c>
      <c r="D56">
        <v>0.11</v>
      </c>
    </row>
    <row r="57" spans="1:4" x14ac:dyDescent="0.45">
      <c r="A57" t="s">
        <v>5</v>
      </c>
      <c r="B57">
        <v>2013</v>
      </c>
      <c r="C57" t="s">
        <v>59</v>
      </c>
      <c r="D57">
        <v>24.02</v>
      </c>
    </row>
    <row r="58" spans="1:4" x14ac:dyDescent="0.45">
      <c r="A58" t="s">
        <v>8</v>
      </c>
      <c r="B58">
        <v>2013</v>
      </c>
      <c r="C58" t="s">
        <v>59</v>
      </c>
      <c r="D58">
        <v>41.75</v>
      </c>
    </row>
    <row r="59" spans="1:4" x14ac:dyDescent="0.45">
      <c r="A59" t="s">
        <v>6</v>
      </c>
      <c r="B59">
        <v>2013</v>
      </c>
      <c r="C59" t="s">
        <v>59</v>
      </c>
      <c r="D59">
        <v>57.82</v>
      </c>
    </row>
    <row r="60" spans="1:4" x14ac:dyDescent="0.45">
      <c r="A60" t="s">
        <v>19</v>
      </c>
      <c r="B60">
        <v>2013</v>
      </c>
      <c r="C60" t="s">
        <v>59</v>
      </c>
      <c r="D60">
        <v>0</v>
      </c>
    </row>
    <row r="61" spans="1:4" x14ac:dyDescent="0.45">
      <c r="A61" t="s">
        <v>23</v>
      </c>
      <c r="B61">
        <v>2013</v>
      </c>
      <c r="C61" t="s">
        <v>59</v>
      </c>
      <c r="D61">
        <v>0.73</v>
      </c>
    </row>
    <row r="62" spans="1:4" x14ac:dyDescent="0.45">
      <c r="A62" t="s">
        <v>5</v>
      </c>
      <c r="B62">
        <v>2014</v>
      </c>
      <c r="C62" t="s">
        <v>59</v>
      </c>
      <c r="D62">
        <v>34.869999999999997</v>
      </c>
    </row>
    <row r="63" spans="1:4" x14ac:dyDescent="0.45">
      <c r="A63" t="s">
        <v>8</v>
      </c>
      <c r="B63">
        <v>2014</v>
      </c>
      <c r="C63" t="s">
        <v>59</v>
      </c>
      <c r="D63">
        <v>43.38</v>
      </c>
    </row>
    <row r="64" spans="1:4" x14ac:dyDescent="0.45">
      <c r="A64" t="s">
        <v>6</v>
      </c>
      <c r="B64">
        <v>2014</v>
      </c>
      <c r="C64" t="s">
        <v>59</v>
      </c>
      <c r="D64">
        <v>62.16</v>
      </c>
    </row>
    <row r="65" spans="1:4" x14ac:dyDescent="0.45">
      <c r="A65" t="s">
        <v>19</v>
      </c>
      <c r="B65">
        <v>2014</v>
      </c>
      <c r="C65" t="s">
        <v>59</v>
      </c>
      <c r="D65">
        <v>0</v>
      </c>
    </row>
    <row r="66" spans="1:4" x14ac:dyDescent="0.45">
      <c r="A66" t="s">
        <v>23</v>
      </c>
      <c r="B66">
        <v>2014</v>
      </c>
      <c r="C66" t="s">
        <v>59</v>
      </c>
      <c r="D66">
        <v>0.7</v>
      </c>
    </row>
    <row r="67" spans="1:4" x14ac:dyDescent="0.45">
      <c r="A67" t="s">
        <v>5</v>
      </c>
      <c r="B67">
        <v>2015</v>
      </c>
      <c r="C67" t="s">
        <v>59</v>
      </c>
      <c r="D67">
        <v>56.47</v>
      </c>
    </row>
    <row r="68" spans="1:4" x14ac:dyDescent="0.45">
      <c r="A68" t="s">
        <v>8</v>
      </c>
      <c r="B68">
        <v>2015</v>
      </c>
      <c r="C68" t="s">
        <v>59</v>
      </c>
      <c r="D68">
        <v>48.15</v>
      </c>
    </row>
    <row r="69" spans="1:4" x14ac:dyDescent="0.45">
      <c r="A69" t="s">
        <v>6</v>
      </c>
      <c r="B69">
        <v>2015</v>
      </c>
      <c r="C69" t="s">
        <v>59</v>
      </c>
      <c r="D69">
        <v>56.12</v>
      </c>
    </row>
    <row r="70" spans="1:4" x14ac:dyDescent="0.45">
      <c r="A70" t="s">
        <v>19</v>
      </c>
      <c r="B70">
        <v>2015</v>
      </c>
      <c r="C70" t="s">
        <v>59</v>
      </c>
      <c r="D70">
        <v>0</v>
      </c>
    </row>
    <row r="71" spans="1:4" x14ac:dyDescent="0.45">
      <c r="A71" t="s">
        <v>23</v>
      </c>
      <c r="B71">
        <v>2015</v>
      </c>
      <c r="C71" t="s">
        <v>59</v>
      </c>
      <c r="D71">
        <v>0.99</v>
      </c>
    </row>
    <row r="72" spans="1:4" x14ac:dyDescent="0.45">
      <c r="A72" t="s">
        <v>5</v>
      </c>
      <c r="B72">
        <v>2016</v>
      </c>
      <c r="C72" t="s">
        <v>59</v>
      </c>
      <c r="D72">
        <v>68.349999999999994</v>
      </c>
    </row>
    <row r="73" spans="1:4" x14ac:dyDescent="0.45">
      <c r="A73" t="s">
        <v>8</v>
      </c>
      <c r="B73">
        <v>2016</v>
      </c>
      <c r="C73" t="s">
        <v>59</v>
      </c>
      <c r="D73">
        <v>45.37</v>
      </c>
    </row>
    <row r="74" spans="1:4" x14ac:dyDescent="0.45">
      <c r="A74" t="s">
        <v>6</v>
      </c>
      <c r="B74">
        <v>2016</v>
      </c>
      <c r="C74" t="s">
        <v>59</v>
      </c>
      <c r="D74">
        <v>63.94</v>
      </c>
    </row>
    <row r="75" spans="1:4" x14ac:dyDescent="0.45">
      <c r="A75" t="s">
        <v>19</v>
      </c>
      <c r="B75">
        <v>2016</v>
      </c>
      <c r="C75" t="s">
        <v>59</v>
      </c>
      <c r="D75">
        <v>0</v>
      </c>
    </row>
    <row r="76" spans="1:4" x14ac:dyDescent="0.45">
      <c r="A76" t="s">
        <v>23</v>
      </c>
      <c r="B76">
        <v>2016</v>
      </c>
      <c r="C76" t="s">
        <v>59</v>
      </c>
      <c r="D76">
        <v>1.18</v>
      </c>
    </row>
    <row r="77" spans="1:4" x14ac:dyDescent="0.45">
      <c r="A77" t="s">
        <v>5</v>
      </c>
      <c r="B77">
        <v>2017</v>
      </c>
      <c r="C77" t="s">
        <v>59</v>
      </c>
      <c r="D77">
        <v>67.709999999999994</v>
      </c>
    </row>
    <row r="78" spans="1:4" x14ac:dyDescent="0.45">
      <c r="A78" t="s">
        <v>8</v>
      </c>
      <c r="B78">
        <v>2017</v>
      </c>
      <c r="C78" t="s">
        <v>59</v>
      </c>
      <c r="D78">
        <v>40.35</v>
      </c>
    </row>
    <row r="79" spans="1:4" x14ac:dyDescent="0.45">
      <c r="A79" t="s">
        <v>6</v>
      </c>
      <c r="B79">
        <v>2017</v>
      </c>
      <c r="C79" t="s">
        <v>59</v>
      </c>
      <c r="D79">
        <v>85.94</v>
      </c>
    </row>
    <row r="80" spans="1:4" x14ac:dyDescent="0.45">
      <c r="A80" t="s">
        <v>19</v>
      </c>
      <c r="B80">
        <v>2017</v>
      </c>
      <c r="C80" t="s">
        <v>59</v>
      </c>
      <c r="D80">
        <v>0</v>
      </c>
    </row>
    <row r="81" spans="1:4" x14ac:dyDescent="0.45">
      <c r="A81" t="s">
        <v>23</v>
      </c>
      <c r="B81">
        <v>2017</v>
      </c>
      <c r="C81" t="s">
        <v>59</v>
      </c>
      <c r="D81">
        <v>0.15</v>
      </c>
    </row>
    <row r="82" spans="1:4" x14ac:dyDescent="0.45">
      <c r="A82" t="s">
        <v>5</v>
      </c>
      <c r="B82">
        <v>2018</v>
      </c>
      <c r="C82" t="s">
        <v>59</v>
      </c>
      <c r="D82">
        <v>91.65</v>
      </c>
    </row>
    <row r="83" spans="1:4" x14ac:dyDescent="0.45">
      <c r="A83" t="s">
        <v>8</v>
      </c>
      <c r="B83">
        <v>2018</v>
      </c>
      <c r="C83" t="s">
        <v>59</v>
      </c>
      <c r="D83">
        <v>40.700000000000003</v>
      </c>
    </row>
    <row r="84" spans="1:4" x14ac:dyDescent="0.45">
      <c r="A84" t="s">
        <v>6</v>
      </c>
      <c r="B84">
        <v>2018</v>
      </c>
      <c r="C84" t="s">
        <v>59</v>
      </c>
      <c r="D84">
        <v>83.08</v>
      </c>
    </row>
    <row r="85" spans="1:4" x14ac:dyDescent="0.45">
      <c r="A85" t="s">
        <v>19</v>
      </c>
      <c r="B85">
        <v>2018</v>
      </c>
      <c r="C85" t="s">
        <v>59</v>
      </c>
      <c r="D85">
        <v>0</v>
      </c>
    </row>
    <row r="86" spans="1:4" x14ac:dyDescent="0.45">
      <c r="A86" t="s">
        <v>23</v>
      </c>
      <c r="B86">
        <v>2018</v>
      </c>
      <c r="C86" t="s">
        <v>59</v>
      </c>
      <c r="D86">
        <v>0.75</v>
      </c>
    </row>
    <row r="87" spans="1:4" x14ac:dyDescent="0.45">
      <c r="A87" t="s">
        <v>5</v>
      </c>
      <c r="B87">
        <v>2019</v>
      </c>
      <c r="C87" t="s">
        <v>59</v>
      </c>
      <c r="D87">
        <v>120.16</v>
      </c>
    </row>
    <row r="88" spans="1:4" x14ac:dyDescent="0.45">
      <c r="A88" t="s">
        <v>8</v>
      </c>
      <c r="B88">
        <v>2019</v>
      </c>
      <c r="C88" t="s">
        <v>59</v>
      </c>
      <c r="D88">
        <v>42.51</v>
      </c>
    </row>
    <row r="89" spans="1:4" x14ac:dyDescent="0.45">
      <c r="A89" t="s">
        <v>6</v>
      </c>
      <c r="B89">
        <v>2019</v>
      </c>
      <c r="C89" t="s">
        <v>59</v>
      </c>
      <c r="D89">
        <v>66.12</v>
      </c>
    </row>
    <row r="90" spans="1:4" x14ac:dyDescent="0.45">
      <c r="A90" t="s">
        <v>19</v>
      </c>
      <c r="B90">
        <v>2019</v>
      </c>
      <c r="C90" t="s">
        <v>59</v>
      </c>
      <c r="D90">
        <v>0</v>
      </c>
    </row>
    <row r="91" spans="1:4" x14ac:dyDescent="0.45">
      <c r="A91" t="s">
        <v>23</v>
      </c>
      <c r="B91">
        <v>2019</v>
      </c>
      <c r="C91" t="s">
        <v>59</v>
      </c>
      <c r="D91">
        <v>2.21</v>
      </c>
    </row>
    <row r="92" spans="1:4" x14ac:dyDescent="0.45">
      <c r="A92" t="s">
        <v>5</v>
      </c>
      <c r="B92">
        <v>2020</v>
      </c>
      <c r="C92" t="s">
        <v>59</v>
      </c>
      <c r="D92">
        <v>122.53</v>
      </c>
    </row>
    <row r="93" spans="1:4" x14ac:dyDescent="0.45">
      <c r="A93" t="s">
        <v>8</v>
      </c>
      <c r="B93">
        <v>2020</v>
      </c>
      <c r="C93" t="s">
        <v>59</v>
      </c>
      <c r="D93">
        <v>34.659999999999997</v>
      </c>
    </row>
    <row r="94" spans="1:4" x14ac:dyDescent="0.45">
      <c r="A94" t="s">
        <v>6</v>
      </c>
      <c r="B94">
        <v>2020</v>
      </c>
      <c r="C94" t="s">
        <v>59</v>
      </c>
      <c r="D94">
        <v>72.87</v>
      </c>
    </row>
    <row r="95" spans="1:4" x14ac:dyDescent="0.45">
      <c r="A95" t="s">
        <v>19</v>
      </c>
      <c r="B95">
        <v>2020</v>
      </c>
      <c r="C95" t="s">
        <v>59</v>
      </c>
      <c r="D95">
        <v>0</v>
      </c>
    </row>
    <row r="96" spans="1:4" x14ac:dyDescent="0.45">
      <c r="A96" t="s">
        <v>23</v>
      </c>
      <c r="B96">
        <v>2020</v>
      </c>
      <c r="C96" t="s">
        <v>59</v>
      </c>
      <c r="D96">
        <v>1.86</v>
      </c>
    </row>
    <row r="97" spans="1:4" x14ac:dyDescent="0.45">
      <c r="A97" t="s">
        <v>5</v>
      </c>
      <c r="B97">
        <v>2021</v>
      </c>
      <c r="C97" t="s">
        <v>59</v>
      </c>
      <c r="D97">
        <v>118.03</v>
      </c>
    </row>
    <row r="98" spans="1:4" x14ac:dyDescent="0.45">
      <c r="A98" t="s">
        <v>8</v>
      </c>
      <c r="B98">
        <v>2021</v>
      </c>
      <c r="C98" t="s">
        <v>59</v>
      </c>
      <c r="D98">
        <v>26.31</v>
      </c>
    </row>
    <row r="99" spans="1:4" x14ac:dyDescent="0.45">
      <c r="A99" t="s">
        <v>6</v>
      </c>
      <c r="B99">
        <v>2021</v>
      </c>
      <c r="C99" t="s">
        <v>59</v>
      </c>
      <c r="D99">
        <v>78.67</v>
      </c>
    </row>
    <row r="100" spans="1:4" x14ac:dyDescent="0.45">
      <c r="A100" t="s">
        <v>19</v>
      </c>
      <c r="B100">
        <v>2021</v>
      </c>
      <c r="C100" t="s">
        <v>59</v>
      </c>
      <c r="D100">
        <v>0</v>
      </c>
    </row>
    <row r="101" spans="1:4" x14ac:dyDescent="0.45">
      <c r="A101" t="s">
        <v>23</v>
      </c>
      <c r="B101">
        <v>2021</v>
      </c>
      <c r="C101" t="s">
        <v>59</v>
      </c>
      <c r="D101">
        <v>0.79</v>
      </c>
    </row>
    <row r="102" spans="1:4" x14ac:dyDescent="0.45">
      <c r="A102" t="s">
        <v>5</v>
      </c>
      <c r="B102">
        <v>2022</v>
      </c>
      <c r="C102" t="s">
        <v>59</v>
      </c>
      <c r="D102">
        <v>104.04</v>
      </c>
    </row>
    <row r="103" spans="1:4" x14ac:dyDescent="0.45">
      <c r="A103" t="s">
        <v>8</v>
      </c>
      <c r="B103">
        <v>2022</v>
      </c>
      <c r="C103" t="s">
        <v>59</v>
      </c>
      <c r="D103">
        <v>29.22</v>
      </c>
    </row>
    <row r="104" spans="1:4" x14ac:dyDescent="0.45">
      <c r="A104" t="s">
        <v>6</v>
      </c>
      <c r="B104">
        <v>2022</v>
      </c>
      <c r="C104" t="s">
        <v>59</v>
      </c>
      <c r="D104">
        <v>95.91</v>
      </c>
    </row>
    <row r="105" spans="1:4" x14ac:dyDescent="0.45">
      <c r="A105" t="s">
        <v>19</v>
      </c>
      <c r="B105">
        <v>2022</v>
      </c>
      <c r="C105" t="s">
        <v>59</v>
      </c>
      <c r="D105">
        <v>0</v>
      </c>
    </row>
    <row r="106" spans="1:4" x14ac:dyDescent="0.45">
      <c r="A106" t="s">
        <v>23</v>
      </c>
      <c r="B106">
        <v>2022</v>
      </c>
      <c r="C106" t="s">
        <v>59</v>
      </c>
      <c r="D106">
        <v>0.72</v>
      </c>
    </row>
    <row r="107" spans="1:4" x14ac:dyDescent="0.45">
      <c r="A107" t="s">
        <v>5</v>
      </c>
      <c r="B107">
        <v>2023</v>
      </c>
      <c r="C107" t="s">
        <v>59</v>
      </c>
      <c r="D107">
        <v>129.58000000000001</v>
      </c>
    </row>
    <row r="108" spans="1:4" x14ac:dyDescent="0.45">
      <c r="A108" t="s">
        <v>8</v>
      </c>
      <c r="B108">
        <v>2023</v>
      </c>
      <c r="C108" t="s">
        <v>59</v>
      </c>
      <c r="D108">
        <v>26.32</v>
      </c>
    </row>
    <row r="109" spans="1:4" x14ac:dyDescent="0.45">
      <c r="A109" t="s">
        <v>6</v>
      </c>
      <c r="B109">
        <v>2023</v>
      </c>
      <c r="C109" t="s">
        <v>59</v>
      </c>
      <c r="D109">
        <v>80.900000000000006</v>
      </c>
    </row>
    <row r="110" spans="1:4" x14ac:dyDescent="0.45">
      <c r="A110" t="s">
        <v>19</v>
      </c>
      <c r="B110">
        <v>2023</v>
      </c>
      <c r="C110" t="s">
        <v>59</v>
      </c>
      <c r="D110">
        <v>0</v>
      </c>
    </row>
    <row r="111" spans="1:4" x14ac:dyDescent="0.45">
      <c r="A111" t="s">
        <v>23</v>
      </c>
      <c r="B111">
        <v>2023</v>
      </c>
      <c r="C111" t="s">
        <v>59</v>
      </c>
      <c r="D111">
        <v>1.72</v>
      </c>
    </row>
    <row r="112" spans="1:4" x14ac:dyDescent="0.45">
      <c r="A112" t="s">
        <v>5</v>
      </c>
      <c r="B112">
        <v>2000</v>
      </c>
      <c r="C112" t="s">
        <v>60</v>
      </c>
      <c r="D112">
        <v>0.55000000000000004</v>
      </c>
    </row>
    <row r="113" spans="1:4" x14ac:dyDescent="0.45">
      <c r="A113" t="s">
        <v>8</v>
      </c>
      <c r="B113">
        <v>2000</v>
      </c>
      <c r="C113" t="s">
        <v>60</v>
      </c>
      <c r="D113">
        <v>1.88</v>
      </c>
    </row>
    <row r="114" spans="1:4" x14ac:dyDescent="0.45">
      <c r="A114" t="s">
        <v>6</v>
      </c>
      <c r="B114">
        <v>2000</v>
      </c>
      <c r="C114" t="s">
        <v>60</v>
      </c>
      <c r="D114">
        <v>3.27</v>
      </c>
    </row>
    <row r="115" spans="1:4" x14ac:dyDescent="0.45">
      <c r="A115" t="s">
        <v>23</v>
      </c>
      <c r="B115">
        <v>2000</v>
      </c>
      <c r="C115" t="s">
        <v>60</v>
      </c>
    </row>
    <row r="116" spans="1:4" x14ac:dyDescent="0.45">
      <c r="A116" t="s">
        <v>5</v>
      </c>
      <c r="B116">
        <v>2001</v>
      </c>
      <c r="C116" t="s">
        <v>60</v>
      </c>
      <c r="D116">
        <v>0.55000000000000004</v>
      </c>
    </row>
    <row r="117" spans="1:4" x14ac:dyDescent="0.45">
      <c r="A117" t="s">
        <v>8</v>
      </c>
      <c r="B117">
        <v>2001</v>
      </c>
      <c r="C117" t="s">
        <v>60</v>
      </c>
      <c r="D117">
        <v>1.88</v>
      </c>
    </row>
    <row r="118" spans="1:4" x14ac:dyDescent="0.45">
      <c r="A118" t="s">
        <v>6</v>
      </c>
      <c r="B118">
        <v>2001</v>
      </c>
      <c r="C118" t="s">
        <v>60</v>
      </c>
      <c r="D118">
        <v>3.81</v>
      </c>
    </row>
    <row r="119" spans="1:4" x14ac:dyDescent="0.45">
      <c r="A119" t="s">
        <v>23</v>
      </c>
      <c r="B119">
        <v>2001</v>
      </c>
      <c r="C119" t="s">
        <v>60</v>
      </c>
    </row>
    <row r="120" spans="1:4" x14ac:dyDescent="0.45">
      <c r="A120" t="s">
        <v>5</v>
      </c>
      <c r="B120">
        <v>2002</v>
      </c>
      <c r="C120" t="s">
        <v>60</v>
      </c>
      <c r="D120">
        <v>1.1399999999999999</v>
      </c>
    </row>
    <row r="121" spans="1:4" x14ac:dyDescent="0.45">
      <c r="A121" t="s">
        <v>8</v>
      </c>
      <c r="B121">
        <v>2002</v>
      </c>
      <c r="C121" t="s">
        <v>60</v>
      </c>
      <c r="D121">
        <v>1.88</v>
      </c>
    </row>
    <row r="122" spans="1:4" x14ac:dyDescent="0.45">
      <c r="A122" t="s">
        <v>6</v>
      </c>
      <c r="B122">
        <v>2002</v>
      </c>
      <c r="C122" t="s">
        <v>60</v>
      </c>
      <c r="D122">
        <v>4.12</v>
      </c>
    </row>
    <row r="123" spans="1:4" x14ac:dyDescent="0.45">
      <c r="A123" t="s">
        <v>23</v>
      </c>
      <c r="B123">
        <v>2002</v>
      </c>
      <c r="C123" t="s">
        <v>60</v>
      </c>
    </row>
    <row r="124" spans="1:4" x14ac:dyDescent="0.45">
      <c r="A124" t="s">
        <v>5</v>
      </c>
      <c r="B124">
        <v>2003</v>
      </c>
      <c r="C124" t="s">
        <v>60</v>
      </c>
      <c r="D124">
        <v>1.1399999999999999</v>
      </c>
    </row>
    <row r="125" spans="1:4" x14ac:dyDescent="0.45">
      <c r="A125" t="s">
        <v>8</v>
      </c>
      <c r="B125">
        <v>2003</v>
      </c>
      <c r="C125" t="s">
        <v>60</v>
      </c>
      <c r="D125">
        <v>2.36</v>
      </c>
    </row>
    <row r="126" spans="1:4" x14ac:dyDescent="0.45">
      <c r="A126" t="s">
        <v>6</v>
      </c>
      <c r="B126">
        <v>2003</v>
      </c>
      <c r="C126" t="s">
        <v>60</v>
      </c>
      <c r="D126">
        <v>4.17</v>
      </c>
    </row>
    <row r="127" spans="1:4" x14ac:dyDescent="0.45">
      <c r="A127" t="s">
        <v>23</v>
      </c>
      <c r="B127">
        <v>2003</v>
      </c>
      <c r="C127" t="s">
        <v>60</v>
      </c>
    </row>
    <row r="128" spans="1:4" x14ac:dyDescent="0.45">
      <c r="A128" t="s">
        <v>5</v>
      </c>
      <c r="B128">
        <v>2004</v>
      </c>
      <c r="C128" t="s">
        <v>60</v>
      </c>
      <c r="D128">
        <v>1.39</v>
      </c>
    </row>
    <row r="129" spans="1:4" x14ac:dyDescent="0.45">
      <c r="A129" t="s">
        <v>8</v>
      </c>
      <c r="B129">
        <v>2004</v>
      </c>
      <c r="C129" t="s">
        <v>60</v>
      </c>
      <c r="D129">
        <v>3.57</v>
      </c>
    </row>
    <row r="130" spans="1:4" x14ac:dyDescent="0.45">
      <c r="A130" t="s">
        <v>6</v>
      </c>
      <c r="B130">
        <v>2004</v>
      </c>
      <c r="C130" t="s">
        <v>60</v>
      </c>
      <c r="D130">
        <v>4.21</v>
      </c>
    </row>
    <row r="131" spans="1:4" x14ac:dyDescent="0.45">
      <c r="A131" t="s">
        <v>23</v>
      </c>
      <c r="B131">
        <v>2004</v>
      </c>
      <c r="C131" t="s">
        <v>60</v>
      </c>
    </row>
    <row r="132" spans="1:4" x14ac:dyDescent="0.45">
      <c r="A132" t="s">
        <v>5</v>
      </c>
      <c r="B132">
        <v>2005</v>
      </c>
      <c r="C132" t="s">
        <v>60</v>
      </c>
      <c r="D132">
        <v>1.39</v>
      </c>
    </row>
    <row r="133" spans="1:4" x14ac:dyDescent="0.45">
      <c r="A133" t="s">
        <v>8</v>
      </c>
      <c r="B133">
        <v>2005</v>
      </c>
      <c r="C133" t="s">
        <v>60</v>
      </c>
      <c r="D133">
        <v>4.3</v>
      </c>
    </row>
    <row r="134" spans="1:4" x14ac:dyDescent="0.45">
      <c r="A134" t="s">
        <v>6</v>
      </c>
      <c r="B134">
        <v>2005</v>
      </c>
      <c r="C134" t="s">
        <v>60</v>
      </c>
      <c r="D134">
        <v>4.2699999999999996</v>
      </c>
    </row>
    <row r="135" spans="1:4" x14ac:dyDescent="0.45">
      <c r="A135" t="s">
        <v>23</v>
      </c>
      <c r="B135">
        <v>2005</v>
      </c>
      <c r="C135" t="s">
        <v>60</v>
      </c>
    </row>
    <row r="136" spans="1:4" x14ac:dyDescent="0.45">
      <c r="A136" t="s">
        <v>5</v>
      </c>
      <c r="B136">
        <v>2006</v>
      </c>
      <c r="C136" t="s">
        <v>60</v>
      </c>
      <c r="D136">
        <v>1.51</v>
      </c>
    </row>
    <row r="137" spans="1:4" x14ac:dyDescent="0.45">
      <c r="A137" t="s">
        <v>8</v>
      </c>
      <c r="B137">
        <v>2006</v>
      </c>
      <c r="C137" t="s">
        <v>60</v>
      </c>
      <c r="D137">
        <v>4.3</v>
      </c>
    </row>
    <row r="138" spans="1:4" x14ac:dyDescent="0.45">
      <c r="A138" t="s">
        <v>6</v>
      </c>
      <c r="B138">
        <v>2006</v>
      </c>
      <c r="C138" t="s">
        <v>60</v>
      </c>
      <c r="D138">
        <v>4.51</v>
      </c>
    </row>
    <row r="139" spans="1:4" x14ac:dyDescent="0.45">
      <c r="A139" t="s">
        <v>23</v>
      </c>
      <c r="B139">
        <v>2006</v>
      </c>
      <c r="C139" t="s">
        <v>60</v>
      </c>
    </row>
    <row r="140" spans="1:4" x14ac:dyDescent="0.45">
      <c r="A140" t="s">
        <v>5</v>
      </c>
      <c r="B140">
        <v>2007</v>
      </c>
      <c r="C140" t="s">
        <v>60</v>
      </c>
      <c r="D140">
        <v>1.81</v>
      </c>
    </row>
    <row r="141" spans="1:4" x14ac:dyDescent="0.45">
      <c r="A141" t="s">
        <v>8</v>
      </c>
      <c r="B141">
        <v>2007</v>
      </c>
      <c r="C141" t="s">
        <v>60</v>
      </c>
      <c r="D141">
        <v>4.7699999999999996</v>
      </c>
    </row>
    <row r="142" spans="1:4" x14ac:dyDescent="0.45">
      <c r="A142" t="s">
        <v>6</v>
      </c>
      <c r="B142">
        <v>2007</v>
      </c>
      <c r="C142" t="s">
        <v>60</v>
      </c>
      <c r="D142">
        <v>4.91</v>
      </c>
    </row>
    <row r="143" spans="1:4" x14ac:dyDescent="0.45">
      <c r="A143" t="s">
        <v>23</v>
      </c>
      <c r="B143">
        <v>2007</v>
      </c>
      <c r="C143" t="s">
        <v>60</v>
      </c>
    </row>
    <row r="144" spans="1:4" x14ac:dyDescent="0.45">
      <c r="A144" t="s">
        <v>5</v>
      </c>
      <c r="B144">
        <v>2008</v>
      </c>
      <c r="C144" t="s">
        <v>60</v>
      </c>
      <c r="D144">
        <v>1.81</v>
      </c>
    </row>
    <row r="145" spans="1:4" x14ac:dyDescent="0.45">
      <c r="A145" t="s">
        <v>8</v>
      </c>
      <c r="B145">
        <v>2008</v>
      </c>
      <c r="C145" t="s">
        <v>60</v>
      </c>
      <c r="D145">
        <v>6.27</v>
      </c>
    </row>
    <row r="146" spans="1:4" x14ac:dyDescent="0.45">
      <c r="A146" t="s">
        <v>6</v>
      </c>
      <c r="B146">
        <v>2008</v>
      </c>
      <c r="C146" t="s">
        <v>60</v>
      </c>
      <c r="D146">
        <v>5.91</v>
      </c>
    </row>
    <row r="147" spans="1:4" x14ac:dyDescent="0.45">
      <c r="A147" t="s">
        <v>23</v>
      </c>
      <c r="B147">
        <v>2008</v>
      </c>
      <c r="C147" t="s">
        <v>60</v>
      </c>
    </row>
    <row r="148" spans="1:4" x14ac:dyDescent="0.45">
      <c r="A148" t="s">
        <v>5</v>
      </c>
      <c r="B148">
        <v>2009</v>
      </c>
      <c r="C148" t="s">
        <v>60</v>
      </c>
      <c r="D148">
        <v>2.33</v>
      </c>
    </row>
    <row r="149" spans="1:4" x14ac:dyDescent="0.45">
      <c r="A149" t="s">
        <v>8</v>
      </c>
      <c r="B149">
        <v>2009</v>
      </c>
      <c r="C149" t="s">
        <v>60</v>
      </c>
      <c r="D149">
        <v>7.07</v>
      </c>
    </row>
    <row r="150" spans="1:4" x14ac:dyDescent="0.45">
      <c r="A150" t="s">
        <v>6</v>
      </c>
      <c r="B150">
        <v>2009</v>
      </c>
      <c r="C150" t="s">
        <v>60</v>
      </c>
      <c r="D150">
        <v>7.18</v>
      </c>
    </row>
    <row r="151" spans="1:4" x14ac:dyDescent="0.45">
      <c r="A151" t="s">
        <v>23</v>
      </c>
      <c r="B151">
        <v>2009</v>
      </c>
      <c r="C151" t="s">
        <v>60</v>
      </c>
    </row>
    <row r="152" spans="1:4" x14ac:dyDescent="0.45">
      <c r="A152" t="s">
        <v>5</v>
      </c>
      <c r="B152">
        <v>2010</v>
      </c>
      <c r="C152" t="s">
        <v>60</v>
      </c>
      <c r="D152">
        <v>2.63</v>
      </c>
    </row>
    <row r="153" spans="1:4" x14ac:dyDescent="0.45">
      <c r="A153" t="s">
        <v>8</v>
      </c>
      <c r="B153">
        <v>2010</v>
      </c>
      <c r="C153" t="s">
        <v>60</v>
      </c>
      <c r="D153">
        <v>7.07</v>
      </c>
    </row>
    <row r="154" spans="1:4" x14ac:dyDescent="0.45">
      <c r="A154" t="s">
        <v>6</v>
      </c>
      <c r="B154">
        <v>2010</v>
      </c>
      <c r="C154" t="s">
        <v>60</v>
      </c>
      <c r="D154">
        <v>8.65</v>
      </c>
    </row>
    <row r="155" spans="1:4" x14ac:dyDescent="0.45">
      <c r="A155" t="s">
        <v>19</v>
      </c>
      <c r="B155">
        <v>2010</v>
      </c>
      <c r="C155" t="s">
        <v>60</v>
      </c>
    </row>
    <row r="156" spans="1:4" x14ac:dyDescent="0.45">
      <c r="A156" t="s">
        <v>23</v>
      </c>
      <c r="B156">
        <v>2010</v>
      </c>
      <c r="C156" t="s">
        <v>60</v>
      </c>
    </row>
    <row r="157" spans="1:4" x14ac:dyDescent="0.45">
      <c r="A157" t="s">
        <v>5</v>
      </c>
      <c r="B157">
        <v>2011</v>
      </c>
      <c r="C157" t="s">
        <v>60</v>
      </c>
      <c r="D157">
        <v>3.91</v>
      </c>
    </row>
    <row r="158" spans="1:4" x14ac:dyDescent="0.45">
      <c r="A158" t="s">
        <v>8</v>
      </c>
      <c r="B158">
        <v>2011</v>
      </c>
      <c r="C158" t="s">
        <v>60</v>
      </c>
      <c r="D158">
        <v>7.82</v>
      </c>
    </row>
    <row r="159" spans="1:4" x14ac:dyDescent="0.45">
      <c r="A159" t="s">
        <v>6</v>
      </c>
      <c r="B159">
        <v>2011</v>
      </c>
      <c r="C159" t="s">
        <v>60</v>
      </c>
      <c r="D159">
        <v>10.08</v>
      </c>
    </row>
    <row r="160" spans="1:4" x14ac:dyDescent="0.45">
      <c r="A160" t="s">
        <v>19</v>
      </c>
      <c r="B160">
        <v>2011</v>
      </c>
      <c r="C160" t="s">
        <v>60</v>
      </c>
    </row>
    <row r="161" spans="1:4" x14ac:dyDescent="0.45">
      <c r="A161" t="s">
        <v>23</v>
      </c>
      <c r="B161">
        <v>2011</v>
      </c>
      <c r="C161" t="s">
        <v>60</v>
      </c>
    </row>
    <row r="162" spans="1:4" x14ac:dyDescent="0.45">
      <c r="A162" t="s">
        <v>5</v>
      </c>
      <c r="B162">
        <v>2012</v>
      </c>
      <c r="C162" t="s">
        <v>60</v>
      </c>
      <c r="D162">
        <v>4.3600000000000003</v>
      </c>
    </row>
    <row r="163" spans="1:4" x14ac:dyDescent="0.45">
      <c r="A163" t="s">
        <v>8</v>
      </c>
      <c r="B163">
        <v>2012</v>
      </c>
      <c r="C163" t="s">
        <v>60</v>
      </c>
      <c r="D163">
        <v>7.82</v>
      </c>
    </row>
    <row r="164" spans="1:4" x14ac:dyDescent="0.45">
      <c r="A164" t="s">
        <v>6</v>
      </c>
      <c r="B164">
        <v>2012</v>
      </c>
      <c r="C164" t="s">
        <v>60</v>
      </c>
      <c r="D164">
        <v>13.55</v>
      </c>
    </row>
    <row r="165" spans="1:4" x14ac:dyDescent="0.45">
      <c r="A165" t="s">
        <v>19</v>
      </c>
      <c r="B165">
        <v>2012</v>
      </c>
      <c r="C165" t="s">
        <v>60</v>
      </c>
    </row>
    <row r="166" spans="1:4" x14ac:dyDescent="0.45">
      <c r="A166" t="s">
        <v>23</v>
      </c>
      <c r="B166">
        <v>2012</v>
      </c>
      <c r="C166" t="s">
        <v>60</v>
      </c>
    </row>
    <row r="167" spans="1:4" x14ac:dyDescent="0.45">
      <c r="A167" t="s">
        <v>5</v>
      </c>
      <c r="B167">
        <v>2013</v>
      </c>
      <c r="C167" t="s">
        <v>60</v>
      </c>
      <c r="D167">
        <v>5.4</v>
      </c>
    </row>
    <row r="168" spans="1:4" x14ac:dyDescent="0.45">
      <c r="A168" t="s">
        <v>8</v>
      </c>
      <c r="B168">
        <v>2013</v>
      </c>
      <c r="C168" t="s">
        <v>60</v>
      </c>
      <c r="D168">
        <v>7.82</v>
      </c>
    </row>
    <row r="169" spans="1:4" x14ac:dyDescent="0.45">
      <c r="A169" t="s">
        <v>6</v>
      </c>
      <c r="B169">
        <v>2013</v>
      </c>
      <c r="C169" t="s">
        <v>60</v>
      </c>
      <c r="D169">
        <v>14.72</v>
      </c>
    </row>
    <row r="170" spans="1:4" x14ac:dyDescent="0.45">
      <c r="A170" t="s">
        <v>19</v>
      </c>
      <c r="B170">
        <v>2013</v>
      </c>
      <c r="C170" t="s">
        <v>60</v>
      </c>
    </row>
    <row r="171" spans="1:4" x14ac:dyDescent="0.45">
      <c r="A171" t="s">
        <v>23</v>
      </c>
      <c r="B171">
        <v>2013</v>
      </c>
      <c r="C171" t="s">
        <v>60</v>
      </c>
    </row>
    <row r="172" spans="1:4" x14ac:dyDescent="0.45">
      <c r="A172" t="s">
        <v>5</v>
      </c>
      <c r="B172">
        <v>2014</v>
      </c>
      <c r="C172" t="s">
        <v>60</v>
      </c>
      <c r="D172">
        <v>8.5</v>
      </c>
    </row>
    <row r="173" spans="1:4" x14ac:dyDescent="0.45">
      <c r="A173" t="s">
        <v>8</v>
      </c>
      <c r="B173">
        <v>2014</v>
      </c>
      <c r="C173" t="s">
        <v>60</v>
      </c>
      <c r="D173">
        <v>7.82</v>
      </c>
    </row>
    <row r="174" spans="1:4" x14ac:dyDescent="0.45">
      <c r="A174" t="s">
        <v>6</v>
      </c>
      <c r="B174">
        <v>2014</v>
      </c>
      <c r="C174" t="s">
        <v>60</v>
      </c>
      <c r="D174">
        <v>15.75</v>
      </c>
    </row>
    <row r="175" spans="1:4" x14ac:dyDescent="0.45">
      <c r="A175" t="s">
        <v>19</v>
      </c>
      <c r="B175">
        <v>2014</v>
      </c>
      <c r="C175" t="s">
        <v>60</v>
      </c>
    </row>
    <row r="176" spans="1:4" x14ac:dyDescent="0.45">
      <c r="A176" t="s">
        <v>23</v>
      </c>
      <c r="B176">
        <v>2014</v>
      </c>
      <c r="C176" t="s">
        <v>60</v>
      </c>
    </row>
    <row r="177" spans="1:4" x14ac:dyDescent="0.45">
      <c r="A177" t="s">
        <v>5</v>
      </c>
      <c r="B177">
        <v>2015</v>
      </c>
      <c r="C177" t="s">
        <v>60</v>
      </c>
      <c r="D177">
        <v>12.98</v>
      </c>
    </row>
    <row r="178" spans="1:4" x14ac:dyDescent="0.45">
      <c r="A178" t="s">
        <v>8</v>
      </c>
      <c r="B178">
        <v>2015</v>
      </c>
      <c r="C178" t="s">
        <v>60</v>
      </c>
      <c r="D178">
        <v>8.15</v>
      </c>
    </row>
    <row r="179" spans="1:4" x14ac:dyDescent="0.45">
      <c r="A179" t="s">
        <v>6</v>
      </c>
      <c r="B179">
        <v>2015</v>
      </c>
      <c r="C179" t="s">
        <v>60</v>
      </c>
      <c r="D179">
        <v>16.63</v>
      </c>
    </row>
    <row r="180" spans="1:4" x14ac:dyDescent="0.45">
      <c r="A180" t="s">
        <v>19</v>
      </c>
      <c r="B180">
        <v>2015</v>
      </c>
      <c r="C180" t="s">
        <v>60</v>
      </c>
    </row>
    <row r="181" spans="1:4" x14ac:dyDescent="0.45">
      <c r="A181" t="s">
        <v>23</v>
      </c>
      <c r="B181">
        <v>2015</v>
      </c>
      <c r="C181" t="s">
        <v>60</v>
      </c>
    </row>
    <row r="182" spans="1:4" x14ac:dyDescent="0.45">
      <c r="A182" t="s">
        <v>5</v>
      </c>
      <c r="B182">
        <v>2016</v>
      </c>
      <c r="C182" t="s">
        <v>60</v>
      </c>
      <c r="D182">
        <v>13.28</v>
      </c>
    </row>
    <row r="183" spans="1:4" x14ac:dyDescent="0.45">
      <c r="A183" t="s">
        <v>8</v>
      </c>
      <c r="B183">
        <v>2016</v>
      </c>
      <c r="C183" t="s">
        <v>60</v>
      </c>
      <c r="D183">
        <v>8.15</v>
      </c>
    </row>
    <row r="184" spans="1:4" x14ac:dyDescent="0.45">
      <c r="A184" t="s">
        <v>6</v>
      </c>
      <c r="B184">
        <v>2016</v>
      </c>
      <c r="C184" t="s">
        <v>60</v>
      </c>
      <c r="D184">
        <v>17.850000000000001</v>
      </c>
    </row>
    <row r="185" spans="1:4" x14ac:dyDescent="0.45">
      <c r="A185" t="s">
        <v>19</v>
      </c>
      <c r="B185">
        <v>2016</v>
      </c>
      <c r="C185" t="s">
        <v>60</v>
      </c>
    </row>
    <row r="186" spans="1:4" x14ac:dyDescent="0.45">
      <c r="A186" t="s">
        <v>23</v>
      </c>
      <c r="B186">
        <v>2016</v>
      </c>
      <c r="C186" t="s">
        <v>60</v>
      </c>
    </row>
    <row r="187" spans="1:4" x14ac:dyDescent="0.45">
      <c r="A187" t="s">
        <v>5</v>
      </c>
      <c r="B187">
        <v>2017</v>
      </c>
      <c r="C187" t="s">
        <v>60</v>
      </c>
      <c r="D187">
        <v>15.57</v>
      </c>
    </row>
    <row r="188" spans="1:4" x14ac:dyDescent="0.45">
      <c r="A188" t="s">
        <v>8</v>
      </c>
      <c r="B188">
        <v>2017</v>
      </c>
      <c r="C188" t="s">
        <v>60</v>
      </c>
      <c r="D188">
        <v>8.15</v>
      </c>
    </row>
    <row r="189" spans="1:4" x14ac:dyDescent="0.45">
      <c r="A189" t="s">
        <v>6</v>
      </c>
      <c r="B189">
        <v>2017</v>
      </c>
      <c r="C189" t="s">
        <v>60</v>
      </c>
      <c r="D189">
        <v>17.809999999999999</v>
      </c>
    </row>
    <row r="190" spans="1:4" x14ac:dyDescent="0.45">
      <c r="A190" t="s">
        <v>19</v>
      </c>
      <c r="B190">
        <v>2017</v>
      </c>
      <c r="C190" t="s">
        <v>60</v>
      </c>
    </row>
    <row r="191" spans="1:4" x14ac:dyDescent="0.45">
      <c r="A191" t="s">
        <v>23</v>
      </c>
      <c r="B191">
        <v>2017</v>
      </c>
      <c r="C191" t="s">
        <v>60</v>
      </c>
    </row>
    <row r="192" spans="1:4" x14ac:dyDescent="0.45">
      <c r="A192" t="s">
        <v>5</v>
      </c>
      <c r="B192">
        <v>2018</v>
      </c>
      <c r="C192" t="s">
        <v>60</v>
      </c>
      <c r="D192">
        <v>17.8</v>
      </c>
    </row>
    <row r="193" spans="1:4" x14ac:dyDescent="0.45">
      <c r="A193" t="s">
        <v>8</v>
      </c>
      <c r="B193">
        <v>2018</v>
      </c>
      <c r="C193" t="s">
        <v>60</v>
      </c>
      <c r="D193">
        <v>8.15</v>
      </c>
    </row>
    <row r="194" spans="1:4" x14ac:dyDescent="0.45">
      <c r="A194" t="s">
        <v>6</v>
      </c>
      <c r="B194">
        <v>2018</v>
      </c>
      <c r="C194" t="s">
        <v>60</v>
      </c>
      <c r="D194">
        <v>17.989999999999998</v>
      </c>
    </row>
    <row r="195" spans="1:4" x14ac:dyDescent="0.45">
      <c r="A195" t="s">
        <v>19</v>
      </c>
      <c r="B195">
        <v>2018</v>
      </c>
      <c r="C195" t="s">
        <v>60</v>
      </c>
    </row>
    <row r="196" spans="1:4" x14ac:dyDescent="0.45">
      <c r="A196" t="s">
        <v>23</v>
      </c>
      <c r="B196">
        <v>2018</v>
      </c>
      <c r="C196" t="s">
        <v>60</v>
      </c>
    </row>
    <row r="197" spans="1:4" x14ac:dyDescent="0.45">
      <c r="A197" t="s">
        <v>5</v>
      </c>
      <c r="B197">
        <v>2019</v>
      </c>
      <c r="C197" t="s">
        <v>60</v>
      </c>
      <c r="D197">
        <v>19</v>
      </c>
    </row>
    <row r="198" spans="1:4" x14ac:dyDescent="0.45">
      <c r="A198" t="s">
        <v>8</v>
      </c>
      <c r="B198">
        <v>2019</v>
      </c>
      <c r="C198" t="s">
        <v>60</v>
      </c>
      <c r="D198">
        <v>8.15</v>
      </c>
    </row>
    <row r="199" spans="1:4" x14ac:dyDescent="0.45">
      <c r="A199" t="s">
        <v>6</v>
      </c>
      <c r="B199">
        <v>2019</v>
      </c>
      <c r="C199" t="s">
        <v>60</v>
      </c>
      <c r="D199">
        <v>20.329999999999998</v>
      </c>
    </row>
    <row r="200" spans="1:4" x14ac:dyDescent="0.45">
      <c r="A200" t="s">
        <v>19</v>
      </c>
      <c r="B200">
        <v>2019</v>
      </c>
      <c r="C200" t="s">
        <v>60</v>
      </c>
    </row>
    <row r="201" spans="1:4" x14ac:dyDescent="0.45">
      <c r="A201" t="s">
        <v>23</v>
      </c>
      <c r="B201">
        <v>2019</v>
      </c>
      <c r="C201" t="s">
        <v>60</v>
      </c>
    </row>
    <row r="202" spans="1:4" x14ac:dyDescent="0.45">
      <c r="A202" t="s">
        <v>5</v>
      </c>
      <c r="B202">
        <v>2020</v>
      </c>
      <c r="C202" t="s">
        <v>60</v>
      </c>
      <c r="D202">
        <v>20.29</v>
      </c>
    </row>
    <row r="203" spans="1:4" x14ac:dyDescent="0.45">
      <c r="A203" t="s">
        <v>8</v>
      </c>
      <c r="B203">
        <v>2020</v>
      </c>
      <c r="C203" t="s">
        <v>60</v>
      </c>
      <c r="D203">
        <v>8.15</v>
      </c>
    </row>
    <row r="204" spans="1:4" x14ac:dyDescent="0.45">
      <c r="A204" t="s">
        <v>6</v>
      </c>
      <c r="B204">
        <v>2020</v>
      </c>
      <c r="C204" t="s">
        <v>60</v>
      </c>
      <c r="D204">
        <v>20.82</v>
      </c>
    </row>
    <row r="205" spans="1:4" x14ac:dyDescent="0.45">
      <c r="A205" t="s">
        <v>19</v>
      </c>
      <c r="B205">
        <v>2020</v>
      </c>
      <c r="C205" t="s">
        <v>60</v>
      </c>
    </row>
    <row r="206" spans="1:4" x14ac:dyDescent="0.45">
      <c r="A206" t="s">
        <v>23</v>
      </c>
      <c r="B206">
        <v>2020</v>
      </c>
      <c r="C206" t="s">
        <v>60</v>
      </c>
    </row>
    <row r="207" spans="1:4" x14ac:dyDescent="0.45">
      <c r="A207" t="s">
        <v>5</v>
      </c>
      <c r="B207">
        <v>2021</v>
      </c>
      <c r="C207" t="s">
        <v>60</v>
      </c>
      <c r="D207">
        <v>22.69</v>
      </c>
    </row>
    <row r="208" spans="1:4" x14ac:dyDescent="0.45">
      <c r="A208" t="s">
        <v>8</v>
      </c>
      <c r="B208">
        <v>2021</v>
      </c>
      <c r="C208" t="s">
        <v>60</v>
      </c>
      <c r="D208">
        <v>8.15</v>
      </c>
    </row>
    <row r="209" spans="1:4" x14ac:dyDescent="0.45">
      <c r="A209" t="s">
        <v>6</v>
      </c>
      <c r="B209">
        <v>2021</v>
      </c>
      <c r="C209" t="s">
        <v>60</v>
      </c>
      <c r="D209">
        <v>21.85</v>
      </c>
    </row>
    <row r="210" spans="1:4" x14ac:dyDescent="0.45">
      <c r="A210" t="s">
        <v>19</v>
      </c>
      <c r="B210">
        <v>2021</v>
      </c>
      <c r="C210" t="s">
        <v>60</v>
      </c>
    </row>
    <row r="211" spans="1:4" x14ac:dyDescent="0.45">
      <c r="A211" t="s">
        <v>23</v>
      </c>
      <c r="B211">
        <v>2021</v>
      </c>
      <c r="C211" t="s">
        <v>60</v>
      </c>
    </row>
    <row r="212" spans="1:4" x14ac:dyDescent="0.45">
      <c r="A212" t="s">
        <v>5</v>
      </c>
      <c r="B212">
        <v>2022</v>
      </c>
      <c r="C212" t="s">
        <v>60</v>
      </c>
      <c r="D212">
        <v>24.61</v>
      </c>
    </row>
    <row r="213" spans="1:4" x14ac:dyDescent="0.45">
      <c r="A213" t="s">
        <v>8</v>
      </c>
      <c r="B213">
        <v>2022</v>
      </c>
      <c r="C213" t="s">
        <v>60</v>
      </c>
      <c r="D213">
        <v>8.15</v>
      </c>
    </row>
    <row r="214" spans="1:4" x14ac:dyDescent="0.45">
      <c r="A214" t="s">
        <v>6</v>
      </c>
      <c r="B214">
        <v>2022</v>
      </c>
      <c r="C214" t="s">
        <v>60</v>
      </c>
      <c r="D214">
        <v>22.53</v>
      </c>
    </row>
    <row r="215" spans="1:4" x14ac:dyDescent="0.45">
      <c r="A215" t="s">
        <v>19</v>
      </c>
      <c r="B215">
        <v>2022</v>
      </c>
      <c r="C215" t="s">
        <v>60</v>
      </c>
    </row>
    <row r="216" spans="1:4" x14ac:dyDescent="0.45">
      <c r="A216" t="s">
        <v>23</v>
      </c>
      <c r="B216">
        <v>2022</v>
      </c>
      <c r="C216" t="s">
        <v>60</v>
      </c>
    </row>
    <row r="217" spans="1:4" x14ac:dyDescent="0.45">
      <c r="A217" t="s">
        <v>5</v>
      </c>
      <c r="B217">
        <v>2023</v>
      </c>
      <c r="C217" t="s">
        <v>60</v>
      </c>
      <c r="D217">
        <v>27.24</v>
      </c>
    </row>
    <row r="218" spans="1:4" x14ac:dyDescent="0.45">
      <c r="A218" t="s">
        <v>8</v>
      </c>
      <c r="B218">
        <v>2023</v>
      </c>
      <c r="C218" t="s">
        <v>60</v>
      </c>
      <c r="D218">
        <v>8.15</v>
      </c>
    </row>
    <row r="219" spans="1:4" x14ac:dyDescent="0.45">
      <c r="A219" t="s">
        <v>6</v>
      </c>
      <c r="B219">
        <v>2023</v>
      </c>
      <c r="C219" t="s">
        <v>60</v>
      </c>
      <c r="D219">
        <v>22.64</v>
      </c>
    </row>
    <row r="220" spans="1:4" x14ac:dyDescent="0.45">
      <c r="A220" t="s">
        <v>19</v>
      </c>
      <c r="B220">
        <v>2023</v>
      </c>
      <c r="C220" t="s">
        <v>60</v>
      </c>
    </row>
    <row r="221" spans="1:4" x14ac:dyDescent="0.45">
      <c r="A221" t="s">
        <v>23</v>
      </c>
      <c r="B221">
        <v>2023</v>
      </c>
      <c r="C221" t="s">
        <v>60</v>
      </c>
    </row>
    <row r="222" spans="1:4" x14ac:dyDescent="0.45">
      <c r="A222" t="s">
        <v>55</v>
      </c>
      <c r="B222">
        <v>2000</v>
      </c>
      <c r="C222" t="s">
        <v>61</v>
      </c>
      <c r="D222">
        <v>0</v>
      </c>
    </row>
    <row r="223" spans="1:4" x14ac:dyDescent="0.45">
      <c r="A223" t="s">
        <v>5</v>
      </c>
      <c r="B223">
        <v>2000</v>
      </c>
      <c r="C223" t="s">
        <v>61</v>
      </c>
      <c r="D223">
        <v>2.8</v>
      </c>
    </row>
    <row r="224" spans="1:4" x14ac:dyDescent="0.45">
      <c r="A224" t="s">
        <v>8</v>
      </c>
      <c r="B224">
        <v>2000</v>
      </c>
      <c r="C224" t="s">
        <v>61</v>
      </c>
      <c r="D224">
        <v>2.4300000000000002</v>
      </c>
    </row>
    <row r="225" spans="1:4" x14ac:dyDescent="0.45">
      <c r="A225" t="s">
        <v>6</v>
      </c>
      <c r="B225">
        <v>2000</v>
      </c>
      <c r="C225" t="s">
        <v>61</v>
      </c>
      <c r="D225">
        <v>0.35</v>
      </c>
    </row>
    <row r="226" spans="1:4" x14ac:dyDescent="0.45">
      <c r="A226" t="s">
        <v>23</v>
      </c>
      <c r="B226">
        <v>2000</v>
      </c>
      <c r="C226" t="s">
        <v>61</v>
      </c>
      <c r="D226">
        <v>2.97</v>
      </c>
    </row>
    <row r="227" spans="1:4" x14ac:dyDescent="0.45">
      <c r="A227" t="s">
        <v>9</v>
      </c>
      <c r="B227">
        <v>2000</v>
      </c>
      <c r="C227" t="s">
        <v>61</v>
      </c>
      <c r="D227">
        <v>0</v>
      </c>
    </row>
    <row r="228" spans="1:4" x14ac:dyDescent="0.45">
      <c r="A228" t="s">
        <v>89</v>
      </c>
      <c r="B228">
        <v>2000</v>
      </c>
      <c r="C228" t="s">
        <v>61</v>
      </c>
      <c r="D228">
        <v>0</v>
      </c>
    </row>
    <row r="229" spans="1:4" x14ac:dyDescent="0.45">
      <c r="A229" t="s">
        <v>55</v>
      </c>
      <c r="B229">
        <v>2001</v>
      </c>
      <c r="C229" t="s">
        <v>61</v>
      </c>
      <c r="D229">
        <v>0</v>
      </c>
    </row>
    <row r="230" spans="1:4" x14ac:dyDescent="0.45">
      <c r="A230" t="s">
        <v>5</v>
      </c>
      <c r="B230">
        <v>2001</v>
      </c>
      <c r="C230" t="s">
        <v>61</v>
      </c>
      <c r="D230">
        <v>2.88</v>
      </c>
    </row>
    <row r="231" spans="1:4" x14ac:dyDescent="0.45">
      <c r="A231" t="s">
        <v>8</v>
      </c>
      <c r="B231">
        <v>2001</v>
      </c>
      <c r="C231" t="s">
        <v>61</v>
      </c>
      <c r="D231">
        <v>2.46</v>
      </c>
    </row>
    <row r="232" spans="1:4" x14ac:dyDescent="0.45">
      <c r="A232" t="s">
        <v>6</v>
      </c>
      <c r="B232">
        <v>2001</v>
      </c>
      <c r="C232" t="s">
        <v>61</v>
      </c>
      <c r="D232">
        <v>0.43</v>
      </c>
    </row>
    <row r="233" spans="1:4" x14ac:dyDescent="0.45">
      <c r="A233" t="s">
        <v>23</v>
      </c>
      <c r="B233">
        <v>2001</v>
      </c>
      <c r="C233" t="s">
        <v>61</v>
      </c>
      <c r="D233">
        <v>3.13</v>
      </c>
    </row>
    <row r="234" spans="1:4" x14ac:dyDescent="0.45">
      <c r="A234" t="s">
        <v>9</v>
      </c>
      <c r="B234">
        <v>2001</v>
      </c>
      <c r="C234" t="s">
        <v>61</v>
      </c>
      <c r="D234">
        <v>0</v>
      </c>
    </row>
    <row r="235" spans="1:4" x14ac:dyDescent="0.45">
      <c r="A235" t="s">
        <v>89</v>
      </c>
      <c r="B235">
        <v>2001</v>
      </c>
      <c r="C235" t="s">
        <v>61</v>
      </c>
      <c r="D235">
        <v>0</v>
      </c>
    </row>
    <row r="236" spans="1:4" x14ac:dyDescent="0.45">
      <c r="A236" t="s">
        <v>55</v>
      </c>
      <c r="B236">
        <v>2002</v>
      </c>
      <c r="C236" t="s">
        <v>61</v>
      </c>
      <c r="D236">
        <v>0</v>
      </c>
    </row>
    <row r="237" spans="1:4" x14ac:dyDescent="0.45">
      <c r="A237" t="s">
        <v>5</v>
      </c>
      <c r="B237">
        <v>2002</v>
      </c>
      <c r="C237" t="s">
        <v>61</v>
      </c>
      <c r="D237">
        <v>4.37</v>
      </c>
    </row>
    <row r="238" spans="1:4" x14ac:dyDescent="0.45">
      <c r="A238" t="s">
        <v>8</v>
      </c>
      <c r="B238">
        <v>2002</v>
      </c>
      <c r="C238" t="s">
        <v>61</v>
      </c>
      <c r="D238">
        <v>4.6399999999999997</v>
      </c>
    </row>
    <row r="239" spans="1:4" x14ac:dyDescent="0.45">
      <c r="A239" t="s">
        <v>6</v>
      </c>
      <c r="B239">
        <v>2002</v>
      </c>
      <c r="C239" t="s">
        <v>61</v>
      </c>
      <c r="D239">
        <v>0.43</v>
      </c>
    </row>
    <row r="240" spans="1:4" x14ac:dyDescent="0.45">
      <c r="A240" t="s">
        <v>23</v>
      </c>
      <c r="B240">
        <v>2002</v>
      </c>
      <c r="C240" t="s">
        <v>61</v>
      </c>
      <c r="D240">
        <v>2.89</v>
      </c>
    </row>
    <row r="241" spans="1:4" x14ac:dyDescent="0.45">
      <c r="A241" t="s">
        <v>9</v>
      </c>
      <c r="B241">
        <v>2002</v>
      </c>
      <c r="C241" t="s">
        <v>61</v>
      </c>
      <c r="D241">
        <v>0</v>
      </c>
    </row>
    <row r="242" spans="1:4" x14ac:dyDescent="0.45">
      <c r="A242" t="s">
        <v>89</v>
      </c>
      <c r="B242">
        <v>2002</v>
      </c>
      <c r="C242" t="s">
        <v>61</v>
      </c>
      <c r="D242">
        <v>0</v>
      </c>
    </row>
    <row r="243" spans="1:4" x14ac:dyDescent="0.45">
      <c r="A243" t="s">
        <v>55</v>
      </c>
      <c r="B243">
        <v>2003</v>
      </c>
      <c r="C243" t="s">
        <v>61</v>
      </c>
      <c r="D243">
        <v>0</v>
      </c>
    </row>
    <row r="244" spans="1:4" x14ac:dyDescent="0.45">
      <c r="A244" t="s">
        <v>5</v>
      </c>
      <c r="B244">
        <v>2003</v>
      </c>
      <c r="C244" t="s">
        <v>61</v>
      </c>
      <c r="D244">
        <v>6.48</v>
      </c>
    </row>
    <row r="245" spans="1:4" x14ac:dyDescent="0.45">
      <c r="A245" t="s">
        <v>8</v>
      </c>
      <c r="B245">
        <v>2003</v>
      </c>
      <c r="C245" t="s">
        <v>61</v>
      </c>
      <c r="D245">
        <v>6.7</v>
      </c>
    </row>
    <row r="246" spans="1:4" x14ac:dyDescent="0.45">
      <c r="A246" t="s">
        <v>6</v>
      </c>
      <c r="B246">
        <v>2003</v>
      </c>
      <c r="C246" t="s">
        <v>61</v>
      </c>
      <c r="D246">
        <v>0.45</v>
      </c>
    </row>
    <row r="247" spans="1:4" x14ac:dyDescent="0.45">
      <c r="A247" t="s">
        <v>23</v>
      </c>
      <c r="B247">
        <v>2003</v>
      </c>
      <c r="C247" t="s">
        <v>61</v>
      </c>
      <c r="D247">
        <v>1.75</v>
      </c>
    </row>
    <row r="248" spans="1:4" x14ac:dyDescent="0.45">
      <c r="A248" t="s">
        <v>9</v>
      </c>
      <c r="B248">
        <v>2003</v>
      </c>
      <c r="C248" t="s">
        <v>61</v>
      </c>
      <c r="D248">
        <v>0</v>
      </c>
    </row>
    <row r="249" spans="1:4" x14ac:dyDescent="0.45">
      <c r="A249" t="s">
        <v>89</v>
      </c>
      <c r="B249">
        <v>2003</v>
      </c>
      <c r="C249" t="s">
        <v>61</v>
      </c>
      <c r="D249">
        <v>0</v>
      </c>
    </row>
    <row r="250" spans="1:4" x14ac:dyDescent="0.45">
      <c r="A250" t="s">
        <v>55</v>
      </c>
      <c r="B250">
        <v>2004</v>
      </c>
      <c r="C250" t="s">
        <v>61</v>
      </c>
      <c r="D250">
        <v>0</v>
      </c>
    </row>
    <row r="251" spans="1:4" x14ac:dyDescent="0.45">
      <c r="A251" t="s">
        <v>5</v>
      </c>
      <c r="B251">
        <v>2004</v>
      </c>
      <c r="C251" t="s">
        <v>61</v>
      </c>
      <c r="D251">
        <v>6.41</v>
      </c>
    </row>
    <row r="252" spans="1:4" x14ac:dyDescent="0.45">
      <c r="A252" t="s">
        <v>8</v>
      </c>
      <c r="B252">
        <v>2004</v>
      </c>
      <c r="C252" t="s">
        <v>61</v>
      </c>
      <c r="D252">
        <v>10.87</v>
      </c>
    </row>
    <row r="253" spans="1:4" x14ac:dyDescent="0.45">
      <c r="A253" t="s">
        <v>6</v>
      </c>
      <c r="B253">
        <v>2004</v>
      </c>
      <c r="C253" t="s">
        <v>61</v>
      </c>
      <c r="D253">
        <v>0.42</v>
      </c>
    </row>
    <row r="254" spans="1:4" x14ac:dyDescent="0.45">
      <c r="A254" t="s">
        <v>23</v>
      </c>
      <c r="B254">
        <v>2004</v>
      </c>
      <c r="C254" t="s">
        <v>61</v>
      </c>
      <c r="D254">
        <v>1.1100000000000001</v>
      </c>
    </row>
    <row r="255" spans="1:4" x14ac:dyDescent="0.45">
      <c r="A255" t="s">
        <v>9</v>
      </c>
      <c r="B255">
        <v>2004</v>
      </c>
      <c r="C255" t="s">
        <v>61</v>
      </c>
      <c r="D255">
        <v>0</v>
      </c>
    </row>
    <row r="256" spans="1:4" x14ac:dyDescent="0.45">
      <c r="A256" t="s">
        <v>89</v>
      </c>
      <c r="B256">
        <v>2004</v>
      </c>
      <c r="C256" t="s">
        <v>61</v>
      </c>
      <c r="D256">
        <v>0</v>
      </c>
    </row>
    <row r="257" spans="1:4" x14ac:dyDescent="0.45">
      <c r="A257" t="s">
        <v>55</v>
      </c>
      <c r="B257">
        <v>2005</v>
      </c>
      <c r="C257" t="s">
        <v>61</v>
      </c>
      <c r="D257">
        <v>0.01</v>
      </c>
    </row>
    <row r="258" spans="1:4" x14ac:dyDescent="0.45">
      <c r="A258" t="s">
        <v>5</v>
      </c>
      <c r="B258">
        <v>2005</v>
      </c>
      <c r="C258" t="s">
        <v>61</v>
      </c>
      <c r="D258">
        <v>9.83</v>
      </c>
    </row>
    <row r="259" spans="1:4" x14ac:dyDescent="0.45">
      <c r="A259" t="s">
        <v>8</v>
      </c>
      <c r="B259">
        <v>2005</v>
      </c>
      <c r="C259" t="s">
        <v>61</v>
      </c>
      <c r="D259">
        <v>12.43</v>
      </c>
    </row>
    <row r="260" spans="1:4" x14ac:dyDescent="0.45">
      <c r="A260" t="s">
        <v>6</v>
      </c>
      <c r="B260">
        <v>2005</v>
      </c>
      <c r="C260" t="s">
        <v>61</v>
      </c>
      <c r="D260">
        <v>0.39</v>
      </c>
    </row>
    <row r="261" spans="1:4" x14ac:dyDescent="0.45">
      <c r="A261" t="s">
        <v>23</v>
      </c>
      <c r="B261">
        <v>2005</v>
      </c>
      <c r="C261" t="s">
        <v>61</v>
      </c>
      <c r="D261">
        <v>1.43</v>
      </c>
    </row>
    <row r="262" spans="1:4" x14ac:dyDescent="0.45">
      <c r="A262" t="s">
        <v>9</v>
      </c>
      <c r="B262">
        <v>2005</v>
      </c>
      <c r="C262" t="s">
        <v>61</v>
      </c>
      <c r="D262">
        <v>0</v>
      </c>
    </row>
    <row r="263" spans="1:4" x14ac:dyDescent="0.45">
      <c r="A263" t="s">
        <v>89</v>
      </c>
      <c r="B263">
        <v>2005</v>
      </c>
      <c r="C263" t="s">
        <v>61</v>
      </c>
      <c r="D263">
        <v>0</v>
      </c>
    </row>
    <row r="264" spans="1:4" x14ac:dyDescent="0.45">
      <c r="A264" t="s">
        <v>55</v>
      </c>
      <c r="B264">
        <v>2006</v>
      </c>
      <c r="C264" t="s">
        <v>61</v>
      </c>
      <c r="D264">
        <v>0.01</v>
      </c>
    </row>
    <row r="265" spans="1:4" x14ac:dyDescent="0.45">
      <c r="A265" t="s">
        <v>5</v>
      </c>
      <c r="B265">
        <v>2006</v>
      </c>
      <c r="C265" t="s">
        <v>61</v>
      </c>
      <c r="D265">
        <v>10.92</v>
      </c>
    </row>
    <row r="266" spans="1:4" x14ac:dyDescent="0.45">
      <c r="A266" t="s">
        <v>8</v>
      </c>
      <c r="B266">
        <v>2006</v>
      </c>
      <c r="C266" t="s">
        <v>61</v>
      </c>
      <c r="D266">
        <v>13.64</v>
      </c>
    </row>
    <row r="267" spans="1:4" x14ac:dyDescent="0.45">
      <c r="A267" t="s">
        <v>6</v>
      </c>
      <c r="B267">
        <v>2006</v>
      </c>
      <c r="C267" t="s">
        <v>61</v>
      </c>
      <c r="D267">
        <v>0.47</v>
      </c>
    </row>
    <row r="268" spans="1:4" x14ac:dyDescent="0.45">
      <c r="A268" t="s">
        <v>23</v>
      </c>
      <c r="B268">
        <v>2006</v>
      </c>
      <c r="C268" t="s">
        <v>61</v>
      </c>
      <c r="D268">
        <v>0.92</v>
      </c>
    </row>
    <row r="269" spans="1:4" x14ac:dyDescent="0.45">
      <c r="A269" t="s">
        <v>9</v>
      </c>
      <c r="B269">
        <v>2006</v>
      </c>
      <c r="C269" t="s">
        <v>61</v>
      </c>
      <c r="D269">
        <v>0</v>
      </c>
    </row>
    <row r="270" spans="1:4" x14ac:dyDescent="0.45">
      <c r="A270" t="s">
        <v>89</v>
      </c>
      <c r="B270">
        <v>2006</v>
      </c>
      <c r="C270" t="s">
        <v>61</v>
      </c>
      <c r="D270">
        <v>0</v>
      </c>
    </row>
    <row r="271" spans="1:4" x14ac:dyDescent="0.45">
      <c r="A271" t="s">
        <v>55</v>
      </c>
      <c r="B271">
        <v>2007</v>
      </c>
      <c r="C271" t="s">
        <v>61</v>
      </c>
      <c r="D271">
        <v>0.02</v>
      </c>
    </row>
    <row r="272" spans="1:4" x14ac:dyDescent="0.45">
      <c r="A272" t="s">
        <v>5</v>
      </c>
      <c r="B272">
        <v>2007</v>
      </c>
      <c r="C272" t="s">
        <v>61</v>
      </c>
      <c r="D272">
        <v>11.04</v>
      </c>
    </row>
    <row r="273" spans="1:4" x14ac:dyDescent="0.45">
      <c r="A273" t="s">
        <v>8</v>
      </c>
      <c r="B273">
        <v>2007</v>
      </c>
      <c r="C273" t="s">
        <v>61</v>
      </c>
      <c r="D273">
        <v>14.82</v>
      </c>
    </row>
    <row r="274" spans="1:4" x14ac:dyDescent="0.45">
      <c r="A274" t="s">
        <v>6</v>
      </c>
      <c r="B274">
        <v>2007</v>
      </c>
      <c r="C274" t="s">
        <v>61</v>
      </c>
      <c r="D274">
        <v>0.53</v>
      </c>
    </row>
    <row r="275" spans="1:4" x14ac:dyDescent="0.45">
      <c r="A275" t="s">
        <v>23</v>
      </c>
      <c r="B275">
        <v>2007</v>
      </c>
      <c r="C275" t="s">
        <v>61</v>
      </c>
      <c r="D275">
        <v>1.75</v>
      </c>
    </row>
    <row r="276" spans="1:4" x14ac:dyDescent="0.45">
      <c r="A276" t="s">
        <v>9</v>
      </c>
      <c r="B276">
        <v>2007</v>
      </c>
      <c r="C276" t="s">
        <v>61</v>
      </c>
      <c r="D276">
        <v>0</v>
      </c>
    </row>
    <row r="277" spans="1:4" x14ac:dyDescent="0.45">
      <c r="A277" t="s">
        <v>89</v>
      </c>
      <c r="B277">
        <v>2007</v>
      </c>
      <c r="C277" t="s">
        <v>61</v>
      </c>
      <c r="D277">
        <v>0</v>
      </c>
    </row>
    <row r="278" spans="1:4" x14ac:dyDescent="0.45">
      <c r="A278" t="s">
        <v>55</v>
      </c>
      <c r="B278">
        <v>2008</v>
      </c>
      <c r="C278" t="s">
        <v>61</v>
      </c>
      <c r="D278">
        <v>0.01</v>
      </c>
    </row>
    <row r="279" spans="1:4" x14ac:dyDescent="0.45">
      <c r="A279" t="s">
        <v>5</v>
      </c>
      <c r="B279">
        <v>2008</v>
      </c>
      <c r="C279" t="s">
        <v>61</v>
      </c>
      <c r="D279">
        <v>10.98</v>
      </c>
    </row>
    <row r="280" spans="1:4" x14ac:dyDescent="0.45">
      <c r="A280" t="s">
        <v>8</v>
      </c>
      <c r="B280">
        <v>2008</v>
      </c>
      <c r="C280" t="s">
        <v>61</v>
      </c>
      <c r="D280">
        <v>17.29</v>
      </c>
    </row>
    <row r="281" spans="1:4" x14ac:dyDescent="0.45">
      <c r="A281" t="s">
        <v>6</v>
      </c>
      <c r="B281">
        <v>2008</v>
      </c>
      <c r="C281" t="s">
        <v>61</v>
      </c>
      <c r="D281">
        <v>0.62</v>
      </c>
    </row>
    <row r="282" spans="1:4" x14ac:dyDescent="0.45">
      <c r="A282" t="s">
        <v>23</v>
      </c>
      <c r="B282">
        <v>2008</v>
      </c>
      <c r="C282" t="s">
        <v>61</v>
      </c>
      <c r="D282">
        <v>1.03</v>
      </c>
    </row>
    <row r="283" spans="1:4" x14ac:dyDescent="0.45">
      <c r="A283" t="s">
        <v>9</v>
      </c>
      <c r="B283">
        <v>2008</v>
      </c>
      <c r="C283" t="s">
        <v>61</v>
      </c>
      <c r="D283">
        <v>0</v>
      </c>
    </row>
    <row r="284" spans="1:4" x14ac:dyDescent="0.45">
      <c r="A284" t="s">
        <v>89</v>
      </c>
      <c r="B284">
        <v>2008</v>
      </c>
      <c r="C284" t="s">
        <v>61</v>
      </c>
      <c r="D284">
        <v>0</v>
      </c>
    </row>
    <row r="285" spans="1:4" x14ac:dyDescent="0.45">
      <c r="A285" t="s">
        <v>55</v>
      </c>
      <c r="B285">
        <v>2009</v>
      </c>
      <c r="C285" t="s">
        <v>61</v>
      </c>
      <c r="D285">
        <v>0.01</v>
      </c>
    </row>
    <row r="286" spans="1:4" x14ac:dyDescent="0.45">
      <c r="A286" t="s">
        <v>5</v>
      </c>
      <c r="B286">
        <v>2009</v>
      </c>
      <c r="C286" t="s">
        <v>61</v>
      </c>
      <c r="D286">
        <v>11.09</v>
      </c>
    </row>
    <row r="287" spans="1:4" x14ac:dyDescent="0.45">
      <c r="A287" t="s">
        <v>8</v>
      </c>
      <c r="B287">
        <v>2009</v>
      </c>
      <c r="C287" t="s">
        <v>61</v>
      </c>
      <c r="D287">
        <v>20.239999999999998</v>
      </c>
    </row>
    <row r="288" spans="1:4" x14ac:dyDescent="0.45">
      <c r="A288" t="s">
        <v>6</v>
      </c>
      <c r="B288">
        <v>2009</v>
      </c>
      <c r="C288" t="s">
        <v>61</v>
      </c>
      <c r="D288">
        <v>0.71</v>
      </c>
    </row>
    <row r="289" spans="1:4" x14ac:dyDescent="0.45">
      <c r="A289" t="s">
        <v>23</v>
      </c>
      <c r="B289">
        <v>2009</v>
      </c>
      <c r="C289" t="s">
        <v>61</v>
      </c>
      <c r="D289">
        <v>1.17</v>
      </c>
    </row>
    <row r="290" spans="1:4" x14ac:dyDescent="0.45">
      <c r="A290" t="s">
        <v>9</v>
      </c>
      <c r="B290">
        <v>2009</v>
      </c>
      <c r="C290" t="s">
        <v>61</v>
      </c>
      <c r="D290">
        <v>0</v>
      </c>
    </row>
    <row r="291" spans="1:4" x14ac:dyDescent="0.45">
      <c r="A291" t="s">
        <v>89</v>
      </c>
      <c r="B291">
        <v>2009</v>
      </c>
      <c r="C291" t="s">
        <v>61</v>
      </c>
      <c r="D291">
        <v>0</v>
      </c>
    </row>
    <row r="292" spans="1:4" x14ac:dyDescent="0.45">
      <c r="A292" t="s">
        <v>55</v>
      </c>
      <c r="B292">
        <v>2010</v>
      </c>
      <c r="C292" t="s">
        <v>61</v>
      </c>
      <c r="D292">
        <v>0.01</v>
      </c>
    </row>
    <row r="293" spans="1:4" x14ac:dyDescent="0.45">
      <c r="A293" t="s">
        <v>5</v>
      </c>
      <c r="B293">
        <v>2010</v>
      </c>
      <c r="C293" t="s">
        <v>61</v>
      </c>
      <c r="D293">
        <v>14.11</v>
      </c>
    </row>
    <row r="294" spans="1:4" x14ac:dyDescent="0.45">
      <c r="A294" t="s">
        <v>8</v>
      </c>
      <c r="B294">
        <v>2010</v>
      </c>
      <c r="C294" t="s">
        <v>61</v>
      </c>
      <c r="D294">
        <v>24.88</v>
      </c>
    </row>
    <row r="295" spans="1:4" x14ac:dyDescent="0.45">
      <c r="A295" t="s">
        <v>6</v>
      </c>
      <c r="B295">
        <v>2010</v>
      </c>
      <c r="C295" t="s">
        <v>61</v>
      </c>
      <c r="D295">
        <v>0.68</v>
      </c>
    </row>
    <row r="296" spans="1:4" x14ac:dyDescent="0.45">
      <c r="A296" t="s">
        <v>19</v>
      </c>
      <c r="B296">
        <v>2010</v>
      </c>
      <c r="C296" t="s">
        <v>61</v>
      </c>
      <c r="D296">
        <v>0</v>
      </c>
    </row>
    <row r="297" spans="1:4" x14ac:dyDescent="0.45">
      <c r="A297" t="s">
        <v>23</v>
      </c>
      <c r="B297">
        <v>2010</v>
      </c>
      <c r="C297" t="s">
        <v>61</v>
      </c>
      <c r="D297">
        <v>1.66</v>
      </c>
    </row>
    <row r="298" spans="1:4" x14ac:dyDescent="0.45">
      <c r="A298" t="s">
        <v>9</v>
      </c>
      <c r="B298">
        <v>2010</v>
      </c>
      <c r="C298" t="s">
        <v>61</v>
      </c>
      <c r="D298">
        <v>0</v>
      </c>
    </row>
    <row r="299" spans="1:4" x14ac:dyDescent="0.45">
      <c r="A299" t="s">
        <v>89</v>
      </c>
      <c r="B299">
        <v>2010</v>
      </c>
      <c r="C299" t="s">
        <v>61</v>
      </c>
      <c r="D299">
        <v>0</v>
      </c>
    </row>
    <row r="300" spans="1:4" x14ac:dyDescent="0.45">
      <c r="A300" t="s">
        <v>55</v>
      </c>
      <c r="B300">
        <v>2011</v>
      </c>
      <c r="C300" t="s">
        <v>61</v>
      </c>
      <c r="D300">
        <v>0.01</v>
      </c>
    </row>
    <row r="301" spans="1:4" x14ac:dyDescent="0.45">
      <c r="A301" t="s">
        <v>5</v>
      </c>
      <c r="B301">
        <v>2011</v>
      </c>
      <c r="C301" t="s">
        <v>61</v>
      </c>
      <c r="D301">
        <v>17.62</v>
      </c>
    </row>
    <row r="302" spans="1:4" x14ac:dyDescent="0.45">
      <c r="A302" t="s">
        <v>8</v>
      </c>
      <c r="B302">
        <v>2011</v>
      </c>
      <c r="C302" t="s">
        <v>61</v>
      </c>
      <c r="D302">
        <v>22.07</v>
      </c>
    </row>
    <row r="303" spans="1:4" x14ac:dyDescent="0.45">
      <c r="A303" t="s">
        <v>6</v>
      </c>
      <c r="B303">
        <v>2011</v>
      </c>
      <c r="C303" t="s">
        <v>61</v>
      </c>
      <c r="D303">
        <v>0.98</v>
      </c>
    </row>
    <row r="304" spans="1:4" x14ac:dyDescent="0.45">
      <c r="A304" t="s">
        <v>19</v>
      </c>
      <c r="B304">
        <v>2011</v>
      </c>
      <c r="C304" t="s">
        <v>61</v>
      </c>
      <c r="D304">
        <v>0</v>
      </c>
    </row>
    <row r="305" spans="1:4" x14ac:dyDescent="0.45">
      <c r="A305" t="s">
        <v>23</v>
      </c>
      <c r="B305">
        <v>2011</v>
      </c>
      <c r="C305" t="s">
        <v>61</v>
      </c>
      <c r="D305">
        <v>0.48</v>
      </c>
    </row>
    <row r="306" spans="1:4" x14ac:dyDescent="0.45">
      <c r="A306" t="s">
        <v>9</v>
      </c>
      <c r="B306">
        <v>2011</v>
      </c>
      <c r="C306" t="s">
        <v>61</v>
      </c>
      <c r="D306">
        <v>0</v>
      </c>
    </row>
    <row r="307" spans="1:4" x14ac:dyDescent="0.45">
      <c r="A307" t="s">
        <v>89</v>
      </c>
      <c r="B307">
        <v>2011</v>
      </c>
      <c r="C307" t="s">
        <v>61</v>
      </c>
      <c r="D307">
        <v>0</v>
      </c>
    </row>
    <row r="308" spans="1:4" x14ac:dyDescent="0.45">
      <c r="A308" t="s">
        <v>55</v>
      </c>
      <c r="B308">
        <v>2012</v>
      </c>
      <c r="C308" t="s">
        <v>61</v>
      </c>
      <c r="D308">
        <v>0.01</v>
      </c>
    </row>
    <row r="309" spans="1:4" x14ac:dyDescent="0.45">
      <c r="A309" t="s">
        <v>5</v>
      </c>
      <c r="B309">
        <v>2012</v>
      </c>
      <c r="C309" t="s">
        <v>61</v>
      </c>
      <c r="D309">
        <v>18.71</v>
      </c>
    </row>
    <row r="310" spans="1:4" x14ac:dyDescent="0.45">
      <c r="A310" t="s">
        <v>8</v>
      </c>
      <c r="B310">
        <v>2012</v>
      </c>
      <c r="C310" t="s">
        <v>61</v>
      </c>
      <c r="D310">
        <v>22.48</v>
      </c>
    </row>
    <row r="311" spans="1:4" x14ac:dyDescent="0.45">
      <c r="A311" t="s">
        <v>6</v>
      </c>
      <c r="B311">
        <v>2012</v>
      </c>
      <c r="C311" t="s">
        <v>61</v>
      </c>
      <c r="D311">
        <v>1.27</v>
      </c>
    </row>
    <row r="312" spans="1:4" x14ac:dyDescent="0.45">
      <c r="A312" t="s">
        <v>19</v>
      </c>
      <c r="B312">
        <v>2012</v>
      </c>
      <c r="C312" t="s">
        <v>61</v>
      </c>
      <c r="D312">
        <v>0</v>
      </c>
    </row>
    <row r="313" spans="1:4" x14ac:dyDescent="0.45">
      <c r="A313" t="s">
        <v>23</v>
      </c>
      <c r="B313">
        <v>2012</v>
      </c>
      <c r="C313" t="s">
        <v>61</v>
      </c>
      <c r="D313">
        <v>7.0000000000000007E-2</v>
      </c>
    </row>
    <row r="314" spans="1:4" x14ac:dyDescent="0.45">
      <c r="A314" t="s">
        <v>9</v>
      </c>
      <c r="B314">
        <v>2012</v>
      </c>
      <c r="C314" t="s">
        <v>61</v>
      </c>
      <c r="D314">
        <v>0</v>
      </c>
    </row>
    <row r="315" spans="1:4" x14ac:dyDescent="0.45">
      <c r="A315" t="s">
        <v>89</v>
      </c>
      <c r="B315">
        <v>2012</v>
      </c>
      <c r="C315" t="s">
        <v>61</v>
      </c>
      <c r="D315">
        <v>0</v>
      </c>
    </row>
    <row r="316" spans="1:4" x14ac:dyDescent="0.45">
      <c r="A316" t="s">
        <v>55</v>
      </c>
      <c r="B316">
        <v>2013</v>
      </c>
      <c r="C316" t="s">
        <v>61</v>
      </c>
      <c r="D316">
        <v>0.01</v>
      </c>
    </row>
    <row r="317" spans="1:4" x14ac:dyDescent="0.45">
      <c r="A317" t="s">
        <v>5</v>
      </c>
      <c r="B317">
        <v>2013</v>
      </c>
      <c r="C317" t="s">
        <v>61</v>
      </c>
      <c r="D317">
        <v>21.12</v>
      </c>
    </row>
    <row r="318" spans="1:4" x14ac:dyDescent="0.45">
      <c r="A318" t="s">
        <v>8</v>
      </c>
      <c r="B318">
        <v>2013</v>
      </c>
      <c r="C318" t="s">
        <v>61</v>
      </c>
      <c r="D318">
        <v>23.24</v>
      </c>
    </row>
    <row r="319" spans="1:4" x14ac:dyDescent="0.45">
      <c r="A319" t="s">
        <v>6</v>
      </c>
      <c r="B319">
        <v>2013</v>
      </c>
      <c r="C319" t="s">
        <v>61</v>
      </c>
      <c r="D319">
        <v>1.37</v>
      </c>
    </row>
    <row r="320" spans="1:4" x14ac:dyDescent="0.45">
      <c r="A320" t="s">
        <v>19</v>
      </c>
      <c r="B320">
        <v>2013</v>
      </c>
      <c r="C320" t="s">
        <v>61</v>
      </c>
      <c r="D320">
        <v>0</v>
      </c>
    </row>
    <row r="321" spans="1:4" x14ac:dyDescent="0.45">
      <c r="A321" t="s">
        <v>23</v>
      </c>
      <c r="B321">
        <v>2013</v>
      </c>
      <c r="C321" t="s">
        <v>61</v>
      </c>
      <c r="D321">
        <v>0.48</v>
      </c>
    </row>
    <row r="322" spans="1:4" x14ac:dyDescent="0.45">
      <c r="A322" t="s">
        <v>9</v>
      </c>
      <c r="B322">
        <v>2013</v>
      </c>
      <c r="C322" t="s">
        <v>61</v>
      </c>
      <c r="D322">
        <v>0</v>
      </c>
    </row>
    <row r="323" spans="1:4" x14ac:dyDescent="0.45">
      <c r="A323" t="s">
        <v>89</v>
      </c>
      <c r="B323">
        <v>2013</v>
      </c>
      <c r="C323" t="s">
        <v>61</v>
      </c>
      <c r="D323">
        <v>0</v>
      </c>
    </row>
    <row r="324" spans="1:4" x14ac:dyDescent="0.45">
      <c r="A324" t="s">
        <v>55</v>
      </c>
      <c r="B324">
        <v>2014</v>
      </c>
      <c r="C324" t="s">
        <v>61</v>
      </c>
      <c r="D324">
        <v>0.01</v>
      </c>
    </row>
    <row r="325" spans="1:4" x14ac:dyDescent="0.45">
      <c r="A325" t="s">
        <v>5</v>
      </c>
      <c r="B325">
        <v>2014</v>
      </c>
      <c r="C325" t="s">
        <v>61</v>
      </c>
      <c r="D325">
        <v>30.57</v>
      </c>
    </row>
    <row r="326" spans="1:4" x14ac:dyDescent="0.45">
      <c r="A326" t="s">
        <v>8</v>
      </c>
      <c r="B326">
        <v>2014</v>
      </c>
      <c r="C326" t="s">
        <v>61</v>
      </c>
      <c r="D326">
        <v>24.15</v>
      </c>
    </row>
    <row r="327" spans="1:4" x14ac:dyDescent="0.45">
      <c r="A327" t="s">
        <v>6</v>
      </c>
      <c r="B327">
        <v>2014</v>
      </c>
      <c r="C327" t="s">
        <v>61</v>
      </c>
      <c r="D327">
        <v>1.48</v>
      </c>
    </row>
    <row r="328" spans="1:4" x14ac:dyDescent="0.45">
      <c r="A328" t="s">
        <v>19</v>
      </c>
      <c r="B328">
        <v>2014</v>
      </c>
      <c r="C328" t="s">
        <v>61</v>
      </c>
      <c r="D328">
        <v>0</v>
      </c>
    </row>
    <row r="329" spans="1:4" x14ac:dyDescent="0.45">
      <c r="A329" t="s">
        <v>23</v>
      </c>
      <c r="B329">
        <v>2014</v>
      </c>
      <c r="C329" t="s">
        <v>61</v>
      </c>
      <c r="D329">
        <v>0.46</v>
      </c>
    </row>
    <row r="330" spans="1:4" x14ac:dyDescent="0.45">
      <c r="A330" t="s">
        <v>9</v>
      </c>
      <c r="B330">
        <v>2014</v>
      </c>
      <c r="C330" t="s">
        <v>61</v>
      </c>
      <c r="D330">
        <v>0</v>
      </c>
    </row>
    <row r="331" spans="1:4" x14ac:dyDescent="0.45">
      <c r="A331" t="s">
        <v>89</v>
      </c>
      <c r="B331">
        <v>2014</v>
      </c>
      <c r="C331" t="s">
        <v>61</v>
      </c>
      <c r="D331">
        <v>0</v>
      </c>
    </row>
    <row r="332" spans="1:4" x14ac:dyDescent="0.45">
      <c r="A332" t="s">
        <v>55</v>
      </c>
      <c r="B332">
        <v>2015</v>
      </c>
      <c r="C332" t="s">
        <v>61</v>
      </c>
      <c r="D332">
        <v>0.02</v>
      </c>
    </row>
    <row r="333" spans="1:4" x14ac:dyDescent="0.45">
      <c r="A333" t="s">
        <v>5</v>
      </c>
      <c r="B333">
        <v>2015</v>
      </c>
      <c r="C333" t="s">
        <v>61</v>
      </c>
      <c r="D333">
        <v>49.54</v>
      </c>
    </row>
    <row r="334" spans="1:4" x14ac:dyDescent="0.45">
      <c r="A334" t="s">
        <v>8</v>
      </c>
      <c r="B334">
        <v>2015</v>
      </c>
      <c r="C334" t="s">
        <v>61</v>
      </c>
      <c r="D334">
        <v>26.8</v>
      </c>
    </row>
    <row r="335" spans="1:4" x14ac:dyDescent="0.45">
      <c r="A335" t="s">
        <v>6</v>
      </c>
      <c r="B335">
        <v>2015</v>
      </c>
      <c r="C335" t="s">
        <v>61</v>
      </c>
      <c r="D335">
        <v>1.33</v>
      </c>
    </row>
    <row r="336" spans="1:4" x14ac:dyDescent="0.45">
      <c r="A336" t="s">
        <v>19</v>
      </c>
      <c r="B336">
        <v>2015</v>
      </c>
      <c r="C336" t="s">
        <v>61</v>
      </c>
      <c r="D336">
        <v>0</v>
      </c>
    </row>
    <row r="337" spans="1:4" x14ac:dyDescent="0.45">
      <c r="A337" t="s">
        <v>23</v>
      </c>
      <c r="B337">
        <v>2015</v>
      </c>
      <c r="C337" t="s">
        <v>61</v>
      </c>
      <c r="D337">
        <v>0.65</v>
      </c>
    </row>
    <row r="338" spans="1:4" x14ac:dyDescent="0.45">
      <c r="A338" t="s">
        <v>9</v>
      </c>
      <c r="B338">
        <v>2015</v>
      </c>
      <c r="C338" t="s">
        <v>61</v>
      </c>
      <c r="D338">
        <v>0</v>
      </c>
    </row>
    <row r="339" spans="1:4" x14ac:dyDescent="0.45">
      <c r="A339" t="s">
        <v>89</v>
      </c>
      <c r="B339">
        <v>2015</v>
      </c>
      <c r="C339" t="s">
        <v>61</v>
      </c>
      <c r="D339">
        <v>0</v>
      </c>
    </row>
    <row r="340" spans="1:4" x14ac:dyDescent="0.45">
      <c r="A340" t="s">
        <v>55</v>
      </c>
      <c r="B340">
        <v>2016</v>
      </c>
      <c r="C340" t="s">
        <v>61</v>
      </c>
      <c r="D340">
        <v>0.03</v>
      </c>
    </row>
    <row r="341" spans="1:4" x14ac:dyDescent="0.45">
      <c r="A341" t="s">
        <v>5</v>
      </c>
      <c r="B341">
        <v>2016</v>
      </c>
      <c r="C341" t="s">
        <v>61</v>
      </c>
      <c r="D341">
        <v>60.05</v>
      </c>
    </row>
    <row r="342" spans="1:4" x14ac:dyDescent="0.45">
      <c r="A342" t="s">
        <v>8</v>
      </c>
      <c r="B342">
        <v>2016</v>
      </c>
      <c r="C342" t="s">
        <v>61</v>
      </c>
      <c r="D342">
        <v>25.26</v>
      </c>
    </row>
    <row r="343" spans="1:4" x14ac:dyDescent="0.45">
      <c r="A343" t="s">
        <v>6</v>
      </c>
      <c r="B343">
        <v>2016</v>
      </c>
      <c r="C343" t="s">
        <v>61</v>
      </c>
      <c r="D343">
        <v>1.52</v>
      </c>
    </row>
    <row r="344" spans="1:4" x14ac:dyDescent="0.45">
      <c r="A344" t="s">
        <v>19</v>
      </c>
      <c r="B344">
        <v>2016</v>
      </c>
      <c r="C344" t="s">
        <v>61</v>
      </c>
      <c r="D344">
        <v>0</v>
      </c>
    </row>
    <row r="345" spans="1:4" x14ac:dyDescent="0.45">
      <c r="A345" t="s">
        <v>23</v>
      </c>
      <c r="B345">
        <v>2016</v>
      </c>
      <c r="C345" t="s">
        <v>61</v>
      </c>
      <c r="D345">
        <v>0.78</v>
      </c>
    </row>
    <row r="346" spans="1:4" x14ac:dyDescent="0.45">
      <c r="A346" t="s">
        <v>9</v>
      </c>
      <c r="B346">
        <v>2016</v>
      </c>
      <c r="C346" t="s">
        <v>61</v>
      </c>
      <c r="D346">
        <v>0</v>
      </c>
    </row>
    <row r="347" spans="1:4" x14ac:dyDescent="0.45">
      <c r="A347" t="s">
        <v>89</v>
      </c>
      <c r="B347">
        <v>2016</v>
      </c>
      <c r="C347" t="s">
        <v>61</v>
      </c>
      <c r="D347">
        <v>0</v>
      </c>
    </row>
    <row r="348" spans="1:4" x14ac:dyDescent="0.45">
      <c r="A348" t="s">
        <v>55</v>
      </c>
      <c r="B348">
        <v>2017</v>
      </c>
      <c r="C348" t="s">
        <v>61</v>
      </c>
      <c r="D348">
        <v>0.05</v>
      </c>
    </row>
    <row r="349" spans="1:4" x14ac:dyDescent="0.45">
      <c r="A349" t="s">
        <v>5</v>
      </c>
      <c r="B349">
        <v>2017</v>
      </c>
      <c r="C349" t="s">
        <v>61</v>
      </c>
      <c r="D349">
        <v>59.18</v>
      </c>
    </row>
    <row r="350" spans="1:4" x14ac:dyDescent="0.45">
      <c r="A350" t="s">
        <v>8</v>
      </c>
      <c r="B350">
        <v>2017</v>
      </c>
      <c r="C350" t="s">
        <v>61</v>
      </c>
      <c r="D350">
        <v>22.46</v>
      </c>
    </row>
    <row r="351" spans="1:4" x14ac:dyDescent="0.45">
      <c r="A351" t="s">
        <v>6</v>
      </c>
      <c r="B351">
        <v>2017</v>
      </c>
      <c r="C351" t="s">
        <v>61</v>
      </c>
      <c r="D351">
        <v>2.04</v>
      </c>
    </row>
    <row r="352" spans="1:4" x14ac:dyDescent="0.45">
      <c r="A352" t="s">
        <v>19</v>
      </c>
      <c r="B352">
        <v>2017</v>
      </c>
      <c r="C352" t="s">
        <v>61</v>
      </c>
      <c r="D352">
        <v>0</v>
      </c>
    </row>
    <row r="353" spans="1:4" x14ac:dyDescent="0.45">
      <c r="A353" t="s">
        <v>23</v>
      </c>
      <c r="B353">
        <v>2017</v>
      </c>
      <c r="C353" t="s">
        <v>61</v>
      </c>
      <c r="D353">
        <v>0.1</v>
      </c>
    </row>
    <row r="354" spans="1:4" x14ac:dyDescent="0.45">
      <c r="A354" t="s">
        <v>9</v>
      </c>
      <c r="B354">
        <v>2017</v>
      </c>
      <c r="C354" t="s">
        <v>61</v>
      </c>
      <c r="D354">
        <v>0</v>
      </c>
    </row>
    <row r="355" spans="1:4" x14ac:dyDescent="0.45">
      <c r="A355" t="s">
        <v>89</v>
      </c>
      <c r="B355">
        <v>2017</v>
      </c>
      <c r="C355" t="s">
        <v>61</v>
      </c>
      <c r="D355">
        <v>0.01</v>
      </c>
    </row>
    <row r="356" spans="1:4" x14ac:dyDescent="0.45">
      <c r="A356" t="s">
        <v>55</v>
      </c>
      <c r="B356">
        <v>2018</v>
      </c>
      <c r="C356" t="s">
        <v>61</v>
      </c>
      <c r="D356">
        <v>0.11</v>
      </c>
    </row>
    <row r="357" spans="1:4" x14ac:dyDescent="0.45">
      <c r="A357" t="s">
        <v>5</v>
      </c>
      <c r="B357">
        <v>2018</v>
      </c>
      <c r="C357" t="s">
        <v>61</v>
      </c>
      <c r="D357">
        <v>79.650000000000006</v>
      </c>
    </row>
    <row r="358" spans="1:4" x14ac:dyDescent="0.45">
      <c r="A358" t="s">
        <v>8</v>
      </c>
      <c r="B358">
        <v>2018</v>
      </c>
      <c r="C358" t="s">
        <v>61</v>
      </c>
      <c r="D358">
        <v>22.66</v>
      </c>
    </row>
    <row r="359" spans="1:4" x14ac:dyDescent="0.45">
      <c r="A359" t="s">
        <v>6</v>
      </c>
      <c r="B359">
        <v>2018</v>
      </c>
      <c r="C359" t="s">
        <v>61</v>
      </c>
      <c r="D359">
        <v>1.97</v>
      </c>
    </row>
    <row r="360" spans="1:4" x14ac:dyDescent="0.45">
      <c r="A360" t="s">
        <v>19</v>
      </c>
      <c r="B360">
        <v>2018</v>
      </c>
      <c r="C360" t="s">
        <v>61</v>
      </c>
      <c r="D360">
        <v>0</v>
      </c>
    </row>
    <row r="361" spans="1:4" x14ac:dyDescent="0.45">
      <c r="A361" t="s">
        <v>23</v>
      </c>
      <c r="B361">
        <v>2018</v>
      </c>
      <c r="C361" t="s">
        <v>61</v>
      </c>
      <c r="D361">
        <v>0.49</v>
      </c>
    </row>
    <row r="362" spans="1:4" x14ac:dyDescent="0.45">
      <c r="A362" t="s">
        <v>9</v>
      </c>
      <c r="B362">
        <v>2018</v>
      </c>
      <c r="C362" t="s">
        <v>61</v>
      </c>
      <c r="D362">
        <v>0</v>
      </c>
    </row>
    <row r="363" spans="1:4" x14ac:dyDescent="0.45">
      <c r="A363" t="s">
        <v>89</v>
      </c>
      <c r="B363">
        <v>2018</v>
      </c>
      <c r="C363" t="s">
        <v>61</v>
      </c>
      <c r="D363">
        <v>0.01</v>
      </c>
    </row>
    <row r="364" spans="1:4" x14ac:dyDescent="0.45">
      <c r="A364" t="s">
        <v>55</v>
      </c>
      <c r="B364">
        <v>2019</v>
      </c>
      <c r="C364" t="s">
        <v>61</v>
      </c>
      <c r="D364">
        <v>0.08</v>
      </c>
    </row>
    <row r="365" spans="1:4" x14ac:dyDescent="0.45">
      <c r="A365" t="s">
        <v>5</v>
      </c>
      <c r="B365">
        <v>2019</v>
      </c>
      <c r="C365" t="s">
        <v>61</v>
      </c>
      <c r="D365">
        <v>104.23</v>
      </c>
    </row>
    <row r="366" spans="1:4" x14ac:dyDescent="0.45">
      <c r="A366" t="s">
        <v>8</v>
      </c>
      <c r="B366">
        <v>2019</v>
      </c>
      <c r="C366" t="s">
        <v>61</v>
      </c>
      <c r="D366">
        <v>23.66</v>
      </c>
    </row>
    <row r="367" spans="1:4" x14ac:dyDescent="0.45">
      <c r="A367" t="s">
        <v>6</v>
      </c>
      <c r="B367">
        <v>2019</v>
      </c>
      <c r="C367" t="s">
        <v>61</v>
      </c>
      <c r="D367">
        <v>1.57</v>
      </c>
    </row>
    <row r="368" spans="1:4" x14ac:dyDescent="0.45">
      <c r="A368" t="s">
        <v>19</v>
      </c>
      <c r="B368">
        <v>2019</v>
      </c>
      <c r="C368" t="s">
        <v>61</v>
      </c>
      <c r="D368">
        <v>0</v>
      </c>
    </row>
    <row r="369" spans="1:4" x14ac:dyDescent="0.45">
      <c r="A369" t="s">
        <v>23</v>
      </c>
      <c r="B369">
        <v>2019</v>
      </c>
      <c r="C369" t="s">
        <v>61</v>
      </c>
      <c r="D369">
        <v>1.45</v>
      </c>
    </row>
    <row r="370" spans="1:4" x14ac:dyDescent="0.45">
      <c r="A370" t="s">
        <v>9</v>
      </c>
      <c r="B370">
        <v>2019</v>
      </c>
      <c r="C370" t="s">
        <v>61</v>
      </c>
      <c r="D370">
        <v>0.23</v>
      </c>
    </row>
    <row r="371" spans="1:4" x14ac:dyDescent="0.45">
      <c r="A371" t="s">
        <v>89</v>
      </c>
      <c r="B371">
        <v>2019</v>
      </c>
      <c r="C371" t="s">
        <v>61</v>
      </c>
      <c r="D371">
        <v>0.01</v>
      </c>
    </row>
    <row r="372" spans="1:4" x14ac:dyDescent="0.45">
      <c r="A372" t="s">
        <v>55</v>
      </c>
      <c r="B372">
        <v>2020</v>
      </c>
      <c r="C372" t="s">
        <v>61</v>
      </c>
      <c r="D372">
        <v>7.0000000000000007E-2</v>
      </c>
    </row>
    <row r="373" spans="1:4" x14ac:dyDescent="0.45">
      <c r="A373" t="s">
        <v>5</v>
      </c>
      <c r="B373">
        <v>2020</v>
      </c>
      <c r="C373" t="s">
        <v>61</v>
      </c>
      <c r="D373">
        <v>106.14</v>
      </c>
    </row>
    <row r="374" spans="1:4" x14ac:dyDescent="0.45">
      <c r="A374" t="s">
        <v>8</v>
      </c>
      <c r="B374">
        <v>2020</v>
      </c>
      <c r="C374" t="s">
        <v>61</v>
      </c>
      <c r="D374">
        <v>19.29</v>
      </c>
    </row>
    <row r="375" spans="1:4" x14ac:dyDescent="0.45">
      <c r="A375" t="s">
        <v>6</v>
      </c>
      <c r="B375">
        <v>2020</v>
      </c>
      <c r="C375" t="s">
        <v>61</v>
      </c>
      <c r="D375">
        <v>1.73</v>
      </c>
    </row>
    <row r="376" spans="1:4" x14ac:dyDescent="0.45">
      <c r="A376" t="s">
        <v>19</v>
      </c>
      <c r="B376">
        <v>2020</v>
      </c>
      <c r="C376" t="s">
        <v>61</v>
      </c>
      <c r="D376">
        <v>0</v>
      </c>
    </row>
    <row r="377" spans="1:4" x14ac:dyDescent="0.45">
      <c r="A377" t="s">
        <v>23</v>
      </c>
      <c r="B377">
        <v>2020</v>
      </c>
      <c r="C377" t="s">
        <v>61</v>
      </c>
      <c r="D377">
        <v>1.22</v>
      </c>
    </row>
    <row r="378" spans="1:4" x14ac:dyDescent="0.45">
      <c r="A378" t="s">
        <v>9</v>
      </c>
      <c r="B378">
        <v>2020</v>
      </c>
      <c r="C378" t="s">
        <v>61</v>
      </c>
      <c r="D378">
        <v>0.51</v>
      </c>
    </row>
    <row r="379" spans="1:4" x14ac:dyDescent="0.45">
      <c r="A379" t="s">
        <v>89</v>
      </c>
      <c r="B379">
        <v>2020</v>
      </c>
      <c r="C379" t="s">
        <v>61</v>
      </c>
      <c r="D379">
        <v>0.01</v>
      </c>
    </row>
    <row r="380" spans="1:4" x14ac:dyDescent="0.45">
      <c r="A380" t="s">
        <v>55</v>
      </c>
      <c r="B380">
        <v>2021</v>
      </c>
      <c r="C380" t="s">
        <v>61</v>
      </c>
      <c r="D380">
        <v>7.0000000000000007E-2</v>
      </c>
    </row>
    <row r="381" spans="1:4" x14ac:dyDescent="0.45">
      <c r="A381" t="s">
        <v>5</v>
      </c>
      <c r="B381">
        <v>2021</v>
      </c>
      <c r="C381" t="s">
        <v>61</v>
      </c>
      <c r="D381">
        <v>102.11</v>
      </c>
    </row>
    <row r="382" spans="1:4" x14ac:dyDescent="0.45">
      <c r="A382" t="s">
        <v>8</v>
      </c>
      <c r="B382">
        <v>2021</v>
      </c>
      <c r="C382" t="s">
        <v>61</v>
      </c>
      <c r="D382">
        <v>14.65</v>
      </c>
    </row>
    <row r="383" spans="1:4" x14ac:dyDescent="0.45">
      <c r="A383" t="s">
        <v>6</v>
      </c>
      <c r="B383">
        <v>2021</v>
      </c>
      <c r="C383" t="s">
        <v>61</v>
      </c>
      <c r="D383">
        <v>1.87</v>
      </c>
    </row>
    <row r="384" spans="1:4" x14ac:dyDescent="0.45">
      <c r="A384" t="s">
        <v>19</v>
      </c>
      <c r="B384">
        <v>2021</v>
      </c>
      <c r="C384" t="s">
        <v>61</v>
      </c>
      <c r="D384">
        <v>0</v>
      </c>
    </row>
    <row r="385" spans="1:4" x14ac:dyDescent="0.45">
      <c r="A385" t="s">
        <v>23</v>
      </c>
      <c r="B385">
        <v>2021</v>
      </c>
      <c r="C385" t="s">
        <v>61</v>
      </c>
      <c r="D385">
        <v>0.52</v>
      </c>
    </row>
    <row r="386" spans="1:4" x14ac:dyDescent="0.45">
      <c r="A386" t="s">
        <v>9</v>
      </c>
      <c r="B386">
        <v>2021</v>
      </c>
      <c r="C386" t="s">
        <v>61</v>
      </c>
      <c r="D386">
        <v>1.24</v>
      </c>
    </row>
    <row r="387" spans="1:4" x14ac:dyDescent="0.45">
      <c r="A387" t="s">
        <v>89</v>
      </c>
      <c r="B387">
        <v>2021</v>
      </c>
      <c r="C387" t="s">
        <v>61</v>
      </c>
      <c r="D387">
        <v>0.05</v>
      </c>
    </row>
    <row r="388" spans="1:4" x14ac:dyDescent="0.45">
      <c r="A388" t="s">
        <v>55</v>
      </c>
      <c r="B388">
        <v>2022</v>
      </c>
      <c r="C388" t="s">
        <v>61</v>
      </c>
      <c r="D388">
        <v>0.08</v>
      </c>
    </row>
    <row r="389" spans="1:4" x14ac:dyDescent="0.45">
      <c r="A389" t="s">
        <v>5</v>
      </c>
      <c r="B389">
        <v>2022</v>
      </c>
      <c r="C389" t="s">
        <v>61</v>
      </c>
      <c r="D389">
        <v>89.7</v>
      </c>
    </row>
    <row r="390" spans="1:4" x14ac:dyDescent="0.45">
      <c r="A390" t="s">
        <v>8</v>
      </c>
      <c r="B390">
        <v>2022</v>
      </c>
      <c r="C390" t="s">
        <v>61</v>
      </c>
      <c r="D390">
        <v>16.27</v>
      </c>
    </row>
    <row r="391" spans="1:4" x14ac:dyDescent="0.45">
      <c r="A391" t="s">
        <v>6</v>
      </c>
      <c r="B391">
        <v>2022</v>
      </c>
      <c r="C391" t="s">
        <v>61</v>
      </c>
      <c r="D391">
        <v>2.2799999999999998</v>
      </c>
    </row>
    <row r="392" spans="1:4" x14ac:dyDescent="0.45">
      <c r="A392" t="s">
        <v>19</v>
      </c>
      <c r="B392">
        <v>2022</v>
      </c>
      <c r="C392" t="s">
        <v>61</v>
      </c>
      <c r="D392">
        <v>0</v>
      </c>
    </row>
    <row r="393" spans="1:4" x14ac:dyDescent="0.45">
      <c r="A393" t="s">
        <v>23</v>
      </c>
      <c r="B393">
        <v>2022</v>
      </c>
      <c r="C393" t="s">
        <v>61</v>
      </c>
      <c r="D393">
        <v>0.47</v>
      </c>
    </row>
    <row r="394" spans="1:4" x14ac:dyDescent="0.45">
      <c r="A394" t="s">
        <v>9</v>
      </c>
      <c r="B394">
        <v>2022</v>
      </c>
      <c r="C394" t="s">
        <v>61</v>
      </c>
      <c r="D394">
        <v>1.22</v>
      </c>
    </row>
    <row r="395" spans="1:4" x14ac:dyDescent="0.45">
      <c r="A395" t="s">
        <v>89</v>
      </c>
      <c r="B395">
        <v>2022</v>
      </c>
      <c r="C395" t="s">
        <v>61</v>
      </c>
      <c r="D395">
        <v>0.13</v>
      </c>
    </row>
    <row r="396" spans="1:4" x14ac:dyDescent="0.45">
      <c r="A396" t="s">
        <v>55</v>
      </c>
      <c r="B396">
        <v>2023</v>
      </c>
      <c r="C396" t="s">
        <v>61</v>
      </c>
      <c r="D396">
        <v>0.18</v>
      </c>
    </row>
    <row r="397" spans="1:4" x14ac:dyDescent="0.45">
      <c r="A397" t="s">
        <v>5</v>
      </c>
      <c r="B397">
        <v>2023</v>
      </c>
      <c r="C397" t="s">
        <v>61</v>
      </c>
      <c r="D397">
        <v>111.35</v>
      </c>
    </row>
    <row r="398" spans="1:4" x14ac:dyDescent="0.45">
      <c r="A398" t="s">
        <v>8</v>
      </c>
      <c r="B398">
        <v>2023</v>
      </c>
      <c r="C398" t="s">
        <v>61</v>
      </c>
      <c r="D398">
        <v>14.65</v>
      </c>
    </row>
    <row r="399" spans="1:4" x14ac:dyDescent="0.45">
      <c r="A399" t="s">
        <v>6</v>
      </c>
      <c r="B399">
        <v>2023</v>
      </c>
      <c r="C399" t="s">
        <v>61</v>
      </c>
      <c r="D399">
        <v>1.92</v>
      </c>
    </row>
    <row r="400" spans="1:4" x14ac:dyDescent="0.45">
      <c r="A400" t="s">
        <v>19</v>
      </c>
      <c r="B400">
        <v>2023</v>
      </c>
      <c r="C400" t="s">
        <v>61</v>
      </c>
      <c r="D400">
        <v>0</v>
      </c>
    </row>
    <row r="401" spans="1:4" x14ac:dyDescent="0.45">
      <c r="A401" t="s">
        <v>23</v>
      </c>
      <c r="B401">
        <v>2023</v>
      </c>
      <c r="C401" t="s">
        <v>61</v>
      </c>
      <c r="D401">
        <v>1.1299999999999999</v>
      </c>
    </row>
    <row r="402" spans="1:4" x14ac:dyDescent="0.45">
      <c r="A402" t="s">
        <v>9</v>
      </c>
      <c r="B402">
        <v>2023</v>
      </c>
      <c r="C402" t="s">
        <v>61</v>
      </c>
      <c r="D402">
        <v>1.22</v>
      </c>
    </row>
    <row r="403" spans="1:4" x14ac:dyDescent="0.45">
      <c r="A403" t="s">
        <v>89</v>
      </c>
      <c r="B403">
        <v>2023</v>
      </c>
      <c r="C403" t="s">
        <v>61</v>
      </c>
      <c r="D403">
        <v>0.16</v>
      </c>
    </row>
    <row r="404" spans="1:4" x14ac:dyDescent="0.45">
      <c r="A404" t="s">
        <v>9</v>
      </c>
      <c r="B404">
        <v>2018</v>
      </c>
      <c r="C404" t="s">
        <v>60</v>
      </c>
      <c r="D404">
        <v>0.104992</v>
      </c>
    </row>
    <row r="405" spans="1:4" x14ac:dyDescent="0.45">
      <c r="A405" t="s">
        <v>9</v>
      </c>
      <c r="B405">
        <v>2019</v>
      </c>
      <c r="C405" t="s">
        <v>60</v>
      </c>
      <c r="D405">
        <v>4.9944899999999999</v>
      </c>
    </row>
    <row r="406" spans="1:4" x14ac:dyDescent="0.45">
      <c r="A406" t="s">
        <v>9</v>
      </c>
      <c r="B406">
        <v>2020</v>
      </c>
      <c r="C406" t="s">
        <v>60</v>
      </c>
      <c r="D406">
        <v>16.661490000000001</v>
      </c>
    </row>
    <row r="407" spans="1:4" x14ac:dyDescent="0.45">
      <c r="A407" t="s">
        <v>9</v>
      </c>
      <c r="B407">
        <v>2021</v>
      </c>
      <c r="C407" t="s">
        <v>60</v>
      </c>
      <c r="D407">
        <v>16.661490000000001</v>
      </c>
    </row>
    <row r="408" spans="1:4" x14ac:dyDescent="0.45">
      <c r="A408" t="s">
        <v>9</v>
      </c>
      <c r="B408">
        <v>2022</v>
      </c>
      <c r="C408" t="s">
        <v>60</v>
      </c>
      <c r="D408">
        <v>16.698490000000003</v>
      </c>
    </row>
    <row r="409" spans="1:4" x14ac:dyDescent="0.45">
      <c r="A409" t="s">
        <v>9</v>
      </c>
      <c r="B409">
        <v>2023</v>
      </c>
      <c r="C409" t="s">
        <v>60</v>
      </c>
      <c r="D409">
        <v>18.58841</v>
      </c>
    </row>
    <row r="410" spans="1:4" x14ac:dyDescent="0.45">
      <c r="A410" t="s">
        <v>9</v>
      </c>
      <c r="B410">
        <v>2024</v>
      </c>
      <c r="C410" t="s">
        <v>60</v>
      </c>
      <c r="D410">
        <v>18.667339999999999</v>
      </c>
    </row>
    <row r="411" spans="1:4" x14ac:dyDescent="0.45">
      <c r="A411" t="s">
        <v>9</v>
      </c>
      <c r="B411">
        <v>2011</v>
      </c>
      <c r="C411" t="s">
        <v>60</v>
      </c>
      <c r="D411">
        <v>4.5179999999999994E-3</v>
      </c>
    </row>
    <row r="412" spans="1:4" x14ac:dyDescent="0.45">
      <c r="A412" t="s">
        <v>9</v>
      </c>
      <c r="B412">
        <v>2012</v>
      </c>
      <c r="C412" t="s">
        <v>60</v>
      </c>
      <c r="D412">
        <v>4.5179999999999994E-3</v>
      </c>
    </row>
    <row r="413" spans="1:4" x14ac:dyDescent="0.45">
      <c r="A413" t="s">
        <v>9</v>
      </c>
      <c r="B413">
        <v>2013</v>
      </c>
      <c r="C413" t="s">
        <v>60</v>
      </c>
      <c r="D413">
        <v>4.5179999999999994E-3</v>
      </c>
    </row>
    <row r="414" spans="1:4" x14ac:dyDescent="0.45">
      <c r="A414" t="s">
        <v>9</v>
      </c>
      <c r="B414">
        <v>2014</v>
      </c>
      <c r="C414" t="s">
        <v>60</v>
      </c>
      <c r="D414">
        <v>5.2900000000000004E-3</v>
      </c>
    </row>
    <row r="415" spans="1:4" x14ac:dyDescent="0.45">
      <c r="A415" t="s">
        <v>9</v>
      </c>
      <c r="B415">
        <v>2015</v>
      </c>
      <c r="C415" t="s">
        <v>60</v>
      </c>
      <c r="D415">
        <v>5.2900000000000004E-3</v>
      </c>
    </row>
    <row r="416" spans="1:4" x14ac:dyDescent="0.45">
      <c r="A416" t="s">
        <v>9</v>
      </c>
      <c r="B416">
        <v>2016</v>
      </c>
      <c r="C416" t="s">
        <v>60</v>
      </c>
      <c r="D416">
        <v>5.2900000000000004E-3</v>
      </c>
    </row>
    <row r="417" spans="1:4" x14ac:dyDescent="0.45">
      <c r="A417" t="s">
        <v>9</v>
      </c>
      <c r="B417">
        <v>2017</v>
      </c>
      <c r="C417" t="s">
        <v>60</v>
      </c>
      <c r="D417">
        <v>7.9920000000000008E-3</v>
      </c>
    </row>
    <row r="418" spans="1:4" x14ac:dyDescent="0.45">
      <c r="A418" t="s">
        <v>9</v>
      </c>
      <c r="B418">
        <v>2004</v>
      </c>
      <c r="C418" t="s">
        <v>60</v>
      </c>
      <c r="D418">
        <v>7.4700000000000005E-4</v>
      </c>
    </row>
    <row r="419" spans="1:4" x14ac:dyDescent="0.45">
      <c r="A419" t="s">
        <v>9</v>
      </c>
      <c r="B419">
        <v>2005</v>
      </c>
      <c r="C419" t="s">
        <v>60</v>
      </c>
      <c r="D419">
        <v>1.885E-3</v>
      </c>
    </row>
    <row r="420" spans="1:4" x14ac:dyDescent="0.45">
      <c r="A420" t="s">
        <v>9</v>
      </c>
      <c r="B420">
        <v>2006</v>
      </c>
      <c r="C420" t="s">
        <v>60</v>
      </c>
      <c r="D420">
        <v>3.424E-3</v>
      </c>
    </row>
    <row r="421" spans="1:4" x14ac:dyDescent="0.45">
      <c r="A421" t="s">
        <v>9</v>
      </c>
      <c r="B421">
        <v>2007</v>
      </c>
      <c r="C421" t="s">
        <v>60</v>
      </c>
      <c r="D421">
        <v>3.424E-3</v>
      </c>
    </row>
    <row r="422" spans="1:4" x14ac:dyDescent="0.45">
      <c r="A422" t="s">
        <v>9</v>
      </c>
      <c r="B422">
        <v>2008</v>
      </c>
      <c r="C422" t="s">
        <v>60</v>
      </c>
      <c r="D422">
        <v>3.424E-3</v>
      </c>
    </row>
    <row r="423" spans="1:4" x14ac:dyDescent="0.45">
      <c r="A423" t="s">
        <v>9</v>
      </c>
      <c r="B423">
        <v>2009</v>
      </c>
      <c r="C423" t="s">
        <v>60</v>
      </c>
      <c r="D423">
        <v>3.5150000000000003E-3</v>
      </c>
    </row>
    <row r="424" spans="1:4" x14ac:dyDescent="0.45">
      <c r="A424" t="s">
        <v>9</v>
      </c>
      <c r="B424">
        <v>2010</v>
      </c>
      <c r="C424" t="s">
        <v>60</v>
      </c>
      <c r="D424">
        <v>4.5179999999999994E-3</v>
      </c>
    </row>
    <row r="425" spans="1:4" x14ac:dyDescent="0.45">
      <c r="A425" t="s">
        <v>9</v>
      </c>
      <c r="B425">
        <v>2000</v>
      </c>
      <c r="C425" t="s">
        <v>60</v>
      </c>
      <c r="D425">
        <v>1.9999999999999999E-6</v>
      </c>
    </row>
    <row r="426" spans="1:4" x14ac:dyDescent="0.45">
      <c r="A426" t="s">
        <v>9</v>
      </c>
      <c r="B426">
        <v>2001</v>
      </c>
      <c r="C426" t="s">
        <v>60</v>
      </c>
      <c r="D426">
        <v>1.08E-4</v>
      </c>
    </row>
    <row r="427" spans="1:4" x14ac:dyDescent="0.45">
      <c r="A427" t="s">
        <v>9</v>
      </c>
      <c r="B427">
        <v>2002</v>
      </c>
      <c r="C427" t="s">
        <v>60</v>
      </c>
      <c r="D427">
        <v>2.3599999999999999E-4</v>
      </c>
    </row>
    <row r="428" spans="1:4" x14ac:dyDescent="0.45">
      <c r="A428" t="s">
        <v>9</v>
      </c>
      <c r="B428">
        <v>2003</v>
      </c>
      <c r="C428" t="s">
        <v>60</v>
      </c>
      <c r="D428">
        <v>4.06E-4</v>
      </c>
    </row>
    <row r="429" spans="1:4" x14ac:dyDescent="0.45">
      <c r="A429" t="s">
        <v>9</v>
      </c>
      <c r="B429">
        <v>2002</v>
      </c>
      <c r="C429" t="s">
        <v>59</v>
      </c>
      <c r="D429">
        <v>2.3599999999999999E-4</v>
      </c>
    </row>
    <row r="430" spans="1:4" x14ac:dyDescent="0.45">
      <c r="A430" t="s">
        <v>9</v>
      </c>
      <c r="B430">
        <v>2003</v>
      </c>
      <c r="C430" t="s">
        <v>59</v>
      </c>
      <c r="D430">
        <v>4.06E-4</v>
      </c>
    </row>
    <row r="431" spans="1:4" x14ac:dyDescent="0.45">
      <c r="A431" t="s">
        <v>9</v>
      </c>
      <c r="B431">
        <v>2004</v>
      </c>
      <c r="C431" t="s">
        <v>59</v>
      </c>
      <c r="D431">
        <v>7.4700000000000005E-4</v>
      </c>
    </row>
    <row r="432" spans="1:4" x14ac:dyDescent="0.45">
      <c r="A432" t="s">
        <v>9</v>
      </c>
      <c r="B432">
        <v>2005</v>
      </c>
      <c r="C432" t="s">
        <v>59</v>
      </c>
      <c r="D432">
        <v>1.885E-3</v>
      </c>
    </row>
    <row r="433" spans="1:4" x14ac:dyDescent="0.45">
      <c r="A433" t="s">
        <v>9</v>
      </c>
      <c r="B433">
        <v>2006</v>
      </c>
      <c r="C433" t="s">
        <v>59</v>
      </c>
      <c r="D433">
        <v>3.424E-3</v>
      </c>
    </row>
    <row r="434" spans="1:4" x14ac:dyDescent="0.45">
      <c r="A434" t="s">
        <v>9</v>
      </c>
      <c r="B434">
        <v>2007</v>
      </c>
      <c r="C434" t="s">
        <v>59</v>
      </c>
      <c r="D434">
        <v>3.424E-3</v>
      </c>
    </row>
    <row r="435" spans="1:4" x14ac:dyDescent="0.45">
      <c r="A435" t="s">
        <v>9</v>
      </c>
      <c r="B435">
        <v>2008</v>
      </c>
      <c r="C435" t="s">
        <v>59</v>
      </c>
      <c r="D435">
        <v>3.424E-3</v>
      </c>
    </row>
    <row r="436" spans="1:4" x14ac:dyDescent="0.45">
      <c r="A436" t="s">
        <v>9</v>
      </c>
      <c r="B436">
        <v>2009</v>
      </c>
      <c r="C436" t="s">
        <v>59</v>
      </c>
      <c r="D436">
        <v>3.5150000000000003E-3</v>
      </c>
    </row>
    <row r="437" spans="1:4" x14ac:dyDescent="0.45">
      <c r="A437" t="s">
        <v>9</v>
      </c>
      <c r="B437">
        <v>2010</v>
      </c>
      <c r="C437" t="s">
        <v>59</v>
      </c>
      <c r="D437">
        <v>4.5179999999999994E-3</v>
      </c>
    </row>
    <row r="438" spans="1:4" x14ac:dyDescent="0.45">
      <c r="A438" t="s">
        <v>9</v>
      </c>
      <c r="B438">
        <v>2011</v>
      </c>
      <c r="C438" t="s">
        <v>59</v>
      </c>
      <c r="D438">
        <v>4.5179999999999994E-3</v>
      </c>
    </row>
    <row r="439" spans="1:4" x14ac:dyDescent="0.45">
      <c r="A439" t="s">
        <v>9</v>
      </c>
      <c r="B439">
        <v>2012</v>
      </c>
      <c r="C439" t="s">
        <v>59</v>
      </c>
      <c r="D439">
        <v>4.5179999999999994E-3</v>
      </c>
    </row>
    <row r="440" spans="1:4" x14ac:dyDescent="0.45">
      <c r="A440" t="s">
        <v>9</v>
      </c>
      <c r="B440">
        <v>2013</v>
      </c>
      <c r="C440" t="s">
        <v>59</v>
      </c>
      <c r="D440">
        <v>4.5179999999999994E-3</v>
      </c>
    </row>
    <row r="441" spans="1:4" x14ac:dyDescent="0.45">
      <c r="A441" t="s">
        <v>9</v>
      </c>
      <c r="B441">
        <v>2014</v>
      </c>
      <c r="C441" t="s">
        <v>59</v>
      </c>
      <c r="D441">
        <v>5.2889999999999994E-3</v>
      </c>
    </row>
    <row r="442" spans="1:4" x14ac:dyDescent="0.45">
      <c r="A442" t="s">
        <v>9</v>
      </c>
      <c r="B442">
        <v>2015</v>
      </c>
      <c r="C442" t="s">
        <v>59</v>
      </c>
      <c r="D442">
        <v>5.2889999999999994E-3</v>
      </c>
    </row>
    <row r="443" spans="1:4" x14ac:dyDescent="0.45">
      <c r="A443" t="s">
        <v>9</v>
      </c>
      <c r="B443">
        <v>2016</v>
      </c>
      <c r="C443" t="s">
        <v>59</v>
      </c>
      <c r="D443">
        <v>5.2889999999999994E-3</v>
      </c>
    </row>
    <row r="444" spans="1:4" x14ac:dyDescent="0.45">
      <c r="A444" t="s">
        <v>9</v>
      </c>
      <c r="B444">
        <v>2017</v>
      </c>
      <c r="C444" t="s">
        <v>59</v>
      </c>
      <c r="D444">
        <v>7.9880000000000003E-3</v>
      </c>
    </row>
    <row r="445" spans="1:4" x14ac:dyDescent="0.45">
      <c r="A445" t="s">
        <v>9</v>
      </c>
      <c r="B445">
        <v>2018</v>
      </c>
      <c r="C445" t="s">
        <v>59</v>
      </c>
      <c r="D445">
        <v>0.10487099999999999</v>
      </c>
    </row>
    <row r="446" spans="1:4" x14ac:dyDescent="0.45">
      <c r="A446" t="s">
        <v>9</v>
      </c>
      <c r="B446">
        <v>2019</v>
      </c>
      <c r="C446" t="s">
        <v>59</v>
      </c>
      <c r="D446">
        <v>4.9884680000000001</v>
      </c>
    </row>
    <row r="447" spans="1:4" x14ac:dyDescent="0.45">
      <c r="A447" t="s">
        <v>9</v>
      </c>
      <c r="B447">
        <v>2020</v>
      </c>
      <c r="C447" t="s">
        <v>59</v>
      </c>
      <c r="D447">
        <v>10.718004000000001</v>
      </c>
    </row>
    <row r="448" spans="1:4" x14ac:dyDescent="0.45">
      <c r="A448" t="s">
        <v>9</v>
      </c>
      <c r="B448">
        <v>2021</v>
      </c>
      <c r="C448" t="s">
        <v>59</v>
      </c>
      <c r="D448">
        <v>27.314606999999999</v>
      </c>
    </row>
    <row r="449" spans="1:4" x14ac:dyDescent="0.45">
      <c r="A449" t="s">
        <v>9</v>
      </c>
      <c r="B449">
        <v>2022</v>
      </c>
      <c r="C449" t="s">
        <v>59</v>
      </c>
      <c r="D449">
        <v>27.664726999999999</v>
      </c>
    </row>
    <row r="450" spans="1:4" x14ac:dyDescent="0.45">
      <c r="A450" t="s">
        <v>9</v>
      </c>
      <c r="B450">
        <v>2000</v>
      </c>
      <c r="C450" t="s">
        <v>59</v>
      </c>
      <c r="D450">
        <v>1.9999999999999999E-6</v>
      </c>
    </row>
    <row r="451" spans="1:4" x14ac:dyDescent="0.45">
      <c r="A451" t="s">
        <v>9</v>
      </c>
      <c r="B451">
        <v>2001</v>
      </c>
      <c r="C451" t="s">
        <v>59</v>
      </c>
      <c r="D451">
        <v>1.08E-4</v>
      </c>
    </row>
    <row r="452" spans="1:4" x14ac:dyDescent="0.45">
      <c r="A452" t="s">
        <v>89</v>
      </c>
      <c r="B452">
        <v>2018</v>
      </c>
      <c r="C452" t="s">
        <v>60</v>
      </c>
      <c r="D452">
        <v>0.13750000000000001</v>
      </c>
    </row>
    <row r="453" spans="1:4" x14ac:dyDescent="0.45">
      <c r="A453" t="s">
        <v>89</v>
      </c>
      <c r="B453">
        <v>2019</v>
      </c>
      <c r="C453" t="s">
        <v>60</v>
      </c>
      <c r="D453">
        <v>0.27535000000000004</v>
      </c>
    </row>
    <row r="454" spans="1:4" x14ac:dyDescent="0.45">
      <c r="A454" t="s">
        <v>89</v>
      </c>
      <c r="B454">
        <v>2020</v>
      </c>
      <c r="C454" t="s">
        <v>60</v>
      </c>
      <c r="D454">
        <v>0.41880000000000001</v>
      </c>
    </row>
    <row r="455" spans="1:4" x14ac:dyDescent="0.45">
      <c r="A455" t="s">
        <v>89</v>
      </c>
      <c r="B455">
        <v>2021</v>
      </c>
      <c r="C455" t="s">
        <v>60</v>
      </c>
      <c r="D455">
        <v>3.1240000000000001</v>
      </c>
    </row>
    <row r="456" spans="1:4" x14ac:dyDescent="0.45">
      <c r="A456" t="s">
        <v>89</v>
      </c>
      <c r="B456">
        <v>2022</v>
      </c>
      <c r="C456" t="s">
        <v>60</v>
      </c>
      <c r="D456">
        <v>4.0709999999999997</v>
      </c>
    </row>
    <row r="457" spans="1:4" x14ac:dyDescent="0.45">
      <c r="A457" t="s">
        <v>89</v>
      </c>
      <c r="B457">
        <v>2023</v>
      </c>
      <c r="C457" t="s">
        <v>60</v>
      </c>
      <c r="D457">
        <v>4.7839999999999998</v>
      </c>
    </row>
    <row r="458" spans="1:4" x14ac:dyDescent="0.45">
      <c r="A458" t="s">
        <v>89</v>
      </c>
      <c r="B458">
        <v>2024</v>
      </c>
      <c r="C458" t="s">
        <v>60</v>
      </c>
      <c r="D458">
        <v>5.0813000000000006</v>
      </c>
    </row>
    <row r="459" spans="1:4" x14ac:dyDescent="0.45">
      <c r="A459" t="s">
        <v>89</v>
      </c>
      <c r="B459">
        <v>2011</v>
      </c>
      <c r="C459" t="s">
        <v>60</v>
      </c>
      <c r="D459">
        <v>3.1E-2</v>
      </c>
    </row>
    <row r="460" spans="1:4" x14ac:dyDescent="0.45">
      <c r="A460" t="s">
        <v>89</v>
      </c>
      <c r="B460">
        <v>2012</v>
      </c>
      <c r="C460" t="s">
        <v>60</v>
      </c>
      <c r="D460">
        <v>3.1E-2</v>
      </c>
    </row>
    <row r="461" spans="1:4" x14ac:dyDescent="0.45">
      <c r="A461" t="s">
        <v>89</v>
      </c>
      <c r="B461">
        <v>2013</v>
      </c>
      <c r="C461" t="s">
        <v>60</v>
      </c>
      <c r="D461">
        <v>3.6999999999999998E-2</v>
      </c>
    </row>
    <row r="462" spans="1:4" x14ac:dyDescent="0.45">
      <c r="A462" t="s">
        <v>89</v>
      </c>
      <c r="B462">
        <v>2014</v>
      </c>
      <c r="C462" t="s">
        <v>60</v>
      </c>
      <c r="D462">
        <v>3.6999999999999998E-2</v>
      </c>
    </row>
    <row r="463" spans="1:4" x14ac:dyDescent="0.45">
      <c r="A463" t="s">
        <v>89</v>
      </c>
      <c r="B463">
        <v>2015</v>
      </c>
      <c r="C463" t="s">
        <v>60</v>
      </c>
      <c r="D463">
        <v>3.6999999999999998E-2</v>
      </c>
    </row>
    <row r="464" spans="1:4" x14ac:dyDescent="0.45">
      <c r="A464" t="s">
        <v>89</v>
      </c>
      <c r="B464">
        <v>2016</v>
      </c>
      <c r="C464" t="s">
        <v>60</v>
      </c>
      <c r="D464">
        <v>6.0999999999999999E-2</v>
      </c>
    </row>
    <row r="465" spans="1:4" x14ac:dyDescent="0.45">
      <c r="A465" t="s">
        <v>89</v>
      </c>
      <c r="B465">
        <v>2017</v>
      </c>
      <c r="C465" t="s">
        <v>60</v>
      </c>
      <c r="D465">
        <v>0.1055</v>
      </c>
    </row>
    <row r="466" spans="1:4" x14ac:dyDescent="0.45">
      <c r="A466" t="s">
        <v>89</v>
      </c>
      <c r="B466">
        <v>2008</v>
      </c>
      <c r="C466" t="s">
        <v>60</v>
      </c>
      <c r="D466">
        <v>1.2999999999999999E-3</v>
      </c>
    </row>
    <row r="467" spans="1:4" x14ac:dyDescent="0.45">
      <c r="A467" t="s">
        <v>89</v>
      </c>
      <c r="B467">
        <v>2009</v>
      </c>
      <c r="C467" t="s">
        <v>60</v>
      </c>
      <c r="D467">
        <v>8.8000000000000005E-3</v>
      </c>
    </row>
    <row r="468" spans="1:4" x14ac:dyDescent="0.45">
      <c r="A468" t="s">
        <v>89</v>
      </c>
      <c r="B468">
        <v>2010</v>
      </c>
      <c r="C468" t="s">
        <v>60</v>
      </c>
      <c r="D468">
        <v>3.1E-2</v>
      </c>
    </row>
    <row r="469" spans="1:4" x14ac:dyDescent="0.45">
      <c r="A469" t="s">
        <v>89</v>
      </c>
      <c r="B469">
        <v>2008</v>
      </c>
      <c r="C469" t="s">
        <v>59</v>
      </c>
      <c r="D469">
        <v>3.0619999999999996E-3</v>
      </c>
    </row>
    <row r="470" spans="1:4" x14ac:dyDescent="0.45">
      <c r="A470" t="s">
        <v>89</v>
      </c>
      <c r="B470">
        <v>2009</v>
      </c>
      <c r="C470" t="s">
        <v>59</v>
      </c>
      <c r="D470">
        <v>2.0726999999999999E-2</v>
      </c>
    </row>
    <row r="471" spans="1:4" x14ac:dyDescent="0.45">
      <c r="A471" t="s">
        <v>89</v>
      </c>
      <c r="B471">
        <v>2010</v>
      </c>
      <c r="C471" t="s">
        <v>59</v>
      </c>
      <c r="D471">
        <v>7.3016999999999999E-2</v>
      </c>
    </row>
    <row r="472" spans="1:4" x14ac:dyDescent="0.45">
      <c r="A472" t="s">
        <v>89</v>
      </c>
      <c r="B472">
        <v>2011</v>
      </c>
      <c r="C472" t="s">
        <v>59</v>
      </c>
      <c r="D472">
        <v>7.3016999999999999E-2</v>
      </c>
    </row>
    <row r="473" spans="1:4" x14ac:dyDescent="0.45">
      <c r="A473" t="s">
        <v>89</v>
      </c>
      <c r="B473">
        <v>2012</v>
      </c>
      <c r="C473" t="s">
        <v>59</v>
      </c>
      <c r="D473">
        <v>7.3016999999999999E-2</v>
      </c>
    </row>
    <row r="474" spans="1:4" x14ac:dyDescent="0.45">
      <c r="A474" t="s">
        <v>89</v>
      </c>
      <c r="B474">
        <v>2013</v>
      </c>
      <c r="C474" t="s">
        <v>59</v>
      </c>
      <c r="D474">
        <v>8.0216999999999997E-2</v>
      </c>
    </row>
    <row r="475" spans="1:4" x14ac:dyDescent="0.45">
      <c r="A475" t="s">
        <v>89</v>
      </c>
      <c r="B475">
        <v>2014</v>
      </c>
      <c r="C475" t="s">
        <v>59</v>
      </c>
      <c r="D475">
        <v>8.0216999999999997E-2</v>
      </c>
    </row>
    <row r="476" spans="1:4" x14ac:dyDescent="0.45">
      <c r="A476" t="s">
        <v>89</v>
      </c>
      <c r="B476">
        <v>2015</v>
      </c>
      <c r="C476" t="s">
        <v>59</v>
      </c>
      <c r="D476">
        <v>8.0216999999999997E-2</v>
      </c>
    </row>
    <row r="477" spans="1:4" x14ac:dyDescent="0.45">
      <c r="A477" t="s">
        <v>89</v>
      </c>
      <c r="B477">
        <v>2016</v>
      </c>
      <c r="C477" t="s">
        <v>59</v>
      </c>
      <c r="D477">
        <v>0.13674600000000001</v>
      </c>
    </row>
    <row r="478" spans="1:4" x14ac:dyDescent="0.45">
      <c r="A478" t="s">
        <v>89</v>
      </c>
      <c r="B478">
        <v>2017</v>
      </c>
      <c r="C478" t="s">
        <v>59</v>
      </c>
      <c r="D478">
        <v>0.189306</v>
      </c>
    </row>
    <row r="479" spans="1:4" x14ac:dyDescent="0.45">
      <c r="A479" t="s">
        <v>89</v>
      </c>
      <c r="B479">
        <v>2018</v>
      </c>
      <c r="C479" t="s">
        <v>59</v>
      </c>
      <c r="D479">
        <v>0.36893599999999999</v>
      </c>
    </row>
    <row r="480" spans="1:4" x14ac:dyDescent="0.45">
      <c r="A480" t="s">
        <v>89</v>
      </c>
      <c r="B480">
        <v>2019</v>
      </c>
      <c r="C480" t="s">
        <v>59</v>
      </c>
      <c r="D480">
        <v>0.66676999999999997</v>
      </c>
    </row>
    <row r="481" spans="1:4" x14ac:dyDescent="0.45">
      <c r="A481" t="s">
        <v>89</v>
      </c>
      <c r="B481">
        <v>2020</v>
      </c>
      <c r="C481" t="s">
        <v>59</v>
      </c>
      <c r="D481">
        <v>0.93064899999999995</v>
      </c>
    </row>
    <row r="482" spans="1:4" x14ac:dyDescent="0.45">
      <c r="A482" t="s">
        <v>89</v>
      </c>
      <c r="B482">
        <v>2021</v>
      </c>
      <c r="C482" t="s">
        <v>59</v>
      </c>
      <c r="D482">
        <v>1.9289639999999999</v>
      </c>
    </row>
    <row r="483" spans="1:4" x14ac:dyDescent="0.45">
      <c r="A483" t="s">
        <v>89</v>
      </c>
      <c r="B483">
        <v>2022</v>
      </c>
      <c r="C483" t="s">
        <v>59</v>
      </c>
      <c r="D483">
        <v>6.7874530000000002</v>
      </c>
    </row>
    <row r="484" spans="1:4" x14ac:dyDescent="0.45">
      <c r="A484" t="s">
        <v>88</v>
      </c>
      <c r="B484">
        <v>2018</v>
      </c>
      <c r="C484" t="s">
        <v>60</v>
      </c>
      <c r="D484">
        <v>9.9199999999999997E-2</v>
      </c>
    </row>
    <row r="485" spans="1:4" x14ac:dyDescent="0.45">
      <c r="A485" t="s">
        <v>88</v>
      </c>
      <c r="B485">
        <v>2019</v>
      </c>
      <c r="C485" t="s">
        <v>60</v>
      </c>
      <c r="D485">
        <v>9.9199999999999997E-2</v>
      </c>
    </row>
    <row r="486" spans="1:4" x14ac:dyDescent="0.45">
      <c r="A486" t="s">
        <v>88</v>
      </c>
      <c r="B486">
        <v>2020</v>
      </c>
      <c r="C486" t="s">
        <v>60</v>
      </c>
      <c r="D486">
        <v>9.9199999999999997E-2</v>
      </c>
    </row>
    <row r="487" spans="1:4" x14ac:dyDescent="0.45">
      <c r="A487" t="s">
        <v>88</v>
      </c>
      <c r="B487">
        <v>2021</v>
      </c>
      <c r="C487" t="s">
        <v>60</v>
      </c>
      <c r="D487">
        <v>0.99399999999999999</v>
      </c>
    </row>
    <row r="488" spans="1:4" x14ac:dyDescent="0.45">
      <c r="A488" t="s">
        <v>88</v>
      </c>
      <c r="B488">
        <v>2022</v>
      </c>
      <c r="C488" t="s">
        <v>60</v>
      </c>
      <c r="D488">
        <v>0.99399999999999999</v>
      </c>
    </row>
    <row r="489" spans="1:4" x14ac:dyDescent="0.45">
      <c r="A489" t="s">
        <v>88</v>
      </c>
      <c r="B489">
        <v>2023</v>
      </c>
      <c r="C489" t="s">
        <v>60</v>
      </c>
      <c r="D489">
        <v>1.1034999999999999</v>
      </c>
    </row>
    <row r="490" spans="1:4" x14ac:dyDescent="0.45">
      <c r="A490" t="s">
        <v>88</v>
      </c>
      <c r="B490">
        <v>2024</v>
      </c>
      <c r="C490" t="s">
        <v>60</v>
      </c>
      <c r="D490">
        <v>1.1034999999999999</v>
      </c>
    </row>
    <row r="491" spans="1:4" x14ac:dyDescent="0.45">
      <c r="A491" t="s">
        <v>88</v>
      </c>
      <c r="B491">
        <v>2013</v>
      </c>
      <c r="C491" t="s">
        <v>60</v>
      </c>
      <c r="D491">
        <v>1.6E-2</v>
      </c>
    </row>
    <row r="492" spans="1:4" x14ac:dyDescent="0.45">
      <c r="A492" t="s">
        <v>88</v>
      </c>
      <c r="B492">
        <v>2014</v>
      </c>
      <c r="C492" t="s">
        <v>60</v>
      </c>
      <c r="D492">
        <v>1.6E-2</v>
      </c>
    </row>
    <row r="493" spans="1:4" x14ac:dyDescent="0.45">
      <c r="A493" t="s">
        <v>88</v>
      </c>
      <c r="B493">
        <v>2015</v>
      </c>
      <c r="C493" t="s">
        <v>60</v>
      </c>
      <c r="D493">
        <v>9.9000000000000005E-2</v>
      </c>
    </row>
    <row r="494" spans="1:4" x14ac:dyDescent="0.45">
      <c r="A494" t="s">
        <v>88</v>
      </c>
      <c r="B494">
        <v>2016</v>
      </c>
      <c r="C494" t="s">
        <v>60</v>
      </c>
      <c r="D494">
        <v>9.9199999999999997E-2</v>
      </c>
    </row>
    <row r="495" spans="1:4" x14ac:dyDescent="0.45">
      <c r="A495" t="s">
        <v>88</v>
      </c>
      <c r="B495">
        <v>2017</v>
      </c>
      <c r="C495" t="s">
        <v>60</v>
      </c>
      <c r="D495">
        <v>9.9199999999999997E-2</v>
      </c>
    </row>
    <row r="496" spans="1:4" x14ac:dyDescent="0.45">
      <c r="A496" t="s">
        <v>88</v>
      </c>
      <c r="B496">
        <v>2013</v>
      </c>
      <c r="C496" t="s">
        <v>59</v>
      </c>
      <c r="D496">
        <v>3.7685999999999997E-2</v>
      </c>
    </row>
    <row r="497" spans="1:4" x14ac:dyDescent="0.45">
      <c r="A497" t="s">
        <v>88</v>
      </c>
      <c r="B497">
        <v>2014</v>
      </c>
      <c r="C497" t="s">
        <v>59</v>
      </c>
      <c r="D497">
        <v>3.7685999999999997E-2</v>
      </c>
    </row>
    <row r="498" spans="1:4" x14ac:dyDescent="0.45">
      <c r="A498" t="s">
        <v>88</v>
      </c>
      <c r="B498">
        <v>2015</v>
      </c>
      <c r="C498" t="s">
        <v>59</v>
      </c>
      <c r="D498">
        <v>0.233183</v>
      </c>
    </row>
    <row r="499" spans="1:4" x14ac:dyDescent="0.45">
      <c r="A499" t="s">
        <v>88</v>
      </c>
      <c r="B499">
        <v>2016</v>
      </c>
      <c r="C499" t="s">
        <v>59</v>
      </c>
      <c r="D499">
        <v>0.233655</v>
      </c>
    </row>
    <row r="500" spans="1:4" x14ac:dyDescent="0.45">
      <c r="A500" t="s">
        <v>88</v>
      </c>
      <c r="B500">
        <v>2017</v>
      </c>
      <c r="C500" t="s">
        <v>59</v>
      </c>
      <c r="D500">
        <v>0.181557</v>
      </c>
    </row>
    <row r="501" spans="1:4" x14ac:dyDescent="0.45">
      <c r="A501" t="s">
        <v>88</v>
      </c>
      <c r="B501">
        <v>2018</v>
      </c>
      <c r="C501" t="s">
        <v>59</v>
      </c>
      <c r="D501">
        <v>0.27288400000000002</v>
      </c>
    </row>
    <row r="502" spans="1:4" x14ac:dyDescent="0.45">
      <c r="A502" t="s">
        <v>88</v>
      </c>
      <c r="B502">
        <v>2019</v>
      </c>
      <c r="C502" t="s">
        <v>59</v>
      </c>
      <c r="D502">
        <v>0.24291599999999999</v>
      </c>
    </row>
    <row r="503" spans="1:4" x14ac:dyDescent="0.45">
      <c r="A503" t="s">
        <v>88</v>
      </c>
      <c r="B503">
        <v>2020</v>
      </c>
      <c r="C503" t="s">
        <v>59</v>
      </c>
      <c r="D503">
        <v>0.221914</v>
      </c>
    </row>
    <row r="504" spans="1:4" x14ac:dyDescent="0.45">
      <c r="A504" t="s">
        <v>88</v>
      </c>
      <c r="B504">
        <v>2021</v>
      </c>
      <c r="C504" t="s">
        <v>59</v>
      </c>
      <c r="D504">
        <v>0.61264700000000005</v>
      </c>
    </row>
    <row r="505" spans="1:4" x14ac:dyDescent="0.45">
      <c r="A505" t="s">
        <v>88</v>
      </c>
      <c r="B505">
        <v>2022</v>
      </c>
      <c r="C505" t="s">
        <v>59</v>
      </c>
      <c r="D505">
        <v>1.657951</v>
      </c>
    </row>
    <row r="506" spans="1:4" x14ac:dyDescent="0.45">
      <c r="A506" t="s">
        <v>55</v>
      </c>
      <c r="B506">
        <v>2018</v>
      </c>
      <c r="C506" t="s">
        <v>60</v>
      </c>
      <c r="D506">
        <v>0.36349999999999999</v>
      </c>
    </row>
    <row r="507" spans="1:4" x14ac:dyDescent="0.45">
      <c r="A507" t="s">
        <v>55</v>
      </c>
      <c r="B507">
        <v>2019</v>
      </c>
      <c r="C507" t="s">
        <v>60</v>
      </c>
      <c r="D507">
        <v>0.37081999999999998</v>
      </c>
    </row>
    <row r="508" spans="1:4" x14ac:dyDescent="0.45">
      <c r="A508" t="s">
        <v>55</v>
      </c>
      <c r="B508">
        <v>2020</v>
      </c>
      <c r="C508" t="s">
        <v>60</v>
      </c>
      <c r="D508">
        <v>0.37131999999999998</v>
      </c>
    </row>
    <row r="509" spans="1:4" x14ac:dyDescent="0.45">
      <c r="A509" t="s">
        <v>55</v>
      </c>
      <c r="B509">
        <v>2021</v>
      </c>
      <c r="C509" t="s">
        <v>60</v>
      </c>
      <c r="D509">
        <v>0.35481999999999997</v>
      </c>
    </row>
    <row r="510" spans="1:4" x14ac:dyDescent="0.45">
      <c r="A510" t="s">
        <v>55</v>
      </c>
      <c r="B510">
        <v>2022</v>
      </c>
      <c r="C510" t="s">
        <v>60</v>
      </c>
      <c r="D510">
        <v>0.36372000000000004</v>
      </c>
    </row>
    <row r="511" spans="1:4" x14ac:dyDescent="0.45">
      <c r="A511" t="s">
        <v>55</v>
      </c>
      <c r="B511">
        <v>2023</v>
      </c>
      <c r="C511" t="s">
        <v>60</v>
      </c>
      <c r="D511">
        <v>0.36372000000000004</v>
      </c>
    </row>
    <row r="512" spans="1:4" x14ac:dyDescent="0.45">
      <c r="A512" t="s">
        <v>55</v>
      </c>
      <c r="B512">
        <v>2024</v>
      </c>
      <c r="C512" t="s">
        <v>60</v>
      </c>
      <c r="D512">
        <v>0.40572000000000003</v>
      </c>
    </row>
    <row r="513" spans="1:4" x14ac:dyDescent="0.45">
      <c r="A513" t="s">
        <v>55</v>
      </c>
      <c r="B513">
        <v>2018</v>
      </c>
      <c r="C513" t="s">
        <v>60</v>
      </c>
      <c r="D513">
        <v>4.7149999999999996E-3</v>
      </c>
    </row>
    <row r="514" spans="1:4" x14ac:dyDescent="0.45">
      <c r="A514" t="s">
        <v>55</v>
      </c>
      <c r="B514">
        <v>2019</v>
      </c>
      <c r="C514" t="s">
        <v>60</v>
      </c>
      <c r="D514">
        <v>4.7149999999999996E-3</v>
      </c>
    </row>
    <row r="515" spans="1:4" x14ac:dyDescent="0.45">
      <c r="A515" t="s">
        <v>55</v>
      </c>
      <c r="B515">
        <v>2020</v>
      </c>
      <c r="C515" t="s">
        <v>60</v>
      </c>
      <c r="D515">
        <v>4.7149999999999996E-3</v>
      </c>
    </row>
    <row r="516" spans="1:4" x14ac:dyDescent="0.45">
      <c r="A516" t="s">
        <v>55</v>
      </c>
      <c r="B516">
        <v>2021</v>
      </c>
      <c r="C516" t="s">
        <v>60</v>
      </c>
      <c r="D516">
        <v>4.7149999999999996E-3</v>
      </c>
    </row>
    <row r="517" spans="1:4" x14ac:dyDescent="0.45">
      <c r="A517" t="s">
        <v>55</v>
      </c>
      <c r="B517">
        <v>2022</v>
      </c>
      <c r="C517" t="s">
        <v>60</v>
      </c>
      <c r="D517">
        <v>1.5265000000000001E-2</v>
      </c>
    </row>
    <row r="518" spans="1:4" x14ac:dyDescent="0.45">
      <c r="A518" t="s">
        <v>55</v>
      </c>
      <c r="B518">
        <v>2023</v>
      </c>
      <c r="C518" t="s">
        <v>60</v>
      </c>
      <c r="D518">
        <v>3.0265E-2</v>
      </c>
    </row>
    <row r="519" spans="1:4" x14ac:dyDescent="0.45">
      <c r="A519" t="s">
        <v>55</v>
      </c>
      <c r="B519">
        <v>2024</v>
      </c>
      <c r="C519" t="s">
        <v>60</v>
      </c>
      <c r="D519">
        <v>3.6264999999999999E-2</v>
      </c>
    </row>
    <row r="520" spans="1:4" x14ac:dyDescent="0.45">
      <c r="A520" t="s">
        <v>55</v>
      </c>
      <c r="B520">
        <v>2018</v>
      </c>
      <c r="C520" t="s">
        <v>60</v>
      </c>
      <c r="D520">
        <v>1.375E-2</v>
      </c>
    </row>
    <row r="521" spans="1:4" x14ac:dyDescent="0.45">
      <c r="A521" t="s">
        <v>55</v>
      </c>
      <c r="B521">
        <v>2019</v>
      </c>
      <c r="C521" t="s">
        <v>60</v>
      </c>
      <c r="D521">
        <v>1.375E-2</v>
      </c>
    </row>
    <row r="522" spans="1:4" x14ac:dyDescent="0.45">
      <c r="A522" t="s">
        <v>55</v>
      </c>
      <c r="B522">
        <v>2020</v>
      </c>
      <c r="C522" t="s">
        <v>60</v>
      </c>
      <c r="D522">
        <v>1.375E-2</v>
      </c>
    </row>
    <row r="523" spans="1:4" x14ac:dyDescent="0.45">
      <c r="A523" t="s">
        <v>55</v>
      </c>
      <c r="B523">
        <v>2021</v>
      </c>
      <c r="C523" t="s">
        <v>60</v>
      </c>
      <c r="D523">
        <v>1.375E-2</v>
      </c>
    </row>
    <row r="524" spans="1:4" x14ac:dyDescent="0.45">
      <c r="A524" t="s">
        <v>55</v>
      </c>
      <c r="B524">
        <v>2022</v>
      </c>
      <c r="C524" t="s">
        <v>60</v>
      </c>
      <c r="D524">
        <v>1.375E-2</v>
      </c>
    </row>
    <row r="525" spans="1:4" x14ac:dyDescent="0.45">
      <c r="A525" t="s">
        <v>55</v>
      </c>
      <c r="B525">
        <v>2023</v>
      </c>
      <c r="C525" t="s">
        <v>60</v>
      </c>
      <c r="D525">
        <v>1.375E-2</v>
      </c>
    </row>
    <row r="526" spans="1:4" x14ac:dyDescent="0.45">
      <c r="A526" t="s">
        <v>55</v>
      </c>
      <c r="B526">
        <v>2024</v>
      </c>
      <c r="C526" t="s">
        <v>60</v>
      </c>
      <c r="D526">
        <v>1.375E-2</v>
      </c>
    </row>
    <row r="527" spans="1:4" x14ac:dyDescent="0.45">
      <c r="A527" t="s">
        <v>55</v>
      </c>
      <c r="B527">
        <v>2011</v>
      </c>
      <c r="C527" t="s">
        <v>60</v>
      </c>
      <c r="D527">
        <v>0.125</v>
      </c>
    </row>
    <row r="528" spans="1:4" x14ac:dyDescent="0.45">
      <c r="A528" t="s">
        <v>55</v>
      </c>
      <c r="B528">
        <v>2012</v>
      </c>
      <c r="C528" t="s">
        <v>60</v>
      </c>
      <c r="D528">
        <v>0.125</v>
      </c>
    </row>
    <row r="529" spans="1:4" x14ac:dyDescent="0.45">
      <c r="A529" t="s">
        <v>55</v>
      </c>
      <c r="B529">
        <v>2013</v>
      </c>
      <c r="C529" t="s">
        <v>60</v>
      </c>
      <c r="D529">
        <v>0.125</v>
      </c>
    </row>
    <row r="530" spans="1:4" x14ac:dyDescent="0.45">
      <c r="A530" t="s">
        <v>55</v>
      </c>
      <c r="B530">
        <v>2014</v>
      </c>
      <c r="C530" t="s">
        <v>60</v>
      </c>
      <c r="D530">
        <v>0.193</v>
      </c>
    </row>
    <row r="531" spans="1:4" x14ac:dyDescent="0.45">
      <c r="A531" t="s">
        <v>55</v>
      </c>
      <c r="B531">
        <v>2015</v>
      </c>
      <c r="C531" t="s">
        <v>60</v>
      </c>
      <c r="D531">
        <v>0.218</v>
      </c>
    </row>
    <row r="532" spans="1:4" x14ac:dyDescent="0.45">
      <c r="A532" t="s">
        <v>55</v>
      </c>
      <c r="B532">
        <v>2016</v>
      </c>
      <c r="C532" t="s">
        <v>60</v>
      </c>
      <c r="D532">
        <v>0.252</v>
      </c>
    </row>
    <row r="533" spans="1:4" x14ac:dyDescent="0.45">
      <c r="A533" t="s">
        <v>55</v>
      </c>
      <c r="B533">
        <v>2017</v>
      </c>
      <c r="C533" t="s">
        <v>60</v>
      </c>
      <c r="D533">
        <v>0.26200000000000001</v>
      </c>
    </row>
    <row r="534" spans="1:4" x14ac:dyDescent="0.45">
      <c r="A534" t="s">
        <v>55</v>
      </c>
      <c r="B534">
        <v>2017</v>
      </c>
      <c r="C534" t="s">
        <v>60</v>
      </c>
      <c r="D534">
        <v>9.6499999999999993E-4</v>
      </c>
    </row>
    <row r="535" spans="1:4" x14ac:dyDescent="0.45">
      <c r="A535" t="s">
        <v>55</v>
      </c>
      <c r="B535">
        <v>2011</v>
      </c>
      <c r="C535" t="s">
        <v>60</v>
      </c>
      <c r="D535">
        <v>2.4300000000000003E-3</v>
      </c>
    </row>
    <row r="536" spans="1:4" x14ac:dyDescent="0.45">
      <c r="A536" t="s">
        <v>55</v>
      </c>
      <c r="B536">
        <v>2012</v>
      </c>
      <c r="C536" t="s">
        <v>60</v>
      </c>
      <c r="D536">
        <v>2.4300000000000003E-3</v>
      </c>
    </row>
    <row r="537" spans="1:4" x14ac:dyDescent="0.45">
      <c r="A537" t="s">
        <v>55</v>
      </c>
      <c r="B537">
        <v>2013</v>
      </c>
      <c r="C537" t="s">
        <v>60</v>
      </c>
      <c r="D537">
        <v>2.4300000000000003E-3</v>
      </c>
    </row>
    <row r="538" spans="1:4" x14ac:dyDescent="0.45">
      <c r="A538" t="s">
        <v>55</v>
      </c>
      <c r="B538">
        <v>2014</v>
      </c>
      <c r="C538" t="s">
        <v>60</v>
      </c>
      <c r="D538">
        <v>2.4300000000000003E-3</v>
      </c>
    </row>
    <row r="539" spans="1:4" x14ac:dyDescent="0.45">
      <c r="A539" t="s">
        <v>55</v>
      </c>
      <c r="B539">
        <v>2015</v>
      </c>
      <c r="C539" t="s">
        <v>60</v>
      </c>
      <c r="D539">
        <v>2.4300000000000003E-3</v>
      </c>
    </row>
    <row r="540" spans="1:4" x14ac:dyDescent="0.45">
      <c r="A540" t="s">
        <v>55</v>
      </c>
      <c r="B540">
        <v>2016</v>
      </c>
      <c r="C540" t="s">
        <v>60</v>
      </c>
      <c r="D540">
        <v>4.4299999999999999E-3</v>
      </c>
    </row>
    <row r="541" spans="1:4" x14ac:dyDescent="0.45">
      <c r="A541" t="s">
        <v>55</v>
      </c>
      <c r="B541">
        <v>2017</v>
      </c>
      <c r="C541" t="s">
        <v>60</v>
      </c>
      <c r="D541">
        <v>1.1429999999999999E-2</v>
      </c>
    </row>
    <row r="542" spans="1:4" x14ac:dyDescent="0.45">
      <c r="A542" t="s">
        <v>55</v>
      </c>
      <c r="B542">
        <v>2004</v>
      </c>
      <c r="C542" t="s">
        <v>60</v>
      </c>
      <c r="D542">
        <v>0.125</v>
      </c>
    </row>
    <row r="543" spans="1:4" x14ac:dyDescent="0.45">
      <c r="A543" t="s">
        <v>55</v>
      </c>
      <c r="B543">
        <v>2005</v>
      </c>
      <c r="C543" t="s">
        <v>60</v>
      </c>
      <c r="D543">
        <v>0.125</v>
      </c>
    </row>
    <row r="544" spans="1:4" x14ac:dyDescent="0.45">
      <c r="A544" t="s">
        <v>55</v>
      </c>
      <c r="B544">
        <v>2006</v>
      </c>
      <c r="C544" t="s">
        <v>60</v>
      </c>
      <c r="D544">
        <v>0.125</v>
      </c>
    </row>
    <row r="545" spans="1:4" x14ac:dyDescent="0.45">
      <c r="A545" t="s">
        <v>55</v>
      </c>
      <c r="B545">
        <v>2007</v>
      </c>
      <c r="C545" t="s">
        <v>60</v>
      </c>
      <c r="D545">
        <v>0.125</v>
      </c>
    </row>
    <row r="546" spans="1:4" x14ac:dyDescent="0.45">
      <c r="A546" t="s">
        <v>55</v>
      </c>
      <c r="B546">
        <v>2008</v>
      </c>
      <c r="C546" t="s">
        <v>60</v>
      </c>
      <c r="D546">
        <v>0.125</v>
      </c>
    </row>
    <row r="547" spans="1:4" x14ac:dyDescent="0.45">
      <c r="A547" t="s">
        <v>55</v>
      </c>
      <c r="B547">
        <v>2009</v>
      </c>
      <c r="C547" t="s">
        <v>60</v>
      </c>
      <c r="D547">
        <v>0.125</v>
      </c>
    </row>
    <row r="548" spans="1:4" x14ac:dyDescent="0.45">
      <c r="A548" t="s">
        <v>55</v>
      </c>
      <c r="B548">
        <v>2010</v>
      </c>
      <c r="C548" t="s">
        <v>60</v>
      </c>
      <c r="D548">
        <v>0.125</v>
      </c>
    </row>
    <row r="549" spans="1:4" x14ac:dyDescent="0.45">
      <c r="A549" t="s">
        <v>55</v>
      </c>
      <c r="B549">
        <v>2005</v>
      </c>
      <c r="C549" t="s">
        <v>60</v>
      </c>
      <c r="D549">
        <v>2.4300000000000003E-3</v>
      </c>
    </row>
    <row r="550" spans="1:4" x14ac:dyDescent="0.45">
      <c r="A550" t="s">
        <v>55</v>
      </c>
      <c r="B550">
        <v>2006</v>
      </c>
      <c r="C550" t="s">
        <v>60</v>
      </c>
      <c r="D550">
        <v>2.4300000000000003E-3</v>
      </c>
    </row>
    <row r="551" spans="1:4" x14ac:dyDescent="0.45">
      <c r="A551" t="s">
        <v>55</v>
      </c>
      <c r="B551">
        <v>2007</v>
      </c>
      <c r="C551" t="s">
        <v>60</v>
      </c>
      <c r="D551">
        <v>2.4300000000000003E-3</v>
      </c>
    </row>
    <row r="552" spans="1:4" x14ac:dyDescent="0.45">
      <c r="A552" t="s">
        <v>55</v>
      </c>
      <c r="B552">
        <v>2008</v>
      </c>
      <c r="C552" t="s">
        <v>60</v>
      </c>
      <c r="D552">
        <v>2.4300000000000003E-3</v>
      </c>
    </row>
    <row r="553" spans="1:4" x14ac:dyDescent="0.45">
      <c r="A553" t="s">
        <v>55</v>
      </c>
      <c r="B553">
        <v>2009</v>
      </c>
      <c r="C553" t="s">
        <v>60</v>
      </c>
      <c r="D553">
        <v>2.4300000000000003E-3</v>
      </c>
    </row>
    <row r="554" spans="1:4" x14ac:dyDescent="0.45">
      <c r="A554" t="s">
        <v>55</v>
      </c>
      <c r="B554">
        <v>2010</v>
      </c>
      <c r="C554" t="s">
        <v>60</v>
      </c>
      <c r="D554">
        <v>2.4300000000000003E-3</v>
      </c>
    </row>
    <row r="555" spans="1:4" x14ac:dyDescent="0.45">
      <c r="A555" t="s">
        <v>55</v>
      </c>
      <c r="B555">
        <v>2000</v>
      </c>
      <c r="C555" t="s">
        <v>60</v>
      </c>
      <c r="D555">
        <v>0.125</v>
      </c>
    </row>
    <row r="556" spans="1:4" x14ac:dyDescent="0.45">
      <c r="A556" t="s">
        <v>55</v>
      </c>
      <c r="B556">
        <v>2001</v>
      </c>
      <c r="C556" t="s">
        <v>60</v>
      </c>
      <c r="D556">
        <v>0.125</v>
      </c>
    </row>
    <row r="557" spans="1:4" x14ac:dyDescent="0.45">
      <c r="A557" t="s">
        <v>55</v>
      </c>
      <c r="B557">
        <v>2002</v>
      </c>
      <c r="C557" t="s">
        <v>60</v>
      </c>
      <c r="D557">
        <v>0.125</v>
      </c>
    </row>
    <row r="558" spans="1:4" x14ac:dyDescent="0.45">
      <c r="A558" t="s">
        <v>55</v>
      </c>
      <c r="B558">
        <v>2003</v>
      </c>
      <c r="C558" t="s">
        <v>60</v>
      </c>
      <c r="D558">
        <v>0.125</v>
      </c>
    </row>
    <row r="559" spans="1:4" x14ac:dyDescent="0.45">
      <c r="A559" t="s">
        <v>55</v>
      </c>
      <c r="B559">
        <v>2002</v>
      </c>
      <c r="C559" t="s">
        <v>59</v>
      </c>
      <c r="D559">
        <v>0.34239999999999998</v>
      </c>
    </row>
    <row r="560" spans="1:4" x14ac:dyDescent="0.45">
      <c r="A560" t="s">
        <v>55</v>
      </c>
      <c r="B560">
        <v>2003</v>
      </c>
      <c r="C560" t="s">
        <v>59</v>
      </c>
      <c r="D560">
        <v>0.337094</v>
      </c>
    </row>
    <row r="561" spans="1:4" x14ac:dyDescent="0.45">
      <c r="A561" t="s">
        <v>55</v>
      </c>
      <c r="B561">
        <v>2004</v>
      </c>
      <c r="C561" t="s">
        <v>59</v>
      </c>
      <c r="D561">
        <v>0.31298599999999999</v>
      </c>
    </row>
    <row r="562" spans="1:4" x14ac:dyDescent="0.45">
      <c r="A562" t="s">
        <v>55</v>
      </c>
      <c r="B562">
        <v>2005</v>
      </c>
      <c r="C562" t="s">
        <v>59</v>
      </c>
      <c r="D562">
        <v>0.29897399999999996</v>
      </c>
    </row>
    <row r="563" spans="1:4" x14ac:dyDescent="0.45">
      <c r="A563" t="s">
        <v>55</v>
      </c>
      <c r="B563">
        <v>2006</v>
      </c>
      <c r="C563" t="s">
        <v>59</v>
      </c>
      <c r="D563">
        <v>0.33438999999999997</v>
      </c>
    </row>
    <row r="564" spans="1:4" x14ac:dyDescent="0.45">
      <c r="A564" t="s">
        <v>55</v>
      </c>
      <c r="B564">
        <v>2007</v>
      </c>
      <c r="C564" t="s">
        <v>59</v>
      </c>
      <c r="D564">
        <v>0.34793400000000002</v>
      </c>
    </row>
    <row r="565" spans="1:4" x14ac:dyDescent="0.45">
      <c r="A565" t="s">
        <v>55</v>
      </c>
      <c r="B565">
        <v>2008</v>
      </c>
      <c r="C565" t="s">
        <v>59</v>
      </c>
      <c r="D565">
        <v>0.32291000000000003</v>
      </c>
    </row>
    <row r="566" spans="1:4" x14ac:dyDescent="0.45">
      <c r="A566" t="s">
        <v>55</v>
      </c>
      <c r="B566">
        <v>2009</v>
      </c>
      <c r="C566" t="s">
        <v>59</v>
      </c>
      <c r="D566">
        <v>0.312166</v>
      </c>
    </row>
    <row r="567" spans="1:4" x14ac:dyDescent="0.45">
      <c r="A567" t="s">
        <v>55</v>
      </c>
      <c r="B567">
        <v>2010</v>
      </c>
      <c r="C567" t="s">
        <v>59</v>
      </c>
      <c r="D567">
        <v>0.32323399999999997</v>
      </c>
    </row>
    <row r="568" spans="1:4" x14ac:dyDescent="0.45">
      <c r="A568" t="s">
        <v>55</v>
      </c>
      <c r="B568">
        <v>2011</v>
      </c>
      <c r="C568" t="s">
        <v>59</v>
      </c>
      <c r="D568">
        <v>0.35079100000000002</v>
      </c>
    </row>
    <row r="569" spans="1:4" x14ac:dyDescent="0.45">
      <c r="A569" t="s">
        <v>55</v>
      </c>
      <c r="B569">
        <v>2012</v>
      </c>
      <c r="C569" t="s">
        <v>59</v>
      </c>
      <c r="D569">
        <v>0.380305</v>
      </c>
    </row>
    <row r="570" spans="1:4" x14ac:dyDescent="0.45">
      <c r="A570" t="s">
        <v>55</v>
      </c>
      <c r="B570">
        <v>2013</v>
      </c>
      <c r="C570" t="s">
        <v>59</v>
      </c>
      <c r="D570">
        <v>0.40257199999999999</v>
      </c>
    </row>
    <row r="571" spans="1:4" x14ac:dyDescent="0.45">
      <c r="A571" t="s">
        <v>55</v>
      </c>
      <c r="B571">
        <v>2014</v>
      </c>
      <c r="C571" t="s">
        <v>59</v>
      </c>
      <c r="D571">
        <v>0.43500099999999997</v>
      </c>
    </row>
    <row r="572" spans="1:4" x14ac:dyDescent="0.45">
      <c r="A572" t="s">
        <v>55</v>
      </c>
      <c r="B572">
        <v>2015</v>
      </c>
      <c r="C572" t="s">
        <v>59</v>
      </c>
      <c r="D572">
        <v>0.40528900000000001</v>
      </c>
    </row>
    <row r="573" spans="1:4" x14ac:dyDescent="0.45">
      <c r="A573" t="s">
        <v>55</v>
      </c>
      <c r="B573">
        <v>2016</v>
      </c>
      <c r="C573" t="s">
        <v>59</v>
      </c>
      <c r="D573">
        <v>0.36480699999999999</v>
      </c>
    </row>
    <row r="574" spans="1:4" x14ac:dyDescent="0.45">
      <c r="A574" t="s">
        <v>55</v>
      </c>
      <c r="B574">
        <v>2017</v>
      </c>
      <c r="C574" t="s">
        <v>59</v>
      </c>
      <c r="D574">
        <v>0.40567200000000003</v>
      </c>
    </row>
    <row r="575" spans="1:4" x14ac:dyDescent="0.45">
      <c r="A575" t="s">
        <v>55</v>
      </c>
      <c r="B575">
        <v>2018</v>
      </c>
      <c r="C575" t="s">
        <v>59</v>
      </c>
      <c r="D575">
        <v>0.53622100000000006</v>
      </c>
    </row>
    <row r="576" spans="1:4" x14ac:dyDescent="0.45">
      <c r="A576" t="s">
        <v>55</v>
      </c>
      <c r="B576">
        <v>2019</v>
      </c>
      <c r="C576" t="s">
        <v>59</v>
      </c>
      <c r="D576">
        <v>0.50556699999999999</v>
      </c>
    </row>
    <row r="577" spans="1:4" x14ac:dyDescent="0.45">
      <c r="A577" t="s">
        <v>55</v>
      </c>
      <c r="B577">
        <v>2020</v>
      </c>
      <c r="C577" t="s">
        <v>59</v>
      </c>
      <c r="D577">
        <v>0.41013099999999997</v>
      </c>
    </row>
    <row r="578" spans="1:4" x14ac:dyDescent="0.45">
      <c r="A578" t="s">
        <v>55</v>
      </c>
      <c r="B578">
        <v>2021</v>
      </c>
      <c r="C578" t="s">
        <v>59</v>
      </c>
      <c r="D578">
        <v>0.35960599999999998</v>
      </c>
    </row>
    <row r="579" spans="1:4" x14ac:dyDescent="0.45">
      <c r="A579" t="s">
        <v>55</v>
      </c>
      <c r="B579">
        <v>2022</v>
      </c>
      <c r="C579" t="s">
        <v>59</v>
      </c>
      <c r="D579">
        <v>0.51654</v>
      </c>
    </row>
    <row r="580" spans="1:4" x14ac:dyDescent="0.45">
      <c r="A580" t="s">
        <v>55</v>
      </c>
      <c r="B580">
        <v>2017</v>
      </c>
      <c r="C580" t="s">
        <v>59</v>
      </c>
      <c r="D580">
        <v>2.7899999999999999E-3</v>
      </c>
    </row>
    <row r="581" spans="1:4" x14ac:dyDescent="0.45">
      <c r="A581" t="s">
        <v>55</v>
      </c>
      <c r="B581">
        <v>2018</v>
      </c>
      <c r="C581" t="s">
        <v>59</v>
      </c>
      <c r="D581">
        <v>1.3630000000000001E-2</v>
      </c>
    </row>
    <row r="582" spans="1:4" x14ac:dyDescent="0.45">
      <c r="A582" t="s">
        <v>55</v>
      </c>
      <c r="B582">
        <v>2019</v>
      </c>
      <c r="C582" t="s">
        <v>59</v>
      </c>
      <c r="D582">
        <v>1.3630000000000001E-2</v>
      </c>
    </row>
    <row r="583" spans="1:4" x14ac:dyDescent="0.45">
      <c r="A583" t="s">
        <v>55</v>
      </c>
      <c r="B583">
        <v>2020</v>
      </c>
      <c r="C583" t="s">
        <v>59</v>
      </c>
      <c r="D583">
        <v>1.3630000000000001E-2</v>
      </c>
    </row>
    <row r="584" spans="1:4" x14ac:dyDescent="0.45">
      <c r="A584" t="s">
        <v>55</v>
      </c>
      <c r="B584">
        <v>2021</v>
      </c>
      <c r="C584" t="s">
        <v>59</v>
      </c>
      <c r="D584">
        <v>1.3630000000000001E-2</v>
      </c>
    </row>
    <row r="585" spans="1:4" x14ac:dyDescent="0.45">
      <c r="A585" t="s">
        <v>55</v>
      </c>
      <c r="B585">
        <v>2022</v>
      </c>
      <c r="C585" t="s">
        <v>59</v>
      </c>
      <c r="D585">
        <v>4.4128000000000001E-2</v>
      </c>
    </row>
    <row r="586" spans="1:4" x14ac:dyDescent="0.45">
      <c r="A586" t="s">
        <v>55</v>
      </c>
      <c r="B586">
        <v>2016</v>
      </c>
      <c r="C586" t="s">
        <v>59</v>
      </c>
      <c r="D586">
        <v>8.4999999999999995E-4</v>
      </c>
    </row>
    <row r="587" spans="1:4" x14ac:dyDescent="0.45">
      <c r="A587" t="s">
        <v>55</v>
      </c>
      <c r="B587">
        <v>2017</v>
      </c>
      <c r="C587" t="s">
        <v>59</v>
      </c>
      <c r="D587">
        <v>2.811E-2</v>
      </c>
    </row>
    <row r="588" spans="1:4" x14ac:dyDescent="0.45">
      <c r="A588" t="s">
        <v>55</v>
      </c>
      <c r="B588">
        <v>2018</v>
      </c>
      <c r="C588" t="s">
        <v>59</v>
      </c>
      <c r="D588">
        <v>3.4817000000000001E-2</v>
      </c>
    </row>
    <row r="589" spans="1:4" x14ac:dyDescent="0.45">
      <c r="A589" t="s">
        <v>55</v>
      </c>
      <c r="B589">
        <v>2019</v>
      </c>
      <c r="C589" t="s">
        <v>59</v>
      </c>
      <c r="D589">
        <v>3.4817000000000001E-2</v>
      </c>
    </row>
    <row r="590" spans="1:4" x14ac:dyDescent="0.45">
      <c r="A590" t="s">
        <v>55</v>
      </c>
      <c r="B590">
        <v>2020</v>
      </c>
      <c r="C590" t="s">
        <v>59</v>
      </c>
      <c r="D590">
        <v>3.4817000000000001E-2</v>
      </c>
    </row>
    <row r="591" spans="1:4" x14ac:dyDescent="0.45">
      <c r="A591" t="s">
        <v>55</v>
      </c>
      <c r="B591">
        <v>2021</v>
      </c>
      <c r="C591" t="s">
        <v>59</v>
      </c>
      <c r="D591">
        <v>3.4817000000000001E-2</v>
      </c>
    </row>
    <row r="592" spans="1:4" x14ac:dyDescent="0.45">
      <c r="A592" t="s">
        <v>55</v>
      </c>
      <c r="B592">
        <v>2022</v>
      </c>
      <c r="C592" t="s">
        <v>59</v>
      </c>
      <c r="D592">
        <v>3.4817000000000001E-2</v>
      </c>
    </row>
    <row r="593" spans="1:4" x14ac:dyDescent="0.45">
      <c r="A593" t="s">
        <v>55</v>
      </c>
      <c r="B593">
        <v>2000</v>
      </c>
      <c r="C593" t="s">
        <v>59</v>
      </c>
      <c r="D593">
        <v>0.30088600000000004</v>
      </c>
    </row>
    <row r="594" spans="1:4" x14ac:dyDescent="0.45">
      <c r="A594" t="s">
        <v>55</v>
      </c>
      <c r="B594">
        <v>2001</v>
      </c>
      <c r="C594" t="s">
        <v>59</v>
      </c>
      <c r="D594">
        <v>0.29313799999999995</v>
      </c>
    </row>
    <row r="595" spans="1:4" x14ac:dyDescent="0.45">
      <c r="A595" t="s">
        <v>62</v>
      </c>
      <c r="B595">
        <v>2000</v>
      </c>
      <c r="C595" t="s">
        <v>59</v>
      </c>
    </row>
    <row r="596" spans="1:4" x14ac:dyDescent="0.45">
      <c r="A596" t="s">
        <v>63</v>
      </c>
      <c r="B596">
        <v>2000</v>
      </c>
      <c r="C596" t="s">
        <v>59</v>
      </c>
    </row>
    <row r="597" spans="1:4" x14ac:dyDescent="0.45">
      <c r="A597" t="s">
        <v>62</v>
      </c>
      <c r="B597">
        <v>2001</v>
      </c>
      <c r="C597" t="s">
        <v>59</v>
      </c>
    </row>
    <row r="598" spans="1:4" x14ac:dyDescent="0.45">
      <c r="A598" t="s">
        <v>63</v>
      </c>
      <c r="B598">
        <v>2001</v>
      </c>
      <c r="C598" t="s">
        <v>59</v>
      </c>
    </row>
    <row r="599" spans="1:4" x14ac:dyDescent="0.45">
      <c r="A599" t="s">
        <v>62</v>
      </c>
      <c r="B599">
        <v>2002</v>
      </c>
      <c r="C599" t="s">
        <v>59</v>
      </c>
    </row>
    <row r="600" spans="1:4" x14ac:dyDescent="0.45">
      <c r="A600" t="s">
        <v>63</v>
      </c>
      <c r="B600">
        <v>2002</v>
      </c>
      <c r="C600" t="s">
        <v>59</v>
      </c>
    </row>
    <row r="601" spans="1:4" x14ac:dyDescent="0.45">
      <c r="A601" t="s">
        <v>62</v>
      </c>
      <c r="B601">
        <v>2003</v>
      </c>
      <c r="C601" t="s">
        <v>59</v>
      </c>
    </row>
    <row r="602" spans="1:4" x14ac:dyDescent="0.45">
      <c r="A602" t="s">
        <v>63</v>
      </c>
      <c r="B602">
        <v>2003</v>
      </c>
      <c r="C602" t="s">
        <v>59</v>
      </c>
    </row>
    <row r="603" spans="1:4" x14ac:dyDescent="0.45">
      <c r="A603" t="s">
        <v>62</v>
      </c>
      <c r="B603">
        <v>2004</v>
      </c>
      <c r="C603" t="s">
        <v>59</v>
      </c>
    </row>
    <row r="604" spans="1:4" x14ac:dyDescent="0.45">
      <c r="A604" t="s">
        <v>63</v>
      </c>
      <c r="B604">
        <v>2004</v>
      </c>
      <c r="C604" t="s">
        <v>59</v>
      </c>
    </row>
    <row r="605" spans="1:4" x14ac:dyDescent="0.45">
      <c r="A605" t="s">
        <v>62</v>
      </c>
      <c r="B605">
        <v>2005</v>
      </c>
      <c r="C605" t="s">
        <v>59</v>
      </c>
    </row>
    <row r="606" spans="1:4" x14ac:dyDescent="0.45">
      <c r="A606" t="s">
        <v>63</v>
      </c>
      <c r="B606">
        <v>2005</v>
      </c>
      <c r="C606" t="s">
        <v>59</v>
      </c>
      <c r="D606">
        <v>0.4</v>
      </c>
    </row>
    <row r="607" spans="1:4" x14ac:dyDescent="0.45">
      <c r="A607" t="s">
        <v>62</v>
      </c>
      <c r="B607">
        <v>2006</v>
      </c>
      <c r="C607" t="s">
        <v>59</v>
      </c>
    </row>
    <row r="608" spans="1:4" x14ac:dyDescent="0.45">
      <c r="A608" t="s">
        <v>63</v>
      </c>
      <c r="B608">
        <v>2006</v>
      </c>
      <c r="C608" t="s">
        <v>59</v>
      </c>
      <c r="D608">
        <v>1</v>
      </c>
    </row>
    <row r="609" spans="1:4" x14ac:dyDescent="0.45">
      <c r="A609" t="s">
        <v>62</v>
      </c>
      <c r="B609">
        <v>2007</v>
      </c>
      <c r="C609" t="s">
        <v>59</v>
      </c>
      <c r="D609">
        <v>0</v>
      </c>
    </row>
    <row r="610" spans="1:4" x14ac:dyDescent="0.45">
      <c r="A610" t="s">
        <v>63</v>
      </c>
      <c r="B610">
        <v>2007</v>
      </c>
      <c r="C610" t="s">
        <v>59</v>
      </c>
      <c r="D610">
        <v>2.2000000000000002</v>
      </c>
    </row>
    <row r="611" spans="1:4" x14ac:dyDescent="0.45">
      <c r="A611" t="s">
        <v>62</v>
      </c>
      <c r="B611">
        <v>2008</v>
      </c>
      <c r="C611" t="s">
        <v>59</v>
      </c>
      <c r="D611">
        <v>0</v>
      </c>
    </row>
    <row r="612" spans="1:4" x14ac:dyDescent="0.45">
      <c r="A612" t="s">
        <v>63</v>
      </c>
      <c r="B612">
        <v>2008</v>
      </c>
      <c r="C612" t="s">
        <v>59</v>
      </c>
      <c r="D612">
        <v>2.7</v>
      </c>
    </row>
    <row r="613" spans="1:4" x14ac:dyDescent="0.45">
      <c r="A613" t="s">
        <v>62</v>
      </c>
      <c r="B613">
        <v>2009</v>
      </c>
      <c r="C613" t="s">
        <v>59</v>
      </c>
      <c r="D613">
        <v>0.1</v>
      </c>
    </row>
    <row r="614" spans="1:4" x14ac:dyDescent="0.45">
      <c r="A614" t="s">
        <v>63</v>
      </c>
      <c r="B614">
        <v>2009</v>
      </c>
      <c r="C614" t="s">
        <v>59</v>
      </c>
      <c r="D614">
        <v>2.4</v>
      </c>
    </row>
    <row r="615" spans="1:4" x14ac:dyDescent="0.45">
      <c r="A615" t="s">
        <v>62</v>
      </c>
      <c r="B615">
        <v>2010</v>
      </c>
      <c r="C615" t="s">
        <v>59</v>
      </c>
      <c r="D615">
        <v>1</v>
      </c>
    </row>
    <row r="616" spans="1:4" x14ac:dyDescent="0.45">
      <c r="A616" t="s">
        <v>63</v>
      </c>
      <c r="B616">
        <v>2010</v>
      </c>
      <c r="C616" t="s">
        <v>59</v>
      </c>
      <c r="D616">
        <v>5.2</v>
      </c>
    </row>
    <row r="617" spans="1:4" x14ac:dyDescent="0.45">
      <c r="A617" t="s">
        <v>62</v>
      </c>
      <c r="B617">
        <v>2011</v>
      </c>
      <c r="C617" t="s">
        <v>59</v>
      </c>
      <c r="D617">
        <v>1.3</v>
      </c>
    </row>
    <row r="618" spans="1:4" x14ac:dyDescent="0.45">
      <c r="A618" t="s">
        <v>63</v>
      </c>
      <c r="B618">
        <v>2011</v>
      </c>
      <c r="C618" t="s">
        <v>59</v>
      </c>
      <c r="D618">
        <v>5</v>
      </c>
    </row>
    <row r="619" spans="1:4" x14ac:dyDescent="0.45">
      <c r="A619" t="s">
        <v>62</v>
      </c>
      <c r="B619">
        <v>2012</v>
      </c>
      <c r="C619" t="s">
        <v>59</v>
      </c>
      <c r="D619">
        <v>1.2</v>
      </c>
    </row>
    <row r="620" spans="1:4" x14ac:dyDescent="0.45">
      <c r="A620" t="s">
        <v>63</v>
      </c>
      <c r="B620">
        <v>2012</v>
      </c>
      <c r="C620" t="s">
        <v>59</v>
      </c>
      <c r="D620">
        <v>2.7</v>
      </c>
    </row>
    <row r="621" spans="1:4" x14ac:dyDescent="0.45">
      <c r="A621" t="s">
        <v>62</v>
      </c>
      <c r="B621">
        <v>2013</v>
      </c>
      <c r="C621" t="s">
        <v>59</v>
      </c>
      <c r="D621">
        <v>2.7</v>
      </c>
    </row>
    <row r="622" spans="1:4" x14ac:dyDescent="0.45">
      <c r="A622" t="s">
        <v>63</v>
      </c>
      <c r="B622">
        <v>2013</v>
      </c>
      <c r="C622" t="s">
        <v>59</v>
      </c>
      <c r="D622">
        <v>3.3</v>
      </c>
    </row>
    <row r="623" spans="1:4" x14ac:dyDescent="0.45">
      <c r="A623" t="s">
        <v>62</v>
      </c>
      <c r="B623">
        <v>2014</v>
      </c>
      <c r="C623" t="s">
        <v>59</v>
      </c>
      <c r="D623">
        <v>1.7</v>
      </c>
    </row>
    <row r="624" spans="1:4" x14ac:dyDescent="0.45">
      <c r="A624" t="s">
        <v>63</v>
      </c>
      <c r="B624">
        <v>2014</v>
      </c>
      <c r="C624" t="s">
        <v>59</v>
      </c>
      <c r="D624">
        <v>2.4</v>
      </c>
    </row>
    <row r="625" spans="1:4" x14ac:dyDescent="0.45">
      <c r="A625" t="s">
        <v>62</v>
      </c>
      <c r="B625">
        <v>2015</v>
      </c>
      <c r="C625" t="s">
        <v>59</v>
      </c>
      <c r="D625">
        <v>1.7</v>
      </c>
    </row>
    <row r="626" spans="1:4" x14ac:dyDescent="0.45">
      <c r="A626" t="s">
        <v>63</v>
      </c>
      <c r="B626">
        <v>2015</v>
      </c>
      <c r="C626" t="s">
        <v>59</v>
      </c>
      <c r="D626">
        <v>2.6</v>
      </c>
    </row>
    <row r="627" spans="1:4" x14ac:dyDescent="0.45">
      <c r="A627" t="s">
        <v>62</v>
      </c>
      <c r="B627">
        <v>2016</v>
      </c>
      <c r="C627" t="s">
        <v>59</v>
      </c>
      <c r="D627">
        <v>2.2000000000000002</v>
      </c>
    </row>
    <row r="628" spans="1:4" x14ac:dyDescent="0.45">
      <c r="A628" t="s">
        <v>63</v>
      </c>
      <c r="B628">
        <v>2016</v>
      </c>
      <c r="C628" t="s">
        <v>59</v>
      </c>
      <c r="D628">
        <v>3.3</v>
      </c>
    </row>
    <row r="629" spans="1:4" x14ac:dyDescent="0.45">
      <c r="A629" t="s">
        <v>62</v>
      </c>
      <c r="B629">
        <v>2017</v>
      </c>
      <c r="C629" t="s">
        <v>59</v>
      </c>
      <c r="D629">
        <v>1.8</v>
      </c>
    </row>
    <row r="630" spans="1:4" x14ac:dyDescent="0.45">
      <c r="A630" t="s">
        <v>63</v>
      </c>
      <c r="B630">
        <v>2017</v>
      </c>
      <c r="C630" t="s">
        <v>59</v>
      </c>
      <c r="D630">
        <v>2.4</v>
      </c>
    </row>
    <row r="631" spans="1:4" x14ac:dyDescent="0.45">
      <c r="A631" t="s">
        <v>62</v>
      </c>
      <c r="B631">
        <v>2018</v>
      </c>
      <c r="C631" t="s">
        <v>59</v>
      </c>
      <c r="D631">
        <v>0.7</v>
      </c>
    </row>
    <row r="632" spans="1:4" x14ac:dyDescent="0.45">
      <c r="A632" t="s">
        <v>63</v>
      </c>
      <c r="B632">
        <v>2018</v>
      </c>
      <c r="C632" t="s">
        <v>59</v>
      </c>
      <c r="D632">
        <v>1.7</v>
      </c>
    </row>
    <row r="633" spans="1:4" x14ac:dyDescent="0.45">
      <c r="A633" t="s">
        <v>62</v>
      </c>
      <c r="B633">
        <v>2019</v>
      </c>
      <c r="C633" t="s">
        <v>59</v>
      </c>
      <c r="D633">
        <v>1.3</v>
      </c>
    </row>
    <row r="634" spans="1:4" x14ac:dyDescent="0.45">
      <c r="A634" t="s">
        <v>63</v>
      </c>
      <c r="B634">
        <v>2019</v>
      </c>
      <c r="C634" t="s">
        <v>59</v>
      </c>
      <c r="D634">
        <v>2.4</v>
      </c>
    </row>
    <row r="635" spans="1:4" x14ac:dyDescent="0.45">
      <c r="A635" t="s">
        <v>62</v>
      </c>
      <c r="B635">
        <v>2020</v>
      </c>
      <c r="C635" t="s">
        <v>59</v>
      </c>
      <c r="D635">
        <v>1.6</v>
      </c>
    </row>
    <row r="636" spans="1:4" x14ac:dyDescent="0.45">
      <c r="A636" t="s">
        <v>63</v>
      </c>
      <c r="B636">
        <v>2020</v>
      </c>
      <c r="C636" t="s">
        <v>59</v>
      </c>
      <c r="D636">
        <v>3.1</v>
      </c>
    </row>
    <row r="637" spans="1:4" x14ac:dyDescent="0.45">
      <c r="A637" t="s">
        <v>62</v>
      </c>
      <c r="B637">
        <v>2021</v>
      </c>
      <c r="C637" t="s">
        <v>59</v>
      </c>
      <c r="D637">
        <v>0.6</v>
      </c>
    </row>
    <row r="638" spans="1:4" x14ac:dyDescent="0.45">
      <c r="A638" t="s">
        <v>63</v>
      </c>
      <c r="B638">
        <v>2021</v>
      </c>
      <c r="C638" t="s">
        <v>59</v>
      </c>
      <c r="D638">
        <v>1.4</v>
      </c>
    </row>
    <row r="639" spans="1:4" x14ac:dyDescent="0.45">
      <c r="A639" t="s">
        <v>62</v>
      </c>
      <c r="B639">
        <v>2022</v>
      </c>
      <c r="C639" t="s">
        <v>59</v>
      </c>
      <c r="D639">
        <v>1</v>
      </c>
    </row>
    <row r="640" spans="1:4" x14ac:dyDescent="0.45">
      <c r="A640" t="s">
        <v>63</v>
      </c>
      <c r="B640">
        <v>2022</v>
      </c>
      <c r="C640" t="s">
        <v>59</v>
      </c>
      <c r="D640">
        <v>3.3</v>
      </c>
    </row>
    <row r="641" spans="1:3" x14ac:dyDescent="0.45">
      <c r="A641" t="s">
        <v>62</v>
      </c>
      <c r="B641">
        <v>2023</v>
      </c>
      <c r="C641" t="s">
        <v>59</v>
      </c>
    </row>
    <row r="642" spans="1:3" x14ac:dyDescent="0.45">
      <c r="A642" t="s">
        <v>63</v>
      </c>
      <c r="B642">
        <v>2023</v>
      </c>
      <c r="C64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2025-12-06T14:31:24Z</dcterms:modified>
</cp:coreProperties>
</file>