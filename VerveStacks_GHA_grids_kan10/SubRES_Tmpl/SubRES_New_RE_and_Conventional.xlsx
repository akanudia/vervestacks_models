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SubRES_Tmpl\"/>
    </mc:Choice>
  </mc:AlternateContent>
  <xr:revisionPtr revIDLastSave="0" documentId="8_{DA64059B-BA86-4AE1-BDA6-1FCB0236C1F2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<sst xmlns="http://schemas.openxmlformats.org/spreadsheetml/2006/main" count="1721" uniqueCount="416">
  <si>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</si>
  <si>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</si>
  <si>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</si>
  <si>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</si>
  <si>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</si>
  <si>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</si>
  <si>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</si>
  <si>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</si>
  <si>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</si>
  <si>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</si>
  <si>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</si>
  <si>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</si>
  <si>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</si>
  <si>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</si>
  <si>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</si>
  <si>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</si>
  <si>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</si>
  <si>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</si>
  <si>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</si>
  <si>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</si>
  <si>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</si>
  <si>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</si>
  <si>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</si>
  <si>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</si>
  <si>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</si>
  <si>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</si>
  <si>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</si>
  <si>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</si>
  <si>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</si>
  <si>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</si>
  <si>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</si>
  <si>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</si>
  <si>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</si>
  <si>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</si>
  <si>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</si>
  <si>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</si>
  <si>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</si>
  <si>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</si>
  <si>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</si>
  <si>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</si>
  <si>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</si>
  <si>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</si>
  <si>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</si>
  <si>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</si>
  <si>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</si>
  <si>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</si>
  <si>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</si>
  <si>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</si>
  <si>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</si>
  <si>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</si>
  <si>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</si>
  <si>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</si>
  <si>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</si>
  <si>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</si>
  <si>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</si>
  <si>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</si>
  <si>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</si>
  <si>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</si>
  <si>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</si>
  <si>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</si>
  <si>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</si>
  <si>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</si>
  <si>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</si>
  <si>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</si>
  <si>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</si>
  <si>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</si>
  <si>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</si>
  <si>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</si>
  <si>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</si>
  <si>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</si>
  <si>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</si>
  <si>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</si>
  <si>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</si>
  <si>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</si>
  <si>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</si>
  <si>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</si>
  <si>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</si>
  <si>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</si>
  <si>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</si>
  <si>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</si>
  <si>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</si>
  <si>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</si>
  <si>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</si>
  <si>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</si>
  <si>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</si>
  <si>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</si>
  <si>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</si>
  <si>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</si>
  <si>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</si>
  <si>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</si>
  <si>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</si>
  <si>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</si>
  <si>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</si>
  <si>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</si>
  <si>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</si>
  <si>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</si>
  <si>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</si>
  <si>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</si>
  <si>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</si>
  <si>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</si>
  <si>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</si>
  <si>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</si>
  <si>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</si>
  <si>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</si>
  <si>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</si>
  <si>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</si>
  <si>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</si>
  <si>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</si>
  <si>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</si>
  <si>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</si>
  <si>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</si>
  <si>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</si>
  <si>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</si>
  <si>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</si>
  <si>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</si>
  <si>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</si>
  <si>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</si>
  <si>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</si>
  <si>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</si>
  <si>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</si>
  <si>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</si>
  <si>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</si>
  <si>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</si>
  <si>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</si>
  <si>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</si>
  <si>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</si>
  <si>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</si>
  <si>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</si>
  <si>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</si>
  <si>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</si>
  <si>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</si>
  <si>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</si>
  <si>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</si>
  <si>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</si>
  <si>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</si>
  <si>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</si>
  <si>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</si>
  <si>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</si>
  <si>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</si>
  <si>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</si>
  <si>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</si>
  <si>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</si>
  <si>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</si>
  <si>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</si>
  <si>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</si>
  <si>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</si>
  <si>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</si>
  <si>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</si>
  <si>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</si>
  <si>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</si>
  <si>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</si>
  <si>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</si>
  <si>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</si>
  <si>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</si>
  <si>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</si>
  <si>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</si>
  <si>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</si>
  <si>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</si>
  <si>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</si>
  <si>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</si>
  <si>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</si>
  <si>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</si>
  <si>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</si>
  <si>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</si>
  <si>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</si>
  <si>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</si>
  <si>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</si>
  <si>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</si>
  <si>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</si>
  <si>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</si>
  <si>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</si>
  <si>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</si>
  <si>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</si>
  <si>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e_spv_GHA_001</t>
  </si>
  <si>
    <t>solar resource in cluster 1</t>
  </si>
  <si>
    <t>annual</t>
  </si>
  <si>
    <t>no</t>
  </si>
  <si>
    <t>e_spv_GHA_002</t>
  </si>
  <si>
    <t>solar resource in cluster 2</t>
  </si>
  <si>
    <t>e_spv_GHA_003</t>
  </si>
  <si>
    <t>solar resource in cluster 3</t>
  </si>
  <si>
    <t>e_spv_GHA_004</t>
  </si>
  <si>
    <t>solar resource in cluster 4</t>
  </si>
  <si>
    <t>e_spv_GHA_005</t>
  </si>
  <si>
    <t>solar resource in cluster 5</t>
  </si>
  <si>
    <t>e_spv_GHA_006</t>
  </si>
  <si>
    <t>solar resource in cluster 6</t>
  </si>
  <si>
    <t>e_spv_GHA_007</t>
  </si>
  <si>
    <t>solar resource in cluster 7</t>
  </si>
  <si>
    <t>e_spv_GHA_008</t>
  </si>
  <si>
    <t>solar resource in cluster 8</t>
  </si>
  <si>
    <t>e_spv_GHA_009</t>
  </si>
  <si>
    <t>solar resource in cluster 9</t>
  </si>
  <si>
    <t>e_spv_GHA_010</t>
  </si>
  <si>
    <t>solar resource in cluster 10</t>
  </si>
  <si>
    <t>e_spv_GHA_011</t>
  </si>
  <si>
    <t>solar resource in cluster 11</t>
  </si>
  <si>
    <t>e_spv_GHA_012</t>
  </si>
  <si>
    <t>solar resource in cluster 12</t>
  </si>
  <si>
    <t>e_spv_GHA_013</t>
  </si>
  <si>
    <t>solar resource in cluster 13</t>
  </si>
  <si>
    <t>e_spv_GHA_014</t>
  </si>
  <si>
    <t>solar resource in cluster 14</t>
  </si>
  <si>
    <t>e_spv_GHA_015</t>
  </si>
  <si>
    <t>solar resource in cluster 15</t>
  </si>
  <si>
    <t>e_spv_GHA_016</t>
  </si>
  <si>
    <t>solar resource in cluster 16</t>
  </si>
  <si>
    <t>e_spv_GHA_017</t>
  </si>
  <si>
    <t>solar resource in cluster 17</t>
  </si>
  <si>
    <t>~fi_t</t>
  </si>
  <si>
    <t>comm-out</t>
  </si>
  <si>
    <t>cap_bnd</t>
  </si>
  <si>
    <t>af~fx</t>
  </si>
  <si>
    <t>elc_spv_GHA_001</t>
  </si>
  <si>
    <t>elc_spv_GHA_002</t>
  </si>
  <si>
    <t>elc_spv_GHA_003</t>
  </si>
  <si>
    <t>elc_spv_GHA_004</t>
  </si>
  <si>
    <t>elc_spv_GHA_005</t>
  </si>
  <si>
    <t>elc_spv_GHA_006</t>
  </si>
  <si>
    <t>elc_spv_GHA_007</t>
  </si>
  <si>
    <t>elc_spv_GHA_008</t>
  </si>
  <si>
    <t>elc_spv_GHA_009</t>
  </si>
  <si>
    <t>elc_spv_GHA_010</t>
  </si>
  <si>
    <t>elc_spv_GHA_011</t>
  </si>
  <si>
    <t>elc_spv_GHA_012</t>
  </si>
  <si>
    <t>elc_spv_GHA_013</t>
  </si>
  <si>
    <t>elc_spv_GHA_014</t>
  </si>
  <si>
    <t>elc_spv_GHA_015</t>
  </si>
  <si>
    <t>elc_spv_GHA_016</t>
  </si>
  <si>
    <t>elc_spv_GHA_017</t>
  </si>
  <si>
    <t>primarycg</t>
  </si>
  <si>
    <t>pre</t>
  </si>
  <si>
    <t>distr_solelc_spv_GHA_004</t>
  </si>
  <si>
    <t>connecting solar to buses in cluster 4</t>
  </si>
  <si>
    <t>NRGI</t>
  </si>
  <si>
    <t>daynite</t>
  </si>
  <si>
    <t>distr_solelc_spv_GHA_011</t>
  </si>
  <si>
    <t>connecting solar to buses in cluster 11</t>
  </si>
  <si>
    <t>distr_solelc_spv_GHA_007</t>
  </si>
  <si>
    <t>connecting solar to buses in cluster 7</t>
  </si>
  <si>
    <t>distr_solelc_spv_GHA_014</t>
  </si>
  <si>
    <t>connecting solar to buses in cluster 14</t>
  </si>
  <si>
    <t>distr_solelc_spv_GHA_003</t>
  </si>
  <si>
    <t>connecting solar to buses in cluster 3</t>
  </si>
  <si>
    <t>distr_solelc_spv_GHA_005</t>
  </si>
  <si>
    <t>connecting solar to buses in cluster 5</t>
  </si>
  <si>
    <t>distr_solelc_spv_GHA_015</t>
  </si>
  <si>
    <t>connecting solar to buses in cluster 15</t>
  </si>
  <si>
    <t>distr_solelc_spv_GHA_013</t>
  </si>
  <si>
    <t>connecting solar to buses in cluster 13</t>
  </si>
  <si>
    <t>distr_solelc_spv_GHA_006</t>
  </si>
  <si>
    <t>connecting solar to buses in cluster 6</t>
  </si>
  <si>
    <t>distr_solelc_spv_GHA_008</t>
  </si>
  <si>
    <t>connecting solar to buses in cluster 8</t>
  </si>
  <si>
    <t>distr_solelc_spv_GHA_002</t>
  </si>
  <si>
    <t>connecting solar to buses in cluster 2</t>
  </si>
  <si>
    <t>distr_solelc_spv_GHA_009</t>
  </si>
  <si>
    <t>connecting solar to buses in cluster 9</t>
  </si>
  <si>
    <t>distr_solelc_spv_GHA_012</t>
  </si>
  <si>
    <t>connecting solar to buses in cluster 12</t>
  </si>
  <si>
    <t>distr_solelc_spv_GHA_010</t>
  </si>
  <si>
    <t>connecting solar to buses in cluster 10</t>
  </si>
  <si>
    <t>distr_solelc_spv_GHA_017</t>
  </si>
  <si>
    <t>connecting solar to buses in cluster 17</t>
  </si>
  <si>
    <t>distr_solelc_spv_GHA_001</t>
  </si>
  <si>
    <t>connecting solar to buses in cluster 1</t>
  </si>
  <si>
    <t>distr_solelc_spv_GHA_016</t>
  </si>
  <si>
    <t>connecting solar to buses in cluster 16</t>
  </si>
  <si>
    <t>comm-in</t>
  </si>
  <si>
    <t>ncap_cost~USD21_alt</t>
  </si>
  <si>
    <t>e_r15772152-330_GHA</t>
  </si>
  <si>
    <t>e_w1155380911-330_GHA,e_w282578857-330_GHA</t>
  </si>
  <si>
    <t>e_w1069597794-330_GHA</t>
  </si>
  <si>
    <t>e_w674068904-225_GHA</t>
  </si>
  <si>
    <t>e_r15772152-330_GHA,e_w1069597794-330_GHA</t>
  </si>
  <si>
    <t>e_w672526714-330_GHA,e_w674068904-225_GHA</t>
  </si>
  <si>
    <t>e_w674068904-225_GHA,e_w1155380911-330_GHA</t>
  </si>
  <si>
    <t>e_w282578857-330_GHA,e_w1069597794-330_GHA</t>
  </si>
  <si>
    <t>e_r15772152-330_GHA,e_w1069597794-330_GHA,e_w930744195-225_GHA</t>
  </si>
  <si>
    <t>e_w1155380911-330_GHA,e_r15772152-330_GHA,e_w1069597794-330_GHA</t>
  </si>
  <si>
    <t>e_w1155380911-330_GHA,e_r15772152-330_GHA</t>
  </si>
  <si>
    <t>e_w672526714-330_GHA,e_w282578857-330_GHA</t>
  </si>
  <si>
    <t>e_w930744195-225_GHA</t>
  </si>
  <si>
    <t>e_w282578857-330_GHA</t>
  </si>
  <si>
    <t>distr_wonelc_won_GHA_010</t>
  </si>
  <si>
    <t>connecting wind onshore to buses in cluster 10</t>
  </si>
  <si>
    <t>distr_wonelc_won_GHA_007</t>
  </si>
  <si>
    <t>connecting wind onshore to buses in cluster 7</t>
  </si>
  <si>
    <t>distr_wonelc_won_GHA_001</t>
  </si>
  <si>
    <t>connecting wind onshore to buses in cluster 1</t>
  </si>
  <si>
    <t>distr_wonelc_won_GHA_004</t>
  </si>
  <si>
    <t>connecting wind onshore to buses in cluster 4</t>
  </si>
  <si>
    <t>distr_wonelc_won_GHA_009</t>
  </si>
  <si>
    <t>connecting wind onshore to buses in cluster 9</t>
  </si>
  <si>
    <t>distr_wonelc_won_GHA_006</t>
  </si>
  <si>
    <t>connecting wind onshore to buses in cluster 6</t>
  </si>
  <si>
    <t>distr_wonelc_won_GHA_003</t>
  </si>
  <si>
    <t>connecting wind onshore to buses in cluster 3</t>
  </si>
  <si>
    <t>distr_wonelc_won_GHA_005</t>
  </si>
  <si>
    <t>connecting wind onshore to buses in cluster 5</t>
  </si>
  <si>
    <t>distr_wonelc_won_GHA_002</t>
  </si>
  <si>
    <t>connecting wind onshore to buses in cluster 2</t>
  </si>
  <si>
    <t>distr_wonelc_won_GHA_008</t>
  </si>
  <si>
    <t>connecting wind onshore to buses in cluster 8</t>
  </si>
  <si>
    <t>elc_won_GHA_010</t>
  </si>
  <si>
    <t>elc_won_GHA_007</t>
  </si>
  <si>
    <t>elc_won_GHA_001</t>
  </si>
  <si>
    <t>e_w282578857-330_GHA,e_w672526714-330_GHA</t>
  </si>
  <si>
    <t>elc_won_GHA_004</t>
  </si>
  <si>
    <t>elc_won_GHA_009</t>
  </si>
  <si>
    <t>elc_won_GHA_006</t>
  </si>
  <si>
    <t>elc_won_GHA_003</t>
  </si>
  <si>
    <t>elc_won_GHA_005</t>
  </si>
  <si>
    <t>elc_won_GHA_002</t>
  </si>
  <si>
    <t>elc_won_GHA_008</t>
  </si>
  <si>
    <t>distr_wofelc_wof_GHA_008</t>
  </si>
  <si>
    <t>connecting wind offshore to buses in cluster 8</t>
  </si>
  <si>
    <t>distr_wofelc_wof_GHA_002</t>
  </si>
  <si>
    <t>connecting wind offshore to buses in cluster 2</t>
  </si>
  <si>
    <t>distr_wofelc_wof_GHA_004</t>
  </si>
  <si>
    <t>connecting wind offshore to buses in cluster 4</t>
  </si>
  <si>
    <t>distr_wofelc_wof_GHA_007</t>
  </si>
  <si>
    <t>connecting wind offshore to buses in cluster 7</t>
  </si>
  <si>
    <t>distr_wofelc_wof_GHA_001</t>
  </si>
  <si>
    <t>connecting wind offshore to buses in cluster 1</t>
  </si>
  <si>
    <t>distr_wofelc_wof_GHA_009</t>
  </si>
  <si>
    <t>connecting wind offshore to buses in cluster 9</t>
  </si>
  <si>
    <t>distr_wofelc_wof_GHA_006</t>
  </si>
  <si>
    <t>connecting wind offshore to buses in cluster 6</t>
  </si>
  <si>
    <t>distr_wofelc_wof_GHA_003</t>
  </si>
  <si>
    <t>connecting wind offshore to buses in cluster 3</t>
  </si>
  <si>
    <t>distr_wofelc_wof_GHA_005</t>
  </si>
  <si>
    <t>connecting wind offshore to buses in cluster 5</t>
  </si>
  <si>
    <t>distr_wofelc_wof_GHA_010</t>
  </si>
  <si>
    <t>connecting wind offshore to buses in cluster 10</t>
  </si>
  <si>
    <t>elc_wof_GHA_008</t>
  </si>
  <si>
    <t>elc_wof_GHA_002</t>
  </si>
  <si>
    <t>e_w672526714-330_GHA</t>
  </si>
  <si>
    <t>elc_wof_GHA_004</t>
  </si>
  <si>
    <t>elc_wof_GHA_007</t>
  </si>
  <si>
    <t>elc_wof_GHA_001</t>
  </si>
  <si>
    <t>elc_wof_GHA_009</t>
  </si>
  <si>
    <t>elc_wof_GHA_006</t>
  </si>
  <si>
    <t>elc_wof_GHA_003</t>
  </si>
  <si>
    <t>elc_wof_GHA_005</t>
  </si>
  <si>
    <t>elc_wof_GHA_010</t>
  </si>
  <si>
    <t>e_won_GHA_001</t>
  </si>
  <si>
    <t>wind resource in cluster 1</t>
  </si>
  <si>
    <t>e_won_GHA_002</t>
  </si>
  <si>
    <t>wind resource in cluster 2</t>
  </si>
  <si>
    <t>e_won_GHA_003</t>
  </si>
  <si>
    <t>wind resource in cluster 3</t>
  </si>
  <si>
    <t>e_won_GHA_004</t>
  </si>
  <si>
    <t>wind resource in cluster 4</t>
  </si>
  <si>
    <t>e_won_GHA_005</t>
  </si>
  <si>
    <t>wind resource in cluster 5</t>
  </si>
  <si>
    <t>e_won_GHA_006</t>
  </si>
  <si>
    <t>wind resource in cluster 6</t>
  </si>
  <si>
    <t>e_won_GHA_007</t>
  </si>
  <si>
    <t>wind resource in cluster 7</t>
  </si>
  <si>
    <t>e_won_GHA_008</t>
  </si>
  <si>
    <t>wind resource in cluster 8</t>
  </si>
  <si>
    <t>e_won_GHA_009</t>
  </si>
  <si>
    <t>wind resource in cluster 9</t>
  </si>
  <si>
    <t>e_won_GHA_010</t>
  </si>
  <si>
    <t>wind resource in cluster 10</t>
  </si>
  <si>
    <t>e_wof_GHA_001</t>
  </si>
  <si>
    <t>wind offshore resource in cluster 1</t>
  </si>
  <si>
    <t>e_wof_GHA_002</t>
  </si>
  <si>
    <t>wind offshore resource in cluster 2</t>
  </si>
  <si>
    <t>e_wof_GHA_003</t>
  </si>
  <si>
    <t>wind offshore resource in cluster 3</t>
  </si>
  <si>
    <t>e_wof_GHA_004</t>
  </si>
  <si>
    <t>wind offshore resource in cluster 4</t>
  </si>
  <si>
    <t>e_wof_GHA_005</t>
  </si>
  <si>
    <t>wind offshore resource in cluster 5</t>
  </si>
  <si>
    <t>e_wof_GHA_006</t>
  </si>
  <si>
    <t>wind offshore resource in cluster 6</t>
  </si>
  <si>
    <t>e_wof_GHA_007</t>
  </si>
  <si>
    <t>wind offshore resource in cluster 7</t>
  </si>
  <si>
    <t>e_wof_GHA_008</t>
  </si>
  <si>
    <t>wind offshore resource in cluster 8</t>
  </si>
  <si>
    <t>e_wof_GHA_009</t>
  </si>
  <si>
    <t>wind offshore resource in cluster 9</t>
  </si>
  <si>
    <t>e_wof_GHA_010</t>
  </si>
  <si>
    <t>wind offshore resource in cluster 10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</si>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</sst>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e_w674068904-225_GHA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e_w674068904-225_GHA</v>
      </c>
      <c r="P28">
        <v>0</v>
      </c>
      <c r="Q28">
        <v>3</v>
      </c>
      <c r="R28">
        <v>1000</v>
      </c>
      <c r="S28">
        <v>50</v>
      </c>
      <c r="V28" s="147" t="s">
        <v>273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D19E0-7F9E-4D6C-BADD-022A15651C00}">
  <dimension ref="B9:BD27"/>
  <sheetViews>
    <sheetView workbookViewId="0"/>
  </sheetViews>
  <sheetFormatPr defaultRowHeight="14.25"/>
  <sheetData>
    <row r="9" spans="2:56">
      <c r="B9" t="s">
        <v>164</v>
      </c>
      <c r="J9" t="s">
        <v>209</v>
      </c>
      <c r="O9" t="s">
        <v>164</v>
      </c>
      <c r="X9" t="s">
        <v>209</v>
      </c>
      <c r="AD9" t="s">
        <v>164</v>
      </c>
      <c r="AL9" t="s">
        <v>209</v>
      </c>
      <c r="AR9" t="s">
        <v>164</v>
      </c>
      <c r="AZ9" t="s">
        <v>209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210</v>
      </c>
      <c r="L10" t="s">
        <v>211</v>
      </c>
      <c r="M10" t="s">
        <v>212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230</v>
      </c>
      <c r="U10" t="s">
        <v>170</v>
      </c>
      <c r="V10" t="s">
        <v>171</v>
      </c>
      <c r="X10" t="s">
        <v>166</v>
      </c>
      <c r="Y10" t="s">
        <v>268</v>
      </c>
      <c r="Z10" t="s">
        <v>210</v>
      </c>
      <c r="AA10" t="s">
        <v>146</v>
      </c>
      <c r="AB10" t="s">
        <v>269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268</v>
      </c>
      <c r="AN10" t="s">
        <v>210</v>
      </c>
      <c r="AO10" t="s">
        <v>146</v>
      </c>
      <c r="AP10" t="s">
        <v>269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268</v>
      </c>
      <c r="BB10" t="s">
        <v>210</v>
      </c>
      <c r="BC10" t="s">
        <v>146</v>
      </c>
      <c r="BD10" t="s">
        <v>269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213</v>
      </c>
      <c r="L11">
        <v>11.102441504978033</v>
      </c>
      <c r="M11">
        <v>0.2308841804862313</v>
      </c>
      <c r="O11" t="s">
        <v>231</v>
      </c>
      <c r="P11" t="s">
        <v>232</v>
      </c>
      <c r="Q11" t="s">
        <v>233</v>
      </c>
      <c r="R11" t="s">
        <v>10</v>
      </c>
      <c r="S11" t="s">
        <v>21</v>
      </c>
      <c r="T11" t="s">
        <v>234</v>
      </c>
      <c r="U11" t="s">
        <v>235</v>
      </c>
      <c r="V11" t="s">
        <v>176</v>
      </c>
      <c r="X11" t="s">
        <v>232</v>
      </c>
      <c r="Y11" t="s">
        <v>216</v>
      </c>
      <c r="Z11" t="s">
        <v>270</v>
      </c>
      <c r="AA11">
        <v>0.99308322492031709</v>
      </c>
      <c r="AB11">
        <v>126.80754312752006</v>
      </c>
      <c r="AD11" t="s">
        <v>231</v>
      </c>
      <c r="AE11" t="s">
        <v>284</v>
      </c>
      <c r="AF11" t="s">
        <v>285</v>
      </c>
      <c r="AG11" t="s">
        <v>10</v>
      </c>
      <c r="AH11" t="s">
        <v>21</v>
      </c>
      <c r="AI11" t="s">
        <v>235</v>
      </c>
      <c r="AJ11" t="s">
        <v>176</v>
      </c>
      <c r="AL11" t="s">
        <v>284</v>
      </c>
      <c r="AM11" t="s">
        <v>304</v>
      </c>
      <c r="AN11" t="s">
        <v>272</v>
      </c>
      <c r="AO11">
        <v>0.99474449552139477</v>
      </c>
      <c r="AP11">
        <v>96.350915441096063</v>
      </c>
      <c r="AR11" t="s">
        <v>231</v>
      </c>
      <c r="AS11" t="s">
        <v>315</v>
      </c>
      <c r="AT11" t="s">
        <v>316</v>
      </c>
      <c r="AU11" t="s">
        <v>10</v>
      </c>
      <c r="AV11" t="s">
        <v>21</v>
      </c>
      <c r="AW11" t="s">
        <v>235</v>
      </c>
      <c r="AX11" t="s">
        <v>176</v>
      </c>
      <c r="AZ11" t="s">
        <v>315</v>
      </c>
      <c r="BA11" t="s">
        <v>335</v>
      </c>
      <c r="BB11" t="s">
        <v>283</v>
      </c>
      <c r="BC11">
        <v>0.9976147902706346</v>
      </c>
      <c r="BD11">
        <v>43.728845038365712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214</v>
      </c>
      <c r="L12">
        <v>19.391126016351553</v>
      </c>
      <c r="M12">
        <v>0.23134980084338699</v>
      </c>
      <c r="O12" t="s">
        <v>231</v>
      </c>
      <c r="P12" t="s">
        <v>236</v>
      </c>
      <c r="Q12" t="s">
        <v>237</v>
      </c>
      <c r="R12" t="s">
        <v>10</v>
      </c>
      <c r="S12" t="s">
        <v>21</v>
      </c>
      <c r="T12" t="s">
        <v>234</v>
      </c>
      <c r="U12" t="s">
        <v>235</v>
      </c>
      <c r="V12" t="s">
        <v>176</v>
      </c>
      <c r="X12" t="s">
        <v>236</v>
      </c>
      <c r="Y12" t="s">
        <v>223</v>
      </c>
      <c r="Z12" t="s">
        <v>271</v>
      </c>
      <c r="AA12">
        <v>0.99509890999782735</v>
      </c>
      <c r="AB12">
        <v>89.853316706498532</v>
      </c>
      <c r="AD12" t="s">
        <v>231</v>
      </c>
      <c r="AE12" t="s">
        <v>286</v>
      </c>
      <c r="AF12" t="s">
        <v>287</v>
      </c>
      <c r="AG12" t="s">
        <v>10</v>
      </c>
      <c r="AH12" t="s">
        <v>21</v>
      </c>
      <c r="AI12" t="s">
        <v>235</v>
      </c>
      <c r="AJ12" t="s">
        <v>176</v>
      </c>
      <c r="AL12" t="s">
        <v>286</v>
      </c>
      <c r="AM12" t="s">
        <v>305</v>
      </c>
      <c r="AN12" t="s">
        <v>272</v>
      </c>
      <c r="AO12">
        <v>0.98997046923979071</v>
      </c>
      <c r="AP12">
        <v>183.87473060383624</v>
      </c>
      <c r="AR12" t="s">
        <v>231</v>
      </c>
      <c r="AS12" t="s">
        <v>317</v>
      </c>
      <c r="AT12" t="s">
        <v>318</v>
      </c>
      <c r="AU12" t="s">
        <v>10</v>
      </c>
      <c r="AV12" t="s">
        <v>21</v>
      </c>
      <c r="AW12" t="s">
        <v>235</v>
      </c>
      <c r="AX12" t="s">
        <v>176</v>
      </c>
      <c r="AZ12" t="s">
        <v>317</v>
      </c>
      <c r="BA12" t="s">
        <v>336</v>
      </c>
      <c r="BB12" t="s">
        <v>337</v>
      </c>
      <c r="BC12">
        <v>0.99523026289226679</v>
      </c>
      <c r="BD12">
        <v>87.445180308441223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215</v>
      </c>
      <c r="L13">
        <v>1.3319627961135077</v>
      </c>
      <c r="M13">
        <v>0.21951126457012091</v>
      </c>
      <c r="O13" t="s">
        <v>231</v>
      </c>
      <c r="P13" t="s">
        <v>238</v>
      </c>
      <c r="Q13" t="s">
        <v>239</v>
      </c>
      <c r="R13" t="s">
        <v>10</v>
      </c>
      <c r="S13" t="s">
        <v>21</v>
      </c>
      <c r="T13" t="s">
        <v>234</v>
      </c>
      <c r="U13" t="s">
        <v>235</v>
      </c>
      <c r="V13" t="s">
        <v>176</v>
      </c>
      <c r="X13" t="s">
        <v>238</v>
      </c>
      <c r="Y13" t="s">
        <v>219</v>
      </c>
      <c r="Z13" t="s">
        <v>272</v>
      </c>
      <c r="AA13">
        <v>0.99158608764064737</v>
      </c>
      <c r="AB13">
        <v>154.25505992146384</v>
      </c>
      <c r="AD13" t="s">
        <v>231</v>
      </c>
      <c r="AE13" t="s">
        <v>288</v>
      </c>
      <c r="AF13" t="s">
        <v>289</v>
      </c>
      <c r="AG13" t="s">
        <v>10</v>
      </c>
      <c r="AH13" t="s">
        <v>21</v>
      </c>
      <c r="AI13" t="s">
        <v>235</v>
      </c>
      <c r="AJ13" t="s">
        <v>176</v>
      </c>
      <c r="AL13" t="s">
        <v>288</v>
      </c>
      <c r="AM13" t="s">
        <v>306</v>
      </c>
      <c r="AN13" t="s">
        <v>307</v>
      </c>
      <c r="AO13">
        <v>0.99623091337490355</v>
      </c>
      <c r="AP13">
        <v>69.099921460101669</v>
      </c>
      <c r="AR13" t="s">
        <v>231</v>
      </c>
      <c r="AS13" t="s">
        <v>319</v>
      </c>
      <c r="AT13" t="s">
        <v>320</v>
      </c>
      <c r="AU13" t="s">
        <v>10</v>
      </c>
      <c r="AV13" t="s">
        <v>21</v>
      </c>
      <c r="AW13" t="s">
        <v>235</v>
      </c>
      <c r="AX13" t="s">
        <v>176</v>
      </c>
      <c r="AZ13" t="s">
        <v>319</v>
      </c>
      <c r="BA13" t="s">
        <v>338</v>
      </c>
      <c r="BB13" t="s">
        <v>337</v>
      </c>
      <c r="BC13">
        <v>0.99690850391929853</v>
      </c>
      <c r="BD13">
        <v>56.677428146192774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216</v>
      </c>
      <c r="L14">
        <v>2.9131162937037036</v>
      </c>
      <c r="M14">
        <v>0.1888619262691113</v>
      </c>
      <c r="O14" t="s">
        <v>231</v>
      </c>
      <c r="P14" t="s">
        <v>240</v>
      </c>
      <c r="Q14" t="s">
        <v>241</v>
      </c>
      <c r="R14" t="s">
        <v>10</v>
      </c>
      <c r="S14" t="s">
        <v>21</v>
      </c>
      <c r="T14" t="s">
        <v>234</v>
      </c>
      <c r="U14" t="s">
        <v>235</v>
      </c>
      <c r="V14" t="s">
        <v>176</v>
      </c>
      <c r="X14" t="s">
        <v>240</v>
      </c>
      <c r="Y14" t="s">
        <v>226</v>
      </c>
      <c r="Z14" t="s">
        <v>273</v>
      </c>
      <c r="AA14">
        <v>0.99828853709516652</v>
      </c>
      <c r="AB14">
        <v>31.376819921947806</v>
      </c>
      <c r="AD14" t="s">
        <v>231</v>
      </c>
      <c r="AE14" t="s">
        <v>290</v>
      </c>
      <c r="AF14" t="s">
        <v>291</v>
      </c>
      <c r="AG14" t="s">
        <v>10</v>
      </c>
      <c r="AH14" t="s">
        <v>21</v>
      </c>
      <c r="AI14" t="s">
        <v>235</v>
      </c>
      <c r="AJ14" t="s">
        <v>176</v>
      </c>
      <c r="AL14" t="s">
        <v>290</v>
      </c>
      <c r="AM14" t="s">
        <v>308</v>
      </c>
      <c r="AN14" t="s">
        <v>282</v>
      </c>
      <c r="AO14">
        <v>0.99056449392208212</v>
      </c>
      <c r="AP14">
        <v>172.98427809516085</v>
      </c>
      <c r="AR14" t="s">
        <v>231</v>
      </c>
      <c r="AS14" t="s">
        <v>321</v>
      </c>
      <c r="AT14" t="s">
        <v>322</v>
      </c>
      <c r="AU14" t="s">
        <v>10</v>
      </c>
      <c r="AV14" t="s">
        <v>21</v>
      </c>
      <c r="AW14" t="s">
        <v>235</v>
      </c>
      <c r="AX14" t="s">
        <v>176</v>
      </c>
      <c r="AZ14" t="s">
        <v>321</v>
      </c>
      <c r="BA14" t="s">
        <v>339</v>
      </c>
      <c r="BB14" t="s">
        <v>283</v>
      </c>
      <c r="BC14">
        <v>0.99691010026270699</v>
      </c>
      <c r="BD14">
        <v>56.648161850371878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217</v>
      </c>
      <c r="L15">
        <v>0.45955917566764232</v>
      </c>
      <c r="M15">
        <v>0.20059737849099571</v>
      </c>
      <c r="O15" t="s">
        <v>231</v>
      </c>
      <c r="P15" t="s">
        <v>242</v>
      </c>
      <c r="Q15" t="s">
        <v>243</v>
      </c>
      <c r="R15" t="s">
        <v>10</v>
      </c>
      <c r="S15" t="s">
        <v>21</v>
      </c>
      <c r="T15" t="s">
        <v>234</v>
      </c>
      <c r="U15" t="s">
        <v>235</v>
      </c>
      <c r="V15" t="s">
        <v>176</v>
      </c>
      <c r="X15" t="s">
        <v>242</v>
      </c>
      <c r="Y15" t="s">
        <v>215</v>
      </c>
      <c r="Z15" t="s">
        <v>274</v>
      </c>
      <c r="AA15">
        <v>0.99414237783753501</v>
      </c>
      <c r="AB15">
        <v>107.38973964519224</v>
      </c>
      <c r="AD15" t="s">
        <v>231</v>
      </c>
      <c r="AE15" t="s">
        <v>292</v>
      </c>
      <c r="AF15" t="s">
        <v>293</v>
      </c>
      <c r="AG15" t="s">
        <v>10</v>
      </c>
      <c r="AH15" t="s">
        <v>21</v>
      </c>
      <c r="AI15" t="s">
        <v>235</v>
      </c>
      <c r="AJ15" t="s">
        <v>176</v>
      </c>
      <c r="AL15" t="s">
        <v>292</v>
      </c>
      <c r="AM15" t="s">
        <v>309</v>
      </c>
      <c r="AN15" t="s">
        <v>272</v>
      </c>
      <c r="AO15">
        <v>0.99243615939349938</v>
      </c>
      <c r="AP15">
        <v>138.67041111917737</v>
      </c>
      <c r="AR15" t="s">
        <v>231</v>
      </c>
      <c r="AS15" t="s">
        <v>323</v>
      </c>
      <c r="AT15" t="s">
        <v>324</v>
      </c>
      <c r="AU15" t="s">
        <v>10</v>
      </c>
      <c r="AV15" t="s">
        <v>21</v>
      </c>
      <c r="AW15" t="s">
        <v>235</v>
      </c>
      <c r="AX15" t="s">
        <v>176</v>
      </c>
      <c r="AZ15" t="s">
        <v>323</v>
      </c>
      <c r="BA15" t="s">
        <v>340</v>
      </c>
      <c r="BB15" t="s">
        <v>273</v>
      </c>
      <c r="BC15">
        <v>0.99676013971200861</v>
      </c>
      <c r="BD15">
        <v>59.397438613176035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218</v>
      </c>
      <c r="L16">
        <v>5.4508025680852237</v>
      </c>
      <c r="M16">
        <v>0.2247308202935672</v>
      </c>
      <c r="O16" t="s">
        <v>231</v>
      </c>
      <c r="P16" t="s">
        <v>244</v>
      </c>
      <c r="Q16" t="s">
        <v>245</v>
      </c>
      <c r="R16" t="s">
        <v>10</v>
      </c>
      <c r="S16" t="s">
        <v>21</v>
      </c>
      <c r="T16" t="s">
        <v>234</v>
      </c>
      <c r="U16" t="s">
        <v>235</v>
      </c>
      <c r="V16" t="s">
        <v>176</v>
      </c>
      <c r="X16" t="s">
        <v>244</v>
      </c>
      <c r="Y16" t="s">
        <v>217</v>
      </c>
      <c r="Z16" t="s">
        <v>270</v>
      </c>
      <c r="AA16">
        <v>0.9971980297205405</v>
      </c>
      <c r="AB16">
        <v>51.369455123424352</v>
      </c>
      <c r="AD16" t="s">
        <v>231</v>
      </c>
      <c r="AE16" t="s">
        <v>294</v>
      </c>
      <c r="AF16" t="s">
        <v>295</v>
      </c>
      <c r="AG16" t="s">
        <v>10</v>
      </c>
      <c r="AH16" t="s">
        <v>21</v>
      </c>
      <c r="AI16" t="s">
        <v>235</v>
      </c>
      <c r="AJ16" t="s">
        <v>176</v>
      </c>
      <c r="AL16" t="s">
        <v>294</v>
      </c>
      <c r="AM16" t="s">
        <v>310</v>
      </c>
      <c r="AN16" t="s">
        <v>270</v>
      </c>
      <c r="AO16">
        <v>0.99564542867887518</v>
      </c>
      <c r="AP16">
        <v>79.833807553954642</v>
      </c>
      <c r="AR16" t="s">
        <v>231</v>
      </c>
      <c r="AS16" t="s">
        <v>325</v>
      </c>
      <c r="AT16" t="s">
        <v>326</v>
      </c>
      <c r="AU16" t="s">
        <v>10</v>
      </c>
      <c r="AV16" t="s">
        <v>21</v>
      </c>
      <c r="AW16" t="s">
        <v>235</v>
      </c>
      <c r="AX16" t="s">
        <v>176</v>
      </c>
      <c r="AZ16" t="s">
        <v>325</v>
      </c>
      <c r="BA16" t="s">
        <v>341</v>
      </c>
      <c r="BB16" t="s">
        <v>307</v>
      </c>
      <c r="BC16">
        <v>0.99433636733393604</v>
      </c>
      <c r="BD16">
        <v>103.83326554450551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219</v>
      </c>
      <c r="L17">
        <v>5.5781753181080829</v>
      </c>
      <c r="M17">
        <v>0.21908331763031111</v>
      </c>
      <c r="O17" t="s">
        <v>231</v>
      </c>
      <c r="P17" t="s">
        <v>246</v>
      </c>
      <c r="Q17" t="s">
        <v>247</v>
      </c>
      <c r="R17" t="s">
        <v>10</v>
      </c>
      <c r="S17" t="s">
        <v>21</v>
      </c>
      <c r="T17" t="s">
        <v>234</v>
      </c>
      <c r="U17" t="s">
        <v>235</v>
      </c>
      <c r="V17" t="s">
        <v>176</v>
      </c>
      <c r="X17" t="s">
        <v>246</v>
      </c>
      <c r="Y17" t="s">
        <v>227</v>
      </c>
      <c r="Z17" t="s">
        <v>275</v>
      </c>
      <c r="AA17">
        <v>0.99772747376800408</v>
      </c>
      <c r="AB17">
        <v>41.662980919925118</v>
      </c>
      <c r="AD17" t="s">
        <v>231</v>
      </c>
      <c r="AE17" t="s">
        <v>296</v>
      </c>
      <c r="AF17" t="s">
        <v>297</v>
      </c>
      <c r="AG17" t="s">
        <v>10</v>
      </c>
      <c r="AH17" t="s">
        <v>21</v>
      </c>
      <c r="AI17" t="s">
        <v>235</v>
      </c>
      <c r="AJ17" t="s">
        <v>176</v>
      </c>
      <c r="AL17" t="s">
        <v>296</v>
      </c>
      <c r="AM17" t="s">
        <v>311</v>
      </c>
      <c r="AN17" t="s">
        <v>282</v>
      </c>
      <c r="AO17">
        <v>0.99392958354540772</v>
      </c>
      <c r="AP17">
        <v>111.29096833419247</v>
      </c>
      <c r="AR17" t="s">
        <v>231</v>
      </c>
      <c r="AS17" t="s">
        <v>327</v>
      </c>
      <c r="AT17" t="s">
        <v>328</v>
      </c>
      <c r="AU17" t="s">
        <v>10</v>
      </c>
      <c r="AV17" t="s">
        <v>21</v>
      </c>
      <c r="AW17" t="s">
        <v>235</v>
      </c>
      <c r="AX17" t="s">
        <v>176</v>
      </c>
      <c r="AZ17" t="s">
        <v>327</v>
      </c>
      <c r="BA17" t="s">
        <v>342</v>
      </c>
      <c r="BB17" t="s">
        <v>283</v>
      </c>
      <c r="BC17">
        <v>0.99602973628442149</v>
      </c>
      <c r="BD17">
        <v>72.788168118939723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220</v>
      </c>
      <c r="L18">
        <v>1.7014016576357869</v>
      </c>
      <c r="M18">
        <v>0.20059580192037171</v>
      </c>
      <c r="O18" t="s">
        <v>231</v>
      </c>
      <c r="P18" t="s">
        <v>248</v>
      </c>
      <c r="Q18" t="s">
        <v>249</v>
      </c>
      <c r="R18" t="s">
        <v>10</v>
      </c>
      <c r="S18" t="s">
        <v>21</v>
      </c>
      <c r="T18" t="s">
        <v>234</v>
      </c>
      <c r="U18" t="s">
        <v>235</v>
      </c>
      <c r="V18" t="s">
        <v>176</v>
      </c>
      <c r="X18" t="s">
        <v>248</v>
      </c>
      <c r="Y18" t="s">
        <v>225</v>
      </c>
      <c r="Z18" t="s">
        <v>276</v>
      </c>
      <c r="AA18">
        <v>0.99639529182713771</v>
      </c>
      <c r="AB18">
        <v>66.086316502475782</v>
      </c>
      <c r="AD18" t="s">
        <v>231</v>
      </c>
      <c r="AE18" t="s">
        <v>298</v>
      </c>
      <c r="AF18" t="s">
        <v>299</v>
      </c>
      <c r="AG18" t="s">
        <v>10</v>
      </c>
      <c r="AH18" t="s">
        <v>21</v>
      </c>
      <c r="AI18" t="s">
        <v>235</v>
      </c>
      <c r="AJ18" t="s">
        <v>176</v>
      </c>
      <c r="AL18" t="s">
        <v>298</v>
      </c>
      <c r="AM18" t="s">
        <v>312</v>
      </c>
      <c r="AN18" t="s">
        <v>282</v>
      </c>
      <c r="AO18">
        <v>0.99594979093510827</v>
      </c>
      <c r="AP18">
        <v>74.253832856349035</v>
      </c>
      <c r="AR18" t="s">
        <v>231</v>
      </c>
      <c r="AS18" t="s">
        <v>329</v>
      </c>
      <c r="AT18" t="s">
        <v>330</v>
      </c>
      <c r="AU18" t="s">
        <v>10</v>
      </c>
      <c r="AV18" t="s">
        <v>21</v>
      </c>
      <c r="AW18" t="s">
        <v>235</v>
      </c>
      <c r="AX18" t="s">
        <v>176</v>
      </c>
      <c r="AZ18" t="s">
        <v>329</v>
      </c>
      <c r="BA18" t="s">
        <v>343</v>
      </c>
      <c r="BB18" t="s">
        <v>337</v>
      </c>
      <c r="BC18">
        <v>0.99905788912759763</v>
      </c>
      <c r="BD18">
        <v>17.272032660709108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221</v>
      </c>
      <c r="L19">
        <v>0.99832858608970698</v>
      </c>
      <c r="M19">
        <v>0.20625544422971981</v>
      </c>
      <c r="O19" t="s">
        <v>231</v>
      </c>
      <c r="P19" t="s">
        <v>250</v>
      </c>
      <c r="Q19" t="s">
        <v>251</v>
      </c>
      <c r="R19" t="s">
        <v>10</v>
      </c>
      <c r="S19" t="s">
        <v>21</v>
      </c>
      <c r="T19" t="s">
        <v>234</v>
      </c>
      <c r="U19" t="s">
        <v>235</v>
      </c>
      <c r="V19" t="s">
        <v>176</v>
      </c>
      <c r="X19" t="s">
        <v>250</v>
      </c>
      <c r="Y19" t="s">
        <v>218</v>
      </c>
      <c r="Z19" t="s">
        <v>274</v>
      </c>
      <c r="AA19">
        <v>0.9973925893911626</v>
      </c>
      <c r="AB19">
        <v>47.802527828685051</v>
      </c>
      <c r="AD19" t="s">
        <v>231</v>
      </c>
      <c r="AE19" t="s">
        <v>300</v>
      </c>
      <c r="AF19" t="s">
        <v>301</v>
      </c>
      <c r="AG19" t="s">
        <v>10</v>
      </c>
      <c r="AH19" t="s">
        <v>21</v>
      </c>
      <c r="AI19" t="s">
        <v>235</v>
      </c>
      <c r="AJ19" t="s">
        <v>176</v>
      </c>
      <c r="AL19" t="s">
        <v>300</v>
      </c>
      <c r="AM19" t="s">
        <v>313</v>
      </c>
      <c r="AN19" t="s">
        <v>283</v>
      </c>
      <c r="AO19">
        <v>0.99636177435061024</v>
      </c>
      <c r="AP19">
        <v>66.700803572145503</v>
      </c>
      <c r="AR19" t="s">
        <v>231</v>
      </c>
      <c r="AS19" t="s">
        <v>331</v>
      </c>
      <c r="AT19" t="s">
        <v>332</v>
      </c>
      <c r="AU19" t="s">
        <v>10</v>
      </c>
      <c r="AV19" t="s">
        <v>21</v>
      </c>
      <c r="AW19" t="s">
        <v>235</v>
      </c>
      <c r="AX19" t="s">
        <v>176</v>
      </c>
      <c r="AZ19" t="s">
        <v>331</v>
      </c>
      <c r="BA19" t="s">
        <v>344</v>
      </c>
      <c r="BB19" t="s">
        <v>283</v>
      </c>
      <c r="BC19">
        <v>0.9953748577774012</v>
      </c>
      <c r="BD19">
        <v>84.794274080978198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222</v>
      </c>
      <c r="L20">
        <v>23.351643102238398</v>
      </c>
      <c r="M20">
        <v>0.1816891757244441</v>
      </c>
      <c r="O20" t="s">
        <v>231</v>
      </c>
      <c r="P20" t="s">
        <v>252</v>
      </c>
      <c r="Q20" t="s">
        <v>253</v>
      </c>
      <c r="R20" t="s">
        <v>10</v>
      </c>
      <c r="S20" t="s">
        <v>21</v>
      </c>
      <c r="T20" t="s">
        <v>234</v>
      </c>
      <c r="U20" t="s">
        <v>235</v>
      </c>
      <c r="V20" t="s">
        <v>176</v>
      </c>
      <c r="X20" t="s">
        <v>252</v>
      </c>
      <c r="Y20" t="s">
        <v>220</v>
      </c>
      <c r="Z20" t="s">
        <v>277</v>
      </c>
      <c r="AA20">
        <v>0.99127486150655841</v>
      </c>
      <c r="AB20">
        <v>159.96087237976209</v>
      </c>
      <c r="AD20" t="s">
        <v>231</v>
      </c>
      <c r="AE20" t="s">
        <v>302</v>
      </c>
      <c r="AF20" t="s">
        <v>303</v>
      </c>
      <c r="AG20" t="s">
        <v>10</v>
      </c>
      <c r="AH20" t="s">
        <v>21</v>
      </c>
      <c r="AI20" t="s">
        <v>235</v>
      </c>
      <c r="AJ20" t="s">
        <v>176</v>
      </c>
      <c r="AL20" t="s">
        <v>302</v>
      </c>
      <c r="AM20" t="s">
        <v>314</v>
      </c>
      <c r="AN20" t="s">
        <v>270</v>
      </c>
      <c r="AO20">
        <v>0.99014192318757677</v>
      </c>
      <c r="AP20">
        <v>180.73140822775915</v>
      </c>
      <c r="AR20" t="s">
        <v>231</v>
      </c>
      <c r="AS20" t="s">
        <v>333</v>
      </c>
      <c r="AT20" t="s">
        <v>334</v>
      </c>
      <c r="AU20" t="s">
        <v>10</v>
      </c>
      <c r="AV20" t="s">
        <v>21</v>
      </c>
      <c r="AW20" t="s">
        <v>235</v>
      </c>
      <c r="AX20" t="s">
        <v>176</v>
      </c>
      <c r="AZ20" t="s">
        <v>333</v>
      </c>
      <c r="BA20" t="s">
        <v>345</v>
      </c>
      <c r="BB20" t="s">
        <v>283</v>
      </c>
      <c r="BC20">
        <v>0.99418918260895706</v>
      </c>
      <c r="BD20">
        <v>106.53165216912117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223</v>
      </c>
      <c r="L21">
        <v>15.734325405672003</v>
      </c>
      <c r="M21">
        <v>0.18096171519007551</v>
      </c>
      <c r="O21" t="s">
        <v>231</v>
      </c>
      <c r="P21" t="s">
        <v>254</v>
      </c>
      <c r="Q21" t="s">
        <v>255</v>
      </c>
      <c r="R21" t="s">
        <v>10</v>
      </c>
      <c r="S21" t="s">
        <v>21</v>
      </c>
      <c r="T21" t="s">
        <v>234</v>
      </c>
      <c r="U21" t="s">
        <v>235</v>
      </c>
      <c r="V21" t="s">
        <v>176</v>
      </c>
      <c r="X21" t="s">
        <v>254</v>
      </c>
      <c r="Y21" t="s">
        <v>214</v>
      </c>
      <c r="Z21" t="s">
        <v>278</v>
      </c>
      <c r="AA21">
        <v>0.99144816104289235</v>
      </c>
      <c r="AB21">
        <v>156.78371421363983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224</v>
      </c>
      <c r="L22">
        <v>12.851338227113853</v>
      </c>
      <c r="M22">
        <v>0.1690228828922179</v>
      </c>
      <c r="O22" t="s">
        <v>231</v>
      </c>
      <c r="P22" t="s">
        <v>256</v>
      </c>
      <c r="Q22" t="s">
        <v>257</v>
      </c>
      <c r="R22" t="s">
        <v>10</v>
      </c>
      <c r="S22" t="s">
        <v>21</v>
      </c>
      <c r="T22" t="s">
        <v>234</v>
      </c>
      <c r="U22" t="s">
        <v>235</v>
      </c>
      <c r="V22" t="s">
        <v>176</v>
      </c>
      <c r="X22" t="s">
        <v>256</v>
      </c>
      <c r="Y22" t="s">
        <v>221</v>
      </c>
      <c r="Z22" t="s">
        <v>279</v>
      </c>
      <c r="AA22">
        <v>0.99184937635213322</v>
      </c>
      <c r="AB22">
        <v>149.42810021089159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225</v>
      </c>
      <c r="L23">
        <v>14.383524908374763</v>
      </c>
      <c r="M23">
        <v>0.17262420289104979</v>
      </c>
      <c r="O23" t="s">
        <v>231</v>
      </c>
      <c r="P23" t="s">
        <v>258</v>
      </c>
      <c r="Q23" t="s">
        <v>259</v>
      </c>
      <c r="R23" t="s">
        <v>10</v>
      </c>
      <c r="S23" t="s">
        <v>21</v>
      </c>
      <c r="T23" t="s">
        <v>234</v>
      </c>
      <c r="U23" t="s">
        <v>235</v>
      </c>
      <c r="V23" t="s">
        <v>176</v>
      </c>
      <c r="X23" t="s">
        <v>258</v>
      </c>
      <c r="Y23" t="s">
        <v>224</v>
      </c>
      <c r="Z23" t="s">
        <v>276</v>
      </c>
      <c r="AA23">
        <v>0.99450622481426521</v>
      </c>
      <c r="AB23">
        <v>100.71921173847173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226</v>
      </c>
      <c r="L24">
        <v>7.3636521562250019</v>
      </c>
      <c r="M24">
        <v>0.16828684043143469</v>
      </c>
      <c r="O24" t="s">
        <v>231</v>
      </c>
      <c r="P24" t="s">
        <v>260</v>
      </c>
      <c r="Q24" t="s">
        <v>261</v>
      </c>
      <c r="R24" t="s">
        <v>10</v>
      </c>
      <c r="S24" t="s">
        <v>21</v>
      </c>
      <c r="T24" t="s">
        <v>234</v>
      </c>
      <c r="U24" t="s">
        <v>235</v>
      </c>
      <c r="V24" t="s">
        <v>176</v>
      </c>
      <c r="X24" t="s">
        <v>260</v>
      </c>
      <c r="Y24" t="s">
        <v>222</v>
      </c>
      <c r="Z24" t="s">
        <v>280</v>
      </c>
      <c r="AA24">
        <v>0.99453161000209944</v>
      </c>
      <c r="AB24">
        <v>100.25381662817612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227</v>
      </c>
      <c r="L25">
        <v>9.7013112420601164</v>
      </c>
      <c r="M25">
        <v>0.17729689588529829</v>
      </c>
      <c r="O25" t="s">
        <v>231</v>
      </c>
      <c r="P25" t="s">
        <v>262</v>
      </c>
      <c r="Q25" t="s">
        <v>263</v>
      </c>
      <c r="R25" t="s">
        <v>10</v>
      </c>
      <c r="S25" t="s">
        <v>21</v>
      </c>
      <c r="T25" t="s">
        <v>234</v>
      </c>
      <c r="U25" t="s">
        <v>235</v>
      </c>
      <c r="V25" t="s">
        <v>176</v>
      </c>
      <c r="X25" t="s">
        <v>262</v>
      </c>
      <c r="Y25" t="s">
        <v>229</v>
      </c>
      <c r="Z25" t="s">
        <v>281</v>
      </c>
      <c r="AA25">
        <v>0.99575843323891533</v>
      </c>
      <c r="AB25">
        <v>77.762057286552078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228</v>
      </c>
      <c r="L26">
        <v>5.4439838273616257</v>
      </c>
      <c r="M26">
        <v>0.20073066539683909</v>
      </c>
      <c r="O26" t="s">
        <v>231</v>
      </c>
      <c r="P26" t="s">
        <v>264</v>
      </c>
      <c r="Q26" t="s">
        <v>265</v>
      </c>
      <c r="R26" t="s">
        <v>10</v>
      </c>
      <c r="S26" t="s">
        <v>21</v>
      </c>
      <c r="T26" t="s">
        <v>234</v>
      </c>
      <c r="U26" t="s">
        <v>235</v>
      </c>
      <c r="V26" t="s">
        <v>176</v>
      </c>
      <c r="X26" t="s">
        <v>264</v>
      </c>
      <c r="Y26" t="s">
        <v>213</v>
      </c>
      <c r="Z26" t="s">
        <v>282</v>
      </c>
      <c r="AA26">
        <v>0.99497862751910049</v>
      </c>
      <c r="AB26">
        <v>92.058495483157941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229</v>
      </c>
      <c r="L27">
        <v>10.378511211039239</v>
      </c>
      <c r="M27">
        <v>0.19760162176343721</v>
      </c>
      <c r="O27" t="s">
        <v>231</v>
      </c>
      <c r="P27" t="s">
        <v>266</v>
      </c>
      <c r="Q27" t="s">
        <v>267</v>
      </c>
      <c r="R27" t="s">
        <v>10</v>
      </c>
      <c r="S27" t="s">
        <v>21</v>
      </c>
      <c r="T27" t="s">
        <v>234</v>
      </c>
      <c r="U27" t="s">
        <v>235</v>
      </c>
      <c r="V27" t="s">
        <v>176</v>
      </c>
      <c r="X27" t="s">
        <v>266</v>
      </c>
      <c r="Y27" t="s">
        <v>228</v>
      </c>
      <c r="Z27" t="s">
        <v>283</v>
      </c>
      <c r="AA27">
        <v>0.99551622817514029</v>
      </c>
      <c r="AB27">
        <v>82.202483455762263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5E114-BCFB-438D-A34C-72F17806C79D}">
  <dimension ref="B9:Z20"/>
  <sheetViews>
    <sheetView workbookViewId="0"/>
  </sheetViews>
  <sheetFormatPr defaultRowHeight="14.25"/>
  <sheetData>
    <row r="9" spans="2:26">
      <c r="B9" t="s">
        <v>164</v>
      </c>
      <c r="J9" t="s">
        <v>209</v>
      </c>
      <c r="O9" t="s">
        <v>164</v>
      </c>
      <c r="W9" t="s">
        <v>209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210</v>
      </c>
      <c r="L10" t="s">
        <v>211</v>
      </c>
      <c r="M10" t="s">
        <v>212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210</v>
      </c>
      <c r="Y10" t="s">
        <v>211</v>
      </c>
      <c r="Z10" t="s">
        <v>212</v>
      </c>
    </row>
    <row r="11" spans="2:26">
      <c r="B11" t="s">
        <v>172</v>
      </c>
      <c r="C11" t="s">
        <v>346</v>
      </c>
      <c r="D11" t="s">
        <v>347</v>
      </c>
      <c r="E11" t="s">
        <v>10</v>
      </c>
      <c r="F11" t="s">
        <v>21</v>
      </c>
      <c r="G11" t="s">
        <v>175</v>
      </c>
      <c r="H11" t="s">
        <v>176</v>
      </c>
      <c r="J11" t="s">
        <v>346</v>
      </c>
      <c r="K11" t="s">
        <v>306</v>
      </c>
      <c r="L11">
        <v>0.23559225287113886</v>
      </c>
      <c r="M11">
        <v>0.15574625141676851</v>
      </c>
      <c r="O11" t="s">
        <v>172</v>
      </c>
      <c r="P11" t="s">
        <v>366</v>
      </c>
      <c r="Q11" t="s">
        <v>367</v>
      </c>
      <c r="R11" t="s">
        <v>10</v>
      </c>
      <c r="S11" t="s">
        <v>21</v>
      </c>
      <c r="T11" t="s">
        <v>175</v>
      </c>
      <c r="U11" t="s">
        <v>176</v>
      </c>
      <c r="W11" t="s">
        <v>366</v>
      </c>
      <c r="X11" t="s">
        <v>340</v>
      </c>
      <c r="Y11">
        <v>0.68774999999999997</v>
      </c>
      <c r="Z11">
        <v>7.2329163401511104E-2</v>
      </c>
    </row>
    <row r="12" spans="2:26">
      <c r="B12" t="s">
        <v>172</v>
      </c>
      <c r="C12" t="s">
        <v>348</v>
      </c>
      <c r="D12" t="s">
        <v>349</v>
      </c>
      <c r="E12" t="s">
        <v>10</v>
      </c>
      <c r="F12" t="s">
        <v>21</v>
      </c>
      <c r="G12" t="s">
        <v>175</v>
      </c>
      <c r="H12" t="s">
        <v>176</v>
      </c>
      <c r="J12" t="s">
        <v>348</v>
      </c>
      <c r="K12" t="s">
        <v>313</v>
      </c>
      <c r="L12">
        <v>1.6401923188479914</v>
      </c>
      <c r="M12">
        <v>0.13054619748659951</v>
      </c>
      <c r="O12" t="s">
        <v>172</v>
      </c>
      <c r="P12" t="s">
        <v>368</v>
      </c>
      <c r="Q12" t="s">
        <v>369</v>
      </c>
      <c r="R12" t="s">
        <v>10</v>
      </c>
      <c r="S12" t="s">
        <v>21</v>
      </c>
      <c r="T12" t="s">
        <v>175</v>
      </c>
      <c r="U12" t="s">
        <v>176</v>
      </c>
      <c r="W12" t="s">
        <v>368</v>
      </c>
      <c r="X12" t="s">
        <v>336</v>
      </c>
      <c r="Y12">
        <v>5.8777499999999998</v>
      </c>
      <c r="Z12">
        <v>0.1141464378982907</v>
      </c>
    </row>
    <row r="13" spans="2:26">
      <c r="B13" t="s">
        <v>172</v>
      </c>
      <c r="C13" t="s">
        <v>350</v>
      </c>
      <c r="D13" t="s">
        <v>351</v>
      </c>
      <c r="E13" t="s">
        <v>10</v>
      </c>
      <c r="F13" t="s">
        <v>21</v>
      </c>
      <c r="G13" t="s">
        <v>175</v>
      </c>
      <c r="H13" t="s">
        <v>176</v>
      </c>
      <c r="J13" t="s">
        <v>350</v>
      </c>
      <c r="K13" t="s">
        <v>311</v>
      </c>
      <c r="L13">
        <v>2.4594087827359172</v>
      </c>
      <c r="M13">
        <v>0.138591083672817</v>
      </c>
      <c r="O13" t="s">
        <v>172</v>
      </c>
      <c r="P13" t="s">
        <v>370</v>
      </c>
      <c r="Q13" t="s">
        <v>371</v>
      </c>
      <c r="R13" t="s">
        <v>10</v>
      </c>
      <c r="S13" t="s">
        <v>21</v>
      </c>
      <c r="T13" t="s">
        <v>175</v>
      </c>
      <c r="U13" t="s">
        <v>176</v>
      </c>
      <c r="W13" t="s">
        <v>370</v>
      </c>
      <c r="X13" t="s">
        <v>343</v>
      </c>
      <c r="Y13">
        <v>1.1617500000000001</v>
      </c>
      <c r="Z13">
        <v>7.4736360850443495E-2</v>
      </c>
    </row>
    <row r="14" spans="2:26">
      <c r="B14" t="s">
        <v>172</v>
      </c>
      <c r="C14" t="s">
        <v>352</v>
      </c>
      <c r="D14" t="s">
        <v>353</v>
      </c>
      <c r="E14" t="s">
        <v>10</v>
      </c>
      <c r="F14" t="s">
        <v>21</v>
      </c>
      <c r="G14" t="s">
        <v>175</v>
      </c>
      <c r="H14" t="s">
        <v>176</v>
      </c>
      <c r="J14" t="s">
        <v>352</v>
      </c>
      <c r="K14" t="s">
        <v>308</v>
      </c>
      <c r="L14">
        <v>1.7739898665785649</v>
      </c>
      <c r="M14">
        <v>0.1367245875238268</v>
      </c>
      <c r="O14" t="s">
        <v>172</v>
      </c>
      <c r="P14" t="s">
        <v>372</v>
      </c>
      <c r="Q14" t="s">
        <v>373</v>
      </c>
      <c r="R14" t="s">
        <v>10</v>
      </c>
      <c r="S14" t="s">
        <v>21</v>
      </c>
      <c r="T14" t="s">
        <v>175</v>
      </c>
      <c r="U14" t="s">
        <v>176</v>
      </c>
      <c r="W14" t="s">
        <v>372</v>
      </c>
      <c r="X14" t="s">
        <v>338</v>
      </c>
      <c r="Y14">
        <v>9.75E-3</v>
      </c>
      <c r="Z14">
        <v>4.8958495358754801E-2</v>
      </c>
    </row>
    <row r="15" spans="2:26">
      <c r="B15" t="s">
        <v>172</v>
      </c>
      <c r="C15" t="s">
        <v>354</v>
      </c>
      <c r="D15" t="s">
        <v>355</v>
      </c>
      <c r="E15" t="s">
        <v>10</v>
      </c>
      <c r="F15" t="s">
        <v>21</v>
      </c>
      <c r="G15" t="s">
        <v>175</v>
      </c>
      <c r="H15" t="s">
        <v>176</v>
      </c>
      <c r="J15" t="s">
        <v>354</v>
      </c>
      <c r="K15" t="s">
        <v>312</v>
      </c>
      <c r="L15">
        <v>1.5841720316427668</v>
      </c>
      <c r="M15">
        <v>0.14296496673697209</v>
      </c>
      <c r="O15" t="s">
        <v>172</v>
      </c>
      <c r="P15" t="s">
        <v>374</v>
      </c>
      <c r="Q15" t="s">
        <v>375</v>
      </c>
      <c r="R15" t="s">
        <v>10</v>
      </c>
      <c r="S15" t="s">
        <v>21</v>
      </c>
      <c r="T15" t="s">
        <v>175</v>
      </c>
      <c r="U15" t="s">
        <v>176</v>
      </c>
      <c r="W15" t="s">
        <v>374</v>
      </c>
      <c r="X15" t="s">
        <v>344</v>
      </c>
      <c r="Y15">
        <v>1.2817499999999999</v>
      </c>
      <c r="Z15">
        <v>0.18836185226208679</v>
      </c>
    </row>
    <row r="16" spans="2:26">
      <c r="B16" t="s">
        <v>172</v>
      </c>
      <c r="C16" t="s">
        <v>356</v>
      </c>
      <c r="D16" t="s">
        <v>357</v>
      </c>
      <c r="E16" t="s">
        <v>10</v>
      </c>
      <c r="F16" t="s">
        <v>21</v>
      </c>
      <c r="G16" t="s">
        <v>175</v>
      </c>
      <c r="H16" t="s">
        <v>176</v>
      </c>
      <c r="J16" t="s">
        <v>356</v>
      </c>
      <c r="K16" t="s">
        <v>310</v>
      </c>
      <c r="L16">
        <v>0.27801729674041986</v>
      </c>
      <c r="M16">
        <v>8.17578796222177E-2</v>
      </c>
      <c r="O16" t="s">
        <v>172</v>
      </c>
      <c r="P16" t="s">
        <v>376</v>
      </c>
      <c r="Q16" t="s">
        <v>377</v>
      </c>
      <c r="R16" t="s">
        <v>10</v>
      </c>
      <c r="S16" t="s">
        <v>21</v>
      </c>
      <c r="T16" t="s">
        <v>175</v>
      </c>
      <c r="U16" t="s">
        <v>176</v>
      </c>
      <c r="W16" t="s">
        <v>376</v>
      </c>
      <c r="X16" t="s">
        <v>342</v>
      </c>
      <c r="Y16">
        <v>3.0644999999999998</v>
      </c>
      <c r="Z16">
        <v>0.16451375594409909</v>
      </c>
    </row>
    <row r="17" spans="2:26">
      <c r="B17" t="s">
        <v>172</v>
      </c>
      <c r="C17" t="s">
        <v>358</v>
      </c>
      <c r="D17" t="s">
        <v>359</v>
      </c>
      <c r="E17" t="s">
        <v>10</v>
      </c>
      <c r="F17" t="s">
        <v>21</v>
      </c>
      <c r="G17" t="s">
        <v>175</v>
      </c>
      <c r="H17" t="s">
        <v>176</v>
      </c>
      <c r="J17" t="s">
        <v>358</v>
      </c>
      <c r="K17" t="s">
        <v>305</v>
      </c>
      <c r="L17">
        <v>0.41527678836292919</v>
      </c>
      <c r="M17">
        <v>0.13030666736773841</v>
      </c>
      <c r="O17" t="s">
        <v>172</v>
      </c>
      <c r="P17" t="s">
        <v>378</v>
      </c>
      <c r="Q17" t="s">
        <v>379</v>
      </c>
      <c r="R17" t="s">
        <v>10</v>
      </c>
      <c r="S17" t="s">
        <v>21</v>
      </c>
      <c r="T17" t="s">
        <v>175</v>
      </c>
      <c r="U17" t="s">
        <v>176</v>
      </c>
      <c r="W17" t="s">
        <v>378</v>
      </c>
      <c r="X17" t="s">
        <v>339</v>
      </c>
      <c r="Y17">
        <v>0.44024999999999997</v>
      </c>
      <c r="Z17">
        <v>0.1204251734949633</v>
      </c>
    </row>
    <row r="18" spans="2:26">
      <c r="B18" t="s">
        <v>172</v>
      </c>
      <c r="C18" t="s">
        <v>360</v>
      </c>
      <c r="D18" t="s">
        <v>361</v>
      </c>
      <c r="E18" t="s">
        <v>10</v>
      </c>
      <c r="F18" t="s">
        <v>21</v>
      </c>
      <c r="G18" t="s">
        <v>175</v>
      </c>
      <c r="H18" t="s">
        <v>176</v>
      </c>
      <c r="J18" t="s">
        <v>360</v>
      </c>
      <c r="K18" t="s">
        <v>314</v>
      </c>
      <c r="L18">
        <v>0.33510531500553531</v>
      </c>
      <c r="M18">
        <v>0.112497462731905</v>
      </c>
      <c r="O18" t="s">
        <v>172</v>
      </c>
      <c r="P18" t="s">
        <v>380</v>
      </c>
      <c r="Q18" t="s">
        <v>381</v>
      </c>
      <c r="R18" t="s">
        <v>10</v>
      </c>
      <c r="S18" t="s">
        <v>21</v>
      </c>
      <c r="T18" t="s">
        <v>175</v>
      </c>
      <c r="U18" t="s">
        <v>176</v>
      </c>
      <c r="W18" t="s">
        <v>380</v>
      </c>
      <c r="X18" t="s">
        <v>335</v>
      </c>
      <c r="Y18">
        <v>3.351</v>
      </c>
      <c r="Z18">
        <v>0.1530665648697711</v>
      </c>
    </row>
    <row r="19" spans="2:26">
      <c r="B19" t="s">
        <v>172</v>
      </c>
      <c r="C19" t="s">
        <v>362</v>
      </c>
      <c r="D19" t="s">
        <v>363</v>
      </c>
      <c r="E19" t="s">
        <v>10</v>
      </c>
      <c r="F19" t="s">
        <v>21</v>
      </c>
      <c r="G19" t="s">
        <v>175</v>
      </c>
      <c r="H19" t="s">
        <v>176</v>
      </c>
      <c r="J19" t="s">
        <v>362</v>
      </c>
      <c r="K19" t="s">
        <v>309</v>
      </c>
      <c r="L19">
        <v>0.28254977119147401</v>
      </c>
      <c r="M19">
        <v>0.12611948315764901</v>
      </c>
      <c r="O19" t="s">
        <v>172</v>
      </c>
      <c r="P19" t="s">
        <v>382</v>
      </c>
      <c r="Q19" t="s">
        <v>383</v>
      </c>
      <c r="R19" t="s">
        <v>10</v>
      </c>
      <c r="S19" t="s">
        <v>21</v>
      </c>
      <c r="T19" t="s">
        <v>175</v>
      </c>
      <c r="U19" t="s">
        <v>176</v>
      </c>
      <c r="W19" t="s">
        <v>382</v>
      </c>
      <c r="X19" t="s">
        <v>341</v>
      </c>
      <c r="Y19">
        <v>3.87825</v>
      </c>
      <c r="Z19">
        <v>0.13351760963395179</v>
      </c>
    </row>
    <row r="20" spans="2:26">
      <c r="B20" t="s">
        <v>172</v>
      </c>
      <c r="C20" t="s">
        <v>364</v>
      </c>
      <c r="D20" t="s">
        <v>365</v>
      </c>
      <c r="E20" t="s">
        <v>10</v>
      </c>
      <c r="F20" t="s">
        <v>21</v>
      </c>
      <c r="G20" t="s">
        <v>175</v>
      </c>
      <c r="H20" t="s">
        <v>176</v>
      </c>
      <c r="J20" t="s">
        <v>364</v>
      </c>
      <c r="K20" t="s">
        <v>304</v>
      </c>
      <c r="L20">
        <v>0.1973305247660169</v>
      </c>
      <c r="M20">
        <v>0.11730668160799849</v>
      </c>
      <c r="O20" t="s">
        <v>172</v>
      </c>
      <c r="P20" t="s">
        <v>384</v>
      </c>
      <c r="Q20" t="s">
        <v>385</v>
      </c>
      <c r="R20" t="s">
        <v>10</v>
      </c>
      <c r="S20" t="s">
        <v>21</v>
      </c>
      <c r="T20" t="s">
        <v>175</v>
      </c>
      <c r="U20" t="s">
        <v>176</v>
      </c>
      <c r="W20" t="s">
        <v>384</v>
      </c>
      <c r="X20" t="s">
        <v>345</v>
      </c>
      <c r="Y20">
        <v>7.8750000000000001E-2</v>
      </c>
      <c r="Z20">
        <v>6.4923740283645101E-2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A7179-B57A-4C81-ACBC-1668737D82C0}">
  <dimension ref="B9:S128"/>
  <sheetViews>
    <sheetView tabSelected="1" workbookViewId="0"/>
  </sheetViews>
  <sheetFormatPr defaultRowHeight="14.25"/>
  <sheetData>
    <row r="9" spans="2:19">
      <c r="B9" t="s">
        <v>209</v>
      </c>
      <c r="M9" t="s">
        <v>164</v>
      </c>
    </row>
    <row r="10" spans="2:19">
      <c r="B10" t="s">
        <v>166</v>
      </c>
      <c r="C10" t="s">
        <v>268</v>
      </c>
      <c r="D10" t="s">
        <v>210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386</v>
      </c>
      <c r="C11" t="s">
        <v>33</v>
      </c>
      <c r="D11" t="s">
        <v>19</v>
      </c>
      <c r="E11">
        <v>700</v>
      </c>
      <c r="F11">
        <v>700</v>
      </c>
      <c r="J11">
        <v>700</v>
      </c>
      <c r="K11" t="s">
        <v>387</v>
      </c>
      <c r="M11" t="s">
        <v>172</v>
      </c>
      <c r="N11" t="s">
        <v>386</v>
      </c>
      <c r="P11" t="s">
        <v>10</v>
      </c>
      <c r="Q11" t="s">
        <v>21</v>
      </c>
      <c r="R11" t="s">
        <v>235</v>
      </c>
      <c r="S11" t="s">
        <v>414</v>
      </c>
    </row>
    <row r="12" spans="2:19">
      <c r="B12" t="s">
        <v>386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388</v>
      </c>
      <c r="M12" t="s">
        <v>172</v>
      </c>
      <c r="N12" t="s">
        <v>392</v>
      </c>
      <c r="P12" t="s">
        <v>10</v>
      </c>
      <c r="Q12" t="s">
        <v>21</v>
      </c>
      <c r="R12" t="s">
        <v>235</v>
      </c>
      <c r="S12" t="s">
        <v>414</v>
      </c>
    </row>
    <row r="13" spans="2:19">
      <c r="B13" t="s">
        <v>386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389</v>
      </c>
      <c r="M13" t="s">
        <v>415</v>
      </c>
      <c r="N13" t="s">
        <v>393</v>
      </c>
      <c r="P13" t="s">
        <v>10</v>
      </c>
      <c r="Q13" t="s">
        <v>21</v>
      </c>
      <c r="R13" t="s">
        <v>235</v>
      </c>
      <c r="S13" t="s">
        <v>414</v>
      </c>
    </row>
    <row r="14" spans="2:19">
      <c r="B14" t="s">
        <v>386</v>
      </c>
      <c r="C14" t="s">
        <v>33</v>
      </c>
      <c r="D14" t="s">
        <v>19</v>
      </c>
      <c r="E14">
        <v>0.57999999999999996</v>
      </c>
      <c r="F14">
        <v>0.59</v>
      </c>
      <c r="J14">
        <v>0.59</v>
      </c>
      <c r="K14" t="s">
        <v>146</v>
      </c>
      <c r="M14" t="s">
        <v>172</v>
      </c>
      <c r="N14" t="s">
        <v>396</v>
      </c>
      <c r="P14" t="s">
        <v>10</v>
      </c>
      <c r="Q14" t="s">
        <v>21</v>
      </c>
      <c r="R14" t="s">
        <v>235</v>
      </c>
      <c r="S14" t="s">
        <v>414</v>
      </c>
    </row>
    <row r="15" spans="2:19">
      <c r="B15" t="s">
        <v>386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390</v>
      </c>
      <c r="M15" t="s">
        <v>172</v>
      </c>
      <c r="N15" t="s">
        <v>397</v>
      </c>
      <c r="P15" t="s">
        <v>10</v>
      </c>
      <c r="Q15" t="s">
        <v>21</v>
      </c>
      <c r="R15" t="s">
        <v>235</v>
      </c>
      <c r="S15" t="s">
        <v>414</v>
      </c>
    </row>
    <row r="16" spans="2:19">
      <c r="B16" t="s">
        <v>386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391</v>
      </c>
      <c r="M16" t="s">
        <v>172</v>
      </c>
      <c r="N16" t="s">
        <v>399</v>
      </c>
      <c r="P16" t="s">
        <v>10</v>
      </c>
      <c r="Q16" t="s">
        <v>21</v>
      </c>
      <c r="R16" t="s">
        <v>235</v>
      </c>
      <c r="S16" t="s">
        <v>414</v>
      </c>
    </row>
    <row r="17" spans="2:19">
      <c r="B17" t="s">
        <v>392</v>
      </c>
      <c r="C17" t="s">
        <v>33</v>
      </c>
      <c r="D17" t="s">
        <v>19</v>
      </c>
      <c r="E17">
        <v>400</v>
      </c>
      <c r="F17">
        <v>400</v>
      </c>
      <c r="J17">
        <v>400</v>
      </c>
      <c r="K17" t="s">
        <v>387</v>
      </c>
      <c r="M17" t="s">
        <v>172</v>
      </c>
      <c r="N17" t="s">
        <v>400</v>
      </c>
      <c r="P17" t="s">
        <v>10</v>
      </c>
      <c r="Q17" t="s">
        <v>21</v>
      </c>
      <c r="R17" t="s">
        <v>235</v>
      </c>
      <c r="S17" t="s">
        <v>414</v>
      </c>
    </row>
    <row r="18" spans="2:19">
      <c r="B18" t="s">
        <v>392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388</v>
      </c>
      <c r="M18" t="s">
        <v>172</v>
      </c>
      <c r="N18" t="s">
        <v>401</v>
      </c>
      <c r="P18" t="s">
        <v>10</v>
      </c>
      <c r="Q18" t="s">
        <v>21</v>
      </c>
      <c r="R18" t="s">
        <v>235</v>
      </c>
      <c r="S18" t="s">
        <v>414</v>
      </c>
    </row>
    <row r="19" spans="2:19">
      <c r="B19" t="s">
        <v>392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389</v>
      </c>
      <c r="M19" t="s">
        <v>172</v>
      </c>
      <c r="N19" t="s">
        <v>402</v>
      </c>
      <c r="P19" t="s">
        <v>10</v>
      </c>
      <c r="Q19" t="s">
        <v>21</v>
      </c>
      <c r="R19" t="s">
        <v>235</v>
      </c>
      <c r="S19" t="s">
        <v>414</v>
      </c>
    </row>
    <row r="20" spans="2:19">
      <c r="B20" t="s">
        <v>392</v>
      </c>
      <c r="C20" t="s">
        <v>33</v>
      </c>
      <c r="D20" t="s">
        <v>19</v>
      </c>
      <c r="E20">
        <v>0.38</v>
      </c>
      <c r="F20">
        <v>0.39</v>
      </c>
      <c r="J20">
        <v>0.41</v>
      </c>
      <c r="K20" t="s">
        <v>146</v>
      </c>
      <c r="M20" t="s">
        <v>172</v>
      </c>
      <c r="N20" t="s">
        <v>403</v>
      </c>
      <c r="P20" t="s">
        <v>10</v>
      </c>
      <c r="Q20" t="s">
        <v>21</v>
      </c>
      <c r="R20" t="s">
        <v>235</v>
      </c>
      <c r="S20" t="s">
        <v>414</v>
      </c>
    </row>
    <row r="21" spans="2:19">
      <c r="B21" t="s">
        <v>392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390</v>
      </c>
      <c r="M21" t="s">
        <v>172</v>
      </c>
      <c r="N21" t="s">
        <v>404</v>
      </c>
      <c r="P21" t="s">
        <v>10</v>
      </c>
      <c r="Q21" t="s">
        <v>21</v>
      </c>
      <c r="R21" t="s">
        <v>235</v>
      </c>
      <c r="S21" t="s">
        <v>414</v>
      </c>
    </row>
    <row r="22" spans="2:19">
      <c r="B22" t="s">
        <v>392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391</v>
      </c>
      <c r="M22" t="s">
        <v>172</v>
      </c>
      <c r="N22" t="s">
        <v>405</v>
      </c>
      <c r="P22" t="s">
        <v>10</v>
      </c>
      <c r="Q22" t="s">
        <v>21</v>
      </c>
      <c r="R22" t="s">
        <v>235</v>
      </c>
      <c r="S22" t="s">
        <v>414</v>
      </c>
    </row>
    <row r="23" spans="2:19">
      <c r="B23" t="s">
        <v>393</v>
      </c>
      <c r="C23" t="s">
        <v>33</v>
      </c>
      <c r="D23" t="s">
        <v>394</v>
      </c>
      <c r="E23">
        <v>920</v>
      </c>
      <c r="F23">
        <v>920</v>
      </c>
      <c r="J23">
        <v>920</v>
      </c>
      <c r="K23" t="s">
        <v>387</v>
      </c>
      <c r="M23" t="s">
        <v>172</v>
      </c>
      <c r="N23" t="s">
        <v>406</v>
      </c>
      <c r="P23" t="s">
        <v>10</v>
      </c>
      <c r="Q23" t="s">
        <v>21</v>
      </c>
      <c r="R23" t="s">
        <v>235</v>
      </c>
      <c r="S23" t="s">
        <v>414</v>
      </c>
    </row>
    <row r="24" spans="2:19">
      <c r="B24" t="s">
        <v>393</v>
      </c>
      <c r="C24" t="s">
        <v>33</v>
      </c>
      <c r="D24" t="s">
        <v>394</v>
      </c>
      <c r="E24">
        <v>35</v>
      </c>
      <c r="F24">
        <v>35</v>
      </c>
      <c r="J24">
        <v>35</v>
      </c>
      <c r="K24" t="s">
        <v>388</v>
      </c>
      <c r="M24" t="s">
        <v>172</v>
      </c>
      <c r="N24" t="s">
        <v>407</v>
      </c>
      <c r="P24" t="s">
        <v>10</v>
      </c>
      <c r="Q24" t="s">
        <v>21</v>
      </c>
      <c r="R24" t="s">
        <v>235</v>
      </c>
      <c r="S24" t="s">
        <v>414</v>
      </c>
    </row>
    <row r="25" spans="2:19">
      <c r="B25" t="s">
        <v>393</v>
      </c>
      <c r="C25" t="s">
        <v>33</v>
      </c>
      <c r="D25" t="s">
        <v>394</v>
      </c>
      <c r="E25">
        <v>0.69399999999999995</v>
      </c>
      <c r="F25">
        <v>0.69399999999999995</v>
      </c>
      <c r="J25">
        <v>0.69399999999999995</v>
      </c>
      <c r="K25" t="s">
        <v>389</v>
      </c>
      <c r="M25" t="s">
        <v>172</v>
      </c>
      <c r="N25" t="s">
        <v>408</v>
      </c>
      <c r="P25" t="s">
        <v>10</v>
      </c>
      <c r="Q25" t="s">
        <v>21</v>
      </c>
      <c r="R25" t="s">
        <v>235</v>
      </c>
      <c r="S25" t="s">
        <v>414</v>
      </c>
    </row>
    <row r="26" spans="2:19">
      <c r="B26" t="s">
        <v>393</v>
      </c>
      <c r="C26" t="s">
        <v>33</v>
      </c>
      <c r="D26" t="s">
        <v>394</v>
      </c>
      <c r="E26">
        <v>0.52700000000000002</v>
      </c>
      <c r="F26">
        <v>0.53300000000000003</v>
      </c>
      <c r="J26">
        <v>0.54</v>
      </c>
      <c r="K26" t="s">
        <v>146</v>
      </c>
      <c r="M26" t="s">
        <v>172</v>
      </c>
      <c r="N26" t="s">
        <v>410</v>
      </c>
      <c r="P26" t="s">
        <v>10</v>
      </c>
      <c r="Q26" t="s">
        <v>21</v>
      </c>
      <c r="R26" t="s">
        <v>235</v>
      </c>
      <c r="S26" t="s">
        <v>414</v>
      </c>
    </row>
    <row r="27" spans="2:19">
      <c r="B27" t="s">
        <v>393</v>
      </c>
      <c r="C27" t="s">
        <v>33</v>
      </c>
      <c r="D27" t="s">
        <v>394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390</v>
      </c>
      <c r="M27" t="s">
        <v>415</v>
      </c>
      <c r="N27" t="s">
        <v>411</v>
      </c>
      <c r="P27" t="s">
        <v>10</v>
      </c>
      <c r="Q27" t="s">
        <v>21</v>
      </c>
      <c r="R27" t="s">
        <v>235</v>
      </c>
      <c r="S27" t="s">
        <v>414</v>
      </c>
    </row>
    <row r="28" spans="2:19">
      <c r="B28" t="s">
        <v>393</v>
      </c>
      <c r="C28" t="s">
        <v>33</v>
      </c>
      <c r="D28" t="s">
        <v>394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391</v>
      </c>
      <c r="M28" t="s">
        <v>172</v>
      </c>
      <c r="N28" t="s">
        <v>412</v>
      </c>
      <c r="P28" t="s">
        <v>10</v>
      </c>
      <c r="Q28" t="s">
        <v>21</v>
      </c>
      <c r="R28" t="s">
        <v>235</v>
      </c>
      <c r="S28" t="s">
        <v>414</v>
      </c>
    </row>
    <row r="29" spans="2:19">
      <c r="B29" t="s">
        <v>393</v>
      </c>
      <c r="C29" t="s">
        <v>33</v>
      </c>
      <c r="D29" t="s">
        <v>394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395</v>
      </c>
      <c r="M29" t="s">
        <v>172</v>
      </c>
      <c r="N29" t="s">
        <v>413</v>
      </c>
      <c r="P29" t="s">
        <v>10</v>
      </c>
      <c r="Q29" t="s">
        <v>21</v>
      </c>
      <c r="R29" t="s">
        <v>235</v>
      </c>
      <c r="S29" t="s">
        <v>414</v>
      </c>
    </row>
    <row r="30" spans="2:19">
      <c r="B30" t="s">
        <v>396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387</v>
      </c>
    </row>
    <row r="31" spans="2:19">
      <c r="B31" t="s">
        <v>396</v>
      </c>
      <c r="C31" t="s">
        <v>33</v>
      </c>
      <c r="D31" t="s">
        <v>19</v>
      </c>
      <c r="E31">
        <v>150</v>
      </c>
      <c r="F31">
        <v>75</v>
      </c>
      <c r="J31">
        <v>75</v>
      </c>
      <c r="K31" t="s">
        <v>388</v>
      </c>
    </row>
    <row r="32" spans="2:19">
      <c r="B32" t="s">
        <v>396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389</v>
      </c>
    </row>
    <row r="33" spans="2:11">
      <c r="B33" t="s">
        <v>396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396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390</v>
      </c>
    </row>
    <row r="35" spans="2:11">
      <c r="B35" t="s">
        <v>396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391</v>
      </c>
    </row>
    <row r="36" spans="2:11">
      <c r="B36" t="s">
        <v>397</v>
      </c>
      <c r="C36" t="s">
        <v>33</v>
      </c>
      <c r="D36" t="s">
        <v>398</v>
      </c>
      <c r="E36">
        <v>2450</v>
      </c>
      <c r="F36">
        <v>2450</v>
      </c>
      <c r="J36">
        <v>1950</v>
      </c>
      <c r="K36" t="s">
        <v>387</v>
      </c>
    </row>
    <row r="37" spans="2:11">
      <c r="B37" t="s">
        <v>397</v>
      </c>
      <c r="C37" t="s">
        <v>33</v>
      </c>
      <c r="D37" t="s">
        <v>398</v>
      </c>
      <c r="E37">
        <v>85</v>
      </c>
      <c r="F37">
        <v>85</v>
      </c>
      <c r="J37">
        <v>70</v>
      </c>
      <c r="K37" t="s">
        <v>388</v>
      </c>
    </row>
    <row r="38" spans="2:11">
      <c r="B38" t="s">
        <v>397</v>
      </c>
      <c r="C38" t="s">
        <v>33</v>
      </c>
      <c r="D38" t="s">
        <v>398</v>
      </c>
      <c r="E38">
        <v>1.35</v>
      </c>
      <c r="F38">
        <v>1.2</v>
      </c>
      <c r="J38">
        <v>0.98899999999999999</v>
      </c>
      <c r="K38" t="s">
        <v>389</v>
      </c>
    </row>
    <row r="39" spans="2:11">
      <c r="B39" t="s">
        <v>397</v>
      </c>
      <c r="C39" t="s">
        <v>33</v>
      </c>
      <c r="D39" t="s">
        <v>398</v>
      </c>
      <c r="E39">
        <v>0.5</v>
      </c>
      <c r="F39">
        <v>0.51</v>
      </c>
      <c r="J39">
        <v>0.51</v>
      </c>
      <c r="K39" t="s">
        <v>146</v>
      </c>
    </row>
    <row r="40" spans="2:11">
      <c r="B40" t="s">
        <v>397</v>
      </c>
      <c r="C40" t="s">
        <v>33</v>
      </c>
      <c r="D40" t="s">
        <v>398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390</v>
      </c>
    </row>
    <row r="41" spans="2:11">
      <c r="B41" t="s">
        <v>397</v>
      </c>
      <c r="C41" t="s">
        <v>33</v>
      </c>
      <c r="D41" t="s">
        <v>398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391</v>
      </c>
    </row>
    <row r="42" spans="2:11">
      <c r="B42" t="s">
        <v>399</v>
      </c>
      <c r="C42" t="s">
        <v>32</v>
      </c>
      <c r="D42" t="s">
        <v>19</v>
      </c>
      <c r="E42">
        <v>1300</v>
      </c>
      <c r="F42">
        <v>1300</v>
      </c>
      <c r="J42">
        <v>1300</v>
      </c>
      <c r="K42" t="s">
        <v>387</v>
      </c>
    </row>
    <row r="43" spans="2:11">
      <c r="B43" t="s">
        <v>399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388</v>
      </c>
    </row>
    <row r="44" spans="2:11">
      <c r="B44" t="s">
        <v>399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389</v>
      </c>
    </row>
    <row r="45" spans="2:11">
      <c r="B45" t="s">
        <v>399</v>
      </c>
      <c r="C45" t="s">
        <v>32</v>
      </c>
      <c r="D45" t="s">
        <v>19</v>
      </c>
      <c r="E45">
        <v>0.35</v>
      </c>
      <c r="F45">
        <v>0.35</v>
      </c>
      <c r="J45">
        <v>0.35</v>
      </c>
      <c r="K45" t="s">
        <v>146</v>
      </c>
    </row>
    <row r="46" spans="2:11">
      <c r="B46" t="s">
        <v>399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390</v>
      </c>
    </row>
    <row r="47" spans="2:11">
      <c r="B47" t="s">
        <v>399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391</v>
      </c>
    </row>
    <row r="48" spans="2:11">
      <c r="B48" t="s">
        <v>400</v>
      </c>
      <c r="C48" t="s">
        <v>32</v>
      </c>
      <c r="D48" t="s">
        <v>19</v>
      </c>
      <c r="E48">
        <v>1600</v>
      </c>
      <c r="F48">
        <v>1600</v>
      </c>
      <c r="J48">
        <v>1600</v>
      </c>
      <c r="K48" t="s">
        <v>387</v>
      </c>
    </row>
    <row r="49" spans="2:11">
      <c r="B49" t="s">
        <v>400</v>
      </c>
      <c r="C49" t="s">
        <v>32</v>
      </c>
      <c r="D49" t="s">
        <v>19</v>
      </c>
      <c r="E49">
        <v>55</v>
      </c>
      <c r="F49">
        <v>55</v>
      </c>
      <c r="J49">
        <v>55</v>
      </c>
      <c r="K49" t="s">
        <v>388</v>
      </c>
    </row>
    <row r="50" spans="2:11">
      <c r="B50" t="s">
        <v>400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389</v>
      </c>
    </row>
    <row r="51" spans="2:11">
      <c r="B51" t="s">
        <v>400</v>
      </c>
      <c r="C51" t="s">
        <v>32</v>
      </c>
      <c r="D51" t="s">
        <v>19</v>
      </c>
      <c r="E51">
        <v>0.39</v>
      </c>
      <c r="F51">
        <v>0.39</v>
      </c>
      <c r="J51">
        <v>0.39</v>
      </c>
      <c r="K51" t="s">
        <v>146</v>
      </c>
    </row>
    <row r="52" spans="2:11">
      <c r="B52" t="s">
        <v>400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390</v>
      </c>
    </row>
    <row r="53" spans="2:11">
      <c r="B53" t="s">
        <v>400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391</v>
      </c>
    </row>
    <row r="54" spans="2:11">
      <c r="B54" t="s">
        <v>401</v>
      </c>
      <c r="C54" t="s">
        <v>32</v>
      </c>
      <c r="D54" t="s">
        <v>19</v>
      </c>
      <c r="E54">
        <v>1900</v>
      </c>
      <c r="F54">
        <v>1900</v>
      </c>
      <c r="J54">
        <v>1900</v>
      </c>
      <c r="K54" t="s">
        <v>387</v>
      </c>
    </row>
    <row r="55" spans="2:11">
      <c r="B55" t="s">
        <v>401</v>
      </c>
      <c r="C55" t="s">
        <v>32</v>
      </c>
      <c r="D55" t="s">
        <v>19</v>
      </c>
      <c r="E55">
        <v>70</v>
      </c>
      <c r="F55">
        <v>70</v>
      </c>
      <c r="J55">
        <v>70</v>
      </c>
      <c r="K55" t="s">
        <v>388</v>
      </c>
    </row>
    <row r="56" spans="2:11">
      <c r="B56" t="s">
        <v>401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389</v>
      </c>
    </row>
    <row r="57" spans="2:11">
      <c r="B57" t="s">
        <v>401</v>
      </c>
      <c r="C57" t="s">
        <v>32</v>
      </c>
      <c r="D57" t="s">
        <v>19</v>
      </c>
      <c r="E57">
        <v>0.42</v>
      </c>
      <c r="F57">
        <v>0.43</v>
      </c>
      <c r="J57">
        <v>0.44</v>
      </c>
      <c r="K57" t="s">
        <v>146</v>
      </c>
    </row>
    <row r="58" spans="2:11">
      <c r="B58" t="s">
        <v>401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390</v>
      </c>
    </row>
    <row r="59" spans="2:11">
      <c r="B59" t="s">
        <v>401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391</v>
      </c>
    </row>
    <row r="60" spans="2:11">
      <c r="B60" t="s">
        <v>402</v>
      </c>
      <c r="C60" t="s">
        <v>32</v>
      </c>
      <c r="D60" t="s">
        <v>19</v>
      </c>
      <c r="E60">
        <v>2200</v>
      </c>
      <c r="F60">
        <v>2100</v>
      </c>
      <c r="J60">
        <v>2100</v>
      </c>
      <c r="K60" t="s">
        <v>387</v>
      </c>
    </row>
    <row r="61" spans="2:11">
      <c r="B61" t="s">
        <v>402</v>
      </c>
      <c r="C61" t="s">
        <v>32</v>
      </c>
      <c r="D61" t="s">
        <v>19</v>
      </c>
      <c r="E61">
        <v>90</v>
      </c>
      <c r="F61">
        <v>85</v>
      </c>
      <c r="J61">
        <v>85</v>
      </c>
      <c r="K61" t="s">
        <v>388</v>
      </c>
    </row>
    <row r="62" spans="2:11">
      <c r="B62" t="s">
        <v>402</v>
      </c>
      <c r="C62" t="s">
        <v>32</v>
      </c>
      <c r="D62" t="s">
        <v>19</v>
      </c>
      <c r="E62">
        <v>0.4</v>
      </c>
      <c r="F62">
        <v>0.43</v>
      </c>
      <c r="J62">
        <v>0.45</v>
      </c>
      <c r="K62" t="s">
        <v>146</v>
      </c>
    </row>
    <row r="63" spans="2:11">
      <c r="B63" t="s">
        <v>402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390</v>
      </c>
    </row>
    <row r="64" spans="2:11">
      <c r="B64" t="s">
        <v>402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391</v>
      </c>
    </row>
    <row r="65" spans="2:11">
      <c r="B65" t="s">
        <v>403</v>
      </c>
      <c r="C65" t="s">
        <v>32</v>
      </c>
      <c r="D65" t="s">
        <v>398</v>
      </c>
      <c r="E65">
        <v>4500</v>
      </c>
      <c r="F65">
        <v>4500</v>
      </c>
      <c r="J65">
        <v>3650</v>
      </c>
      <c r="K65" t="s">
        <v>387</v>
      </c>
    </row>
    <row r="66" spans="2:11">
      <c r="B66" t="s">
        <v>403</v>
      </c>
      <c r="C66" t="s">
        <v>32</v>
      </c>
      <c r="D66" t="s">
        <v>398</v>
      </c>
      <c r="E66">
        <v>175</v>
      </c>
      <c r="F66">
        <v>175</v>
      </c>
      <c r="J66">
        <v>140</v>
      </c>
      <c r="K66" t="s">
        <v>388</v>
      </c>
    </row>
    <row r="67" spans="2:11">
      <c r="B67" t="s">
        <v>403</v>
      </c>
      <c r="C67" t="s">
        <v>32</v>
      </c>
      <c r="D67" t="s">
        <v>398</v>
      </c>
      <c r="E67">
        <v>4.4779999999999998</v>
      </c>
      <c r="F67">
        <v>4.1529999999999996</v>
      </c>
      <c r="J67">
        <v>3.7309999999999999</v>
      </c>
      <c r="K67" t="s">
        <v>389</v>
      </c>
    </row>
    <row r="68" spans="2:11">
      <c r="B68" t="s">
        <v>403</v>
      </c>
      <c r="C68" t="s">
        <v>32</v>
      </c>
      <c r="D68" t="s">
        <v>398</v>
      </c>
      <c r="E68">
        <v>0.32</v>
      </c>
      <c r="F68">
        <v>0.33</v>
      </c>
      <c r="J68">
        <v>0.33</v>
      </c>
      <c r="K68" t="s">
        <v>146</v>
      </c>
    </row>
    <row r="69" spans="2:11">
      <c r="B69" t="s">
        <v>403</v>
      </c>
      <c r="C69" t="s">
        <v>32</v>
      </c>
      <c r="D69" t="s">
        <v>398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390</v>
      </c>
    </row>
    <row r="70" spans="2:11">
      <c r="B70" t="s">
        <v>403</v>
      </c>
      <c r="C70" t="s">
        <v>32</v>
      </c>
      <c r="D70" t="s">
        <v>398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391</v>
      </c>
    </row>
    <row r="71" spans="2:11">
      <c r="B71" t="s">
        <v>404</v>
      </c>
      <c r="C71" t="s">
        <v>32</v>
      </c>
      <c r="D71" t="s">
        <v>398</v>
      </c>
      <c r="E71">
        <v>4850</v>
      </c>
      <c r="F71">
        <v>4650</v>
      </c>
      <c r="J71">
        <v>4250</v>
      </c>
      <c r="K71" t="s">
        <v>387</v>
      </c>
    </row>
    <row r="72" spans="2:11">
      <c r="B72" t="s">
        <v>404</v>
      </c>
      <c r="C72" t="s">
        <v>32</v>
      </c>
      <c r="D72" t="s">
        <v>398</v>
      </c>
      <c r="E72">
        <v>220</v>
      </c>
      <c r="F72">
        <v>210</v>
      </c>
      <c r="J72">
        <v>190</v>
      </c>
      <c r="K72" t="s">
        <v>388</v>
      </c>
    </row>
    <row r="73" spans="2:11">
      <c r="B73" t="s">
        <v>404</v>
      </c>
      <c r="C73" t="s">
        <v>32</v>
      </c>
      <c r="D73" t="s">
        <v>398</v>
      </c>
      <c r="E73">
        <v>4.5830000000000002</v>
      </c>
      <c r="F73">
        <v>4.5830000000000002</v>
      </c>
      <c r="J73">
        <v>4.5830000000000002</v>
      </c>
      <c r="K73" t="s">
        <v>389</v>
      </c>
    </row>
    <row r="74" spans="2:11">
      <c r="B74" t="s">
        <v>404</v>
      </c>
      <c r="C74" t="s">
        <v>32</v>
      </c>
      <c r="D74" t="s">
        <v>398</v>
      </c>
      <c r="E74">
        <v>0.32</v>
      </c>
      <c r="F74">
        <v>0.32</v>
      </c>
      <c r="J74">
        <v>0.35</v>
      </c>
      <c r="K74" t="s">
        <v>146</v>
      </c>
    </row>
    <row r="75" spans="2:11">
      <c r="B75" t="s">
        <v>404</v>
      </c>
      <c r="C75" t="s">
        <v>32</v>
      </c>
      <c r="D75" t="s">
        <v>398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390</v>
      </c>
    </row>
    <row r="76" spans="2:11">
      <c r="B76" t="s">
        <v>404</v>
      </c>
      <c r="C76" t="s">
        <v>32</v>
      </c>
      <c r="D76" t="s">
        <v>398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391</v>
      </c>
    </row>
    <row r="77" spans="2:11">
      <c r="B77" t="s">
        <v>405</v>
      </c>
      <c r="C77" t="s">
        <v>32</v>
      </c>
      <c r="D77" t="s">
        <v>398</v>
      </c>
      <c r="E77">
        <v>4800</v>
      </c>
      <c r="F77">
        <v>4800</v>
      </c>
      <c r="J77">
        <v>4350</v>
      </c>
      <c r="K77" t="s">
        <v>387</v>
      </c>
    </row>
    <row r="78" spans="2:11">
      <c r="B78" t="s">
        <v>405</v>
      </c>
      <c r="C78" t="s">
        <v>32</v>
      </c>
      <c r="D78" t="s">
        <v>398</v>
      </c>
      <c r="E78">
        <v>185</v>
      </c>
      <c r="F78">
        <v>185</v>
      </c>
      <c r="J78">
        <v>165</v>
      </c>
      <c r="K78" t="s">
        <v>388</v>
      </c>
    </row>
    <row r="79" spans="2:11">
      <c r="B79" t="s">
        <v>405</v>
      </c>
      <c r="C79" t="s">
        <v>32</v>
      </c>
      <c r="D79" t="s">
        <v>398</v>
      </c>
      <c r="E79">
        <v>4.306</v>
      </c>
      <c r="F79">
        <v>4.306</v>
      </c>
      <c r="J79">
        <v>4.306</v>
      </c>
      <c r="K79" t="s">
        <v>389</v>
      </c>
    </row>
    <row r="80" spans="2:11">
      <c r="B80" t="s">
        <v>405</v>
      </c>
      <c r="C80" t="s">
        <v>32</v>
      </c>
      <c r="D80" t="s">
        <v>398</v>
      </c>
      <c r="E80">
        <v>0.33</v>
      </c>
      <c r="F80">
        <v>0.33</v>
      </c>
      <c r="J80">
        <v>0.33</v>
      </c>
      <c r="K80" t="s">
        <v>146</v>
      </c>
    </row>
    <row r="81" spans="2:11">
      <c r="B81" t="s">
        <v>405</v>
      </c>
      <c r="C81" t="s">
        <v>32</v>
      </c>
      <c r="D81" t="s">
        <v>398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390</v>
      </c>
    </row>
    <row r="82" spans="2:11">
      <c r="B82" t="s">
        <v>405</v>
      </c>
      <c r="C82" t="s">
        <v>32</v>
      </c>
      <c r="D82" t="s">
        <v>398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391</v>
      </c>
    </row>
    <row r="83" spans="2:11">
      <c r="B83" t="s">
        <v>406</v>
      </c>
      <c r="C83" t="s">
        <v>36</v>
      </c>
      <c r="D83" t="s">
        <v>19</v>
      </c>
      <c r="E83">
        <v>4000</v>
      </c>
      <c r="F83">
        <v>4000</v>
      </c>
      <c r="J83">
        <v>4000</v>
      </c>
      <c r="K83" t="s">
        <v>387</v>
      </c>
    </row>
    <row r="84" spans="2:11">
      <c r="B84" t="s">
        <v>406</v>
      </c>
      <c r="C84" t="s">
        <v>36</v>
      </c>
      <c r="D84" t="s">
        <v>19</v>
      </c>
      <c r="E84">
        <v>170</v>
      </c>
      <c r="F84">
        <v>170</v>
      </c>
      <c r="J84">
        <v>170</v>
      </c>
      <c r="K84" t="s">
        <v>388</v>
      </c>
    </row>
    <row r="85" spans="2:11">
      <c r="B85" t="s">
        <v>406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389</v>
      </c>
    </row>
    <row r="86" spans="2:11">
      <c r="B86" t="s">
        <v>406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390</v>
      </c>
    </row>
    <row r="87" spans="2:11">
      <c r="B87" t="s">
        <v>406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391</v>
      </c>
    </row>
    <row r="88" spans="2:11">
      <c r="B88" t="s">
        <v>407</v>
      </c>
      <c r="C88" t="s">
        <v>36</v>
      </c>
      <c r="D88" t="s">
        <v>19</v>
      </c>
      <c r="F88">
        <v>8041.7</v>
      </c>
      <c r="G88">
        <v>6989.3</v>
      </c>
      <c r="H88">
        <v>5665.6</v>
      </c>
      <c r="I88">
        <v>4871.3</v>
      </c>
      <c r="J88">
        <v>4341.8999999999996</v>
      </c>
      <c r="K88" t="s">
        <v>387</v>
      </c>
    </row>
    <row r="89" spans="2:11">
      <c r="B89" t="s">
        <v>407</v>
      </c>
      <c r="C89" t="s">
        <v>36</v>
      </c>
      <c r="D89" t="s">
        <v>19</v>
      </c>
      <c r="F89">
        <v>113.3</v>
      </c>
      <c r="G89">
        <v>120.9</v>
      </c>
      <c r="H89">
        <v>120.9</v>
      </c>
      <c r="I89">
        <v>120.9</v>
      </c>
      <c r="J89">
        <v>120.9</v>
      </c>
      <c r="K89" t="s">
        <v>388</v>
      </c>
    </row>
    <row r="90" spans="2:11">
      <c r="B90" t="s">
        <v>407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389</v>
      </c>
    </row>
    <row r="91" spans="2:11">
      <c r="B91" t="s">
        <v>407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390</v>
      </c>
    </row>
    <row r="92" spans="2:11">
      <c r="B92" t="s">
        <v>407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391</v>
      </c>
    </row>
    <row r="93" spans="2:11">
      <c r="B93" t="s">
        <v>408</v>
      </c>
      <c r="C93" t="s">
        <v>31</v>
      </c>
      <c r="D93" t="s">
        <v>19</v>
      </c>
      <c r="E93">
        <v>2150</v>
      </c>
      <c r="F93">
        <v>2100</v>
      </c>
      <c r="J93">
        <v>2000</v>
      </c>
      <c r="K93" t="s">
        <v>387</v>
      </c>
    </row>
    <row r="94" spans="2:11">
      <c r="B94" t="s">
        <v>408</v>
      </c>
      <c r="C94" t="s">
        <v>31</v>
      </c>
      <c r="D94" t="s">
        <v>19</v>
      </c>
      <c r="E94">
        <v>75</v>
      </c>
      <c r="F94">
        <v>75</v>
      </c>
      <c r="J94">
        <v>70</v>
      </c>
      <c r="K94" t="s">
        <v>388</v>
      </c>
    </row>
    <row r="95" spans="2:11">
      <c r="B95" t="s">
        <v>408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389</v>
      </c>
    </row>
    <row r="96" spans="2:11">
      <c r="B96" t="s">
        <v>408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408</v>
      </c>
      <c r="C97" t="s">
        <v>31</v>
      </c>
      <c r="D97" t="s">
        <v>19</v>
      </c>
      <c r="E97">
        <v>0.5</v>
      </c>
      <c r="F97">
        <v>0.5</v>
      </c>
      <c r="J97">
        <v>0.5</v>
      </c>
      <c r="K97" t="s">
        <v>409</v>
      </c>
    </row>
    <row r="98" spans="2:11">
      <c r="B98" t="s">
        <v>408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390</v>
      </c>
    </row>
    <row r="99" spans="2:11">
      <c r="B99" t="s">
        <v>408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391</v>
      </c>
    </row>
    <row r="100" spans="2:11">
      <c r="B100" t="s">
        <v>410</v>
      </c>
      <c r="C100" t="s">
        <v>31</v>
      </c>
      <c r="D100" t="s">
        <v>19</v>
      </c>
      <c r="E100">
        <v>525</v>
      </c>
      <c r="F100">
        <v>500</v>
      </c>
      <c r="J100">
        <v>500</v>
      </c>
      <c r="K100" t="s">
        <v>387</v>
      </c>
    </row>
    <row r="101" spans="2:11">
      <c r="B101" t="s">
        <v>410</v>
      </c>
      <c r="C101" t="s">
        <v>31</v>
      </c>
      <c r="D101" t="s">
        <v>19</v>
      </c>
      <c r="E101">
        <v>20</v>
      </c>
      <c r="F101">
        <v>20</v>
      </c>
      <c r="J101">
        <v>20</v>
      </c>
      <c r="K101" t="s">
        <v>388</v>
      </c>
    </row>
    <row r="102" spans="2:11">
      <c r="B102" t="s">
        <v>410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389</v>
      </c>
    </row>
    <row r="103" spans="2:11">
      <c r="B103" t="s">
        <v>410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410</v>
      </c>
      <c r="C104" t="s">
        <v>31</v>
      </c>
      <c r="D104" t="s">
        <v>19</v>
      </c>
      <c r="E104">
        <v>0.4</v>
      </c>
      <c r="F104">
        <v>0.4</v>
      </c>
      <c r="J104">
        <v>0.4</v>
      </c>
      <c r="K104" t="s">
        <v>409</v>
      </c>
    </row>
    <row r="105" spans="2:11">
      <c r="B105" t="s">
        <v>410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390</v>
      </c>
    </row>
    <row r="106" spans="2:11">
      <c r="B106" t="s">
        <v>410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391</v>
      </c>
    </row>
    <row r="107" spans="2:11">
      <c r="B107" t="s">
        <v>411</v>
      </c>
      <c r="C107" t="s">
        <v>31</v>
      </c>
      <c r="D107" t="s">
        <v>394</v>
      </c>
      <c r="E107">
        <v>2850</v>
      </c>
      <c r="F107">
        <v>2750</v>
      </c>
      <c r="J107">
        <v>2650</v>
      </c>
      <c r="K107" t="s">
        <v>387</v>
      </c>
    </row>
    <row r="108" spans="2:11">
      <c r="B108" t="s">
        <v>411</v>
      </c>
      <c r="C108" t="s">
        <v>31</v>
      </c>
      <c r="D108" t="s">
        <v>394</v>
      </c>
      <c r="E108">
        <v>105</v>
      </c>
      <c r="F108">
        <v>105</v>
      </c>
      <c r="J108">
        <v>100</v>
      </c>
      <c r="K108" t="s">
        <v>388</v>
      </c>
    </row>
    <row r="109" spans="2:11">
      <c r="B109" t="s">
        <v>411</v>
      </c>
      <c r="C109" t="s">
        <v>31</v>
      </c>
      <c r="D109" t="s">
        <v>394</v>
      </c>
      <c r="E109">
        <v>1.667</v>
      </c>
      <c r="F109">
        <v>1.667</v>
      </c>
      <c r="J109">
        <v>1.667</v>
      </c>
      <c r="K109" t="s">
        <v>389</v>
      </c>
    </row>
    <row r="110" spans="2:11">
      <c r="B110" t="s">
        <v>411</v>
      </c>
      <c r="C110" t="s">
        <v>31</v>
      </c>
      <c r="D110" t="s">
        <v>394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411</v>
      </c>
      <c r="C111" t="s">
        <v>31</v>
      </c>
      <c r="D111" t="s">
        <v>394</v>
      </c>
      <c r="E111">
        <v>0.5</v>
      </c>
      <c r="F111">
        <v>0.5</v>
      </c>
      <c r="J111">
        <v>0.5</v>
      </c>
      <c r="K111" t="s">
        <v>409</v>
      </c>
    </row>
    <row r="112" spans="2:11">
      <c r="B112" t="s">
        <v>411</v>
      </c>
      <c r="C112" t="s">
        <v>31</v>
      </c>
      <c r="D112" t="s">
        <v>394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390</v>
      </c>
    </row>
    <row r="113" spans="2:11">
      <c r="B113" t="s">
        <v>411</v>
      </c>
      <c r="C113" t="s">
        <v>31</v>
      </c>
      <c r="D113" t="s">
        <v>394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391</v>
      </c>
    </row>
    <row r="114" spans="2:11">
      <c r="B114" t="s">
        <v>411</v>
      </c>
      <c r="C114" t="s">
        <v>31</v>
      </c>
      <c r="D114" t="s">
        <v>394</v>
      </c>
      <c r="E114">
        <v>0.8</v>
      </c>
      <c r="F114">
        <v>0.8</v>
      </c>
      <c r="G114">
        <v>0.8</v>
      </c>
      <c r="H114">
        <v>0.8</v>
      </c>
      <c r="I114">
        <v>0.8</v>
      </c>
      <c r="J114">
        <v>0.8</v>
      </c>
      <c r="K114" t="s">
        <v>395</v>
      </c>
    </row>
    <row r="115" spans="2:11">
      <c r="B115" t="s">
        <v>412</v>
      </c>
      <c r="C115" t="s">
        <v>31</v>
      </c>
      <c r="D115" t="s">
        <v>398</v>
      </c>
      <c r="E115">
        <v>4900</v>
      </c>
      <c r="F115">
        <v>4850</v>
      </c>
      <c r="J115">
        <v>4350</v>
      </c>
      <c r="K115" t="s">
        <v>387</v>
      </c>
    </row>
    <row r="116" spans="2:11">
      <c r="B116" t="s">
        <v>412</v>
      </c>
      <c r="C116" t="s">
        <v>31</v>
      </c>
      <c r="D116" t="s">
        <v>398</v>
      </c>
      <c r="E116">
        <v>170</v>
      </c>
      <c r="F116">
        <v>170</v>
      </c>
      <c r="J116">
        <v>150</v>
      </c>
      <c r="K116" t="s">
        <v>388</v>
      </c>
    </row>
    <row r="117" spans="2:11">
      <c r="B117" t="s">
        <v>412</v>
      </c>
      <c r="C117" t="s">
        <v>31</v>
      </c>
      <c r="D117" t="s">
        <v>398</v>
      </c>
      <c r="E117">
        <v>2.3610000000000002</v>
      </c>
      <c r="F117">
        <v>2.3610000000000002</v>
      </c>
      <c r="J117">
        <v>2.3610000000000002</v>
      </c>
      <c r="K117" t="s">
        <v>389</v>
      </c>
    </row>
    <row r="118" spans="2:11">
      <c r="B118" t="s">
        <v>412</v>
      </c>
      <c r="C118" t="s">
        <v>31</v>
      </c>
      <c r="D118" t="s">
        <v>398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412</v>
      </c>
      <c r="C119" t="s">
        <v>31</v>
      </c>
      <c r="D119" t="s">
        <v>398</v>
      </c>
      <c r="E119">
        <v>0.5</v>
      </c>
      <c r="F119">
        <v>0.5</v>
      </c>
      <c r="J119">
        <v>0.5</v>
      </c>
      <c r="K119" t="s">
        <v>409</v>
      </c>
    </row>
    <row r="120" spans="2:11">
      <c r="B120" t="s">
        <v>412</v>
      </c>
      <c r="C120" t="s">
        <v>31</v>
      </c>
      <c r="D120" t="s">
        <v>398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390</v>
      </c>
    </row>
    <row r="121" spans="2:11">
      <c r="B121" t="s">
        <v>412</v>
      </c>
      <c r="C121" t="s">
        <v>31</v>
      </c>
      <c r="D121" t="s">
        <v>398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391</v>
      </c>
    </row>
    <row r="122" spans="2:11">
      <c r="B122" t="s">
        <v>413</v>
      </c>
      <c r="C122" t="s">
        <v>34</v>
      </c>
      <c r="D122" t="s">
        <v>19</v>
      </c>
      <c r="E122">
        <v>3050</v>
      </c>
      <c r="F122">
        <v>2900</v>
      </c>
      <c r="J122">
        <v>2700</v>
      </c>
      <c r="K122" t="s">
        <v>387</v>
      </c>
    </row>
    <row r="123" spans="2:11">
      <c r="B123" t="s">
        <v>413</v>
      </c>
      <c r="C123" t="s">
        <v>34</v>
      </c>
      <c r="D123" t="s">
        <v>19</v>
      </c>
      <c r="E123">
        <v>60</v>
      </c>
      <c r="F123">
        <v>60</v>
      </c>
      <c r="J123">
        <v>55</v>
      </c>
      <c r="K123" t="s">
        <v>388</v>
      </c>
    </row>
    <row r="124" spans="2:11">
      <c r="B124" t="s">
        <v>413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389</v>
      </c>
    </row>
    <row r="125" spans="2:11">
      <c r="B125" t="s">
        <v>413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413</v>
      </c>
      <c r="C126" t="s">
        <v>34</v>
      </c>
      <c r="D126" t="s">
        <v>19</v>
      </c>
      <c r="E126">
        <v>0.8</v>
      </c>
      <c r="F126">
        <v>0.8</v>
      </c>
      <c r="J126">
        <v>0.8</v>
      </c>
      <c r="K126" t="s">
        <v>409</v>
      </c>
    </row>
    <row r="127" spans="2:11">
      <c r="B127" t="s">
        <v>413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390</v>
      </c>
    </row>
    <row r="128" spans="2:11">
      <c r="B128" t="s">
        <v>413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391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2026-06-18T17:26:29Z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