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13_ncr:1_{0243FC74-F37E-4909-B8BB-6334711573C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Y23" i="1"/>
  <c r="T23" i="1"/>
  <c r="V23" i="1"/>
  <c r="X23" i="1"/>
  <c r="U23" i="1"/>
  <c r="Z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Y18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18" i="1"/>
  <c r="X18" i="1"/>
  <c r="V18" i="1"/>
  <c r="Z22" i="1"/>
  <c r="AJ69" i="1"/>
  <c r="AJ65" i="1"/>
  <c r="Y22" i="1" l="1"/>
  <c r="X22" i="1"/>
  <c r="V22" i="1"/>
  <c r="W22" i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<sst xmlns="http://schemas.openxmlformats.org/spreadsheetml/2006/main" count="1717" uniqueCount="126">
  <si>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</si>
  <si>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</si>
  <si>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</si>
  <si>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</si>
  <si>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</si>
  <si>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</si>
  <si>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</si>
  <si>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</si>
  <si>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</si>
  <si>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</si>
  <si>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</si>
  <si>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</si>
  <si>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</si>
  <si>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</si>
  <si>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</si>
  <si>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</si>
  <si>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</si>
  <si>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</si>
  <si>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</si>
  <si>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</si>
  <si>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</si>
  <si>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</si>
  <si>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</si>
  <si>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</si>
  <si>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</si>
  <si>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</si>
  <si>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</si>
  <si>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</si>
  <si>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</si>
  <si>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</si>
  <si>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</si>
  <si>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</si>
  <si>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</si>
  <si>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</si>
  <si>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</si>
  <si>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</si>
  <si>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</si>
  <si>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</si>
  <si>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</si>
  <si>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</si>
  <si>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</si>
  <si>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</si>
  <si>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</si>
  <si>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</si>
  <si>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</si>
  <si>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</si>
  <si>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</si>
  <si>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</si>
  <si>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</si>
  <si>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</si>
  <si>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</si>
  <si>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</si>
  <si>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</si>
  <si>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</si>
  <si>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</si>
  <si>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</si>
  <si>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</si>
  <si>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</si>
  <si>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</si>
  <si>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</si>
  <si>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</si>
  <si>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</si>
  <si>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</si>
  <si>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</si>
  <si>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</si>
  <si>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</si>
  <si>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</si>
  <si>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</si>
  <si>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</si>
  <si>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</si>
  <si>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</si>
  <si>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</si>
  <si>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</si>
  <si>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</si>
  <si>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</si>
  <si>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</si>
  <si>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</si>
  <si>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</si>
  <si>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</si>
  <si>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</si>
  <si>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</si>
  <si>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</si>
  <si>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</si>
  <si>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</si>
  <si>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</si>
  <si>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</si>
  <si>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</si>
  <si>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</si>
  <si>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</si>
  <si>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</si>
  <si>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</si>
  <si>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</si>
  <si>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</si>
  <si>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</si>
  <si>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</si>
  <si>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</si>
  <si>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</si>
  <si>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</si>
  <si>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</si>
  <si>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</si>
  <si>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</si>
  <si>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</si>
  <si>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</si>
  <si>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</si>
  <si>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</si>
  <si>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</si>
  <si>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</si>
  <si>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</si>
  <si>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</si>
  <si>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</si>
  <si>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</si>
  <si>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</si>
  <si>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</si>
  <si>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</si>
  <si>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</si>
  <si>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</si>
  <si>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</si>
  <si>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</si>
  <si>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</si>
  <si>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</si>
  <si>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</si>
  <si>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</si>
  <si>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</si>
  <si>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GHA</t>
  </si>
  <si>
    <t>R10AFRICA</t>
  </si>
  <si>
    <t>Offshore gas,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</si>
</sst>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20.990000000000002</c:v>
                </c:pt>
                <c:pt idx="1">
                  <c:v>26.447400000000002</c:v>
                </c:pt>
                <c:pt idx="2">
                  <c:v>31.694900000000004</c:v>
                </c:pt>
                <c:pt idx="3">
                  <c:v>38.201800000000006</c:v>
                </c:pt>
                <c:pt idx="4">
                  <c:v>45.9681</c:v>
                </c:pt>
                <c:pt idx="5">
                  <c:v>54.364100000000001</c:v>
                </c:pt>
                <c:pt idx="6">
                  <c:v>69.686800000000005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20.990000000000002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20.990000000000002</v>
      </c>
      <c r="U14" s="8">
        <f t="shared" ref="U14:Z14" si="4">$S$11*J14</f>
        <v>26.447400000000002</v>
      </c>
      <c r="V14" s="8">
        <f t="shared" si="4"/>
        <v>31.694900000000004</v>
      </c>
      <c r="W14" s="8">
        <f t="shared" si="4"/>
        <v>38.201800000000006</v>
      </c>
      <c r="X14" s="8">
        <f t="shared" si="4"/>
        <v>45.9681</v>
      </c>
      <c r="Y14" s="8">
        <f t="shared" si="4"/>
        <v>54.364100000000001</v>
      </c>
      <c r="Z14" s="8">
        <f t="shared" si="4"/>
        <v>69.686800000000005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0.69686800000000004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9.4455000000000009</v>
      </c>
      <c r="U19" s="6">
        <f t="shared" si="7"/>
        <v>11.636856000000002</v>
      </c>
      <c r="V19" s="6">
        <f t="shared" si="7"/>
        <v>10.776266000000001</v>
      </c>
      <c r="W19" s="6">
        <f t="shared" si="7"/>
        <v>13.370630000000002</v>
      </c>
      <c r="X19" s="6">
        <f t="shared" si="7"/>
        <v>15.169473</v>
      </c>
      <c r="Y19" s="6">
        <f t="shared" si="7"/>
        <v>20.658358</v>
      </c>
      <c r="Z19" s="6">
        <f t="shared" si="7"/>
        <v>25.087248000000002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11.334600000000002</v>
      </c>
      <c r="U20" s="6">
        <f t="shared" si="7"/>
        <v>14.281596000000002</v>
      </c>
      <c r="V20" s="6">
        <f t="shared" si="7"/>
        <v>18.066093000000002</v>
      </c>
      <c r="W20" s="6">
        <f t="shared" si="7"/>
        <v>23.303098000000002</v>
      </c>
      <c r="X20" s="6">
        <f t="shared" si="7"/>
        <v>28.040540999999997</v>
      </c>
      <c r="Y20" s="6">
        <f t="shared" si="7"/>
        <v>29.356614000000004</v>
      </c>
      <c r="Z20" s="6">
        <f t="shared" si="7"/>
        <v>36.934004000000002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0.20990000000000003</v>
      </c>
      <c r="U21" s="6">
        <f t="shared" ref="U21:Z21" si="8">T21</f>
        <v>0.20990000000000003</v>
      </c>
      <c r="V21" s="6">
        <f t="shared" si="8"/>
        <v>0.20990000000000003</v>
      </c>
      <c r="W21" s="6">
        <f t="shared" si="8"/>
        <v>0.20990000000000003</v>
      </c>
      <c r="X21" s="6">
        <f t="shared" si="8"/>
        <v>0.20990000000000003</v>
      </c>
      <c r="Y21" s="6">
        <f t="shared" si="8"/>
        <v>0.20990000000000003</v>
      </c>
      <c r="Z21" s="6">
        <f t="shared" si="8"/>
        <v>0.20990000000000003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0.31904799999999867</v>
      </c>
      <c r="V22" s="6">
        <f t="shared" si="9"/>
        <v>2.6426410000000011</v>
      </c>
      <c r="W22" s="6">
        <f t="shared" si="9"/>
        <v>1.3181720000000041</v>
      </c>
      <c r="X22" s="6">
        <f t="shared" si="9"/>
        <v>2.5481860000000012</v>
      </c>
      <c r="Y22" s="6">
        <f t="shared" si="9"/>
        <v>4.1392280000000028</v>
      </c>
      <c r="Z22" s="6">
        <f t="shared" si="9"/>
        <v>7.4556480000000036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0.04</v>
      </c>
      <c r="S28" t="s">
        <v>31</v>
      </c>
      <c r="T28" s="3">
        <f>Q28</f>
        <v>0.04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-2.2200000000000002</v>
      </c>
      <c r="S29" t="s">
        <v>34</v>
      </c>
      <c r="T29" s="3">
        <f>-1*Q29</f>
        <v>2.2200000000000002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47</v>
      </c>
      <c r="J47">
        <f t="shared" si="13"/>
        <v>54.05</v>
      </c>
      <c r="K47">
        <f t="shared" si="13"/>
        <v>75.2</v>
      </c>
      <c r="L47">
        <f t="shared" si="13"/>
        <v>62.510000000000005</v>
      </c>
      <c r="M47">
        <f t="shared" si="13"/>
        <v>69.09</v>
      </c>
      <c r="N47">
        <f t="shared" si="13"/>
        <v>75.67</v>
      </c>
      <c r="O47">
        <f t="shared" si="13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20.6</v>
      </c>
      <c r="C11">
        <v>30.9</v>
      </c>
      <c r="D11">
        <v>12.2</v>
      </c>
      <c r="E11">
        <v>16.7</v>
      </c>
      <c r="F11">
        <v>42</v>
      </c>
      <c r="G11">
        <v>52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5.76</v>
      </c>
      <c r="D11">
        <v>2.06</v>
      </c>
      <c r="E11">
        <v>0</v>
      </c>
      <c r="F11">
        <v>0</v>
      </c>
      <c r="G11">
        <v>0.86</v>
      </c>
      <c r="H11">
        <v>-0.39</v>
      </c>
      <c r="I11">
        <v>7.22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5.84</v>
      </c>
      <c r="D12">
        <v>2.23</v>
      </c>
      <c r="E12">
        <v>0</v>
      </c>
      <c r="F12">
        <v>0</v>
      </c>
      <c r="G12">
        <v>0.46</v>
      </c>
      <c r="H12">
        <v>-0.3</v>
      </c>
      <c r="I12">
        <v>7.86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5.56</v>
      </c>
      <c r="D13">
        <v>2.31</v>
      </c>
      <c r="E13">
        <v>0</v>
      </c>
      <c r="F13">
        <v>0</v>
      </c>
      <c r="G13">
        <v>1.1499999999999999</v>
      </c>
      <c r="H13">
        <v>-0.61</v>
      </c>
      <c r="I13">
        <v>7.27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3.94</v>
      </c>
      <c r="D14">
        <v>2.4</v>
      </c>
      <c r="E14">
        <v>0</v>
      </c>
      <c r="F14">
        <v>0</v>
      </c>
      <c r="G14">
        <v>0.94</v>
      </c>
      <c r="H14">
        <v>-0.6</v>
      </c>
      <c r="I14">
        <v>5.88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3.7</v>
      </c>
      <c r="D15">
        <v>2.56</v>
      </c>
      <c r="E15">
        <v>0</v>
      </c>
      <c r="F15">
        <v>0</v>
      </c>
      <c r="G15">
        <v>0.88</v>
      </c>
      <c r="H15">
        <v>-0.66</v>
      </c>
      <c r="I15">
        <v>6.04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4.25</v>
      </c>
      <c r="D16">
        <v>2.72</v>
      </c>
      <c r="E16">
        <v>0</v>
      </c>
      <c r="F16">
        <v>0</v>
      </c>
      <c r="G16">
        <v>0.82</v>
      </c>
      <c r="H16">
        <v>-0.64</v>
      </c>
      <c r="I16">
        <v>6.79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5.39</v>
      </c>
      <c r="D17">
        <v>2.92</v>
      </c>
      <c r="E17">
        <v>0</v>
      </c>
      <c r="F17">
        <v>0</v>
      </c>
      <c r="G17">
        <v>0.63</v>
      </c>
      <c r="H17">
        <v>-0.75</v>
      </c>
      <c r="I17">
        <v>8.43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4.3600000000000003</v>
      </c>
      <c r="D18">
        <v>2.9</v>
      </c>
      <c r="E18">
        <v>0</v>
      </c>
      <c r="F18">
        <v>0</v>
      </c>
      <c r="G18">
        <v>0.44</v>
      </c>
      <c r="H18">
        <v>-0.25</v>
      </c>
      <c r="I18">
        <v>6.98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4.9400000000000004</v>
      </c>
      <c r="D19">
        <v>3.18</v>
      </c>
      <c r="E19">
        <v>0</v>
      </c>
      <c r="F19">
        <v>0</v>
      </c>
      <c r="G19">
        <v>0.27</v>
      </c>
      <c r="H19">
        <v>-0.54</v>
      </c>
      <c r="I19">
        <v>8.32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5.07</v>
      </c>
      <c r="D20">
        <v>3.34</v>
      </c>
      <c r="E20">
        <v>0</v>
      </c>
      <c r="F20">
        <v>0</v>
      </c>
      <c r="G20">
        <v>0.2</v>
      </c>
      <c r="H20">
        <v>-0.75</v>
      </c>
      <c r="I20">
        <v>8.9600000000000009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5.53</v>
      </c>
      <c r="D21">
        <v>3.7</v>
      </c>
      <c r="E21">
        <v>0</v>
      </c>
      <c r="F21">
        <v>0</v>
      </c>
      <c r="G21">
        <v>0.11</v>
      </c>
      <c r="H21">
        <v>-1.04</v>
      </c>
      <c r="I21">
        <v>10.17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6.61</v>
      </c>
      <c r="D22">
        <v>4.0199999999999996</v>
      </c>
      <c r="E22">
        <v>0</v>
      </c>
      <c r="F22">
        <v>0</v>
      </c>
      <c r="G22">
        <v>0.08</v>
      </c>
      <c r="H22">
        <v>-0.69</v>
      </c>
      <c r="I22">
        <v>11.23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6.77</v>
      </c>
      <c r="D23">
        <v>4.74</v>
      </c>
      <c r="E23">
        <v>0</v>
      </c>
      <c r="F23">
        <v>0</v>
      </c>
      <c r="G23">
        <v>0.13</v>
      </c>
      <c r="H23">
        <v>-0.67</v>
      </c>
      <c r="I23">
        <v>12.09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7.26</v>
      </c>
      <c r="D24">
        <v>5.04</v>
      </c>
      <c r="E24">
        <v>0</v>
      </c>
      <c r="F24">
        <v>0</v>
      </c>
      <c r="G24">
        <v>0.03</v>
      </c>
      <c r="H24">
        <v>-0.53</v>
      </c>
      <c r="I24">
        <v>12.89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7.67</v>
      </c>
      <c r="D25">
        <v>4.84</v>
      </c>
      <c r="E25">
        <v>0</v>
      </c>
      <c r="F25">
        <v>0</v>
      </c>
      <c r="G25">
        <v>0.05</v>
      </c>
      <c r="H25">
        <v>-0.52</v>
      </c>
      <c r="I25">
        <v>12.97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6.66</v>
      </c>
      <c r="D26">
        <v>4.5</v>
      </c>
      <c r="E26">
        <v>0</v>
      </c>
      <c r="F26">
        <v>0</v>
      </c>
      <c r="G26">
        <v>0.22</v>
      </c>
      <c r="H26">
        <v>-0.59</v>
      </c>
      <c r="I26">
        <v>11.56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4.92</v>
      </c>
      <c r="D27">
        <v>8.42</v>
      </c>
      <c r="E27">
        <v>0</v>
      </c>
      <c r="F27">
        <v>0</v>
      </c>
      <c r="G27">
        <v>0.75</v>
      </c>
      <c r="H27">
        <v>-0.19</v>
      </c>
      <c r="I27">
        <v>11.81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6.42</v>
      </c>
      <c r="D28">
        <v>7.9</v>
      </c>
      <c r="E28">
        <v>0</v>
      </c>
      <c r="F28">
        <v>0</v>
      </c>
      <c r="G28">
        <v>0.32</v>
      </c>
      <c r="H28">
        <v>-0.38</v>
      </c>
      <c r="I28">
        <v>14.07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7.88</v>
      </c>
      <c r="D29">
        <v>7.77</v>
      </c>
      <c r="E29">
        <v>0</v>
      </c>
      <c r="F29">
        <v>0</v>
      </c>
      <c r="G29">
        <v>0.14000000000000001</v>
      </c>
      <c r="H29">
        <v>-0.74</v>
      </c>
      <c r="I29">
        <v>16.25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7.97</v>
      </c>
      <c r="D30">
        <v>8.91</v>
      </c>
      <c r="E30">
        <v>0</v>
      </c>
      <c r="F30">
        <v>0</v>
      </c>
      <c r="G30">
        <v>0.13</v>
      </c>
      <c r="H30">
        <v>-1.43</v>
      </c>
      <c r="I30">
        <v>18.190000000000001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9.14</v>
      </c>
      <c r="D31">
        <v>9.23</v>
      </c>
      <c r="E31">
        <v>0</v>
      </c>
      <c r="F31">
        <v>0</v>
      </c>
      <c r="G31">
        <v>0.06</v>
      </c>
      <c r="H31">
        <v>-1.86</v>
      </c>
      <c r="I31">
        <v>20.170000000000002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10.59</v>
      </c>
      <c r="D32">
        <v>9.76</v>
      </c>
      <c r="E32">
        <v>0</v>
      </c>
      <c r="F32">
        <v>0</v>
      </c>
      <c r="G32">
        <v>0.04</v>
      </c>
      <c r="H32">
        <v>-1.73</v>
      </c>
      <c r="I32">
        <v>22.05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10.88</v>
      </c>
      <c r="D33">
        <v>10.09</v>
      </c>
      <c r="E33">
        <v>0</v>
      </c>
      <c r="F33">
        <v>0</v>
      </c>
      <c r="G33">
        <v>0.04</v>
      </c>
      <c r="H33">
        <v>-2.2200000000000002</v>
      </c>
      <c r="I33">
        <v>23.17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2026-06-17T16:13:46Z</dcterms:modified>
</cp:coreProperties>
</file>