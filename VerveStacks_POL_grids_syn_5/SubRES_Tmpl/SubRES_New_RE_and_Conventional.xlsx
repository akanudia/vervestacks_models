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13_ncr:1_{9B10FEEE-0177-413C-B829-40F11396801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2" i="12" l="1"/>
  <c r="BB13" i="12"/>
  <c r="BB14" i="12"/>
  <c r="BB15" i="12"/>
  <c r="BB16" i="12"/>
  <c r="BB17" i="12"/>
  <c r="BB18" i="12"/>
  <c r="BB19" i="12"/>
  <c r="BB20" i="12"/>
  <c r="BB11" i="12"/>
  <c r="AN21" i="12"/>
  <c r="AN16" i="12"/>
  <c r="AN30" i="12"/>
  <c r="AN29" i="12"/>
  <c r="AN28" i="12"/>
  <c r="AN27" i="12"/>
  <c r="AN26" i="12"/>
  <c r="AN25" i="12"/>
  <c r="AN24" i="12"/>
  <c r="AN23" i="12"/>
  <c r="AN22" i="12"/>
  <c r="AN20" i="12"/>
  <c r="AN19" i="12"/>
  <c r="AN18" i="12"/>
  <c r="AN17" i="12"/>
  <c r="AN15" i="12"/>
  <c r="AN14" i="12"/>
  <c r="AN13" i="12"/>
  <c r="AN12" i="12"/>
  <c r="AN11" i="12"/>
  <c r="Z28" i="12"/>
  <c r="Z20" i="12"/>
  <c r="Z12" i="12"/>
  <c r="Z13" i="12"/>
  <c r="Z14" i="12"/>
  <c r="Z15" i="12"/>
  <c r="Z16" i="12"/>
  <c r="Z17" i="12"/>
  <c r="Z18" i="12"/>
  <c r="Z19" i="12"/>
  <c r="Z21" i="12"/>
  <c r="Z22" i="12"/>
  <c r="Z23" i="12"/>
  <c r="Z24" i="12"/>
  <c r="Z25" i="12"/>
  <c r="Z26" i="12"/>
  <c r="Z27" i="12"/>
  <c r="Z29" i="12"/>
  <c r="Z30" i="12"/>
  <c r="Z11" i="12"/>
  <c r="K28" i="7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<sst xmlns="http://schemas.openxmlformats.org/spreadsheetml/2006/main" count="1689" uniqueCount="459">
  <si>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</si>
  <si>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</si>
  <si>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</si>
  <si>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</si>
  <si>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</si>
  <si>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</si>
  <si>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</si>
  <si>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</si>
  <si>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</si>
  <si>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</si>
  <si>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</si>
  <si>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</si>
  <si>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</si>
  <si>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</si>
  <si>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</si>
  <si>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</si>
  <si>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</si>
  <si>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</si>
  <si>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</si>
  <si>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</si>
  <si>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</si>
  <si>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</si>
  <si>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</si>
  <si>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</si>
  <si>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</si>
  <si>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</si>
  <si>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</si>
  <si>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</si>
  <si>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</si>
  <si>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</si>
  <si>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</si>
  <si>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</si>
  <si>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</si>
  <si>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</si>
  <si>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</si>
  <si>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</si>
  <si>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</si>
  <si>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</si>
  <si>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</si>
  <si>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</si>
  <si>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</si>
  <si>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</si>
  <si>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</si>
  <si>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</si>
  <si>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</si>
  <si>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</si>
  <si>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</si>
  <si>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</si>
  <si>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</si>
  <si>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</si>
  <si>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</si>
  <si>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</si>
  <si>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</si>
  <si>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</si>
  <si>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</si>
  <si>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</si>
  <si>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</si>
  <si>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</si>
  <si>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</si>
  <si>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</si>
  <si>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</si>
  <si>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</si>
  <si>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</si>
  <si>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</si>
  <si>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</si>
  <si>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</si>
  <si>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</si>
  <si>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</si>
  <si>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</si>
  <si>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</si>
  <si>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</si>
  <si>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</si>
  <si>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</si>
  <si>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</si>
  <si>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</si>
  <si>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</si>
  <si>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</si>
  <si>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</si>
  <si>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</si>
  <si>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</si>
  <si>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</si>
  <si>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</si>
  <si>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</si>
  <si>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</si>
  <si>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</si>
  <si>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</si>
  <si>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</si>
  <si>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</si>
  <si>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</si>
  <si>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</si>
  <si>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</si>
  <si>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</si>
  <si>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</si>
  <si>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</si>
  <si>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</si>
  <si>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</si>
  <si>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</si>
  <si>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</si>
  <si>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</si>
  <si>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</si>
  <si>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</si>
  <si>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</si>
  <si>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</si>
  <si>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</si>
  <si>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</si>
  <si>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</si>
  <si>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</si>
  <si>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</si>
  <si>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</si>
  <si>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</si>
  <si>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</si>
  <si>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</si>
  <si>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</si>
  <si>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</si>
  <si>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</si>
  <si>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</si>
  <si>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</si>
  <si>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</si>
  <si>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</si>
  <si>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</si>
  <si>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</si>
  <si>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</si>
  <si>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</si>
  <si>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</si>
  <si>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</si>
  <si>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</si>
  <si>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</si>
  <si>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</si>
  <si>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</si>
  <si>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</si>
  <si>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</si>
  <si>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</si>
  <si>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</si>
  <si>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</si>
  <si>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</si>
  <si>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</si>
  <si>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</si>
  <si>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</si>
  <si>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</si>
  <si>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</si>
  <si>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</si>
  <si>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</si>
  <si>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</si>
  <si>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</si>
  <si>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</si>
  <si>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</si>
  <si>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</si>
  <si>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</si>
  <si>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</si>
  <si>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</si>
  <si>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</si>
  <si>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</si>
  <si>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</si>
  <si>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</si>
  <si>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</si>
  <si>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</si>
  <si>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</si>
  <si>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</si>
  <si>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</si>
  <si>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</si>
  <si>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</si>
  <si>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</si>
  <si>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</si>
  <si>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</si>
  <si>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</si>
  <si>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</si>
  <si>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</si>
  <si>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</si>
  <si>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</si>
  <si>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</si>
  <si>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</si>
  <si>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</si>
  <si>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</si>
  <si>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</si>
  <si>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</si>
  <si>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</si>
  <si>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</si>
  <si>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</si>
  <si>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</si>
  <si>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</si>
  <si>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</si>
  <si>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</si>
  <si>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</si>
  <si>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</si>
  <si>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</si>
  <si>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</si>
  <si>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</si>
  <si>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</si>
  <si>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</si>
  <si>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</si>
  <si>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</si>
  <si>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</si>
  <si>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</si>
  <si>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</si>
  <si>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</si>
  <si>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</si>
  <si>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</si>
  <si>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</si>
  <si>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</si>
  <si>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</si>
  <si>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</si>
  <si>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</si>
  <si>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</si>
  <si>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</si>
  <si>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</si>
  <si>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</si>
  <si>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</si>
  <si>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</si>
  <si>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</si>
  <si>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</si>
  <si>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</si>
  <si>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</si>
  <si>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</si>
  <si>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</si>
  <si>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</si>
  <si>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</si>
  <si>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</si>
  <si>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</si>
  <si>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</si>
  <si>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</si>
  <si>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</si>
  <si>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</si>
  <si>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</si>
  <si>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</si>
  <si>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</si>
  <si>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</si>
  <si>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</si>
  <si>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</si>
  <si>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</si>
  <si>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</si>
  <si>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</si>
  <si>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</si>
  <si>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</si>
  <si>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</si>
  <si>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</si>
  <si>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</si>
  <si>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</si>
  <si>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</si>
  <si>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</si>
  <si>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</si>
  <si>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</si>
  <si>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</si>
  <si>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</si>
  <si>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</si>
  <si>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</si>
  <si>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</si>
  <si>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</si>
  <si>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</si>
  <si>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</si>
  <si>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</si>
  <si>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</si>
  <si>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</si>
  <si>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</si>
  <si>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</si>
  <si>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</si>
  <si>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</si>
  <si>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distr_solelc_spv_004</t>
  </si>
  <si>
    <t>connecting solar to buses in cluster 4</t>
  </si>
  <si>
    <t>distr_solelc_spv_015</t>
  </si>
  <si>
    <t>connecting solar to buses in cluster 15</t>
  </si>
  <si>
    <t>distr_solelc_spv_020</t>
  </si>
  <si>
    <t>connecting solar to buses in cluster 20</t>
  </si>
  <si>
    <t>distr_solelc_spv_007</t>
  </si>
  <si>
    <t>connecting solar to buses in cluster 7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</si>
  <si>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</si>
  <si>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</si>
  <si>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</si>
  <si>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</si>
  <si>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</si>
  <si>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</si>
  <si>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</si>
  <si>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</si>
  <si>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</si>
  <si>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</si>
  <si>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</si>
  <si>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</si>
  <si>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</si>
  <si>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</si>
  <si>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</si>
  <si>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</si>
  <si>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distr_solelc_spv_001</t>
  </si>
  <si>
    <t>connecting solar to buses in cluster 1</t>
  </si>
  <si>
    <t>comm-in</t>
  </si>
  <si>
    <t>ncap_cost~USD21_alt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</si>
  <si>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</si>
  <si>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</si>
  <si>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</si>
  <si>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</si>
  <si>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</si>
  <si>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</si>
  <si>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</si>
  <si>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</si>
  <si>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</si>
  <si>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</si>
  <si>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</si>
  <si>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</si>
  <si>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</si>
  <si>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</si>
  <si>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</si>
  <si>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</si>
  <si>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</si>
  <si>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</si>
  <si>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</si>
  <si>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</si>
  <si>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</si>
  <si>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</si>
  <si>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</si>
  <si>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</si>
  <si>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</si>
  <si>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</si>
  <si>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</si>
  <si>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</si>
  <si>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</si>
  <si>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</si>
  <si>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</si>
  <si>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</si>
  <si>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</si>
  <si>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</si>
  <si>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</si>
  <si>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</si>
  <si>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</si>
  <si>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</si>
  <si>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distr_wonelc_won_004</t>
  </si>
  <si>
    <t>connecting wind onshore to buses in cluster 4</t>
  </si>
  <si>
    <t>elc_won_001</t>
  </si>
  <si>
    <t>elc_won_008</t>
  </si>
  <si>
    <t>elc_won_013</t>
  </si>
  <si>
    <t>elc_won_003</t>
  </si>
  <si>
    <t>elc_won_014</t>
  </si>
  <si>
    <t>elc_won_020</t>
  </si>
  <si>
    <t>elc_won_015</t>
  </si>
  <si>
    <t>elc_won_007</t>
  </si>
  <si>
    <t>elc_won_005</t>
  </si>
  <si>
    <t>elc_won_011</t>
  </si>
  <si>
    <t>elc_won_010</t>
  </si>
  <si>
    <t>elc_won_016</t>
  </si>
  <si>
    <t>elc_won_012</t>
  </si>
  <si>
    <t>elc_won_006</t>
  </si>
  <si>
    <t>elc_won_019</t>
  </si>
  <si>
    <t>elc_won_009</t>
  </si>
  <si>
    <t>elc_won_017</t>
  </si>
  <si>
    <t>elc_won_002</t>
  </si>
  <si>
    <t>elc_won_018</t>
  </si>
  <si>
    <t>elc_won_004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</si>
  <si>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</si>
  <si>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</si>
  <si>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</si>
  <si>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</si>
  <si>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</si>
  <si>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</si>
  <si>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</si>
  <si>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</si>
  <si>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</si>
  <si>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</si>
  <si>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</si>
  <si>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</si>
  <si>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</si>
  <si>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</si>
  <si>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</si>
  <si>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</si>
  <si>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</si>
  <si>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</si>
  <si>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</si>
  <si>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</si>
  <si>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elc_wof_006</t>
  </si>
  <si>
    <t>elc_wof_007</t>
  </si>
  <si>
    <t>elc_wof_008</t>
  </si>
  <si>
    <t>elc_wof_010</t>
  </si>
  <si>
    <t>elc_wof_004</t>
  </si>
  <si>
    <t>elc_wof_005</t>
  </si>
  <si>
    <t>elc_wof_002</t>
  </si>
  <si>
    <t>elc_wof_009</t>
  </si>
  <si>
    <t>elc_wof_001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</si>
  <si>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</si>
  <si>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</si>
  <si>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</si>
  <si>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</si>
  <si>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</si>
  <si>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</si>
  <si>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</si>
  <si>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</si>
  <si>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</si>
  <si>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</si>
  <si>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</si>
  <si>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</si>
  <si>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</si>
  <si>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</si>
  <si>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</si>
  <si>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</si>
  <si>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</si>
  <si>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</si>
  <si>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</si>
  <si>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</si>
  <si>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</si>
  <si>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</si>
  <si>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</si>
  <si>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</si>
  <si>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</si>
  <si>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</si>
  <si>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</si>
  <si>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</si>
  <si>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</si>
  <si>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</si>
  <si>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</si>
  <si>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</si>
  <si>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</si>
  <si>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</si>
  <si>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</si>
  <si>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</si>
  <si>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</si>
  <si>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</si>
  <si>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</si>
  <si>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</si>
  <si>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</si>
  <si>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</si>
  <si>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</si>
  <si>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</si>
  <si>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</si>
  <si>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</si>
  <si>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</si>
  <si>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</si>
  <si>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</si>
  <si>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</si>
  <si>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</si>
  <si>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</si>
  <si>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</si>
  <si>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</si>
  <si>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</si>
  <si>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</si>
  <si>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</si>
  <si>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</si>
  <si>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</si>
  <si>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</si>
  <si>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</si>
  <si>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</si>
  <si>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</si>
  <si>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</si>
  <si>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</si>
  <si>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</si>
  <si>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</si>
  <si>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</si>
  <si>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</si>
  <si>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</si>
  <si>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</si>
  <si>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</si>
  <si>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</si>
  <si>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</si>
  <si>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</si>
  <si>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</si>
  <si>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</si>
  <si>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</si>
  <si>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</si>
  <si>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</si>
  <si>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</si>
  <si>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</si>
  <si>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</si>
  <si>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</si>
  <si>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e_gen3,e_gen1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</si>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</sst>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2" fillId="0" borderId="0" xfId="1" applyFill="1" applyBorder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T28" sqref="T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  <c r="T12" s="148" t="s">
        <v>458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e_gen3,e_gen1</v>
      </c>
      <c r="P27">
        <v>0</v>
      </c>
      <c r="Q27">
        <v>3</v>
      </c>
      <c r="R27">
        <v>1000</v>
      </c>
      <c r="S27">
        <v>50</v>
      </c>
      <c r="T27">
        <v>0.9</v>
      </c>
    </row>
    <row r="28" spans="2:22">
      <c r="J28" t="str">
        <f>C18</f>
        <v>Trd_electricity export</v>
      </c>
      <c r="K28" t="str">
        <f>$V$28</f>
        <v>e_gen3,e_gen1</v>
      </c>
      <c r="P28">
        <v>0</v>
      </c>
      <c r="Q28">
        <v>3</v>
      </c>
      <c r="R28">
        <v>1000</v>
      </c>
      <c r="S28">
        <v>50</v>
      </c>
      <c r="V28" s="147" t="s">
        <v>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/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/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/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9" t="s">
        <v>109</v>
      </c>
      <c r="D1" s="149"/>
      <c r="E1" s="149"/>
      <c r="F1" s="150" t="s">
        <v>110</v>
      </c>
      <c r="G1" s="149"/>
      <c r="H1" s="151"/>
      <c r="I1" s="149" t="s">
        <v>111</v>
      </c>
      <c r="J1" s="149"/>
      <c r="K1" s="149"/>
      <c r="L1" s="149"/>
      <c r="M1" s="149"/>
      <c r="N1" s="149"/>
      <c r="O1" s="152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85E7-94C5-4D13-98B7-6F397677E2A0}">
  <dimension ref="B9:BD30"/>
  <sheetViews>
    <sheetView tabSelected="1" topLeftCell="AC1" workbookViewId="0">
      <selection activeCell="BB24" sqref="BB24"/>
    </sheetView>
  </sheetViews>
  <sheetFormatPr defaultRowHeight="14.25"/>
  <cols>
    <col min="25" max="25" width="10.3984375" bestFit="1" customWidth="1"/>
    <col min="39" max="39" width="11.19921875" bestFit="1" customWidth="1"/>
    <col min="53" max="53" width="10.796875" bestFit="1" customWidth="1"/>
  </cols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219</v>
      </c>
      <c r="Z11" t="str">
        <f>"e_sol"&amp;SUBSTITUTE(RIGHT(Y11,2),0,"")</f>
        <v>e_sol2</v>
      </c>
      <c r="AA11">
        <v>0.98911580324852866</v>
      </c>
      <c r="AB11">
        <v>199.54360711030768</v>
      </c>
      <c r="AD11" t="s">
        <v>239</v>
      </c>
      <c r="AE11" t="s">
        <v>284</v>
      </c>
      <c r="AF11" t="s">
        <v>285</v>
      </c>
      <c r="AG11" t="s">
        <v>10</v>
      </c>
      <c r="AH11" t="s">
        <v>21</v>
      </c>
      <c r="AI11" t="s">
        <v>243</v>
      </c>
      <c r="AJ11" t="s">
        <v>175</v>
      </c>
      <c r="AL11" t="s">
        <v>284</v>
      </c>
      <c r="AM11" t="s">
        <v>324</v>
      </c>
      <c r="AN11" t="str">
        <f>"e_won"&amp;SUBSTITUTE(RIGHT(AM11,2),0,"")+20</f>
        <v>e_won21</v>
      </c>
      <c r="AO11">
        <v>0.99363378101904942</v>
      </c>
      <c r="AP11">
        <v>116.71401465075998</v>
      </c>
      <c r="AR11" t="s">
        <v>239</v>
      </c>
      <c r="AS11" t="s">
        <v>344</v>
      </c>
      <c r="AT11" t="s">
        <v>345</v>
      </c>
      <c r="AU11" t="s">
        <v>10</v>
      </c>
      <c r="AV11" t="s">
        <v>21</v>
      </c>
      <c r="AW11" t="s">
        <v>243</v>
      </c>
      <c r="AX11" t="s">
        <v>175</v>
      </c>
      <c r="AZ11" t="s">
        <v>344</v>
      </c>
      <c r="BA11" t="s">
        <v>364</v>
      </c>
      <c r="BB11" t="str">
        <f>"e_wof"&amp;SUBSTITUTE(RIGHT(BA11,2),0,"")+40</f>
        <v>e_wof46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236</v>
      </c>
      <c r="Z12" t="str">
        <f t="shared" ref="Z12:Z30" si="0">"e_sol"&amp;SUBSTITUTE(RIGHT(Y12,2),0,"")</f>
        <v>e_sol19</v>
      </c>
      <c r="AA12">
        <v>0.99315229827185159</v>
      </c>
      <c r="AB12">
        <v>125.54119834938666</v>
      </c>
      <c r="AD12" t="s">
        <v>239</v>
      </c>
      <c r="AE12" t="s">
        <v>286</v>
      </c>
      <c r="AF12" t="s">
        <v>287</v>
      </c>
      <c r="AG12" t="s">
        <v>10</v>
      </c>
      <c r="AH12" t="s">
        <v>21</v>
      </c>
      <c r="AI12" t="s">
        <v>243</v>
      </c>
      <c r="AJ12" t="s">
        <v>175</v>
      </c>
      <c r="AL12" t="s">
        <v>286</v>
      </c>
      <c r="AM12" t="s">
        <v>325</v>
      </c>
      <c r="AN12" t="str">
        <f>"e_won"&amp;SUBSTITUTE(RIGHT(AM12,2),0,"")+20</f>
        <v>e_won28</v>
      </c>
      <c r="AO12">
        <v>0.98844945266915318</v>
      </c>
      <c r="AP12">
        <v>211.76003439885758</v>
      </c>
      <c r="AR12" t="s">
        <v>239</v>
      </c>
      <c r="AS12" t="s">
        <v>346</v>
      </c>
      <c r="AT12" t="s">
        <v>347</v>
      </c>
      <c r="AU12" t="s">
        <v>10</v>
      </c>
      <c r="AV12" t="s">
        <v>21</v>
      </c>
      <c r="AW12" t="s">
        <v>243</v>
      </c>
      <c r="AX12" t="s">
        <v>175</v>
      </c>
      <c r="AZ12" t="s">
        <v>346</v>
      </c>
      <c r="BA12" t="s">
        <v>365</v>
      </c>
      <c r="BB12" t="str">
        <f t="shared" ref="BB12:BB20" si="1">"e_wof"&amp;SUBSTITUTE(RIGHT(BA12,2),0,"")+40</f>
        <v>e_wof47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230</v>
      </c>
      <c r="Z13" t="str">
        <f t="shared" si="0"/>
        <v>e_sol13</v>
      </c>
      <c r="AA13">
        <v>0.98883640519674998</v>
      </c>
      <c r="AB13">
        <v>204.66590472624989</v>
      </c>
      <c r="AD13" t="s">
        <v>239</v>
      </c>
      <c r="AE13" t="s">
        <v>288</v>
      </c>
      <c r="AF13" t="s">
        <v>289</v>
      </c>
      <c r="AG13" t="s">
        <v>10</v>
      </c>
      <c r="AH13" t="s">
        <v>21</v>
      </c>
      <c r="AI13" t="s">
        <v>243</v>
      </c>
      <c r="AJ13" t="s">
        <v>175</v>
      </c>
      <c r="AL13" t="s">
        <v>288</v>
      </c>
      <c r="AM13" t="s">
        <v>326</v>
      </c>
      <c r="AN13" t="str">
        <f>"e_won"&amp;SUBSTITUTE(RIGHT(AM13,2),0,"")+20</f>
        <v>e_won33</v>
      </c>
      <c r="AO13">
        <v>0.99427708421681416</v>
      </c>
      <c r="AP13">
        <v>104.92012269174036</v>
      </c>
      <c r="AR13" t="s">
        <v>239</v>
      </c>
      <c r="AS13" t="s">
        <v>348</v>
      </c>
      <c r="AT13" t="s">
        <v>349</v>
      </c>
      <c r="AU13" t="s">
        <v>10</v>
      </c>
      <c r="AV13" t="s">
        <v>21</v>
      </c>
      <c r="AW13" t="s">
        <v>243</v>
      </c>
      <c r="AX13" t="s">
        <v>175</v>
      </c>
      <c r="AZ13" t="s">
        <v>348</v>
      </c>
      <c r="BA13" t="s">
        <v>366</v>
      </c>
      <c r="BB13" t="str">
        <f t="shared" si="1"/>
        <v>e_wof48</v>
      </c>
      <c r="BC13">
        <v>0.98926313025711288</v>
      </c>
      <c r="BD13">
        <v>196.84261195293161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225</v>
      </c>
      <c r="Z14" t="str">
        <f t="shared" si="0"/>
        <v>e_sol8</v>
      </c>
      <c r="AA14">
        <v>0.99536570131993762</v>
      </c>
      <c r="AB14">
        <v>84.962142467809898</v>
      </c>
      <c r="AD14" t="s">
        <v>239</v>
      </c>
      <c r="AE14" t="s">
        <v>290</v>
      </c>
      <c r="AF14" t="s">
        <v>291</v>
      </c>
      <c r="AG14" t="s">
        <v>10</v>
      </c>
      <c r="AH14" t="s">
        <v>21</v>
      </c>
      <c r="AI14" t="s">
        <v>243</v>
      </c>
      <c r="AJ14" t="s">
        <v>175</v>
      </c>
      <c r="AL14" t="s">
        <v>290</v>
      </c>
      <c r="AM14" t="s">
        <v>327</v>
      </c>
      <c r="AN14" t="str">
        <f>"e_won"&amp;SUBSTITUTE(RIGHT(AM14,2),0,"")+20</f>
        <v>e_won23</v>
      </c>
      <c r="AO14">
        <v>0.99392750374448113</v>
      </c>
      <c r="AP14">
        <v>111.32909801784524</v>
      </c>
      <c r="AR14" t="s">
        <v>239</v>
      </c>
      <c r="AS14" t="s">
        <v>350</v>
      </c>
      <c r="AT14" t="s">
        <v>351</v>
      </c>
      <c r="AU14" t="s">
        <v>10</v>
      </c>
      <c r="AV14" t="s">
        <v>21</v>
      </c>
      <c r="AW14" t="s">
        <v>243</v>
      </c>
      <c r="AX14" t="s">
        <v>175</v>
      </c>
      <c r="AZ14" t="s">
        <v>350</v>
      </c>
      <c r="BA14" t="s">
        <v>367</v>
      </c>
      <c r="BB14" t="str">
        <f t="shared" si="1"/>
        <v>e_wof41</v>
      </c>
      <c r="BC14">
        <v>0.99136264788907857</v>
      </c>
      <c r="BD14">
        <v>158.35145536689319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tr">
        <f t="shared" si="0"/>
        <v>e_sol3</v>
      </c>
      <c r="AA15">
        <v>0.99356288436829876</v>
      </c>
      <c r="AB15">
        <v>118.01378658118981</v>
      </c>
      <c r="AD15" t="s">
        <v>239</v>
      </c>
      <c r="AE15" t="s">
        <v>292</v>
      </c>
      <c r="AF15" t="s">
        <v>293</v>
      </c>
      <c r="AG15" t="s">
        <v>10</v>
      </c>
      <c r="AH15" t="s">
        <v>21</v>
      </c>
      <c r="AI15" t="s">
        <v>243</v>
      </c>
      <c r="AJ15" t="s">
        <v>175</v>
      </c>
      <c r="AL15" t="s">
        <v>292</v>
      </c>
      <c r="AM15" t="s">
        <v>328</v>
      </c>
      <c r="AN15" t="str">
        <f>"e_won"&amp;SUBSTITUTE(RIGHT(AM15,2),0,"")+20</f>
        <v>e_won34</v>
      </c>
      <c r="AO15">
        <v>0.99368847580230268</v>
      </c>
      <c r="AP15">
        <v>115.71127695778416</v>
      </c>
      <c r="AR15" t="s">
        <v>239</v>
      </c>
      <c r="AS15" t="s">
        <v>352</v>
      </c>
      <c r="AT15" t="s">
        <v>353</v>
      </c>
      <c r="AU15" t="s">
        <v>10</v>
      </c>
      <c r="AV15" t="s">
        <v>21</v>
      </c>
      <c r="AW15" t="s">
        <v>243</v>
      </c>
      <c r="AX15" t="s">
        <v>175</v>
      </c>
      <c r="AZ15" t="s">
        <v>352</v>
      </c>
      <c r="BA15" t="s">
        <v>368</v>
      </c>
      <c r="BB15" t="str">
        <f t="shared" si="1"/>
        <v>e_wof44</v>
      </c>
      <c r="BC15">
        <v>0.99520217301523817</v>
      </c>
      <c r="BD15">
        <v>87.960161387300914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233</v>
      </c>
      <c r="Z16" t="str">
        <f t="shared" si="0"/>
        <v>e_sol16</v>
      </c>
      <c r="AA16">
        <v>0.99442875744459613</v>
      </c>
      <c r="AB16">
        <v>102.13944684907001</v>
      </c>
      <c r="AD16" t="s">
        <v>239</v>
      </c>
      <c r="AE16" t="s">
        <v>294</v>
      </c>
      <c r="AF16" t="s">
        <v>295</v>
      </c>
      <c r="AG16" t="s">
        <v>10</v>
      </c>
      <c r="AH16" t="s">
        <v>21</v>
      </c>
      <c r="AI16" t="s">
        <v>243</v>
      </c>
      <c r="AJ16" t="s">
        <v>175</v>
      </c>
      <c r="AL16" t="s">
        <v>294</v>
      </c>
      <c r="AM16" t="s">
        <v>329</v>
      </c>
      <c r="AN16" t="str">
        <f>"e_won"&amp;SUBSTITUTE(RIGHT(AM16,2),0,"")+20</f>
        <v>e_won22</v>
      </c>
      <c r="AO16">
        <v>0.99582677011152854</v>
      </c>
      <c r="AP16">
        <v>76.509214621975957</v>
      </c>
      <c r="AR16" t="s">
        <v>239</v>
      </c>
      <c r="AS16" t="s">
        <v>354</v>
      </c>
      <c r="AT16" t="s">
        <v>355</v>
      </c>
      <c r="AU16" t="s">
        <v>10</v>
      </c>
      <c r="AV16" t="s">
        <v>21</v>
      </c>
      <c r="AW16" t="s">
        <v>243</v>
      </c>
      <c r="AX16" t="s">
        <v>175</v>
      </c>
      <c r="AZ16" t="s">
        <v>354</v>
      </c>
      <c r="BA16" t="s">
        <v>369</v>
      </c>
      <c r="BB16" t="str">
        <f t="shared" si="1"/>
        <v>e_wof45</v>
      </c>
      <c r="BC16">
        <v>0.99136108064447537</v>
      </c>
      <c r="BD16">
        <v>158.38018818461751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229</v>
      </c>
      <c r="Z17" t="str">
        <f t="shared" si="0"/>
        <v>e_sol12</v>
      </c>
      <c r="AA17">
        <v>0.99131060083308187</v>
      </c>
      <c r="AB17">
        <v>159.30565139349844</v>
      </c>
      <c r="AD17" t="s">
        <v>239</v>
      </c>
      <c r="AE17" t="s">
        <v>296</v>
      </c>
      <c r="AF17" t="s">
        <v>297</v>
      </c>
      <c r="AG17" t="s">
        <v>10</v>
      </c>
      <c r="AH17" t="s">
        <v>21</v>
      </c>
      <c r="AI17" t="s">
        <v>243</v>
      </c>
      <c r="AJ17" t="s">
        <v>175</v>
      </c>
      <c r="AL17" t="s">
        <v>296</v>
      </c>
      <c r="AM17" t="s">
        <v>330</v>
      </c>
      <c r="AN17" t="str">
        <f>"e_won"&amp;SUBSTITUTE(RIGHT(AM17,2),0,"")+20</f>
        <v>e_won35</v>
      </c>
      <c r="AO17">
        <v>0.9911442551729287</v>
      </c>
      <c r="AP17">
        <v>162.35532182964019</v>
      </c>
      <c r="AR17" t="s">
        <v>239</v>
      </c>
      <c r="AS17" t="s">
        <v>356</v>
      </c>
      <c r="AT17" t="s">
        <v>357</v>
      </c>
      <c r="AU17" t="s">
        <v>10</v>
      </c>
      <c r="AV17" t="s">
        <v>21</v>
      </c>
      <c r="AW17" t="s">
        <v>243</v>
      </c>
      <c r="AX17" t="s">
        <v>175</v>
      </c>
      <c r="AZ17" t="s">
        <v>356</v>
      </c>
      <c r="BA17" t="s">
        <v>370</v>
      </c>
      <c r="BB17" t="str">
        <f t="shared" si="1"/>
        <v>e_wof42</v>
      </c>
      <c r="BC17">
        <v>0.98954715343009803</v>
      </c>
      <c r="BD17">
        <v>191.63552044820315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221</v>
      </c>
      <c r="Z18" t="str">
        <f t="shared" si="0"/>
        <v>e_sol4</v>
      </c>
      <c r="AA18">
        <v>0.99559401474611386</v>
      </c>
      <c r="AB18">
        <v>80.776396321244846</v>
      </c>
      <c r="AD18" t="s">
        <v>239</v>
      </c>
      <c r="AE18" t="s">
        <v>298</v>
      </c>
      <c r="AF18" t="s">
        <v>299</v>
      </c>
      <c r="AG18" t="s">
        <v>10</v>
      </c>
      <c r="AH18" t="s">
        <v>21</v>
      </c>
      <c r="AI18" t="s">
        <v>243</v>
      </c>
      <c r="AJ18" t="s">
        <v>175</v>
      </c>
      <c r="AL18" t="s">
        <v>298</v>
      </c>
      <c r="AM18" t="s">
        <v>331</v>
      </c>
      <c r="AN18" t="str">
        <f>"e_won"&amp;SUBSTITUTE(RIGHT(AM18,2),0,"")+20</f>
        <v>e_won27</v>
      </c>
      <c r="AO18">
        <v>0.99353102787032765</v>
      </c>
      <c r="AP18">
        <v>118.59782237732686</v>
      </c>
      <c r="AR18" t="s">
        <v>239</v>
      </c>
      <c r="AS18" t="s">
        <v>358</v>
      </c>
      <c r="AT18" t="s">
        <v>359</v>
      </c>
      <c r="AU18" t="s">
        <v>10</v>
      </c>
      <c r="AV18" t="s">
        <v>21</v>
      </c>
      <c r="AW18" t="s">
        <v>243</v>
      </c>
      <c r="AX18" t="s">
        <v>175</v>
      </c>
      <c r="AZ18" t="s">
        <v>358</v>
      </c>
      <c r="BA18" t="s">
        <v>371</v>
      </c>
      <c r="BB18" t="str">
        <f t="shared" si="1"/>
        <v>e_wof49</v>
      </c>
      <c r="BC18">
        <v>0.99333526531977001</v>
      </c>
      <c r="BD18">
        <v>122.18680247088278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232</v>
      </c>
      <c r="Z19" t="str">
        <f t="shared" si="0"/>
        <v>e_sol15</v>
      </c>
      <c r="AA19">
        <v>0.99589633147839685</v>
      </c>
      <c r="AB19">
        <v>75.233922896057891</v>
      </c>
      <c r="AD19" t="s">
        <v>239</v>
      </c>
      <c r="AE19" t="s">
        <v>300</v>
      </c>
      <c r="AF19" t="s">
        <v>301</v>
      </c>
      <c r="AG19" t="s">
        <v>10</v>
      </c>
      <c r="AH19" t="s">
        <v>21</v>
      </c>
      <c r="AI19" t="s">
        <v>243</v>
      </c>
      <c r="AJ19" t="s">
        <v>175</v>
      </c>
      <c r="AL19" t="s">
        <v>300</v>
      </c>
      <c r="AM19" t="s">
        <v>332</v>
      </c>
      <c r="AN19" t="str">
        <f>"e_won"&amp;SUBSTITUTE(RIGHT(AM19,2),0,"")+20</f>
        <v>e_won25</v>
      </c>
      <c r="AO19">
        <v>0.98751891498768063</v>
      </c>
      <c r="AP19">
        <v>228.81989189252232</v>
      </c>
      <c r="AR19" t="s">
        <v>239</v>
      </c>
      <c r="AS19" t="s">
        <v>360</v>
      </c>
      <c r="AT19" t="s">
        <v>361</v>
      </c>
      <c r="AU19" t="s">
        <v>10</v>
      </c>
      <c r="AV19" t="s">
        <v>21</v>
      </c>
      <c r="AW19" t="s">
        <v>243</v>
      </c>
      <c r="AX19" t="s">
        <v>175</v>
      </c>
      <c r="AZ19" t="s">
        <v>360</v>
      </c>
      <c r="BA19" t="s">
        <v>372</v>
      </c>
      <c r="BB19" t="str">
        <f t="shared" si="1"/>
        <v>e_wof41</v>
      </c>
      <c r="BC19">
        <v>0.9941446088905187</v>
      </c>
      <c r="BD19">
        <v>107.34883700715665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237</v>
      </c>
      <c r="Z20" t="str">
        <f>"e_sol"&amp;SUBSTITUTE(RIGHT(Y20,2),0,"")&amp;"0"</f>
        <v>e_sol20</v>
      </c>
      <c r="AA20">
        <v>0.9962937079492431</v>
      </c>
      <c r="AB20">
        <v>67.94868759721048</v>
      </c>
      <c r="AD20" t="s">
        <v>239</v>
      </c>
      <c r="AE20" t="s">
        <v>302</v>
      </c>
      <c r="AF20" t="s">
        <v>303</v>
      </c>
      <c r="AG20" t="s">
        <v>10</v>
      </c>
      <c r="AH20" t="s">
        <v>21</v>
      </c>
      <c r="AI20" t="s">
        <v>243</v>
      </c>
      <c r="AJ20" t="s">
        <v>175</v>
      </c>
      <c r="AL20" t="s">
        <v>302</v>
      </c>
      <c r="AM20" t="s">
        <v>333</v>
      </c>
      <c r="AN20" t="str">
        <f>"e_won"&amp;SUBSTITUTE(RIGHT(AM20,2),0,"")+20</f>
        <v>e_won31</v>
      </c>
      <c r="AO20">
        <v>0.98768981100926756</v>
      </c>
      <c r="AP20">
        <v>225.68679816342777</v>
      </c>
      <c r="AR20" t="s">
        <v>239</v>
      </c>
      <c r="AS20" t="s">
        <v>362</v>
      </c>
      <c r="AT20" t="s">
        <v>363</v>
      </c>
      <c r="AU20" t="s">
        <v>10</v>
      </c>
      <c r="AV20" t="s">
        <v>21</v>
      </c>
      <c r="AW20" t="s">
        <v>243</v>
      </c>
      <c r="AX20" t="s">
        <v>175</v>
      </c>
      <c r="AZ20" t="s">
        <v>362</v>
      </c>
      <c r="BA20" t="s">
        <v>373</v>
      </c>
      <c r="BB20" t="str">
        <f t="shared" si="1"/>
        <v>e_wof43</v>
      </c>
      <c r="BC20">
        <v>0.99204351007823377</v>
      </c>
      <c r="BD20">
        <v>145.8689818990471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224</v>
      </c>
      <c r="Z21" t="str">
        <f t="shared" si="0"/>
        <v>e_sol7</v>
      </c>
      <c r="AA21">
        <v>0.99371757160137486</v>
      </c>
      <c r="AB21">
        <v>115.17785397479503</v>
      </c>
      <c r="AD21" t="s">
        <v>239</v>
      </c>
      <c r="AE21" t="s">
        <v>304</v>
      </c>
      <c r="AF21" t="s">
        <v>305</v>
      </c>
      <c r="AG21" t="s">
        <v>10</v>
      </c>
      <c r="AH21" t="s">
        <v>21</v>
      </c>
      <c r="AI21" t="s">
        <v>243</v>
      </c>
      <c r="AJ21" t="s">
        <v>175</v>
      </c>
      <c r="AL21" t="s">
        <v>304</v>
      </c>
      <c r="AM21" t="s">
        <v>334</v>
      </c>
      <c r="AN21" t="str">
        <f>"e_won"&amp;SUBSTITUTE(RIGHT(AM21,2),0,"")+20</f>
        <v>e_won21</v>
      </c>
      <c r="AO21">
        <v>0.99419279872301636</v>
      </c>
      <c r="AP21">
        <v>106.46535674469997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222</v>
      </c>
      <c r="Z22" t="str">
        <f t="shared" si="0"/>
        <v>e_sol5</v>
      </c>
      <c r="AA22">
        <v>0.99372835533859694</v>
      </c>
      <c r="AB22">
        <v>114.98015212572193</v>
      </c>
      <c r="AD22" t="s">
        <v>239</v>
      </c>
      <c r="AE22" t="s">
        <v>306</v>
      </c>
      <c r="AF22" t="s">
        <v>307</v>
      </c>
      <c r="AG22" t="s">
        <v>10</v>
      </c>
      <c r="AH22" t="s">
        <v>21</v>
      </c>
      <c r="AI22" t="s">
        <v>243</v>
      </c>
      <c r="AJ22" t="s">
        <v>175</v>
      </c>
      <c r="AL22" t="s">
        <v>306</v>
      </c>
      <c r="AM22" t="s">
        <v>335</v>
      </c>
      <c r="AN22" t="str">
        <f>"e_won"&amp;SUBSTITUTE(RIGHT(AM22,2),0,"")+20</f>
        <v>e_won36</v>
      </c>
      <c r="AO22">
        <v>0.99053113122064196</v>
      </c>
      <c r="AP22">
        <v>173.59592762156493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234</v>
      </c>
      <c r="Z23" t="str">
        <f t="shared" si="0"/>
        <v>e_sol17</v>
      </c>
      <c r="AA23">
        <v>0.9964587744572686</v>
      </c>
      <c r="AB23">
        <v>64.922468283408804</v>
      </c>
      <c r="AD23" t="s">
        <v>239</v>
      </c>
      <c r="AE23" t="s">
        <v>308</v>
      </c>
      <c r="AF23" t="s">
        <v>309</v>
      </c>
      <c r="AG23" t="s">
        <v>10</v>
      </c>
      <c r="AH23" t="s">
        <v>21</v>
      </c>
      <c r="AI23" t="s">
        <v>243</v>
      </c>
      <c r="AJ23" t="s">
        <v>175</v>
      </c>
      <c r="AL23" t="s">
        <v>308</v>
      </c>
      <c r="AM23" t="s">
        <v>336</v>
      </c>
      <c r="AN23" t="str">
        <f>"e_won"&amp;SUBSTITUTE(RIGHT(AM23,2),0,"")+20</f>
        <v>e_won32</v>
      </c>
      <c r="AO23">
        <v>0.99436493305946672</v>
      </c>
      <c r="AP23">
        <v>103.30956057644399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235</v>
      </c>
      <c r="Z24" t="str">
        <f t="shared" si="0"/>
        <v>e_sol18</v>
      </c>
      <c r="AA24">
        <v>0.99630851076955973</v>
      </c>
      <c r="AB24">
        <v>67.677302558071602</v>
      </c>
      <c r="AD24" t="s">
        <v>239</v>
      </c>
      <c r="AE24" t="s">
        <v>310</v>
      </c>
      <c r="AF24" t="s">
        <v>311</v>
      </c>
      <c r="AG24" t="s">
        <v>10</v>
      </c>
      <c r="AH24" t="s">
        <v>21</v>
      </c>
      <c r="AI24" t="s">
        <v>243</v>
      </c>
      <c r="AJ24" t="s">
        <v>175</v>
      </c>
      <c r="AL24" t="s">
        <v>310</v>
      </c>
      <c r="AM24" t="s">
        <v>337</v>
      </c>
      <c r="AN24" t="str">
        <f>"e_won"&amp;SUBSTITUTE(RIGHT(AM24,2),0,"")+20</f>
        <v>e_won26</v>
      </c>
      <c r="AO24">
        <v>0.99558761976621801</v>
      </c>
      <c r="AP24">
        <v>80.893637619336488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231</v>
      </c>
      <c r="Z25" t="str">
        <f t="shared" si="0"/>
        <v>e_sol14</v>
      </c>
      <c r="AA25">
        <v>0.99306360188977116</v>
      </c>
      <c r="AB25">
        <v>127.16729868752907</v>
      </c>
      <c r="AD25" t="s">
        <v>239</v>
      </c>
      <c r="AE25" t="s">
        <v>312</v>
      </c>
      <c r="AF25" t="s">
        <v>313</v>
      </c>
      <c r="AG25" t="s">
        <v>10</v>
      </c>
      <c r="AH25" t="s">
        <v>21</v>
      </c>
      <c r="AI25" t="s">
        <v>243</v>
      </c>
      <c r="AJ25" t="s">
        <v>175</v>
      </c>
      <c r="AL25" t="s">
        <v>312</v>
      </c>
      <c r="AM25" t="s">
        <v>338</v>
      </c>
      <c r="AN25" t="str">
        <f>"e_won"&amp;SUBSTITUTE(RIGHT(AM25,2),0,"")+20</f>
        <v>e_won39</v>
      </c>
      <c r="AO25">
        <v>0.99520787559028878</v>
      </c>
      <c r="AP25">
        <v>87.85561417803892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223</v>
      </c>
      <c r="Z26" t="str">
        <f t="shared" si="0"/>
        <v>e_sol6</v>
      </c>
      <c r="AA26">
        <v>0.990012010348303</v>
      </c>
      <c r="AB26">
        <v>183.11314361444599</v>
      </c>
      <c r="AD26" t="s">
        <v>239</v>
      </c>
      <c r="AE26" t="s">
        <v>314</v>
      </c>
      <c r="AF26" t="s">
        <v>315</v>
      </c>
      <c r="AG26" t="s">
        <v>10</v>
      </c>
      <c r="AH26" t="s">
        <v>21</v>
      </c>
      <c r="AI26" t="s">
        <v>243</v>
      </c>
      <c r="AJ26" t="s">
        <v>175</v>
      </c>
      <c r="AL26" t="s">
        <v>314</v>
      </c>
      <c r="AM26" t="s">
        <v>339</v>
      </c>
      <c r="AN26" t="str">
        <f>"e_won"&amp;SUBSTITUTE(RIGHT(AM26,2),0,"")+20</f>
        <v>e_won29</v>
      </c>
      <c r="AO26">
        <v>0.99552303355529737</v>
      </c>
      <c r="AP26">
        <v>82.077718152882312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228</v>
      </c>
      <c r="Z27" t="str">
        <f t="shared" si="0"/>
        <v>e_sol11</v>
      </c>
      <c r="AA27">
        <v>0.98893381891519438</v>
      </c>
      <c r="AB27">
        <v>202.87998655476954</v>
      </c>
      <c r="AD27" t="s">
        <v>239</v>
      </c>
      <c r="AE27" t="s">
        <v>316</v>
      </c>
      <c r="AF27" t="s">
        <v>317</v>
      </c>
      <c r="AG27" t="s">
        <v>10</v>
      </c>
      <c r="AH27" t="s">
        <v>21</v>
      </c>
      <c r="AI27" t="s">
        <v>243</v>
      </c>
      <c r="AJ27" t="s">
        <v>175</v>
      </c>
      <c r="AL27" t="s">
        <v>316</v>
      </c>
      <c r="AM27" t="s">
        <v>340</v>
      </c>
      <c r="AN27" t="str">
        <f>"e_won"&amp;SUBSTITUTE(RIGHT(AM27,2),0,"")+20</f>
        <v>e_won37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227</v>
      </c>
      <c r="Z28" t="str">
        <f>"e_sol"&amp;SUBSTITUTE(RIGHT(Y28,2),0,"")&amp;"0"</f>
        <v>e_sol10</v>
      </c>
      <c r="AA28">
        <v>0.9866385672597856</v>
      </c>
      <c r="AB28">
        <v>244.95960023726295</v>
      </c>
      <c r="AD28" t="s">
        <v>239</v>
      </c>
      <c r="AE28" t="s">
        <v>318</v>
      </c>
      <c r="AF28" t="s">
        <v>319</v>
      </c>
      <c r="AG28" t="s">
        <v>10</v>
      </c>
      <c r="AH28" t="s">
        <v>21</v>
      </c>
      <c r="AI28" t="s">
        <v>243</v>
      </c>
      <c r="AJ28" t="s">
        <v>175</v>
      </c>
      <c r="AL28" t="s">
        <v>318</v>
      </c>
      <c r="AM28" t="s">
        <v>341</v>
      </c>
      <c r="AN28" t="str">
        <f>"e_won"&amp;SUBSTITUTE(RIGHT(AM28,2),0,"")+20</f>
        <v>e_won22</v>
      </c>
      <c r="AO28">
        <v>0.99498199124719422</v>
      </c>
      <c r="AP28">
        <v>91.99682713477273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226</v>
      </c>
      <c r="Z29" t="str">
        <f t="shared" si="0"/>
        <v>e_sol9</v>
      </c>
      <c r="AA29">
        <v>0.98928494645383225</v>
      </c>
      <c r="AB29">
        <v>196.44264834640867</v>
      </c>
      <c r="AD29" t="s">
        <v>239</v>
      </c>
      <c r="AE29" t="s">
        <v>320</v>
      </c>
      <c r="AF29" t="s">
        <v>321</v>
      </c>
      <c r="AG29" t="s">
        <v>10</v>
      </c>
      <c r="AH29" t="s">
        <v>21</v>
      </c>
      <c r="AI29" t="s">
        <v>243</v>
      </c>
      <c r="AJ29" t="s">
        <v>175</v>
      </c>
      <c r="AL29" t="s">
        <v>320</v>
      </c>
      <c r="AM29" t="s">
        <v>342</v>
      </c>
      <c r="AN29" t="str">
        <f>"e_won"&amp;SUBSTITUTE(RIGHT(AM29,2),0,"")+20</f>
        <v>e_won38</v>
      </c>
      <c r="AO29">
        <v>0.98926286248458195</v>
      </c>
      <c r="AP29">
        <v>196.84752111599829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tr">
        <f t="shared" si="0"/>
        <v>e_sol1</v>
      </c>
      <c r="AA30">
        <v>0.9905299918588647</v>
      </c>
      <c r="AB30">
        <v>173.61681592081291</v>
      </c>
      <c r="AD30" t="s">
        <v>239</v>
      </c>
      <c r="AE30" t="s">
        <v>322</v>
      </c>
      <c r="AF30" t="s">
        <v>323</v>
      </c>
      <c r="AG30" t="s">
        <v>10</v>
      </c>
      <c r="AH30" t="s">
        <v>21</v>
      </c>
      <c r="AI30" t="s">
        <v>243</v>
      </c>
      <c r="AJ30" t="s">
        <v>175</v>
      </c>
      <c r="AL30" t="s">
        <v>322</v>
      </c>
      <c r="AM30" t="s">
        <v>343</v>
      </c>
      <c r="AN30" t="str">
        <f>"e_won"&amp;SUBSTITUTE(RIGHT(AM30,2),0,"")+20</f>
        <v>e_won24</v>
      </c>
      <c r="AO30">
        <v>0.98909696821272286</v>
      </c>
      <c r="AP30">
        <v>199.88891610008122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2831-07FE-4634-97C7-7A0755AD8A7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374</v>
      </c>
      <c r="D11" t="s">
        <v>375</v>
      </c>
      <c r="E11" t="s">
        <v>10</v>
      </c>
      <c r="F11" t="s">
        <v>21</v>
      </c>
      <c r="G11" t="s">
        <v>174</v>
      </c>
      <c r="H11" t="s">
        <v>175</v>
      </c>
      <c r="J11" t="s">
        <v>374</v>
      </c>
      <c r="K11" t="s">
        <v>324</v>
      </c>
      <c r="L11">
        <v>0.45167200935612223</v>
      </c>
      <c r="M11">
        <v>0.29960202155764681</v>
      </c>
      <c r="O11" t="s">
        <v>171</v>
      </c>
      <c r="P11" t="s">
        <v>414</v>
      </c>
      <c r="Q11" t="s">
        <v>415</v>
      </c>
      <c r="R11" t="s">
        <v>10</v>
      </c>
      <c r="S11" t="s">
        <v>21</v>
      </c>
      <c r="T11" t="s">
        <v>174</v>
      </c>
      <c r="U11" t="s">
        <v>175</v>
      </c>
      <c r="W11" t="s">
        <v>414</v>
      </c>
      <c r="X11" t="s">
        <v>372</v>
      </c>
      <c r="Y11">
        <v>0.83925000000000005</v>
      </c>
      <c r="Z11">
        <v>0.29503941862601879</v>
      </c>
    </row>
    <row r="12" spans="2:26">
      <c r="B12" t="s">
        <v>171</v>
      </c>
      <c r="C12" t="s">
        <v>376</v>
      </c>
      <c r="D12" t="s">
        <v>377</v>
      </c>
      <c r="E12" t="s">
        <v>10</v>
      </c>
      <c r="F12" t="s">
        <v>21</v>
      </c>
      <c r="G12" t="s">
        <v>174</v>
      </c>
      <c r="H12" t="s">
        <v>175</v>
      </c>
      <c r="J12" t="s">
        <v>376</v>
      </c>
      <c r="K12" t="s">
        <v>341</v>
      </c>
      <c r="L12">
        <v>0.50504353376491207</v>
      </c>
      <c r="M12">
        <v>0.27898384516340557</v>
      </c>
      <c r="O12" t="s">
        <v>171</v>
      </c>
      <c r="P12" t="s">
        <v>416</v>
      </c>
      <c r="Q12" t="s">
        <v>417</v>
      </c>
      <c r="R12" t="s">
        <v>10</v>
      </c>
      <c r="S12" t="s">
        <v>21</v>
      </c>
      <c r="T12" t="s">
        <v>174</v>
      </c>
      <c r="U12" t="s">
        <v>175</v>
      </c>
      <c r="W12" t="s">
        <v>416</v>
      </c>
      <c r="X12" t="s">
        <v>370</v>
      </c>
      <c r="Y12">
        <v>16.887</v>
      </c>
      <c r="Z12">
        <v>0.47859411512724059</v>
      </c>
    </row>
    <row r="13" spans="2:26">
      <c r="B13" t="s">
        <v>171</v>
      </c>
      <c r="C13" t="s">
        <v>378</v>
      </c>
      <c r="D13" t="s">
        <v>379</v>
      </c>
      <c r="E13" t="s">
        <v>10</v>
      </c>
      <c r="F13" t="s">
        <v>21</v>
      </c>
      <c r="G13" t="s">
        <v>174</v>
      </c>
      <c r="H13" t="s">
        <v>175</v>
      </c>
      <c r="J13" t="s">
        <v>378</v>
      </c>
      <c r="K13" t="s">
        <v>327</v>
      </c>
      <c r="L13">
        <v>1.7897871713950226</v>
      </c>
      <c r="M13">
        <v>0.29949119500764387</v>
      </c>
      <c r="O13" t="s">
        <v>171</v>
      </c>
      <c r="P13" t="s">
        <v>418</v>
      </c>
      <c r="Q13" t="s">
        <v>419</v>
      </c>
      <c r="R13" t="s">
        <v>10</v>
      </c>
      <c r="S13" t="s">
        <v>21</v>
      </c>
      <c r="T13" t="s">
        <v>174</v>
      </c>
      <c r="U13" t="s">
        <v>175</v>
      </c>
      <c r="W13" t="s">
        <v>418</v>
      </c>
      <c r="X13" t="s">
        <v>373</v>
      </c>
      <c r="Y13">
        <v>11.2965</v>
      </c>
      <c r="Z13">
        <v>0.39611973593706279</v>
      </c>
    </row>
    <row r="14" spans="2:26">
      <c r="B14" t="s">
        <v>171</v>
      </c>
      <c r="C14" t="s">
        <v>380</v>
      </c>
      <c r="D14" t="s">
        <v>381</v>
      </c>
      <c r="E14" t="s">
        <v>10</v>
      </c>
      <c r="F14" t="s">
        <v>21</v>
      </c>
      <c r="G14" t="s">
        <v>174</v>
      </c>
      <c r="H14" t="s">
        <v>175</v>
      </c>
      <c r="J14" t="s">
        <v>380</v>
      </c>
      <c r="K14" t="s">
        <v>343</v>
      </c>
      <c r="L14">
        <v>2.6804732670444085</v>
      </c>
      <c r="M14">
        <v>0.31425063625079108</v>
      </c>
      <c r="O14" t="s">
        <v>171</v>
      </c>
      <c r="P14" t="s">
        <v>420</v>
      </c>
      <c r="Q14" t="s">
        <v>421</v>
      </c>
      <c r="R14" t="s">
        <v>10</v>
      </c>
      <c r="S14" t="s">
        <v>21</v>
      </c>
      <c r="T14" t="s">
        <v>174</v>
      </c>
      <c r="U14" t="s">
        <v>175</v>
      </c>
      <c r="W14" t="s">
        <v>420</v>
      </c>
      <c r="X14" t="s">
        <v>368</v>
      </c>
      <c r="Y14">
        <v>6.6577500000000001</v>
      </c>
      <c r="Z14">
        <v>0.51418941408779362</v>
      </c>
    </row>
    <row r="15" spans="2:26">
      <c r="B15" t="s">
        <v>171</v>
      </c>
      <c r="C15" t="s">
        <v>382</v>
      </c>
      <c r="D15" t="s">
        <v>383</v>
      </c>
      <c r="E15" t="s">
        <v>10</v>
      </c>
      <c r="F15" t="s">
        <v>21</v>
      </c>
      <c r="G15" t="s">
        <v>174</v>
      </c>
      <c r="H15" t="s">
        <v>175</v>
      </c>
      <c r="J15" t="s">
        <v>382</v>
      </c>
      <c r="K15" t="s">
        <v>332</v>
      </c>
      <c r="L15">
        <v>8.0517810049421517</v>
      </c>
      <c r="M15">
        <v>0.31464799268951921</v>
      </c>
      <c r="O15" t="s">
        <v>171</v>
      </c>
      <c r="P15" t="s">
        <v>422</v>
      </c>
      <c r="Q15" t="s">
        <v>423</v>
      </c>
      <c r="R15" t="s">
        <v>10</v>
      </c>
      <c r="S15" t="s">
        <v>21</v>
      </c>
      <c r="T15" t="s">
        <v>174</v>
      </c>
      <c r="U15" t="s">
        <v>175</v>
      </c>
      <c r="W15" t="s">
        <v>422</v>
      </c>
      <c r="X15" t="s">
        <v>369</v>
      </c>
      <c r="Y15">
        <v>17.089500000000001</v>
      </c>
      <c r="Z15">
        <v>0.50447045157143244</v>
      </c>
    </row>
    <row r="16" spans="2:26">
      <c r="B16" t="s">
        <v>171</v>
      </c>
      <c r="C16" t="s">
        <v>384</v>
      </c>
      <c r="D16" t="s">
        <v>385</v>
      </c>
      <c r="E16" t="s">
        <v>10</v>
      </c>
      <c r="F16" t="s">
        <v>21</v>
      </c>
      <c r="G16" t="s">
        <v>174</v>
      </c>
      <c r="H16" t="s">
        <v>175</v>
      </c>
      <c r="J16" t="s">
        <v>384</v>
      </c>
      <c r="K16" t="s">
        <v>337</v>
      </c>
      <c r="L16">
        <v>0.96273897344398884</v>
      </c>
      <c r="M16">
        <v>0.31360236547565429</v>
      </c>
      <c r="O16" t="s">
        <v>171</v>
      </c>
      <c r="P16" t="s">
        <v>424</v>
      </c>
      <c r="Q16" t="s">
        <v>425</v>
      </c>
      <c r="R16" t="s">
        <v>10</v>
      </c>
      <c r="S16" t="s">
        <v>21</v>
      </c>
      <c r="T16" t="s">
        <v>174</v>
      </c>
      <c r="U16" t="s">
        <v>175</v>
      </c>
      <c r="W16" t="s">
        <v>424</v>
      </c>
      <c r="X16" t="s">
        <v>364</v>
      </c>
      <c r="Y16">
        <v>10.023</v>
      </c>
      <c r="Z16">
        <v>0.4805653092687166</v>
      </c>
    </row>
    <row r="17" spans="2:26">
      <c r="B17" t="s">
        <v>171</v>
      </c>
      <c r="C17" t="s">
        <v>386</v>
      </c>
      <c r="D17" t="s">
        <v>387</v>
      </c>
      <c r="E17" t="s">
        <v>10</v>
      </c>
      <c r="F17" t="s">
        <v>21</v>
      </c>
      <c r="G17" t="s">
        <v>174</v>
      </c>
      <c r="H17" t="s">
        <v>175</v>
      </c>
      <c r="J17" t="s">
        <v>386</v>
      </c>
      <c r="K17" t="s">
        <v>331</v>
      </c>
      <c r="L17">
        <v>1.093890418371007</v>
      </c>
      <c r="M17">
        <v>0.32007628577574659</v>
      </c>
      <c r="O17" t="s">
        <v>171</v>
      </c>
      <c r="P17" t="s">
        <v>426</v>
      </c>
      <c r="Q17" t="s">
        <v>427</v>
      </c>
      <c r="R17" t="s">
        <v>10</v>
      </c>
      <c r="S17" t="s">
        <v>21</v>
      </c>
      <c r="T17" t="s">
        <v>174</v>
      </c>
      <c r="U17" t="s">
        <v>175</v>
      </c>
      <c r="W17" t="s">
        <v>426</v>
      </c>
      <c r="X17" t="s">
        <v>365</v>
      </c>
      <c r="Y17">
        <v>0.22650000000000001</v>
      </c>
      <c r="Z17">
        <v>0.37997411876840609</v>
      </c>
    </row>
    <row r="18" spans="2:26">
      <c r="B18" t="s">
        <v>171</v>
      </c>
      <c r="C18" t="s">
        <v>388</v>
      </c>
      <c r="D18" t="s">
        <v>389</v>
      </c>
      <c r="E18" t="s">
        <v>10</v>
      </c>
      <c r="F18" t="s">
        <v>21</v>
      </c>
      <c r="G18" t="s">
        <v>174</v>
      </c>
      <c r="H18" t="s">
        <v>175</v>
      </c>
      <c r="J18" t="s">
        <v>388</v>
      </c>
      <c r="K18" t="s">
        <v>325</v>
      </c>
      <c r="L18">
        <v>3.1665724666245323</v>
      </c>
      <c r="M18">
        <v>0.31071123843148257</v>
      </c>
      <c r="O18" t="s">
        <v>171</v>
      </c>
      <c r="P18" t="s">
        <v>428</v>
      </c>
      <c r="Q18" t="s">
        <v>429</v>
      </c>
      <c r="R18" t="s">
        <v>10</v>
      </c>
      <c r="S18" t="s">
        <v>21</v>
      </c>
      <c r="T18" t="s">
        <v>174</v>
      </c>
      <c r="U18" t="s">
        <v>175</v>
      </c>
      <c r="W18" t="s">
        <v>428</v>
      </c>
      <c r="X18" t="s">
        <v>366</v>
      </c>
      <c r="Y18">
        <v>9.5062499999999996</v>
      </c>
      <c r="Z18">
        <v>0.50020958646910163</v>
      </c>
    </row>
    <row r="19" spans="2:26">
      <c r="B19" t="s">
        <v>171</v>
      </c>
      <c r="C19" t="s">
        <v>390</v>
      </c>
      <c r="D19" t="s">
        <v>391</v>
      </c>
      <c r="E19" t="s">
        <v>10</v>
      </c>
      <c r="F19" t="s">
        <v>21</v>
      </c>
      <c r="G19" t="s">
        <v>174</v>
      </c>
      <c r="H19" t="s">
        <v>175</v>
      </c>
      <c r="J19" t="s">
        <v>390</v>
      </c>
      <c r="K19" t="s">
        <v>339</v>
      </c>
      <c r="L19">
        <v>0.55491188155257321</v>
      </c>
      <c r="M19">
        <v>0.34971865973965988</v>
      </c>
      <c r="O19" t="s">
        <v>171</v>
      </c>
      <c r="P19" t="s">
        <v>430</v>
      </c>
      <c r="Q19" t="s">
        <v>431</v>
      </c>
      <c r="R19" t="s">
        <v>10</v>
      </c>
      <c r="S19" t="s">
        <v>21</v>
      </c>
      <c r="T19" t="s">
        <v>174</v>
      </c>
      <c r="U19" t="s">
        <v>175</v>
      </c>
      <c r="W19" t="s">
        <v>430</v>
      </c>
      <c r="X19" t="s">
        <v>371</v>
      </c>
      <c r="Y19">
        <v>13.37175</v>
      </c>
      <c r="Z19">
        <v>0.50992979072123346</v>
      </c>
    </row>
    <row r="20" spans="2:26">
      <c r="B20" t="s">
        <v>171</v>
      </c>
      <c r="C20" t="s">
        <v>392</v>
      </c>
      <c r="D20" t="s">
        <v>393</v>
      </c>
      <c r="E20" t="s">
        <v>10</v>
      </c>
      <c r="F20" t="s">
        <v>21</v>
      </c>
      <c r="G20" t="s">
        <v>174</v>
      </c>
      <c r="H20" t="s">
        <v>175</v>
      </c>
      <c r="J20" t="s">
        <v>392</v>
      </c>
      <c r="K20" t="s">
        <v>334</v>
      </c>
      <c r="L20">
        <v>0.97886072674627833</v>
      </c>
      <c r="M20">
        <v>0.38528921498822227</v>
      </c>
      <c r="O20" t="s">
        <v>171</v>
      </c>
      <c r="P20" t="s">
        <v>432</v>
      </c>
      <c r="Q20" t="s">
        <v>433</v>
      </c>
      <c r="R20" t="s">
        <v>10</v>
      </c>
      <c r="S20" t="s">
        <v>21</v>
      </c>
      <c r="T20" t="s">
        <v>174</v>
      </c>
      <c r="U20" t="s">
        <v>175</v>
      </c>
      <c r="W20" t="s">
        <v>432</v>
      </c>
      <c r="X20" t="s">
        <v>367</v>
      </c>
      <c r="Y20">
        <v>3.9427500000000002</v>
      </c>
      <c r="Z20">
        <v>0.46231116443987391</v>
      </c>
    </row>
    <row r="21" spans="2:26">
      <c r="B21" t="s">
        <v>171</v>
      </c>
      <c r="C21" t="s">
        <v>394</v>
      </c>
      <c r="D21" t="s">
        <v>395</v>
      </c>
      <c r="E21" t="s">
        <v>10</v>
      </c>
      <c r="F21" t="s">
        <v>21</v>
      </c>
      <c r="G21" t="s">
        <v>174</v>
      </c>
      <c r="H21" t="s">
        <v>175</v>
      </c>
      <c r="J21" t="s">
        <v>394</v>
      </c>
      <c r="K21" t="s">
        <v>333</v>
      </c>
      <c r="L21">
        <v>0.40593208719379742</v>
      </c>
      <c r="M21">
        <v>0.2661318886306912</v>
      </c>
    </row>
    <row r="22" spans="2:26">
      <c r="B22" t="s">
        <v>171</v>
      </c>
      <c r="C22" t="s">
        <v>396</v>
      </c>
      <c r="D22" t="s">
        <v>397</v>
      </c>
      <c r="E22" t="s">
        <v>10</v>
      </c>
      <c r="F22" t="s">
        <v>21</v>
      </c>
      <c r="G22" t="s">
        <v>174</v>
      </c>
      <c r="H22" t="s">
        <v>175</v>
      </c>
      <c r="J22" t="s">
        <v>396</v>
      </c>
      <c r="K22" t="s">
        <v>336</v>
      </c>
      <c r="L22">
        <v>0.8833561507867439</v>
      </c>
      <c r="M22">
        <v>0.3030954042095258</v>
      </c>
    </row>
    <row r="23" spans="2:26">
      <c r="B23" t="s">
        <v>171</v>
      </c>
      <c r="C23" t="s">
        <v>398</v>
      </c>
      <c r="D23" t="s">
        <v>399</v>
      </c>
      <c r="E23" t="s">
        <v>10</v>
      </c>
      <c r="F23" t="s">
        <v>21</v>
      </c>
      <c r="G23" t="s">
        <v>174</v>
      </c>
      <c r="H23" t="s">
        <v>175</v>
      </c>
      <c r="J23" t="s">
        <v>398</v>
      </c>
      <c r="K23" t="s">
        <v>326</v>
      </c>
      <c r="L23">
        <v>0.40306698622644632</v>
      </c>
      <c r="M23">
        <v>0.29167521595820228</v>
      </c>
    </row>
    <row r="24" spans="2:26">
      <c r="B24" t="s">
        <v>171</v>
      </c>
      <c r="C24" t="s">
        <v>400</v>
      </c>
      <c r="D24" t="s">
        <v>401</v>
      </c>
      <c r="E24" t="s">
        <v>10</v>
      </c>
      <c r="F24" t="s">
        <v>21</v>
      </c>
      <c r="G24" t="s">
        <v>174</v>
      </c>
      <c r="H24" t="s">
        <v>175</v>
      </c>
      <c r="J24" t="s">
        <v>400</v>
      </c>
      <c r="K24" t="s">
        <v>328</v>
      </c>
      <c r="L24">
        <v>0.84020182400735144</v>
      </c>
      <c r="M24">
        <v>0.30218757588704248</v>
      </c>
    </row>
    <row r="25" spans="2:26">
      <c r="B25" t="s">
        <v>171</v>
      </c>
      <c r="C25" t="s">
        <v>402</v>
      </c>
      <c r="D25" t="s">
        <v>403</v>
      </c>
      <c r="E25" t="s">
        <v>10</v>
      </c>
      <c r="F25" t="s">
        <v>21</v>
      </c>
      <c r="G25" t="s">
        <v>174</v>
      </c>
      <c r="H25" t="s">
        <v>175</v>
      </c>
      <c r="J25" t="s">
        <v>402</v>
      </c>
      <c r="K25" t="s">
        <v>330</v>
      </c>
      <c r="L25">
        <v>0.35328950844501877</v>
      </c>
      <c r="M25">
        <v>0.1201084725101861</v>
      </c>
    </row>
    <row r="26" spans="2:26">
      <c r="B26" t="s">
        <v>171</v>
      </c>
      <c r="C26" t="s">
        <v>404</v>
      </c>
      <c r="D26" t="s">
        <v>405</v>
      </c>
      <c r="E26" t="s">
        <v>10</v>
      </c>
      <c r="F26" t="s">
        <v>21</v>
      </c>
      <c r="G26" t="s">
        <v>174</v>
      </c>
      <c r="H26" t="s">
        <v>175</v>
      </c>
      <c r="J26" t="s">
        <v>404</v>
      </c>
      <c r="K26" t="s">
        <v>335</v>
      </c>
      <c r="L26">
        <v>0.89446396558783758</v>
      </c>
      <c r="M26">
        <v>0.29862165926308171</v>
      </c>
    </row>
    <row r="27" spans="2:26">
      <c r="B27" t="s">
        <v>171</v>
      </c>
      <c r="C27" t="s">
        <v>406</v>
      </c>
      <c r="D27" t="s">
        <v>407</v>
      </c>
      <c r="E27" t="s">
        <v>10</v>
      </c>
      <c r="F27" t="s">
        <v>21</v>
      </c>
      <c r="G27" t="s">
        <v>174</v>
      </c>
      <c r="H27" t="s">
        <v>175</v>
      </c>
      <c r="J27" t="s">
        <v>406</v>
      </c>
      <c r="K27" t="s">
        <v>340</v>
      </c>
      <c r="L27">
        <v>0.55411362221124194</v>
      </c>
      <c r="M27">
        <v>0.22321530523837249</v>
      </c>
    </row>
    <row r="28" spans="2:26">
      <c r="B28" t="s">
        <v>171</v>
      </c>
      <c r="C28" t="s">
        <v>408</v>
      </c>
      <c r="D28" t="s">
        <v>409</v>
      </c>
      <c r="E28" t="s">
        <v>10</v>
      </c>
      <c r="F28" t="s">
        <v>21</v>
      </c>
      <c r="G28" t="s">
        <v>174</v>
      </c>
      <c r="H28" t="s">
        <v>175</v>
      </c>
      <c r="J28" t="s">
        <v>408</v>
      </c>
      <c r="K28" t="s">
        <v>342</v>
      </c>
      <c r="L28">
        <v>1.4637274230737423</v>
      </c>
      <c r="M28">
        <v>0.23908320032435321</v>
      </c>
    </row>
    <row r="29" spans="2:26">
      <c r="B29" t="s">
        <v>171</v>
      </c>
      <c r="C29" t="s">
        <v>410</v>
      </c>
      <c r="D29" t="s">
        <v>411</v>
      </c>
      <c r="E29" t="s">
        <v>10</v>
      </c>
      <c r="F29" t="s">
        <v>21</v>
      </c>
      <c r="G29" t="s">
        <v>174</v>
      </c>
      <c r="H29" t="s">
        <v>175</v>
      </c>
      <c r="J29" t="s">
        <v>410</v>
      </c>
      <c r="K29" t="s">
        <v>338</v>
      </c>
      <c r="L29">
        <v>0.63042801517356961</v>
      </c>
      <c r="M29">
        <v>0.25424214518473842</v>
      </c>
    </row>
    <row r="30" spans="2:26">
      <c r="B30" t="s">
        <v>171</v>
      </c>
      <c r="C30" t="s">
        <v>412</v>
      </c>
      <c r="D30" t="s">
        <v>413</v>
      </c>
      <c r="E30" t="s">
        <v>10</v>
      </c>
      <c r="F30" t="s">
        <v>21</v>
      </c>
      <c r="G30" t="s">
        <v>174</v>
      </c>
      <c r="H30" t="s">
        <v>175</v>
      </c>
      <c r="J30" t="s">
        <v>412</v>
      </c>
      <c r="K30" t="s">
        <v>329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1F-A299-4E3E-A0D7-74FB2DA968BA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434</v>
      </c>
      <c r="M11" t="s">
        <v>10</v>
      </c>
      <c r="N11" t="s">
        <v>21</v>
      </c>
      <c r="O11" t="s">
        <v>243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171</v>
      </c>
      <c r="K12" t="s">
        <v>439</v>
      </c>
      <c r="M12" t="s">
        <v>10</v>
      </c>
      <c r="N12" t="s">
        <v>21</v>
      </c>
      <c r="O12" t="s">
        <v>243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171</v>
      </c>
      <c r="K13" t="s">
        <v>440</v>
      </c>
      <c r="M13" t="s">
        <v>10</v>
      </c>
      <c r="N13" t="s">
        <v>21</v>
      </c>
      <c r="O13" t="s">
        <v>243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171</v>
      </c>
      <c r="K14" t="s">
        <v>441</v>
      </c>
      <c r="M14" t="s">
        <v>10</v>
      </c>
      <c r="N14" t="s">
        <v>21</v>
      </c>
      <c r="O14" t="s">
        <v>243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171</v>
      </c>
      <c r="K15" t="s">
        <v>442</v>
      </c>
      <c r="M15" t="s">
        <v>10</v>
      </c>
      <c r="N15" t="s">
        <v>21</v>
      </c>
      <c r="O15" t="s">
        <v>243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443</v>
      </c>
      <c r="M16" t="s">
        <v>10</v>
      </c>
      <c r="N16" t="s">
        <v>21</v>
      </c>
      <c r="O16" t="s">
        <v>243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171</v>
      </c>
      <c r="K17" t="s">
        <v>444</v>
      </c>
      <c r="M17" t="s">
        <v>10</v>
      </c>
      <c r="N17" t="s">
        <v>21</v>
      </c>
      <c r="O17" t="s">
        <v>243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171</v>
      </c>
      <c r="K18" t="s">
        <v>445</v>
      </c>
      <c r="M18" t="s">
        <v>10</v>
      </c>
      <c r="N18" t="s">
        <v>21</v>
      </c>
      <c r="O18" t="s">
        <v>243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171</v>
      </c>
      <c r="K19" t="s">
        <v>446</v>
      </c>
      <c r="M19" t="s">
        <v>10</v>
      </c>
      <c r="N19" t="s">
        <v>21</v>
      </c>
      <c r="O19" t="s">
        <v>243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171</v>
      </c>
      <c r="K20" t="s">
        <v>447</v>
      </c>
      <c r="M20" t="s">
        <v>10</v>
      </c>
      <c r="N20" t="s">
        <v>21</v>
      </c>
      <c r="O20" t="s">
        <v>243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448</v>
      </c>
      <c r="M21" t="s">
        <v>10</v>
      </c>
      <c r="N21" t="s">
        <v>21</v>
      </c>
      <c r="O21" t="s">
        <v>243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171</v>
      </c>
      <c r="K22" t="s">
        <v>449</v>
      </c>
      <c r="M22" t="s">
        <v>10</v>
      </c>
      <c r="N22" t="s">
        <v>21</v>
      </c>
      <c r="O22" t="s">
        <v>243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171</v>
      </c>
      <c r="K23" t="s">
        <v>450</v>
      </c>
      <c r="M23" t="s">
        <v>10</v>
      </c>
      <c r="N23" t="s">
        <v>21</v>
      </c>
      <c r="O23" t="s">
        <v>243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451</v>
      </c>
      <c r="M24" t="s">
        <v>10</v>
      </c>
      <c r="N24" t="s">
        <v>21</v>
      </c>
      <c r="O24" t="s">
        <v>243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171</v>
      </c>
      <c r="K25" t="s">
        <v>452</v>
      </c>
      <c r="M25" t="s">
        <v>10</v>
      </c>
      <c r="N25" t="s">
        <v>21</v>
      </c>
      <c r="O25" t="s">
        <v>243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171</v>
      </c>
      <c r="K26" t="s">
        <v>453</v>
      </c>
      <c r="M26" t="s">
        <v>10</v>
      </c>
      <c r="N26" t="s">
        <v>21</v>
      </c>
      <c r="O26" t="s">
        <v>243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455</v>
      </c>
      <c r="M27" t="s">
        <v>10</v>
      </c>
      <c r="N27" t="s">
        <v>21</v>
      </c>
      <c r="O27" t="s">
        <v>243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2025-11-18T10:25:50Z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