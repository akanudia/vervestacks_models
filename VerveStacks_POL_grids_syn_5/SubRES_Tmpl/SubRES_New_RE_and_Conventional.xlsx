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syn_5\SubRES_Tmpl\"/>
    </mc:Choice>
  </mc:AlternateContent>
  <xr:revisionPtr revIDLastSave="0" documentId="8_{44319431-2D06-4368-A4E5-A173CD0F7372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<sst xmlns="http://schemas.openxmlformats.org/spreadsheetml/2006/main" count="1738" uniqueCount="507">
  <si>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</si>
  <si>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</si>
  <si>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</si>
  <si>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</si>
  <si>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</si>
  <si>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</si>
  <si>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</si>
  <si>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</si>
  <si>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</si>
  <si>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</si>
  <si>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</si>
  <si>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</si>
  <si>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</si>
  <si>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</si>
  <si>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</si>
  <si>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</si>
  <si>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</si>
  <si>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</si>
  <si>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</si>
  <si>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</si>
  <si>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</si>
  <si>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</si>
  <si>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</si>
  <si>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</si>
  <si>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</si>
  <si>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</si>
  <si>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</si>
  <si>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</si>
  <si>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</si>
  <si>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</si>
  <si>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</si>
  <si>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</si>
  <si>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</si>
  <si>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</si>
  <si>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</si>
  <si>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</si>
  <si>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</si>
  <si>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</si>
  <si>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</si>
  <si>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</si>
  <si>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</si>
  <si>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</si>
  <si>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</si>
  <si>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</si>
  <si>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</si>
  <si>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</si>
  <si>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</si>
  <si>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</si>
  <si>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</si>
  <si>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</si>
  <si>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</si>
  <si>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</si>
  <si>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</si>
  <si>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</si>
  <si>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</si>
  <si>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</si>
  <si>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</si>
  <si>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</si>
  <si>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</si>
  <si>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</si>
  <si>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</si>
  <si>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</si>
  <si>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</si>
  <si>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</si>
  <si>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</si>
  <si>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</si>
  <si>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</si>
  <si>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</si>
  <si>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</si>
  <si>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</si>
  <si>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</si>
  <si>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</si>
  <si>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</si>
  <si>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</si>
  <si>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</si>
  <si>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</si>
  <si>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</si>
  <si>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</si>
  <si>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</si>
  <si>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</si>
  <si>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</si>
  <si>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</si>
  <si>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</si>
  <si>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</si>
  <si>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</si>
  <si>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</si>
  <si>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</si>
  <si>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</si>
  <si>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</si>
  <si>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</si>
  <si>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</si>
  <si>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</si>
  <si>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</si>
  <si>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</si>
  <si>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</si>
  <si>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</si>
  <si>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</si>
  <si>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</si>
  <si>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</si>
  <si>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</si>
  <si>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</si>
  <si>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</si>
  <si>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</si>
  <si>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</si>
  <si>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</si>
  <si>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</si>
  <si>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</si>
  <si>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</si>
  <si>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</si>
  <si>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</si>
  <si>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</si>
  <si>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</si>
  <si>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</si>
  <si>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</si>
  <si>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</si>
  <si>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</si>
  <si>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</si>
  <si>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</si>
  <si>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</si>
  <si>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</si>
  <si>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</si>
  <si>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</si>
  <si>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</si>
  <si>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</si>
  <si>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</si>
  <si>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</si>
  <si>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</si>
  <si>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</si>
  <si>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</si>
  <si>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</si>
  <si>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</si>
  <si>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</si>
  <si>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</si>
  <si>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</si>
  <si>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</si>
  <si>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</si>
  <si>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</si>
  <si>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</si>
  <si>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</si>
  <si>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</si>
  <si>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</si>
  <si>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</si>
  <si>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</si>
  <si>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</si>
  <si>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</si>
  <si>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</si>
  <si>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</si>
  <si>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</si>
  <si>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</si>
  <si>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</si>
  <si>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</si>
  <si>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</si>
  <si>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</si>
  <si>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</si>
  <si>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</si>
  <si>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</si>
  <si>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</si>
  <si>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</si>
  <si>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</si>
  <si>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</si>
  <si>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</si>
  <si>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</si>
  <si>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</si>
  <si>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</si>
  <si>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</si>
  <si>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</si>
  <si>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</si>
  <si>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</si>
  <si>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</si>
  <si>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</si>
  <si>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</si>
  <si>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</si>
  <si>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</si>
  <si>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</si>
  <si>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</si>
  <si>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</si>
  <si>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</si>
  <si>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</si>
  <si>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</si>
  <si>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</si>
  <si>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</si>
  <si>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</si>
  <si>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</si>
  <si>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</si>
  <si>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</si>
  <si>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</si>
  <si>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</si>
  <si>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</si>
  <si>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</si>
  <si>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</si>
  <si>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</si>
  <si>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</si>
  <si>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</si>
  <si>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</si>
  <si>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e_spv_011</t>
  </si>
  <si>
    <t>solar resource in cluster 11</t>
  </si>
  <si>
    <t>e_spv_012</t>
  </si>
  <si>
    <t>solar resource in cluster 12</t>
  </si>
  <si>
    <t>e_spv_013</t>
  </si>
  <si>
    <t>solar resource in cluster 13</t>
  </si>
  <si>
    <t>e_spv_014</t>
  </si>
  <si>
    <t>solar resource in cluster 14</t>
  </si>
  <si>
    <t>e_spv_015</t>
  </si>
  <si>
    <t>solar resource in cluster 15</t>
  </si>
  <si>
    <t>e_spv_016</t>
  </si>
  <si>
    <t>solar resource in cluster 16</t>
  </si>
  <si>
    <t>e_spv_017</t>
  </si>
  <si>
    <t>solar resource in cluster 17</t>
  </si>
  <si>
    <t>e_spv_018</t>
  </si>
  <si>
    <t>solar resource in cluster 18</t>
  </si>
  <si>
    <t>e_spv_019</t>
  </si>
  <si>
    <t>solar resource in cluster 19</t>
  </si>
  <si>
    <t>e_spv_020</t>
  </si>
  <si>
    <t>solar resource in cluster 20</t>
  </si>
  <si>
    <t>~fi_t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</si>
  <si>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</si>
  <si>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</si>
  <si>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</si>
  <si>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</si>
  <si>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</si>
  <si>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</si>
  <si>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</si>
  <si>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</si>
  <si>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</si>
  <si>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</si>
  <si>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</si>
  <si>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</si>
  <si>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</si>
  <si>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</si>
  <si>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</si>
  <si>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</si>
  <si>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</si>
  <si>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</si>
  <si>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</si>
  <si>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</si>
  <si>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</si>
  <si>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</si>
  <si>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</si>
  <si>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primarycg</t>
  </si>
  <si>
    <t>pre</t>
  </si>
  <si>
    <t>distr_solelc_spv_001</t>
  </si>
  <si>
    <t>connecting solar to buses in cluster 1</t>
  </si>
  <si>
    <t>NRGI</t>
  </si>
  <si>
    <t>daynite</t>
  </si>
  <si>
    <t>distr_solelc_spv_002</t>
  </si>
  <si>
    <t>connecting solar to buses in cluster 2</t>
  </si>
  <si>
    <t>distr_solelc_spv_003</t>
  </si>
  <si>
    <t>connecting solar to buses in cluster 3</t>
  </si>
  <si>
    <t>distr_solelc_spv_004</t>
  </si>
  <si>
    <t>connecting solar to buses in cluster 4</t>
  </si>
  <si>
    <t>distr_solelc_spv_005</t>
  </si>
  <si>
    <t>connecting solar to buses in cluster 5</t>
  </si>
  <si>
    <t>distr_solelc_spv_006</t>
  </si>
  <si>
    <t>connecting solar to buses in cluster 6</t>
  </si>
  <si>
    <t>distr_solelc_spv_007</t>
  </si>
  <si>
    <t>connecting solar to buses in cluster 7</t>
  </si>
  <si>
    <t>distr_solelc_spv_008</t>
  </si>
  <si>
    <t>connecting solar to buses in cluster 8</t>
  </si>
  <si>
    <t>distr_solelc_spv_009</t>
  </si>
  <si>
    <t>connecting solar to buses in cluster 9</t>
  </si>
  <si>
    <t>distr_solelc_spv_010</t>
  </si>
  <si>
    <t>connecting solar to buses in cluster 10</t>
  </si>
  <si>
    <t>distr_solelc_spv_011</t>
  </si>
  <si>
    <t>connecting solar to buses in cluster 11</t>
  </si>
  <si>
    <t>distr_solelc_spv_012</t>
  </si>
  <si>
    <t>connecting solar to buses in cluster 12</t>
  </si>
  <si>
    <t>distr_solelc_spv_013</t>
  </si>
  <si>
    <t>connecting solar to buses in cluster 13</t>
  </si>
  <si>
    <t>distr_solelc_spv_014</t>
  </si>
  <si>
    <t>connecting solar to buses in cluster 14</t>
  </si>
  <si>
    <t>distr_solelc_spv_015</t>
  </si>
  <si>
    <t>connecting solar to buses in cluster 15</t>
  </si>
  <si>
    <t>distr_solelc_spv_016</t>
  </si>
  <si>
    <t>connecting solar to buses in cluster 16</t>
  </si>
  <si>
    <t>distr_solelc_spv_017</t>
  </si>
  <si>
    <t>connecting solar to buses in cluster 17</t>
  </si>
  <si>
    <t>distr_solelc_spv_018</t>
  </si>
  <si>
    <t>connecting solar to buses in cluster 18</t>
  </si>
  <si>
    <t>distr_solelc_spv_019</t>
  </si>
  <si>
    <t>connecting solar to buses in cluster 19</t>
  </si>
  <si>
    <t>distr_solelc_spv_020</t>
  </si>
  <si>
    <t>connecting solar to buses in cluster 20</t>
  </si>
  <si>
    <t>comm-in</t>
  </si>
  <si>
    <t>ncap_cost~USD21_alt</t>
  </si>
  <si>
    <t>e_sol1</t>
  </si>
  <si>
    <t>e_sol2</t>
  </si>
  <si>
    <t>e_sol3</t>
  </si>
  <si>
    <t>e_sol4</t>
  </si>
  <si>
    <t>e_sol5</t>
  </si>
  <si>
    <t>e_sol6</t>
  </si>
  <si>
    <t>e_sol7</t>
  </si>
  <si>
    <t>e_sol8</t>
  </si>
  <si>
    <t>e_sol9</t>
  </si>
  <si>
    <t>e_sol10</t>
  </si>
  <si>
    <t>e_sol11</t>
  </si>
  <si>
    <t>e_sol12</t>
  </si>
  <si>
    <t>e_sol13</t>
  </si>
  <si>
    <t>e_sol14</t>
  </si>
  <si>
    <t>e_sol15</t>
  </si>
  <si>
    <t>e_sol16</t>
  </si>
  <si>
    <t>e_sol17</t>
  </si>
  <si>
    <t>e_sol18</t>
  </si>
  <si>
    <t>e_sol19</t>
  </si>
  <si>
    <t>e_sol20</t>
  </si>
  <si>
    <t>distr_wonelc_won_001</t>
  </si>
  <si>
    <t>connecting wind onshore to buses in cluster 1</t>
  </si>
  <si>
    <t>distr_wonelc_won_002</t>
  </si>
  <si>
    <t>connecting wind onshore to buses in cluster 2</t>
  </si>
  <si>
    <t>distr_wonelc_won_003</t>
  </si>
  <si>
    <t>connecting wind onshore to buses in cluster 3</t>
  </si>
  <si>
    <t>distr_wonelc_won_004</t>
  </si>
  <si>
    <t>connecting wind onshore to buses in cluster 4</t>
  </si>
  <si>
    <t>distr_wonelc_won_005</t>
  </si>
  <si>
    <t>connecting wind onshore to buses in cluster 5</t>
  </si>
  <si>
    <t>distr_wonelc_won_006</t>
  </si>
  <si>
    <t>connecting wind onshore to buses in cluster 6</t>
  </si>
  <si>
    <t>distr_wonelc_won_007</t>
  </si>
  <si>
    <t>connecting wind onshore to buses in cluster 7</t>
  </si>
  <si>
    <t>distr_wonelc_won_008</t>
  </si>
  <si>
    <t>connecting wind onshore to buses in cluster 8</t>
  </si>
  <si>
    <t>distr_wonelc_won_009</t>
  </si>
  <si>
    <t>connecting wind onshore to buses in cluster 9</t>
  </si>
  <si>
    <t>distr_wonelc_won_010</t>
  </si>
  <si>
    <t>connecting wind onshore to buses in cluster 10</t>
  </si>
  <si>
    <t>distr_wonelc_won_011</t>
  </si>
  <si>
    <t>connecting wind onshore to buses in cluster 11</t>
  </si>
  <si>
    <t>distr_wonelc_won_012</t>
  </si>
  <si>
    <t>connecting wind onshore to buses in cluster 12</t>
  </si>
  <si>
    <t>distr_wonelc_won_013</t>
  </si>
  <si>
    <t>connecting wind onshore to buses in cluster 13</t>
  </si>
  <si>
    <t>distr_wonelc_won_014</t>
  </si>
  <si>
    <t>connecting wind onshore to buses in cluster 14</t>
  </si>
  <si>
    <t>distr_wonelc_won_015</t>
  </si>
  <si>
    <t>connecting wind onshore to buses in cluster 15</t>
  </si>
  <si>
    <t>distr_wonelc_won_016</t>
  </si>
  <si>
    <t>connecting wind onshore to buses in cluster 16</t>
  </si>
  <si>
    <t>distr_wonelc_won_017</t>
  </si>
  <si>
    <t>connecting wind onshore to buses in cluster 17</t>
  </si>
  <si>
    <t>distr_wonelc_won_018</t>
  </si>
  <si>
    <t>connecting wind onshore to buses in cluster 18</t>
  </si>
  <si>
    <t>distr_wonelc_won_019</t>
  </si>
  <si>
    <t>connecting wind onshore to buses in cluster 19</t>
  </si>
  <si>
    <t>distr_wonelc_won_020</t>
  </si>
  <si>
    <t>connecting wind onshore to buses in cluster 20</t>
  </si>
  <si>
    <t>elc_won_001</t>
  </si>
  <si>
    <t>e_won1</t>
  </si>
  <si>
    <t>elc_won_002</t>
  </si>
  <si>
    <t>e_won2</t>
  </si>
  <si>
    <t>elc_won_003</t>
  </si>
  <si>
    <t>e_won3</t>
  </si>
  <si>
    <t>elc_won_004</t>
  </si>
  <si>
    <t>e_won4</t>
  </si>
  <si>
    <t>elc_won_005</t>
  </si>
  <si>
    <t>e_won5</t>
  </si>
  <si>
    <t>elc_won_006</t>
  </si>
  <si>
    <t>e_won6</t>
  </si>
  <si>
    <t>elc_won_007</t>
  </si>
  <si>
    <t>e_won7</t>
  </si>
  <si>
    <t>elc_won_008</t>
  </si>
  <si>
    <t>e_won8</t>
  </si>
  <si>
    <t>elc_won_009</t>
  </si>
  <si>
    <t>e_won9</t>
  </si>
  <si>
    <t>elc_won_010</t>
  </si>
  <si>
    <t>e_won10</t>
  </si>
  <si>
    <t>elc_won_011</t>
  </si>
  <si>
    <t>e_won11</t>
  </si>
  <si>
    <t>elc_won_012</t>
  </si>
  <si>
    <t>e_won12</t>
  </si>
  <si>
    <t>elc_won_013</t>
  </si>
  <si>
    <t>e_won13</t>
  </si>
  <si>
    <t>elc_won_014</t>
  </si>
  <si>
    <t>e_won14</t>
  </si>
  <si>
    <t>elc_won_015</t>
  </si>
  <si>
    <t>e_won15</t>
  </si>
  <si>
    <t>elc_won_016</t>
  </si>
  <si>
    <t>e_won16</t>
  </si>
  <si>
    <t>elc_won_017</t>
  </si>
  <si>
    <t>e_won17</t>
  </si>
  <si>
    <t>elc_won_018</t>
  </si>
  <si>
    <t>e_won18</t>
  </si>
  <si>
    <t>elc_won_019</t>
  </si>
  <si>
    <t>e_won19</t>
  </si>
  <si>
    <t>elc_won_020</t>
  </si>
  <si>
    <t>e_won20</t>
  </si>
  <si>
    <t>distr_wofelc_wof_001</t>
  </si>
  <si>
    <t>connecting wind offshore to buses in cluster 1</t>
  </si>
  <si>
    <t>distr_wofelc_wof_002</t>
  </si>
  <si>
    <t>connecting wind offshore to buses in cluster 2</t>
  </si>
  <si>
    <t>distr_wofelc_wof_003</t>
  </si>
  <si>
    <t>connecting wind offshore to buses in cluster 3</t>
  </si>
  <si>
    <t>distr_wofelc_wof_004</t>
  </si>
  <si>
    <t>connecting wind offshore to buses in cluster 4</t>
  </si>
  <si>
    <t>distr_wofelc_wof_005</t>
  </si>
  <si>
    <t>connecting wind offshore to buses in cluster 5</t>
  </si>
  <si>
    <t>distr_wofelc_wof_006</t>
  </si>
  <si>
    <t>connecting wind offshore to buses in cluster 6</t>
  </si>
  <si>
    <t>distr_wofelc_wof_007</t>
  </si>
  <si>
    <t>connecting wind offshore to buses in cluster 7</t>
  </si>
  <si>
    <t>distr_wofelc_wof_008</t>
  </si>
  <si>
    <t>connecting wind offshore to buses in cluster 8</t>
  </si>
  <si>
    <t>distr_wofelc_wof_009</t>
  </si>
  <si>
    <t>connecting wind offshore to buses in cluster 9</t>
  </si>
  <si>
    <t>distr_wofelc_wof_010</t>
  </si>
  <si>
    <t>connecting wind offshore to buses in cluster 10</t>
  </si>
  <si>
    <t>elc_wof_001</t>
  </si>
  <si>
    <t>e_wof1</t>
  </si>
  <si>
    <t>elc_wof_002</t>
  </si>
  <si>
    <t>e_wof2</t>
  </si>
  <si>
    <t>elc_wof_003</t>
  </si>
  <si>
    <t>e_wof3</t>
  </si>
  <si>
    <t>elc_wof_004</t>
  </si>
  <si>
    <t>e_wof4</t>
  </si>
  <si>
    <t>elc_wof_005</t>
  </si>
  <si>
    <t>e_wof5</t>
  </si>
  <si>
    <t>elc_wof_006</t>
  </si>
  <si>
    <t>e_wof6</t>
  </si>
  <si>
    <t>elc_wof_007</t>
  </si>
  <si>
    <t>e_wof7</t>
  </si>
  <si>
    <t>elc_wof_008</t>
  </si>
  <si>
    <t>e_wof8</t>
  </si>
  <si>
    <t>elc_wof_009</t>
  </si>
  <si>
    <t>e_wof9</t>
  </si>
  <si>
    <t>elc_wof_010</t>
  </si>
  <si>
    <t>e_wof10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</si>
  <si>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</si>
  <si>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</si>
  <si>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</si>
  <si>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</si>
  <si>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</si>
  <si>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</si>
  <si>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</si>
  <si>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</si>
  <si>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</si>
  <si>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</si>
  <si>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e_won_006</t>
  </si>
  <si>
    <t>wind resource in cluster 6</t>
  </si>
  <si>
    <t>e_won_007</t>
  </si>
  <si>
    <t>wind resource in cluster 7</t>
  </si>
  <si>
    <t>e_won_008</t>
  </si>
  <si>
    <t>wind resource in cluster 8</t>
  </si>
  <si>
    <t>e_won_009</t>
  </si>
  <si>
    <t>wind resource in cluster 9</t>
  </si>
  <si>
    <t>e_won_010</t>
  </si>
  <si>
    <t>wind resource in cluster 10</t>
  </si>
  <si>
    <t>e_won_011</t>
  </si>
  <si>
    <t>wind resource in cluster 11</t>
  </si>
  <si>
    <t>e_won_012</t>
  </si>
  <si>
    <t>wind resource in cluster 12</t>
  </si>
  <si>
    <t>e_won_013</t>
  </si>
  <si>
    <t>wind resource in cluster 13</t>
  </si>
  <si>
    <t>e_won_014</t>
  </si>
  <si>
    <t>wind resource in cluster 14</t>
  </si>
  <si>
    <t>e_won_015</t>
  </si>
  <si>
    <t>wind resource in cluster 15</t>
  </si>
  <si>
    <t>e_won_016</t>
  </si>
  <si>
    <t>wind resource in cluster 16</t>
  </si>
  <si>
    <t>e_won_017</t>
  </si>
  <si>
    <t>wind resource in cluster 17</t>
  </si>
  <si>
    <t>e_won_018</t>
  </si>
  <si>
    <t>wind resource in cluster 18</t>
  </si>
  <si>
    <t>e_won_019</t>
  </si>
  <si>
    <t>wind resource in cluster 19</t>
  </si>
  <si>
    <t>e_won_020</t>
  </si>
  <si>
    <t>wind resource in cluster 20</t>
  </si>
  <si>
    <t>e_wof_001</t>
  </si>
  <si>
    <t>wind offshore resource in cluster 1</t>
  </si>
  <si>
    <t>e_wof_002</t>
  </si>
  <si>
    <t>wind offshore resource in cluster 2</t>
  </si>
  <si>
    <t>e_wof_003</t>
  </si>
  <si>
    <t>wind offshore resource in cluster 3</t>
  </si>
  <si>
    <t>e_wof_004</t>
  </si>
  <si>
    <t>wind offshore resource in cluster 4</t>
  </si>
  <si>
    <t>e_wof_005</t>
  </si>
  <si>
    <t>wind offshore resource in cluster 5</t>
  </si>
  <si>
    <t>e_wof_006</t>
  </si>
  <si>
    <t>wind offshore resource in cluster 6</t>
  </si>
  <si>
    <t>e_wof_007</t>
  </si>
  <si>
    <t>wind offshore resource in cluster 7</t>
  </si>
  <si>
    <t>e_wof_008</t>
  </si>
  <si>
    <t>wind offshore resource in cluster 8</t>
  </si>
  <si>
    <t>e_wof_009</t>
  </si>
  <si>
    <t>wind offshore resource in cluster 9</t>
  </si>
  <si>
    <t>e_wof_010</t>
  </si>
  <si>
    <t>wind offshore resource in cluster 10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</si>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</sst>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ELC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ELC</v>
      </c>
      <c r="P28">
        <v>0</v>
      </c>
      <c r="Q28">
        <v>3</v>
      </c>
      <c r="R28">
        <v>1000</v>
      </c>
      <c r="S28">
        <v>50</v>
      </c>
      <c r="V28" s="14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DF8B-E6E6-4D96-AA65-AC351F2375C2}">
  <dimension ref="B9:BD30"/>
  <sheetViews>
    <sheetView workbookViewId="0"/>
  </sheetViews>
  <sheetFormatPr defaultRowHeight="14.25"/>
  <sheetData>
    <row r="9" spans="2:56">
      <c r="B9" t="s">
        <v>163</v>
      </c>
      <c r="J9" t="s">
        <v>214</v>
      </c>
      <c r="O9" t="s">
        <v>163</v>
      </c>
      <c r="X9" t="s">
        <v>214</v>
      </c>
      <c r="AD9" t="s">
        <v>163</v>
      </c>
      <c r="AL9" t="s">
        <v>214</v>
      </c>
      <c r="AR9" t="s">
        <v>163</v>
      </c>
      <c r="AZ9" t="s">
        <v>214</v>
      </c>
    </row>
    <row r="10" spans="2:5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215</v>
      </c>
      <c r="L10" t="s">
        <v>216</v>
      </c>
      <c r="M10" t="s">
        <v>217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238</v>
      </c>
      <c r="U10" t="s">
        <v>169</v>
      </c>
      <c r="V10" t="s">
        <v>170</v>
      </c>
      <c r="X10" t="s">
        <v>165</v>
      </c>
      <c r="Y10" t="s">
        <v>282</v>
      </c>
      <c r="Z10" t="s">
        <v>215</v>
      </c>
      <c r="AA10" t="s">
        <v>146</v>
      </c>
      <c r="AB10" t="s">
        <v>283</v>
      </c>
      <c r="AD10" t="s">
        <v>164</v>
      </c>
      <c r="AE10" t="s">
        <v>165</v>
      </c>
      <c r="AF10" t="s">
        <v>166</v>
      </c>
      <c r="AG10" t="s">
        <v>167</v>
      </c>
      <c r="AH10" t="s">
        <v>168</v>
      </c>
      <c r="AI10" t="s">
        <v>169</v>
      </c>
      <c r="AJ10" t="s">
        <v>170</v>
      </c>
      <c r="AL10" t="s">
        <v>165</v>
      </c>
      <c r="AM10" t="s">
        <v>282</v>
      </c>
      <c r="AN10" t="s">
        <v>215</v>
      </c>
      <c r="AO10" t="s">
        <v>146</v>
      </c>
      <c r="AP10" t="s">
        <v>283</v>
      </c>
      <c r="AR10" t="s">
        <v>164</v>
      </c>
      <c r="AS10" t="s">
        <v>165</v>
      </c>
      <c r="AT10" t="s">
        <v>166</v>
      </c>
      <c r="AU10" t="s">
        <v>167</v>
      </c>
      <c r="AV10" t="s">
        <v>168</v>
      </c>
      <c r="AW10" t="s">
        <v>169</v>
      </c>
      <c r="AX10" t="s">
        <v>170</v>
      </c>
      <c r="AZ10" t="s">
        <v>165</v>
      </c>
      <c r="BA10" t="s">
        <v>282</v>
      </c>
      <c r="BB10" t="s">
        <v>215</v>
      </c>
      <c r="BC10" t="s">
        <v>146</v>
      </c>
      <c r="BD10" t="s">
        <v>283</v>
      </c>
    </row>
    <row r="11" spans="2:56">
      <c r="B11" t="s">
        <v>171</v>
      </c>
      <c r="C11" t="s">
        <v>172</v>
      </c>
      <c r="D11" t="s">
        <v>173</v>
      </c>
      <c r="E11" t="s">
        <v>10</v>
      </c>
      <c r="F11" t="s">
        <v>21</v>
      </c>
      <c r="G11" t="s">
        <v>174</v>
      </c>
      <c r="H11" t="s">
        <v>175</v>
      </c>
      <c r="J11" t="s">
        <v>172</v>
      </c>
      <c r="K11" t="s">
        <v>218</v>
      </c>
      <c r="L11">
        <v>0.52798022193960581</v>
      </c>
      <c r="M11">
        <v>0.13392136593448251</v>
      </c>
      <c r="O11" t="s">
        <v>239</v>
      </c>
      <c r="P11" t="s">
        <v>240</v>
      </c>
      <c r="Q11" t="s">
        <v>241</v>
      </c>
      <c r="R11" t="s">
        <v>10</v>
      </c>
      <c r="S11" t="s">
        <v>21</v>
      </c>
      <c r="T11" t="s">
        <v>242</v>
      </c>
      <c r="U11" t="s">
        <v>243</v>
      </c>
      <c r="V11" t="s">
        <v>175</v>
      </c>
      <c r="X11" t="s">
        <v>240</v>
      </c>
      <c r="Y11" t="s">
        <v>218</v>
      </c>
      <c r="Z11" t="s">
        <v>284</v>
      </c>
      <c r="AA11">
        <v>0.99052511709569879</v>
      </c>
      <c r="AB11">
        <v>173.7061865788562</v>
      </c>
      <c r="AD11" t="s">
        <v>239</v>
      </c>
      <c r="AE11" t="s">
        <v>304</v>
      </c>
      <c r="AF11" t="s">
        <v>305</v>
      </c>
      <c r="AG11" t="s">
        <v>10</v>
      </c>
      <c r="AH11" t="s">
        <v>21</v>
      </c>
      <c r="AI11" t="s">
        <v>243</v>
      </c>
      <c r="AJ11" t="s">
        <v>175</v>
      </c>
      <c r="AL11" t="s">
        <v>304</v>
      </c>
      <c r="AM11" t="s">
        <v>344</v>
      </c>
      <c r="AN11" t="s">
        <v>345</v>
      </c>
      <c r="AO11">
        <v>0.99363266304217013</v>
      </c>
      <c r="AP11">
        <v>116.73451089354681</v>
      </c>
      <c r="AR11" t="s">
        <v>239</v>
      </c>
      <c r="AS11" t="s">
        <v>384</v>
      </c>
      <c r="AT11" t="s">
        <v>385</v>
      </c>
      <c r="AU11" t="s">
        <v>10</v>
      </c>
      <c r="AV11" t="s">
        <v>21</v>
      </c>
      <c r="AW11" t="s">
        <v>243</v>
      </c>
      <c r="AX11" t="s">
        <v>175</v>
      </c>
      <c r="AZ11" t="s">
        <v>384</v>
      </c>
      <c r="BA11" t="s">
        <v>404</v>
      </c>
      <c r="BB11" t="s">
        <v>405</v>
      </c>
      <c r="BC11">
        <v>0.9941446088905187</v>
      </c>
      <c r="BD11">
        <v>107.34883700715665</v>
      </c>
    </row>
    <row r="12" spans="2:56">
      <c r="B12" t="s">
        <v>171</v>
      </c>
      <c r="C12" t="s">
        <v>176</v>
      </c>
      <c r="D12" t="s">
        <v>177</v>
      </c>
      <c r="E12" t="s">
        <v>10</v>
      </c>
      <c r="F12" t="s">
        <v>21</v>
      </c>
      <c r="G12" t="s">
        <v>174</v>
      </c>
      <c r="H12" t="s">
        <v>175</v>
      </c>
      <c r="J12" t="s">
        <v>176</v>
      </c>
      <c r="K12" t="s">
        <v>219</v>
      </c>
      <c r="L12">
        <v>0.58539872261806003</v>
      </c>
      <c r="M12">
        <v>0.1392925459641384</v>
      </c>
      <c r="O12" t="s">
        <v>239</v>
      </c>
      <c r="P12" t="s">
        <v>244</v>
      </c>
      <c r="Q12" t="s">
        <v>245</v>
      </c>
      <c r="R12" t="s">
        <v>10</v>
      </c>
      <c r="S12" t="s">
        <v>21</v>
      </c>
      <c r="T12" t="s">
        <v>242</v>
      </c>
      <c r="U12" t="s">
        <v>243</v>
      </c>
      <c r="V12" t="s">
        <v>175</v>
      </c>
      <c r="X12" t="s">
        <v>244</v>
      </c>
      <c r="Y12" t="s">
        <v>219</v>
      </c>
      <c r="Z12" t="s">
        <v>285</v>
      </c>
      <c r="AA12">
        <v>0.98930442340690594</v>
      </c>
      <c r="AB12">
        <v>196.08557087339125</v>
      </c>
      <c r="AD12" t="s">
        <v>239</v>
      </c>
      <c r="AE12" t="s">
        <v>306</v>
      </c>
      <c r="AF12" t="s">
        <v>307</v>
      </c>
      <c r="AG12" t="s">
        <v>10</v>
      </c>
      <c r="AH12" t="s">
        <v>21</v>
      </c>
      <c r="AI12" t="s">
        <v>243</v>
      </c>
      <c r="AJ12" t="s">
        <v>175</v>
      </c>
      <c r="AL12" t="s">
        <v>306</v>
      </c>
      <c r="AM12" t="s">
        <v>346</v>
      </c>
      <c r="AN12" t="s">
        <v>347</v>
      </c>
      <c r="AO12">
        <v>0.99503406068424616</v>
      </c>
      <c r="AP12">
        <v>91.042220788820273</v>
      </c>
      <c r="AR12" t="s">
        <v>239</v>
      </c>
      <c r="AS12" t="s">
        <v>386</v>
      </c>
      <c r="AT12" t="s">
        <v>387</v>
      </c>
      <c r="AU12" t="s">
        <v>10</v>
      </c>
      <c r="AV12" t="s">
        <v>21</v>
      </c>
      <c r="AW12" t="s">
        <v>243</v>
      </c>
      <c r="AX12" t="s">
        <v>175</v>
      </c>
      <c r="AZ12" t="s">
        <v>386</v>
      </c>
      <c r="BA12" t="s">
        <v>406</v>
      </c>
      <c r="BB12" t="s">
        <v>407</v>
      </c>
      <c r="BC12">
        <v>0.98954715343009803</v>
      </c>
      <c r="BD12">
        <v>191.63552044820315</v>
      </c>
    </row>
    <row r="13" spans="2:56">
      <c r="B13" t="s">
        <v>171</v>
      </c>
      <c r="C13" t="s">
        <v>178</v>
      </c>
      <c r="D13" t="s">
        <v>179</v>
      </c>
      <c r="E13" t="s">
        <v>10</v>
      </c>
      <c r="F13" t="s">
        <v>21</v>
      </c>
      <c r="G13" t="s">
        <v>174</v>
      </c>
      <c r="H13" t="s">
        <v>175</v>
      </c>
      <c r="J13" t="s">
        <v>178</v>
      </c>
      <c r="K13" t="s">
        <v>220</v>
      </c>
      <c r="L13">
        <v>0.39396558161046569</v>
      </c>
      <c r="M13">
        <v>0.13607599590809799</v>
      </c>
      <c r="O13" t="s">
        <v>239</v>
      </c>
      <c r="P13" t="s">
        <v>246</v>
      </c>
      <c r="Q13" t="s">
        <v>247</v>
      </c>
      <c r="R13" t="s">
        <v>10</v>
      </c>
      <c r="S13" t="s">
        <v>21</v>
      </c>
      <c r="T13" t="s">
        <v>242</v>
      </c>
      <c r="U13" t="s">
        <v>243</v>
      </c>
      <c r="V13" t="s">
        <v>175</v>
      </c>
      <c r="X13" t="s">
        <v>246</v>
      </c>
      <c r="Y13" t="s">
        <v>220</v>
      </c>
      <c r="Z13" t="s">
        <v>286</v>
      </c>
      <c r="AA13">
        <v>0.99359298789982198</v>
      </c>
      <c r="AB13">
        <v>117.46188850326349</v>
      </c>
      <c r="AD13" t="s">
        <v>239</v>
      </c>
      <c r="AE13" t="s">
        <v>308</v>
      </c>
      <c r="AF13" t="s">
        <v>309</v>
      </c>
      <c r="AG13" t="s">
        <v>10</v>
      </c>
      <c r="AH13" t="s">
        <v>21</v>
      </c>
      <c r="AI13" t="s">
        <v>243</v>
      </c>
      <c r="AJ13" t="s">
        <v>175</v>
      </c>
      <c r="AL13" t="s">
        <v>308</v>
      </c>
      <c r="AM13" t="s">
        <v>348</v>
      </c>
      <c r="AN13" t="s">
        <v>349</v>
      </c>
      <c r="AO13">
        <v>0.99376233652729562</v>
      </c>
      <c r="AP13">
        <v>114.35716366624744</v>
      </c>
      <c r="AR13" t="s">
        <v>239</v>
      </c>
      <c r="AS13" t="s">
        <v>388</v>
      </c>
      <c r="AT13" t="s">
        <v>389</v>
      </c>
      <c r="AU13" t="s">
        <v>10</v>
      </c>
      <c r="AV13" t="s">
        <v>21</v>
      </c>
      <c r="AW13" t="s">
        <v>243</v>
      </c>
      <c r="AX13" t="s">
        <v>175</v>
      </c>
      <c r="AZ13" t="s">
        <v>388</v>
      </c>
      <c r="BA13" t="s">
        <v>408</v>
      </c>
      <c r="BB13" t="s">
        <v>409</v>
      </c>
      <c r="BC13">
        <v>0.99204351007823377</v>
      </c>
      <c r="BD13">
        <v>145.8689818990471</v>
      </c>
    </row>
    <row r="14" spans="2:56">
      <c r="B14" t="s">
        <v>171</v>
      </c>
      <c r="C14" t="s">
        <v>180</v>
      </c>
      <c r="D14" t="s">
        <v>181</v>
      </c>
      <c r="E14" t="s">
        <v>10</v>
      </c>
      <c r="F14" t="s">
        <v>21</v>
      </c>
      <c r="G14" t="s">
        <v>174</v>
      </c>
      <c r="H14" t="s">
        <v>175</v>
      </c>
      <c r="J14" t="s">
        <v>180</v>
      </c>
      <c r="K14" t="s">
        <v>221</v>
      </c>
      <c r="L14">
        <v>0.55765806558420539</v>
      </c>
      <c r="M14">
        <v>0.1391511816845529</v>
      </c>
      <c r="O14" t="s">
        <v>239</v>
      </c>
      <c r="P14" t="s">
        <v>248</v>
      </c>
      <c r="Q14" t="s">
        <v>249</v>
      </c>
      <c r="R14" t="s">
        <v>10</v>
      </c>
      <c r="S14" t="s">
        <v>21</v>
      </c>
      <c r="T14" t="s">
        <v>242</v>
      </c>
      <c r="U14" t="s">
        <v>243</v>
      </c>
      <c r="V14" t="s">
        <v>175</v>
      </c>
      <c r="X14" t="s">
        <v>248</v>
      </c>
      <c r="Y14" t="s">
        <v>221</v>
      </c>
      <c r="Z14" t="s">
        <v>287</v>
      </c>
      <c r="AA14">
        <v>0.99559202148411841</v>
      </c>
      <c r="AB14">
        <v>80.812939457829899</v>
      </c>
      <c r="AD14" t="s">
        <v>239</v>
      </c>
      <c r="AE14" t="s">
        <v>310</v>
      </c>
      <c r="AF14" t="s">
        <v>311</v>
      </c>
      <c r="AG14" t="s">
        <v>10</v>
      </c>
      <c r="AH14" t="s">
        <v>21</v>
      </c>
      <c r="AI14" t="s">
        <v>243</v>
      </c>
      <c r="AJ14" t="s">
        <v>175</v>
      </c>
      <c r="AL14" t="s">
        <v>310</v>
      </c>
      <c r="AM14" t="s">
        <v>350</v>
      </c>
      <c r="AN14" t="s">
        <v>351</v>
      </c>
      <c r="AO14">
        <v>0.98909696821272286</v>
      </c>
      <c r="AP14">
        <v>199.88891610008122</v>
      </c>
      <c r="AR14" t="s">
        <v>239</v>
      </c>
      <c r="AS14" t="s">
        <v>390</v>
      </c>
      <c r="AT14" t="s">
        <v>391</v>
      </c>
      <c r="AU14" t="s">
        <v>10</v>
      </c>
      <c r="AV14" t="s">
        <v>21</v>
      </c>
      <c r="AW14" t="s">
        <v>243</v>
      </c>
      <c r="AX14" t="s">
        <v>175</v>
      </c>
      <c r="AZ14" t="s">
        <v>390</v>
      </c>
      <c r="BA14" t="s">
        <v>410</v>
      </c>
      <c r="BB14" t="s">
        <v>411</v>
      </c>
      <c r="BC14">
        <v>0.99531556489563333</v>
      </c>
      <c r="BD14">
        <v>85.881310246721398</v>
      </c>
    </row>
    <row r="15" spans="2:56">
      <c r="B15" t="s">
        <v>171</v>
      </c>
      <c r="C15" t="s">
        <v>182</v>
      </c>
      <c r="D15" t="s">
        <v>183</v>
      </c>
      <c r="E15" t="s">
        <v>10</v>
      </c>
      <c r="F15" t="s">
        <v>21</v>
      </c>
      <c r="G15" t="s">
        <v>174</v>
      </c>
      <c r="H15" t="s">
        <v>175</v>
      </c>
      <c r="J15" t="s">
        <v>182</v>
      </c>
      <c r="K15" t="s">
        <v>222</v>
      </c>
      <c r="L15">
        <v>0.63969166734959937</v>
      </c>
      <c r="M15">
        <v>0.1376943111283784</v>
      </c>
      <c r="O15" t="s">
        <v>239</v>
      </c>
      <c r="P15" t="s">
        <v>250</v>
      </c>
      <c r="Q15" t="s">
        <v>251</v>
      </c>
      <c r="R15" t="s">
        <v>10</v>
      </c>
      <c r="S15" t="s">
        <v>21</v>
      </c>
      <c r="T15" t="s">
        <v>242</v>
      </c>
      <c r="U15" t="s">
        <v>243</v>
      </c>
      <c r="V15" t="s">
        <v>175</v>
      </c>
      <c r="X15" t="s">
        <v>250</v>
      </c>
      <c r="Y15" t="s">
        <v>222</v>
      </c>
      <c r="Z15" t="s">
        <v>288</v>
      </c>
      <c r="AA15">
        <v>0.99372560828751888</v>
      </c>
      <c r="AB15">
        <v>115.03051472881981</v>
      </c>
      <c r="AD15" t="s">
        <v>239</v>
      </c>
      <c r="AE15" t="s">
        <v>312</v>
      </c>
      <c r="AF15" t="s">
        <v>313</v>
      </c>
      <c r="AG15" t="s">
        <v>10</v>
      </c>
      <c r="AH15" t="s">
        <v>21</v>
      </c>
      <c r="AI15" t="s">
        <v>243</v>
      </c>
      <c r="AJ15" t="s">
        <v>175</v>
      </c>
      <c r="AL15" t="s">
        <v>312</v>
      </c>
      <c r="AM15" t="s">
        <v>352</v>
      </c>
      <c r="AN15" t="s">
        <v>353</v>
      </c>
      <c r="AO15">
        <v>0.98748716330994268</v>
      </c>
      <c r="AP15">
        <v>229.40200598438332</v>
      </c>
      <c r="AR15" t="s">
        <v>239</v>
      </c>
      <c r="AS15" t="s">
        <v>392</v>
      </c>
      <c r="AT15" t="s">
        <v>393</v>
      </c>
      <c r="AU15" t="s">
        <v>10</v>
      </c>
      <c r="AV15" t="s">
        <v>21</v>
      </c>
      <c r="AW15" t="s">
        <v>243</v>
      </c>
      <c r="AX15" t="s">
        <v>175</v>
      </c>
      <c r="AZ15" t="s">
        <v>392</v>
      </c>
      <c r="BA15" t="s">
        <v>412</v>
      </c>
      <c r="BB15" t="s">
        <v>413</v>
      </c>
      <c r="BC15">
        <v>0.99126367634007251</v>
      </c>
      <c r="BD15">
        <v>160.16593376533709</v>
      </c>
    </row>
    <row r="16" spans="2:56">
      <c r="B16" t="s">
        <v>171</v>
      </c>
      <c r="C16" t="s">
        <v>184</v>
      </c>
      <c r="D16" t="s">
        <v>185</v>
      </c>
      <c r="E16" t="s">
        <v>10</v>
      </c>
      <c r="F16" t="s">
        <v>21</v>
      </c>
      <c r="G16" t="s">
        <v>174</v>
      </c>
      <c r="H16" t="s">
        <v>175</v>
      </c>
      <c r="J16" t="s">
        <v>184</v>
      </c>
      <c r="K16" t="s">
        <v>223</v>
      </c>
      <c r="L16">
        <v>1.721024460462131</v>
      </c>
      <c r="M16">
        <v>0.14009658367556119</v>
      </c>
      <c r="O16" t="s">
        <v>239</v>
      </c>
      <c r="P16" t="s">
        <v>252</v>
      </c>
      <c r="Q16" t="s">
        <v>253</v>
      </c>
      <c r="R16" t="s">
        <v>10</v>
      </c>
      <c r="S16" t="s">
        <v>21</v>
      </c>
      <c r="T16" t="s">
        <v>242</v>
      </c>
      <c r="U16" t="s">
        <v>243</v>
      </c>
      <c r="V16" t="s">
        <v>175</v>
      </c>
      <c r="X16" t="s">
        <v>252</v>
      </c>
      <c r="Y16" t="s">
        <v>223</v>
      </c>
      <c r="Z16" t="s">
        <v>289</v>
      </c>
      <c r="AA16">
        <v>0.990012010348303</v>
      </c>
      <c r="AB16">
        <v>183.11314361444599</v>
      </c>
      <c r="AD16" t="s">
        <v>239</v>
      </c>
      <c r="AE16" t="s">
        <v>314</v>
      </c>
      <c r="AF16" t="s">
        <v>315</v>
      </c>
      <c r="AG16" t="s">
        <v>10</v>
      </c>
      <c r="AH16" t="s">
        <v>21</v>
      </c>
      <c r="AI16" t="s">
        <v>243</v>
      </c>
      <c r="AJ16" t="s">
        <v>175</v>
      </c>
      <c r="AL16" t="s">
        <v>314</v>
      </c>
      <c r="AM16" t="s">
        <v>354</v>
      </c>
      <c r="AN16" t="s">
        <v>355</v>
      </c>
      <c r="AO16">
        <v>0.99544898335172294</v>
      </c>
      <c r="AP16">
        <v>83.435305218412225</v>
      </c>
      <c r="AR16" t="s">
        <v>239</v>
      </c>
      <c r="AS16" t="s">
        <v>394</v>
      </c>
      <c r="AT16" t="s">
        <v>395</v>
      </c>
      <c r="AU16" t="s">
        <v>10</v>
      </c>
      <c r="AV16" t="s">
        <v>21</v>
      </c>
      <c r="AW16" t="s">
        <v>243</v>
      </c>
      <c r="AX16" t="s">
        <v>175</v>
      </c>
      <c r="AZ16" t="s">
        <v>394</v>
      </c>
      <c r="BA16" t="s">
        <v>414</v>
      </c>
      <c r="BB16" t="s">
        <v>415</v>
      </c>
      <c r="BC16">
        <v>0.9964252974188933</v>
      </c>
      <c r="BD16">
        <v>65.536213986956668</v>
      </c>
    </row>
    <row r="17" spans="2:56">
      <c r="B17" t="s">
        <v>171</v>
      </c>
      <c r="C17" t="s">
        <v>186</v>
      </c>
      <c r="D17" t="s">
        <v>187</v>
      </c>
      <c r="E17" t="s">
        <v>10</v>
      </c>
      <c r="F17" t="s">
        <v>21</v>
      </c>
      <c r="G17" t="s">
        <v>174</v>
      </c>
      <c r="H17" t="s">
        <v>175</v>
      </c>
      <c r="J17" t="s">
        <v>186</v>
      </c>
      <c r="K17" t="s">
        <v>224</v>
      </c>
      <c r="L17">
        <v>0.28969905077386165</v>
      </c>
      <c r="M17">
        <v>0.14534670970077279</v>
      </c>
      <c r="O17" t="s">
        <v>239</v>
      </c>
      <c r="P17" t="s">
        <v>254</v>
      </c>
      <c r="Q17" t="s">
        <v>255</v>
      </c>
      <c r="R17" t="s">
        <v>10</v>
      </c>
      <c r="S17" t="s">
        <v>21</v>
      </c>
      <c r="T17" t="s">
        <v>242</v>
      </c>
      <c r="U17" t="s">
        <v>243</v>
      </c>
      <c r="V17" t="s">
        <v>175</v>
      </c>
      <c r="X17" t="s">
        <v>254</v>
      </c>
      <c r="Y17" t="s">
        <v>224</v>
      </c>
      <c r="Z17" t="s">
        <v>290</v>
      </c>
      <c r="AA17">
        <v>0.99369398178107105</v>
      </c>
      <c r="AB17">
        <v>115.61033401369787</v>
      </c>
      <c r="AD17" t="s">
        <v>239</v>
      </c>
      <c r="AE17" t="s">
        <v>316</v>
      </c>
      <c r="AF17" t="s">
        <v>317</v>
      </c>
      <c r="AG17" t="s">
        <v>10</v>
      </c>
      <c r="AH17" t="s">
        <v>21</v>
      </c>
      <c r="AI17" t="s">
        <v>243</v>
      </c>
      <c r="AJ17" t="s">
        <v>175</v>
      </c>
      <c r="AL17" t="s">
        <v>316</v>
      </c>
      <c r="AM17" t="s">
        <v>356</v>
      </c>
      <c r="AN17" t="s">
        <v>357</v>
      </c>
      <c r="AO17">
        <v>0.99353102787032765</v>
      </c>
      <c r="AP17">
        <v>118.59782237732686</v>
      </c>
      <c r="AR17" t="s">
        <v>239</v>
      </c>
      <c r="AS17" t="s">
        <v>396</v>
      </c>
      <c r="AT17" t="s">
        <v>397</v>
      </c>
      <c r="AU17" t="s">
        <v>10</v>
      </c>
      <c r="AV17" t="s">
        <v>21</v>
      </c>
      <c r="AW17" t="s">
        <v>243</v>
      </c>
      <c r="AX17" t="s">
        <v>175</v>
      </c>
      <c r="AZ17" t="s">
        <v>396</v>
      </c>
      <c r="BA17" t="s">
        <v>416</v>
      </c>
      <c r="BB17" t="s">
        <v>417</v>
      </c>
      <c r="BC17">
        <v>0.99210017397898553</v>
      </c>
      <c r="BD17">
        <v>144.8301437185994</v>
      </c>
    </row>
    <row r="18" spans="2:56">
      <c r="B18" t="s">
        <v>171</v>
      </c>
      <c r="C18" t="s">
        <v>188</v>
      </c>
      <c r="D18" t="s">
        <v>189</v>
      </c>
      <c r="E18" t="s">
        <v>10</v>
      </c>
      <c r="F18" t="s">
        <v>21</v>
      </c>
      <c r="G18" t="s">
        <v>174</v>
      </c>
      <c r="H18" t="s">
        <v>175</v>
      </c>
      <c r="J18" t="s">
        <v>188</v>
      </c>
      <c r="K18" t="s">
        <v>225</v>
      </c>
      <c r="L18">
        <v>0.4850694382442291</v>
      </c>
      <c r="M18">
        <v>0.1439604792640781</v>
      </c>
      <c r="O18" t="s">
        <v>239</v>
      </c>
      <c r="P18" t="s">
        <v>256</v>
      </c>
      <c r="Q18" t="s">
        <v>257</v>
      </c>
      <c r="R18" t="s">
        <v>10</v>
      </c>
      <c r="S18" t="s">
        <v>21</v>
      </c>
      <c r="T18" t="s">
        <v>242</v>
      </c>
      <c r="U18" t="s">
        <v>243</v>
      </c>
      <c r="V18" t="s">
        <v>175</v>
      </c>
      <c r="X18" t="s">
        <v>256</v>
      </c>
      <c r="Y18" t="s">
        <v>225</v>
      </c>
      <c r="Z18" t="s">
        <v>291</v>
      </c>
      <c r="AA18">
        <v>0.99536570131993762</v>
      </c>
      <c r="AB18">
        <v>84.962142467809898</v>
      </c>
      <c r="AD18" t="s">
        <v>239</v>
      </c>
      <c r="AE18" t="s">
        <v>318</v>
      </c>
      <c r="AF18" t="s">
        <v>319</v>
      </c>
      <c r="AG18" t="s">
        <v>10</v>
      </c>
      <c r="AH18" t="s">
        <v>21</v>
      </c>
      <c r="AI18" t="s">
        <v>243</v>
      </c>
      <c r="AJ18" t="s">
        <v>175</v>
      </c>
      <c r="AL18" t="s">
        <v>318</v>
      </c>
      <c r="AM18" t="s">
        <v>358</v>
      </c>
      <c r="AN18" t="s">
        <v>359</v>
      </c>
      <c r="AO18">
        <v>0.98844945266915318</v>
      </c>
      <c r="AP18">
        <v>211.76003439885758</v>
      </c>
      <c r="AR18" t="s">
        <v>239</v>
      </c>
      <c r="AS18" t="s">
        <v>398</v>
      </c>
      <c r="AT18" t="s">
        <v>399</v>
      </c>
      <c r="AU18" t="s">
        <v>10</v>
      </c>
      <c r="AV18" t="s">
        <v>21</v>
      </c>
      <c r="AW18" t="s">
        <v>243</v>
      </c>
      <c r="AX18" t="s">
        <v>175</v>
      </c>
      <c r="AZ18" t="s">
        <v>398</v>
      </c>
      <c r="BA18" t="s">
        <v>418</v>
      </c>
      <c r="BB18" t="s">
        <v>419</v>
      </c>
      <c r="BC18">
        <v>0.9892917933303903</v>
      </c>
      <c r="BD18">
        <v>196.31712227617862</v>
      </c>
    </row>
    <row r="19" spans="2:56">
      <c r="B19" t="s">
        <v>171</v>
      </c>
      <c r="C19" t="s">
        <v>190</v>
      </c>
      <c r="D19" t="s">
        <v>191</v>
      </c>
      <c r="E19" t="s">
        <v>10</v>
      </c>
      <c r="F19" t="s">
        <v>21</v>
      </c>
      <c r="G19" t="s">
        <v>174</v>
      </c>
      <c r="H19" t="s">
        <v>175</v>
      </c>
      <c r="J19" t="s">
        <v>190</v>
      </c>
      <c r="K19" t="s">
        <v>226</v>
      </c>
      <c r="L19">
        <v>1.0484377815282082</v>
      </c>
      <c r="M19">
        <v>0.1393758879424129</v>
      </c>
      <c r="O19" t="s">
        <v>239</v>
      </c>
      <c r="P19" t="s">
        <v>258</v>
      </c>
      <c r="Q19" t="s">
        <v>259</v>
      </c>
      <c r="R19" t="s">
        <v>10</v>
      </c>
      <c r="S19" t="s">
        <v>21</v>
      </c>
      <c r="T19" t="s">
        <v>242</v>
      </c>
      <c r="U19" t="s">
        <v>243</v>
      </c>
      <c r="V19" t="s">
        <v>175</v>
      </c>
      <c r="X19" t="s">
        <v>258</v>
      </c>
      <c r="Y19" t="s">
        <v>226</v>
      </c>
      <c r="Z19" t="s">
        <v>292</v>
      </c>
      <c r="AA19">
        <v>0.98904170636947841</v>
      </c>
      <c r="AB19">
        <v>200.90204989289663</v>
      </c>
      <c r="AD19" t="s">
        <v>239</v>
      </c>
      <c r="AE19" t="s">
        <v>320</v>
      </c>
      <c r="AF19" t="s">
        <v>321</v>
      </c>
      <c r="AG19" t="s">
        <v>10</v>
      </c>
      <c r="AH19" t="s">
        <v>21</v>
      </c>
      <c r="AI19" t="s">
        <v>243</v>
      </c>
      <c r="AJ19" t="s">
        <v>175</v>
      </c>
      <c r="AL19" t="s">
        <v>320</v>
      </c>
      <c r="AM19" t="s">
        <v>360</v>
      </c>
      <c r="AN19" t="s">
        <v>361</v>
      </c>
      <c r="AO19">
        <v>0.99552303355529737</v>
      </c>
      <c r="AP19">
        <v>82.077718152882312</v>
      </c>
      <c r="AR19" t="s">
        <v>239</v>
      </c>
      <c r="AS19" t="s">
        <v>400</v>
      </c>
      <c r="AT19" t="s">
        <v>401</v>
      </c>
      <c r="AU19" t="s">
        <v>10</v>
      </c>
      <c r="AV19" t="s">
        <v>21</v>
      </c>
      <c r="AW19" t="s">
        <v>243</v>
      </c>
      <c r="AX19" t="s">
        <v>175</v>
      </c>
      <c r="AZ19" t="s">
        <v>400</v>
      </c>
      <c r="BA19" t="s">
        <v>420</v>
      </c>
      <c r="BB19" t="s">
        <v>421</v>
      </c>
      <c r="BC19">
        <v>0.99349205504215798</v>
      </c>
      <c r="BD19">
        <v>119.31232422710414</v>
      </c>
    </row>
    <row r="20" spans="2:56">
      <c r="B20" t="s">
        <v>171</v>
      </c>
      <c r="C20" t="s">
        <v>192</v>
      </c>
      <c r="D20" t="s">
        <v>193</v>
      </c>
      <c r="E20" t="s">
        <v>10</v>
      </c>
      <c r="F20" t="s">
        <v>21</v>
      </c>
      <c r="G20" t="s">
        <v>174</v>
      </c>
      <c r="H20" t="s">
        <v>175</v>
      </c>
      <c r="J20" t="s">
        <v>192</v>
      </c>
      <c r="K20" t="s">
        <v>227</v>
      </c>
      <c r="L20">
        <v>2.6916185776277657</v>
      </c>
      <c r="M20">
        <v>0.1372484388105237</v>
      </c>
      <c r="O20" t="s">
        <v>239</v>
      </c>
      <c r="P20" t="s">
        <v>260</v>
      </c>
      <c r="Q20" t="s">
        <v>261</v>
      </c>
      <c r="R20" t="s">
        <v>10</v>
      </c>
      <c r="S20" t="s">
        <v>21</v>
      </c>
      <c r="T20" t="s">
        <v>242</v>
      </c>
      <c r="U20" t="s">
        <v>243</v>
      </c>
      <c r="V20" t="s">
        <v>175</v>
      </c>
      <c r="X20" t="s">
        <v>260</v>
      </c>
      <c r="Y20" t="s">
        <v>227</v>
      </c>
      <c r="Z20" t="s">
        <v>293</v>
      </c>
      <c r="AA20">
        <v>0.9866385672597856</v>
      </c>
      <c r="AB20">
        <v>244.95960023726295</v>
      </c>
      <c r="AD20" t="s">
        <v>239</v>
      </c>
      <c r="AE20" t="s">
        <v>322</v>
      </c>
      <c r="AF20" t="s">
        <v>323</v>
      </c>
      <c r="AG20" t="s">
        <v>10</v>
      </c>
      <c r="AH20" t="s">
        <v>21</v>
      </c>
      <c r="AI20" t="s">
        <v>243</v>
      </c>
      <c r="AJ20" t="s">
        <v>175</v>
      </c>
      <c r="AL20" t="s">
        <v>322</v>
      </c>
      <c r="AM20" t="s">
        <v>362</v>
      </c>
      <c r="AN20" t="s">
        <v>363</v>
      </c>
      <c r="AO20">
        <v>0.99418970404065432</v>
      </c>
      <c r="AP20">
        <v>106.52209258800498</v>
      </c>
      <c r="AR20" t="s">
        <v>239</v>
      </c>
      <c r="AS20" t="s">
        <v>402</v>
      </c>
      <c r="AT20" t="s">
        <v>403</v>
      </c>
      <c r="AU20" t="s">
        <v>10</v>
      </c>
      <c r="AV20" t="s">
        <v>21</v>
      </c>
      <c r="AW20" t="s">
        <v>243</v>
      </c>
      <c r="AX20" t="s">
        <v>175</v>
      </c>
      <c r="AZ20" t="s">
        <v>402</v>
      </c>
      <c r="BA20" t="s">
        <v>422</v>
      </c>
      <c r="BB20" t="s">
        <v>423</v>
      </c>
      <c r="BC20">
        <v>0.99148653509417994</v>
      </c>
      <c r="BD20">
        <v>156.08018994003498</v>
      </c>
    </row>
    <row r="21" spans="2:56">
      <c r="B21" t="s">
        <v>171</v>
      </c>
      <c r="C21" t="s">
        <v>194</v>
      </c>
      <c r="D21" t="s">
        <v>195</v>
      </c>
      <c r="E21" t="s">
        <v>10</v>
      </c>
      <c r="F21" t="s">
        <v>21</v>
      </c>
      <c r="G21" t="s">
        <v>174</v>
      </c>
      <c r="H21" t="s">
        <v>175</v>
      </c>
      <c r="J21" t="s">
        <v>194</v>
      </c>
      <c r="K21" t="s">
        <v>228</v>
      </c>
      <c r="L21">
        <v>2.9273043466702848</v>
      </c>
      <c r="M21">
        <v>0.1384154100735164</v>
      </c>
      <c r="O21" t="s">
        <v>239</v>
      </c>
      <c r="P21" t="s">
        <v>262</v>
      </c>
      <c r="Q21" t="s">
        <v>263</v>
      </c>
      <c r="R21" t="s">
        <v>10</v>
      </c>
      <c r="S21" t="s">
        <v>21</v>
      </c>
      <c r="T21" t="s">
        <v>242</v>
      </c>
      <c r="U21" t="s">
        <v>243</v>
      </c>
      <c r="V21" t="s">
        <v>175</v>
      </c>
      <c r="X21" t="s">
        <v>262</v>
      </c>
      <c r="Y21" t="s">
        <v>228</v>
      </c>
      <c r="Z21" t="s">
        <v>294</v>
      </c>
      <c r="AA21">
        <v>0.98893381891519438</v>
      </c>
      <c r="AB21">
        <v>202.87998655476954</v>
      </c>
      <c r="AD21" t="s">
        <v>239</v>
      </c>
      <c r="AE21" t="s">
        <v>324</v>
      </c>
      <c r="AF21" t="s">
        <v>325</v>
      </c>
      <c r="AG21" t="s">
        <v>10</v>
      </c>
      <c r="AH21" t="s">
        <v>21</v>
      </c>
      <c r="AI21" t="s">
        <v>243</v>
      </c>
      <c r="AJ21" t="s">
        <v>175</v>
      </c>
      <c r="AL21" t="s">
        <v>324</v>
      </c>
      <c r="AM21" t="s">
        <v>364</v>
      </c>
      <c r="AN21" t="s">
        <v>365</v>
      </c>
      <c r="AO21">
        <v>0.98768981100926756</v>
      </c>
      <c r="AP21">
        <v>225.68679816342777</v>
      </c>
    </row>
    <row r="22" spans="2:56">
      <c r="B22" t="s">
        <v>171</v>
      </c>
      <c r="C22" t="s">
        <v>196</v>
      </c>
      <c r="D22" t="s">
        <v>197</v>
      </c>
      <c r="E22" t="s">
        <v>10</v>
      </c>
      <c r="F22" t="s">
        <v>21</v>
      </c>
      <c r="G22" t="s">
        <v>174</v>
      </c>
      <c r="H22" t="s">
        <v>175</v>
      </c>
      <c r="J22" t="s">
        <v>196</v>
      </c>
      <c r="K22" t="s">
        <v>229</v>
      </c>
      <c r="L22">
        <v>1.0856306330957308</v>
      </c>
      <c r="M22">
        <v>0.14363795490216469</v>
      </c>
      <c r="O22" t="s">
        <v>239</v>
      </c>
      <c r="P22" t="s">
        <v>264</v>
      </c>
      <c r="Q22" t="s">
        <v>265</v>
      </c>
      <c r="R22" t="s">
        <v>10</v>
      </c>
      <c r="S22" t="s">
        <v>21</v>
      </c>
      <c r="T22" t="s">
        <v>242</v>
      </c>
      <c r="U22" t="s">
        <v>243</v>
      </c>
      <c r="V22" t="s">
        <v>175</v>
      </c>
      <c r="X22" t="s">
        <v>264</v>
      </c>
      <c r="Y22" t="s">
        <v>229</v>
      </c>
      <c r="Z22" t="s">
        <v>295</v>
      </c>
      <c r="AA22">
        <v>0.99131060083308187</v>
      </c>
      <c r="AB22">
        <v>159.30565139349844</v>
      </c>
      <c r="AD22" t="s">
        <v>239</v>
      </c>
      <c r="AE22" t="s">
        <v>326</v>
      </c>
      <c r="AF22" t="s">
        <v>327</v>
      </c>
      <c r="AG22" t="s">
        <v>10</v>
      </c>
      <c r="AH22" t="s">
        <v>21</v>
      </c>
      <c r="AI22" t="s">
        <v>243</v>
      </c>
      <c r="AJ22" t="s">
        <v>175</v>
      </c>
      <c r="AL22" t="s">
        <v>326</v>
      </c>
      <c r="AM22" t="s">
        <v>366</v>
      </c>
      <c r="AN22" t="s">
        <v>367</v>
      </c>
      <c r="AO22">
        <v>0.99435161378360182</v>
      </c>
      <c r="AP22">
        <v>103.55374730063295</v>
      </c>
    </row>
    <row r="23" spans="2:56">
      <c r="B23" t="s">
        <v>171</v>
      </c>
      <c r="C23" t="s">
        <v>198</v>
      </c>
      <c r="D23" t="s">
        <v>199</v>
      </c>
      <c r="E23" t="s">
        <v>10</v>
      </c>
      <c r="F23" t="s">
        <v>21</v>
      </c>
      <c r="G23" t="s">
        <v>174</v>
      </c>
      <c r="H23" t="s">
        <v>175</v>
      </c>
      <c r="J23" t="s">
        <v>198</v>
      </c>
      <c r="K23" t="s">
        <v>230</v>
      </c>
      <c r="L23">
        <v>1.8716204148618576</v>
      </c>
      <c r="M23">
        <v>0.14292516635890701</v>
      </c>
      <c r="O23" t="s">
        <v>239</v>
      </c>
      <c r="P23" t="s">
        <v>266</v>
      </c>
      <c r="Q23" t="s">
        <v>267</v>
      </c>
      <c r="R23" t="s">
        <v>10</v>
      </c>
      <c r="S23" t="s">
        <v>21</v>
      </c>
      <c r="T23" t="s">
        <v>242</v>
      </c>
      <c r="U23" t="s">
        <v>243</v>
      </c>
      <c r="V23" t="s">
        <v>175</v>
      </c>
      <c r="X23" t="s">
        <v>266</v>
      </c>
      <c r="Y23" t="s">
        <v>230</v>
      </c>
      <c r="Z23" t="s">
        <v>296</v>
      </c>
      <c r="AA23">
        <v>0.98882091423845997</v>
      </c>
      <c r="AB23">
        <v>204.94990562823315</v>
      </c>
      <c r="AD23" t="s">
        <v>239</v>
      </c>
      <c r="AE23" t="s">
        <v>328</v>
      </c>
      <c r="AF23" t="s">
        <v>329</v>
      </c>
      <c r="AG23" t="s">
        <v>10</v>
      </c>
      <c r="AH23" t="s">
        <v>21</v>
      </c>
      <c r="AI23" t="s">
        <v>243</v>
      </c>
      <c r="AJ23" t="s">
        <v>175</v>
      </c>
      <c r="AL23" t="s">
        <v>328</v>
      </c>
      <c r="AM23" t="s">
        <v>368</v>
      </c>
      <c r="AN23" t="s">
        <v>369</v>
      </c>
      <c r="AO23">
        <v>0.99427708421681416</v>
      </c>
      <c r="AP23">
        <v>104.92012269174036</v>
      </c>
    </row>
    <row r="24" spans="2:56">
      <c r="B24" t="s">
        <v>171</v>
      </c>
      <c r="C24" t="s">
        <v>200</v>
      </c>
      <c r="D24" t="s">
        <v>201</v>
      </c>
      <c r="E24" t="s">
        <v>10</v>
      </c>
      <c r="F24" t="s">
        <v>21</v>
      </c>
      <c r="G24" t="s">
        <v>174</v>
      </c>
      <c r="H24" t="s">
        <v>175</v>
      </c>
      <c r="J24" t="s">
        <v>200</v>
      </c>
      <c r="K24" t="s">
        <v>231</v>
      </c>
      <c r="L24">
        <v>0.82001674162549931</v>
      </c>
      <c r="M24">
        <v>0.14186775683157229</v>
      </c>
      <c r="O24" t="s">
        <v>239</v>
      </c>
      <c r="P24" t="s">
        <v>268</v>
      </c>
      <c r="Q24" t="s">
        <v>269</v>
      </c>
      <c r="R24" t="s">
        <v>10</v>
      </c>
      <c r="S24" t="s">
        <v>21</v>
      </c>
      <c r="T24" t="s">
        <v>242</v>
      </c>
      <c r="U24" t="s">
        <v>243</v>
      </c>
      <c r="V24" t="s">
        <v>175</v>
      </c>
      <c r="X24" t="s">
        <v>268</v>
      </c>
      <c r="Y24" t="s">
        <v>231</v>
      </c>
      <c r="Z24" t="s">
        <v>297</v>
      </c>
      <c r="AA24">
        <v>0.99306125367810116</v>
      </c>
      <c r="AB24">
        <v>127.21034923481231</v>
      </c>
      <c r="AD24" t="s">
        <v>239</v>
      </c>
      <c r="AE24" t="s">
        <v>330</v>
      </c>
      <c r="AF24" t="s">
        <v>331</v>
      </c>
      <c r="AG24" t="s">
        <v>10</v>
      </c>
      <c r="AH24" t="s">
        <v>21</v>
      </c>
      <c r="AI24" t="s">
        <v>243</v>
      </c>
      <c r="AJ24" t="s">
        <v>175</v>
      </c>
      <c r="AL24" t="s">
        <v>330</v>
      </c>
      <c r="AM24" t="s">
        <v>370</v>
      </c>
      <c r="AN24" t="s">
        <v>371</v>
      </c>
      <c r="AO24">
        <v>0.99368608205177045</v>
      </c>
      <c r="AP24">
        <v>115.75516238420887</v>
      </c>
    </row>
    <row r="25" spans="2:56">
      <c r="B25" t="s">
        <v>171</v>
      </c>
      <c r="C25" t="s">
        <v>202</v>
      </c>
      <c r="D25" t="s">
        <v>203</v>
      </c>
      <c r="E25" t="s">
        <v>10</v>
      </c>
      <c r="F25" t="s">
        <v>21</v>
      </c>
      <c r="G25" t="s">
        <v>174</v>
      </c>
      <c r="H25" t="s">
        <v>175</v>
      </c>
      <c r="J25" t="s">
        <v>202</v>
      </c>
      <c r="K25" t="s">
        <v>232</v>
      </c>
      <c r="L25">
        <v>0.74353991111099937</v>
      </c>
      <c r="M25">
        <v>0.1398924056171664</v>
      </c>
      <c r="O25" t="s">
        <v>239</v>
      </c>
      <c r="P25" t="s">
        <v>270</v>
      </c>
      <c r="Q25" t="s">
        <v>271</v>
      </c>
      <c r="R25" t="s">
        <v>10</v>
      </c>
      <c r="S25" t="s">
        <v>21</v>
      </c>
      <c r="T25" t="s">
        <v>242</v>
      </c>
      <c r="U25" t="s">
        <v>243</v>
      </c>
      <c r="V25" t="s">
        <v>175</v>
      </c>
      <c r="X25" t="s">
        <v>270</v>
      </c>
      <c r="Y25" t="s">
        <v>232</v>
      </c>
      <c r="Z25" t="s">
        <v>298</v>
      </c>
      <c r="AA25">
        <v>0.99594031040905284</v>
      </c>
      <c r="AB25">
        <v>74.427642500698539</v>
      </c>
      <c r="AD25" t="s">
        <v>239</v>
      </c>
      <c r="AE25" t="s">
        <v>332</v>
      </c>
      <c r="AF25" t="s">
        <v>333</v>
      </c>
      <c r="AG25" t="s">
        <v>10</v>
      </c>
      <c r="AH25" t="s">
        <v>21</v>
      </c>
      <c r="AI25" t="s">
        <v>243</v>
      </c>
      <c r="AJ25" t="s">
        <v>175</v>
      </c>
      <c r="AL25" t="s">
        <v>332</v>
      </c>
      <c r="AM25" t="s">
        <v>372</v>
      </c>
      <c r="AN25" t="s">
        <v>373</v>
      </c>
      <c r="AO25">
        <v>0.99113070337008702</v>
      </c>
      <c r="AP25">
        <v>162.60377154840413</v>
      </c>
    </row>
    <row r="26" spans="2:56">
      <c r="B26" t="s">
        <v>171</v>
      </c>
      <c r="C26" t="s">
        <v>204</v>
      </c>
      <c r="D26" t="s">
        <v>205</v>
      </c>
      <c r="E26" t="s">
        <v>10</v>
      </c>
      <c r="F26" t="s">
        <v>21</v>
      </c>
      <c r="G26" t="s">
        <v>174</v>
      </c>
      <c r="H26" t="s">
        <v>175</v>
      </c>
      <c r="J26" t="s">
        <v>204</v>
      </c>
      <c r="K26" t="s">
        <v>233</v>
      </c>
      <c r="L26">
        <v>0.37467102460269658</v>
      </c>
      <c r="M26">
        <v>0.1383511284503964</v>
      </c>
      <c r="O26" t="s">
        <v>239</v>
      </c>
      <c r="P26" t="s">
        <v>272</v>
      </c>
      <c r="Q26" t="s">
        <v>273</v>
      </c>
      <c r="R26" t="s">
        <v>10</v>
      </c>
      <c r="S26" t="s">
        <v>21</v>
      </c>
      <c r="T26" t="s">
        <v>242</v>
      </c>
      <c r="U26" t="s">
        <v>243</v>
      </c>
      <c r="V26" t="s">
        <v>175</v>
      </c>
      <c r="X26" t="s">
        <v>272</v>
      </c>
      <c r="Y26" t="s">
        <v>233</v>
      </c>
      <c r="Z26" t="s">
        <v>299</v>
      </c>
      <c r="AA26">
        <v>0.99416798014777663</v>
      </c>
      <c r="AB26">
        <v>106.92036395742902</v>
      </c>
      <c r="AD26" t="s">
        <v>239</v>
      </c>
      <c r="AE26" t="s">
        <v>334</v>
      </c>
      <c r="AF26" t="s">
        <v>335</v>
      </c>
      <c r="AG26" t="s">
        <v>10</v>
      </c>
      <c r="AH26" t="s">
        <v>21</v>
      </c>
      <c r="AI26" t="s">
        <v>243</v>
      </c>
      <c r="AJ26" t="s">
        <v>175</v>
      </c>
      <c r="AL26" t="s">
        <v>334</v>
      </c>
      <c r="AM26" t="s">
        <v>374</v>
      </c>
      <c r="AN26" t="s">
        <v>375</v>
      </c>
      <c r="AO26">
        <v>0.99053113122064196</v>
      </c>
      <c r="AP26">
        <v>173.59592762156493</v>
      </c>
    </row>
    <row r="27" spans="2:56">
      <c r="B27" t="s">
        <v>171</v>
      </c>
      <c r="C27" t="s">
        <v>206</v>
      </c>
      <c r="D27" t="s">
        <v>207</v>
      </c>
      <c r="E27" t="s">
        <v>10</v>
      </c>
      <c r="F27" t="s">
        <v>21</v>
      </c>
      <c r="G27" t="s">
        <v>174</v>
      </c>
      <c r="H27" t="s">
        <v>175</v>
      </c>
      <c r="J27" t="s">
        <v>206</v>
      </c>
      <c r="K27" t="s">
        <v>234</v>
      </c>
      <c r="L27">
        <v>0.31509067956656678</v>
      </c>
      <c r="M27">
        <v>0.1387064551936463</v>
      </c>
      <c r="O27" t="s">
        <v>239</v>
      </c>
      <c r="P27" t="s">
        <v>274</v>
      </c>
      <c r="Q27" t="s">
        <v>275</v>
      </c>
      <c r="R27" t="s">
        <v>10</v>
      </c>
      <c r="S27" t="s">
        <v>21</v>
      </c>
      <c r="T27" t="s">
        <v>242</v>
      </c>
      <c r="U27" t="s">
        <v>243</v>
      </c>
      <c r="V27" t="s">
        <v>175</v>
      </c>
      <c r="X27" t="s">
        <v>274</v>
      </c>
      <c r="Y27" t="s">
        <v>234</v>
      </c>
      <c r="Z27" t="s">
        <v>300</v>
      </c>
      <c r="AA27">
        <v>0.99645066092519663</v>
      </c>
      <c r="AB27">
        <v>65.071216371396105</v>
      </c>
      <c r="AD27" t="s">
        <v>239</v>
      </c>
      <c r="AE27" t="s">
        <v>336</v>
      </c>
      <c r="AF27" t="s">
        <v>337</v>
      </c>
      <c r="AG27" t="s">
        <v>10</v>
      </c>
      <c r="AH27" t="s">
        <v>21</v>
      </c>
      <c r="AI27" t="s">
        <v>243</v>
      </c>
      <c r="AJ27" t="s">
        <v>175</v>
      </c>
      <c r="AL27" t="s">
        <v>336</v>
      </c>
      <c r="AM27" t="s">
        <v>376</v>
      </c>
      <c r="AN27" t="s">
        <v>377</v>
      </c>
      <c r="AO27">
        <v>0.9913766042890243</v>
      </c>
      <c r="AP27">
        <v>158.09558803455363</v>
      </c>
    </row>
    <row r="28" spans="2:56">
      <c r="B28" t="s">
        <v>171</v>
      </c>
      <c r="C28" t="s">
        <v>208</v>
      </c>
      <c r="D28" t="s">
        <v>209</v>
      </c>
      <c r="E28" t="s">
        <v>10</v>
      </c>
      <c r="F28" t="s">
        <v>21</v>
      </c>
      <c r="G28" t="s">
        <v>174</v>
      </c>
      <c r="H28" t="s">
        <v>175</v>
      </c>
      <c r="J28" t="s">
        <v>208</v>
      </c>
      <c r="K28" t="s">
        <v>235</v>
      </c>
      <c r="L28">
        <v>0.52638127478306163</v>
      </c>
      <c r="M28">
        <v>0.13839869186952719</v>
      </c>
      <c r="O28" t="s">
        <v>239</v>
      </c>
      <c r="P28" t="s">
        <v>276</v>
      </c>
      <c r="Q28" t="s">
        <v>277</v>
      </c>
      <c r="R28" t="s">
        <v>10</v>
      </c>
      <c r="S28" t="s">
        <v>21</v>
      </c>
      <c r="T28" t="s">
        <v>242</v>
      </c>
      <c r="U28" t="s">
        <v>243</v>
      </c>
      <c r="V28" t="s">
        <v>175</v>
      </c>
      <c r="X28" t="s">
        <v>276</v>
      </c>
      <c r="Y28" t="s">
        <v>235</v>
      </c>
      <c r="Z28" t="s">
        <v>301</v>
      </c>
      <c r="AA28">
        <v>0.99630851076955973</v>
      </c>
      <c r="AB28">
        <v>67.677302558071602</v>
      </c>
      <c r="AD28" t="s">
        <v>239</v>
      </c>
      <c r="AE28" t="s">
        <v>338</v>
      </c>
      <c r="AF28" t="s">
        <v>339</v>
      </c>
      <c r="AG28" t="s">
        <v>10</v>
      </c>
      <c r="AH28" t="s">
        <v>21</v>
      </c>
      <c r="AI28" t="s">
        <v>243</v>
      </c>
      <c r="AJ28" t="s">
        <v>175</v>
      </c>
      <c r="AL28" t="s">
        <v>338</v>
      </c>
      <c r="AM28" t="s">
        <v>378</v>
      </c>
      <c r="AN28" t="s">
        <v>379</v>
      </c>
      <c r="AO28">
        <v>0.98943796188704269</v>
      </c>
      <c r="AP28">
        <v>193.63736540421718</v>
      </c>
    </row>
    <row r="29" spans="2:56">
      <c r="B29" t="s">
        <v>171</v>
      </c>
      <c r="C29" t="s">
        <v>210</v>
      </c>
      <c r="D29" t="s">
        <v>211</v>
      </c>
      <c r="E29" t="s">
        <v>10</v>
      </c>
      <c r="F29" t="s">
        <v>21</v>
      </c>
      <c r="G29" t="s">
        <v>174</v>
      </c>
      <c r="H29" t="s">
        <v>175</v>
      </c>
      <c r="J29" t="s">
        <v>210</v>
      </c>
      <c r="K29" t="s">
        <v>236</v>
      </c>
      <c r="L29">
        <v>0.17168066200704121</v>
      </c>
      <c r="M29">
        <v>0.13818140035886869</v>
      </c>
      <c r="O29" t="s">
        <v>239</v>
      </c>
      <c r="P29" t="s">
        <v>278</v>
      </c>
      <c r="Q29" t="s">
        <v>279</v>
      </c>
      <c r="R29" t="s">
        <v>10</v>
      </c>
      <c r="S29" t="s">
        <v>21</v>
      </c>
      <c r="T29" t="s">
        <v>242</v>
      </c>
      <c r="U29" t="s">
        <v>243</v>
      </c>
      <c r="V29" t="s">
        <v>175</v>
      </c>
      <c r="X29" t="s">
        <v>278</v>
      </c>
      <c r="Y29" t="s">
        <v>236</v>
      </c>
      <c r="Z29" t="s">
        <v>302</v>
      </c>
      <c r="AA29">
        <v>0.99330696849324529</v>
      </c>
      <c r="AB29">
        <v>122.70557762383625</v>
      </c>
      <c r="AD29" t="s">
        <v>239</v>
      </c>
      <c r="AE29" t="s">
        <v>340</v>
      </c>
      <c r="AF29" t="s">
        <v>341</v>
      </c>
      <c r="AG29" t="s">
        <v>10</v>
      </c>
      <c r="AH29" t="s">
        <v>21</v>
      </c>
      <c r="AI29" t="s">
        <v>243</v>
      </c>
      <c r="AJ29" t="s">
        <v>175</v>
      </c>
      <c r="AL29" t="s">
        <v>340</v>
      </c>
      <c r="AM29" t="s">
        <v>380</v>
      </c>
      <c r="AN29" t="s">
        <v>381</v>
      </c>
      <c r="AO29">
        <v>0.99520787559028878</v>
      </c>
      <c r="AP29">
        <v>87.85561417803892</v>
      </c>
    </row>
    <row r="30" spans="2:56">
      <c r="B30" t="s">
        <v>171</v>
      </c>
      <c r="C30" t="s">
        <v>212</v>
      </c>
      <c r="D30" t="s">
        <v>213</v>
      </c>
      <c r="E30" t="s">
        <v>10</v>
      </c>
      <c r="F30" t="s">
        <v>21</v>
      </c>
      <c r="G30" t="s">
        <v>174</v>
      </c>
      <c r="H30" t="s">
        <v>175</v>
      </c>
      <c r="J30" t="s">
        <v>212</v>
      </c>
      <c r="K30" t="s">
        <v>237</v>
      </c>
      <c r="L30">
        <v>0.44526617540664792</v>
      </c>
      <c r="M30">
        <v>0.13833548660130951</v>
      </c>
      <c r="O30" t="s">
        <v>239</v>
      </c>
      <c r="P30" t="s">
        <v>280</v>
      </c>
      <c r="Q30" t="s">
        <v>281</v>
      </c>
      <c r="R30" t="s">
        <v>10</v>
      </c>
      <c r="S30" t="s">
        <v>21</v>
      </c>
      <c r="T30" t="s">
        <v>242</v>
      </c>
      <c r="U30" t="s">
        <v>243</v>
      </c>
      <c r="V30" t="s">
        <v>175</v>
      </c>
      <c r="X30" t="s">
        <v>280</v>
      </c>
      <c r="Y30" t="s">
        <v>237</v>
      </c>
      <c r="Z30" t="s">
        <v>303</v>
      </c>
      <c r="AA30">
        <v>0.99605762638605078</v>
      </c>
      <c r="AB30">
        <v>72.276849589069343</v>
      </c>
      <c r="AD30" t="s">
        <v>239</v>
      </c>
      <c r="AE30" t="s">
        <v>342</v>
      </c>
      <c r="AF30" t="s">
        <v>343</v>
      </c>
      <c r="AG30" t="s">
        <v>10</v>
      </c>
      <c r="AH30" t="s">
        <v>21</v>
      </c>
      <c r="AI30" t="s">
        <v>243</v>
      </c>
      <c r="AJ30" t="s">
        <v>175</v>
      </c>
      <c r="AL30" t="s">
        <v>342</v>
      </c>
      <c r="AM30" t="s">
        <v>382</v>
      </c>
      <c r="AN30" t="s">
        <v>383</v>
      </c>
      <c r="AO30">
        <v>0.99589853466628631</v>
      </c>
      <c r="AP30">
        <v>75.193531118084408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97C79-9FEB-49D2-9121-CF2603EF205E}">
  <dimension ref="B9:Z30"/>
  <sheetViews>
    <sheetView workbookViewId="0"/>
  </sheetViews>
  <sheetFormatPr defaultRowHeight="14.25"/>
  <sheetData>
    <row r="9" spans="2:26">
      <c r="B9" t="s">
        <v>163</v>
      </c>
      <c r="J9" t="s">
        <v>214</v>
      </c>
      <c r="O9" t="s">
        <v>163</v>
      </c>
      <c r="W9" t="s">
        <v>214</v>
      </c>
    </row>
    <row r="10" spans="2:2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215</v>
      </c>
      <c r="L10" t="s">
        <v>216</v>
      </c>
      <c r="M10" t="s">
        <v>217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169</v>
      </c>
      <c r="U10" t="s">
        <v>170</v>
      </c>
      <c r="W10" t="s">
        <v>165</v>
      </c>
      <c r="X10" t="s">
        <v>215</v>
      </c>
      <c r="Y10" t="s">
        <v>216</v>
      </c>
      <c r="Z10" t="s">
        <v>217</v>
      </c>
    </row>
    <row r="11" spans="2:26">
      <c r="B11" t="s">
        <v>171</v>
      </c>
      <c r="C11" t="s">
        <v>424</v>
      </c>
      <c r="D11" t="s">
        <v>425</v>
      </c>
      <c r="E11" t="s">
        <v>10</v>
      </c>
      <c r="F11" t="s">
        <v>21</v>
      </c>
      <c r="G11" t="s">
        <v>174</v>
      </c>
      <c r="H11" t="s">
        <v>175</v>
      </c>
      <c r="J11" t="s">
        <v>424</v>
      </c>
      <c r="K11" t="s">
        <v>344</v>
      </c>
      <c r="L11">
        <v>0.45167200935612223</v>
      </c>
      <c r="M11">
        <v>0.29960202155764681</v>
      </c>
      <c r="O11" t="s">
        <v>171</v>
      </c>
      <c r="P11" t="s">
        <v>464</v>
      </c>
      <c r="Q11" t="s">
        <v>465</v>
      </c>
      <c r="R11" t="s">
        <v>10</v>
      </c>
      <c r="S11" t="s">
        <v>21</v>
      </c>
      <c r="T11" t="s">
        <v>174</v>
      </c>
      <c r="U11" t="s">
        <v>175</v>
      </c>
      <c r="W11" t="s">
        <v>464</v>
      </c>
      <c r="X11" t="s">
        <v>404</v>
      </c>
      <c r="Y11">
        <v>0.83925000000000005</v>
      </c>
      <c r="Z11">
        <v>0.29503941862601879</v>
      </c>
    </row>
    <row r="12" spans="2:26">
      <c r="B12" t="s">
        <v>171</v>
      </c>
      <c r="C12" t="s">
        <v>426</v>
      </c>
      <c r="D12" t="s">
        <v>427</v>
      </c>
      <c r="E12" t="s">
        <v>10</v>
      </c>
      <c r="F12" t="s">
        <v>21</v>
      </c>
      <c r="G12" t="s">
        <v>174</v>
      </c>
      <c r="H12" t="s">
        <v>175</v>
      </c>
      <c r="J12" t="s">
        <v>426</v>
      </c>
      <c r="K12" t="s">
        <v>346</v>
      </c>
      <c r="L12">
        <v>0.50504353376491207</v>
      </c>
      <c r="M12">
        <v>0.27898384516340557</v>
      </c>
      <c r="O12" t="s">
        <v>171</v>
      </c>
      <c r="P12" t="s">
        <v>466</v>
      </c>
      <c r="Q12" t="s">
        <v>467</v>
      </c>
      <c r="R12" t="s">
        <v>10</v>
      </c>
      <c r="S12" t="s">
        <v>21</v>
      </c>
      <c r="T12" t="s">
        <v>174</v>
      </c>
      <c r="U12" t="s">
        <v>175</v>
      </c>
      <c r="W12" t="s">
        <v>466</v>
      </c>
      <c r="X12" t="s">
        <v>406</v>
      </c>
      <c r="Y12">
        <v>16.887</v>
      </c>
      <c r="Z12">
        <v>0.47859411512724059</v>
      </c>
    </row>
    <row r="13" spans="2:26">
      <c r="B13" t="s">
        <v>171</v>
      </c>
      <c r="C13" t="s">
        <v>428</v>
      </c>
      <c r="D13" t="s">
        <v>429</v>
      </c>
      <c r="E13" t="s">
        <v>10</v>
      </c>
      <c r="F13" t="s">
        <v>21</v>
      </c>
      <c r="G13" t="s">
        <v>174</v>
      </c>
      <c r="H13" t="s">
        <v>175</v>
      </c>
      <c r="J13" t="s">
        <v>428</v>
      </c>
      <c r="K13" t="s">
        <v>348</v>
      </c>
      <c r="L13">
        <v>1.7897871713950226</v>
      </c>
      <c r="M13">
        <v>0.29949119500764387</v>
      </c>
      <c r="O13" t="s">
        <v>171</v>
      </c>
      <c r="P13" t="s">
        <v>468</v>
      </c>
      <c r="Q13" t="s">
        <v>469</v>
      </c>
      <c r="R13" t="s">
        <v>10</v>
      </c>
      <c r="S13" t="s">
        <v>21</v>
      </c>
      <c r="T13" t="s">
        <v>174</v>
      </c>
      <c r="U13" t="s">
        <v>175</v>
      </c>
      <c r="W13" t="s">
        <v>468</v>
      </c>
      <c r="X13" t="s">
        <v>408</v>
      </c>
      <c r="Y13">
        <v>11.2965</v>
      </c>
      <c r="Z13">
        <v>0.39611973593706279</v>
      </c>
    </row>
    <row r="14" spans="2:26">
      <c r="B14" t="s">
        <v>171</v>
      </c>
      <c r="C14" t="s">
        <v>430</v>
      </c>
      <c r="D14" t="s">
        <v>431</v>
      </c>
      <c r="E14" t="s">
        <v>10</v>
      </c>
      <c r="F14" t="s">
        <v>21</v>
      </c>
      <c r="G14" t="s">
        <v>174</v>
      </c>
      <c r="H14" t="s">
        <v>175</v>
      </c>
      <c r="J14" t="s">
        <v>430</v>
      </c>
      <c r="K14" t="s">
        <v>350</v>
      </c>
      <c r="L14">
        <v>2.6804732670444085</v>
      </c>
      <c r="M14">
        <v>0.31425063625079108</v>
      </c>
      <c r="O14" t="s">
        <v>171</v>
      </c>
      <c r="P14" t="s">
        <v>470</v>
      </c>
      <c r="Q14" t="s">
        <v>471</v>
      </c>
      <c r="R14" t="s">
        <v>10</v>
      </c>
      <c r="S14" t="s">
        <v>21</v>
      </c>
      <c r="T14" t="s">
        <v>174</v>
      </c>
      <c r="U14" t="s">
        <v>175</v>
      </c>
      <c r="W14" t="s">
        <v>470</v>
      </c>
      <c r="X14" t="s">
        <v>410</v>
      </c>
      <c r="Y14">
        <v>6.6577500000000001</v>
      </c>
      <c r="Z14">
        <v>0.51418941408779362</v>
      </c>
    </row>
    <row r="15" spans="2:26">
      <c r="B15" t="s">
        <v>171</v>
      </c>
      <c r="C15" t="s">
        <v>432</v>
      </c>
      <c r="D15" t="s">
        <v>433</v>
      </c>
      <c r="E15" t="s">
        <v>10</v>
      </c>
      <c r="F15" t="s">
        <v>21</v>
      </c>
      <c r="G15" t="s">
        <v>174</v>
      </c>
      <c r="H15" t="s">
        <v>175</v>
      </c>
      <c r="J15" t="s">
        <v>432</v>
      </c>
      <c r="K15" t="s">
        <v>352</v>
      </c>
      <c r="L15">
        <v>8.0517810049421517</v>
      </c>
      <c r="M15">
        <v>0.31464799268951921</v>
      </c>
      <c r="O15" t="s">
        <v>171</v>
      </c>
      <c r="P15" t="s">
        <v>472</v>
      </c>
      <c r="Q15" t="s">
        <v>473</v>
      </c>
      <c r="R15" t="s">
        <v>10</v>
      </c>
      <c r="S15" t="s">
        <v>21</v>
      </c>
      <c r="T15" t="s">
        <v>174</v>
      </c>
      <c r="U15" t="s">
        <v>175</v>
      </c>
      <c r="W15" t="s">
        <v>472</v>
      </c>
      <c r="X15" t="s">
        <v>412</v>
      </c>
      <c r="Y15">
        <v>17.089500000000001</v>
      </c>
      <c r="Z15">
        <v>0.50447045157143244</v>
      </c>
    </row>
    <row r="16" spans="2:26">
      <c r="B16" t="s">
        <v>171</v>
      </c>
      <c r="C16" t="s">
        <v>434</v>
      </c>
      <c r="D16" t="s">
        <v>435</v>
      </c>
      <c r="E16" t="s">
        <v>10</v>
      </c>
      <c r="F16" t="s">
        <v>21</v>
      </c>
      <c r="G16" t="s">
        <v>174</v>
      </c>
      <c r="H16" t="s">
        <v>175</v>
      </c>
      <c r="J16" t="s">
        <v>434</v>
      </c>
      <c r="K16" t="s">
        <v>354</v>
      </c>
      <c r="L16">
        <v>0.96273897344398884</v>
      </c>
      <c r="M16">
        <v>0.31360236547565429</v>
      </c>
      <c r="O16" t="s">
        <v>171</v>
      </c>
      <c r="P16" t="s">
        <v>474</v>
      </c>
      <c r="Q16" t="s">
        <v>475</v>
      </c>
      <c r="R16" t="s">
        <v>10</v>
      </c>
      <c r="S16" t="s">
        <v>21</v>
      </c>
      <c r="T16" t="s">
        <v>174</v>
      </c>
      <c r="U16" t="s">
        <v>175</v>
      </c>
      <c r="W16" t="s">
        <v>474</v>
      </c>
      <c r="X16" t="s">
        <v>414</v>
      </c>
      <c r="Y16">
        <v>10.023</v>
      </c>
      <c r="Z16">
        <v>0.4805653092687166</v>
      </c>
    </row>
    <row r="17" spans="2:26">
      <c r="B17" t="s">
        <v>171</v>
      </c>
      <c r="C17" t="s">
        <v>436</v>
      </c>
      <c r="D17" t="s">
        <v>437</v>
      </c>
      <c r="E17" t="s">
        <v>10</v>
      </c>
      <c r="F17" t="s">
        <v>21</v>
      </c>
      <c r="G17" t="s">
        <v>174</v>
      </c>
      <c r="H17" t="s">
        <v>175</v>
      </c>
      <c r="J17" t="s">
        <v>436</v>
      </c>
      <c r="K17" t="s">
        <v>356</v>
      </c>
      <c r="L17">
        <v>1.093890418371007</v>
      </c>
      <c r="M17">
        <v>0.32007628577574659</v>
      </c>
      <c r="O17" t="s">
        <v>171</v>
      </c>
      <c r="P17" t="s">
        <v>476</v>
      </c>
      <c r="Q17" t="s">
        <v>477</v>
      </c>
      <c r="R17" t="s">
        <v>10</v>
      </c>
      <c r="S17" t="s">
        <v>21</v>
      </c>
      <c r="T17" t="s">
        <v>174</v>
      </c>
      <c r="U17" t="s">
        <v>175</v>
      </c>
      <c r="W17" t="s">
        <v>476</v>
      </c>
      <c r="X17" t="s">
        <v>416</v>
      </c>
      <c r="Y17">
        <v>0.22650000000000001</v>
      </c>
      <c r="Z17">
        <v>0.37997411876840609</v>
      </c>
    </row>
    <row r="18" spans="2:26">
      <c r="B18" t="s">
        <v>171</v>
      </c>
      <c r="C18" t="s">
        <v>438</v>
      </c>
      <c r="D18" t="s">
        <v>439</v>
      </c>
      <c r="E18" t="s">
        <v>10</v>
      </c>
      <c r="F18" t="s">
        <v>21</v>
      </c>
      <c r="G18" t="s">
        <v>174</v>
      </c>
      <c r="H18" t="s">
        <v>175</v>
      </c>
      <c r="J18" t="s">
        <v>438</v>
      </c>
      <c r="K18" t="s">
        <v>358</v>
      </c>
      <c r="L18">
        <v>3.1665724666245323</v>
      </c>
      <c r="M18">
        <v>0.31071123843148257</v>
      </c>
      <c r="O18" t="s">
        <v>171</v>
      </c>
      <c r="P18" t="s">
        <v>478</v>
      </c>
      <c r="Q18" t="s">
        <v>479</v>
      </c>
      <c r="R18" t="s">
        <v>10</v>
      </c>
      <c r="S18" t="s">
        <v>21</v>
      </c>
      <c r="T18" t="s">
        <v>174</v>
      </c>
      <c r="U18" t="s">
        <v>175</v>
      </c>
      <c r="W18" t="s">
        <v>478</v>
      </c>
      <c r="X18" t="s">
        <v>418</v>
      </c>
      <c r="Y18">
        <v>9.5062499999999996</v>
      </c>
      <c r="Z18">
        <v>0.50020958646910163</v>
      </c>
    </row>
    <row r="19" spans="2:26">
      <c r="B19" t="s">
        <v>171</v>
      </c>
      <c r="C19" t="s">
        <v>440</v>
      </c>
      <c r="D19" t="s">
        <v>441</v>
      </c>
      <c r="E19" t="s">
        <v>10</v>
      </c>
      <c r="F19" t="s">
        <v>21</v>
      </c>
      <c r="G19" t="s">
        <v>174</v>
      </c>
      <c r="H19" t="s">
        <v>175</v>
      </c>
      <c r="J19" t="s">
        <v>440</v>
      </c>
      <c r="K19" t="s">
        <v>360</v>
      </c>
      <c r="L19">
        <v>0.55491188155257321</v>
      </c>
      <c r="M19">
        <v>0.34971865973965988</v>
      </c>
      <c r="O19" t="s">
        <v>171</v>
      </c>
      <c r="P19" t="s">
        <v>480</v>
      </c>
      <c r="Q19" t="s">
        <v>481</v>
      </c>
      <c r="R19" t="s">
        <v>10</v>
      </c>
      <c r="S19" t="s">
        <v>21</v>
      </c>
      <c r="T19" t="s">
        <v>174</v>
      </c>
      <c r="U19" t="s">
        <v>175</v>
      </c>
      <c r="W19" t="s">
        <v>480</v>
      </c>
      <c r="X19" t="s">
        <v>420</v>
      </c>
      <c r="Y19">
        <v>13.37175</v>
      </c>
      <c r="Z19">
        <v>0.50992979072123346</v>
      </c>
    </row>
    <row r="20" spans="2:26">
      <c r="B20" t="s">
        <v>171</v>
      </c>
      <c r="C20" t="s">
        <v>442</v>
      </c>
      <c r="D20" t="s">
        <v>443</v>
      </c>
      <c r="E20" t="s">
        <v>10</v>
      </c>
      <c r="F20" t="s">
        <v>21</v>
      </c>
      <c r="G20" t="s">
        <v>174</v>
      </c>
      <c r="H20" t="s">
        <v>175</v>
      </c>
      <c r="J20" t="s">
        <v>442</v>
      </c>
      <c r="K20" t="s">
        <v>362</v>
      </c>
      <c r="L20">
        <v>0.97886072674627833</v>
      </c>
      <c r="M20">
        <v>0.38528921498822227</v>
      </c>
      <c r="O20" t="s">
        <v>171</v>
      </c>
      <c r="P20" t="s">
        <v>482</v>
      </c>
      <c r="Q20" t="s">
        <v>483</v>
      </c>
      <c r="R20" t="s">
        <v>10</v>
      </c>
      <c r="S20" t="s">
        <v>21</v>
      </c>
      <c r="T20" t="s">
        <v>174</v>
      </c>
      <c r="U20" t="s">
        <v>175</v>
      </c>
      <c r="W20" t="s">
        <v>482</v>
      </c>
      <c r="X20" t="s">
        <v>422</v>
      </c>
      <c r="Y20">
        <v>3.9427500000000002</v>
      </c>
      <c r="Z20">
        <v>0.46231116443987391</v>
      </c>
    </row>
    <row r="21" spans="2:26">
      <c r="B21" t="s">
        <v>171</v>
      </c>
      <c r="C21" t="s">
        <v>444</v>
      </c>
      <c r="D21" t="s">
        <v>445</v>
      </c>
      <c r="E21" t="s">
        <v>10</v>
      </c>
      <c r="F21" t="s">
        <v>21</v>
      </c>
      <c r="G21" t="s">
        <v>174</v>
      </c>
      <c r="H21" t="s">
        <v>175</v>
      </c>
      <c r="J21" t="s">
        <v>444</v>
      </c>
      <c r="K21" t="s">
        <v>364</v>
      </c>
      <c r="L21">
        <v>0.40593208719379742</v>
      </c>
      <c r="M21">
        <v>0.2661318886306912</v>
      </c>
    </row>
    <row r="22" spans="2:26">
      <c r="B22" t="s">
        <v>171</v>
      </c>
      <c r="C22" t="s">
        <v>446</v>
      </c>
      <c r="D22" t="s">
        <v>447</v>
      </c>
      <c r="E22" t="s">
        <v>10</v>
      </c>
      <c r="F22" t="s">
        <v>21</v>
      </c>
      <c r="G22" t="s">
        <v>174</v>
      </c>
      <c r="H22" t="s">
        <v>175</v>
      </c>
      <c r="J22" t="s">
        <v>446</v>
      </c>
      <c r="K22" t="s">
        <v>366</v>
      </c>
      <c r="L22">
        <v>0.8833561507867439</v>
      </c>
      <c r="M22">
        <v>0.3030954042095258</v>
      </c>
    </row>
    <row r="23" spans="2:26">
      <c r="B23" t="s">
        <v>171</v>
      </c>
      <c r="C23" t="s">
        <v>448</v>
      </c>
      <c r="D23" t="s">
        <v>449</v>
      </c>
      <c r="E23" t="s">
        <v>10</v>
      </c>
      <c r="F23" t="s">
        <v>21</v>
      </c>
      <c r="G23" t="s">
        <v>174</v>
      </c>
      <c r="H23" t="s">
        <v>175</v>
      </c>
      <c r="J23" t="s">
        <v>448</v>
      </c>
      <c r="K23" t="s">
        <v>368</v>
      </c>
      <c r="L23">
        <v>0.40306698622644632</v>
      </c>
      <c r="M23">
        <v>0.29167521595820228</v>
      </c>
    </row>
    <row r="24" spans="2:26">
      <c r="B24" t="s">
        <v>171</v>
      </c>
      <c r="C24" t="s">
        <v>450</v>
      </c>
      <c r="D24" t="s">
        <v>451</v>
      </c>
      <c r="E24" t="s">
        <v>10</v>
      </c>
      <c r="F24" t="s">
        <v>21</v>
      </c>
      <c r="G24" t="s">
        <v>174</v>
      </c>
      <c r="H24" t="s">
        <v>175</v>
      </c>
      <c r="J24" t="s">
        <v>450</v>
      </c>
      <c r="K24" t="s">
        <v>370</v>
      </c>
      <c r="L24">
        <v>0.84020182400735144</v>
      </c>
      <c r="M24">
        <v>0.30218757588704248</v>
      </c>
    </row>
    <row r="25" spans="2:26">
      <c r="B25" t="s">
        <v>171</v>
      </c>
      <c r="C25" t="s">
        <v>452</v>
      </c>
      <c r="D25" t="s">
        <v>453</v>
      </c>
      <c r="E25" t="s">
        <v>10</v>
      </c>
      <c r="F25" t="s">
        <v>21</v>
      </c>
      <c r="G25" t="s">
        <v>174</v>
      </c>
      <c r="H25" t="s">
        <v>175</v>
      </c>
      <c r="J25" t="s">
        <v>452</v>
      </c>
      <c r="K25" t="s">
        <v>372</v>
      </c>
      <c r="L25">
        <v>0.35328950844501877</v>
      </c>
      <c r="M25">
        <v>0.1201084725101861</v>
      </c>
    </row>
    <row r="26" spans="2:26">
      <c r="B26" t="s">
        <v>171</v>
      </c>
      <c r="C26" t="s">
        <v>454</v>
      </c>
      <c r="D26" t="s">
        <v>455</v>
      </c>
      <c r="E26" t="s">
        <v>10</v>
      </c>
      <c r="F26" t="s">
        <v>21</v>
      </c>
      <c r="G26" t="s">
        <v>174</v>
      </c>
      <c r="H26" t="s">
        <v>175</v>
      </c>
      <c r="J26" t="s">
        <v>454</v>
      </c>
      <c r="K26" t="s">
        <v>374</v>
      </c>
      <c r="L26">
        <v>0.89446396558783758</v>
      </c>
      <c r="M26">
        <v>0.29862165926308171</v>
      </c>
    </row>
    <row r="27" spans="2:26">
      <c r="B27" t="s">
        <v>171</v>
      </c>
      <c r="C27" t="s">
        <v>456</v>
      </c>
      <c r="D27" t="s">
        <v>457</v>
      </c>
      <c r="E27" t="s">
        <v>10</v>
      </c>
      <c r="F27" t="s">
        <v>21</v>
      </c>
      <c r="G27" t="s">
        <v>174</v>
      </c>
      <c r="H27" t="s">
        <v>175</v>
      </c>
      <c r="J27" t="s">
        <v>456</v>
      </c>
      <c r="K27" t="s">
        <v>376</v>
      </c>
      <c r="L27">
        <v>0.55411362221124194</v>
      </c>
      <c r="M27">
        <v>0.22321530523837249</v>
      </c>
    </row>
    <row r="28" spans="2:26">
      <c r="B28" t="s">
        <v>171</v>
      </c>
      <c r="C28" t="s">
        <v>458</v>
      </c>
      <c r="D28" t="s">
        <v>459</v>
      </c>
      <c r="E28" t="s">
        <v>10</v>
      </c>
      <c r="F28" t="s">
        <v>21</v>
      </c>
      <c r="G28" t="s">
        <v>174</v>
      </c>
      <c r="H28" t="s">
        <v>175</v>
      </c>
      <c r="J28" t="s">
        <v>458</v>
      </c>
      <c r="K28" t="s">
        <v>378</v>
      </c>
      <c r="L28">
        <v>1.4637274230737423</v>
      </c>
      <c r="M28">
        <v>0.23908320032435321</v>
      </c>
    </row>
    <row r="29" spans="2:26">
      <c r="B29" t="s">
        <v>171</v>
      </c>
      <c r="C29" t="s">
        <v>460</v>
      </c>
      <c r="D29" t="s">
        <v>461</v>
      </c>
      <c r="E29" t="s">
        <v>10</v>
      </c>
      <c r="F29" t="s">
        <v>21</v>
      </c>
      <c r="G29" t="s">
        <v>174</v>
      </c>
      <c r="H29" t="s">
        <v>175</v>
      </c>
      <c r="J29" t="s">
        <v>460</v>
      </c>
      <c r="K29" t="s">
        <v>380</v>
      </c>
      <c r="L29">
        <v>0.63042801517356961</v>
      </c>
      <c r="M29">
        <v>0.25424214518473842</v>
      </c>
    </row>
    <row r="30" spans="2:26">
      <c r="B30" t="s">
        <v>171</v>
      </c>
      <c r="C30" t="s">
        <v>462</v>
      </c>
      <c r="D30" t="s">
        <v>463</v>
      </c>
      <c r="E30" t="s">
        <v>10</v>
      </c>
      <c r="F30" t="s">
        <v>21</v>
      </c>
      <c r="G30" t="s">
        <v>174</v>
      </c>
      <c r="H30" t="s">
        <v>175</v>
      </c>
      <c r="J30" t="s">
        <v>462</v>
      </c>
      <c r="K30" t="s">
        <v>382</v>
      </c>
      <c r="L30">
        <v>0.61343702722931326</v>
      </c>
      <c r="M30">
        <v>0.27773236526936701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C7430-0825-421C-8778-EBC6B8321523}">
  <dimension ref="B9:P73"/>
  <sheetViews>
    <sheetView tabSelected="1" workbookViewId="0"/>
  </sheetViews>
  <sheetFormatPr defaultRowHeight="14.25"/>
  <sheetData>
    <row r="9" spans="2:16">
      <c r="B9" t="s">
        <v>214</v>
      </c>
      <c r="J9" t="s">
        <v>163</v>
      </c>
    </row>
    <row r="10" spans="2:16">
      <c r="B10" t="s">
        <v>165</v>
      </c>
      <c r="C10" t="s">
        <v>282</v>
      </c>
      <c r="D10" t="s">
        <v>215</v>
      </c>
      <c r="E10">
        <v>2023</v>
      </c>
      <c r="F10">
        <v>2030</v>
      </c>
      <c r="G10">
        <v>2050</v>
      </c>
      <c r="H10" t="s">
        <v>54</v>
      </c>
      <c r="J10" t="s">
        <v>164</v>
      </c>
      <c r="K10" t="s">
        <v>165</v>
      </c>
      <c r="L10" t="s">
        <v>166</v>
      </c>
      <c r="M10" t="s">
        <v>167</v>
      </c>
      <c r="N10" t="s">
        <v>168</v>
      </c>
      <c r="O10" t="s">
        <v>169</v>
      </c>
      <c r="P10" t="s">
        <v>170</v>
      </c>
    </row>
    <row r="11" spans="2:16">
      <c r="B11" t="s">
        <v>484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171</v>
      </c>
      <c r="K11" t="s">
        <v>484</v>
      </c>
      <c r="M11" t="s">
        <v>10</v>
      </c>
      <c r="N11" t="s">
        <v>21</v>
      </c>
      <c r="O11" t="s">
        <v>243</v>
      </c>
      <c r="P11" t="s">
        <v>506</v>
      </c>
    </row>
    <row r="12" spans="2:16">
      <c r="B12" t="s">
        <v>484</v>
      </c>
      <c r="C12" t="s">
        <v>31</v>
      </c>
      <c r="D12" t="s">
        <v>19</v>
      </c>
      <c r="E12">
        <v>0.60000000000000009</v>
      </c>
      <c r="F12">
        <v>0.60000000000000009</v>
      </c>
      <c r="G12">
        <v>0.60000000000000009</v>
      </c>
      <c r="H12" t="s">
        <v>485</v>
      </c>
      <c r="J12" t="s">
        <v>171</v>
      </c>
      <c r="K12" t="s">
        <v>489</v>
      </c>
      <c r="M12" t="s">
        <v>10</v>
      </c>
      <c r="N12" t="s">
        <v>21</v>
      </c>
      <c r="O12" t="s">
        <v>243</v>
      </c>
      <c r="P12" t="s">
        <v>506</v>
      </c>
    </row>
    <row r="13" spans="2:16">
      <c r="B13" t="s">
        <v>484</v>
      </c>
      <c r="C13" t="s">
        <v>31</v>
      </c>
      <c r="D13" t="s">
        <v>19</v>
      </c>
      <c r="E13">
        <v>5750</v>
      </c>
      <c r="F13">
        <v>5700</v>
      </c>
      <c r="G13">
        <v>5100</v>
      </c>
      <c r="H13" t="s">
        <v>486</v>
      </c>
      <c r="J13" t="s">
        <v>171</v>
      </c>
      <c r="K13" t="s">
        <v>490</v>
      </c>
      <c r="M13" t="s">
        <v>10</v>
      </c>
      <c r="N13" t="s">
        <v>21</v>
      </c>
      <c r="O13" t="s">
        <v>243</v>
      </c>
      <c r="P13" t="s">
        <v>506</v>
      </c>
    </row>
    <row r="14" spans="2:16">
      <c r="B14" t="s">
        <v>484</v>
      </c>
      <c r="C14" t="s">
        <v>31</v>
      </c>
      <c r="D14" t="s">
        <v>19</v>
      </c>
      <c r="E14">
        <v>200</v>
      </c>
      <c r="F14">
        <v>200</v>
      </c>
      <c r="G14">
        <v>175</v>
      </c>
      <c r="H14" t="s">
        <v>487</v>
      </c>
      <c r="J14" t="s">
        <v>171</v>
      </c>
      <c r="K14" t="s">
        <v>491</v>
      </c>
      <c r="M14" t="s">
        <v>10</v>
      </c>
      <c r="N14" t="s">
        <v>21</v>
      </c>
      <c r="O14" t="s">
        <v>243</v>
      </c>
      <c r="P14" t="s">
        <v>506</v>
      </c>
    </row>
    <row r="15" spans="2:16">
      <c r="B15" t="s">
        <v>484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488</v>
      </c>
      <c r="J15" t="s">
        <v>171</v>
      </c>
      <c r="K15" t="s">
        <v>492</v>
      </c>
      <c r="M15" t="s">
        <v>10</v>
      </c>
      <c r="N15" t="s">
        <v>21</v>
      </c>
      <c r="O15" t="s">
        <v>243</v>
      </c>
      <c r="P15" t="s">
        <v>506</v>
      </c>
    </row>
    <row r="16" spans="2:16">
      <c r="B16" t="s">
        <v>489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171</v>
      </c>
      <c r="K16" t="s">
        <v>493</v>
      </c>
      <c r="M16" t="s">
        <v>10</v>
      </c>
      <c r="N16" t="s">
        <v>21</v>
      </c>
      <c r="O16" t="s">
        <v>243</v>
      </c>
      <c r="P16" t="s">
        <v>506</v>
      </c>
    </row>
    <row r="17" spans="2:16">
      <c r="B17" t="s">
        <v>489</v>
      </c>
      <c r="C17" t="s">
        <v>31</v>
      </c>
      <c r="D17" t="s">
        <v>19</v>
      </c>
      <c r="E17">
        <v>0.60000000000000009</v>
      </c>
      <c r="F17">
        <v>0.60000000000000009</v>
      </c>
      <c r="G17">
        <v>0.60000000000000009</v>
      </c>
      <c r="H17" t="s">
        <v>485</v>
      </c>
      <c r="J17" t="s">
        <v>171</v>
      </c>
      <c r="K17" t="s">
        <v>494</v>
      </c>
      <c r="M17" t="s">
        <v>10</v>
      </c>
      <c r="N17" t="s">
        <v>21</v>
      </c>
      <c r="O17" t="s">
        <v>243</v>
      </c>
      <c r="P17" t="s">
        <v>506</v>
      </c>
    </row>
    <row r="18" spans="2:16">
      <c r="B18" t="s">
        <v>489</v>
      </c>
      <c r="C18" t="s">
        <v>31</v>
      </c>
      <c r="D18" t="s">
        <v>19</v>
      </c>
      <c r="E18">
        <v>2400</v>
      </c>
      <c r="F18">
        <v>2350</v>
      </c>
      <c r="G18">
        <v>2300</v>
      </c>
      <c r="H18" t="s">
        <v>486</v>
      </c>
      <c r="J18" t="s">
        <v>171</v>
      </c>
      <c r="K18" t="s">
        <v>495</v>
      </c>
      <c r="M18" t="s">
        <v>10</v>
      </c>
      <c r="N18" t="s">
        <v>21</v>
      </c>
      <c r="O18" t="s">
        <v>243</v>
      </c>
      <c r="P18" t="s">
        <v>506</v>
      </c>
    </row>
    <row r="19" spans="2:16">
      <c r="B19" t="s">
        <v>489</v>
      </c>
      <c r="C19" t="s">
        <v>31</v>
      </c>
      <c r="D19" t="s">
        <v>19</v>
      </c>
      <c r="E19">
        <v>85</v>
      </c>
      <c r="F19">
        <v>85</v>
      </c>
      <c r="G19">
        <v>80</v>
      </c>
      <c r="H19" t="s">
        <v>487</v>
      </c>
      <c r="J19" t="s">
        <v>171</v>
      </c>
      <c r="K19" t="s">
        <v>496</v>
      </c>
      <c r="M19" t="s">
        <v>10</v>
      </c>
      <c r="N19" t="s">
        <v>21</v>
      </c>
      <c r="O19" t="s">
        <v>243</v>
      </c>
      <c r="P19" t="s">
        <v>506</v>
      </c>
    </row>
    <row r="20" spans="2:16">
      <c r="B20" t="s">
        <v>489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488</v>
      </c>
      <c r="J20" t="s">
        <v>171</v>
      </c>
      <c r="K20" t="s">
        <v>497</v>
      </c>
      <c r="M20" t="s">
        <v>10</v>
      </c>
      <c r="N20" t="s">
        <v>21</v>
      </c>
      <c r="O20" t="s">
        <v>243</v>
      </c>
      <c r="P20" t="s">
        <v>506</v>
      </c>
    </row>
    <row r="21" spans="2:16">
      <c r="B21" t="s">
        <v>490</v>
      </c>
      <c r="C21" t="s">
        <v>33</v>
      </c>
      <c r="D21" t="s">
        <v>19</v>
      </c>
      <c r="E21">
        <v>0.59</v>
      </c>
      <c r="F21">
        <v>0.6</v>
      </c>
      <c r="G21">
        <v>0.61</v>
      </c>
      <c r="H21" t="s">
        <v>146</v>
      </c>
      <c r="J21" t="s">
        <v>171</v>
      </c>
      <c r="K21" t="s">
        <v>498</v>
      </c>
      <c r="M21" t="s">
        <v>10</v>
      </c>
      <c r="N21" t="s">
        <v>21</v>
      </c>
      <c r="O21" t="s">
        <v>243</v>
      </c>
      <c r="P21" t="s">
        <v>506</v>
      </c>
    </row>
    <row r="22" spans="2:16">
      <c r="B22" t="s">
        <v>490</v>
      </c>
      <c r="C22" t="s">
        <v>33</v>
      </c>
      <c r="D22" t="s">
        <v>19</v>
      </c>
      <c r="E22">
        <v>1000</v>
      </c>
      <c r="F22">
        <v>1000</v>
      </c>
      <c r="G22">
        <v>1000</v>
      </c>
      <c r="H22" t="s">
        <v>486</v>
      </c>
      <c r="J22" t="s">
        <v>171</v>
      </c>
      <c r="K22" t="s">
        <v>499</v>
      </c>
      <c r="M22" t="s">
        <v>10</v>
      </c>
      <c r="N22" t="s">
        <v>21</v>
      </c>
      <c r="O22" t="s">
        <v>243</v>
      </c>
      <c r="P22" t="s">
        <v>506</v>
      </c>
    </row>
    <row r="23" spans="2:16">
      <c r="B23" t="s">
        <v>490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487</v>
      </c>
      <c r="J23" t="s">
        <v>171</v>
      </c>
      <c r="K23" t="s">
        <v>500</v>
      </c>
      <c r="M23" t="s">
        <v>10</v>
      </c>
      <c r="N23" t="s">
        <v>21</v>
      </c>
      <c r="O23" t="s">
        <v>243</v>
      </c>
      <c r="P23" t="s">
        <v>506</v>
      </c>
    </row>
    <row r="24" spans="2:16">
      <c r="B24" t="s">
        <v>491</v>
      </c>
      <c r="C24" t="s">
        <v>33</v>
      </c>
      <c r="D24" t="s">
        <v>19</v>
      </c>
      <c r="E24">
        <v>0.51</v>
      </c>
      <c r="F24">
        <v>0.52</v>
      </c>
      <c r="G24">
        <v>0.54</v>
      </c>
      <c r="H24" t="s">
        <v>146</v>
      </c>
      <c r="J24" t="s">
        <v>171</v>
      </c>
      <c r="K24" t="s">
        <v>501</v>
      </c>
      <c r="M24" t="s">
        <v>10</v>
      </c>
      <c r="N24" t="s">
        <v>21</v>
      </c>
      <c r="O24" t="s">
        <v>243</v>
      </c>
      <c r="P24" t="s">
        <v>506</v>
      </c>
    </row>
    <row r="25" spans="2:16">
      <c r="B25" t="s">
        <v>491</v>
      </c>
      <c r="C25" t="s">
        <v>33</v>
      </c>
      <c r="D25" t="s">
        <v>19</v>
      </c>
      <c r="E25">
        <v>3100</v>
      </c>
      <c r="F25">
        <v>3100</v>
      </c>
      <c r="G25">
        <v>2400</v>
      </c>
      <c r="H25" t="s">
        <v>486</v>
      </c>
      <c r="J25" t="s">
        <v>171</v>
      </c>
      <c r="K25" t="s">
        <v>502</v>
      </c>
      <c r="M25" t="s">
        <v>10</v>
      </c>
      <c r="N25" t="s">
        <v>21</v>
      </c>
      <c r="O25" t="s">
        <v>243</v>
      </c>
      <c r="P25" t="s">
        <v>506</v>
      </c>
    </row>
    <row r="26" spans="2:16">
      <c r="B26" t="s">
        <v>491</v>
      </c>
      <c r="C26" t="s">
        <v>33</v>
      </c>
      <c r="D26" t="s">
        <v>19</v>
      </c>
      <c r="E26">
        <v>75</v>
      </c>
      <c r="F26">
        <v>75</v>
      </c>
      <c r="G26">
        <v>60</v>
      </c>
      <c r="H26" t="s">
        <v>487</v>
      </c>
      <c r="J26" t="s">
        <v>171</v>
      </c>
      <c r="K26" t="s">
        <v>503</v>
      </c>
      <c r="M26" t="s">
        <v>10</v>
      </c>
      <c r="N26" t="s">
        <v>21</v>
      </c>
      <c r="O26" t="s">
        <v>243</v>
      </c>
      <c r="P26" t="s">
        <v>506</v>
      </c>
    </row>
    <row r="27" spans="2:16">
      <c r="B27" t="s">
        <v>492</v>
      </c>
      <c r="C27" t="s">
        <v>32</v>
      </c>
      <c r="D27" t="s">
        <v>19</v>
      </c>
      <c r="E27">
        <v>0.37</v>
      </c>
      <c r="F27">
        <v>0.38</v>
      </c>
      <c r="G27">
        <v>0.39</v>
      </c>
      <c r="H27" t="s">
        <v>146</v>
      </c>
      <c r="J27" t="s">
        <v>171</v>
      </c>
      <c r="K27" t="s">
        <v>505</v>
      </c>
      <c r="M27" t="s">
        <v>10</v>
      </c>
      <c r="N27" t="s">
        <v>21</v>
      </c>
      <c r="O27" t="s">
        <v>243</v>
      </c>
      <c r="P27" t="s">
        <v>506</v>
      </c>
    </row>
    <row r="28" spans="2:16">
      <c r="B28" t="s">
        <v>492</v>
      </c>
      <c r="C28" t="s">
        <v>32</v>
      </c>
      <c r="D28" t="s">
        <v>19</v>
      </c>
      <c r="E28">
        <v>5500</v>
      </c>
      <c r="F28">
        <v>5500</v>
      </c>
      <c r="G28">
        <v>4350</v>
      </c>
      <c r="H28" t="s">
        <v>486</v>
      </c>
    </row>
    <row r="29" spans="2:16">
      <c r="B29" t="s">
        <v>492</v>
      </c>
      <c r="C29" t="s">
        <v>32</v>
      </c>
      <c r="D29" t="s">
        <v>19</v>
      </c>
      <c r="E29">
        <v>165</v>
      </c>
      <c r="F29">
        <v>165</v>
      </c>
      <c r="G29">
        <v>130</v>
      </c>
      <c r="H29" t="s">
        <v>487</v>
      </c>
    </row>
    <row r="30" spans="2:16">
      <c r="B30" t="s">
        <v>493</v>
      </c>
      <c r="C30" t="s">
        <v>33</v>
      </c>
      <c r="D30" t="s">
        <v>19</v>
      </c>
      <c r="E30">
        <v>0.4</v>
      </c>
      <c r="F30">
        <v>0.41000000000000003</v>
      </c>
      <c r="G30">
        <v>0.42</v>
      </c>
      <c r="H30" t="s">
        <v>146</v>
      </c>
    </row>
    <row r="31" spans="2:16">
      <c r="B31" t="s">
        <v>493</v>
      </c>
      <c r="C31" t="s">
        <v>33</v>
      </c>
      <c r="D31" t="s">
        <v>19</v>
      </c>
      <c r="E31">
        <v>500</v>
      </c>
      <c r="F31">
        <v>500</v>
      </c>
      <c r="G31">
        <v>500</v>
      </c>
      <c r="H31" t="s">
        <v>486</v>
      </c>
    </row>
    <row r="32" spans="2:16">
      <c r="B32" t="s">
        <v>493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487</v>
      </c>
    </row>
    <row r="33" spans="2:8">
      <c r="B33" t="s">
        <v>494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494</v>
      </c>
      <c r="C34" t="s">
        <v>28</v>
      </c>
      <c r="D34" t="s">
        <v>19</v>
      </c>
      <c r="E34">
        <v>0.35000000000000003</v>
      </c>
      <c r="F34">
        <v>0.35000000000000003</v>
      </c>
      <c r="G34">
        <v>0.35000000000000003</v>
      </c>
      <c r="H34" t="s">
        <v>485</v>
      </c>
    </row>
    <row r="35" spans="2:8">
      <c r="B35" t="s">
        <v>494</v>
      </c>
      <c r="C35" t="s">
        <v>28</v>
      </c>
      <c r="D35" t="s">
        <v>19</v>
      </c>
      <c r="E35">
        <v>2650</v>
      </c>
      <c r="F35">
        <v>2650</v>
      </c>
      <c r="G35">
        <v>2650</v>
      </c>
      <c r="H35" t="s">
        <v>486</v>
      </c>
    </row>
    <row r="36" spans="2:8">
      <c r="B36" t="s">
        <v>494</v>
      </c>
      <c r="C36" t="s">
        <v>28</v>
      </c>
      <c r="D36" t="s">
        <v>19</v>
      </c>
      <c r="E36">
        <v>65</v>
      </c>
      <c r="F36">
        <v>65</v>
      </c>
      <c r="G36">
        <v>65</v>
      </c>
      <c r="H36" t="s">
        <v>487</v>
      </c>
    </row>
    <row r="37" spans="2:8">
      <c r="B37" t="s">
        <v>494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488</v>
      </c>
    </row>
    <row r="38" spans="2:8">
      <c r="B38" t="s">
        <v>495</v>
      </c>
      <c r="C38" t="s">
        <v>33</v>
      </c>
      <c r="D38" t="s">
        <v>19</v>
      </c>
      <c r="E38">
        <v>0.45</v>
      </c>
      <c r="F38">
        <v>0.47000000000000003</v>
      </c>
      <c r="G38">
        <v>0.5</v>
      </c>
      <c r="H38" t="s">
        <v>146</v>
      </c>
    </row>
    <row r="39" spans="2:8">
      <c r="B39" t="s">
        <v>495</v>
      </c>
      <c r="C39" t="s">
        <v>33</v>
      </c>
      <c r="D39" t="s">
        <v>19</v>
      </c>
      <c r="E39">
        <v>2500</v>
      </c>
      <c r="F39">
        <v>2350</v>
      </c>
      <c r="G39">
        <v>2300</v>
      </c>
      <c r="H39" t="s">
        <v>486</v>
      </c>
    </row>
    <row r="40" spans="2:8">
      <c r="B40" t="s">
        <v>495</v>
      </c>
      <c r="C40" t="s">
        <v>33</v>
      </c>
      <c r="D40" t="s">
        <v>19</v>
      </c>
      <c r="E40">
        <v>95</v>
      </c>
      <c r="F40">
        <v>85</v>
      </c>
      <c r="G40">
        <v>80</v>
      </c>
      <c r="H40" t="s">
        <v>487</v>
      </c>
    </row>
    <row r="41" spans="2:8">
      <c r="B41" t="s">
        <v>496</v>
      </c>
      <c r="C41" t="s">
        <v>32</v>
      </c>
      <c r="D41" t="s">
        <v>19</v>
      </c>
      <c r="E41">
        <v>0.36</v>
      </c>
      <c r="F41">
        <v>0.38</v>
      </c>
      <c r="G41">
        <v>0.43</v>
      </c>
      <c r="H41" t="s">
        <v>146</v>
      </c>
    </row>
    <row r="42" spans="2:8">
      <c r="B42" t="s">
        <v>496</v>
      </c>
      <c r="C42" t="s">
        <v>32</v>
      </c>
      <c r="D42" t="s">
        <v>19</v>
      </c>
      <c r="E42">
        <v>5850</v>
      </c>
      <c r="F42">
        <v>5700</v>
      </c>
      <c r="G42">
        <v>5100</v>
      </c>
      <c r="H42" t="s">
        <v>486</v>
      </c>
    </row>
    <row r="43" spans="2:8">
      <c r="B43" t="s">
        <v>496</v>
      </c>
      <c r="C43" t="s">
        <v>32</v>
      </c>
      <c r="D43" t="s">
        <v>19</v>
      </c>
      <c r="E43">
        <v>205</v>
      </c>
      <c r="F43">
        <v>200</v>
      </c>
      <c r="G43">
        <v>180</v>
      </c>
      <c r="H43" t="s">
        <v>487</v>
      </c>
    </row>
    <row r="44" spans="2:8">
      <c r="B44" t="s">
        <v>497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497</v>
      </c>
      <c r="C45" t="s">
        <v>36</v>
      </c>
      <c r="D45" t="s">
        <v>19</v>
      </c>
      <c r="E45">
        <v>6600</v>
      </c>
      <c r="F45">
        <v>5100</v>
      </c>
      <c r="G45">
        <v>4500</v>
      </c>
      <c r="H45" t="s">
        <v>486</v>
      </c>
    </row>
    <row r="46" spans="2:8">
      <c r="B46" t="s">
        <v>497</v>
      </c>
      <c r="C46" t="s">
        <v>36</v>
      </c>
      <c r="D46" t="s">
        <v>19</v>
      </c>
      <c r="E46">
        <v>165</v>
      </c>
      <c r="F46">
        <v>165</v>
      </c>
      <c r="G46">
        <v>160</v>
      </c>
      <c r="H46" t="s">
        <v>487</v>
      </c>
    </row>
    <row r="47" spans="2:8">
      <c r="B47" t="s">
        <v>498</v>
      </c>
      <c r="C47" t="s">
        <v>32</v>
      </c>
      <c r="D47" t="s">
        <v>19</v>
      </c>
      <c r="E47">
        <v>0.37</v>
      </c>
      <c r="F47">
        <v>0.38</v>
      </c>
      <c r="G47">
        <v>0.39</v>
      </c>
      <c r="H47" t="s">
        <v>146</v>
      </c>
    </row>
    <row r="48" spans="2:8">
      <c r="B48" t="s">
        <v>498</v>
      </c>
      <c r="C48" t="s">
        <v>32</v>
      </c>
      <c r="D48" t="s">
        <v>19</v>
      </c>
      <c r="E48">
        <v>5700</v>
      </c>
      <c r="F48">
        <v>5700</v>
      </c>
      <c r="G48">
        <v>5100</v>
      </c>
      <c r="H48" t="s">
        <v>486</v>
      </c>
    </row>
    <row r="49" spans="2:8">
      <c r="B49" t="s">
        <v>498</v>
      </c>
      <c r="C49" t="s">
        <v>32</v>
      </c>
      <c r="D49" t="s">
        <v>19</v>
      </c>
      <c r="E49">
        <v>170</v>
      </c>
      <c r="F49">
        <v>170</v>
      </c>
      <c r="G49">
        <v>155</v>
      </c>
      <c r="H49" t="s">
        <v>487</v>
      </c>
    </row>
    <row r="50" spans="2:8">
      <c r="B50" t="s">
        <v>499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499</v>
      </c>
      <c r="C51" t="s">
        <v>27</v>
      </c>
      <c r="D51" t="s">
        <v>19</v>
      </c>
      <c r="E51">
        <v>0.14000000000000001</v>
      </c>
      <c r="F51">
        <v>0.14000000000000001</v>
      </c>
      <c r="G51">
        <v>0.14000000000000001</v>
      </c>
      <c r="H51" t="s">
        <v>485</v>
      </c>
    </row>
    <row r="52" spans="2:8">
      <c r="B52" t="s">
        <v>499</v>
      </c>
      <c r="C52" t="s">
        <v>27</v>
      </c>
      <c r="D52" t="s">
        <v>19</v>
      </c>
      <c r="E52">
        <v>750</v>
      </c>
      <c r="F52">
        <v>480</v>
      </c>
      <c r="G52">
        <v>340</v>
      </c>
      <c r="H52" t="s">
        <v>486</v>
      </c>
    </row>
    <row r="53" spans="2:8">
      <c r="B53" t="s">
        <v>499</v>
      </c>
      <c r="C53" t="s">
        <v>27</v>
      </c>
      <c r="D53" t="s">
        <v>19</v>
      </c>
      <c r="E53">
        <v>12</v>
      </c>
      <c r="F53">
        <v>10</v>
      </c>
      <c r="G53">
        <v>10</v>
      </c>
      <c r="H53" t="s">
        <v>487</v>
      </c>
    </row>
    <row r="54" spans="2:8">
      <c r="B54" t="s">
        <v>499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488</v>
      </c>
    </row>
    <row r="55" spans="2:8">
      <c r="B55" t="s">
        <v>500</v>
      </c>
      <c r="C55" t="s">
        <v>32</v>
      </c>
      <c r="D55" t="s">
        <v>19</v>
      </c>
      <c r="E55">
        <v>0.39</v>
      </c>
      <c r="F55">
        <v>0.39</v>
      </c>
      <c r="G55">
        <v>0.39</v>
      </c>
      <c r="H55" t="s">
        <v>146</v>
      </c>
    </row>
    <row r="56" spans="2:8">
      <c r="B56" t="s">
        <v>500</v>
      </c>
      <c r="C56" t="s">
        <v>32</v>
      </c>
      <c r="D56" t="s">
        <v>19</v>
      </c>
      <c r="E56">
        <v>1700</v>
      </c>
      <c r="F56">
        <v>1700</v>
      </c>
      <c r="G56">
        <v>1700</v>
      </c>
      <c r="H56" t="s">
        <v>486</v>
      </c>
    </row>
    <row r="57" spans="2:8">
      <c r="B57" t="s">
        <v>500</v>
      </c>
      <c r="C57" t="s">
        <v>32</v>
      </c>
      <c r="D57" t="s">
        <v>19</v>
      </c>
      <c r="E57">
        <v>45</v>
      </c>
      <c r="F57">
        <v>45</v>
      </c>
      <c r="G57">
        <v>45</v>
      </c>
      <c r="H57" t="s">
        <v>487</v>
      </c>
    </row>
    <row r="58" spans="2:8">
      <c r="B58" t="s">
        <v>501</v>
      </c>
      <c r="C58" t="s">
        <v>32</v>
      </c>
      <c r="D58" t="s">
        <v>19</v>
      </c>
      <c r="E58">
        <v>0.43</v>
      </c>
      <c r="F58">
        <v>0.43</v>
      </c>
      <c r="G58">
        <v>0.43</v>
      </c>
      <c r="H58" t="s">
        <v>146</v>
      </c>
    </row>
    <row r="59" spans="2:8">
      <c r="B59" t="s">
        <v>501</v>
      </c>
      <c r="C59" t="s">
        <v>32</v>
      </c>
      <c r="D59" t="s">
        <v>19</v>
      </c>
      <c r="E59">
        <v>2000</v>
      </c>
      <c r="F59">
        <v>2000</v>
      </c>
      <c r="G59">
        <v>2000</v>
      </c>
      <c r="H59" t="s">
        <v>486</v>
      </c>
    </row>
    <row r="60" spans="2:8">
      <c r="B60" t="s">
        <v>501</v>
      </c>
      <c r="C60" t="s">
        <v>32</v>
      </c>
      <c r="D60" t="s">
        <v>19</v>
      </c>
      <c r="E60">
        <v>60</v>
      </c>
      <c r="F60">
        <v>60</v>
      </c>
      <c r="G60">
        <v>60</v>
      </c>
      <c r="H60" t="s">
        <v>487</v>
      </c>
    </row>
    <row r="61" spans="2:8">
      <c r="B61" t="s">
        <v>502</v>
      </c>
      <c r="C61" t="s">
        <v>32</v>
      </c>
      <c r="D61" t="s">
        <v>19</v>
      </c>
      <c r="E61">
        <v>0.46</v>
      </c>
      <c r="F61">
        <v>0.46</v>
      </c>
      <c r="G61">
        <v>0.48</v>
      </c>
      <c r="H61" t="s">
        <v>146</v>
      </c>
    </row>
    <row r="62" spans="2:8">
      <c r="B62" t="s">
        <v>502</v>
      </c>
      <c r="C62" t="s">
        <v>32</v>
      </c>
      <c r="D62" t="s">
        <v>19</v>
      </c>
      <c r="E62">
        <v>2200</v>
      </c>
      <c r="F62">
        <v>2200</v>
      </c>
      <c r="G62">
        <v>2200</v>
      </c>
      <c r="H62" t="s">
        <v>486</v>
      </c>
    </row>
    <row r="63" spans="2:8">
      <c r="B63" t="s">
        <v>502</v>
      </c>
      <c r="C63" t="s">
        <v>32</v>
      </c>
      <c r="D63" t="s">
        <v>19</v>
      </c>
      <c r="E63">
        <v>65</v>
      </c>
      <c r="F63">
        <v>65</v>
      </c>
      <c r="G63">
        <v>65</v>
      </c>
      <c r="H63" t="s">
        <v>487</v>
      </c>
    </row>
    <row r="64" spans="2:8">
      <c r="B64" t="s">
        <v>503</v>
      </c>
      <c r="C64" t="s">
        <v>504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503</v>
      </c>
      <c r="C65" t="s">
        <v>504</v>
      </c>
      <c r="D65" t="s">
        <v>19</v>
      </c>
      <c r="E65">
        <v>0.5</v>
      </c>
      <c r="F65">
        <v>0.55000000000000004</v>
      </c>
      <c r="G65">
        <v>0.56000000000000005</v>
      </c>
      <c r="H65" t="s">
        <v>485</v>
      </c>
    </row>
    <row r="66" spans="2:8">
      <c r="B66" t="s">
        <v>503</v>
      </c>
      <c r="C66" t="s">
        <v>504</v>
      </c>
      <c r="D66" t="s">
        <v>19</v>
      </c>
      <c r="E66">
        <v>3120</v>
      </c>
      <c r="F66">
        <v>2280</v>
      </c>
      <c r="G66">
        <v>1660</v>
      </c>
      <c r="H66" t="s">
        <v>486</v>
      </c>
    </row>
    <row r="67" spans="2:8">
      <c r="B67" t="s">
        <v>503</v>
      </c>
      <c r="C67" t="s">
        <v>504</v>
      </c>
      <c r="D67" t="s">
        <v>19</v>
      </c>
      <c r="E67">
        <v>60</v>
      </c>
      <c r="F67">
        <v>50</v>
      </c>
      <c r="G67">
        <v>40</v>
      </c>
      <c r="H67" t="s">
        <v>487</v>
      </c>
    </row>
    <row r="68" spans="2:8">
      <c r="B68" t="s">
        <v>503</v>
      </c>
      <c r="C68" t="s">
        <v>504</v>
      </c>
      <c r="D68" t="s">
        <v>19</v>
      </c>
      <c r="E68">
        <v>3</v>
      </c>
      <c r="F68">
        <v>3</v>
      </c>
      <c r="G68">
        <v>3</v>
      </c>
      <c r="H68" t="s">
        <v>488</v>
      </c>
    </row>
    <row r="69" spans="2:8">
      <c r="B69" t="s">
        <v>505</v>
      </c>
      <c r="C69" t="s">
        <v>504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505</v>
      </c>
      <c r="C70" t="s">
        <v>504</v>
      </c>
      <c r="D70" t="s">
        <v>19</v>
      </c>
      <c r="E70">
        <v>0.28999999999999998</v>
      </c>
      <c r="F70">
        <v>0.3</v>
      </c>
      <c r="G70">
        <v>0.3</v>
      </c>
      <c r="H70" t="s">
        <v>485</v>
      </c>
    </row>
    <row r="71" spans="2:8">
      <c r="B71" t="s">
        <v>505</v>
      </c>
      <c r="C71" t="s">
        <v>504</v>
      </c>
      <c r="D71" t="s">
        <v>19</v>
      </c>
      <c r="E71">
        <v>1630</v>
      </c>
      <c r="F71">
        <v>1550</v>
      </c>
      <c r="G71">
        <v>1490</v>
      </c>
      <c r="H71" t="s">
        <v>486</v>
      </c>
    </row>
    <row r="72" spans="2:8">
      <c r="B72" t="s">
        <v>505</v>
      </c>
      <c r="C72" t="s">
        <v>504</v>
      </c>
      <c r="D72" t="s">
        <v>19</v>
      </c>
      <c r="E72">
        <v>42</v>
      </c>
      <c r="F72">
        <v>40</v>
      </c>
      <c r="G72">
        <v>38</v>
      </c>
      <c r="H72" t="s">
        <v>487</v>
      </c>
    </row>
    <row r="73" spans="2:8">
      <c r="B73" t="s">
        <v>505</v>
      </c>
      <c r="C73" t="s">
        <v>504</v>
      </c>
      <c r="D73" t="s">
        <v>19</v>
      </c>
      <c r="E73">
        <v>1.5</v>
      </c>
      <c r="F73">
        <v>1.5</v>
      </c>
      <c r="G73">
        <v>1.5</v>
      </c>
      <c r="H73" t="s">
        <v>488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2025-11-19T07:55:07Z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