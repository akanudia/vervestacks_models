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syn_5\SuppXLS\"/>
    </mc:Choice>
  </mc:AlternateContent>
  <xr:revisionPtr revIDLastSave="0" documentId="8_{C59C4D76-4093-42DB-B920-5925D912959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<sst xmlns="http://schemas.openxmlformats.org/spreadsheetml/2006/main" count="58775" uniqueCount="95">
  <si>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</si>
  <si>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</si>
  <si>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</si>
  <si>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</si>
  <si>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</si>
  <si>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</si>
  <si>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</si>
  <si>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</si>
  <si>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</si>
  <si>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</si>
  <si>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</si>
  <si>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</si>
  <si>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</si>
  <si>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</si>
  <si>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</si>
  <si>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</si>
  <si>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</si>
  <si>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</si>
  <si>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</si>
  <si>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</si>
  <si>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</si>
  <si>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</si>
  <si>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</si>
  <si>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</si>
  <si>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</si>
  <si>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</si>
  <si>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</si>
  <si>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</si>
  <si>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</si>
  <si>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</si>
  <si>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</si>
  <si>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</si>
  <si>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</si>
  <si>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</si>
  <si>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</si>
  <si>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</si>
  <si>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</si>
  <si>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</si>
  <si>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</si>
  <si>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</si>
  <si>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</si>
  <si>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</si>
  <si>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</si>
  <si>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</si>
  <si>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</si>
  <si>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</si>
  <si>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</si>
  <si>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</si>
  <si>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</si>
  <si>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</si>
  <si>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</si>
  <si>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</si>
  <si>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</si>
  <si>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</si>
  <si>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</si>
  <si>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</si>
  <si>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</si>
  <si>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</si>
  <si>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</si>
  <si>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</si>
  <si>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</si>
  <si>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</si>
  <si>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</si>
  <si>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</si>
  <si>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</si>
  <si>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</si>
  <si>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</si>
  <si>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</si>
  <si>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</si>
  <si>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</si>
  <si>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</si>
  <si>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</si>
  <si>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</si>
  <si>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</si>
  <si>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</si>
  <si>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</si>
  <si>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</si>
  <si>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</si>
  <si>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</si>
  <si>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</si>
  <si>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</si>
  <si>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</si>
  <si>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</si>
  <si>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</si>
  <si>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POL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</si>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</sst>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212.35000000000008</c:v>
                </c:pt>
                <c:pt idx="1">
                  <c:v>238.63698692810465</c:v>
                </c:pt>
                <c:pt idx="2">
                  <c:v>263.92467973856219</c:v>
                </c:pt>
                <c:pt idx="3">
                  <c:v>297.31775816993473</c:v>
                </c:pt>
                <c:pt idx="4">
                  <c:v>327.87950326797392</c:v>
                </c:pt>
                <c:pt idx="5">
                  <c:v>341.86962091503278</c:v>
                </c:pt>
                <c:pt idx="6">
                  <c:v>355.19354248366028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116.09</c:v>
                </c:pt>
                <c:pt idx="1">
                  <c:v>135.96307413928989</c:v>
                </c:pt>
                <c:pt idx="2">
                  <c:v>56.918404556201793</c:v>
                </c:pt>
                <c:pt idx="3">
                  <c:v>131.82730201921444</c:v>
                </c:pt>
                <c:pt idx="4">
                  <c:v>125.72353472270714</c:v>
                </c:pt>
                <c:pt idx="5">
                  <c:v>136.80794833744025</c:v>
                </c:pt>
                <c:pt idx="6">
                  <c:v>143.28840560371918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212.35000000000002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212.35000000000008</v>
      </c>
      <c r="S12" s="8">
        <f t="shared" ref="S12:X12" si="0">SUM(S17:S20)</f>
        <v>238.63698692810465</v>
      </c>
      <c r="T12" s="8">
        <f t="shared" si="0"/>
        <v>263.92467973856219</v>
      </c>
      <c r="U12" s="8">
        <f t="shared" si="0"/>
        <v>297.31775816993473</v>
      </c>
      <c r="V12" s="8">
        <f t="shared" si="0"/>
        <v>327.87950326797392</v>
      </c>
      <c r="W12" s="8">
        <f t="shared" si="0"/>
        <v>341.86962091503278</v>
      </c>
      <c r="X12" s="8">
        <f t="shared" si="0"/>
        <v>355.19354248366028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4.2500000000000003E-3</v>
      </c>
      <c r="H16" s="10">
        <f>SUMIFS(ngfs_median!$J$2:$J$17119,ngfs_median!$B$2:$B$17119,Veda!$C$5,ngfs_median!$H$2:$H$17119,Veda!$Q16,ngfs_median!$I$2:$I$17119,Veda!H$15)</f>
        <v>1.7049999999999999E-2</v>
      </c>
      <c r="I16" s="10">
        <f>SUMIFS(ngfs_median!$J$2:$J$17119,ngfs_median!$B$2:$B$17119,Veda!$C$5,ngfs_median!$H$2:$H$17119,Veda!$Q16,ngfs_median!$I$2:$I$17119,Veda!I$15)</f>
        <v>2.93E-2</v>
      </c>
      <c r="J16" s="10">
        <f>SUMIFS(ngfs_median!$J$2:$J$17119,ngfs_median!$B$2:$B$17119,Veda!$C$5,ngfs_median!$H$2:$H$17119,Veda!$Q16,ngfs_median!$I$2:$I$17119,Veda!J$15)</f>
        <v>3.6049999999999999E-2</v>
      </c>
      <c r="K16" s="10">
        <f>SUMIFS(ngfs_median!$J$2:$J$17119,ngfs_median!$B$2:$B$17119,Veda!$C$5,ngfs_median!$H$2:$H$17119,Veda!$Q16,ngfs_median!$I$2:$I$17119,Veda!K$15)</f>
        <v>3.7699999999999997E-2</v>
      </c>
      <c r="L16" s="10">
        <f>SUMIFS(ngfs_median!$J$2:$J$17119,ngfs_median!$B$2:$B$17119,Veda!$C$5,ngfs_median!$H$2:$H$17119,Veda!$Q16,ngfs_median!$I$2:$I$17119,Veda!L$15)</f>
        <v>4.265E-2</v>
      </c>
      <c r="M16" s="10">
        <f>SUMIFS(ngfs_median!$J$2:$J$17119,ngfs_median!$B$2:$B$17119,Veda!$C$5,ngfs_median!$H$2:$H$17119,Veda!$Q16,ngfs_median!$I$2:$I$17119,Veda!M$15)</f>
        <v>5.4150000000000004E-2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3.4027777777777777</v>
      </c>
      <c r="U16" s="6">
        <f t="shared" si="2"/>
        <v>5.2777777777777777</v>
      </c>
      <c r="V16" s="6">
        <f t="shared" si="2"/>
        <v>5.7361111111111107</v>
      </c>
      <c r="W16" s="6">
        <f t="shared" si="2"/>
        <v>7.1111111111111116</v>
      </c>
      <c r="X16" s="6">
        <f t="shared" si="2"/>
        <v>10.305555555555557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9.7999999999999997E-3</v>
      </c>
      <c r="H17" s="10">
        <f>SUMIFS(ngfs_median!$J$2:$J$17119,ngfs_median!$B$2:$B$17119,Veda!$C$5,ngfs_median!$H$2:$H$17119,Veda!$Q17,ngfs_median!$I$2:$I$17119,Veda!H$15)</f>
        <v>2.1049999999999999E-2</v>
      </c>
      <c r="I17" s="10">
        <f>SUMIFS(ngfs_median!$J$2:$J$17119,ngfs_median!$B$2:$B$17119,Veda!$C$5,ngfs_median!$H$2:$H$17119,Veda!$Q17,ngfs_median!$I$2:$I$17119,Veda!I$15)</f>
        <v>3.6949999999999997E-2</v>
      </c>
      <c r="J17" s="10">
        <f>SUMIFS(ngfs_median!$J$2:$J$17119,ngfs_median!$B$2:$B$17119,Veda!$C$5,ngfs_median!$H$2:$H$17119,Veda!$Q17,ngfs_median!$I$2:$I$17119,Veda!J$15)</f>
        <v>5.8700000000000002E-2</v>
      </c>
      <c r="K17" s="10">
        <f>SUMIFS(ngfs_median!$J$2:$J$17119,ngfs_median!$B$2:$B$17119,Veda!$C$5,ngfs_median!$H$2:$H$17119,Veda!$Q17,ngfs_median!$I$2:$I$17119,Veda!K$15)</f>
        <v>8.0500000000000002E-2</v>
      </c>
      <c r="L17" s="10">
        <f>SUMIFS(ngfs_median!$J$2:$J$17119,ngfs_median!$B$2:$B$17119,Veda!$C$5,ngfs_median!$H$2:$H$17119,Veda!$Q17,ngfs_median!$I$2:$I$17119,Veda!L$15)</f>
        <v>8.9249999999999996E-2</v>
      </c>
      <c r="M17" s="10">
        <f>SUMIFS(ngfs_median!$J$2:$J$17119,ngfs_median!$B$2:$B$17119,Veda!$C$5,ngfs_median!$H$2:$H$17119,Veda!$Q17,ngfs_median!$I$2:$I$17119,Veda!M$15)</f>
        <v>9.4899999999999998E-2</v>
      </c>
      <c r="Q17" s="12" t="s">
        <v>10</v>
      </c>
      <c r="R17" s="6">
        <f>$Q$10*G17/SUM($G$17:$G$19)</f>
        <v>5.4406013071895432</v>
      </c>
      <c r="S17" s="6">
        <f>R17</f>
        <v>5.4406013071895432</v>
      </c>
      <c r="T17" s="6">
        <f t="shared" ref="T17:X17" si="3">S17</f>
        <v>5.4406013071895432</v>
      </c>
      <c r="U17" s="6">
        <f t="shared" si="3"/>
        <v>5.4406013071895432</v>
      </c>
      <c r="V17" s="6">
        <f t="shared" si="3"/>
        <v>5.4406013071895432</v>
      </c>
      <c r="W17" s="6">
        <f t="shared" si="3"/>
        <v>5.4406013071895432</v>
      </c>
      <c r="X17" s="6">
        <f t="shared" si="3"/>
        <v>5.4406013071895432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0.25409999999999999</v>
      </c>
      <c r="H18" s="10">
        <f>SUMIFS(ngfs_median!$J$2:$J$17119,ngfs_median!$B$2:$B$17119,Veda!$C$5,ngfs_median!$H$2:$H$17119,Veda!$Q18,ngfs_median!$I$2:$I$17119,Veda!H$15)</f>
        <v>0.28310000000000002</v>
      </c>
      <c r="I18" s="10">
        <f>SUMIFS(ngfs_median!$J$2:$J$17119,ngfs_median!$B$2:$B$17119,Veda!$C$5,ngfs_median!$H$2:$H$17119,Veda!$Q18,ngfs_median!$I$2:$I$17119,Veda!I$15)</f>
        <v>0.31040000000000001</v>
      </c>
      <c r="J18" s="10">
        <f>SUMIFS(ngfs_median!$J$2:$J$17119,ngfs_median!$B$2:$B$17119,Veda!$C$5,ngfs_median!$H$2:$H$17119,Veda!$Q18,ngfs_median!$I$2:$I$17119,Veda!J$15)</f>
        <v>0.33684999999999998</v>
      </c>
      <c r="K18" s="10">
        <f>SUMIFS(ngfs_median!$J$2:$J$17119,ngfs_median!$B$2:$B$17119,Veda!$C$5,ngfs_median!$H$2:$H$17119,Veda!$Q18,ngfs_median!$I$2:$I$17119,Veda!K$15)</f>
        <v>0.35639999999999999</v>
      </c>
      <c r="L18" s="10">
        <f>SUMIFS(ngfs_median!$J$2:$J$17119,ngfs_median!$B$2:$B$17119,Veda!$C$5,ngfs_median!$H$2:$H$17119,Veda!$Q18,ngfs_median!$I$2:$I$17119,Veda!L$15)</f>
        <v>0.3614</v>
      </c>
      <c r="M18" s="10">
        <f>SUMIFS(ngfs_median!$J$2:$J$17119,ngfs_median!$B$2:$B$17119,Veda!$C$5,ngfs_median!$H$2:$H$17119,Veda!$Q18,ngfs_median!$I$2:$I$17119,Veda!M$15)</f>
        <v>0.36704999999999999</v>
      </c>
      <c r="Q18" s="12" t="s">
        <v>12</v>
      </c>
      <c r="R18" s="6">
        <f>$Q$10*G18/SUM($G$17:$G$19)</f>
        <v>141.06701960784318</v>
      </c>
      <c r="S18" s="6">
        <f t="shared" ref="S18:X19" si="4">R18*H18/G18</f>
        <v>157.1667581699347</v>
      </c>
      <c r="T18" s="6">
        <f t="shared" si="4"/>
        <v>172.32271895424842</v>
      </c>
      <c r="U18" s="6">
        <f t="shared" si="4"/>
        <v>187.00679084967325</v>
      </c>
      <c r="V18" s="6">
        <f t="shared" si="4"/>
        <v>197.8602352941177</v>
      </c>
      <c r="W18" s="6">
        <f t="shared" si="4"/>
        <v>200.63605228758175</v>
      </c>
      <c r="X18" s="6">
        <f t="shared" si="4"/>
        <v>203.77272549019614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0.1186</v>
      </c>
      <c r="H19" s="10">
        <f>SUMIFS(ngfs_median!$J$2:$J$17119,ngfs_median!$B$2:$B$17119,Veda!$C$5,ngfs_median!$H$2:$H$17119,Veda!$Q19,ngfs_median!$I$2:$I$17119,Veda!H$15)</f>
        <v>0.12570000000000001</v>
      </c>
      <c r="I19" s="10">
        <f>SUMIFS(ngfs_median!$J$2:$J$17119,ngfs_median!$B$2:$B$17119,Veda!$C$5,ngfs_median!$H$2:$H$17119,Veda!$Q19,ngfs_median!$I$2:$I$17119,Veda!I$15)</f>
        <v>0.12805</v>
      </c>
      <c r="J19" s="10">
        <f>SUMIFS(ngfs_median!$J$2:$J$17119,ngfs_median!$B$2:$B$17119,Veda!$C$5,ngfs_median!$H$2:$H$17119,Veda!$Q19,ngfs_median!$I$2:$I$17119,Veda!J$15)</f>
        <v>0.14000000000000001</v>
      </c>
      <c r="K19" s="10">
        <f>SUMIFS(ngfs_median!$J$2:$J$17119,ngfs_median!$B$2:$B$17119,Veda!$C$5,ngfs_median!$H$2:$H$17119,Veda!$Q19,ngfs_median!$I$2:$I$17119,Veda!K$15)</f>
        <v>0.1537</v>
      </c>
      <c r="L19" s="10">
        <f>SUMIFS(ngfs_median!$J$2:$J$17119,ngfs_median!$B$2:$B$17119,Veda!$C$5,ngfs_median!$H$2:$H$17119,Veda!$Q19,ngfs_median!$I$2:$I$17119,Veda!L$15)</f>
        <v>0.16515000000000002</v>
      </c>
      <c r="M19" s="10">
        <f>SUMIFS(ngfs_median!$J$2:$J$17119,ngfs_median!$B$2:$B$17119,Veda!$C$5,ngfs_median!$H$2:$H$17119,Veda!$Q19,ngfs_median!$I$2:$I$17119,Veda!M$15)</f>
        <v>0.17785000000000001</v>
      </c>
      <c r="Q19" s="12" t="s">
        <v>13</v>
      </c>
      <c r="R19" s="6">
        <f>$Q$10*G19/SUM($G$17:$G$19)</f>
        <v>65.842379084967334</v>
      </c>
      <c r="S19" s="6">
        <f t="shared" si="4"/>
        <v>69.784039215686292</v>
      </c>
      <c r="T19" s="6">
        <f t="shared" si="4"/>
        <v>71.088673202614402</v>
      </c>
      <c r="U19" s="6">
        <f t="shared" si="4"/>
        <v>77.722875816993493</v>
      </c>
      <c r="V19" s="6">
        <f t="shared" si="4"/>
        <v>85.328614379084996</v>
      </c>
      <c r="W19" s="6">
        <f t="shared" si="4"/>
        <v>91.685235294117689</v>
      </c>
      <c r="X19" s="6">
        <f t="shared" si="4"/>
        <v>98.735810457516379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6.245588235294119</v>
      </c>
      <c r="T20" s="6">
        <f t="shared" si="5"/>
        <v>15.072686274509806</v>
      </c>
      <c r="U20" s="6">
        <f t="shared" si="5"/>
        <v>27.14749019607844</v>
      </c>
      <c r="V20" s="6">
        <f t="shared" si="5"/>
        <v>39.25005228758171</v>
      </c>
      <c r="W20" s="6">
        <f t="shared" si="5"/>
        <v>44.1077320261438</v>
      </c>
      <c r="X20" s="6">
        <f t="shared" si="5"/>
        <v>47.244405228758183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116.09</v>
      </c>
      <c r="D22" s="12" t="s">
        <v>79</v>
      </c>
      <c r="G22" s="8">
        <f>G35/$G$35*$B22</f>
        <v>116.09</v>
      </c>
      <c r="H22" s="8">
        <f t="shared" ref="H22:M22" si="6">H35/$G$35*$B22</f>
        <v>135.96307413928989</v>
      </c>
      <c r="I22" s="8">
        <f t="shared" si="6"/>
        <v>56.918404556201793</v>
      </c>
      <c r="J22" s="8">
        <f t="shared" si="6"/>
        <v>131.82730201921444</v>
      </c>
      <c r="K22" s="8">
        <f t="shared" si="6"/>
        <v>125.72353472270714</v>
      </c>
      <c r="L22" s="8">
        <f t="shared" si="6"/>
        <v>136.80794833744025</v>
      </c>
      <c r="M22" s="8">
        <f t="shared" si="6"/>
        <v>143.28840560371918</v>
      </c>
      <c r="Q22" t="s">
        <v>64</v>
      </c>
      <c r="T22" s="8">
        <f>I35*1000</f>
        <v>19658.3</v>
      </c>
      <c r="U22" s="8">
        <f>J35*1000</f>
        <v>45530.1</v>
      </c>
      <c r="V22" s="8">
        <f>K35*1000</f>
        <v>43422</v>
      </c>
      <c r="W22" s="8">
        <f>L35*1000</f>
        <v>47250.299999999996</v>
      </c>
      <c r="X22" s="8">
        <f>M35*1000</f>
        <v>49488.5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15.2</v>
      </c>
      <c r="S26" s="3">
        <f>AVERAGEIFS(historical_data_long!$D$3:$D$9999,historical_data_long!$B$3:$B$9999,"&gt;2017",historical_data_long!$A$3:$A$9999,$O26)</f>
        <v>16.283333333333331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16.899999999999999</v>
      </c>
      <c r="S27" s="3">
        <f>AVERAGEIFS(historical_data_long!$D$3:$D$9999,historical_data_long!$B$3:$B$9999,"&gt;2017",historical_data_long!$A$3:$A$9999,$O27)</f>
        <v>10.866666666666667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40.094800000000006</v>
      </c>
      <c r="H35" s="11">
        <f>SUMIFS(ngfs_median!$J$2:$J$17119,ngfs_median!$B$2:$B$17119,Veda!$C$5,ngfs_median!$D$2:$D$17119,Veda!$D22,ngfs_median!$I$2:$I$17119,Veda!H$15)</f>
        <v>46.958500000000001</v>
      </c>
      <c r="I35" s="11">
        <f>SUMIFS(ngfs_median!$J$2:$J$17119,ngfs_median!$B$2:$B$17119,Veda!$C$5,ngfs_median!$D$2:$D$17119,Veda!$D22,ngfs_median!$I$2:$I$17119,Veda!I$15)</f>
        <v>19.658300000000001</v>
      </c>
      <c r="J35" s="11">
        <f>SUMIFS(ngfs_median!$J$2:$J$17119,ngfs_median!$B$2:$B$17119,Veda!$C$5,ngfs_median!$D$2:$D$17119,Veda!$D22,ngfs_median!$I$2:$I$17119,Veda!J$15)</f>
        <v>45.530099999999997</v>
      </c>
      <c r="K35" s="11">
        <f>SUMIFS(ngfs_median!$J$2:$J$17119,ngfs_median!$B$2:$B$17119,Veda!$C$5,ngfs_median!$D$2:$D$17119,Veda!$D22,ngfs_median!$I$2:$I$17119,Veda!K$15)</f>
        <v>43.421999999999997</v>
      </c>
      <c r="L35" s="11">
        <f>SUMIFS(ngfs_median!$J$2:$J$17119,ngfs_median!$B$2:$B$17119,Veda!$C$5,ngfs_median!$D$2:$D$17119,Veda!$D22,ngfs_median!$I$2:$I$17119,Veda!L$15)</f>
        <v>47.250299999999996</v>
      </c>
      <c r="M35" s="11">
        <f>SUMIFS(ngfs_median!$J$2:$J$17119,ngfs_median!$B$2:$B$17119,Veda!$C$5,ngfs_median!$D$2:$D$17119,Veda!$D22,ngfs_median!$I$2:$I$17119,Veda!M$15)</f>
        <v>49.488500000000002</v>
      </c>
    </row>
    <row r="39" spans="7:22" x14ac:dyDescent="0.45">
      <c r="Q39" t="s">
        <v>92</v>
      </c>
    </row>
    <row r="40" spans="7:22" x14ac:dyDescent="0.4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45">
      <c r="Q41" t="s">
        <v>40</v>
      </c>
      <c r="R41" t="s">
        <v>93</v>
      </c>
      <c r="S41">
        <v>1.4550000000000001</v>
      </c>
      <c r="T41">
        <v>1.881</v>
      </c>
      <c r="U41">
        <v>1.881</v>
      </c>
      <c r="V41" t="s">
        <v>94</v>
      </c>
    </row>
    <row r="42" spans="7:22" x14ac:dyDescent="0.45">
      <c r="Q42" t="s">
        <v>39</v>
      </c>
      <c r="R42" t="s">
        <v>93</v>
      </c>
      <c r="S42">
        <v>1.8</v>
      </c>
      <c r="T42">
        <v>3.3</v>
      </c>
      <c r="U42">
        <v>3.3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4"/>
  <sheetViews>
    <sheetView workbookViewId="0">
      <selection sqref="A1:D694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0.22</v>
      </c>
    </row>
    <row r="3" spans="1:4" x14ac:dyDescent="0.45">
      <c r="A3" t="s">
        <v>34</v>
      </c>
      <c r="B3">
        <v>2000</v>
      </c>
      <c r="C3" t="s">
        <v>74</v>
      </c>
      <c r="D3">
        <v>135.88999999999999</v>
      </c>
    </row>
    <row r="4" spans="1:4" x14ac:dyDescent="0.45">
      <c r="A4" t="s">
        <v>36</v>
      </c>
      <c r="B4">
        <v>2000</v>
      </c>
      <c r="C4" t="s">
        <v>74</v>
      </c>
      <c r="D4">
        <v>0.93</v>
      </c>
    </row>
    <row r="5" spans="1:4" x14ac:dyDescent="0.45">
      <c r="A5" t="s">
        <v>56</v>
      </c>
      <c r="B5">
        <v>2000</v>
      </c>
      <c r="C5" t="s">
        <v>74</v>
      </c>
      <c r="D5">
        <v>2.11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4.03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</v>
      </c>
    </row>
    <row r="11" spans="1:4" x14ac:dyDescent="0.45">
      <c r="A11" t="s">
        <v>32</v>
      </c>
      <c r="B11">
        <v>2001</v>
      </c>
      <c r="C11" t="s">
        <v>74</v>
      </c>
      <c r="D11">
        <v>0.44</v>
      </c>
    </row>
    <row r="12" spans="1:4" x14ac:dyDescent="0.45">
      <c r="A12" t="s">
        <v>34</v>
      </c>
      <c r="B12">
        <v>2001</v>
      </c>
      <c r="C12" t="s">
        <v>74</v>
      </c>
      <c r="D12">
        <v>134.97</v>
      </c>
    </row>
    <row r="13" spans="1:4" x14ac:dyDescent="0.45">
      <c r="A13" t="s">
        <v>36</v>
      </c>
      <c r="B13">
        <v>2001</v>
      </c>
      <c r="C13" t="s">
        <v>74</v>
      </c>
      <c r="D13">
        <v>1.36</v>
      </c>
    </row>
    <row r="14" spans="1:4" x14ac:dyDescent="0.45">
      <c r="A14" t="s">
        <v>56</v>
      </c>
      <c r="B14">
        <v>2001</v>
      </c>
      <c r="C14" t="s">
        <v>74</v>
      </c>
      <c r="D14">
        <v>2.33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4.6100000000000003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0.01</v>
      </c>
    </row>
    <row r="20" spans="1:4" x14ac:dyDescent="0.45">
      <c r="A20" t="s">
        <v>32</v>
      </c>
      <c r="B20">
        <v>2002</v>
      </c>
      <c r="C20" t="s">
        <v>74</v>
      </c>
      <c r="D20">
        <v>0.43</v>
      </c>
    </row>
    <row r="21" spans="1:4" x14ac:dyDescent="0.45">
      <c r="A21" t="s">
        <v>34</v>
      </c>
      <c r="B21">
        <v>2002</v>
      </c>
      <c r="C21" t="s">
        <v>74</v>
      </c>
      <c r="D21">
        <v>132.94</v>
      </c>
    </row>
    <row r="22" spans="1:4" x14ac:dyDescent="0.45">
      <c r="A22" t="s">
        <v>36</v>
      </c>
      <c r="B22">
        <v>2002</v>
      </c>
      <c r="C22" t="s">
        <v>74</v>
      </c>
      <c r="D22">
        <v>2.2000000000000002</v>
      </c>
    </row>
    <row r="23" spans="1:4" x14ac:dyDescent="0.45">
      <c r="A23" t="s">
        <v>56</v>
      </c>
      <c r="B23">
        <v>2002</v>
      </c>
      <c r="C23" t="s">
        <v>74</v>
      </c>
      <c r="D23">
        <v>2.2799999999999998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4.58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0.06</v>
      </c>
    </row>
    <row r="29" spans="1:4" x14ac:dyDescent="0.45">
      <c r="A29" t="s">
        <v>32</v>
      </c>
      <c r="B29">
        <v>2003</v>
      </c>
      <c r="C29" t="s">
        <v>74</v>
      </c>
      <c r="D29">
        <v>0.46</v>
      </c>
    </row>
    <row r="30" spans="1:4" x14ac:dyDescent="0.45">
      <c r="A30" t="s">
        <v>34</v>
      </c>
      <c r="B30">
        <v>2003</v>
      </c>
      <c r="C30" t="s">
        <v>74</v>
      </c>
      <c r="D30">
        <v>140.66</v>
      </c>
    </row>
    <row r="31" spans="1:4" x14ac:dyDescent="0.45">
      <c r="A31" t="s">
        <v>36</v>
      </c>
      <c r="B31">
        <v>2003</v>
      </c>
      <c r="C31" t="s">
        <v>74</v>
      </c>
      <c r="D31">
        <v>2.42</v>
      </c>
    </row>
    <row r="32" spans="1:4" x14ac:dyDescent="0.45">
      <c r="A32" t="s">
        <v>56</v>
      </c>
      <c r="B32">
        <v>2003</v>
      </c>
      <c r="C32" t="s">
        <v>74</v>
      </c>
      <c r="D32">
        <v>1.67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4.68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0.12</v>
      </c>
    </row>
    <row r="38" spans="1:4" x14ac:dyDescent="0.45">
      <c r="A38" t="s">
        <v>32</v>
      </c>
      <c r="B38">
        <v>2004</v>
      </c>
      <c r="C38" t="s">
        <v>74</v>
      </c>
      <c r="D38">
        <v>0.98</v>
      </c>
    </row>
    <row r="39" spans="1:4" x14ac:dyDescent="0.45">
      <c r="A39" t="s">
        <v>34</v>
      </c>
      <c r="B39">
        <v>2004</v>
      </c>
      <c r="C39" t="s">
        <v>74</v>
      </c>
      <c r="D39">
        <v>141.12</v>
      </c>
    </row>
    <row r="40" spans="1:4" x14ac:dyDescent="0.45">
      <c r="A40" t="s">
        <v>36</v>
      </c>
      <c r="B40">
        <v>2004</v>
      </c>
      <c r="C40" t="s">
        <v>74</v>
      </c>
      <c r="D40">
        <v>3.22</v>
      </c>
    </row>
    <row r="41" spans="1:4" x14ac:dyDescent="0.45">
      <c r="A41" t="s">
        <v>56</v>
      </c>
      <c r="B41">
        <v>2004</v>
      </c>
      <c r="C41" t="s">
        <v>74</v>
      </c>
      <c r="D41">
        <v>2.08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5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0.14000000000000001</v>
      </c>
    </row>
    <row r="47" spans="1:4" x14ac:dyDescent="0.45">
      <c r="A47" t="s">
        <v>32</v>
      </c>
      <c r="B47">
        <v>2005</v>
      </c>
      <c r="C47" t="s">
        <v>74</v>
      </c>
      <c r="D47">
        <v>1.51</v>
      </c>
    </row>
    <row r="48" spans="1:4" x14ac:dyDescent="0.45">
      <c r="A48" t="s">
        <v>34</v>
      </c>
      <c r="B48">
        <v>2005</v>
      </c>
      <c r="C48" t="s">
        <v>74</v>
      </c>
      <c r="D48">
        <v>141.88</v>
      </c>
    </row>
    <row r="49" spans="1:4" x14ac:dyDescent="0.45">
      <c r="A49" t="s">
        <v>36</v>
      </c>
      <c r="B49">
        <v>2005</v>
      </c>
      <c r="C49" t="s">
        <v>74</v>
      </c>
      <c r="D49">
        <v>5.16</v>
      </c>
    </row>
    <row r="50" spans="1:4" x14ac:dyDescent="0.45">
      <c r="A50" t="s">
        <v>56</v>
      </c>
      <c r="B50">
        <v>2005</v>
      </c>
      <c r="C50" t="s">
        <v>74</v>
      </c>
      <c r="D50">
        <v>2.2000000000000002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4.4000000000000004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0.14000000000000001</v>
      </c>
    </row>
    <row r="56" spans="1:4" x14ac:dyDescent="0.45">
      <c r="A56" t="s">
        <v>32</v>
      </c>
      <c r="B56">
        <v>2006</v>
      </c>
      <c r="C56" t="s">
        <v>74</v>
      </c>
      <c r="D56">
        <v>1.99</v>
      </c>
    </row>
    <row r="57" spans="1:4" x14ac:dyDescent="0.45">
      <c r="A57" t="s">
        <v>34</v>
      </c>
      <c r="B57">
        <v>2006</v>
      </c>
      <c r="C57" t="s">
        <v>74</v>
      </c>
      <c r="D57">
        <v>147.01</v>
      </c>
    </row>
    <row r="58" spans="1:4" x14ac:dyDescent="0.45">
      <c r="A58" t="s">
        <v>36</v>
      </c>
      <c r="B58">
        <v>2006</v>
      </c>
      <c r="C58" t="s">
        <v>74</v>
      </c>
      <c r="D58">
        <v>4.58</v>
      </c>
    </row>
    <row r="59" spans="1:4" x14ac:dyDescent="0.45">
      <c r="A59" t="s">
        <v>56</v>
      </c>
      <c r="B59">
        <v>2006</v>
      </c>
      <c r="C59" t="s">
        <v>74</v>
      </c>
      <c r="D59">
        <v>2.04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4.82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0.26</v>
      </c>
    </row>
    <row r="65" spans="1:4" x14ac:dyDescent="0.45">
      <c r="A65" t="s">
        <v>32</v>
      </c>
      <c r="B65">
        <v>2007</v>
      </c>
      <c r="C65" t="s">
        <v>74</v>
      </c>
      <c r="D65">
        <v>2.56</v>
      </c>
    </row>
    <row r="66" spans="1:4" x14ac:dyDescent="0.45">
      <c r="A66" t="s">
        <v>34</v>
      </c>
      <c r="B66">
        <v>2007</v>
      </c>
      <c r="C66" t="s">
        <v>74</v>
      </c>
      <c r="D66">
        <v>144.01</v>
      </c>
    </row>
    <row r="67" spans="1:4" x14ac:dyDescent="0.45">
      <c r="A67" t="s">
        <v>36</v>
      </c>
      <c r="B67">
        <v>2007</v>
      </c>
      <c r="C67" t="s">
        <v>74</v>
      </c>
      <c r="D67">
        <v>4.4800000000000004</v>
      </c>
    </row>
    <row r="68" spans="1:4" x14ac:dyDescent="0.45">
      <c r="A68" t="s">
        <v>56</v>
      </c>
      <c r="B68">
        <v>2007</v>
      </c>
      <c r="C68" t="s">
        <v>74</v>
      </c>
      <c r="D68">
        <v>2.35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4.5999999999999996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0.52</v>
      </c>
    </row>
    <row r="74" spans="1:4" x14ac:dyDescent="0.45">
      <c r="A74" t="s">
        <v>32</v>
      </c>
      <c r="B74">
        <v>2008</v>
      </c>
      <c r="C74" t="s">
        <v>74</v>
      </c>
      <c r="D74">
        <v>3.62</v>
      </c>
    </row>
    <row r="75" spans="1:4" x14ac:dyDescent="0.45">
      <c r="A75" t="s">
        <v>34</v>
      </c>
      <c r="B75">
        <v>2008</v>
      </c>
      <c r="C75" t="s">
        <v>74</v>
      </c>
      <c r="D75">
        <v>138.88999999999999</v>
      </c>
    </row>
    <row r="76" spans="1:4" x14ac:dyDescent="0.45">
      <c r="A76" t="s">
        <v>36</v>
      </c>
      <c r="B76">
        <v>2008</v>
      </c>
      <c r="C76" t="s">
        <v>74</v>
      </c>
      <c r="D76">
        <v>4.68</v>
      </c>
    </row>
    <row r="77" spans="1:4" x14ac:dyDescent="0.45">
      <c r="A77" t="s">
        <v>56</v>
      </c>
      <c r="B77">
        <v>2008</v>
      </c>
      <c r="C77" t="s">
        <v>74</v>
      </c>
      <c r="D77">
        <v>2.15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4.32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</v>
      </c>
    </row>
    <row r="82" spans="1:4" x14ac:dyDescent="0.45">
      <c r="A82" t="s">
        <v>91</v>
      </c>
      <c r="B82">
        <v>2008</v>
      </c>
      <c r="C82" t="s">
        <v>74</v>
      </c>
      <c r="D82">
        <v>0.84</v>
      </c>
    </row>
    <row r="83" spans="1:4" x14ac:dyDescent="0.45">
      <c r="A83" t="s">
        <v>32</v>
      </c>
      <c r="B83">
        <v>2009</v>
      </c>
      <c r="C83" t="s">
        <v>74</v>
      </c>
      <c r="D83">
        <v>5.23</v>
      </c>
    </row>
    <row r="84" spans="1:4" x14ac:dyDescent="0.45">
      <c r="A84" t="s">
        <v>34</v>
      </c>
      <c r="B84">
        <v>2009</v>
      </c>
      <c r="C84" t="s">
        <v>74</v>
      </c>
      <c r="D84">
        <v>133.38</v>
      </c>
    </row>
    <row r="85" spans="1:4" x14ac:dyDescent="0.45">
      <c r="A85" t="s">
        <v>36</v>
      </c>
      <c r="B85">
        <v>2009</v>
      </c>
      <c r="C85" t="s">
        <v>74</v>
      </c>
      <c r="D85">
        <v>4.79</v>
      </c>
    </row>
    <row r="86" spans="1:4" x14ac:dyDescent="0.45">
      <c r="A86" t="s">
        <v>56</v>
      </c>
      <c r="B86">
        <v>2009</v>
      </c>
      <c r="C86" t="s">
        <v>74</v>
      </c>
      <c r="D86">
        <v>2.38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4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</v>
      </c>
    </row>
    <row r="91" spans="1:4" x14ac:dyDescent="0.45">
      <c r="A91" t="s">
        <v>91</v>
      </c>
      <c r="B91">
        <v>2009</v>
      </c>
      <c r="C91" t="s">
        <v>74</v>
      </c>
      <c r="D91">
        <v>1.08</v>
      </c>
    </row>
    <row r="92" spans="1:4" x14ac:dyDescent="0.45">
      <c r="A92" t="s">
        <v>32</v>
      </c>
      <c r="B92">
        <v>2010</v>
      </c>
      <c r="C92" t="s">
        <v>74</v>
      </c>
      <c r="D92">
        <v>6.3</v>
      </c>
    </row>
    <row r="93" spans="1:4" x14ac:dyDescent="0.45">
      <c r="A93" t="s">
        <v>34</v>
      </c>
      <c r="B93">
        <v>2010</v>
      </c>
      <c r="C93" t="s">
        <v>74</v>
      </c>
      <c r="D93">
        <v>136.51</v>
      </c>
    </row>
    <row r="94" spans="1:4" x14ac:dyDescent="0.45">
      <c r="A94" t="s">
        <v>36</v>
      </c>
      <c r="B94">
        <v>2010</v>
      </c>
      <c r="C94" t="s">
        <v>74</v>
      </c>
      <c r="D94">
        <v>4.8</v>
      </c>
    </row>
    <row r="95" spans="1:4" x14ac:dyDescent="0.45">
      <c r="A95" t="s">
        <v>56</v>
      </c>
      <c r="B95">
        <v>2010</v>
      </c>
      <c r="C95" t="s">
        <v>74</v>
      </c>
      <c r="D95">
        <v>2.92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4.58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</v>
      </c>
    </row>
    <row r="100" spans="1:4" x14ac:dyDescent="0.45">
      <c r="A100" t="s">
        <v>91</v>
      </c>
      <c r="B100">
        <v>2010</v>
      </c>
      <c r="C100" t="s">
        <v>74</v>
      </c>
      <c r="D100">
        <v>1.66</v>
      </c>
    </row>
    <row r="101" spans="1:4" x14ac:dyDescent="0.45">
      <c r="A101" t="s">
        <v>32</v>
      </c>
      <c r="B101">
        <v>2011</v>
      </c>
      <c r="C101" t="s">
        <v>74</v>
      </c>
      <c r="D101">
        <v>7.6</v>
      </c>
    </row>
    <row r="102" spans="1:4" x14ac:dyDescent="0.45">
      <c r="A102" t="s">
        <v>34</v>
      </c>
      <c r="B102">
        <v>2011</v>
      </c>
      <c r="C102" t="s">
        <v>74</v>
      </c>
      <c r="D102">
        <v>139.76</v>
      </c>
    </row>
    <row r="103" spans="1:4" x14ac:dyDescent="0.45">
      <c r="A103" t="s">
        <v>36</v>
      </c>
      <c r="B103">
        <v>2011</v>
      </c>
      <c r="C103" t="s">
        <v>74</v>
      </c>
      <c r="D103">
        <v>5.82</v>
      </c>
    </row>
    <row r="104" spans="1:4" x14ac:dyDescent="0.45">
      <c r="A104" t="s">
        <v>56</v>
      </c>
      <c r="B104">
        <v>2011</v>
      </c>
      <c r="C104" t="s">
        <v>74</v>
      </c>
      <c r="D104">
        <v>2.33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4.16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</v>
      </c>
    </row>
    <row r="109" spans="1:4" x14ac:dyDescent="0.45">
      <c r="A109" t="s">
        <v>91</v>
      </c>
      <c r="B109">
        <v>2011</v>
      </c>
      <c r="C109" t="s">
        <v>74</v>
      </c>
      <c r="D109">
        <v>3.2</v>
      </c>
    </row>
    <row r="110" spans="1:4" x14ac:dyDescent="0.45">
      <c r="A110" t="s">
        <v>32</v>
      </c>
      <c r="B110">
        <v>2012</v>
      </c>
      <c r="C110" t="s">
        <v>74</v>
      </c>
      <c r="D110">
        <v>10.09</v>
      </c>
    </row>
    <row r="111" spans="1:4" x14ac:dyDescent="0.45">
      <c r="A111" t="s">
        <v>34</v>
      </c>
      <c r="B111">
        <v>2012</v>
      </c>
      <c r="C111" t="s">
        <v>74</v>
      </c>
      <c r="D111">
        <v>134.57</v>
      </c>
    </row>
    <row r="112" spans="1:4" x14ac:dyDescent="0.45">
      <c r="A112" t="s">
        <v>36</v>
      </c>
      <c r="B112">
        <v>2012</v>
      </c>
      <c r="C112" t="s">
        <v>74</v>
      </c>
      <c r="D112">
        <v>6.26</v>
      </c>
    </row>
    <row r="113" spans="1:4" x14ac:dyDescent="0.45">
      <c r="A113" t="s">
        <v>56</v>
      </c>
      <c r="B113">
        <v>2012</v>
      </c>
      <c r="C113" t="s">
        <v>74</v>
      </c>
      <c r="D113">
        <v>2.04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3.77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0</v>
      </c>
    </row>
    <row r="118" spans="1:4" x14ac:dyDescent="0.45">
      <c r="A118" t="s">
        <v>91</v>
      </c>
      <c r="B118">
        <v>2012</v>
      </c>
      <c r="C118" t="s">
        <v>74</v>
      </c>
      <c r="D118">
        <v>4.75</v>
      </c>
    </row>
    <row r="119" spans="1:4" x14ac:dyDescent="0.45">
      <c r="A119" t="s">
        <v>32</v>
      </c>
      <c r="B119">
        <v>2013</v>
      </c>
      <c r="C119" t="s">
        <v>74</v>
      </c>
      <c r="D119">
        <v>8.6199999999999992</v>
      </c>
    </row>
    <row r="120" spans="1:4" x14ac:dyDescent="0.45">
      <c r="A120" t="s">
        <v>34</v>
      </c>
      <c r="B120">
        <v>2013</v>
      </c>
      <c r="C120" t="s">
        <v>74</v>
      </c>
      <c r="D120">
        <v>137.72</v>
      </c>
    </row>
    <row r="121" spans="1:4" x14ac:dyDescent="0.45">
      <c r="A121" t="s">
        <v>36</v>
      </c>
      <c r="B121">
        <v>2013</v>
      </c>
      <c r="C121" t="s">
        <v>74</v>
      </c>
      <c r="D121">
        <v>5.27</v>
      </c>
    </row>
    <row r="122" spans="1:4" x14ac:dyDescent="0.45">
      <c r="A122" t="s">
        <v>56</v>
      </c>
      <c r="B122">
        <v>2013</v>
      </c>
      <c r="C122" t="s">
        <v>74</v>
      </c>
      <c r="D122">
        <v>2.44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3.73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0</v>
      </c>
    </row>
    <row r="127" spans="1:4" x14ac:dyDescent="0.45">
      <c r="A127" t="s">
        <v>91</v>
      </c>
      <c r="B127">
        <v>2013</v>
      </c>
      <c r="C127" t="s">
        <v>74</v>
      </c>
      <c r="D127">
        <v>6</v>
      </c>
    </row>
    <row r="128" spans="1:4" x14ac:dyDescent="0.45">
      <c r="A128" t="s">
        <v>32</v>
      </c>
      <c r="B128">
        <v>2014</v>
      </c>
      <c r="C128" t="s">
        <v>74</v>
      </c>
      <c r="D128">
        <v>9.98</v>
      </c>
    </row>
    <row r="129" spans="1:4" x14ac:dyDescent="0.45">
      <c r="A129" t="s">
        <v>34</v>
      </c>
      <c r="B129">
        <v>2014</v>
      </c>
      <c r="C129" t="s">
        <v>74</v>
      </c>
      <c r="D129">
        <v>129.52000000000001</v>
      </c>
    </row>
    <row r="130" spans="1:4" x14ac:dyDescent="0.45">
      <c r="A130" t="s">
        <v>36</v>
      </c>
      <c r="B130">
        <v>2014</v>
      </c>
      <c r="C130" t="s">
        <v>74</v>
      </c>
      <c r="D130">
        <v>5.33</v>
      </c>
    </row>
    <row r="131" spans="1:4" x14ac:dyDescent="0.45">
      <c r="A131" t="s">
        <v>56</v>
      </c>
      <c r="B131">
        <v>2014</v>
      </c>
      <c r="C131" t="s">
        <v>74</v>
      </c>
      <c r="D131">
        <v>2.1800000000000002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3.65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0.01</v>
      </c>
    </row>
    <row r="136" spans="1:4" x14ac:dyDescent="0.45">
      <c r="A136" t="s">
        <v>91</v>
      </c>
      <c r="B136">
        <v>2014</v>
      </c>
      <c r="C136" t="s">
        <v>74</v>
      </c>
      <c r="D136">
        <v>7.68</v>
      </c>
    </row>
    <row r="137" spans="1:4" x14ac:dyDescent="0.45">
      <c r="A137" t="s">
        <v>32</v>
      </c>
      <c r="B137">
        <v>2015</v>
      </c>
      <c r="C137" t="s">
        <v>74</v>
      </c>
      <c r="D137">
        <v>9.94</v>
      </c>
    </row>
    <row r="138" spans="1:4" x14ac:dyDescent="0.45">
      <c r="A138" t="s">
        <v>34</v>
      </c>
      <c r="B138">
        <v>2015</v>
      </c>
      <c r="C138" t="s">
        <v>74</v>
      </c>
      <c r="D138">
        <v>130.52000000000001</v>
      </c>
    </row>
    <row r="139" spans="1:4" x14ac:dyDescent="0.45">
      <c r="A139" t="s">
        <v>36</v>
      </c>
      <c r="B139">
        <v>2015</v>
      </c>
      <c r="C139" t="s">
        <v>74</v>
      </c>
      <c r="D139">
        <v>6.39</v>
      </c>
    </row>
    <row r="140" spans="1:4" x14ac:dyDescent="0.45">
      <c r="A140" t="s">
        <v>56</v>
      </c>
      <c r="B140">
        <v>2015</v>
      </c>
      <c r="C140" t="s">
        <v>74</v>
      </c>
      <c r="D140">
        <v>1.83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4.7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0.06</v>
      </c>
    </row>
    <row r="145" spans="1:4" x14ac:dyDescent="0.45">
      <c r="A145" t="s">
        <v>91</v>
      </c>
      <c r="B145">
        <v>2015</v>
      </c>
      <c r="C145" t="s">
        <v>74</v>
      </c>
      <c r="D145">
        <v>10.86</v>
      </c>
    </row>
    <row r="146" spans="1:4" x14ac:dyDescent="0.45">
      <c r="A146" t="s">
        <v>32</v>
      </c>
      <c r="B146">
        <v>2016</v>
      </c>
      <c r="C146" t="s">
        <v>74</v>
      </c>
      <c r="D146">
        <v>7.96</v>
      </c>
    </row>
    <row r="147" spans="1:4" x14ac:dyDescent="0.45">
      <c r="A147" t="s">
        <v>34</v>
      </c>
      <c r="B147">
        <v>2016</v>
      </c>
      <c r="C147" t="s">
        <v>74</v>
      </c>
      <c r="D147">
        <v>130.32</v>
      </c>
    </row>
    <row r="148" spans="1:4" x14ac:dyDescent="0.45">
      <c r="A148" t="s">
        <v>36</v>
      </c>
      <c r="B148">
        <v>2016</v>
      </c>
      <c r="C148" t="s">
        <v>74</v>
      </c>
      <c r="D148">
        <v>7.83</v>
      </c>
    </row>
    <row r="149" spans="1:4" x14ac:dyDescent="0.45">
      <c r="A149" t="s">
        <v>56</v>
      </c>
      <c r="B149">
        <v>2016</v>
      </c>
      <c r="C149" t="s">
        <v>74</v>
      </c>
      <c r="D149">
        <v>2.14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5.04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0.12</v>
      </c>
    </row>
    <row r="154" spans="1:4" x14ac:dyDescent="0.45">
      <c r="A154" t="s">
        <v>91</v>
      </c>
      <c r="B154">
        <v>2016</v>
      </c>
      <c r="C154" t="s">
        <v>74</v>
      </c>
      <c r="D154">
        <v>12.59</v>
      </c>
    </row>
    <row r="155" spans="1:4" x14ac:dyDescent="0.45">
      <c r="A155" t="s">
        <v>32</v>
      </c>
      <c r="B155">
        <v>2017</v>
      </c>
      <c r="C155" t="s">
        <v>74</v>
      </c>
      <c r="D155">
        <v>6.49</v>
      </c>
    </row>
    <row r="156" spans="1:4" x14ac:dyDescent="0.45">
      <c r="A156" t="s">
        <v>34</v>
      </c>
      <c r="B156">
        <v>2017</v>
      </c>
      <c r="C156" t="s">
        <v>74</v>
      </c>
      <c r="D156">
        <v>131.16</v>
      </c>
    </row>
    <row r="157" spans="1:4" x14ac:dyDescent="0.45">
      <c r="A157" t="s">
        <v>36</v>
      </c>
      <c r="B157">
        <v>2017</v>
      </c>
      <c r="C157" t="s">
        <v>74</v>
      </c>
      <c r="D157">
        <v>10.029999999999999</v>
      </c>
    </row>
    <row r="158" spans="1:4" x14ac:dyDescent="0.45">
      <c r="A158" t="s">
        <v>56</v>
      </c>
      <c r="B158">
        <v>2017</v>
      </c>
      <c r="C158" t="s">
        <v>74</v>
      </c>
      <c r="D158">
        <v>2.56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4.59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0.17</v>
      </c>
    </row>
    <row r="163" spans="1:4" x14ac:dyDescent="0.45">
      <c r="A163" t="s">
        <v>91</v>
      </c>
      <c r="B163">
        <v>2017</v>
      </c>
      <c r="C163" t="s">
        <v>74</v>
      </c>
      <c r="D163">
        <v>14.91</v>
      </c>
    </row>
    <row r="164" spans="1:4" x14ac:dyDescent="0.45">
      <c r="A164" t="s">
        <v>32</v>
      </c>
      <c r="B164">
        <v>2018</v>
      </c>
      <c r="C164" t="s">
        <v>74</v>
      </c>
      <c r="D164">
        <v>6.55</v>
      </c>
    </row>
    <row r="165" spans="1:4" x14ac:dyDescent="0.45">
      <c r="A165" t="s">
        <v>34</v>
      </c>
      <c r="B165">
        <v>2018</v>
      </c>
      <c r="C165" t="s">
        <v>74</v>
      </c>
      <c r="D165">
        <v>130.56</v>
      </c>
    </row>
    <row r="166" spans="1:4" x14ac:dyDescent="0.45">
      <c r="A166" t="s">
        <v>36</v>
      </c>
      <c r="B166">
        <v>2018</v>
      </c>
      <c r="C166" t="s">
        <v>74</v>
      </c>
      <c r="D166">
        <v>12.63</v>
      </c>
    </row>
    <row r="167" spans="1:4" x14ac:dyDescent="0.45">
      <c r="A167" t="s">
        <v>56</v>
      </c>
      <c r="B167">
        <v>2018</v>
      </c>
      <c r="C167" t="s">
        <v>74</v>
      </c>
      <c r="D167">
        <v>1.97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4.62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0.3</v>
      </c>
    </row>
    <row r="172" spans="1:4" x14ac:dyDescent="0.45">
      <c r="A172" t="s">
        <v>91</v>
      </c>
      <c r="B172">
        <v>2018</v>
      </c>
      <c r="C172" t="s">
        <v>74</v>
      </c>
      <c r="D172">
        <v>12.8</v>
      </c>
    </row>
    <row r="173" spans="1:4" x14ac:dyDescent="0.45">
      <c r="A173" t="s">
        <v>32</v>
      </c>
      <c r="B173">
        <v>2019</v>
      </c>
      <c r="C173" t="s">
        <v>74</v>
      </c>
      <c r="D173">
        <v>7.68</v>
      </c>
    </row>
    <row r="174" spans="1:4" x14ac:dyDescent="0.45">
      <c r="A174" t="s">
        <v>34</v>
      </c>
      <c r="B174">
        <v>2019</v>
      </c>
      <c r="C174" t="s">
        <v>74</v>
      </c>
      <c r="D174">
        <v>118.14</v>
      </c>
    </row>
    <row r="175" spans="1:4" x14ac:dyDescent="0.45">
      <c r="A175" t="s">
        <v>36</v>
      </c>
      <c r="B175">
        <v>2019</v>
      </c>
      <c r="C175" t="s">
        <v>74</v>
      </c>
      <c r="D175">
        <v>14.8</v>
      </c>
    </row>
    <row r="176" spans="1:4" x14ac:dyDescent="0.45">
      <c r="A176" t="s">
        <v>56</v>
      </c>
      <c r="B176">
        <v>2019</v>
      </c>
      <c r="C176" t="s">
        <v>74</v>
      </c>
      <c r="D176">
        <v>1.96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4.82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0.71</v>
      </c>
    </row>
    <row r="181" spans="1:4" x14ac:dyDescent="0.45">
      <c r="A181" t="s">
        <v>91</v>
      </c>
      <c r="B181">
        <v>2019</v>
      </c>
      <c r="C181" t="s">
        <v>74</v>
      </c>
      <c r="D181">
        <v>15.11</v>
      </c>
    </row>
    <row r="182" spans="1:4" x14ac:dyDescent="0.45">
      <c r="A182" t="s">
        <v>32</v>
      </c>
      <c r="B182">
        <v>2020</v>
      </c>
      <c r="C182" t="s">
        <v>74</v>
      </c>
      <c r="D182">
        <v>8.35</v>
      </c>
    </row>
    <row r="183" spans="1:4" x14ac:dyDescent="0.45">
      <c r="A183" t="s">
        <v>34</v>
      </c>
      <c r="B183">
        <v>2020</v>
      </c>
      <c r="C183" t="s">
        <v>74</v>
      </c>
      <c r="D183">
        <v>107.4</v>
      </c>
    </row>
    <row r="184" spans="1:4" x14ac:dyDescent="0.45">
      <c r="A184" t="s">
        <v>36</v>
      </c>
      <c r="B184">
        <v>2020</v>
      </c>
      <c r="C184" t="s">
        <v>74</v>
      </c>
      <c r="D184">
        <v>17.29</v>
      </c>
    </row>
    <row r="185" spans="1:4" x14ac:dyDescent="0.45">
      <c r="A185" t="s">
        <v>56</v>
      </c>
      <c r="B185">
        <v>2020</v>
      </c>
      <c r="C185" t="s">
        <v>74</v>
      </c>
      <c r="D185">
        <v>2.12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4.2300000000000004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1.96</v>
      </c>
    </row>
    <row r="190" spans="1:4" x14ac:dyDescent="0.45">
      <c r="A190" t="s">
        <v>91</v>
      </c>
      <c r="B190">
        <v>2020</v>
      </c>
      <c r="C190" t="s">
        <v>74</v>
      </c>
      <c r="D190">
        <v>15.8</v>
      </c>
    </row>
    <row r="191" spans="1:4" x14ac:dyDescent="0.45">
      <c r="A191" t="s">
        <v>32</v>
      </c>
      <c r="B191">
        <v>2021</v>
      </c>
      <c r="C191" t="s">
        <v>74</v>
      </c>
      <c r="D191">
        <v>8.06</v>
      </c>
    </row>
    <row r="192" spans="1:4" x14ac:dyDescent="0.45">
      <c r="A192" t="s">
        <v>34</v>
      </c>
      <c r="B192">
        <v>2021</v>
      </c>
      <c r="C192" t="s">
        <v>74</v>
      </c>
      <c r="D192">
        <v>127.57</v>
      </c>
    </row>
    <row r="193" spans="1:4" x14ac:dyDescent="0.45">
      <c r="A193" t="s">
        <v>36</v>
      </c>
      <c r="B193">
        <v>2021</v>
      </c>
      <c r="C193" t="s">
        <v>74</v>
      </c>
      <c r="D193">
        <v>15.82</v>
      </c>
    </row>
    <row r="194" spans="1:4" x14ac:dyDescent="0.45">
      <c r="A194" t="s">
        <v>56</v>
      </c>
      <c r="B194">
        <v>2021</v>
      </c>
      <c r="C194" t="s">
        <v>74</v>
      </c>
      <c r="D194">
        <v>2.34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4.84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3.93</v>
      </c>
    </row>
    <row r="199" spans="1:4" x14ac:dyDescent="0.45">
      <c r="A199" t="s">
        <v>91</v>
      </c>
      <c r="B199">
        <v>2021</v>
      </c>
      <c r="C199" t="s">
        <v>74</v>
      </c>
      <c r="D199">
        <v>16.23</v>
      </c>
    </row>
    <row r="200" spans="1:4" x14ac:dyDescent="0.45">
      <c r="A200" t="s">
        <v>32</v>
      </c>
      <c r="B200">
        <v>2022</v>
      </c>
      <c r="C200" t="s">
        <v>74</v>
      </c>
      <c r="D200">
        <v>7.63</v>
      </c>
    </row>
    <row r="201" spans="1:4" x14ac:dyDescent="0.45">
      <c r="A201" t="s">
        <v>34</v>
      </c>
      <c r="B201">
        <v>2022</v>
      </c>
      <c r="C201" t="s">
        <v>74</v>
      </c>
      <c r="D201">
        <v>124.73</v>
      </c>
    </row>
    <row r="202" spans="1:4" x14ac:dyDescent="0.45">
      <c r="A202" t="s">
        <v>36</v>
      </c>
      <c r="B202">
        <v>2022</v>
      </c>
      <c r="C202" t="s">
        <v>74</v>
      </c>
      <c r="D202">
        <v>11.36</v>
      </c>
    </row>
    <row r="203" spans="1:4" x14ac:dyDescent="0.45">
      <c r="A203" t="s">
        <v>56</v>
      </c>
      <c r="B203">
        <v>2022</v>
      </c>
      <c r="C203" t="s">
        <v>74</v>
      </c>
      <c r="D203">
        <v>1.97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4.82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8.31</v>
      </c>
    </row>
    <row r="208" spans="1:4" x14ac:dyDescent="0.45">
      <c r="A208" t="s">
        <v>91</v>
      </c>
      <c r="B208">
        <v>2022</v>
      </c>
      <c r="C208" t="s">
        <v>74</v>
      </c>
      <c r="D208">
        <v>19.73</v>
      </c>
    </row>
    <row r="209" spans="1:4" x14ac:dyDescent="0.45">
      <c r="A209" t="s">
        <v>32</v>
      </c>
      <c r="B209">
        <v>2023</v>
      </c>
      <c r="C209" t="s">
        <v>74</v>
      </c>
      <c r="D209">
        <v>8.1300000000000008</v>
      </c>
    </row>
    <row r="210" spans="1:4" x14ac:dyDescent="0.45">
      <c r="A210" t="s">
        <v>34</v>
      </c>
      <c r="B210">
        <v>2023</v>
      </c>
      <c r="C210" t="s">
        <v>74</v>
      </c>
      <c r="D210">
        <v>103.02</v>
      </c>
    </row>
    <row r="211" spans="1:4" x14ac:dyDescent="0.45">
      <c r="A211" t="s">
        <v>36</v>
      </c>
      <c r="B211">
        <v>2023</v>
      </c>
      <c r="C211" t="s">
        <v>74</v>
      </c>
      <c r="D211">
        <v>14.75</v>
      </c>
    </row>
    <row r="212" spans="1:4" x14ac:dyDescent="0.45">
      <c r="A212" t="s">
        <v>56</v>
      </c>
      <c r="B212">
        <v>2023</v>
      </c>
      <c r="C212" t="s">
        <v>74</v>
      </c>
      <c r="D212">
        <v>2.38</v>
      </c>
    </row>
    <row r="213" spans="1:4" x14ac:dyDescent="0.45">
      <c r="A213" t="s">
        <v>57</v>
      </c>
      <c r="B213">
        <v>2023</v>
      </c>
      <c r="C213" t="s">
        <v>74</v>
      </c>
      <c r="D213">
        <v>0</v>
      </c>
    </row>
    <row r="214" spans="1:4" x14ac:dyDescent="0.45">
      <c r="A214" t="s">
        <v>38</v>
      </c>
      <c r="B214">
        <v>2023</v>
      </c>
      <c r="C214" t="s">
        <v>74</v>
      </c>
      <c r="D214">
        <v>5.17</v>
      </c>
    </row>
    <row r="215" spans="1:4" x14ac:dyDescent="0.45">
      <c r="A215" t="s">
        <v>58</v>
      </c>
      <c r="B215">
        <v>2023</v>
      </c>
      <c r="C215" t="s">
        <v>74</v>
      </c>
      <c r="D215">
        <v>12.24</v>
      </c>
    </row>
    <row r="216" spans="1:4" x14ac:dyDescent="0.45">
      <c r="A216" t="s">
        <v>91</v>
      </c>
      <c r="B216">
        <v>2023</v>
      </c>
      <c r="C216" t="s">
        <v>74</v>
      </c>
      <c r="D216">
        <v>23.06</v>
      </c>
    </row>
    <row r="217" spans="1:4" x14ac:dyDescent="0.45">
      <c r="A217" t="s">
        <v>32</v>
      </c>
      <c r="B217">
        <v>2000</v>
      </c>
      <c r="C217" t="s">
        <v>75</v>
      </c>
      <c r="D217">
        <v>0.02</v>
      </c>
    </row>
    <row r="218" spans="1:4" x14ac:dyDescent="0.45">
      <c r="A218" t="s">
        <v>34</v>
      </c>
      <c r="B218">
        <v>2000</v>
      </c>
      <c r="C218" t="s">
        <v>75</v>
      </c>
      <c r="D218">
        <v>29.1</v>
      </c>
    </row>
    <row r="219" spans="1:4" x14ac:dyDescent="0.45">
      <c r="A219" t="s">
        <v>36</v>
      </c>
      <c r="B219">
        <v>2000</v>
      </c>
      <c r="C219" t="s">
        <v>75</v>
      </c>
      <c r="D219">
        <v>0.41</v>
      </c>
    </row>
    <row r="220" spans="1:4" x14ac:dyDescent="0.45">
      <c r="A220" t="s">
        <v>56</v>
      </c>
      <c r="B220">
        <v>2000</v>
      </c>
      <c r="C220" t="s">
        <v>75</v>
      </c>
      <c r="D220">
        <v>0.82</v>
      </c>
    </row>
    <row r="221" spans="1:4" x14ac:dyDescent="0.45">
      <c r="A221" t="s">
        <v>57</v>
      </c>
      <c r="B221">
        <v>2000</v>
      </c>
      <c r="C221" t="s">
        <v>75</v>
      </c>
    </row>
    <row r="222" spans="1:4" x14ac:dyDescent="0.45">
      <c r="A222" t="s">
        <v>38</v>
      </c>
      <c r="B222">
        <v>2000</v>
      </c>
      <c r="C222" t="s">
        <v>75</v>
      </c>
    </row>
    <row r="223" spans="1:4" x14ac:dyDescent="0.45">
      <c r="A223" t="s">
        <v>32</v>
      </c>
      <c r="B223">
        <v>2000</v>
      </c>
      <c r="C223" t="s">
        <v>75</v>
      </c>
      <c r="D223">
        <v>0</v>
      </c>
    </row>
    <row r="224" spans="1:4" x14ac:dyDescent="0.45">
      <c r="A224" t="s">
        <v>58</v>
      </c>
      <c r="B224">
        <v>2000</v>
      </c>
      <c r="C224" t="s">
        <v>75</v>
      </c>
      <c r="D224">
        <v>0</v>
      </c>
    </row>
    <row r="225" spans="1:4" x14ac:dyDescent="0.45">
      <c r="A225" t="s">
        <v>91</v>
      </c>
      <c r="B225">
        <v>2000</v>
      </c>
      <c r="C225" t="s">
        <v>75</v>
      </c>
      <c r="D225">
        <v>0</v>
      </c>
    </row>
    <row r="226" spans="1:4" x14ac:dyDescent="0.45">
      <c r="A226" t="s">
        <v>32</v>
      </c>
      <c r="B226">
        <v>2001</v>
      </c>
      <c r="C226" t="s">
        <v>75</v>
      </c>
      <c r="D226">
        <v>0.03</v>
      </c>
    </row>
    <row r="227" spans="1:4" x14ac:dyDescent="0.45">
      <c r="A227" t="s">
        <v>34</v>
      </c>
      <c r="B227">
        <v>2001</v>
      </c>
      <c r="C227" t="s">
        <v>75</v>
      </c>
      <c r="D227">
        <v>29.1</v>
      </c>
    </row>
    <row r="228" spans="1:4" x14ac:dyDescent="0.45">
      <c r="A228" t="s">
        <v>36</v>
      </c>
      <c r="B228">
        <v>2001</v>
      </c>
      <c r="C228" t="s">
        <v>75</v>
      </c>
      <c r="D228">
        <v>0.41</v>
      </c>
    </row>
    <row r="229" spans="1:4" x14ac:dyDescent="0.45">
      <c r="A229" t="s">
        <v>56</v>
      </c>
      <c r="B229">
        <v>2001</v>
      </c>
      <c r="C229" t="s">
        <v>75</v>
      </c>
      <c r="D229">
        <v>0.87</v>
      </c>
    </row>
    <row r="230" spans="1:4" x14ac:dyDescent="0.45">
      <c r="A230" t="s">
        <v>57</v>
      </c>
      <c r="B230">
        <v>2001</v>
      </c>
      <c r="C230" t="s">
        <v>75</v>
      </c>
    </row>
    <row r="231" spans="1:4" x14ac:dyDescent="0.45">
      <c r="A231" t="s">
        <v>38</v>
      </c>
      <c r="B231">
        <v>2001</v>
      </c>
      <c r="C231" t="s">
        <v>75</v>
      </c>
    </row>
    <row r="232" spans="1:4" x14ac:dyDescent="0.45">
      <c r="A232" t="s">
        <v>32</v>
      </c>
      <c r="B232">
        <v>2001</v>
      </c>
      <c r="C232" t="s">
        <v>75</v>
      </c>
      <c r="D232">
        <v>0</v>
      </c>
    </row>
    <row r="233" spans="1:4" x14ac:dyDescent="0.45">
      <c r="A233" t="s">
        <v>58</v>
      </c>
      <c r="B233">
        <v>2001</v>
      </c>
      <c r="C233" t="s">
        <v>75</v>
      </c>
      <c r="D233">
        <v>0</v>
      </c>
    </row>
    <row r="234" spans="1:4" x14ac:dyDescent="0.45">
      <c r="A234" t="s">
        <v>91</v>
      </c>
      <c r="B234">
        <v>2001</v>
      </c>
      <c r="C234" t="s">
        <v>75</v>
      </c>
      <c r="D234">
        <v>0.02</v>
      </c>
    </row>
    <row r="235" spans="1:4" x14ac:dyDescent="0.45">
      <c r="A235" t="s">
        <v>32</v>
      </c>
      <c r="B235">
        <v>2002</v>
      </c>
      <c r="C235" t="s">
        <v>75</v>
      </c>
      <c r="D235">
        <v>0.03</v>
      </c>
    </row>
    <row r="236" spans="1:4" x14ac:dyDescent="0.45">
      <c r="A236" t="s">
        <v>34</v>
      </c>
      <c r="B236">
        <v>2002</v>
      </c>
      <c r="C236" t="s">
        <v>75</v>
      </c>
      <c r="D236">
        <v>29.45</v>
      </c>
    </row>
    <row r="237" spans="1:4" x14ac:dyDescent="0.45">
      <c r="A237" t="s">
        <v>36</v>
      </c>
      <c r="B237">
        <v>2002</v>
      </c>
      <c r="C237" t="s">
        <v>75</v>
      </c>
      <c r="D237">
        <v>0.68</v>
      </c>
    </row>
    <row r="238" spans="1:4" x14ac:dyDescent="0.45">
      <c r="A238" t="s">
        <v>56</v>
      </c>
      <c r="B238">
        <v>2002</v>
      </c>
      <c r="C238" t="s">
        <v>75</v>
      </c>
      <c r="D238">
        <v>0.84</v>
      </c>
    </row>
    <row r="239" spans="1:4" x14ac:dyDescent="0.45">
      <c r="A239" t="s">
        <v>57</v>
      </c>
      <c r="B239">
        <v>2002</v>
      </c>
      <c r="C239" t="s">
        <v>75</v>
      </c>
    </row>
    <row r="240" spans="1:4" x14ac:dyDescent="0.45">
      <c r="A240" t="s">
        <v>38</v>
      </c>
      <c r="B240">
        <v>2002</v>
      </c>
      <c r="C240" t="s">
        <v>75</v>
      </c>
    </row>
    <row r="241" spans="1:4" x14ac:dyDescent="0.45">
      <c r="A241" t="s">
        <v>32</v>
      </c>
      <c r="B241">
        <v>2002</v>
      </c>
      <c r="C241" t="s">
        <v>75</v>
      </c>
      <c r="D241">
        <v>0</v>
      </c>
    </row>
    <row r="242" spans="1:4" x14ac:dyDescent="0.45">
      <c r="A242" t="s">
        <v>58</v>
      </c>
      <c r="B242">
        <v>2002</v>
      </c>
      <c r="C242" t="s">
        <v>75</v>
      </c>
      <c r="D242">
        <v>0</v>
      </c>
    </row>
    <row r="243" spans="1:4" x14ac:dyDescent="0.45">
      <c r="A243" t="s">
        <v>91</v>
      </c>
      <c r="B243">
        <v>2002</v>
      </c>
      <c r="C243" t="s">
        <v>75</v>
      </c>
      <c r="D243">
        <v>0.03</v>
      </c>
    </row>
    <row r="244" spans="1:4" x14ac:dyDescent="0.45">
      <c r="A244" t="s">
        <v>32</v>
      </c>
      <c r="B244">
        <v>2003</v>
      </c>
      <c r="C244" t="s">
        <v>75</v>
      </c>
      <c r="D244">
        <v>0.04</v>
      </c>
    </row>
    <row r="245" spans="1:4" x14ac:dyDescent="0.45">
      <c r="A245" t="s">
        <v>34</v>
      </c>
      <c r="B245">
        <v>2003</v>
      </c>
      <c r="C245" t="s">
        <v>75</v>
      </c>
      <c r="D245">
        <v>29.5</v>
      </c>
    </row>
    <row r="246" spans="1:4" x14ac:dyDescent="0.45">
      <c r="A246" t="s">
        <v>36</v>
      </c>
      <c r="B246">
        <v>2003</v>
      </c>
      <c r="C246" t="s">
        <v>75</v>
      </c>
      <c r="D246">
        <v>0.78</v>
      </c>
    </row>
    <row r="247" spans="1:4" x14ac:dyDescent="0.45">
      <c r="A247" t="s">
        <v>56</v>
      </c>
      <c r="B247">
        <v>2003</v>
      </c>
      <c r="C247" t="s">
        <v>75</v>
      </c>
      <c r="D247">
        <v>0.87</v>
      </c>
    </row>
    <row r="248" spans="1:4" x14ac:dyDescent="0.45">
      <c r="A248" t="s">
        <v>57</v>
      </c>
      <c r="B248">
        <v>2003</v>
      </c>
      <c r="C248" t="s">
        <v>75</v>
      </c>
    </row>
    <row r="249" spans="1:4" x14ac:dyDescent="0.45">
      <c r="A249" t="s">
        <v>38</v>
      </c>
      <c r="B249">
        <v>2003</v>
      </c>
      <c r="C249" t="s">
        <v>75</v>
      </c>
    </row>
    <row r="250" spans="1:4" x14ac:dyDescent="0.45">
      <c r="A250" t="s">
        <v>32</v>
      </c>
      <c r="B250">
        <v>2003</v>
      </c>
      <c r="C250" t="s">
        <v>75</v>
      </c>
      <c r="D250">
        <v>0</v>
      </c>
    </row>
    <row r="251" spans="1:4" x14ac:dyDescent="0.45">
      <c r="A251" t="s">
        <v>58</v>
      </c>
      <c r="B251">
        <v>2003</v>
      </c>
      <c r="C251" t="s">
        <v>75</v>
      </c>
      <c r="D251">
        <v>0</v>
      </c>
    </row>
    <row r="252" spans="1:4" x14ac:dyDescent="0.45">
      <c r="A252" t="s">
        <v>91</v>
      </c>
      <c r="B252">
        <v>2003</v>
      </c>
      <c r="C252" t="s">
        <v>75</v>
      </c>
      <c r="D252">
        <v>0.04</v>
      </c>
    </row>
    <row r="253" spans="1:4" x14ac:dyDescent="0.45">
      <c r="A253" t="s">
        <v>32</v>
      </c>
      <c r="B253">
        <v>2004</v>
      </c>
      <c r="C253" t="s">
        <v>75</v>
      </c>
      <c r="D253">
        <v>0.05</v>
      </c>
    </row>
    <row r="254" spans="1:4" x14ac:dyDescent="0.45">
      <c r="A254" t="s">
        <v>34</v>
      </c>
      <c r="B254">
        <v>2004</v>
      </c>
      <c r="C254" t="s">
        <v>75</v>
      </c>
      <c r="D254">
        <v>29.5</v>
      </c>
    </row>
    <row r="255" spans="1:4" x14ac:dyDescent="0.45">
      <c r="A255" t="s">
        <v>36</v>
      </c>
      <c r="B255">
        <v>2004</v>
      </c>
      <c r="C255" t="s">
        <v>75</v>
      </c>
      <c r="D255">
        <v>0.98</v>
      </c>
    </row>
    <row r="256" spans="1:4" x14ac:dyDescent="0.45">
      <c r="A256" t="s">
        <v>56</v>
      </c>
      <c r="B256">
        <v>2004</v>
      </c>
      <c r="C256" t="s">
        <v>75</v>
      </c>
      <c r="D256">
        <v>0.88</v>
      </c>
    </row>
    <row r="257" spans="1:4" x14ac:dyDescent="0.45">
      <c r="A257" t="s">
        <v>57</v>
      </c>
      <c r="B257">
        <v>2004</v>
      </c>
      <c r="C257" t="s">
        <v>75</v>
      </c>
    </row>
    <row r="258" spans="1:4" x14ac:dyDescent="0.45">
      <c r="A258" t="s">
        <v>38</v>
      </c>
      <c r="B258">
        <v>2004</v>
      </c>
      <c r="C258" t="s">
        <v>75</v>
      </c>
    </row>
    <row r="259" spans="1:4" x14ac:dyDescent="0.45">
      <c r="A259" t="s">
        <v>32</v>
      </c>
      <c r="B259">
        <v>2004</v>
      </c>
      <c r="C259" t="s">
        <v>75</v>
      </c>
      <c r="D259">
        <v>0</v>
      </c>
    </row>
    <row r="260" spans="1:4" x14ac:dyDescent="0.45">
      <c r="A260" t="s">
        <v>58</v>
      </c>
      <c r="B260">
        <v>2004</v>
      </c>
      <c r="C260" t="s">
        <v>75</v>
      </c>
      <c r="D260">
        <v>0</v>
      </c>
    </row>
    <row r="261" spans="1:4" x14ac:dyDescent="0.45">
      <c r="A261" t="s">
        <v>91</v>
      </c>
      <c r="B261">
        <v>2004</v>
      </c>
      <c r="C261" t="s">
        <v>75</v>
      </c>
      <c r="D261">
        <v>0.04</v>
      </c>
    </row>
    <row r="262" spans="1:4" x14ac:dyDescent="0.45">
      <c r="A262" t="s">
        <v>32</v>
      </c>
      <c r="B262">
        <v>2005</v>
      </c>
      <c r="C262" t="s">
        <v>75</v>
      </c>
      <c r="D262">
        <v>0.05</v>
      </c>
    </row>
    <row r="263" spans="1:4" x14ac:dyDescent="0.45">
      <c r="A263" t="s">
        <v>34</v>
      </c>
      <c r="B263">
        <v>2005</v>
      </c>
      <c r="C263" t="s">
        <v>75</v>
      </c>
      <c r="D263">
        <v>29.5</v>
      </c>
    </row>
    <row r="264" spans="1:4" x14ac:dyDescent="0.45">
      <c r="A264" t="s">
        <v>36</v>
      </c>
      <c r="B264">
        <v>2005</v>
      </c>
      <c r="C264" t="s">
        <v>75</v>
      </c>
      <c r="D264">
        <v>0.98</v>
      </c>
    </row>
    <row r="265" spans="1:4" x14ac:dyDescent="0.45">
      <c r="A265" t="s">
        <v>56</v>
      </c>
      <c r="B265">
        <v>2005</v>
      </c>
      <c r="C265" t="s">
        <v>75</v>
      </c>
      <c r="D265">
        <v>0.91</v>
      </c>
    </row>
    <row r="266" spans="1:4" x14ac:dyDescent="0.45">
      <c r="A266" t="s">
        <v>57</v>
      </c>
      <c r="B266">
        <v>2005</v>
      </c>
      <c r="C266" t="s">
        <v>75</v>
      </c>
    </row>
    <row r="267" spans="1:4" x14ac:dyDescent="0.45">
      <c r="A267" t="s">
        <v>38</v>
      </c>
      <c r="B267">
        <v>2005</v>
      </c>
      <c r="C267" t="s">
        <v>75</v>
      </c>
    </row>
    <row r="268" spans="1:4" x14ac:dyDescent="0.45">
      <c r="A268" t="s">
        <v>32</v>
      </c>
      <c r="B268">
        <v>2005</v>
      </c>
      <c r="C268" t="s">
        <v>75</v>
      </c>
      <c r="D268">
        <v>0</v>
      </c>
    </row>
    <row r="269" spans="1:4" x14ac:dyDescent="0.45">
      <c r="A269" t="s">
        <v>58</v>
      </c>
      <c r="B269">
        <v>2005</v>
      </c>
      <c r="C269" t="s">
        <v>75</v>
      </c>
      <c r="D269">
        <v>0</v>
      </c>
    </row>
    <row r="270" spans="1:4" x14ac:dyDescent="0.45">
      <c r="A270" t="s">
        <v>91</v>
      </c>
      <c r="B270">
        <v>2005</v>
      </c>
      <c r="C270" t="s">
        <v>75</v>
      </c>
      <c r="D270">
        <v>0.12</v>
      </c>
    </row>
    <row r="271" spans="1:4" x14ac:dyDescent="0.45">
      <c r="A271" t="s">
        <v>32</v>
      </c>
      <c r="B271">
        <v>2006</v>
      </c>
      <c r="C271" t="s">
        <v>75</v>
      </c>
      <c r="D271">
        <v>0.06</v>
      </c>
    </row>
    <row r="272" spans="1:4" x14ac:dyDescent="0.45">
      <c r="A272" t="s">
        <v>34</v>
      </c>
      <c r="B272">
        <v>2006</v>
      </c>
      <c r="C272" t="s">
        <v>75</v>
      </c>
      <c r="D272">
        <v>29.5</v>
      </c>
    </row>
    <row r="273" spans="1:4" x14ac:dyDescent="0.45">
      <c r="A273" t="s">
        <v>36</v>
      </c>
      <c r="B273">
        <v>2006</v>
      </c>
      <c r="C273" t="s">
        <v>75</v>
      </c>
      <c r="D273">
        <v>0.98</v>
      </c>
    </row>
    <row r="274" spans="1:4" x14ac:dyDescent="0.45">
      <c r="A274" t="s">
        <v>56</v>
      </c>
      <c r="B274">
        <v>2006</v>
      </c>
      <c r="C274" t="s">
        <v>75</v>
      </c>
      <c r="D274">
        <v>0.93</v>
      </c>
    </row>
    <row r="275" spans="1:4" x14ac:dyDescent="0.45">
      <c r="A275" t="s">
        <v>57</v>
      </c>
      <c r="B275">
        <v>2006</v>
      </c>
      <c r="C275" t="s">
        <v>75</v>
      </c>
    </row>
    <row r="276" spans="1:4" x14ac:dyDescent="0.45">
      <c r="A276" t="s">
        <v>38</v>
      </c>
      <c r="B276">
        <v>2006</v>
      </c>
      <c r="C276" t="s">
        <v>75</v>
      </c>
    </row>
    <row r="277" spans="1:4" x14ac:dyDescent="0.45">
      <c r="A277" t="s">
        <v>32</v>
      </c>
      <c r="B277">
        <v>2006</v>
      </c>
      <c r="C277" t="s">
        <v>75</v>
      </c>
      <c r="D277">
        <v>0</v>
      </c>
    </row>
    <row r="278" spans="1:4" x14ac:dyDescent="0.45">
      <c r="A278" t="s">
        <v>58</v>
      </c>
      <c r="B278">
        <v>2006</v>
      </c>
      <c r="C278" t="s">
        <v>75</v>
      </c>
      <c r="D278">
        <v>0</v>
      </c>
    </row>
    <row r="279" spans="1:4" x14ac:dyDescent="0.45">
      <c r="A279" t="s">
        <v>91</v>
      </c>
      <c r="B279">
        <v>2006</v>
      </c>
      <c r="C279" t="s">
        <v>75</v>
      </c>
      <c r="D279">
        <v>0.17</v>
      </c>
    </row>
    <row r="280" spans="1:4" x14ac:dyDescent="0.45">
      <c r="A280" t="s">
        <v>32</v>
      </c>
      <c r="B280">
        <v>2007</v>
      </c>
      <c r="C280" t="s">
        <v>75</v>
      </c>
      <c r="D280">
        <v>7.0000000000000007E-2</v>
      </c>
    </row>
    <row r="281" spans="1:4" x14ac:dyDescent="0.45">
      <c r="A281" t="s">
        <v>34</v>
      </c>
      <c r="B281">
        <v>2007</v>
      </c>
      <c r="C281" t="s">
        <v>75</v>
      </c>
      <c r="D281">
        <v>29.44</v>
      </c>
    </row>
    <row r="282" spans="1:4" x14ac:dyDescent="0.45">
      <c r="A282" t="s">
        <v>36</v>
      </c>
      <c r="B282">
        <v>2007</v>
      </c>
      <c r="C282" t="s">
        <v>75</v>
      </c>
      <c r="D282">
        <v>1.02</v>
      </c>
    </row>
    <row r="283" spans="1:4" x14ac:dyDescent="0.45">
      <c r="A283" t="s">
        <v>56</v>
      </c>
      <c r="B283">
        <v>2007</v>
      </c>
      <c r="C283" t="s">
        <v>75</v>
      </c>
      <c r="D283">
        <v>0.92</v>
      </c>
    </row>
    <row r="284" spans="1:4" x14ac:dyDescent="0.45">
      <c r="A284" t="s">
        <v>57</v>
      </c>
      <c r="B284">
        <v>2007</v>
      </c>
      <c r="C284" t="s">
        <v>75</v>
      </c>
    </row>
    <row r="285" spans="1:4" x14ac:dyDescent="0.45">
      <c r="A285" t="s">
        <v>38</v>
      </c>
      <c r="B285">
        <v>2007</v>
      </c>
      <c r="C285" t="s">
        <v>75</v>
      </c>
    </row>
    <row r="286" spans="1:4" x14ac:dyDescent="0.45">
      <c r="A286" t="s">
        <v>32</v>
      </c>
      <c r="B286">
        <v>2007</v>
      </c>
      <c r="C286" t="s">
        <v>75</v>
      </c>
      <c r="D286">
        <v>0</v>
      </c>
    </row>
    <row r="287" spans="1:4" x14ac:dyDescent="0.45">
      <c r="A287" t="s">
        <v>58</v>
      </c>
      <c r="B287">
        <v>2007</v>
      </c>
      <c r="C287" t="s">
        <v>75</v>
      </c>
      <c r="D287">
        <v>0</v>
      </c>
    </row>
    <row r="288" spans="1:4" x14ac:dyDescent="0.45">
      <c r="A288" t="s">
        <v>91</v>
      </c>
      <c r="B288">
        <v>2007</v>
      </c>
      <c r="C288" t="s">
        <v>75</v>
      </c>
      <c r="D288">
        <v>0.31</v>
      </c>
    </row>
    <row r="289" spans="1:4" x14ac:dyDescent="0.45">
      <c r="A289" t="s">
        <v>32</v>
      </c>
      <c r="B289">
        <v>2008</v>
      </c>
      <c r="C289" t="s">
        <v>75</v>
      </c>
      <c r="D289">
        <v>0.09</v>
      </c>
    </row>
    <row r="290" spans="1:4" x14ac:dyDescent="0.45">
      <c r="A290" t="s">
        <v>34</v>
      </c>
      <c r="B290">
        <v>2008</v>
      </c>
      <c r="C290" t="s">
        <v>75</v>
      </c>
      <c r="D290">
        <v>29.84</v>
      </c>
    </row>
    <row r="291" spans="1:4" x14ac:dyDescent="0.45">
      <c r="A291" t="s">
        <v>36</v>
      </c>
      <c r="B291">
        <v>2008</v>
      </c>
      <c r="C291" t="s">
        <v>75</v>
      </c>
      <c r="D291">
        <v>1.02</v>
      </c>
    </row>
    <row r="292" spans="1:4" x14ac:dyDescent="0.45">
      <c r="A292" t="s">
        <v>56</v>
      </c>
      <c r="B292">
        <v>2008</v>
      </c>
      <c r="C292" t="s">
        <v>75</v>
      </c>
      <c r="D292">
        <v>0.93</v>
      </c>
    </row>
    <row r="293" spans="1:4" x14ac:dyDescent="0.45">
      <c r="A293" t="s">
        <v>57</v>
      </c>
      <c r="B293">
        <v>2008</v>
      </c>
      <c r="C293" t="s">
        <v>75</v>
      </c>
    </row>
    <row r="294" spans="1:4" x14ac:dyDescent="0.45">
      <c r="A294" t="s">
        <v>38</v>
      </c>
      <c r="B294">
        <v>2008</v>
      </c>
      <c r="C294" t="s">
        <v>75</v>
      </c>
    </row>
    <row r="295" spans="1:4" x14ac:dyDescent="0.45">
      <c r="A295" t="s">
        <v>32</v>
      </c>
      <c r="B295">
        <v>2008</v>
      </c>
      <c r="C295" t="s">
        <v>75</v>
      </c>
      <c r="D295">
        <v>0</v>
      </c>
    </row>
    <row r="296" spans="1:4" x14ac:dyDescent="0.45">
      <c r="A296" t="s">
        <v>58</v>
      </c>
      <c r="B296">
        <v>2008</v>
      </c>
      <c r="C296" t="s">
        <v>75</v>
      </c>
      <c r="D296">
        <v>0</v>
      </c>
    </row>
    <row r="297" spans="1:4" x14ac:dyDescent="0.45">
      <c r="A297" t="s">
        <v>91</v>
      </c>
      <c r="B297">
        <v>2008</v>
      </c>
      <c r="C297" t="s">
        <v>75</v>
      </c>
      <c r="D297">
        <v>0.53</v>
      </c>
    </row>
    <row r="298" spans="1:4" x14ac:dyDescent="0.45">
      <c r="A298" t="s">
        <v>32</v>
      </c>
      <c r="B298">
        <v>2009</v>
      </c>
      <c r="C298" t="s">
        <v>75</v>
      </c>
      <c r="D298">
        <v>0.11</v>
      </c>
    </row>
    <row r="299" spans="1:4" x14ac:dyDescent="0.45">
      <c r="A299" t="s">
        <v>34</v>
      </c>
      <c r="B299">
        <v>2009</v>
      </c>
      <c r="C299" t="s">
        <v>75</v>
      </c>
      <c r="D299">
        <v>30.06</v>
      </c>
    </row>
    <row r="300" spans="1:4" x14ac:dyDescent="0.45">
      <c r="A300" t="s">
        <v>36</v>
      </c>
      <c r="B300">
        <v>2009</v>
      </c>
      <c r="C300" t="s">
        <v>75</v>
      </c>
      <c r="D300">
        <v>1.02</v>
      </c>
    </row>
    <row r="301" spans="1:4" x14ac:dyDescent="0.45">
      <c r="A301" t="s">
        <v>56</v>
      </c>
      <c r="B301">
        <v>2009</v>
      </c>
      <c r="C301" t="s">
        <v>75</v>
      </c>
      <c r="D301">
        <v>0.93</v>
      </c>
    </row>
    <row r="302" spans="1:4" x14ac:dyDescent="0.45">
      <c r="A302" t="s">
        <v>57</v>
      </c>
      <c r="B302">
        <v>2009</v>
      </c>
      <c r="C302" t="s">
        <v>75</v>
      </c>
    </row>
    <row r="303" spans="1:4" x14ac:dyDescent="0.45">
      <c r="A303" t="s">
        <v>38</v>
      </c>
      <c r="B303">
        <v>2009</v>
      </c>
      <c r="C303" t="s">
        <v>75</v>
      </c>
    </row>
    <row r="304" spans="1:4" x14ac:dyDescent="0.45">
      <c r="A304" t="s">
        <v>32</v>
      </c>
      <c r="B304">
        <v>2009</v>
      </c>
      <c r="C304" t="s">
        <v>75</v>
      </c>
      <c r="D304">
        <v>0</v>
      </c>
    </row>
    <row r="305" spans="1:4" x14ac:dyDescent="0.45">
      <c r="A305" t="s">
        <v>58</v>
      </c>
      <c r="B305">
        <v>2009</v>
      </c>
      <c r="C305" t="s">
        <v>75</v>
      </c>
      <c r="D305">
        <v>0</v>
      </c>
    </row>
    <row r="306" spans="1:4" x14ac:dyDescent="0.45">
      <c r="A306" t="s">
        <v>91</v>
      </c>
      <c r="B306">
        <v>2009</v>
      </c>
      <c r="C306" t="s">
        <v>75</v>
      </c>
      <c r="D306">
        <v>0.71</v>
      </c>
    </row>
    <row r="307" spans="1:4" x14ac:dyDescent="0.45">
      <c r="A307" t="s">
        <v>32</v>
      </c>
      <c r="B307">
        <v>2010</v>
      </c>
      <c r="C307" t="s">
        <v>75</v>
      </c>
      <c r="D307">
        <v>0.13</v>
      </c>
    </row>
    <row r="308" spans="1:4" x14ac:dyDescent="0.45">
      <c r="A308" t="s">
        <v>34</v>
      </c>
      <c r="B308">
        <v>2010</v>
      </c>
      <c r="C308" t="s">
        <v>75</v>
      </c>
      <c r="D308">
        <v>29.92</v>
      </c>
    </row>
    <row r="309" spans="1:4" x14ac:dyDescent="0.45">
      <c r="A309" t="s">
        <v>36</v>
      </c>
      <c r="B309">
        <v>2010</v>
      </c>
      <c r="C309" t="s">
        <v>75</v>
      </c>
      <c r="D309">
        <v>1.02</v>
      </c>
    </row>
    <row r="310" spans="1:4" x14ac:dyDescent="0.45">
      <c r="A310" t="s">
        <v>56</v>
      </c>
      <c r="B310">
        <v>2010</v>
      </c>
      <c r="C310" t="s">
        <v>75</v>
      </c>
      <c r="D310">
        <v>0.94</v>
      </c>
    </row>
    <row r="311" spans="1:4" x14ac:dyDescent="0.45">
      <c r="A311" t="s">
        <v>57</v>
      </c>
      <c r="B311">
        <v>2010</v>
      </c>
      <c r="C311" t="s">
        <v>75</v>
      </c>
    </row>
    <row r="312" spans="1:4" x14ac:dyDescent="0.45">
      <c r="A312" t="s">
        <v>38</v>
      </c>
      <c r="B312">
        <v>2010</v>
      </c>
      <c r="C312" t="s">
        <v>75</v>
      </c>
    </row>
    <row r="313" spans="1:4" x14ac:dyDescent="0.45">
      <c r="A313" t="s">
        <v>32</v>
      </c>
      <c r="B313">
        <v>2010</v>
      </c>
      <c r="C313" t="s">
        <v>75</v>
      </c>
      <c r="D313">
        <v>0</v>
      </c>
    </row>
    <row r="314" spans="1:4" x14ac:dyDescent="0.45">
      <c r="A314" t="s">
        <v>58</v>
      </c>
      <c r="B314">
        <v>2010</v>
      </c>
      <c r="C314" t="s">
        <v>75</v>
      </c>
      <c r="D314">
        <v>0</v>
      </c>
    </row>
    <row r="315" spans="1:4" x14ac:dyDescent="0.45">
      <c r="A315" t="s">
        <v>91</v>
      </c>
      <c r="B315">
        <v>2010</v>
      </c>
      <c r="C315" t="s">
        <v>75</v>
      </c>
      <c r="D315">
        <v>1.1100000000000001</v>
      </c>
    </row>
    <row r="316" spans="1:4" x14ac:dyDescent="0.45">
      <c r="A316" t="s">
        <v>32</v>
      </c>
      <c r="B316">
        <v>2011</v>
      </c>
      <c r="C316" t="s">
        <v>75</v>
      </c>
      <c r="D316">
        <v>0.28000000000000003</v>
      </c>
    </row>
    <row r="317" spans="1:4" x14ac:dyDescent="0.45">
      <c r="A317" t="s">
        <v>34</v>
      </c>
      <c r="B317">
        <v>2011</v>
      </c>
      <c r="C317" t="s">
        <v>75</v>
      </c>
      <c r="D317">
        <v>30.56</v>
      </c>
    </row>
    <row r="318" spans="1:4" x14ac:dyDescent="0.45">
      <c r="A318" t="s">
        <v>36</v>
      </c>
      <c r="B318">
        <v>2011</v>
      </c>
      <c r="C318" t="s">
        <v>75</v>
      </c>
      <c r="D318">
        <v>1.02</v>
      </c>
    </row>
    <row r="319" spans="1:4" x14ac:dyDescent="0.45">
      <c r="A319" t="s">
        <v>56</v>
      </c>
      <c r="B319">
        <v>2011</v>
      </c>
      <c r="C319" t="s">
        <v>75</v>
      </c>
      <c r="D319">
        <v>0.94</v>
      </c>
    </row>
    <row r="320" spans="1:4" x14ac:dyDescent="0.45">
      <c r="A320" t="s">
        <v>57</v>
      </c>
      <c r="B320">
        <v>2011</v>
      </c>
      <c r="C320" t="s">
        <v>75</v>
      </c>
    </row>
    <row r="321" spans="1:4" x14ac:dyDescent="0.45">
      <c r="A321" t="s">
        <v>38</v>
      </c>
      <c r="B321">
        <v>2011</v>
      </c>
      <c r="C321" t="s">
        <v>75</v>
      </c>
    </row>
    <row r="322" spans="1:4" x14ac:dyDescent="0.45">
      <c r="A322" t="s">
        <v>32</v>
      </c>
      <c r="B322">
        <v>2011</v>
      </c>
      <c r="C322" t="s">
        <v>75</v>
      </c>
      <c r="D322">
        <v>0</v>
      </c>
    </row>
    <row r="323" spans="1:4" x14ac:dyDescent="0.45">
      <c r="A323" t="s">
        <v>58</v>
      </c>
      <c r="B323">
        <v>2011</v>
      </c>
      <c r="C323" t="s">
        <v>75</v>
      </c>
      <c r="D323">
        <v>0</v>
      </c>
    </row>
    <row r="324" spans="1:4" x14ac:dyDescent="0.45">
      <c r="A324" t="s">
        <v>91</v>
      </c>
      <c r="B324">
        <v>2011</v>
      </c>
      <c r="C324" t="s">
        <v>75</v>
      </c>
      <c r="D324">
        <v>1.8</v>
      </c>
    </row>
    <row r="325" spans="1:4" x14ac:dyDescent="0.45">
      <c r="A325" t="s">
        <v>32</v>
      </c>
      <c r="B325">
        <v>2012</v>
      </c>
      <c r="C325" t="s">
        <v>75</v>
      </c>
      <c r="D325">
        <v>0.57999999999999996</v>
      </c>
    </row>
    <row r="326" spans="1:4" x14ac:dyDescent="0.45">
      <c r="A326" t="s">
        <v>34</v>
      </c>
      <c r="B326">
        <v>2012</v>
      </c>
      <c r="C326" t="s">
        <v>75</v>
      </c>
      <c r="D326">
        <v>29.77</v>
      </c>
    </row>
    <row r="327" spans="1:4" x14ac:dyDescent="0.45">
      <c r="A327" t="s">
        <v>36</v>
      </c>
      <c r="B327">
        <v>2012</v>
      </c>
      <c r="C327" t="s">
        <v>75</v>
      </c>
      <c r="D327">
        <v>1.06</v>
      </c>
    </row>
    <row r="328" spans="1:4" x14ac:dyDescent="0.45">
      <c r="A328" t="s">
        <v>56</v>
      </c>
      <c r="B328">
        <v>2012</v>
      </c>
      <c r="C328" t="s">
        <v>75</v>
      </c>
      <c r="D328">
        <v>0.94</v>
      </c>
    </row>
    <row r="329" spans="1:4" x14ac:dyDescent="0.45">
      <c r="A329" t="s">
        <v>57</v>
      </c>
      <c r="B329">
        <v>2012</v>
      </c>
      <c r="C329" t="s">
        <v>75</v>
      </c>
    </row>
    <row r="330" spans="1:4" x14ac:dyDescent="0.45">
      <c r="A330" t="s">
        <v>38</v>
      </c>
      <c r="B330">
        <v>2012</v>
      </c>
      <c r="C330" t="s">
        <v>75</v>
      </c>
    </row>
    <row r="331" spans="1:4" x14ac:dyDescent="0.45">
      <c r="A331" t="s">
        <v>32</v>
      </c>
      <c r="B331">
        <v>2012</v>
      </c>
      <c r="C331" t="s">
        <v>75</v>
      </c>
      <c r="D331">
        <v>0</v>
      </c>
    </row>
    <row r="332" spans="1:4" x14ac:dyDescent="0.45">
      <c r="A332" t="s">
        <v>58</v>
      </c>
      <c r="B332">
        <v>2012</v>
      </c>
      <c r="C332" t="s">
        <v>75</v>
      </c>
      <c r="D332">
        <v>0</v>
      </c>
    </row>
    <row r="333" spans="1:4" x14ac:dyDescent="0.45">
      <c r="A333" t="s">
        <v>91</v>
      </c>
      <c r="B333">
        <v>2012</v>
      </c>
      <c r="C333" t="s">
        <v>75</v>
      </c>
      <c r="D333">
        <v>2.56</v>
      </c>
    </row>
    <row r="334" spans="1:4" x14ac:dyDescent="0.45">
      <c r="A334" t="s">
        <v>32</v>
      </c>
      <c r="B334">
        <v>2013</v>
      </c>
      <c r="C334" t="s">
        <v>75</v>
      </c>
      <c r="D334">
        <v>0.74</v>
      </c>
    </row>
    <row r="335" spans="1:4" x14ac:dyDescent="0.45">
      <c r="A335" t="s">
        <v>34</v>
      </c>
      <c r="B335">
        <v>2013</v>
      </c>
      <c r="C335" t="s">
        <v>75</v>
      </c>
      <c r="D335">
        <v>29.32</v>
      </c>
    </row>
    <row r="336" spans="1:4" x14ac:dyDescent="0.45">
      <c r="A336" t="s">
        <v>36</v>
      </c>
      <c r="B336">
        <v>2013</v>
      </c>
      <c r="C336" t="s">
        <v>75</v>
      </c>
      <c r="D336">
        <v>1.06</v>
      </c>
    </row>
    <row r="337" spans="1:4" x14ac:dyDescent="0.45">
      <c r="A337" t="s">
        <v>56</v>
      </c>
      <c r="B337">
        <v>2013</v>
      </c>
      <c r="C337" t="s">
        <v>75</v>
      </c>
      <c r="D337">
        <v>0.95</v>
      </c>
    </row>
    <row r="338" spans="1:4" x14ac:dyDescent="0.45">
      <c r="A338" t="s">
        <v>57</v>
      </c>
      <c r="B338">
        <v>2013</v>
      </c>
      <c r="C338" t="s">
        <v>75</v>
      </c>
    </row>
    <row r="339" spans="1:4" x14ac:dyDescent="0.45">
      <c r="A339" t="s">
        <v>38</v>
      </c>
      <c r="B339">
        <v>2013</v>
      </c>
      <c r="C339" t="s">
        <v>75</v>
      </c>
    </row>
    <row r="340" spans="1:4" x14ac:dyDescent="0.45">
      <c r="A340" t="s">
        <v>32</v>
      </c>
      <c r="B340">
        <v>2013</v>
      </c>
      <c r="C340" t="s">
        <v>75</v>
      </c>
      <c r="D340">
        <v>0</v>
      </c>
    </row>
    <row r="341" spans="1:4" x14ac:dyDescent="0.45">
      <c r="A341" t="s">
        <v>58</v>
      </c>
      <c r="B341">
        <v>2013</v>
      </c>
      <c r="C341" t="s">
        <v>75</v>
      </c>
      <c r="D341">
        <v>0</v>
      </c>
    </row>
    <row r="342" spans="1:4" x14ac:dyDescent="0.45">
      <c r="A342" t="s">
        <v>91</v>
      </c>
      <c r="B342">
        <v>2013</v>
      </c>
      <c r="C342" t="s">
        <v>75</v>
      </c>
      <c r="D342">
        <v>3.43</v>
      </c>
    </row>
    <row r="343" spans="1:4" x14ac:dyDescent="0.45">
      <c r="A343" t="s">
        <v>32</v>
      </c>
      <c r="B343">
        <v>2014</v>
      </c>
      <c r="C343" t="s">
        <v>75</v>
      </c>
      <c r="D343">
        <v>0.82</v>
      </c>
    </row>
    <row r="344" spans="1:4" x14ac:dyDescent="0.45">
      <c r="A344" t="s">
        <v>34</v>
      </c>
      <c r="B344">
        <v>2014</v>
      </c>
      <c r="C344" t="s">
        <v>75</v>
      </c>
      <c r="D344">
        <v>28.94</v>
      </c>
    </row>
    <row r="345" spans="1:4" x14ac:dyDescent="0.45">
      <c r="A345" t="s">
        <v>36</v>
      </c>
      <c r="B345">
        <v>2014</v>
      </c>
      <c r="C345" t="s">
        <v>75</v>
      </c>
      <c r="D345">
        <v>1.1100000000000001</v>
      </c>
    </row>
    <row r="346" spans="1:4" x14ac:dyDescent="0.45">
      <c r="A346" t="s">
        <v>56</v>
      </c>
      <c r="B346">
        <v>2014</v>
      </c>
      <c r="C346" t="s">
        <v>75</v>
      </c>
      <c r="D346">
        <v>0.96</v>
      </c>
    </row>
    <row r="347" spans="1:4" x14ac:dyDescent="0.45">
      <c r="A347" t="s">
        <v>57</v>
      </c>
      <c r="B347">
        <v>2014</v>
      </c>
      <c r="C347" t="s">
        <v>75</v>
      </c>
    </row>
    <row r="348" spans="1:4" x14ac:dyDescent="0.45">
      <c r="A348" t="s">
        <v>38</v>
      </c>
      <c r="B348">
        <v>2014</v>
      </c>
      <c r="C348" t="s">
        <v>75</v>
      </c>
    </row>
    <row r="349" spans="1:4" x14ac:dyDescent="0.45">
      <c r="A349" t="s">
        <v>32</v>
      </c>
      <c r="B349">
        <v>2014</v>
      </c>
      <c r="C349" t="s">
        <v>75</v>
      </c>
      <c r="D349">
        <v>0</v>
      </c>
    </row>
    <row r="350" spans="1:4" x14ac:dyDescent="0.45">
      <c r="A350" t="s">
        <v>58</v>
      </c>
      <c r="B350">
        <v>2014</v>
      </c>
      <c r="C350" t="s">
        <v>75</v>
      </c>
      <c r="D350">
        <v>0.03</v>
      </c>
    </row>
    <row r="351" spans="1:4" x14ac:dyDescent="0.45">
      <c r="A351" t="s">
        <v>91</v>
      </c>
      <c r="B351">
        <v>2014</v>
      </c>
      <c r="C351" t="s">
        <v>75</v>
      </c>
      <c r="D351">
        <v>3.84</v>
      </c>
    </row>
    <row r="352" spans="1:4" x14ac:dyDescent="0.45">
      <c r="A352" t="s">
        <v>32</v>
      </c>
      <c r="B352">
        <v>2015</v>
      </c>
      <c r="C352" t="s">
        <v>75</v>
      </c>
      <c r="D352">
        <v>0.95</v>
      </c>
    </row>
    <row r="353" spans="1:4" x14ac:dyDescent="0.45">
      <c r="A353" t="s">
        <v>34</v>
      </c>
      <c r="B353">
        <v>2015</v>
      </c>
      <c r="C353" t="s">
        <v>75</v>
      </c>
      <c r="D353">
        <v>28.7</v>
      </c>
    </row>
    <row r="354" spans="1:4" x14ac:dyDescent="0.45">
      <c r="A354" t="s">
        <v>36</v>
      </c>
      <c r="B354">
        <v>2015</v>
      </c>
      <c r="C354" t="s">
        <v>75</v>
      </c>
      <c r="D354">
        <v>1.18</v>
      </c>
    </row>
    <row r="355" spans="1:4" x14ac:dyDescent="0.45">
      <c r="A355" t="s">
        <v>56</v>
      </c>
      <c r="B355">
        <v>2015</v>
      </c>
      <c r="C355" t="s">
        <v>75</v>
      </c>
      <c r="D355">
        <v>0.96</v>
      </c>
    </row>
    <row r="356" spans="1:4" x14ac:dyDescent="0.45">
      <c r="A356" t="s">
        <v>57</v>
      </c>
      <c r="B356">
        <v>2015</v>
      </c>
      <c r="C356" t="s">
        <v>75</v>
      </c>
    </row>
    <row r="357" spans="1:4" x14ac:dyDescent="0.45">
      <c r="A357" t="s">
        <v>38</v>
      </c>
      <c r="B357">
        <v>2015</v>
      </c>
      <c r="C357" t="s">
        <v>75</v>
      </c>
    </row>
    <row r="358" spans="1:4" x14ac:dyDescent="0.45">
      <c r="A358" t="s">
        <v>32</v>
      </c>
      <c r="B358">
        <v>2015</v>
      </c>
      <c r="C358" t="s">
        <v>75</v>
      </c>
      <c r="D358">
        <v>0.01</v>
      </c>
    </row>
    <row r="359" spans="1:4" x14ac:dyDescent="0.45">
      <c r="A359" t="s">
        <v>58</v>
      </c>
      <c r="B359">
        <v>2015</v>
      </c>
      <c r="C359" t="s">
        <v>75</v>
      </c>
      <c r="D359">
        <v>0.11</v>
      </c>
    </row>
    <row r="360" spans="1:4" x14ac:dyDescent="0.45">
      <c r="A360" t="s">
        <v>91</v>
      </c>
      <c r="B360">
        <v>2015</v>
      </c>
      <c r="C360" t="s">
        <v>75</v>
      </c>
      <c r="D360">
        <v>4.8899999999999997</v>
      </c>
    </row>
    <row r="361" spans="1:4" x14ac:dyDescent="0.45">
      <c r="A361" t="s">
        <v>32</v>
      </c>
      <c r="B361">
        <v>2016</v>
      </c>
      <c r="C361" t="s">
        <v>75</v>
      </c>
      <c r="D361">
        <v>0.95</v>
      </c>
    </row>
    <row r="362" spans="1:4" x14ac:dyDescent="0.45">
      <c r="A362" t="s">
        <v>34</v>
      </c>
      <c r="B362">
        <v>2016</v>
      </c>
      <c r="C362" t="s">
        <v>75</v>
      </c>
      <c r="D362">
        <v>28.52</v>
      </c>
    </row>
    <row r="363" spans="1:4" x14ac:dyDescent="0.45">
      <c r="A363" t="s">
        <v>36</v>
      </c>
      <c r="B363">
        <v>2016</v>
      </c>
      <c r="C363" t="s">
        <v>75</v>
      </c>
      <c r="D363">
        <v>1.18</v>
      </c>
    </row>
    <row r="364" spans="1:4" x14ac:dyDescent="0.45">
      <c r="A364" t="s">
        <v>56</v>
      </c>
      <c r="B364">
        <v>2016</v>
      </c>
      <c r="C364" t="s">
        <v>75</v>
      </c>
      <c r="D364">
        <v>0.97</v>
      </c>
    </row>
    <row r="365" spans="1:4" x14ac:dyDescent="0.45">
      <c r="A365" t="s">
        <v>57</v>
      </c>
      <c r="B365">
        <v>2016</v>
      </c>
      <c r="C365" t="s">
        <v>75</v>
      </c>
    </row>
    <row r="366" spans="1:4" x14ac:dyDescent="0.45">
      <c r="A366" t="s">
        <v>38</v>
      </c>
      <c r="B366">
        <v>2016</v>
      </c>
      <c r="C366" t="s">
        <v>75</v>
      </c>
    </row>
    <row r="367" spans="1:4" x14ac:dyDescent="0.45">
      <c r="A367" t="s">
        <v>32</v>
      </c>
      <c r="B367">
        <v>2016</v>
      </c>
      <c r="C367" t="s">
        <v>75</v>
      </c>
      <c r="D367">
        <v>0.02</v>
      </c>
    </row>
    <row r="368" spans="1:4" x14ac:dyDescent="0.45">
      <c r="A368" t="s">
        <v>58</v>
      </c>
      <c r="B368">
        <v>2016</v>
      </c>
      <c r="C368" t="s">
        <v>75</v>
      </c>
      <c r="D368">
        <v>0.19</v>
      </c>
    </row>
    <row r="369" spans="1:4" x14ac:dyDescent="0.45">
      <c r="A369" t="s">
        <v>91</v>
      </c>
      <c r="B369">
        <v>2016</v>
      </c>
      <c r="C369" t="s">
        <v>75</v>
      </c>
      <c r="D369">
        <v>5.75</v>
      </c>
    </row>
    <row r="370" spans="1:4" x14ac:dyDescent="0.45">
      <c r="A370" t="s">
        <v>32</v>
      </c>
      <c r="B370">
        <v>2017</v>
      </c>
      <c r="C370" t="s">
        <v>75</v>
      </c>
      <c r="D370">
        <v>0.94</v>
      </c>
    </row>
    <row r="371" spans="1:4" x14ac:dyDescent="0.45">
      <c r="A371" t="s">
        <v>34</v>
      </c>
      <c r="B371">
        <v>2017</v>
      </c>
      <c r="C371" t="s">
        <v>75</v>
      </c>
      <c r="D371">
        <v>29</v>
      </c>
    </row>
    <row r="372" spans="1:4" x14ac:dyDescent="0.45">
      <c r="A372" t="s">
        <v>36</v>
      </c>
      <c r="B372">
        <v>2017</v>
      </c>
      <c r="C372" t="s">
        <v>75</v>
      </c>
      <c r="D372">
        <v>1.9</v>
      </c>
    </row>
    <row r="373" spans="1:4" x14ac:dyDescent="0.45">
      <c r="A373" t="s">
        <v>56</v>
      </c>
      <c r="B373">
        <v>2017</v>
      </c>
      <c r="C373" t="s">
        <v>75</v>
      </c>
      <c r="D373">
        <v>0.97</v>
      </c>
    </row>
    <row r="374" spans="1:4" x14ac:dyDescent="0.45">
      <c r="A374" t="s">
        <v>57</v>
      </c>
      <c r="B374">
        <v>2017</v>
      </c>
      <c r="C374" t="s">
        <v>75</v>
      </c>
    </row>
    <row r="375" spans="1:4" x14ac:dyDescent="0.45">
      <c r="A375" t="s">
        <v>38</v>
      </c>
      <c r="B375">
        <v>2017</v>
      </c>
      <c r="C375" t="s">
        <v>75</v>
      </c>
    </row>
    <row r="376" spans="1:4" x14ac:dyDescent="0.45">
      <c r="A376" t="s">
        <v>32</v>
      </c>
      <c r="B376">
        <v>2017</v>
      </c>
      <c r="C376" t="s">
        <v>75</v>
      </c>
      <c r="D376">
        <v>0.03</v>
      </c>
    </row>
    <row r="377" spans="1:4" x14ac:dyDescent="0.45">
      <c r="A377" t="s">
        <v>58</v>
      </c>
      <c r="B377">
        <v>2017</v>
      </c>
      <c r="C377" t="s">
        <v>75</v>
      </c>
      <c r="D377">
        <v>0.28999999999999998</v>
      </c>
    </row>
    <row r="378" spans="1:4" x14ac:dyDescent="0.45">
      <c r="A378" t="s">
        <v>91</v>
      </c>
      <c r="B378">
        <v>2017</v>
      </c>
      <c r="C378" t="s">
        <v>75</v>
      </c>
      <c r="D378">
        <v>5.76</v>
      </c>
    </row>
    <row r="379" spans="1:4" x14ac:dyDescent="0.45">
      <c r="A379" t="s">
        <v>32</v>
      </c>
      <c r="B379">
        <v>2018</v>
      </c>
      <c r="C379" t="s">
        <v>75</v>
      </c>
      <c r="D379">
        <v>0.96</v>
      </c>
    </row>
    <row r="380" spans="1:4" x14ac:dyDescent="0.45">
      <c r="A380" t="s">
        <v>34</v>
      </c>
      <c r="B380">
        <v>2018</v>
      </c>
      <c r="C380" t="s">
        <v>75</v>
      </c>
      <c r="D380">
        <v>29.07</v>
      </c>
    </row>
    <row r="381" spans="1:4" x14ac:dyDescent="0.45">
      <c r="A381" t="s">
        <v>36</v>
      </c>
      <c r="B381">
        <v>2018</v>
      </c>
      <c r="C381" t="s">
        <v>75</v>
      </c>
      <c r="D381">
        <v>2.5299999999999998</v>
      </c>
    </row>
    <row r="382" spans="1:4" x14ac:dyDescent="0.45">
      <c r="A382" t="s">
        <v>56</v>
      </c>
      <c r="B382">
        <v>2018</v>
      </c>
      <c r="C382" t="s">
        <v>75</v>
      </c>
      <c r="D382">
        <v>0.97</v>
      </c>
    </row>
    <row r="383" spans="1:4" x14ac:dyDescent="0.45">
      <c r="A383" t="s">
        <v>57</v>
      </c>
      <c r="B383">
        <v>2018</v>
      </c>
      <c r="C383" t="s">
        <v>75</v>
      </c>
    </row>
    <row r="384" spans="1:4" x14ac:dyDescent="0.45">
      <c r="A384" t="s">
        <v>38</v>
      </c>
      <c r="B384">
        <v>2018</v>
      </c>
      <c r="C384" t="s">
        <v>75</v>
      </c>
    </row>
    <row r="385" spans="1:4" x14ac:dyDescent="0.45">
      <c r="A385" t="s">
        <v>32</v>
      </c>
      <c r="B385">
        <v>2018</v>
      </c>
      <c r="C385" t="s">
        <v>75</v>
      </c>
      <c r="D385">
        <v>0.04</v>
      </c>
    </row>
    <row r="386" spans="1:4" x14ac:dyDescent="0.45">
      <c r="A386" t="s">
        <v>58</v>
      </c>
      <c r="B386">
        <v>2018</v>
      </c>
      <c r="C386" t="s">
        <v>75</v>
      </c>
      <c r="D386">
        <v>0.56000000000000005</v>
      </c>
    </row>
    <row r="387" spans="1:4" x14ac:dyDescent="0.45">
      <c r="A387" t="s">
        <v>91</v>
      </c>
      <c r="B387">
        <v>2018</v>
      </c>
      <c r="C387" t="s">
        <v>75</v>
      </c>
      <c r="D387">
        <v>5.77</v>
      </c>
    </row>
    <row r="388" spans="1:4" x14ac:dyDescent="0.45">
      <c r="A388" t="s">
        <v>32</v>
      </c>
      <c r="B388">
        <v>2019</v>
      </c>
      <c r="C388" t="s">
        <v>75</v>
      </c>
      <c r="D388">
        <v>0.97</v>
      </c>
    </row>
    <row r="389" spans="1:4" x14ac:dyDescent="0.45">
      <c r="A389" t="s">
        <v>34</v>
      </c>
      <c r="B389">
        <v>2019</v>
      </c>
      <c r="C389" t="s">
        <v>75</v>
      </c>
      <c r="D389">
        <v>30.16</v>
      </c>
    </row>
    <row r="390" spans="1:4" x14ac:dyDescent="0.45">
      <c r="A390" t="s">
        <v>36</v>
      </c>
      <c r="B390">
        <v>2019</v>
      </c>
      <c r="C390" t="s">
        <v>75</v>
      </c>
      <c r="D390">
        <v>2.5299999999999998</v>
      </c>
    </row>
    <row r="391" spans="1:4" x14ac:dyDescent="0.45">
      <c r="A391" t="s">
        <v>56</v>
      </c>
      <c r="B391">
        <v>2019</v>
      </c>
      <c r="C391" t="s">
        <v>75</v>
      </c>
      <c r="D391">
        <v>0.97</v>
      </c>
    </row>
    <row r="392" spans="1:4" x14ac:dyDescent="0.45">
      <c r="A392" t="s">
        <v>57</v>
      </c>
      <c r="B392">
        <v>2019</v>
      </c>
      <c r="C392" t="s">
        <v>75</v>
      </c>
    </row>
    <row r="393" spans="1:4" x14ac:dyDescent="0.45">
      <c r="A393" t="s">
        <v>38</v>
      </c>
      <c r="B393">
        <v>2019</v>
      </c>
      <c r="C393" t="s">
        <v>75</v>
      </c>
    </row>
    <row r="394" spans="1:4" x14ac:dyDescent="0.45">
      <c r="A394" t="s">
        <v>32</v>
      </c>
      <c r="B394">
        <v>2019</v>
      </c>
      <c r="C394" t="s">
        <v>75</v>
      </c>
      <c r="D394">
        <v>0.05</v>
      </c>
    </row>
    <row r="395" spans="1:4" x14ac:dyDescent="0.45">
      <c r="A395" t="s">
        <v>58</v>
      </c>
      <c r="B395">
        <v>2019</v>
      </c>
      <c r="C395" t="s">
        <v>75</v>
      </c>
      <c r="D395">
        <v>1.54</v>
      </c>
    </row>
    <row r="396" spans="1:4" x14ac:dyDescent="0.45">
      <c r="A396" t="s">
        <v>91</v>
      </c>
      <c r="B396">
        <v>2019</v>
      </c>
      <c r="C396" t="s">
        <v>75</v>
      </c>
      <c r="D396">
        <v>5.84</v>
      </c>
    </row>
    <row r="397" spans="1:4" x14ac:dyDescent="0.45">
      <c r="A397" t="s">
        <v>32</v>
      </c>
      <c r="B397">
        <v>2020</v>
      </c>
      <c r="C397" t="s">
        <v>75</v>
      </c>
      <c r="D397">
        <v>1</v>
      </c>
    </row>
    <row r="398" spans="1:4" x14ac:dyDescent="0.45">
      <c r="A398" t="s">
        <v>34</v>
      </c>
      <c r="B398">
        <v>2020</v>
      </c>
      <c r="C398" t="s">
        <v>75</v>
      </c>
      <c r="D398">
        <v>29.2</v>
      </c>
    </row>
    <row r="399" spans="1:4" x14ac:dyDescent="0.45">
      <c r="A399" t="s">
        <v>36</v>
      </c>
      <c r="B399">
        <v>2020</v>
      </c>
      <c r="C399" t="s">
        <v>75</v>
      </c>
      <c r="D399">
        <v>2.98</v>
      </c>
    </row>
    <row r="400" spans="1:4" x14ac:dyDescent="0.45">
      <c r="A400" t="s">
        <v>56</v>
      </c>
      <c r="B400">
        <v>2020</v>
      </c>
      <c r="C400" t="s">
        <v>75</v>
      </c>
      <c r="D400">
        <v>0.98</v>
      </c>
    </row>
    <row r="401" spans="1:4" x14ac:dyDescent="0.45">
      <c r="A401" t="s">
        <v>57</v>
      </c>
      <c r="B401">
        <v>2020</v>
      </c>
      <c r="C401" t="s">
        <v>75</v>
      </c>
    </row>
    <row r="402" spans="1:4" x14ac:dyDescent="0.45">
      <c r="A402" t="s">
        <v>38</v>
      </c>
      <c r="B402">
        <v>2020</v>
      </c>
      <c r="C402" t="s">
        <v>75</v>
      </c>
    </row>
    <row r="403" spans="1:4" x14ac:dyDescent="0.45">
      <c r="A403" t="s">
        <v>32</v>
      </c>
      <c r="B403">
        <v>2020</v>
      </c>
      <c r="C403" t="s">
        <v>75</v>
      </c>
      <c r="D403">
        <v>0.05</v>
      </c>
    </row>
    <row r="404" spans="1:4" x14ac:dyDescent="0.45">
      <c r="A404" t="s">
        <v>58</v>
      </c>
      <c r="B404">
        <v>2020</v>
      </c>
      <c r="C404" t="s">
        <v>75</v>
      </c>
      <c r="D404">
        <v>3.95</v>
      </c>
    </row>
    <row r="405" spans="1:4" x14ac:dyDescent="0.45">
      <c r="A405" t="s">
        <v>91</v>
      </c>
      <c r="B405">
        <v>2020</v>
      </c>
      <c r="C405" t="s">
        <v>75</v>
      </c>
      <c r="D405">
        <v>6.3</v>
      </c>
    </row>
    <row r="406" spans="1:4" x14ac:dyDescent="0.45">
      <c r="A406" t="s">
        <v>32</v>
      </c>
      <c r="B406">
        <v>2021</v>
      </c>
      <c r="C406" t="s">
        <v>75</v>
      </c>
      <c r="D406">
        <v>1.05</v>
      </c>
    </row>
    <row r="407" spans="1:4" x14ac:dyDescent="0.45">
      <c r="A407" t="s">
        <v>34</v>
      </c>
      <c r="B407">
        <v>2021</v>
      </c>
      <c r="C407" t="s">
        <v>75</v>
      </c>
      <c r="D407">
        <v>28.96</v>
      </c>
    </row>
    <row r="408" spans="1:4" x14ac:dyDescent="0.45">
      <c r="A408" t="s">
        <v>36</v>
      </c>
      <c r="B408">
        <v>2021</v>
      </c>
      <c r="C408" t="s">
        <v>75</v>
      </c>
      <c r="D408">
        <v>3.47</v>
      </c>
    </row>
    <row r="409" spans="1:4" x14ac:dyDescent="0.45">
      <c r="A409" t="s">
        <v>56</v>
      </c>
      <c r="B409">
        <v>2021</v>
      </c>
      <c r="C409" t="s">
        <v>75</v>
      </c>
      <c r="D409">
        <v>0.97</v>
      </c>
    </row>
    <row r="410" spans="1:4" x14ac:dyDescent="0.45">
      <c r="A410" t="s">
        <v>57</v>
      </c>
      <c r="B410">
        <v>2021</v>
      </c>
      <c r="C410" t="s">
        <v>75</v>
      </c>
    </row>
    <row r="411" spans="1:4" x14ac:dyDescent="0.45">
      <c r="A411" t="s">
        <v>38</v>
      </c>
      <c r="B411">
        <v>2021</v>
      </c>
      <c r="C411" t="s">
        <v>75</v>
      </c>
    </row>
    <row r="412" spans="1:4" x14ac:dyDescent="0.45">
      <c r="A412" t="s">
        <v>32</v>
      </c>
      <c r="B412">
        <v>2021</v>
      </c>
      <c r="C412" t="s">
        <v>75</v>
      </c>
      <c r="D412">
        <v>0.05</v>
      </c>
    </row>
    <row r="413" spans="1:4" x14ac:dyDescent="0.45">
      <c r="A413" t="s">
        <v>58</v>
      </c>
      <c r="B413">
        <v>2021</v>
      </c>
      <c r="C413" t="s">
        <v>75</v>
      </c>
      <c r="D413">
        <v>7.42</v>
      </c>
    </row>
    <row r="414" spans="1:4" x14ac:dyDescent="0.45">
      <c r="A414" t="s">
        <v>91</v>
      </c>
      <c r="B414">
        <v>2021</v>
      </c>
      <c r="C414" t="s">
        <v>75</v>
      </c>
      <c r="D414">
        <v>6.97</v>
      </c>
    </row>
    <row r="415" spans="1:4" x14ac:dyDescent="0.45">
      <c r="A415" t="s">
        <v>32</v>
      </c>
      <c r="B415">
        <v>2022</v>
      </c>
      <c r="C415" t="s">
        <v>75</v>
      </c>
      <c r="D415">
        <v>1.17</v>
      </c>
    </row>
    <row r="416" spans="1:4" x14ac:dyDescent="0.45">
      <c r="A416" t="s">
        <v>34</v>
      </c>
      <c r="B416">
        <v>2022</v>
      </c>
      <c r="C416" t="s">
        <v>75</v>
      </c>
      <c r="D416">
        <v>28.96</v>
      </c>
    </row>
    <row r="417" spans="1:4" x14ac:dyDescent="0.45">
      <c r="A417" t="s">
        <v>36</v>
      </c>
      <c r="B417">
        <v>2022</v>
      </c>
      <c r="C417" t="s">
        <v>75</v>
      </c>
      <c r="D417">
        <v>3.49</v>
      </c>
    </row>
    <row r="418" spans="1:4" x14ac:dyDescent="0.45">
      <c r="A418" t="s">
        <v>56</v>
      </c>
      <c r="B418">
        <v>2022</v>
      </c>
      <c r="C418" t="s">
        <v>75</v>
      </c>
      <c r="D418">
        <v>0.98</v>
      </c>
    </row>
    <row r="419" spans="1:4" x14ac:dyDescent="0.45">
      <c r="A419" t="s">
        <v>57</v>
      </c>
      <c r="B419">
        <v>2022</v>
      </c>
      <c r="C419" t="s">
        <v>75</v>
      </c>
    </row>
    <row r="420" spans="1:4" x14ac:dyDescent="0.45">
      <c r="A420" t="s">
        <v>38</v>
      </c>
      <c r="B420">
        <v>2022</v>
      </c>
      <c r="C420" t="s">
        <v>75</v>
      </c>
    </row>
    <row r="421" spans="1:4" x14ac:dyDescent="0.45">
      <c r="A421" t="s">
        <v>32</v>
      </c>
      <c r="B421">
        <v>2022</v>
      </c>
      <c r="C421" t="s">
        <v>75</v>
      </c>
      <c r="D421">
        <v>0.05</v>
      </c>
    </row>
    <row r="422" spans="1:4" x14ac:dyDescent="0.45">
      <c r="A422" t="s">
        <v>58</v>
      </c>
      <c r="B422">
        <v>2022</v>
      </c>
      <c r="C422" t="s">
        <v>75</v>
      </c>
      <c r="D422">
        <v>12.17</v>
      </c>
    </row>
    <row r="423" spans="1:4" x14ac:dyDescent="0.45">
      <c r="A423" t="s">
        <v>91</v>
      </c>
      <c r="B423">
        <v>2022</v>
      </c>
      <c r="C423" t="s">
        <v>75</v>
      </c>
      <c r="D423">
        <v>8.15</v>
      </c>
    </row>
    <row r="424" spans="1:4" x14ac:dyDescent="0.45">
      <c r="A424" t="s">
        <v>32</v>
      </c>
      <c r="B424">
        <v>2023</v>
      </c>
      <c r="C424" t="s">
        <v>75</v>
      </c>
      <c r="D424">
        <v>1.19</v>
      </c>
    </row>
    <row r="425" spans="1:4" x14ac:dyDescent="0.45">
      <c r="A425" t="s">
        <v>34</v>
      </c>
      <c r="B425">
        <v>2023</v>
      </c>
      <c r="C425" t="s">
        <v>75</v>
      </c>
      <c r="D425">
        <v>28.51</v>
      </c>
    </row>
    <row r="426" spans="1:4" x14ac:dyDescent="0.45">
      <c r="A426" t="s">
        <v>36</v>
      </c>
      <c r="B426">
        <v>2023</v>
      </c>
      <c r="C426" t="s">
        <v>75</v>
      </c>
      <c r="D426">
        <v>3.49</v>
      </c>
    </row>
    <row r="427" spans="1:4" x14ac:dyDescent="0.45">
      <c r="A427" t="s">
        <v>56</v>
      </c>
      <c r="B427">
        <v>2023</v>
      </c>
      <c r="C427" t="s">
        <v>75</v>
      </c>
      <c r="D427">
        <v>0.98</v>
      </c>
    </row>
    <row r="428" spans="1:4" x14ac:dyDescent="0.45">
      <c r="A428" t="s">
        <v>57</v>
      </c>
      <c r="B428">
        <v>2023</v>
      </c>
      <c r="C428" t="s">
        <v>75</v>
      </c>
    </row>
    <row r="429" spans="1:4" x14ac:dyDescent="0.45">
      <c r="A429" t="s">
        <v>38</v>
      </c>
      <c r="B429">
        <v>2023</v>
      </c>
      <c r="C429" t="s">
        <v>75</v>
      </c>
    </row>
    <row r="430" spans="1:4" x14ac:dyDescent="0.45">
      <c r="A430" t="s">
        <v>58</v>
      </c>
      <c r="B430">
        <v>2023</v>
      </c>
      <c r="C430" t="s">
        <v>75</v>
      </c>
      <c r="D430">
        <v>15.81</v>
      </c>
    </row>
    <row r="431" spans="1:4" x14ac:dyDescent="0.45">
      <c r="A431" t="s">
        <v>91</v>
      </c>
      <c r="B431">
        <v>2023</v>
      </c>
      <c r="C431" t="s">
        <v>75</v>
      </c>
      <c r="D431">
        <v>9.31</v>
      </c>
    </row>
    <row r="432" spans="1:4" x14ac:dyDescent="0.45">
      <c r="A432" t="s">
        <v>32</v>
      </c>
      <c r="B432">
        <v>2000</v>
      </c>
      <c r="C432" t="s">
        <v>76</v>
      </c>
      <c r="D432">
        <v>0.05</v>
      </c>
    </row>
    <row r="433" spans="1:4" x14ac:dyDescent="0.45">
      <c r="A433" t="s">
        <v>34</v>
      </c>
      <c r="B433">
        <v>2000</v>
      </c>
      <c r="C433" t="s">
        <v>76</v>
      </c>
      <c r="D433">
        <v>133.55000000000001</v>
      </c>
    </row>
    <row r="434" spans="1:4" x14ac:dyDescent="0.45">
      <c r="A434" t="s">
        <v>36</v>
      </c>
      <c r="B434">
        <v>2000</v>
      </c>
      <c r="C434" t="s">
        <v>76</v>
      </c>
      <c r="D434">
        <v>0.38</v>
      </c>
    </row>
    <row r="435" spans="1:4" x14ac:dyDescent="0.45">
      <c r="A435" t="s">
        <v>56</v>
      </c>
      <c r="B435">
        <v>2000</v>
      </c>
      <c r="C435" t="s">
        <v>76</v>
      </c>
      <c r="D435">
        <v>0.05</v>
      </c>
    </row>
    <row r="436" spans="1:4" x14ac:dyDescent="0.45">
      <c r="A436" t="s">
        <v>57</v>
      </c>
      <c r="B436">
        <v>2000</v>
      </c>
      <c r="C436" t="s">
        <v>76</v>
      </c>
      <c r="D436">
        <v>0</v>
      </c>
    </row>
    <row r="437" spans="1:4" x14ac:dyDescent="0.45">
      <c r="A437" t="s">
        <v>38</v>
      </c>
      <c r="B437">
        <v>2000</v>
      </c>
      <c r="C437" t="s">
        <v>76</v>
      </c>
      <c r="D437">
        <v>2.65</v>
      </c>
    </row>
    <row r="438" spans="1:4" x14ac:dyDescent="0.45">
      <c r="A438" t="s">
        <v>32</v>
      </c>
      <c r="B438">
        <v>2000</v>
      </c>
      <c r="C438" t="s">
        <v>76</v>
      </c>
      <c r="D438">
        <v>0</v>
      </c>
    </row>
    <row r="439" spans="1:4" x14ac:dyDescent="0.45">
      <c r="A439" t="s">
        <v>58</v>
      </c>
      <c r="B439">
        <v>2000</v>
      </c>
      <c r="C439" t="s">
        <v>76</v>
      </c>
      <c r="D439">
        <v>0</v>
      </c>
    </row>
    <row r="440" spans="1:4" x14ac:dyDescent="0.45">
      <c r="A440" t="s">
        <v>91</v>
      </c>
      <c r="B440">
        <v>2000</v>
      </c>
      <c r="C440" t="s">
        <v>76</v>
      </c>
      <c r="D440">
        <v>0</v>
      </c>
    </row>
    <row r="441" spans="1:4" x14ac:dyDescent="0.45">
      <c r="A441" t="s">
        <v>32</v>
      </c>
      <c r="B441">
        <v>2001</v>
      </c>
      <c r="C441" t="s">
        <v>76</v>
      </c>
      <c r="D441">
        <v>0.1</v>
      </c>
    </row>
    <row r="442" spans="1:4" x14ac:dyDescent="0.45">
      <c r="A442" t="s">
        <v>34</v>
      </c>
      <c r="B442">
        <v>2001</v>
      </c>
      <c r="C442" t="s">
        <v>76</v>
      </c>
      <c r="D442">
        <v>132.72999999999999</v>
      </c>
    </row>
    <row r="443" spans="1:4" x14ac:dyDescent="0.45">
      <c r="A443" t="s">
        <v>36</v>
      </c>
      <c r="B443">
        <v>2001</v>
      </c>
      <c r="C443" t="s">
        <v>76</v>
      </c>
      <c r="D443">
        <v>0.55000000000000004</v>
      </c>
    </row>
    <row r="444" spans="1:4" x14ac:dyDescent="0.45">
      <c r="A444" t="s">
        <v>56</v>
      </c>
      <c r="B444">
        <v>2001</v>
      </c>
      <c r="C444" t="s">
        <v>76</v>
      </c>
      <c r="D444">
        <v>0.06</v>
      </c>
    </row>
    <row r="445" spans="1:4" x14ac:dyDescent="0.45">
      <c r="A445" t="s">
        <v>57</v>
      </c>
      <c r="B445">
        <v>2001</v>
      </c>
      <c r="C445" t="s">
        <v>76</v>
      </c>
      <c r="D445">
        <v>0</v>
      </c>
    </row>
    <row r="446" spans="1:4" x14ac:dyDescent="0.45">
      <c r="A446" t="s">
        <v>38</v>
      </c>
      <c r="B446">
        <v>2001</v>
      </c>
      <c r="C446" t="s">
        <v>76</v>
      </c>
      <c r="D446">
        <v>3.03</v>
      </c>
    </row>
    <row r="447" spans="1:4" x14ac:dyDescent="0.45">
      <c r="A447" t="s">
        <v>32</v>
      </c>
      <c r="B447">
        <v>2001</v>
      </c>
      <c r="C447" t="s">
        <v>76</v>
      </c>
      <c r="D447">
        <v>0</v>
      </c>
    </row>
    <row r="448" spans="1:4" x14ac:dyDescent="0.45">
      <c r="A448" t="s">
        <v>58</v>
      </c>
      <c r="B448">
        <v>2001</v>
      </c>
      <c r="C448" t="s">
        <v>76</v>
      </c>
      <c r="D448">
        <v>0</v>
      </c>
    </row>
    <row r="449" spans="1:4" x14ac:dyDescent="0.45">
      <c r="A449" t="s">
        <v>91</v>
      </c>
      <c r="B449">
        <v>2001</v>
      </c>
      <c r="C449" t="s">
        <v>76</v>
      </c>
      <c r="D449">
        <v>0</v>
      </c>
    </row>
    <row r="450" spans="1:4" x14ac:dyDescent="0.45">
      <c r="A450" t="s">
        <v>32</v>
      </c>
      <c r="B450">
        <v>2002</v>
      </c>
      <c r="C450" t="s">
        <v>76</v>
      </c>
      <c r="D450">
        <v>0.09</v>
      </c>
    </row>
    <row r="451" spans="1:4" x14ac:dyDescent="0.45">
      <c r="A451" t="s">
        <v>34</v>
      </c>
      <c r="B451">
        <v>2002</v>
      </c>
      <c r="C451" t="s">
        <v>76</v>
      </c>
      <c r="D451">
        <v>130.69</v>
      </c>
    </row>
    <row r="452" spans="1:4" x14ac:dyDescent="0.45">
      <c r="A452" t="s">
        <v>36</v>
      </c>
      <c r="B452">
        <v>2002</v>
      </c>
      <c r="C452" t="s">
        <v>76</v>
      </c>
      <c r="D452">
        <v>0.9</v>
      </c>
    </row>
    <row r="453" spans="1:4" x14ac:dyDescent="0.45">
      <c r="A453" t="s">
        <v>56</v>
      </c>
      <c r="B453">
        <v>2002</v>
      </c>
      <c r="C453" t="s">
        <v>76</v>
      </c>
      <c r="D453">
        <v>0.05</v>
      </c>
    </row>
    <row r="454" spans="1:4" x14ac:dyDescent="0.45">
      <c r="A454" t="s">
        <v>57</v>
      </c>
      <c r="B454">
        <v>2002</v>
      </c>
      <c r="C454" t="s">
        <v>76</v>
      </c>
      <c r="D454">
        <v>0</v>
      </c>
    </row>
    <row r="455" spans="1:4" x14ac:dyDescent="0.45">
      <c r="A455" t="s">
        <v>38</v>
      </c>
      <c r="B455">
        <v>2002</v>
      </c>
      <c r="C455" t="s">
        <v>76</v>
      </c>
      <c r="D455">
        <v>3.01</v>
      </c>
    </row>
    <row r="456" spans="1:4" x14ac:dyDescent="0.45">
      <c r="A456" t="s">
        <v>32</v>
      </c>
      <c r="B456">
        <v>2002</v>
      </c>
      <c r="C456" t="s">
        <v>76</v>
      </c>
      <c r="D456">
        <v>0</v>
      </c>
    </row>
    <row r="457" spans="1:4" x14ac:dyDescent="0.45">
      <c r="A457" t="s">
        <v>58</v>
      </c>
      <c r="B457">
        <v>2002</v>
      </c>
      <c r="C457" t="s">
        <v>76</v>
      </c>
      <c r="D457">
        <v>0</v>
      </c>
    </row>
    <row r="458" spans="1:4" x14ac:dyDescent="0.45">
      <c r="A458" t="s">
        <v>91</v>
      </c>
      <c r="B458">
        <v>2002</v>
      </c>
      <c r="C458" t="s">
        <v>76</v>
      </c>
      <c r="D458">
        <v>0</v>
      </c>
    </row>
    <row r="459" spans="1:4" x14ac:dyDescent="0.45">
      <c r="A459" t="s">
        <v>32</v>
      </c>
      <c r="B459">
        <v>2003</v>
      </c>
      <c r="C459" t="s">
        <v>76</v>
      </c>
      <c r="D459">
        <v>0.1</v>
      </c>
    </row>
    <row r="460" spans="1:4" x14ac:dyDescent="0.45">
      <c r="A460" t="s">
        <v>34</v>
      </c>
      <c r="B460">
        <v>2003</v>
      </c>
      <c r="C460" t="s">
        <v>76</v>
      </c>
      <c r="D460">
        <v>138.27000000000001</v>
      </c>
    </row>
    <row r="461" spans="1:4" x14ac:dyDescent="0.45">
      <c r="A461" t="s">
        <v>36</v>
      </c>
      <c r="B461">
        <v>2003</v>
      </c>
      <c r="C461" t="s">
        <v>76</v>
      </c>
      <c r="D461">
        <v>0.99</v>
      </c>
    </row>
    <row r="462" spans="1:4" x14ac:dyDescent="0.45">
      <c r="A462" t="s">
        <v>56</v>
      </c>
      <c r="B462">
        <v>2003</v>
      </c>
      <c r="C462" t="s">
        <v>76</v>
      </c>
      <c r="D462">
        <v>0.04</v>
      </c>
    </row>
    <row r="463" spans="1:4" x14ac:dyDescent="0.45">
      <c r="A463" t="s">
        <v>57</v>
      </c>
      <c r="B463">
        <v>2003</v>
      </c>
      <c r="C463" t="s">
        <v>76</v>
      </c>
      <c r="D463">
        <v>0</v>
      </c>
    </row>
    <row r="464" spans="1:4" x14ac:dyDescent="0.45">
      <c r="A464" t="s">
        <v>38</v>
      </c>
      <c r="B464">
        <v>2003</v>
      </c>
      <c r="C464" t="s">
        <v>76</v>
      </c>
      <c r="D464">
        <v>3.08</v>
      </c>
    </row>
    <row r="465" spans="1:4" x14ac:dyDescent="0.45">
      <c r="A465" t="s">
        <v>32</v>
      </c>
      <c r="B465">
        <v>2003</v>
      </c>
      <c r="C465" t="s">
        <v>76</v>
      </c>
      <c r="D465">
        <v>0</v>
      </c>
    </row>
    <row r="466" spans="1:4" x14ac:dyDescent="0.45">
      <c r="A466" t="s">
        <v>58</v>
      </c>
      <c r="B466">
        <v>2003</v>
      </c>
      <c r="C466" t="s">
        <v>76</v>
      </c>
      <c r="D466">
        <v>0</v>
      </c>
    </row>
    <row r="467" spans="1:4" x14ac:dyDescent="0.45">
      <c r="A467" t="s">
        <v>91</v>
      </c>
      <c r="B467">
        <v>2003</v>
      </c>
      <c r="C467" t="s">
        <v>76</v>
      </c>
      <c r="D467">
        <v>0</v>
      </c>
    </row>
    <row r="468" spans="1:4" x14ac:dyDescent="0.45">
      <c r="A468" t="s">
        <v>32</v>
      </c>
      <c r="B468">
        <v>2004</v>
      </c>
      <c r="C468" t="s">
        <v>76</v>
      </c>
      <c r="D468">
        <v>0.21</v>
      </c>
    </row>
    <row r="469" spans="1:4" x14ac:dyDescent="0.45">
      <c r="A469" t="s">
        <v>34</v>
      </c>
      <c r="B469">
        <v>2004</v>
      </c>
      <c r="C469" t="s">
        <v>76</v>
      </c>
      <c r="D469">
        <v>138.72</v>
      </c>
    </row>
    <row r="470" spans="1:4" x14ac:dyDescent="0.45">
      <c r="A470" t="s">
        <v>36</v>
      </c>
      <c r="B470">
        <v>2004</v>
      </c>
      <c r="C470" t="s">
        <v>76</v>
      </c>
      <c r="D470">
        <v>1.31</v>
      </c>
    </row>
    <row r="471" spans="1:4" x14ac:dyDescent="0.45">
      <c r="A471" t="s">
        <v>56</v>
      </c>
      <c r="B471">
        <v>2004</v>
      </c>
      <c r="C471" t="s">
        <v>76</v>
      </c>
      <c r="D471">
        <v>0.05</v>
      </c>
    </row>
    <row r="472" spans="1:4" x14ac:dyDescent="0.45">
      <c r="A472" t="s">
        <v>57</v>
      </c>
      <c r="B472">
        <v>2004</v>
      </c>
      <c r="C472" t="s">
        <v>76</v>
      </c>
      <c r="D472">
        <v>0</v>
      </c>
    </row>
    <row r="473" spans="1:4" x14ac:dyDescent="0.45">
      <c r="A473" t="s">
        <v>38</v>
      </c>
      <c r="B473">
        <v>2004</v>
      </c>
      <c r="C473" t="s">
        <v>76</v>
      </c>
      <c r="D473">
        <v>3.29</v>
      </c>
    </row>
    <row r="474" spans="1:4" x14ac:dyDescent="0.45">
      <c r="A474" t="s">
        <v>32</v>
      </c>
      <c r="B474">
        <v>2004</v>
      </c>
      <c r="C474" t="s">
        <v>76</v>
      </c>
      <c r="D474">
        <v>0</v>
      </c>
    </row>
    <row r="475" spans="1:4" x14ac:dyDescent="0.45">
      <c r="A475" t="s">
        <v>58</v>
      </c>
      <c r="B475">
        <v>2004</v>
      </c>
      <c r="C475" t="s">
        <v>76</v>
      </c>
      <c r="D475">
        <v>0</v>
      </c>
    </row>
    <row r="476" spans="1:4" x14ac:dyDescent="0.45">
      <c r="A476" t="s">
        <v>91</v>
      </c>
      <c r="B476">
        <v>2004</v>
      </c>
      <c r="C476" t="s">
        <v>76</v>
      </c>
      <c r="D476">
        <v>0</v>
      </c>
    </row>
    <row r="477" spans="1:4" x14ac:dyDescent="0.45">
      <c r="A477" t="s">
        <v>32</v>
      </c>
      <c r="B477">
        <v>2005</v>
      </c>
      <c r="C477" t="s">
        <v>76</v>
      </c>
      <c r="D477">
        <v>0.33</v>
      </c>
    </row>
    <row r="478" spans="1:4" x14ac:dyDescent="0.45">
      <c r="A478" t="s">
        <v>34</v>
      </c>
      <c r="B478">
        <v>2005</v>
      </c>
      <c r="C478" t="s">
        <v>76</v>
      </c>
      <c r="D478">
        <v>139.38</v>
      </c>
    </row>
    <row r="479" spans="1:4" x14ac:dyDescent="0.45">
      <c r="A479" t="s">
        <v>36</v>
      </c>
      <c r="B479">
        <v>2005</v>
      </c>
      <c r="C479" t="s">
        <v>76</v>
      </c>
      <c r="D479">
        <v>2.11</v>
      </c>
    </row>
    <row r="480" spans="1:4" x14ac:dyDescent="0.45">
      <c r="A480" t="s">
        <v>56</v>
      </c>
      <c r="B480">
        <v>2005</v>
      </c>
      <c r="C480" t="s">
        <v>76</v>
      </c>
      <c r="D480">
        <v>0.05</v>
      </c>
    </row>
    <row r="481" spans="1:4" x14ac:dyDescent="0.45">
      <c r="A481" t="s">
        <v>57</v>
      </c>
      <c r="B481">
        <v>2005</v>
      </c>
      <c r="C481" t="s">
        <v>76</v>
      </c>
      <c r="D481">
        <v>0</v>
      </c>
    </row>
    <row r="482" spans="1:4" x14ac:dyDescent="0.45">
      <c r="A482" t="s">
        <v>38</v>
      </c>
      <c r="B482">
        <v>2005</v>
      </c>
      <c r="C482" t="s">
        <v>76</v>
      </c>
      <c r="D482">
        <v>2.9</v>
      </c>
    </row>
    <row r="483" spans="1:4" x14ac:dyDescent="0.45">
      <c r="A483" t="s">
        <v>32</v>
      </c>
      <c r="B483">
        <v>2005</v>
      </c>
      <c r="C483" t="s">
        <v>76</v>
      </c>
      <c r="D483">
        <v>0</v>
      </c>
    </row>
    <row r="484" spans="1:4" x14ac:dyDescent="0.45">
      <c r="A484" t="s">
        <v>58</v>
      </c>
      <c r="B484">
        <v>2005</v>
      </c>
      <c r="C484" t="s">
        <v>76</v>
      </c>
      <c r="D484">
        <v>0</v>
      </c>
    </row>
    <row r="485" spans="1:4" x14ac:dyDescent="0.45">
      <c r="A485" t="s">
        <v>91</v>
      </c>
      <c r="B485">
        <v>2005</v>
      </c>
      <c r="C485" t="s">
        <v>76</v>
      </c>
      <c r="D485">
        <v>0</v>
      </c>
    </row>
    <row r="486" spans="1:4" x14ac:dyDescent="0.45">
      <c r="A486" t="s">
        <v>32</v>
      </c>
      <c r="B486">
        <v>2006</v>
      </c>
      <c r="C486" t="s">
        <v>76</v>
      </c>
      <c r="D486">
        <v>0.43</v>
      </c>
    </row>
    <row r="487" spans="1:4" x14ac:dyDescent="0.45">
      <c r="A487" t="s">
        <v>34</v>
      </c>
      <c r="B487">
        <v>2006</v>
      </c>
      <c r="C487" t="s">
        <v>76</v>
      </c>
      <c r="D487">
        <v>144.24</v>
      </c>
    </row>
    <row r="488" spans="1:4" x14ac:dyDescent="0.45">
      <c r="A488" t="s">
        <v>36</v>
      </c>
      <c r="B488">
        <v>2006</v>
      </c>
      <c r="C488" t="s">
        <v>76</v>
      </c>
      <c r="D488">
        <v>1.87</v>
      </c>
    </row>
    <row r="489" spans="1:4" x14ac:dyDescent="0.45">
      <c r="A489" t="s">
        <v>56</v>
      </c>
      <c r="B489">
        <v>2006</v>
      </c>
      <c r="C489" t="s">
        <v>76</v>
      </c>
      <c r="D489">
        <v>0.05</v>
      </c>
    </row>
    <row r="490" spans="1:4" x14ac:dyDescent="0.45">
      <c r="A490" t="s">
        <v>57</v>
      </c>
      <c r="B490">
        <v>2006</v>
      </c>
      <c r="C490" t="s">
        <v>76</v>
      </c>
      <c r="D490">
        <v>0</v>
      </c>
    </row>
    <row r="491" spans="1:4" x14ac:dyDescent="0.45">
      <c r="A491" t="s">
        <v>38</v>
      </c>
      <c r="B491">
        <v>2006</v>
      </c>
      <c r="C491" t="s">
        <v>76</v>
      </c>
      <c r="D491">
        <v>3.17</v>
      </c>
    </row>
    <row r="492" spans="1:4" x14ac:dyDescent="0.45">
      <c r="A492" t="s">
        <v>32</v>
      </c>
      <c r="B492">
        <v>2006</v>
      </c>
      <c r="C492" t="s">
        <v>76</v>
      </c>
      <c r="D492">
        <v>0</v>
      </c>
    </row>
    <row r="493" spans="1:4" x14ac:dyDescent="0.45">
      <c r="A493" t="s">
        <v>58</v>
      </c>
      <c r="B493">
        <v>2006</v>
      </c>
      <c r="C493" t="s">
        <v>76</v>
      </c>
      <c r="D493">
        <v>0</v>
      </c>
    </row>
    <row r="494" spans="1:4" x14ac:dyDescent="0.45">
      <c r="A494" t="s">
        <v>91</v>
      </c>
      <c r="B494">
        <v>2006</v>
      </c>
      <c r="C494" t="s">
        <v>76</v>
      </c>
      <c r="D494">
        <v>0</v>
      </c>
    </row>
    <row r="495" spans="1:4" x14ac:dyDescent="0.45">
      <c r="A495" t="s">
        <v>32</v>
      </c>
      <c r="B495">
        <v>2007</v>
      </c>
      <c r="C495" t="s">
        <v>76</v>
      </c>
      <c r="D495">
        <v>0.55000000000000004</v>
      </c>
    </row>
    <row r="496" spans="1:4" x14ac:dyDescent="0.45">
      <c r="A496" t="s">
        <v>34</v>
      </c>
      <c r="B496">
        <v>2007</v>
      </c>
      <c r="C496" t="s">
        <v>76</v>
      </c>
      <c r="D496">
        <v>141.22999999999999</v>
      </c>
    </row>
    <row r="497" spans="1:4" x14ac:dyDescent="0.45">
      <c r="A497" t="s">
        <v>36</v>
      </c>
      <c r="B497">
        <v>2007</v>
      </c>
      <c r="C497" t="s">
        <v>76</v>
      </c>
      <c r="D497">
        <v>1.83</v>
      </c>
    </row>
    <row r="498" spans="1:4" x14ac:dyDescent="0.45">
      <c r="A498" t="s">
        <v>56</v>
      </c>
      <c r="B498">
        <v>2007</v>
      </c>
      <c r="C498" t="s">
        <v>76</v>
      </c>
      <c r="D498">
        <v>0.06</v>
      </c>
    </row>
    <row r="499" spans="1:4" x14ac:dyDescent="0.45">
      <c r="A499" t="s">
        <v>57</v>
      </c>
      <c r="B499">
        <v>2007</v>
      </c>
      <c r="C499" t="s">
        <v>76</v>
      </c>
      <c r="D499">
        <v>0</v>
      </c>
    </row>
    <row r="500" spans="1:4" x14ac:dyDescent="0.45">
      <c r="A500" t="s">
        <v>38</v>
      </c>
      <c r="B500">
        <v>2007</v>
      </c>
      <c r="C500" t="s">
        <v>76</v>
      </c>
      <c r="D500">
        <v>3.03</v>
      </c>
    </row>
    <row r="501" spans="1:4" x14ac:dyDescent="0.45">
      <c r="A501" t="s">
        <v>32</v>
      </c>
      <c r="B501">
        <v>2007</v>
      </c>
      <c r="C501" t="s">
        <v>76</v>
      </c>
      <c r="D501">
        <v>0</v>
      </c>
    </row>
    <row r="502" spans="1:4" x14ac:dyDescent="0.45">
      <c r="A502" t="s">
        <v>58</v>
      </c>
      <c r="B502">
        <v>2007</v>
      </c>
      <c r="C502" t="s">
        <v>76</v>
      </c>
      <c r="D502">
        <v>0</v>
      </c>
    </row>
    <row r="503" spans="1:4" x14ac:dyDescent="0.45">
      <c r="A503" t="s">
        <v>91</v>
      </c>
      <c r="B503">
        <v>2007</v>
      </c>
      <c r="C503" t="s">
        <v>76</v>
      </c>
      <c r="D503">
        <v>0.01</v>
      </c>
    </row>
    <row r="504" spans="1:4" x14ac:dyDescent="0.45">
      <c r="A504" t="s">
        <v>32</v>
      </c>
      <c r="B504">
        <v>2008</v>
      </c>
      <c r="C504" t="s">
        <v>76</v>
      </c>
      <c r="D504">
        <v>0.78</v>
      </c>
    </row>
    <row r="505" spans="1:4" x14ac:dyDescent="0.45">
      <c r="A505" t="s">
        <v>34</v>
      </c>
      <c r="B505">
        <v>2008</v>
      </c>
      <c r="C505" t="s">
        <v>76</v>
      </c>
      <c r="D505">
        <v>136.33000000000001</v>
      </c>
    </row>
    <row r="506" spans="1:4" x14ac:dyDescent="0.45">
      <c r="A506" t="s">
        <v>36</v>
      </c>
      <c r="B506">
        <v>2008</v>
      </c>
      <c r="C506" t="s">
        <v>76</v>
      </c>
      <c r="D506">
        <v>1.91</v>
      </c>
    </row>
    <row r="507" spans="1:4" x14ac:dyDescent="0.45">
      <c r="A507" t="s">
        <v>56</v>
      </c>
      <c r="B507">
        <v>2008</v>
      </c>
      <c r="C507" t="s">
        <v>76</v>
      </c>
      <c r="D507">
        <v>0.05</v>
      </c>
    </row>
    <row r="508" spans="1:4" x14ac:dyDescent="0.45">
      <c r="A508" t="s">
        <v>57</v>
      </c>
      <c r="B508">
        <v>2008</v>
      </c>
      <c r="C508" t="s">
        <v>76</v>
      </c>
      <c r="D508">
        <v>0</v>
      </c>
    </row>
    <row r="509" spans="1:4" x14ac:dyDescent="0.45">
      <c r="A509" t="s">
        <v>38</v>
      </c>
      <c r="B509">
        <v>2008</v>
      </c>
      <c r="C509" t="s">
        <v>76</v>
      </c>
      <c r="D509">
        <v>2.84</v>
      </c>
    </row>
    <row r="510" spans="1:4" x14ac:dyDescent="0.45">
      <c r="A510" t="s">
        <v>32</v>
      </c>
      <c r="B510">
        <v>2008</v>
      </c>
      <c r="C510" t="s">
        <v>76</v>
      </c>
      <c r="D510">
        <v>0</v>
      </c>
    </row>
    <row r="511" spans="1:4" x14ac:dyDescent="0.45">
      <c r="A511" t="s">
        <v>58</v>
      </c>
      <c r="B511">
        <v>2008</v>
      </c>
      <c r="C511" t="s">
        <v>76</v>
      </c>
      <c r="D511">
        <v>0</v>
      </c>
    </row>
    <row r="512" spans="1:4" x14ac:dyDescent="0.45">
      <c r="A512" t="s">
        <v>91</v>
      </c>
      <c r="B512">
        <v>2008</v>
      </c>
      <c r="C512" t="s">
        <v>76</v>
      </c>
      <c r="D512">
        <v>0.01</v>
      </c>
    </row>
    <row r="513" spans="1:4" x14ac:dyDescent="0.45">
      <c r="A513" t="s">
        <v>32</v>
      </c>
      <c r="B513">
        <v>2009</v>
      </c>
      <c r="C513" t="s">
        <v>76</v>
      </c>
      <c r="D513">
        <v>1.1299999999999999</v>
      </c>
    </row>
    <row r="514" spans="1:4" x14ac:dyDescent="0.45">
      <c r="A514" t="s">
        <v>34</v>
      </c>
      <c r="B514">
        <v>2009</v>
      </c>
      <c r="C514" t="s">
        <v>76</v>
      </c>
      <c r="D514">
        <v>130.72999999999999</v>
      </c>
    </row>
    <row r="515" spans="1:4" x14ac:dyDescent="0.45">
      <c r="A515" t="s">
        <v>36</v>
      </c>
      <c r="B515">
        <v>2009</v>
      </c>
      <c r="C515" t="s">
        <v>76</v>
      </c>
      <c r="D515">
        <v>1.95</v>
      </c>
    </row>
    <row r="516" spans="1:4" x14ac:dyDescent="0.45">
      <c r="A516" t="s">
        <v>56</v>
      </c>
      <c r="B516">
        <v>2009</v>
      </c>
      <c r="C516" t="s">
        <v>76</v>
      </c>
      <c r="D516">
        <v>0.06</v>
      </c>
    </row>
    <row r="517" spans="1:4" x14ac:dyDescent="0.45">
      <c r="A517" t="s">
        <v>57</v>
      </c>
      <c r="B517">
        <v>2009</v>
      </c>
      <c r="C517" t="s">
        <v>76</v>
      </c>
      <c r="D517">
        <v>0</v>
      </c>
    </row>
    <row r="518" spans="1:4" x14ac:dyDescent="0.45">
      <c r="A518" t="s">
        <v>38</v>
      </c>
      <c r="B518">
        <v>2009</v>
      </c>
      <c r="C518" t="s">
        <v>76</v>
      </c>
      <c r="D518">
        <v>2.63</v>
      </c>
    </row>
    <row r="519" spans="1:4" x14ac:dyDescent="0.45">
      <c r="A519" t="s">
        <v>32</v>
      </c>
      <c r="B519">
        <v>2009</v>
      </c>
      <c r="C519" t="s">
        <v>76</v>
      </c>
      <c r="D519">
        <v>0</v>
      </c>
    </row>
    <row r="520" spans="1:4" x14ac:dyDescent="0.45">
      <c r="A520" t="s">
        <v>58</v>
      </c>
      <c r="B520">
        <v>2009</v>
      </c>
      <c r="C520" t="s">
        <v>76</v>
      </c>
      <c r="D520">
        <v>0</v>
      </c>
    </row>
    <row r="521" spans="1:4" x14ac:dyDescent="0.45">
      <c r="A521" t="s">
        <v>91</v>
      </c>
      <c r="B521">
        <v>2009</v>
      </c>
      <c r="C521" t="s">
        <v>76</v>
      </c>
      <c r="D521">
        <v>0.01</v>
      </c>
    </row>
    <row r="522" spans="1:4" x14ac:dyDescent="0.45">
      <c r="A522" t="s">
        <v>32</v>
      </c>
      <c r="B522">
        <v>2010</v>
      </c>
      <c r="C522" t="s">
        <v>76</v>
      </c>
      <c r="D522">
        <v>1.36</v>
      </c>
    </row>
    <row r="523" spans="1:4" x14ac:dyDescent="0.45">
      <c r="A523" t="s">
        <v>34</v>
      </c>
      <c r="B523">
        <v>2010</v>
      </c>
      <c r="C523" t="s">
        <v>76</v>
      </c>
      <c r="D523">
        <v>133.59</v>
      </c>
    </row>
    <row r="524" spans="1:4" x14ac:dyDescent="0.45">
      <c r="A524" t="s">
        <v>36</v>
      </c>
      <c r="B524">
        <v>2010</v>
      </c>
      <c r="C524" t="s">
        <v>76</v>
      </c>
      <c r="D524">
        <v>1.96</v>
      </c>
    </row>
    <row r="525" spans="1:4" x14ac:dyDescent="0.45">
      <c r="A525" t="s">
        <v>56</v>
      </c>
      <c r="B525">
        <v>2010</v>
      </c>
      <c r="C525" t="s">
        <v>76</v>
      </c>
      <c r="D525">
        <v>7.0000000000000007E-2</v>
      </c>
    </row>
    <row r="526" spans="1:4" x14ac:dyDescent="0.45">
      <c r="A526" t="s">
        <v>57</v>
      </c>
      <c r="B526">
        <v>2010</v>
      </c>
      <c r="C526" t="s">
        <v>76</v>
      </c>
      <c r="D526">
        <v>0</v>
      </c>
    </row>
    <row r="527" spans="1:4" x14ac:dyDescent="0.45">
      <c r="A527" t="s">
        <v>38</v>
      </c>
      <c r="B527">
        <v>2010</v>
      </c>
      <c r="C527" t="s">
        <v>76</v>
      </c>
      <c r="D527">
        <v>3.01</v>
      </c>
    </row>
    <row r="528" spans="1:4" x14ac:dyDescent="0.45">
      <c r="A528" t="s">
        <v>32</v>
      </c>
      <c r="B528">
        <v>2010</v>
      </c>
      <c r="C528" t="s">
        <v>76</v>
      </c>
      <c r="D528">
        <v>0</v>
      </c>
    </row>
    <row r="529" spans="1:4" x14ac:dyDescent="0.45">
      <c r="A529" t="s">
        <v>58</v>
      </c>
      <c r="B529">
        <v>2010</v>
      </c>
      <c r="C529" t="s">
        <v>76</v>
      </c>
      <c r="D529">
        <v>0</v>
      </c>
    </row>
    <row r="530" spans="1:4" x14ac:dyDescent="0.45">
      <c r="A530" t="s">
        <v>91</v>
      </c>
      <c r="B530">
        <v>2010</v>
      </c>
      <c r="C530" t="s">
        <v>76</v>
      </c>
      <c r="D530">
        <v>0.02</v>
      </c>
    </row>
    <row r="531" spans="1:4" x14ac:dyDescent="0.45">
      <c r="A531" t="s">
        <v>32</v>
      </c>
      <c r="B531">
        <v>2011</v>
      </c>
      <c r="C531" t="s">
        <v>76</v>
      </c>
      <c r="D531">
        <v>1.64</v>
      </c>
    </row>
    <row r="532" spans="1:4" x14ac:dyDescent="0.45">
      <c r="A532" t="s">
        <v>34</v>
      </c>
      <c r="B532">
        <v>2011</v>
      </c>
      <c r="C532" t="s">
        <v>76</v>
      </c>
      <c r="D532">
        <v>136.75</v>
      </c>
    </row>
    <row r="533" spans="1:4" x14ac:dyDescent="0.45">
      <c r="A533" t="s">
        <v>36</v>
      </c>
      <c r="B533">
        <v>2011</v>
      </c>
      <c r="C533" t="s">
        <v>76</v>
      </c>
      <c r="D533">
        <v>2.38</v>
      </c>
    </row>
    <row r="534" spans="1:4" x14ac:dyDescent="0.45">
      <c r="A534" t="s">
        <v>56</v>
      </c>
      <c r="B534">
        <v>2011</v>
      </c>
      <c r="C534" t="s">
        <v>76</v>
      </c>
      <c r="D534">
        <v>0.06</v>
      </c>
    </row>
    <row r="535" spans="1:4" x14ac:dyDescent="0.45">
      <c r="A535" t="s">
        <v>57</v>
      </c>
      <c r="B535">
        <v>2011</v>
      </c>
      <c r="C535" t="s">
        <v>76</v>
      </c>
      <c r="D535">
        <v>0</v>
      </c>
    </row>
    <row r="536" spans="1:4" x14ac:dyDescent="0.45">
      <c r="A536" t="s">
        <v>38</v>
      </c>
      <c r="B536">
        <v>2011</v>
      </c>
      <c r="C536" t="s">
        <v>76</v>
      </c>
      <c r="D536">
        <v>2.74</v>
      </c>
    </row>
    <row r="537" spans="1:4" x14ac:dyDescent="0.45">
      <c r="A537" t="s">
        <v>32</v>
      </c>
      <c r="B537">
        <v>2011</v>
      </c>
      <c r="C537" t="s">
        <v>76</v>
      </c>
      <c r="D537">
        <v>0</v>
      </c>
    </row>
    <row r="538" spans="1:4" x14ac:dyDescent="0.45">
      <c r="A538" t="s">
        <v>58</v>
      </c>
      <c r="B538">
        <v>2011</v>
      </c>
      <c r="C538" t="s">
        <v>76</v>
      </c>
      <c r="D538">
        <v>0</v>
      </c>
    </row>
    <row r="539" spans="1:4" x14ac:dyDescent="0.45">
      <c r="A539" t="s">
        <v>91</v>
      </c>
      <c r="B539">
        <v>2011</v>
      </c>
      <c r="C539" t="s">
        <v>76</v>
      </c>
      <c r="D539">
        <v>0.04</v>
      </c>
    </row>
    <row r="540" spans="1:4" x14ac:dyDescent="0.45">
      <c r="A540" t="s">
        <v>32</v>
      </c>
      <c r="B540">
        <v>2012</v>
      </c>
      <c r="C540" t="s">
        <v>76</v>
      </c>
      <c r="D540">
        <v>2.1800000000000002</v>
      </c>
    </row>
    <row r="541" spans="1:4" x14ac:dyDescent="0.45">
      <c r="A541" t="s">
        <v>34</v>
      </c>
      <c r="B541">
        <v>2012</v>
      </c>
      <c r="C541" t="s">
        <v>76</v>
      </c>
      <c r="D541">
        <v>131.68</v>
      </c>
    </row>
    <row r="542" spans="1:4" x14ac:dyDescent="0.45">
      <c r="A542" t="s">
        <v>36</v>
      </c>
      <c r="B542">
        <v>2012</v>
      </c>
      <c r="C542" t="s">
        <v>76</v>
      </c>
      <c r="D542">
        <v>2.5499999999999998</v>
      </c>
    </row>
    <row r="543" spans="1:4" x14ac:dyDescent="0.45">
      <c r="A543" t="s">
        <v>56</v>
      </c>
      <c r="B543">
        <v>2012</v>
      </c>
      <c r="C543" t="s">
        <v>76</v>
      </c>
      <c r="D543">
        <v>0.05</v>
      </c>
    </row>
    <row r="544" spans="1:4" x14ac:dyDescent="0.45">
      <c r="A544" t="s">
        <v>57</v>
      </c>
      <c r="B544">
        <v>2012</v>
      </c>
      <c r="C544" t="s">
        <v>76</v>
      </c>
      <c r="D544">
        <v>0</v>
      </c>
    </row>
    <row r="545" spans="1:4" x14ac:dyDescent="0.45">
      <c r="A545" t="s">
        <v>38</v>
      </c>
      <c r="B545">
        <v>2012</v>
      </c>
      <c r="C545" t="s">
        <v>76</v>
      </c>
      <c r="D545">
        <v>2.48</v>
      </c>
    </row>
    <row r="546" spans="1:4" x14ac:dyDescent="0.45">
      <c r="A546" t="s">
        <v>32</v>
      </c>
      <c r="B546">
        <v>2012</v>
      </c>
      <c r="C546" t="s">
        <v>76</v>
      </c>
      <c r="D546">
        <v>0</v>
      </c>
    </row>
    <row r="547" spans="1:4" x14ac:dyDescent="0.45">
      <c r="A547" t="s">
        <v>58</v>
      </c>
      <c r="B547">
        <v>2012</v>
      </c>
      <c r="C547" t="s">
        <v>76</v>
      </c>
      <c r="D547">
        <v>0</v>
      </c>
    </row>
    <row r="548" spans="1:4" x14ac:dyDescent="0.45">
      <c r="A548" t="s">
        <v>91</v>
      </c>
      <c r="B548">
        <v>2012</v>
      </c>
      <c r="C548" t="s">
        <v>76</v>
      </c>
      <c r="D548">
        <v>0.06</v>
      </c>
    </row>
    <row r="549" spans="1:4" x14ac:dyDescent="0.45">
      <c r="A549" t="s">
        <v>32</v>
      </c>
      <c r="B549">
        <v>2013</v>
      </c>
      <c r="C549" t="s">
        <v>76</v>
      </c>
      <c r="D549">
        <v>1.86</v>
      </c>
    </row>
    <row r="550" spans="1:4" x14ac:dyDescent="0.45">
      <c r="A550" t="s">
        <v>34</v>
      </c>
      <c r="B550">
        <v>2013</v>
      </c>
      <c r="C550" t="s">
        <v>76</v>
      </c>
      <c r="D550">
        <v>134.79</v>
      </c>
    </row>
    <row r="551" spans="1:4" x14ac:dyDescent="0.45">
      <c r="A551" t="s">
        <v>36</v>
      </c>
      <c r="B551">
        <v>2013</v>
      </c>
      <c r="C551" t="s">
        <v>76</v>
      </c>
      <c r="D551">
        <v>2.15</v>
      </c>
    </row>
    <row r="552" spans="1:4" x14ac:dyDescent="0.45">
      <c r="A552" t="s">
        <v>56</v>
      </c>
      <c r="B552">
        <v>2013</v>
      </c>
      <c r="C552" t="s">
        <v>76</v>
      </c>
      <c r="D552">
        <v>0.06</v>
      </c>
    </row>
    <row r="553" spans="1:4" x14ac:dyDescent="0.45">
      <c r="A553" t="s">
        <v>57</v>
      </c>
      <c r="B553">
        <v>2013</v>
      </c>
      <c r="C553" t="s">
        <v>76</v>
      </c>
      <c r="D553">
        <v>0</v>
      </c>
    </row>
    <row r="554" spans="1:4" x14ac:dyDescent="0.45">
      <c r="A554" t="s">
        <v>38</v>
      </c>
      <c r="B554">
        <v>2013</v>
      </c>
      <c r="C554" t="s">
        <v>76</v>
      </c>
      <c r="D554">
        <v>2.4500000000000002</v>
      </c>
    </row>
    <row r="555" spans="1:4" x14ac:dyDescent="0.45">
      <c r="A555" t="s">
        <v>32</v>
      </c>
      <c r="B555">
        <v>2013</v>
      </c>
      <c r="C555" t="s">
        <v>76</v>
      </c>
      <c r="D555">
        <v>0</v>
      </c>
    </row>
    <row r="556" spans="1:4" x14ac:dyDescent="0.45">
      <c r="A556" t="s">
        <v>58</v>
      </c>
      <c r="B556">
        <v>2013</v>
      </c>
      <c r="C556" t="s">
        <v>76</v>
      </c>
      <c r="D556">
        <v>0</v>
      </c>
    </row>
    <row r="557" spans="1:4" x14ac:dyDescent="0.45">
      <c r="A557" t="s">
        <v>91</v>
      </c>
      <c r="B557">
        <v>2013</v>
      </c>
      <c r="C557" t="s">
        <v>76</v>
      </c>
      <c r="D557">
        <v>7.0000000000000007E-2</v>
      </c>
    </row>
    <row r="558" spans="1:4" x14ac:dyDescent="0.45">
      <c r="A558" t="s">
        <v>32</v>
      </c>
      <c r="B558">
        <v>2014</v>
      </c>
      <c r="C558" t="s">
        <v>76</v>
      </c>
      <c r="D558">
        <v>2.16</v>
      </c>
    </row>
    <row r="559" spans="1:4" x14ac:dyDescent="0.45">
      <c r="A559" t="s">
        <v>34</v>
      </c>
      <c r="B559">
        <v>2014</v>
      </c>
      <c r="C559" t="s">
        <v>76</v>
      </c>
      <c r="D559">
        <v>126.78</v>
      </c>
    </row>
    <row r="560" spans="1:4" x14ac:dyDescent="0.45">
      <c r="A560" t="s">
        <v>36</v>
      </c>
      <c r="B560">
        <v>2014</v>
      </c>
      <c r="C560" t="s">
        <v>76</v>
      </c>
      <c r="D560">
        <v>2.1800000000000002</v>
      </c>
    </row>
    <row r="561" spans="1:4" x14ac:dyDescent="0.45">
      <c r="A561" t="s">
        <v>56</v>
      </c>
      <c r="B561">
        <v>2014</v>
      </c>
      <c r="C561" t="s">
        <v>76</v>
      </c>
      <c r="D561">
        <v>0.05</v>
      </c>
    </row>
    <row r="562" spans="1:4" x14ac:dyDescent="0.45">
      <c r="A562" t="s">
        <v>57</v>
      </c>
      <c r="B562">
        <v>2014</v>
      </c>
      <c r="C562" t="s">
        <v>76</v>
      </c>
      <c r="D562">
        <v>0</v>
      </c>
    </row>
    <row r="563" spans="1:4" x14ac:dyDescent="0.45">
      <c r="A563" t="s">
        <v>38</v>
      </c>
      <c r="B563">
        <v>2014</v>
      </c>
      <c r="C563" t="s">
        <v>76</v>
      </c>
      <c r="D563">
        <v>2.4</v>
      </c>
    </row>
    <row r="564" spans="1:4" x14ac:dyDescent="0.45">
      <c r="A564" t="s">
        <v>32</v>
      </c>
      <c r="B564">
        <v>2014</v>
      </c>
      <c r="C564" t="s">
        <v>76</v>
      </c>
      <c r="D564">
        <v>0</v>
      </c>
    </row>
    <row r="565" spans="1:4" x14ac:dyDescent="0.45">
      <c r="A565" t="s">
        <v>58</v>
      </c>
      <c r="B565">
        <v>2014</v>
      </c>
      <c r="C565" t="s">
        <v>76</v>
      </c>
      <c r="D565">
        <v>0</v>
      </c>
    </row>
    <row r="566" spans="1:4" x14ac:dyDescent="0.45">
      <c r="A566" t="s">
        <v>91</v>
      </c>
      <c r="B566">
        <v>2014</v>
      </c>
      <c r="C566" t="s">
        <v>76</v>
      </c>
      <c r="D566">
        <v>0.09</v>
      </c>
    </row>
    <row r="567" spans="1:4" x14ac:dyDescent="0.45">
      <c r="A567" t="s">
        <v>32</v>
      </c>
      <c r="B567">
        <v>2015</v>
      </c>
      <c r="C567" t="s">
        <v>76</v>
      </c>
      <c r="D567">
        <v>2.15</v>
      </c>
    </row>
    <row r="568" spans="1:4" x14ac:dyDescent="0.45">
      <c r="A568" t="s">
        <v>34</v>
      </c>
      <c r="B568">
        <v>2015</v>
      </c>
      <c r="C568" t="s">
        <v>76</v>
      </c>
      <c r="D568">
        <v>127.72</v>
      </c>
    </row>
    <row r="569" spans="1:4" x14ac:dyDescent="0.45">
      <c r="A569" t="s">
        <v>36</v>
      </c>
      <c r="B569">
        <v>2015</v>
      </c>
      <c r="C569" t="s">
        <v>76</v>
      </c>
      <c r="D569">
        <v>2.61</v>
      </c>
    </row>
    <row r="570" spans="1:4" x14ac:dyDescent="0.45">
      <c r="A570" t="s">
        <v>56</v>
      </c>
      <c r="B570">
        <v>2015</v>
      </c>
      <c r="C570" t="s">
        <v>76</v>
      </c>
      <c r="D570">
        <v>0.04</v>
      </c>
    </row>
    <row r="571" spans="1:4" x14ac:dyDescent="0.45">
      <c r="A571" t="s">
        <v>57</v>
      </c>
      <c r="B571">
        <v>2015</v>
      </c>
      <c r="C571" t="s">
        <v>76</v>
      </c>
      <c r="D571">
        <v>0</v>
      </c>
    </row>
    <row r="572" spans="1:4" x14ac:dyDescent="0.45">
      <c r="A572" t="s">
        <v>38</v>
      </c>
      <c r="B572">
        <v>2015</v>
      </c>
      <c r="C572" t="s">
        <v>76</v>
      </c>
      <c r="D572">
        <v>3.09</v>
      </c>
    </row>
    <row r="573" spans="1:4" x14ac:dyDescent="0.45">
      <c r="A573" t="s">
        <v>32</v>
      </c>
      <c r="B573">
        <v>2015</v>
      </c>
      <c r="C573" t="s">
        <v>76</v>
      </c>
      <c r="D573">
        <v>0</v>
      </c>
    </row>
    <row r="574" spans="1:4" x14ac:dyDescent="0.45">
      <c r="A574" t="s">
        <v>58</v>
      </c>
      <c r="B574">
        <v>2015</v>
      </c>
      <c r="C574" t="s">
        <v>76</v>
      </c>
      <c r="D574">
        <v>0</v>
      </c>
    </row>
    <row r="575" spans="1:4" x14ac:dyDescent="0.45">
      <c r="A575" t="s">
        <v>91</v>
      </c>
      <c r="B575">
        <v>2015</v>
      </c>
      <c r="C575" t="s">
        <v>76</v>
      </c>
      <c r="D575">
        <v>0.13</v>
      </c>
    </row>
    <row r="576" spans="1:4" x14ac:dyDescent="0.45">
      <c r="A576" t="s">
        <v>32</v>
      </c>
      <c r="B576">
        <v>2016</v>
      </c>
      <c r="C576" t="s">
        <v>76</v>
      </c>
      <c r="D576">
        <v>1.72</v>
      </c>
    </row>
    <row r="577" spans="1:4" x14ac:dyDescent="0.45">
      <c r="A577" t="s">
        <v>34</v>
      </c>
      <c r="B577">
        <v>2016</v>
      </c>
      <c r="C577" t="s">
        <v>76</v>
      </c>
      <c r="D577">
        <v>127.44</v>
      </c>
    </row>
    <row r="578" spans="1:4" x14ac:dyDescent="0.45">
      <c r="A578" t="s">
        <v>36</v>
      </c>
      <c r="B578">
        <v>2016</v>
      </c>
      <c r="C578" t="s">
        <v>76</v>
      </c>
      <c r="D578">
        <v>3.2</v>
      </c>
    </row>
    <row r="579" spans="1:4" x14ac:dyDescent="0.45">
      <c r="A579" t="s">
        <v>56</v>
      </c>
      <c r="B579">
        <v>2016</v>
      </c>
      <c r="C579" t="s">
        <v>76</v>
      </c>
      <c r="D579">
        <v>0.05</v>
      </c>
    </row>
    <row r="580" spans="1:4" x14ac:dyDescent="0.45">
      <c r="A580" t="s">
        <v>57</v>
      </c>
      <c r="B580">
        <v>2016</v>
      </c>
      <c r="C580" t="s">
        <v>76</v>
      </c>
      <c r="D580">
        <v>0</v>
      </c>
    </row>
    <row r="581" spans="1:4" x14ac:dyDescent="0.45">
      <c r="A581" t="s">
        <v>38</v>
      </c>
      <c r="B581">
        <v>2016</v>
      </c>
      <c r="C581" t="s">
        <v>76</v>
      </c>
      <c r="D581">
        <v>3.32</v>
      </c>
    </row>
    <row r="582" spans="1:4" x14ac:dyDescent="0.45">
      <c r="A582" t="s">
        <v>32</v>
      </c>
      <c r="B582">
        <v>2016</v>
      </c>
      <c r="C582" t="s">
        <v>76</v>
      </c>
      <c r="D582">
        <v>0</v>
      </c>
    </row>
    <row r="583" spans="1:4" x14ac:dyDescent="0.45">
      <c r="A583" t="s">
        <v>58</v>
      </c>
      <c r="B583">
        <v>2016</v>
      </c>
      <c r="C583" t="s">
        <v>76</v>
      </c>
      <c r="D583">
        <v>0.01</v>
      </c>
    </row>
    <row r="584" spans="1:4" x14ac:dyDescent="0.45">
      <c r="A584" t="s">
        <v>91</v>
      </c>
      <c r="B584">
        <v>2016</v>
      </c>
      <c r="C584" t="s">
        <v>76</v>
      </c>
      <c r="D584">
        <v>0.15</v>
      </c>
    </row>
    <row r="585" spans="1:4" x14ac:dyDescent="0.45">
      <c r="A585" t="s">
        <v>32</v>
      </c>
      <c r="B585">
        <v>2017</v>
      </c>
      <c r="C585" t="s">
        <v>76</v>
      </c>
      <c r="D585">
        <v>1.4</v>
      </c>
    </row>
    <row r="586" spans="1:4" x14ac:dyDescent="0.45">
      <c r="A586" t="s">
        <v>34</v>
      </c>
      <c r="B586">
        <v>2017</v>
      </c>
      <c r="C586" t="s">
        <v>76</v>
      </c>
      <c r="D586">
        <v>128.15</v>
      </c>
    </row>
    <row r="587" spans="1:4" x14ac:dyDescent="0.45">
      <c r="A587" t="s">
        <v>36</v>
      </c>
      <c r="B587">
        <v>2017</v>
      </c>
      <c r="C587" t="s">
        <v>76</v>
      </c>
      <c r="D587">
        <v>4.09</v>
      </c>
    </row>
    <row r="588" spans="1:4" x14ac:dyDescent="0.45">
      <c r="A588" t="s">
        <v>56</v>
      </c>
      <c r="B588">
        <v>2017</v>
      </c>
      <c r="C588" t="s">
        <v>76</v>
      </c>
      <c r="D588">
        <v>0.06</v>
      </c>
    </row>
    <row r="589" spans="1:4" x14ac:dyDescent="0.45">
      <c r="A589" t="s">
        <v>57</v>
      </c>
      <c r="B589">
        <v>2017</v>
      </c>
      <c r="C589" t="s">
        <v>76</v>
      </c>
      <c r="D589">
        <v>0</v>
      </c>
    </row>
    <row r="590" spans="1:4" x14ac:dyDescent="0.45">
      <c r="A590" t="s">
        <v>38</v>
      </c>
      <c r="B590">
        <v>2017</v>
      </c>
      <c r="C590" t="s">
        <v>76</v>
      </c>
      <c r="D590">
        <v>3.02</v>
      </c>
    </row>
    <row r="591" spans="1:4" x14ac:dyDescent="0.45">
      <c r="A591" t="s">
        <v>32</v>
      </c>
      <c r="B591">
        <v>2017</v>
      </c>
      <c r="C591" t="s">
        <v>76</v>
      </c>
      <c r="D591">
        <v>0</v>
      </c>
    </row>
    <row r="592" spans="1:4" x14ac:dyDescent="0.45">
      <c r="A592" t="s">
        <v>58</v>
      </c>
      <c r="B592">
        <v>2017</v>
      </c>
      <c r="C592" t="s">
        <v>76</v>
      </c>
      <c r="D592">
        <v>0.01</v>
      </c>
    </row>
    <row r="593" spans="1:4" x14ac:dyDescent="0.45">
      <c r="A593" t="s">
        <v>91</v>
      </c>
      <c r="B593">
        <v>2017</v>
      </c>
      <c r="C593" t="s">
        <v>76</v>
      </c>
      <c r="D593">
        <v>0.18</v>
      </c>
    </row>
    <row r="594" spans="1:4" x14ac:dyDescent="0.45">
      <c r="A594" t="s">
        <v>32</v>
      </c>
      <c r="B594">
        <v>2018</v>
      </c>
      <c r="C594" t="s">
        <v>76</v>
      </c>
      <c r="D594">
        <v>1.42</v>
      </c>
    </row>
    <row r="595" spans="1:4" x14ac:dyDescent="0.45">
      <c r="A595" t="s">
        <v>34</v>
      </c>
      <c r="B595">
        <v>2018</v>
      </c>
      <c r="C595" t="s">
        <v>76</v>
      </c>
      <c r="D595">
        <v>127.29</v>
      </c>
    </row>
    <row r="596" spans="1:4" x14ac:dyDescent="0.45">
      <c r="A596" t="s">
        <v>36</v>
      </c>
      <c r="B596">
        <v>2018</v>
      </c>
      <c r="C596" t="s">
        <v>76</v>
      </c>
      <c r="D596">
        <v>5.15</v>
      </c>
    </row>
    <row r="597" spans="1:4" x14ac:dyDescent="0.45">
      <c r="A597" t="s">
        <v>56</v>
      </c>
      <c r="B597">
        <v>2018</v>
      </c>
      <c r="C597" t="s">
        <v>76</v>
      </c>
      <c r="D597">
        <v>0.05</v>
      </c>
    </row>
    <row r="598" spans="1:4" x14ac:dyDescent="0.45">
      <c r="A598" t="s">
        <v>57</v>
      </c>
      <c r="B598">
        <v>2018</v>
      </c>
      <c r="C598" t="s">
        <v>76</v>
      </c>
      <c r="D598">
        <v>0</v>
      </c>
    </row>
    <row r="599" spans="1:4" x14ac:dyDescent="0.45">
      <c r="A599" t="s">
        <v>38</v>
      </c>
      <c r="B599">
        <v>2018</v>
      </c>
      <c r="C599" t="s">
        <v>76</v>
      </c>
      <c r="D599">
        <v>3.04</v>
      </c>
    </row>
    <row r="600" spans="1:4" x14ac:dyDescent="0.45">
      <c r="A600" t="s">
        <v>32</v>
      </c>
      <c r="B600">
        <v>2018</v>
      </c>
      <c r="C600" t="s">
        <v>76</v>
      </c>
      <c r="D600">
        <v>0</v>
      </c>
    </row>
    <row r="601" spans="1:4" x14ac:dyDescent="0.45">
      <c r="A601" t="s">
        <v>58</v>
      </c>
      <c r="B601">
        <v>2018</v>
      </c>
      <c r="C601" t="s">
        <v>76</v>
      </c>
      <c r="D601">
        <v>0.01</v>
      </c>
    </row>
    <row r="602" spans="1:4" x14ac:dyDescent="0.45">
      <c r="A602" t="s">
        <v>91</v>
      </c>
      <c r="B602">
        <v>2018</v>
      </c>
      <c r="C602" t="s">
        <v>76</v>
      </c>
      <c r="D602">
        <v>0.16</v>
      </c>
    </row>
    <row r="603" spans="1:4" x14ac:dyDescent="0.45">
      <c r="A603" t="s">
        <v>32</v>
      </c>
      <c r="B603">
        <v>2019</v>
      </c>
      <c r="C603" t="s">
        <v>76</v>
      </c>
      <c r="D603">
        <v>1.66</v>
      </c>
    </row>
    <row r="604" spans="1:4" x14ac:dyDescent="0.45">
      <c r="A604" t="s">
        <v>34</v>
      </c>
      <c r="B604">
        <v>2019</v>
      </c>
      <c r="C604" t="s">
        <v>76</v>
      </c>
      <c r="D604">
        <v>114.85</v>
      </c>
    </row>
    <row r="605" spans="1:4" x14ac:dyDescent="0.45">
      <c r="A605" t="s">
        <v>36</v>
      </c>
      <c r="B605">
        <v>2019</v>
      </c>
      <c r="C605" t="s">
        <v>76</v>
      </c>
      <c r="D605">
        <v>6.04</v>
      </c>
    </row>
    <row r="606" spans="1:4" x14ac:dyDescent="0.45">
      <c r="A606" t="s">
        <v>56</v>
      </c>
      <c r="B606">
        <v>2019</v>
      </c>
      <c r="C606" t="s">
        <v>76</v>
      </c>
      <c r="D606">
        <v>0.05</v>
      </c>
    </row>
    <row r="607" spans="1:4" x14ac:dyDescent="0.45">
      <c r="A607" t="s">
        <v>57</v>
      </c>
      <c r="B607">
        <v>2019</v>
      </c>
      <c r="C607" t="s">
        <v>76</v>
      </c>
      <c r="D607">
        <v>0</v>
      </c>
    </row>
    <row r="608" spans="1:4" x14ac:dyDescent="0.45">
      <c r="A608" t="s">
        <v>38</v>
      </c>
      <c r="B608">
        <v>2019</v>
      </c>
      <c r="C608" t="s">
        <v>76</v>
      </c>
      <c r="D608">
        <v>3.17</v>
      </c>
    </row>
    <row r="609" spans="1:4" x14ac:dyDescent="0.45">
      <c r="A609" t="s">
        <v>32</v>
      </c>
      <c r="B609">
        <v>2019</v>
      </c>
      <c r="C609" t="s">
        <v>76</v>
      </c>
      <c r="D609">
        <v>0</v>
      </c>
    </row>
    <row r="610" spans="1:4" x14ac:dyDescent="0.45">
      <c r="A610" t="s">
        <v>58</v>
      </c>
      <c r="B610">
        <v>2019</v>
      </c>
      <c r="C610" t="s">
        <v>76</v>
      </c>
      <c r="D610">
        <v>0.03</v>
      </c>
    </row>
    <row r="611" spans="1:4" x14ac:dyDescent="0.45">
      <c r="A611" t="s">
        <v>91</v>
      </c>
      <c r="B611">
        <v>2019</v>
      </c>
      <c r="C611" t="s">
        <v>76</v>
      </c>
      <c r="D611">
        <v>0.19</v>
      </c>
    </row>
    <row r="612" spans="1:4" x14ac:dyDescent="0.45">
      <c r="A612" t="s">
        <v>32</v>
      </c>
      <c r="B612">
        <v>2020</v>
      </c>
      <c r="C612" t="s">
        <v>76</v>
      </c>
      <c r="D612">
        <v>1.81</v>
      </c>
    </row>
    <row r="613" spans="1:4" x14ac:dyDescent="0.45">
      <c r="A613" t="s">
        <v>34</v>
      </c>
      <c r="B613">
        <v>2020</v>
      </c>
      <c r="C613" t="s">
        <v>76</v>
      </c>
      <c r="D613">
        <v>104.11</v>
      </c>
    </row>
    <row r="614" spans="1:4" x14ac:dyDescent="0.45">
      <c r="A614" t="s">
        <v>36</v>
      </c>
      <c r="B614">
        <v>2020</v>
      </c>
      <c r="C614" t="s">
        <v>76</v>
      </c>
      <c r="D614">
        <v>7.06</v>
      </c>
    </row>
    <row r="615" spans="1:4" x14ac:dyDescent="0.45">
      <c r="A615" t="s">
        <v>56</v>
      </c>
      <c r="B615">
        <v>2020</v>
      </c>
      <c r="C615" t="s">
        <v>76</v>
      </c>
      <c r="D615">
        <v>0.05</v>
      </c>
    </row>
    <row r="616" spans="1:4" x14ac:dyDescent="0.45">
      <c r="A616" t="s">
        <v>57</v>
      </c>
      <c r="B616">
        <v>2020</v>
      </c>
      <c r="C616" t="s">
        <v>76</v>
      </c>
      <c r="D616">
        <v>0</v>
      </c>
    </row>
    <row r="617" spans="1:4" x14ac:dyDescent="0.45">
      <c r="A617" t="s">
        <v>38</v>
      </c>
      <c r="B617">
        <v>2020</v>
      </c>
      <c r="C617" t="s">
        <v>76</v>
      </c>
      <c r="D617">
        <v>2.78</v>
      </c>
    </row>
    <row r="618" spans="1:4" x14ac:dyDescent="0.45">
      <c r="A618" t="s">
        <v>32</v>
      </c>
      <c r="B618">
        <v>2020</v>
      </c>
      <c r="C618" t="s">
        <v>76</v>
      </c>
      <c r="D618">
        <v>0</v>
      </c>
    </row>
    <row r="619" spans="1:4" x14ac:dyDescent="0.45">
      <c r="A619" t="s">
        <v>58</v>
      </c>
      <c r="B619">
        <v>2020</v>
      </c>
      <c r="C619" t="s">
        <v>76</v>
      </c>
      <c r="D619">
        <v>0.09</v>
      </c>
    </row>
    <row r="620" spans="1:4" x14ac:dyDescent="0.45">
      <c r="A620" t="s">
        <v>91</v>
      </c>
      <c r="B620">
        <v>2020</v>
      </c>
      <c r="C620" t="s">
        <v>76</v>
      </c>
      <c r="D620">
        <v>0.19</v>
      </c>
    </row>
    <row r="621" spans="1:4" x14ac:dyDescent="0.45">
      <c r="A621" t="s">
        <v>32</v>
      </c>
      <c r="B621">
        <v>2021</v>
      </c>
      <c r="C621" t="s">
        <v>76</v>
      </c>
      <c r="D621">
        <v>1.74</v>
      </c>
    </row>
    <row r="622" spans="1:4" x14ac:dyDescent="0.45">
      <c r="A622" t="s">
        <v>34</v>
      </c>
      <c r="B622">
        <v>2021</v>
      </c>
      <c r="C622" t="s">
        <v>76</v>
      </c>
      <c r="D622">
        <v>123.49</v>
      </c>
    </row>
    <row r="623" spans="1:4" x14ac:dyDescent="0.45">
      <c r="A623" t="s">
        <v>36</v>
      </c>
      <c r="B623">
        <v>2021</v>
      </c>
      <c r="C623" t="s">
        <v>76</v>
      </c>
      <c r="D623">
        <v>6.46</v>
      </c>
    </row>
    <row r="624" spans="1:4" x14ac:dyDescent="0.45">
      <c r="A624" t="s">
        <v>56</v>
      </c>
      <c r="B624">
        <v>2021</v>
      </c>
      <c r="C624" t="s">
        <v>76</v>
      </c>
      <c r="D624">
        <v>0.06</v>
      </c>
    </row>
    <row r="625" spans="1:4" x14ac:dyDescent="0.45">
      <c r="A625" t="s">
        <v>57</v>
      </c>
      <c r="B625">
        <v>2021</v>
      </c>
      <c r="C625" t="s">
        <v>76</v>
      </c>
      <c r="D625">
        <v>0</v>
      </c>
    </row>
    <row r="626" spans="1:4" x14ac:dyDescent="0.45">
      <c r="A626" t="s">
        <v>38</v>
      </c>
      <c r="B626">
        <v>2021</v>
      </c>
      <c r="C626" t="s">
        <v>76</v>
      </c>
      <c r="D626">
        <v>3.18</v>
      </c>
    </row>
    <row r="627" spans="1:4" x14ac:dyDescent="0.45">
      <c r="A627" t="s">
        <v>32</v>
      </c>
      <c r="B627">
        <v>2021</v>
      </c>
      <c r="C627" t="s">
        <v>76</v>
      </c>
      <c r="D627">
        <v>0</v>
      </c>
    </row>
    <row r="628" spans="1:4" x14ac:dyDescent="0.45">
      <c r="A628" t="s">
        <v>58</v>
      </c>
      <c r="B628">
        <v>2021</v>
      </c>
      <c r="C628" t="s">
        <v>76</v>
      </c>
      <c r="D628">
        <v>0.19</v>
      </c>
    </row>
    <row r="629" spans="1:4" x14ac:dyDescent="0.45">
      <c r="A629" t="s">
        <v>91</v>
      </c>
      <c r="B629">
        <v>2021</v>
      </c>
      <c r="C629" t="s">
        <v>76</v>
      </c>
      <c r="D629">
        <v>0.2</v>
      </c>
    </row>
    <row r="630" spans="1:4" x14ac:dyDescent="0.45">
      <c r="A630" t="s">
        <v>32</v>
      </c>
      <c r="B630">
        <v>2022</v>
      </c>
      <c r="C630" t="s">
        <v>76</v>
      </c>
      <c r="D630">
        <v>1.65</v>
      </c>
    </row>
    <row r="631" spans="1:4" x14ac:dyDescent="0.45">
      <c r="A631" t="s">
        <v>34</v>
      </c>
      <c r="B631">
        <v>2022</v>
      </c>
      <c r="C631" t="s">
        <v>76</v>
      </c>
      <c r="D631">
        <v>120.77</v>
      </c>
    </row>
    <row r="632" spans="1:4" x14ac:dyDescent="0.45">
      <c r="A632" t="s">
        <v>36</v>
      </c>
      <c r="B632">
        <v>2022</v>
      </c>
      <c r="C632" t="s">
        <v>76</v>
      </c>
      <c r="D632">
        <v>4.6399999999999997</v>
      </c>
    </row>
    <row r="633" spans="1:4" x14ac:dyDescent="0.45">
      <c r="A633" t="s">
        <v>56</v>
      </c>
      <c r="B633">
        <v>2022</v>
      </c>
      <c r="C633" t="s">
        <v>76</v>
      </c>
      <c r="D633">
        <v>0.05</v>
      </c>
    </row>
    <row r="634" spans="1:4" x14ac:dyDescent="0.45">
      <c r="A634" t="s">
        <v>57</v>
      </c>
      <c r="B634">
        <v>2022</v>
      </c>
      <c r="C634" t="s">
        <v>76</v>
      </c>
      <c r="D634">
        <v>0</v>
      </c>
    </row>
    <row r="635" spans="1:4" x14ac:dyDescent="0.45">
      <c r="A635" t="s">
        <v>38</v>
      </c>
      <c r="B635">
        <v>2022</v>
      </c>
      <c r="C635" t="s">
        <v>76</v>
      </c>
      <c r="D635">
        <v>3.17</v>
      </c>
    </row>
    <row r="636" spans="1:4" x14ac:dyDescent="0.45">
      <c r="A636" t="s">
        <v>32</v>
      </c>
      <c r="B636">
        <v>2022</v>
      </c>
      <c r="C636" t="s">
        <v>76</v>
      </c>
      <c r="D636">
        <v>0</v>
      </c>
    </row>
    <row r="637" spans="1:4" x14ac:dyDescent="0.45">
      <c r="A637" t="s">
        <v>58</v>
      </c>
      <c r="B637">
        <v>2022</v>
      </c>
      <c r="C637" t="s">
        <v>76</v>
      </c>
      <c r="D637">
        <v>0.39</v>
      </c>
    </row>
    <row r="638" spans="1:4" x14ac:dyDescent="0.45">
      <c r="A638" t="s">
        <v>91</v>
      </c>
      <c r="B638">
        <v>2022</v>
      </c>
      <c r="C638" t="s">
        <v>76</v>
      </c>
      <c r="D638">
        <v>0.24</v>
      </c>
    </row>
    <row r="639" spans="1:4" x14ac:dyDescent="0.45">
      <c r="A639" t="s">
        <v>32</v>
      </c>
      <c r="B639">
        <v>2023</v>
      </c>
      <c r="C639" t="s">
        <v>76</v>
      </c>
      <c r="D639">
        <v>1.76</v>
      </c>
    </row>
    <row r="640" spans="1:4" x14ac:dyDescent="0.45">
      <c r="A640" t="s">
        <v>34</v>
      </c>
      <c r="B640">
        <v>2023</v>
      </c>
      <c r="C640" t="s">
        <v>76</v>
      </c>
      <c r="D640">
        <v>99.6</v>
      </c>
    </row>
    <row r="641" spans="1:4" x14ac:dyDescent="0.45">
      <c r="A641" t="s">
        <v>36</v>
      </c>
      <c r="B641">
        <v>2023</v>
      </c>
      <c r="C641" t="s">
        <v>76</v>
      </c>
      <c r="D641">
        <v>6.02</v>
      </c>
    </row>
    <row r="642" spans="1:4" x14ac:dyDescent="0.45">
      <c r="A642" t="s">
        <v>56</v>
      </c>
      <c r="B642">
        <v>2023</v>
      </c>
      <c r="C642" t="s">
        <v>76</v>
      </c>
      <c r="D642">
        <v>0.06</v>
      </c>
    </row>
    <row r="643" spans="1:4" x14ac:dyDescent="0.45">
      <c r="A643" t="s">
        <v>57</v>
      </c>
      <c r="B643">
        <v>2023</v>
      </c>
      <c r="C643" t="s">
        <v>76</v>
      </c>
      <c r="D643">
        <v>0</v>
      </c>
    </row>
    <row r="644" spans="1:4" x14ac:dyDescent="0.45">
      <c r="A644" t="s">
        <v>38</v>
      </c>
      <c r="B644">
        <v>2023</v>
      </c>
      <c r="C644" t="s">
        <v>76</v>
      </c>
      <c r="D644">
        <v>3.4</v>
      </c>
    </row>
    <row r="645" spans="1:4" x14ac:dyDescent="0.45">
      <c r="A645" t="s">
        <v>58</v>
      </c>
      <c r="B645">
        <v>2023</v>
      </c>
      <c r="C645" t="s">
        <v>76</v>
      </c>
      <c r="D645">
        <v>0.57999999999999996</v>
      </c>
    </row>
    <row r="646" spans="1:4" x14ac:dyDescent="0.45">
      <c r="A646" t="s">
        <v>91</v>
      </c>
      <c r="B646">
        <v>2023</v>
      </c>
      <c r="C646" t="s">
        <v>76</v>
      </c>
      <c r="D646">
        <v>0.28000000000000003</v>
      </c>
    </row>
    <row r="647" spans="1:4" x14ac:dyDescent="0.45">
      <c r="A647" t="s">
        <v>59</v>
      </c>
      <c r="B647">
        <v>2000</v>
      </c>
      <c r="C647" t="s">
        <v>74</v>
      </c>
      <c r="D647">
        <v>9.6999999999999993</v>
      </c>
    </row>
    <row r="648" spans="1:4" x14ac:dyDescent="0.45">
      <c r="A648" t="s">
        <v>60</v>
      </c>
      <c r="B648">
        <v>2000</v>
      </c>
      <c r="C648" t="s">
        <v>74</v>
      </c>
      <c r="D648">
        <v>3.3</v>
      </c>
    </row>
    <row r="649" spans="1:4" x14ac:dyDescent="0.45">
      <c r="A649" t="s">
        <v>59</v>
      </c>
      <c r="B649">
        <v>2001</v>
      </c>
      <c r="C649" t="s">
        <v>74</v>
      </c>
      <c r="D649">
        <v>11</v>
      </c>
    </row>
    <row r="650" spans="1:4" x14ac:dyDescent="0.45">
      <c r="A650" t="s">
        <v>60</v>
      </c>
      <c r="B650">
        <v>2001</v>
      </c>
      <c r="C650" t="s">
        <v>74</v>
      </c>
      <c r="D650">
        <v>4.3</v>
      </c>
    </row>
    <row r="651" spans="1:4" x14ac:dyDescent="0.45">
      <c r="A651" t="s">
        <v>59</v>
      </c>
      <c r="B651">
        <v>2002</v>
      </c>
      <c r="C651" t="s">
        <v>74</v>
      </c>
      <c r="D651">
        <v>11.5</v>
      </c>
    </row>
    <row r="652" spans="1:4" x14ac:dyDescent="0.45">
      <c r="A652" t="s">
        <v>60</v>
      </c>
      <c r="B652">
        <v>2002</v>
      </c>
      <c r="C652" t="s">
        <v>74</v>
      </c>
      <c r="D652">
        <v>4.5</v>
      </c>
    </row>
    <row r="653" spans="1:4" x14ac:dyDescent="0.45">
      <c r="A653" t="s">
        <v>59</v>
      </c>
      <c r="B653">
        <v>2003</v>
      </c>
      <c r="C653" t="s">
        <v>74</v>
      </c>
      <c r="D653">
        <v>15.1</v>
      </c>
    </row>
    <row r="654" spans="1:4" x14ac:dyDescent="0.45">
      <c r="A654" t="s">
        <v>60</v>
      </c>
      <c r="B654">
        <v>2003</v>
      </c>
      <c r="C654" t="s">
        <v>74</v>
      </c>
      <c r="D654">
        <v>5</v>
      </c>
    </row>
    <row r="655" spans="1:4" x14ac:dyDescent="0.45">
      <c r="A655" t="s">
        <v>59</v>
      </c>
      <c r="B655">
        <v>2004</v>
      </c>
      <c r="C655" t="s">
        <v>74</v>
      </c>
      <c r="D655">
        <v>14.6</v>
      </c>
    </row>
    <row r="656" spans="1:4" x14ac:dyDescent="0.45">
      <c r="A656" t="s">
        <v>60</v>
      </c>
      <c r="B656">
        <v>2004</v>
      </c>
      <c r="C656" t="s">
        <v>74</v>
      </c>
      <c r="D656">
        <v>5.3</v>
      </c>
    </row>
    <row r="657" spans="1:4" x14ac:dyDescent="0.45">
      <c r="A657" t="s">
        <v>59</v>
      </c>
      <c r="B657">
        <v>2005</v>
      </c>
      <c r="C657" t="s">
        <v>74</v>
      </c>
      <c r="D657">
        <v>16.2</v>
      </c>
    </row>
    <row r="658" spans="1:4" x14ac:dyDescent="0.45">
      <c r="A658" t="s">
        <v>60</v>
      </c>
      <c r="B658">
        <v>2005</v>
      </c>
      <c r="C658" t="s">
        <v>74</v>
      </c>
      <c r="D658">
        <v>5</v>
      </c>
    </row>
    <row r="659" spans="1:4" x14ac:dyDescent="0.45">
      <c r="A659" t="s">
        <v>59</v>
      </c>
      <c r="B659">
        <v>2006</v>
      </c>
      <c r="C659" t="s">
        <v>74</v>
      </c>
      <c r="D659">
        <v>15.8</v>
      </c>
    </row>
    <row r="660" spans="1:4" x14ac:dyDescent="0.45">
      <c r="A660" t="s">
        <v>60</v>
      </c>
      <c r="B660">
        <v>2006</v>
      </c>
      <c r="C660" t="s">
        <v>74</v>
      </c>
      <c r="D660">
        <v>4.8</v>
      </c>
    </row>
    <row r="661" spans="1:4" x14ac:dyDescent="0.45">
      <c r="A661" t="s">
        <v>59</v>
      </c>
      <c r="B661">
        <v>2007</v>
      </c>
      <c r="C661" t="s">
        <v>74</v>
      </c>
      <c r="D661">
        <v>13.1</v>
      </c>
    </row>
    <row r="662" spans="1:4" x14ac:dyDescent="0.45">
      <c r="A662" t="s">
        <v>60</v>
      </c>
      <c r="B662">
        <v>2007</v>
      </c>
      <c r="C662" t="s">
        <v>74</v>
      </c>
      <c r="D662">
        <v>7.8</v>
      </c>
    </row>
    <row r="663" spans="1:4" x14ac:dyDescent="0.45">
      <c r="A663" t="s">
        <v>59</v>
      </c>
      <c r="B663">
        <v>2008</v>
      </c>
      <c r="C663" t="s">
        <v>74</v>
      </c>
      <c r="D663">
        <v>9.6999999999999993</v>
      </c>
    </row>
    <row r="664" spans="1:4" x14ac:dyDescent="0.45">
      <c r="A664" t="s">
        <v>60</v>
      </c>
      <c r="B664">
        <v>2008</v>
      </c>
      <c r="C664" t="s">
        <v>74</v>
      </c>
      <c r="D664">
        <v>9</v>
      </c>
    </row>
    <row r="665" spans="1:4" x14ac:dyDescent="0.45">
      <c r="A665" t="s">
        <v>59</v>
      </c>
      <c r="B665">
        <v>2009</v>
      </c>
      <c r="C665" t="s">
        <v>74</v>
      </c>
      <c r="D665">
        <v>9.6</v>
      </c>
    </row>
    <row r="666" spans="1:4" x14ac:dyDescent="0.45">
      <c r="A666" t="s">
        <v>60</v>
      </c>
      <c r="B666">
        <v>2009</v>
      </c>
      <c r="C666" t="s">
        <v>74</v>
      </c>
      <c r="D666">
        <v>7.4</v>
      </c>
    </row>
    <row r="667" spans="1:4" x14ac:dyDescent="0.45">
      <c r="A667" t="s">
        <v>59</v>
      </c>
      <c r="B667">
        <v>2010</v>
      </c>
      <c r="C667" t="s">
        <v>74</v>
      </c>
      <c r="D667">
        <v>7.7</v>
      </c>
    </row>
    <row r="668" spans="1:4" x14ac:dyDescent="0.45">
      <c r="A668" t="s">
        <v>60</v>
      </c>
      <c r="B668">
        <v>2010</v>
      </c>
      <c r="C668" t="s">
        <v>74</v>
      </c>
      <c r="D668">
        <v>6.3</v>
      </c>
    </row>
    <row r="669" spans="1:4" x14ac:dyDescent="0.45">
      <c r="A669" t="s">
        <v>59</v>
      </c>
      <c r="B669">
        <v>2011</v>
      </c>
      <c r="C669" t="s">
        <v>74</v>
      </c>
      <c r="D669">
        <v>12</v>
      </c>
    </row>
    <row r="670" spans="1:4" x14ac:dyDescent="0.45">
      <c r="A670" t="s">
        <v>60</v>
      </c>
      <c r="B670">
        <v>2011</v>
      </c>
      <c r="C670" t="s">
        <v>74</v>
      </c>
      <c r="D670">
        <v>6.8</v>
      </c>
    </row>
    <row r="671" spans="1:4" x14ac:dyDescent="0.45">
      <c r="A671" t="s">
        <v>59</v>
      </c>
      <c r="B671">
        <v>2012</v>
      </c>
      <c r="C671" t="s">
        <v>74</v>
      </c>
      <c r="D671">
        <v>12.6</v>
      </c>
    </row>
    <row r="672" spans="1:4" x14ac:dyDescent="0.45">
      <c r="A672" t="s">
        <v>60</v>
      </c>
      <c r="B672">
        <v>2012</v>
      </c>
      <c r="C672" t="s">
        <v>74</v>
      </c>
      <c r="D672">
        <v>9.8000000000000007</v>
      </c>
    </row>
    <row r="673" spans="1:4" x14ac:dyDescent="0.45">
      <c r="A673" t="s">
        <v>59</v>
      </c>
      <c r="B673">
        <v>2013</v>
      </c>
      <c r="C673" t="s">
        <v>74</v>
      </c>
      <c r="D673">
        <v>12.3</v>
      </c>
    </row>
    <row r="674" spans="1:4" x14ac:dyDescent="0.45">
      <c r="A674" t="s">
        <v>60</v>
      </c>
      <c r="B674">
        <v>2013</v>
      </c>
      <c r="C674" t="s">
        <v>74</v>
      </c>
      <c r="D674">
        <v>7.8</v>
      </c>
    </row>
    <row r="675" spans="1:4" x14ac:dyDescent="0.45">
      <c r="A675" t="s">
        <v>59</v>
      </c>
      <c r="B675">
        <v>2014</v>
      </c>
      <c r="C675" t="s">
        <v>74</v>
      </c>
      <c r="D675">
        <v>11.3</v>
      </c>
    </row>
    <row r="676" spans="1:4" x14ac:dyDescent="0.45">
      <c r="A676" t="s">
        <v>60</v>
      </c>
      <c r="B676">
        <v>2014</v>
      </c>
      <c r="C676" t="s">
        <v>74</v>
      </c>
      <c r="D676">
        <v>13.5</v>
      </c>
    </row>
    <row r="677" spans="1:4" x14ac:dyDescent="0.45">
      <c r="A677" t="s">
        <v>59</v>
      </c>
      <c r="B677">
        <v>2015</v>
      </c>
      <c r="C677" t="s">
        <v>74</v>
      </c>
      <c r="D677">
        <v>14.8</v>
      </c>
    </row>
    <row r="678" spans="1:4" x14ac:dyDescent="0.45">
      <c r="A678" t="s">
        <v>60</v>
      </c>
      <c r="B678">
        <v>2015</v>
      </c>
      <c r="C678" t="s">
        <v>74</v>
      </c>
      <c r="D678">
        <v>14.5</v>
      </c>
    </row>
    <row r="679" spans="1:4" x14ac:dyDescent="0.45">
      <c r="A679" t="s">
        <v>59</v>
      </c>
      <c r="B679">
        <v>2016</v>
      </c>
      <c r="C679" t="s">
        <v>74</v>
      </c>
      <c r="D679">
        <v>12</v>
      </c>
    </row>
    <row r="680" spans="1:4" x14ac:dyDescent="0.45">
      <c r="A680" t="s">
        <v>60</v>
      </c>
      <c r="B680">
        <v>2016</v>
      </c>
      <c r="C680" t="s">
        <v>74</v>
      </c>
      <c r="D680">
        <v>14</v>
      </c>
    </row>
    <row r="681" spans="1:4" x14ac:dyDescent="0.45">
      <c r="A681" t="s">
        <v>59</v>
      </c>
      <c r="B681">
        <v>2017</v>
      </c>
      <c r="C681" t="s">
        <v>74</v>
      </c>
      <c r="D681">
        <v>11</v>
      </c>
    </row>
    <row r="682" spans="1:4" x14ac:dyDescent="0.45">
      <c r="A682" t="s">
        <v>60</v>
      </c>
      <c r="B682">
        <v>2017</v>
      </c>
      <c r="C682" t="s">
        <v>74</v>
      </c>
      <c r="D682">
        <v>13.3</v>
      </c>
    </row>
    <row r="683" spans="1:4" x14ac:dyDescent="0.45">
      <c r="A683" t="s">
        <v>59</v>
      </c>
      <c r="B683">
        <v>2018</v>
      </c>
      <c r="C683" t="s">
        <v>74</v>
      </c>
      <c r="D683">
        <v>8.1</v>
      </c>
    </row>
    <row r="684" spans="1:4" x14ac:dyDescent="0.45">
      <c r="A684" t="s">
        <v>60</v>
      </c>
      <c r="B684">
        <v>2018</v>
      </c>
      <c r="C684" t="s">
        <v>74</v>
      </c>
      <c r="D684">
        <v>13.8</v>
      </c>
    </row>
    <row r="685" spans="1:4" x14ac:dyDescent="0.45">
      <c r="A685" t="s">
        <v>59</v>
      </c>
      <c r="B685">
        <v>2019</v>
      </c>
      <c r="C685" t="s">
        <v>74</v>
      </c>
      <c r="D685">
        <v>7.2</v>
      </c>
    </row>
    <row r="686" spans="1:4" x14ac:dyDescent="0.45">
      <c r="A686" t="s">
        <v>60</v>
      </c>
      <c r="B686">
        <v>2019</v>
      </c>
      <c r="C686" t="s">
        <v>74</v>
      </c>
      <c r="D686">
        <v>17.899999999999999</v>
      </c>
    </row>
    <row r="687" spans="1:4" x14ac:dyDescent="0.45">
      <c r="A687" t="s">
        <v>59</v>
      </c>
      <c r="B687">
        <v>2020</v>
      </c>
      <c r="C687" t="s">
        <v>74</v>
      </c>
      <c r="D687">
        <v>7.4</v>
      </c>
    </row>
    <row r="688" spans="1:4" x14ac:dyDescent="0.45">
      <c r="A688" t="s">
        <v>60</v>
      </c>
      <c r="B688">
        <v>2020</v>
      </c>
      <c r="C688" t="s">
        <v>74</v>
      </c>
      <c r="D688">
        <v>20.6</v>
      </c>
    </row>
    <row r="689" spans="1:4" x14ac:dyDescent="0.45">
      <c r="A689" t="s">
        <v>59</v>
      </c>
      <c r="B689">
        <v>2021</v>
      </c>
      <c r="C689" t="s">
        <v>74</v>
      </c>
      <c r="D689">
        <v>14.2</v>
      </c>
    </row>
    <row r="690" spans="1:4" x14ac:dyDescent="0.45">
      <c r="A690" t="s">
        <v>60</v>
      </c>
      <c r="B690">
        <v>2021</v>
      </c>
      <c r="C690" t="s">
        <v>74</v>
      </c>
      <c r="D690">
        <v>15.1</v>
      </c>
    </row>
    <row r="691" spans="1:4" x14ac:dyDescent="0.45">
      <c r="A691" t="s">
        <v>59</v>
      </c>
      <c r="B691">
        <v>2022</v>
      </c>
      <c r="C691" t="s">
        <v>74</v>
      </c>
      <c r="D691">
        <v>16.899999999999999</v>
      </c>
    </row>
    <row r="692" spans="1:4" x14ac:dyDescent="0.45">
      <c r="A692" t="s">
        <v>60</v>
      </c>
      <c r="B692">
        <v>2022</v>
      </c>
      <c r="C692" t="s">
        <v>74</v>
      </c>
      <c r="D692">
        <v>15.2</v>
      </c>
    </row>
    <row r="693" spans="1:4" x14ac:dyDescent="0.45">
      <c r="A693" t="s">
        <v>59</v>
      </c>
      <c r="B693">
        <v>2023</v>
      </c>
      <c r="C693" t="s">
        <v>74</v>
      </c>
      <c r="D693">
        <v>11.4</v>
      </c>
    </row>
    <row r="694" spans="1:4" x14ac:dyDescent="0.45">
      <c r="A694" t="s">
        <v>60</v>
      </c>
      <c r="B694">
        <v>2023</v>
      </c>
      <c r="C694" t="s">
        <v>74</v>
      </c>
      <c r="D694">
        <v>15.1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25.991000000000003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15.4724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0.13159999999999999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0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0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25.962800000000001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36.096000000000004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6.5518000000000001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31.950599999999998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29.891999999999999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35.738799999999998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40.749000000000002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26.038000000000004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36.227600000000002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6.5987999999999998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3.7600000000000001E-2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0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25.887599999999999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36.678800000000003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6.7868000000000004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3.7600000000000001E-2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0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25.398800000000001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15.058800000000002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0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0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0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0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0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25.840599999999998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15.3126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0.65800000000000003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25.915800000000001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15.4254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0.54519999999999991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2.8199999999999996E-2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0.1598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14.245000000000001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19.563500000000001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22.863500000000002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37.581499999999998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39.512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39.677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40.875999999999998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14.069000000000001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10.862500000000001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13.1065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13.579500000000001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13.53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11.511500000000002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8.7395000000000014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14.08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10.8735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13.211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23.98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31.074999999999996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27.840999999999998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24.480499999999999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14.003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11.0055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14.200999999999999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20.377500000000001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23.0945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22.253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20.889000000000003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13.75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18.974999999999998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27.290999999999997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16.6265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19.029999999999998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20.608499999999999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20.971499999999999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14.058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19.25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18.804499999999997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22.913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32.774499999999996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33.341000000000001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27.131500000000003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14.151499999999999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19.387499999999999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28.534000000000002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13.5685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13.8325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8.2225000000000001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5.181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6.3E-2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6.3E-2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6.3E-2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6.3E-2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6.3E-2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6.3E-2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6.3E-2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0.2772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1.92225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4.8271499999999996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8.7951499999999996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11.575200000000001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12.546150000000001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12.100349999999999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11.219249999999999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10.129249999999999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8.9245999999999999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8.4055499999999999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7.9345499999999998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8.2429999999999986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8.5893000000000015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8.5760000000000005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8.5973000000000006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0.18604999999999999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0.15970000000000001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0.14305000000000001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0.12204999999999999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0.11985000000000001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0.11349999999999999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0.11135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9.7450000000000009E-2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6.5950000000000009E-2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3.4500000000000003E-2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1.67E-2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0.1875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0.16120000000000001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0.88619999999999999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14.3102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32.700749999999999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36.366749999999996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36.569749999999999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33.662199999999999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31.989750000000001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29.882249999999999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26.123100000000001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22.658750000000001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18.844450000000002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15.4422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14.95215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14.461500000000001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0.18729999999999999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0.16115000000000002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0.56495000000000006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2.9954000000000001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5.40015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7.2336500000000008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7.6088500000000003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7.5983499999999999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7.2437500000000004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6.7930999999999999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5.6241000000000003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4.5633999999999997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4.5802999999999994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4.6127000000000002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4.8328000000000007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5.0606499999999999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0.34675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6.5427999999999997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13.687250000000001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20.603200000000001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24.447600000000001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24.550599999999999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24.572150000000001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24.219149999999999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23.373000000000001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22.097299999999997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21.437649999999998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20.953900000000001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20.811799999999998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20.845549999999999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20.6526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20.422049999999999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0.35120000000000001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2.4353500000000001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5.8143000000000002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8.7272999999999996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10.24295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10.453250000000001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9.8284500000000001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9.2826500000000003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8.17685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6.9961500000000001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5.1890499999999999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3.5622500000000001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3.4478499999999999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3.3561999999999999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3.9333999999999998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4.5110999999999999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0.36080000000000001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11.15765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30.117249999999999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47.065550000000002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46.738799999999998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42.559849999999997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38.844949999999997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35.256950000000003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30.31775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25.105350000000001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22.097950000000001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19.4438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20.084499999999998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20.941400000000002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21.491999999999997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22.045450000000002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200.95125000000002</v>
      </c>
      <c r="K268" t="s">
        <v>48</v>
      </c>
    </row>
    <row r="269" spans="1:11" x14ac:dyDescent="0.45">
      <c r="A269" t="s">
        <v>90</v>
      </c>
      <c r="B269" t="s">
        <v>3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2025</v>
      </c>
      <c r="J269">
        <v>110.11175</v>
      </c>
      <c r="K269" t="s">
        <v>48</v>
      </c>
    </row>
    <row r="270" spans="1:11" x14ac:dyDescent="0.45">
      <c r="A270" t="s">
        <v>90</v>
      </c>
      <c r="B270" t="s">
        <v>3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2030</v>
      </c>
      <c r="J270">
        <v>70.442449999999994</v>
      </c>
      <c r="K270" t="s">
        <v>48</v>
      </c>
    </row>
    <row r="271" spans="1:11" x14ac:dyDescent="0.45">
      <c r="A271" t="s">
        <v>90</v>
      </c>
      <c r="B271" t="s">
        <v>3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2035</v>
      </c>
      <c r="J271">
        <v>31.810549999999999</v>
      </c>
      <c r="K271" t="s">
        <v>48</v>
      </c>
    </row>
    <row r="272" spans="1:11" x14ac:dyDescent="0.45">
      <c r="A272" t="s">
        <v>90</v>
      </c>
      <c r="B272" t="s">
        <v>3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2040</v>
      </c>
      <c r="J272">
        <v>-3.7055499999999997</v>
      </c>
      <c r="K272" t="s">
        <v>48</v>
      </c>
    </row>
    <row r="273" spans="1:11" x14ac:dyDescent="0.45">
      <c r="A273" t="s">
        <v>90</v>
      </c>
      <c r="B273" t="s">
        <v>3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2045</v>
      </c>
      <c r="J273">
        <v>-27.273900000000001</v>
      </c>
      <c r="K273" t="s">
        <v>48</v>
      </c>
    </row>
    <row r="274" spans="1:11" x14ac:dyDescent="0.45">
      <c r="A274" t="s">
        <v>90</v>
      </c>
      <c r="B274" t="s">
        <v>3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2050</v>
      </c>
      <c r="J274">
        <v>-42.336349999999996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2055</v>
      </c>
      <c r="J275">
        <v>-47.70955</v>
      </c>
      <c r="K275" t="s">
        <v>48</v>
      </c>
    </row>
    <row r="276" spans="1:11" x14ac:dyDescent="0.45">
      <c r="A276" t="s">
        <v>90</v>
      </c>
      <c r="B276" t="s">
        <v>3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2060</v>
      </c>
      <c r="J276">
        <v>-52.719000000000001</v>
      </c>
      <c r="K276" t="s">
        <v>48</v>
      </c>
    </row>
    <row r="277" spans="1:11" x14ac:dyDescent="0.45">
      <c r="A277" t="s">
        <v>90</v>
      </c>
      <c r="B277" t="s">
        <v>3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-53.677849999999999</v>
      </c>
      <c r="K277" t="s">
        <v>48</v>
      </c>
    </row>
    <row r="278" spans="1:11" x14ac:dyDescent="0.45">
      <c r="A278" t="s">
        <v>90</v>
      </c>
      <c r="B278" t="s">
        <v>3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2070</v>
      </c>
      <c r="J278">
        <v>-54.458749999999995</v>
      </c>
      <c r="K278" t="s">
        <v>48</v>
      </c>
    </row>
    <row r="279" spans="1:11" x14ac:dyDescent="0.45">
      <c r="A279" t="s">
        <v>90</v>
      </c>
      <c r="B279" t="s">
        <v>3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2075</v>
      </c>
      <c r="J279">
        <v>-54.767400000000002</v>
      </c>
      <c r="K279" t="s">
        <v>48</v>
      </c>
    </row>
    <row r="280" spans="1:11" x14ac:dyDescent="0.45">
      <c r="A280" t="s">
        <v>90</v>
      </c>
      <c r="B280" t="s">
        <v>3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2080</v>
      </c>
      <c r="J280">
        <v>-55.070999999999998</v>
      </c>
      <c r="K280" t="s">
        <v>48</v>
      </c>
    </row>
    <row r="281" spans="1:11" x14ac:dyDescent="0.45">
      <c r="A281" t="s">
        <v>90</v>
      </c>
      <c r="B281" t="s">
        <v>3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2085</v>
      </c>
      <c r="J281">
        <v>-55.778199999999998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2090</v>
      </c>
      <c r="J282">
        <v>-56.484349999999999</v>
      </c>
      <c r="K282" t="s">
        <v>48</v>
      </c>
    </row>
    <row r="283" spans="1:11" x14ac:dyDescent="0.45">
      <c r="A283" t="s">
        <v>90</v>
      </c>
      <c r="B283" t="s">
        <v>3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2095</v>
      </c>
      <c r="J283">
        <v>-55.147800000000004</v>
      </c>
      <c r="K283" t="s">
        <v>48</v>
      </c>
    </row>
    <row r="284" spans="1:11" x14ac:dyDescent="0.45">
      <c r="A284" t="s">
        <v>90</v>
      </c>
      <c r="B284" t="s">
        <v>3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2100</v>
      </c>
      <c r="J284">
        <v>-53.844949999999997</v>
      </c>
      <c r="K284" t="s">
        <v>48</v>
      </c>
    </row>
    <row r="285" spans="1:11" x14ac:dyDescent="0.45">
      <c r="A285" t="s">
        <v>90</v>
      </c>
      <c r="B285" t="s">
        <v>4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199.54034999999999</v>
      </c>
      <c r="K285" t="s">
        <v>48</v>
      </c>
    </row>
    <row r="286" spans="1:11" x14ac:dyDescent="0.45">
      <c r="A286" t="s">
        <v>90</v>
      </c>
      <c r="B286" t="s">
        <v>4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120.39364999999999</v>
      </c>
      <c r="K286" t="s">
        <v>48</v>
      </c>
    </row>
    <row r="287" spans="1:11" x14ac:dyDescent="0.45">
      <c r="A287" t="s">
        <v>90</v>
      </c>
      <c r="B287" t="s">
        <v>4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90.1614</v>
      </c>
      <c r="K287" t="s">
        <v>48</v>
      </c>
    </row>
    <row r="288" spans="1:11" x14ac:dyDescent="0.45">
      <c r="A288" t="s">
        <v>90</v>
      </c>
      <c r="B288" t="s">
        <v>4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69.721049999999991</v>
      </c>
      <c r="K288" t="s">
        <v>48</v>
      </c>
    </row>
    <row r="289" spans="1:11" x14ac:dyDescent="0.45">
      <c r="A289" t="s">
        <v>90</v>
      </c>
      <c r="B289" t="s">
        <v>4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52.596150000000002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36.580799999999996</v>
      </c>
      <c r="K290" t="s">
        <v>48</v>
      </c>
    </row>
    <row r="291" spans="1:11" x14ac:dyDescent="0.45">
      <c r="A291" t="s">
        <v>90</v>
      </c>
      <c r="B291" t="s">
        <v>4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25.834900000000001</v>
      </c>
      <c r="K291" t="s">
        <v>48</v>
      </c>
    </row>
    <row r="292" spans="1:11" x14ac:dyDescent="0.45">
      <c r="A292" t="s">
        <v>90</v>
      </c>
      <c r="B292" t="s">
        <v>4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16.894649999999999</v>
      </c>
      <c r="K292" t="s">
        <v>48</v>
      </c>
    </row>
    <row r="293" spans="1:11" x14ac:dyDescent="0.45">
      <c r="A293" t="s">
        <v>90</v>
      </c>
      <c r="B293" t="s">
        <v>4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10.6829</v>
      </c>
      <c r="K293" t="s">
        <v>48</v>
      </c>
    </row>
    <row r="294" spans="1:11" x14ac:dyDescent="0.45">
      <c r="A294" t="s">
        <v>90</v>
      </c>
      <c r="B294" t="s">
        <v>4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6.52555</v>
      </c>
      <c r="K294" t="s">
        <v>48</v>
      </c>
    </row>
    <row r="295" spans="1:11" x14ac:dyDescent="0.45">
      <c r="A295" t="s">
        <v>90</v>
      </c>
      <c r="B295" t="s">
        <v>4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2.6859000000000002</v>
      </c>
      <c r="K295" t="s">
        <v>48</v>
      </c>
    </row>
    <row r="296" spans="1:11" x14ac:dyDescent="0.45">
      <c r="A296" t="s">
        <v>90</v>
      </c>
      <c r="B296" t="s">
        <v>4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-2.3377499999999998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-6.75</v>
      </c>
      <c r="K297" t="s">
        <v>48</v>
      </c>
    </row>
    <row r="298" spans="1:11" x14ac:dyDescent="0.45">
      <c r="A298" t="s">
        <v>90</v>
      </c>
      <c r="B298" t="s">
        <v>4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-9.989650000000001</v>
      </c>
      <c r="K298" t="s">
        <v>48</v>
      </c>
    </row>
    <row r="299" spans="1:11" x14ac:dyDescent="0.45">
      <c r="A299" t="s">
        <v>90</v>
      </c>
      <c r="B299" t="s">
        <v>4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-12.788599999999999</v>
      </c>
      <c r="K299" t="s">
        <v>48</v>
      </c>
    </row>
    <row r="300" spans="1:11" x14ac:dyDescent="0.45">
      <c r="A300" t="s">
        <v>90</v>
      </c>
      <c r="B300" t="s">
        <v>4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-12.691700000000001</v>
      </c>
      <c r="K300" t="s">
        <v>48</v>
      </c>
    </row>
    <row r="301" spans="1:11" x14ac:dyDescent="0.45">
      <c r="A301" t="s">
        <v>90</v>
      </c>
      <c r="B301" t="s">
        <v>4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-12.456299999999999</v>
      </c>
      <c r="K301" t="s">
        <v>48</v>
      </c>
    </row>
    <row r="302" spans="1:11" x14ac:dyDescent="0.45">
      <c r="A302" t="s">
        <v>90</v>
      </c>
      <c r="B302" t="s">
        <v>0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2020</v>
      </c>
      <c r="J302">
        <v>201.93979999999999</v>
      </c>
      <c r="K302" t="s">
        <v>48</v>
      </c>
    </row>
    <row r="303" spans="1:11" x14ac:dyDescent="0.45">
      <c r="A303" t="s">
        <v>90</v>
      </c>
      <c r="B303" t="s">
        <v>0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123.47024999999999</v>
      </c>
      <c r="K303" t="s">
        <v>48</v>
      </c>
    </row>
    <row r="304" spans="1:11" x14ac:dyDescent="0.45">
      <c r="A304" t="s">
        <v>90</v>
      </c>
      <c r="B304" t="s">
        <v>0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2030</v>
      </c>
      <c r="J304">
        <v>94.586449999999999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2035</v>
      </c>
      <c r="J305">
        <v>49.295250000000003</v>
      </c>
      <c r="K305" t="s">
        <v>48</v>
      </c>
    </row>
    <row r="306" spans="1:11" x14ac:dyDescent="0.45">
      <c r="A306" t="s">
        <v>90</v>
      </c>
      <c r="B306" t="s">
        <v>0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2040</v>
      </c>
      <c r="J306">
        <v>-37.589950000000002</v>
      </c>
      <c r="K306" t="s">
        <v>48</v>
      </c>
    </row>
    <row r="307" spans="1:11" x14ac:dyDescent="0.45">
      <c r="A307" t="s">
        <v>90</v>
      </c>
      <c r="B307" t="s">
        <v>0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-84.407299999999992</v>
      </c>
      <c r="K307" t="s">
        <v>48</v>
      </c>
    </row>
    <row r="308" spans="1:11" x14ac:dyDescent="0.45">
      <c r="A308" t="s">
        <v>90</v>
      </c>
      <c r="B308" t="s">
        <v>0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2050</v>
      </c>
      <c r="J308">
        <v>-100.48715</v>
      </c>
      <c r="K308" t="s">
        <v>48</v>
      </c>
    </row>
    <row r="309" spans="1:11" x14ac:dyDescent="0.45">
      <c r="A309" t="s">
        <v>90</v>
      </c>
      <c r="B309" t="s">
        <v>0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2055</v>
      </c>
      <c r="J309">
        <v>-101.05359999999999</v>
      </c>
      <c r="K309" t="s">
        <v>48</v>
      </c>
    </row>
    <row r="310" spans="1:11" x14ac:dyDescent="0.45">
      <c r="A310" t="s">
        <v>90</v>
      </c>
      <c r="B310" t="s">
        <v>0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2060</v>
      </c>
      <c r="J310">
        <v>-96.589300000000009</v>
      </c>
      <c r="K310" t="s">
        <v>48</v>
      </c>
    </row>
    <row r="311" spans="1:11" x14ac:dyDescent="0.45">
      <c r="A311" t="s">
        <v>90</v>
      </c>
      <c r="B311" t="s">
        <v>0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2065</v>
      </c>
      <c r="J311">
        <v>-95.030550000000005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2070</v>
      </c>
      <c r="J312">
        <v>-93.378749999999997</v>
      </c>
      <c r="K312" t="s">
        <v>48</v>
      </c>
    </row>
    <row r="313" spans="1:11" x14ac:dyDescent="0.45">
      <c r="A313" t="s">
        <v>90</v>
      </c>
      <c r="B313" t="s">
        <v>0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-88.326699999999988</v>
      </c>
      <c r="K313" t="s">
        <v>48</v>
      </c>
    </row>
    <row r="314" spans="1:11" x14ac:dyDescent="0.45">
      <c r="A314" t="s">
        <v>90</v>
      </c>
      <c r="B314" t="s">
        <v>0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2080</v>
      </c>
      <c r="J314">
        <v>-83.570799999999991</v>
      </c>
      <c r="K314" t="s">
        <v>48</v>
      </c>
    </row>
    <row r="315" spans="1:11" x14ac:dyDescent="0.45">
      <c r="A315" t="s">
        <v>90</v>
      </c>
      <c r="B315" t="s">
        <v>0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2085</v>
      </c>
      <c r="J315">
        <v>-79.300200000000004</v>
      </c>
      <c r="K315" t="s">
        <v>48</v>
      </c>
    </row>
    <row r="316" spans="1:11" x14ac:dyDescent="0.45">
      <c r="A316" t="s">
        <v>90</v>
      </c>
      <c r="B316" t="s">
        <v>0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2090</v>
      </c>
      <c r="J316">
        <v>-75.451950000000011</v>
      </c>
      <c r="K316" t="s">
        <v>48</v>
      </c>
    </row>
    <row r="317" spans="1:11" x14ac:dyDescent="0.45">
      <c r="A317" t="s">
        <v>90</v>
      </c>
      <c r="B317" t="s">
        <v>0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2095</v>
      </c>
      <c r="J317">
        <v>-72.776650000000004</v>
      </c>
      <c r="K317" t="s">
        <v>48</v>
      </c>
    </row>
    <row r="318" spans="1:11" x14ac:dyDescent="0.45">
      <c r="A318" t="s">
        <v>90</v>
      </c>
      <c r="B318" t="s">
        <v>0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2100</v>
      </c>
      <c r="J318">
        <v>-70.111999999999995</v>
      </c>
      <c r="K318" t="s">
        <v>48</v>
      </c>
    </row>
    <row r="319" spans="1:11" x14ac:dyDescent="0.45">
      <c r="A319" t="s">
        <v>90</v>
      </c>
      <c r="B319" t="s">
        <v>6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200.54259999999999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121.62775000000001</v>
      </c>
      <c r="K320" t="s">
        <v>48</v>
      </c>
    </row>
    <row r="321" spans="1:11" x14ac:dyDescent="0.45">
      <c r="A321" t="s">
        <v>90</v>
      </c>
      <c r="B321" t="s">
        <v>6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92.352850000000004</v>
      </c>
      <c r="K321" t="s">
        <v>48</v>
      </c>
    </row>
    <row r="322" spans="1:11" x14ac:dyDescent="0.45">
      <c r="A322" t="s">
        <v>90</v>
      </c>
      <c r="B322" t="s">
        <v>6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47.239699999999999</v>
      </c>
      <c r="K322" t="s">
        <v>48</v>
      </c>
    </row>
    <row r="323" spans="1:11" x14ac:dyDescent="0.45">
      <c r="A323" t="s">
        <v>90</v>
      </c>
      <c r="B323" t="s">
        <v>6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-6.1714000000000002</v>
      </c>
      <c r="K323" t="s">
        <v>48</v>
      </c>
    </row>
    <row r="324" spans="1:11" x14ac:dyDescent="0.45">
      <c r="A324" t="s">
        <v>90</v>
      </c>
      <c r="B324" t="s">
        <v>6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-34.727199999999996</v>
      </c>
      <c r="K324" t="s">
        <v>48</v>
      </c>
    </row>
    <row r="325" spans="1:11" x14ac:dyDescent="0.45">
      <c r="A325" t="s">
        <v>90</v>
      </c>
      <c r="B325" t="s">
        <v>6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-48.344050000000003</v>
      </c>
      <c r="K325" t="s">
        <v>48</v>
      </c>
    </row>
    <row r="326" spans="1:11" x14ac:dyDescent="0.45">
      <c r="A326" t="s">
        <v>90</v>
      </c>
      <c r="B326" t="s">
        <v>6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-51.372250000000001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-53.382800000000003</v>
      </c>
      <c r="K327" t="s">
        <v>48</v>
      </c>
    </row>
    <row r="328" spans="1:11" x14ac:dyDescent="0.45">
      <c r="A328" t="s">
        <v>90</v>
      </c>
      <c r="B328" t="s">
        <v>6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-54.296850000000006</v>
      </c>
      <c r="K328" t="s">
        <v>48</v>
      </c>
    </row>
    <row r="329" spans="1:11" x14ac:dyDescent="0.45">
      <c r="A329" t="s">
        <v>90</v>
      </c>
      <c r="B329" t="s">
        <v>6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-55.0961</v>
      </c>
      <c r="K329" t="s">
        <v>48</v>
      </c>
    </row>
    <row r="330" spans="1:11" x14ac:dyDescent="0.45">
      <c r="A330" t="s">
        <v>90</v>
      </c>
      <c r="B330" t="s">
        <v>6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-56.562899999999999</v>
      </c>
      <c r="K330" t="s">
        <v>48</v>
      </c>
    </row>
    <row r="331" spans="1:11" x14ac:dyDescent="0.45">
      <c r="A331" t="s">
        <v>90</v>
      </c>
      <c r="B331" t="s">
        <v>6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-57.992900000000006</v>
      </c>
      <c r="K331" t="s">
        <v>48</v>
      </c>
    </row>
    <row r="332" spans="1:11" x14ac:dyDescent="0.45">
      <c r="A332" t="s">
        <v>90</v>
      </c>
      <c r="B332" t="s">
        <v>6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-59.30245</v>
      </c>
      <c r="K332" t="s">
        <v>48</v>
      </c>
    </row>
    <row r="333" spans="1:11" x14ac:dyDescent="0.45">
      <c r="A333" t="s">
        <v>90</v>
      </c>
      <c r="B333" t="s">
        <v>6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-60.493749999999999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-58.329099999999997</v>
      </c>
      <c r="K334" t="s">
        <v>48</v>
      </c>
    </row>
    <row r="335" spans="1:11" x14ac:dyDescent="0.45">
      <c r="A335" t="s">
        <v>90</v>
      </c>
      <c r="B335" t="s">
        <v>6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-56.23565</v>
      </c>
      <c r="K335" t="s">
        <v>48</v>
      </c>
    </row>
    <row r="336" spans="1:11" x14ac:dyDescent="0.45">
      <c r="A336" t="s">
        <v>90</v>
      </c>
      <c r="B336" t="s">
        <v>5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2020</v>
      </c>
      <c r="J336">
        <v>200.73514999999998</v>
      </c>
      <c r="K336" t="s">
        <v>48</v>
      </c>
    </row>
    <row r="337" spans="1:11" x14ac:dyDescent="0.45">
      <c r="A337" t="s">
        <v>90</v>
      </c>
      <c r="B337" t="s">
        <v>5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2025</v>
      </c>
      <c r="J337">
        <v>102.7843</v>
      </c>
      <c r="K337" t="s">
        <v>48</v>
      </c>
    </row>
    <row r="338" spans="1:11" x14ac:dyDescent="0.45">
      <c r="A338" t="s">
        <v>90</v>
      </c>
      <c r="B338" t="s">
        <v>5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2030</v>
      </c>
      <c r="J338">
        <v>25.554250000000003</v>
      </c>
      <c r="K338" t="s">
        <v>48</v>
      </c>
    </row>
    <row r="339" spans="1:11" x14ac:dyDescent="0.45">
      <c r="A339" t="s">
        <v>90</v>
      </c>
      <c r="B339" t="s">
        <v>5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2035</v>
      </c>
      <c r="J339">
        <v>-20.486049999999999</v>
      </c>
      <c r="K339" t="s">
        <v>48</v>
      </c>
    </row>
    <row r="340" spans="1:11" x14ac:dyDescent="0.45">
      <c r="A340" t="s">
        <v>90</v>
      </c>
      <c r="B340" t="s">
        <v>5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2040</v>
      </c>
      <c r="J340">
        <v>-56.758300000000006</v>
      </c>
      <c r="K340" t="s">
        <v>48</v>
      </c>
    </row>
    <row r="341" spans="1:11" x14ac:dyDescent="0.45">
      <c r="A341" t="s">
        <v>90</v>
      </c>
      <c r="B341" t="s">
        <v>5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2045</v>
      </c>
      <c r="J341">
        <v>-79.966149999999999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2050</v>
      </c>
      <c r="J342">
        <v>-87.758150000000001</v>
      </c>
      <c r="K342" t="s">
        <v>48</v>
      </c>
    </row>
    <row r="343" spans="1:11" x14ac:dyDescent="0.45">
      <c r="A343" t="s">
        <v>90</v>
      </c>
      <c r="B343" t="s">
        <v>5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2055</v>
      </c>
      <c r="J343">
        <v>-91.551950000000005</v>
      </c>
      <c r="K343" t="s">
        <v>48</v>
      </c>
    </row>
    <row r="344" spans="1:11" x14ac:dyDescent="0.45">
      <c r="A344" t="s">
        <v>90</v>
      </c>
      <c r="B344" t="s">
        <v>5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2060</v>
      </c>
      <c r="J344">
        <v>-90.454250000000002</v>
      </c>
      <c r="K344" t="s">
        <v>48</v>
      </c>
    </row>
    <row r="345" spans="1:11" x14ac:dyDescent="0.45">
      <c r="A345" t="s">
        <v>90</v>
      </c>
      <c r="B345" t="s">
        <v>5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2065</v>
      </c>
      <c r="J345">
        <v>-85.997099999999989</v>
      </c>
      <c r="K345" t="s">
        <v>48</v>
      </c>
    </row>
    <row r="346" spans="1:11" x14ac:dyDescent="0.45">
      <c r="A346" t="s">
        <v>90</v>
      </c>
      <c r="B346" t="s">
        <v>5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2070</v>
      </c>
      <c r="J346">
        <v>-81.118249999999989</v>
      </c>
      <c r="K346" t="s">
        <v>48</v>
      </c>
    </row>
    <row r="347" spans="1:11" x14ac:dyDescent="0.45">
      <c r="A347" t="s">
        <v>90</v>
      </c>
      <c r="B347" t="s">
        <v>5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-83.04310000000001</v>
      </c>
      <c r="K347" t="s">
        <v>48</v>
      </c>
    </row>
    <row r="348" spans="1:11" x14ac:dyDescent="0.45">
      <c r="A348" t="s">
        <v>90</v>
      </c>
      <c r="B348" t="s">
        <v>5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2080</v>
      </c>
      <c r="J348">
        <v>-85.036349999999999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2085</v>
      </c>
      <c r="J349">
        <v>-83.498899999999992</v>
      </c>
      <c r="K349" t="s">
        <v>48</v>
      </c>
    </row>
    <row r="350" spans="1:11" x14ac:dyDescent="0.45">
      <c r="A350" t="s">
        <v>90</v>
      </c>
      <c r="B350" t="s">
        <v>5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-82.091750000000005</v>
      </c>
      <c r="K350" t="s">
        <v>48</v>
      </c>
    </row>
    <row r="351" spans="1:11" x14ac:dyDescent="0.45">
      <c r="A351" t="s">
        <v>90</v>
      </c>
      <c r="B351" t="s">
        <v>5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2095</v>
      </c>
      <c r="J351">
        <v>-84.358550000000008</v>
      </c>
      <c r="K351" t="s">
        <v>48</v>
      </c>
    </row>
    <row r="352" spans="1:11" x14ac:dyDescent="0.45">
      <c r="A352" t="s">
        <v>90</v>
      </c>
      <c r="B352" t="s">
        <v>5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2100</v>
      </c>
      <c r="J352">
        <v>-86.627299999999991</v>
      </c>
      <c r="K352" t="s">
        <v>48</v>
      </c>
    </row>
    <row r="353" spans="1:11" x14ac:dyDescent="0.45">
      <c r="A353" t="s">
        <v>90</v>
      </c>
      <c r="B353" t="s">
        <v>2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200.11019999999999</v>
      </c>
      <c r="K353" t="s">
        <v>48</v>
      </c>
    </row>
    <row r="354" spans="1:11" x14ac:dyDescent="0.45">
      <c r="A354" t="s">
        <v>90</v>
      </c>
      <c r="B354" t="s">
        <v>2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103.36375000000001</v>
      </c>
      <c r="K354" t="s">
        <v>48</v>
      </c>
    </row>
    <row r="355" spans="1:11" x14ac:dyDescent="0.45">
      <c r="A355" t="s">
        <v>90</v>
      </c>
      <c r="B355" t="s">
        <v>2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62.344250000000002</v>
      </c>
      <c r="K355" t="s">
        <v>48</v>
      </c>
    </row>
    <row r="356" spans="1:11" x14ac:dyDescent="0.45">
      <c r="A356" t="s">
        <v>90</v>
      </c>
      <c r="B356" t="s">
        <v>2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26.861449999999998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-3.6689499999999997</v>
      </c>
      <c r="K357" t="s">
        <v>48</v>
      </c>
    </row>
    <row r="358" spans="1:11" x14ac:dyDescent="0.45">
      <c r="A358" t="s">
        <v>90</v>
      </c>
      <c r="B358" t="s">
        <v>2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-22.445250000000001</v>
      </c>
      <c r="K358" t="s">
        <v>48</v>
      </c>
    </row>
    <row r="359" spans="1:11" x14ac:dyDescent="0.45">
      <c r="A359" t="s">
        <v>90</v>
      </c>
      <c r="B359" t="s">
        <v>2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-34.372450000000001</v>
      </c>
      <c r="K359" t="s">
        <v>48</v>
      </c>
    </row>
    <row r="360" spans="1:11" x14ac:dyDescent="0.45">
      <c r="A360" t="s">
        <v>90</v>
      </c>
      <c r="B360" t="s">
        <v>2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-38.916250000000005</v>
      </c>
      <c r="K360" t="s">
        <v>48</v>
      </c>
    </row>
    <row r="361" spans="1:11" x14ac:dyDescent="0.45">
      <c r="A361" t="s">
        <v>90</v>
      </c>
      <c r="B361" t="s">
        <v>2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-42.599249999999998</v>
      </c>
      <c r="K361" t="s">
        <v>48</v>
      </c>
    </row>
    <row r="362" spans="1:11" x14ac:dyDescent="0.45">
      <c r="A362" t="s">
        <v>90</v>
      </c>
      <c r="B362" t="s">
        <v>2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-43.073250000000002</v>
      </c>
      <c r="K362" t="s">
        <v>48</v>
      </c>
    </row>
    <row r="363" spans="1:11" x14ac:dyDescent="0.45">
      <c r="A363" t="s">
        <v>90</v>
      </c>
      <c r="B363" t="s">
        <v>2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-43.373199999999997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-43.404350000000001</v>
      </c>
      <c r="K364" t="s">
        <v>48</v>
      </c>
    </row>
    <row r="365" spans="1:11" x14ac:dyDescent="0.45">
      <c r="A365" t="s">
        <v>90</v>
      </c>
      <c r="B365" t="s">
        <v>2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-43.412649999999999</v>
      </c>
      <c r="K365" t="s">
        <v>48</v>
      </c>
    </row>
    <row r="366" spans="1:11" x14ac:dyDescent="0.45">
      <c r="A366" t="s">
        <v>90</v>
      </c>
      <c r="B366" t="s">
        <v>2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-43.423299999999998</v>
      </c>
      <c r="K366" t="s">
        <v>48</v>
      </c>
    </row>
    <row r="367" spans="1:11" x14ac:dyDescent="0.45">
      <c r="A367" t="s">
        <v>90</v>
      </c>
      <c r="B367" t="s">
        <v>2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-43.3626</v>
      </c>
      <c r="K367" t="s">
        <v>48</v>
      </c>
    </row>
    <row r="368" spans="1:11" x14ac:dyDescent="0.45">
      <c r="A368" t="s">
        <v>90</v>
      </c>
      <c r="B368" t="s">
        <v>2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-41.419849999999997</v>
      </c>
      <c r="K368" t="s">
        <v>48</v>
      </c>
    </row>
    <row r="369" spans="1:11" x14ac:dyDescent="0.45">
      <c r="A369" t="s">
        <v>90</v>
      </c>
      <c r="B369" t="s">
        <v>2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-39.466299999999997</v>
      </c>
      <c r="K369" t="s">
        <v>48</v>
      </c>
    </row>
    <row r="370" spans="1:11" x14ac:dyDescent="0.45">
      <c r="A370" t="s">
        <v>90</v>
      </c>
      <c r="B370" t="s">
        <v>1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2020</v>
      </c>
      <c r="J370">
        <v>201.12885</v>
      </c>
      <c r="K370" t="s">
        <v>48</v>
      </c>
    </row>
    <row r="371" spans="1:11" x14ac:dyDescent="0.45">
      <c r="A371" t="s">
        <v>90</v>
      </c>
      <c r="B371" t="s">
        <v>1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2025</v>
      </c>
      <c r="J371">
        <v>102.69085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2030</v>
      </c>
      <c r="J372">
        <v>39.385899999999999</v>
      </c>
      <c r="K372" t="s">
        <v>48</v>
      </c>
    </row>
    <row r="373" spans="1:11" x14ac:dyDescent="0.45">
      <c r="A373" t="s">
        <v>90</v>
      </c>
      <c r="B373" t="s">
        <v>1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2035</v>
      </c>
      <c r="J373">
        <v>-32.057950000000005</v>
      </c>
      <c r="K373" t="s">
        <v>48</v>
      </c>
    </row>
    <row r="374" spans="1:11" x14ac:dyDescent="0.45">
      <c r="A374" t="s">
        <v>90</v>
      </c>
      <c r="B374" t="s">
        <v>1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2040</v>
      </c>
      <c r="J374">
        <v>-86.402000000000001</v>
      </c>
      <c r="K374" t="s">
        <v>48</v>
      </c>
    </row>
    <row r="375" spans="1:11" x14ac:dyDescent="0.45">
      <c r="A375" t="s">
        <v>90</v>
      </c>
      <c r="B375" t="s">
        <v>1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2045</v>
      </c>
      <c r="J375">
        <v>-96.968649999999997</v>
      </c>
      <c r="K375" t="s">
        <v>48</v>
      </c>
    </row>
    <row r="376" spans="1:11" x14ac:dyDescent="0.45">
      <c r="A376" t="s">
        <v>90</v>
      </c>
      <c r="B376" t="s">
        <v>1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2050</v>
      </c>
      <c r="J376">
        <v>-97.772350000000003</v>
      </c>
      <c r="K376" t="s">
        <v>48</v>
      </c>
    </row>
    <row r="377" spans="1:11" x14ac:dyDescent="0.45">
      <c r="A377" t="s">
        <v>90</v>
      </c>
      <c r="B377" t="s">
        <v>1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2055</v>
      </c>
      <c r="J377">
        <v>-94.526600000000002</v>
      </c>
      <c r="K377" t="s">
        <v>48</v>
      </c>
    </row>
    <row r="378" spans="1:11" x14ac:dyDescent="0.45">
      <c r="A378" t="s">
        <v>90</v>
      </c>
      <c r="B378" t="s">
        <v>1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2060</v>
      </c>
      <c r="J378">
        <v>-90.85145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2065</v>
      </c>
      <c r="J379">
        <v>-83.147899999999993</v>
      </c>
      <c r="K379" t="s">
        <v>48</v>
      </c>
    </row>
    <row r="380" spans="1:11" x14ac:dyDescent="0.45">
      <c r="A380" t="s">
        <v>90</v>
      </c>
      <c r="B380" t="s">
        <v>1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2070</v>
      </c>
      <c r="J380">
        <v>-75.314549999999997</v>
      </c>
      <c r="K380" t="s">
        <v>48</v>
      </c>
    </row>
    <row r="381" spans="1:11" x14ac:dyDescent="0.45">
      <c r="A381" t="s">
        <v>90</v>
      </c>
      <c r="B381" t="s">
        <v>1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2075</v>
      </c>
      <c r="J381">
        <v>-75.154449999999997</v>
      </c>
      <c r="K381" t="s">
        <v>48</v>
      </c>
    </row>
    <row r="382" spans="1:11" x14ac:dyDescent="0.45">
      <c r="A382" t="s">
        <v>90</v>
      </c>
      <c r="B382" t="s">
        <v>1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2080</v>
      </c>
      <c r="J382">
        <v>-75.43504999999999</v>
      </c>
      <c r="K382" t="s">
        <v>48</v>
      </c>
    </row>
    <row r="383" spans="1:11" x14ac:dyDescent="0.45">
      <c r="A383" t="s">
        <v>90</v>
      </c>
      <c r="B383" t="s">
        <v>1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2085</v>
      </c>
      <c r="J383">
        <v>-74.372900000000001</v>
      </c>
      <c r="K383" t="s">
        <v>48</v>
      </c>
    </row>
    <row r="384" spans="1:11" x14ac:dyDescent="0.45">
      <c r="A384" t="s">
        <v>90</v>
      </c>
      <c r="B384" t="s">
        <v>1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2090</v>
      </c>
      <c r="J384">
        <v>-73.519299999999987</v>
      </c>
      <c r="K384" t="s">
        <v>48</v>
      </c>
    </row>
    <row r="385" spans="1:11" x14ac:dyDescent="0.45">
      <c r="A385" t="s">
        <v>90</v>
      </c>
      <c r="B385" t="s">
        <v>1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2095</v>
      </c>
      <c r="J385">
        <v>-75.692049999999995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-77.876299999999986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278.9203</v>
      </c>
      <c r="K387" t="s">
        <v>51</v>
      </c>
    </row>
    <row r="388" spans="1:11" x14ac:dyDescent="0.45">
      <c r="A388" t="s">
        <v>90</v>
      </c>
      <c r="B388" t="s">
        <v>3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152.20785000000001</v>
      </c>
      <c r="K388" t="s">
        <v>51</v>
      </c>
    </row>
    <row r="389" spans="1:11" x14ac:dyDescent="0.45">
      <c r="A389" t="s">
        <v>90</v>
      </c>
      <c r="B389" t="s">
        <v>3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115.15915</v>
      </c>
      <c r="K389" t="s">
        <v>51</v>
      </c>
    </row>
    <row r="390" spans="1:11" x14ac:dyDescent="0.45">
      <c r="A390" t="s">
        <v>90</v>
      </c>
      <c r="B390" t="s">
        <v>3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80.42240000000001</v>
      </c>
      <c r="K390" t="s">
        <v>51</v>
      </c>
    </row>
    <row r="391" spans="1:11" x14ac:dyDescent="0.45">
      <c r="A391" t="s">
        <v>90</v>
      </c>
      <c r="B391" t="s">
        <v>3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47.86365</v>
      </c>
      <c r="K391" t="s">
        <v>51</v>
      </c>
    </row>
    <row r="392" spans="1:11" x14ac:dyDescent="0.45">
      <c r="A392" t="s">
        <v>90</v>
      </c>
      <c r="B392" t="s">
        <v>3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25.878050000000002</v>
      </c>
      <c r="K392" t="s">
        <v>51</v>
      </c>
    </row>
    <row r="393" spans="1:11" x14ac:dyDescent="0.45">
      <c r="A393" t="s">
        <v>90</v>
      </c>
      <c r="B393" t="s">
        <v>3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12.153600000000001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2055</v>
      </c>
      <c r="J394">
        <v>5.8933</v>
      </c>
      <c r="K394" t="s">
        <v>51</v>
      </c>
    </row>
    <row r="395" spans="1:11" x14ac:dyDescent="0.45">
      <c r="A395" t="s">
        <v>90</v>
      </c>
      <c r="B395" t="s">
        <v>3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2060</v>
      </c>
      <c r="J395">
        <v>-1.3195999999999999</v>
      </c>
      <c r="K395" t="s">
        <v>51</v>
      </c>
    </row>
    <row r="396" spans="1:11" x14ac:dyDescent="0.45">
      <c r="A396" t="s">
        <v>90</v>
      </c>
      <c r="B396" t="s">
        <v>3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2065</v>
      </c>
      <c r="J396">
        <v>-2.84355</v>
      </c>
      <c r="K396" t="s">
        <v>51</v>
      </c>
    </row>
    <row r="397" spans="1:11" x14ac:dyDescent="0.45">
      <c r="A397" t="s">
        <v>90</v>
      </c>
      <c r="B397" t="s">
        <v>3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2070</v>
      </c>
      <c r="J397">
        <v>-4.1666999999999996</v>
      </c>
      <c r="K397" t="s">
        <v>51</v>
      </c>
    </row>
    <row r="398" spans="1:11" x14ac:dyDescent="0.45">
      <c r="A398" t="s">
        <v>90</v>
      </c>
      <c r="B398" t="s">
        <v>3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2075</v>
      </c>
      <c r="J398">
        <v>-5.0497499999999995</v>
      </c>
      <c r="K398" t="s">
        <v>51</v>
      </c>
    </row>
    <row r="399" spans="1:11" x14ac:dyDescent="0.45">
      <c r="A399" t="s">
        <v>90</v>
      </c>
      <c r="B399" t="s">
        <v>3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2080</v>
      </c>
      <c r="J399">
        <v>-5.9397500000000001</v>
      </c>
      <c r="K399" t="s">
        <v>51</v>
      </c>
    </row>
    <row r="400" spans="1:11" x14ac:dyDescent="0.45">
      <c r="A400" t="s">
        <v>90</v>
      </c>
      <c r="B400" t="s">
        <v>3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2085</v>
      </c>
      <c r="J400">
        <v>-6.5040999999999993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2090</v>
      </c>
      <c r="J401">
        <v>-7.0804499999999999</v>
      </c>
      <c r="K401" t="s">
        <v>51</v>
      </c>
    </row>
    <row r="402" spans="1:11" x14ac:dyDescent="0.45">
      <c r="A402" t="s">
        <v>90</v>
      </c>
      <c r="B402" t="s">
        <v>3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2095</v>
      </c>
      <c r="J402">
        <v>-7.54</v>
      </c>
      <c r="K402" t="s">
        <v>51</v>
      </c>
    </row>
    <row r="403" spans="1:11" x14ac:dyDescent="0.45">
      <c r="A403" t="s">
        <v>90</v>
      </c>
      <c r="B403" t="s">
        <v>3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2100</v>
      </c>
      <c r="J403">
        <v>-8.0408499999999989</v>
      </c>
      <c r="K403" t="s">
        <v>51</v>
      </c>
    </row>
    <row r="404" spans="1:11" x14ac:dyDescent="0.45">
      <c r="A404" t="s">
        <v>90</v>
      </c>
      <c r="B404" t="s">
        <v>4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2020</v>
      </c>
      <c r="J404">
        <v>277.51025000000004</v>
      </c>
      <c r="K404" t="s">
        <v>51</v>
      </c>
    </row>
    <row r="405" spans="1:11" x14ac:dyDescent="0.45">
      <c r="A405" t="s">
        <v>90</v>
      </c>
      <c r="B405" t="s">
        <v>4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2025</v>
      </c>
      <c r="J405">
        <v>158.73919999999998</v>
      </c>
      <c r="K405" t="s">
        <v>51</v>
      </c>
    </row>
    <row r="406" spans="1:11" x14ac:dyDescent="0.45">
      <c r="A406" t="s">
        <v>90</v>
      </c>
      <c r="B406" t="s">
        <v>4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131.81365</v>
      </c>
      <c r="K406" t="s">
        <v>51</v>
      </c>
    </row>
    <row r="407" spans="1:11" x14ac:dyDescent="0.45">
      <c r="A407" t="s">
        <v>90</v>
      </c>
      <c r="B407" t="s">
        <v>4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2035</v>
      </c>
      <c r="J407">
        <v>113.14574999999999</v>
      </c>
      <c r="K407" t="s">
        <v>51</v>
      </c>
    </row>
    <row r="408" spans="1:11" x14ac:dyDescent="0.45">
      <c r="A408" t="s">
        <v>90</v>
      </c>
      <c r="B408" t="s">
        <v>4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2040</v>
      </c>
      <c r="J408">
        <v>98.05510000000001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2045</v>
      </c>
      <c r="J409">
        <v>84.391050000000007</v>
      </c>
      <c r="K409" t="s">
        <v>51</v>
      </c>
    </row>
    <row r="410" spans="1:11" x14ac:dyDescent="0.45">
      <c r="A410" t="s">
        <v>90</v>
      </c>
      <c r="B410" t="s">
        <v>4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2050</v>
      </c>
      <c r="J410">
        <v>76.228300000000004</v>
      </c>
      <c r="K410" t="s">
        <v>51</v>
      </c>
    </row>
    <row r="411" spans="1:11" x14ac:dyDescent="0.45">
      <c r="A411" t="s">
        <v>90</v>
      </c>
      <c r="B411" t="s">
        <v>4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2055</v>
      </c>
      <c r="J411">
        <v>66.966450000000009</v>
      </c>
      <c r="K411" t="s">
        <v>51</v>
      </c>
    </row>
    <row r="412" spans="1:11" x14ac:dyDescent="0.45">
      <c r="A412" t="s">
        <v>90</v>
      </c>
      <c r="B412" t="s">
        <v>4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2060</v>
      </c>
      <c r="J412">
        <v>60.230499999999999</v>
      </c>
      <c r="K412" t="s">
        <v>51</v>
      </c>
    </row>
    <row r="413" spans="1:11" x14ac:dyDescent="0.45">
      <c r="A413" t="s">
        <v>90</v>
      </c>
      <c r="B413" t="s">
        <v>4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2065</v>
      </c>
      <c r="J413">
        <v>55.466499999999996</v>
      </c>
      <c r="K413" t="s">
        <v>51</v>
      </c>
    </row>
    <row r="414" spans="1:11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2070</v>
      </c>
      <c r="J414">
        <v>51.040999999999997</v>
      </c>
      <c r="K414" t="s">
        <v>51</v>
      </c>
    </row>
    <row r="415" spans="1:11" x14ac:dyDescent="0.45">
      <c r="A415" t="s">
        <v>90</v>
      </c>
      <c r="B415" t="s">
        <v>4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2075</v>
      </c>
      <c r="J415">
        <v>46.506799999999998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2080</v>
      </c>
      <c r="J416">
        <v>42.570549999999997</v>
      </c>
      <c r="K416" t="s">
        <v>51</v>
      </c>
    </row>
    <row r="417" spans="1:11" x14ac:dyDescent="0.45">
      <c r="A417" t="s">
        <v>90</v>
      </c>
      <c r="B417" t="s">
        <v>4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2085</v>
      </c>
      <c r="J417">
        <v>38.186</v>
      </c>
      <c r="K417" t="s">
        <v>51</v>
      </c>
    </row>
    <row r="418" spans="1:11" x14ac:dyDescent="0.45">
      <c r="A418" t="s">
        <v>90</v>
      </c>
      <c r="B418" t="s">
        <v>4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2090</v>
      </c>
      <c r="J418">
        <v>34.225000000000001</v>
      </c>
      <c r="K418" t="s">
        <v>51</v>
      </c>
    </row>
    <row r="419" spans="1:11" x14ac:dyDescent="0.45">
      <c r="A419" t="s">
        <v>90</v>
      </c>
      <c r="B419" t="s">
        <v>4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2095</v>
      </c>
      <c r="J419">
        <v>31.062950000000001</v>
      </c>
      <c r="K419" t="s">
        <v>51</v>
      </c>
    </row>
    <row r="420" spans="1:11" x14ac:dyDescent="0.45">
      <c r="A420" t="s">
        <v>90</v>
      </c>
      <c r="B420" t="s">
        <v>4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28.034050000000001</v>
      </c>
      <c r="K420" t="s">
        <v>51</v>
      </c>
    </row>
    <row r="421" spans="1:11" x14ac:dyDescent="0.45">
      <c r="A421" t="s">
        <v>90</v>
      </c>
      <c r="B421" t="s">
        <v>0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279.92520000000002</v>
      </c>
      <c r="K421" t="s">
        <v>51</v>
      </c>
    </row>
    <row r="422" spans="1:11" x14ac:dyDescent="0.45">
      <c r="A422" t="s">
        <v>90</v>
      </c>
      <c r="B422" t="s">
        <v>0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160.63819999999998</v>
      </c>
      <c r="K422" t="s">
        <v>51</v>
      </c>
    </row>
    <row r="423" spans="1:11" x14ac:dyDescent="0.45">
      <c r="A423" t="s">
        <v>90</v>
      </c>
      <c r="B423" t="s">
        <v>0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133.90170000000001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106.5929</v>
      </c>
      <c r="K424" t="s">
        <v>51</v>
      </c>
    </row>
    <row r="425" spans="1:11" x14ac:dyDescent="0.45">
      <c r="A425" t="s">
        <v>90</v>
      </c>
      <c r="B425" t="s">
        <v>0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25.605399999999999</v>
      </c>
      <c r="K425" t="s">
        <v>51</v>
      </c>
    </row>
    <row r="426" spans="1:11" x14ac:dyDescent="0.45">
      <c r="A426" t="s">
        <v>90</v>
      </c>
      <c r="B426" t="s">
        <v>0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-15.111650000000001</v>
      </c>
      <c r="K426" t="s">
        <v>51</v>
      </c>
    </row>
    <row r="427" spans="1:11" x14ac:dyDescent="0.45">
      <c r="A427" t="s">
        <v>90</v>
      </c>
      <c r="B427" t="s">
        <v>0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-26.888199999999998</v>
      </c>
      <c r="K427" t="s">
        <v>51</v>
      </c>
    </row>
    <row r="428" spans="1:11" x14ac:dyDescent="0.45">
      <c r="A428" t="s">
        <v>90</v>
      </c>
      <c r="B428" t="s">
        <v>0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-29.374699999999997</v>
      </c>
      <c r="K428" t="s">
        <v>51</v>
      </c>
    </row>
    <row r="429" spans="1:11" x14ac:dyDescent="0.45">
      <c r="A429" t="s">
        <v>90</v>
      </c>
      <c r="B429" t="s">
        <v>0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-29.48995</v>
      </c>
      <c r="K429" t="s">
        <v>51</v>
      </c>
    </row>
    <row r="430" spans="1:11" x14ac:dyDescent="0.45">
      <c r="A430" t="s">
        <v>90</v>
      </c>
      <c r="B430" t="s">
        <v>0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-30.01135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-30.421250000000001</v>
      </c>
      <c r="K431" t="s">
        <v>51</v>
      </c>
    </row>
    <row r="432" spans="1:11" x14ac:dyDescent="0.45">
      <c r="A432" t="s">
        <v>90</v>
      </c>
      <c r="B432" t="s">
        <v>0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-26.891449999999999</v>
      </c>
      <c r="K432" t="s">
        <v>51</v>
      </c>
    </row>
    <row r="433" spans="1:11" x14ac:dyDescent="0.45">
      <c r="A433" t="s">
        <v>90</v>
      </c>
      <c r="B433" t="s">
        <v>0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-23.664149999999999</v>
      </c>
      <c r="K433" t="s">
        <v>51</v>
      </c>
    </row>
    <row r="434" spans="1:11" x14ac:dyDescent="0.45">
      <c r="A434" t="s">
        <v>90</v>
      </c>
      <c r="B434" t="s">
        <v>0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-19.8249</v>
      </c>
      <c r="K434" t="s">
        <v>51</v>
      </c>
    </row>
    <row r="435" spans="1:11" x14ac:dyDescent="0.45">
      <c r="A435" t="s">
        <v>90</v>
      </c>
      <c r="B435" t="s">
        <v>0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-16.420349999999999</v>
      </c>
      <c r="K435" t="s">
        <v>51</v>
      </c>
    </row>
    <row r="436" spans="1:11" x14ac:dyDescent="0.45">
      <c r="A436" t="s">
        <v>90</v>
      </c>
      <c r="B436" t="s">
        <v>0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-16.091799999999999</v>
      </c>
      <c r="K436" t="s">
        <v>51</v>
      </c>
    </row>
    <row r="437" spans="1:11" x14ac:dyDescent="0.45">
      <c r="A437" t="s">
        <v>90</v>
      </c>
      <c r="B437" t="s">
        <v>0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-15.7743</v>
      </c>
      <c r="K437" t="s">
        <v>51</v>
      </c>
    </row>
    <row r="438" spans="1:11" x14ac:dyDescent="0.45">
      <c r="A438" t="s">
        <v>90</v>
      </c>
      <c r="B438" t="s">
        <v>6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2020</v>
      </c>
      <c r="J438">
        <v>278.49385000000001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2025</v>
      </c>
      <c r="J439">
        <v>159.37254999999999</v>
      </c>
      <c r="K439" t="s">
        <v>51</v>
      </c>
    </row>
    <row r="440" spans="1:11" x14ac:dyDescent="0.45">
      <c r="A440" t="s">
        <v>90</v>
      </c>
      <c r="B440" t="s">
        <v>6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2030</v>
      </c>
      <c r="J440">
        <v>132.84235000000001</v>
      </c>
      <c r="K440" t="s">
        <v>51</v>
      </c>
    </row>
    <row r="441" spans="1:11" x14ac:dyDescent="0.45">
      <c r="A441" t="s">
        <v>90</v>
      </c>
      <c r="B441" t="s">
        <v>6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2035</v>
      </c>
      <c r="J441">
        <v>100.89054999999999</v>
      </c>
      <c r="K441" t="s">
        <v>51</v>
      </c>
    </row>
    <row r="442" spans="1:11" x14ac:dyDescent="0.45">
      <c r="A442" t="s">
        <v>90</v>
      </c>
      <c r="B442" t="s">
        <v>6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2040</v>
      </c>
      <c r="J442">
        <v>53.0336</v>
      </c>
      <c r="K442" t="s">
        <v>51</v>
      </c>
    </row>
    <row r="443" spans="1:11" x14ac:dyDescent="0.45">
      <c r="A443" t="s">
        <v>90</v>
      </c>
      <c r="B443" t="s">
        <v>6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2045</v>
      </c>
      <c r="J443">
        <v>28.524750000000001</v>
      </c>
      <c r="K443" t="s">
        <v>51</v>
      </c>
    </row>
    <row r="444" spans="1:11" x14ac:dyDescent="0.45">
      <c r="A444" t="s">
        <v>90</v>
      </c>
      <c r="B444" t="s">
        <v>6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2050</v>
      </c>
      <c r="J444">
        <v>16.471049999999998</v>
      </c>
      <c r="K444" t="s">
        <v>51</v>
      </c>
    </row>
    <row r="445" spans="1:11" x14ac:dyDescent="0.45">
      <c r="A445" t="s">
        <v>90</v>
      </c>
      <c r="B445" t="s">
        <v>6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2055</v>
      </c>
      <c r="J445">
        <v>11.5618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6.8605</v>
      </c>
      <c r="K446" t="s">
        <v>51</v>
      </c>
    </row>
    <row r="447" spans="1:11" x14ac:dyDescent="0.45">
      <c r="A447" t="s">
        <v>90</v>
      </c>
      <c r="B447" t="s">
        <v>6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2065</v>
      </c>
      <c r="J447">
        <v>4.5128500000000003</v>
      </c>
      <c r="K447" t="s">
        <v>51</v>
      </c>
    </row>
    <row r="448" spans="1:11" x14ac:dyDescent="0.45">
      <c r="A448" t="s">
        <v>90</v>
      </c>
      <c r="B448" t="s">
        <v>6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2070</v>
      </c>
      <c r="J448">
        <v>2.3026499999999999</v>
      </c>
      <c r="K448" t="s">
        <v>51</v>
      </c>
    </row>
    <row r="449" spans="1:11" x14ac:dyDescent="0.45">
      <c r="A449" t="s">
        <v>90</v>
      </c>
      <c r="B449" t="s">
        <v>6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2075</v>
      </c>
      <c r="J449">
        <v>1.57965</v>
      </c>
      <c r="K449" t="s">
        <v>51</v>
      </c>
    </row>
    <row r="450" spans="1:11" x14ac:dyDescent="0.45">
      <c r="A450" t="s">
        <v>90</v>
      </c>
      <c r="B450" t="s">
        <v>6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2080</v>
      </c>
      <c r="J450">
        <v>0.88390000000000013</v>
      </c>
      <c r="K450" t="s">
        <v>51</v>
      </c>
    </row>
    <row r="451" spans="1:11" x14ac:dyDescent="0.45">
      <c r="A451" t="s">
        <v>90</v>
      </c>
      <c r="B451" t="s">
        <v>6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2085</v>
      </c>
      <c r="J451">
        <v>-0.45320000000000005</v>
      </c>
      <c r="K451" t="s">
        <v>51</v>
      </c>
    </row>
    <row r="452" spans="1:11" x14ac:dyDescent="0.45">
      <c r="A452" t="s">
        <v>90</v>
      </c>
      <c r="B452" t="s">
        <v>6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2090</v>
      </c>
      <c r="J452">
        <v>-1.69015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2095</v>
      </c>
      <c r="J453">
        <v>-2.6119499999999998</v>
      </c>
      <c r="K453" t="s">
        <v>51</v>
      </c>
    </row>
    <row r="454" spans="1:11" x14ac:dyDescent="0.45">
      <c r="A454" t="s">
        <v>90</v>
      </c>
      <c r="B454" t="s">
        <v>6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2100</v>
      </c>
      <c r="J454">
        <v>-3.6064500000000002</v>
      </c>
      <c r="K454" t="s">
        <v>51</v>
      </c>
    </row>
    <row r="455" spans="1:11" x14ac:dyDescent="0.45">
      <c r="A455" t="s">
        <v>90</v>
      </c>
      <c r="B455" t="s">
        <v>5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2020</v>
      </c>
      <c r="J455">
        <v>278.65235000000001</v>
      </c>
      <c r="K455" t="s">
        <v>51</v>
      </c>
    </row>
    <row r="456" spans="1:11" x14ac:dyDescent="0.45">
      <c r="A456" t="s">
        <v>90</v>
      </c>
      <c r="B456" t="s">
        <v>5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2025</v>
      </c>
      <c r="J456">
        <v>146.74334999999999</v>
      </c>
      <c r="K456" t="s">
        <v>51</v>
      </c>
    </row>
    <row r="457" spans="1:11" x14ac:dyDescent="0.45">
      <c r="A457" t="s">
        <v>90</v>
      </c>
      <c r="B457" t="s">
        <v>5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2030</v>
      </c>
      <c r="J457">
        <v>75.651150000000001</v>
      </c>
      <c r="K457" t="s">
        <v>51</v>
      </c>
    </row>
    <row r="458" spans="1:11" x14ac:dyDescent="0.45">
      <c r="A458" t="s">
        <v>90</v>
      </c>
      <c r="B458" t="s">
        <v>5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38.454949999999997</v>
      </c>
      <c r="K458" t="s">
        <v>51</v>
      </c>
    </row>
    <row r="459" spans="1:11" x14ac:dyDescent="0.45">
      <c r="A459" t="s">
        <v>90</v>
      </c>
      <c r="B459" t="s">
        <v>5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2040</v>
      </c>
      <c r="J459">
        <v>7.7734000000000005</v>
      </c>
      <c r="K459" t="s">
        <v>51</v>
      </c>
    </row>
    <row r="460" spans="1:11" x14ac:dyDescent="0.45">
      <c r="A460" t="s">
        <v>90</v>
      </c>
      <c r="B460" t="s">
        <v>5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2045</v>
      </c>
      <c r="J460">
        <v>-9.3473000000000006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2050</v>
      </c>
      <c r="J461">
        <v>-12.80265</v>
      </c>
      <c r="K461" t="s">
        <v>51</v>
      </c>
    </row>
    <row r="462" spans="1:11" x14ac:dyDescent="0.45">
      <c r="A462" t="s">
        <v>90</v>
      </c>
      <c r="B462" t="s">
        <v>5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2055</v>
      </c>
      <c r="J462">
        <v>-14.8916</v>
      </c>
      <c r="K462" t="s">
        <v>51</v>
      </c>
    </row>
    <row r="463" spans="1:11" x14ac:dyDescent="0.45">
      <c r="A463" t="s">
        <v>90</v>
      </c>
      <c r="B463" t="s">
        <v>5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2060</v>
      </c>
      <c r="J463">
        <v>-15.69665</v>
      </c>
      <c r="K463" t="s">
        <v>51</v>
      </c>
    </row>
    <row r="464" spans="1:11" x14ac:dyDescent="0.45">
      <c r="A464" t="s">
        <v>90</v>
      </c>
      <c r="B464" t="s">
        <v>5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2065</v>
      </c>
      <c r="J464">
        <v>-15.66995</v>
      </c>
      <c r="K464" t="s">
        <v>51</v>
      </c>
    </row>
    <row r="465" spans="1:11" x14ac:dyDescent="0.45">
      <c r="A465" t="s">
        <v>90</v>
      </c>
      <c r="B465" t="s">
        <v>5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2070</v>
      </c>
      <c r="J465">
        <v>-15.206150000000001</v>
      </c>
      <c r="K465" t="s">
        <v>51</v>
      </c>
    </row>
    <row r="466" spans="1:11" x14ac:dyDescent="0.45">
      <c r="A466" t="s">
        <v>90</v>
      </c>
      <c r="B466" t="s">
        <v>5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-15.607400000000002</v>
      </c>
      <c r="K466" t="s">
        <v>51</v>
      </c>
    </row>
    <row r="467" spans="1:11" x14ac:dyDescent="0.45">
      <c r="A467" t="s">
        <v>90</v>
      </c>
      <c r="B467" t="s">
        <v>5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2080</v>
      </c>
      <c r="J467">
        <v>-16.0839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2085</v>
      </c>
      <c r="J468">
        <v>-16.327400000000001</v>
      </c>
      <c r="K468" t="s">
        <v>51</v>
      </c>
    </row>
    <row r="469" spans="1:11" x14ac:dyDescent="0.45">
      <c r="A469" t="s">
        <v>90</v>
      </c>
      <c r="B469" t="s">
        <v>5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2090</v>
      </c>
      <c r="J469">
        <v>-16.7118</v>
      </c>
      <c r="K469" t="s">
        <v>51</v>
      </c>
    </row>
    <row r="470" spans="1:11" x14ac:dyDescent="0.45">
      <c r="A470" t="s">
        <v>90</v>
      </c>
      <c r="B470" t="s">
        <v>5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2095</v>
      </c>
      <c r="J470">
        <v>-17.255549999999999</v>
      </c>
      <c r="K470" t="s">
        <v>51</v>
      </c>
    </row>
    <row r="471" spans="1:11" x14ac:dyDescent="0.45">
      <c r="A471" t="s">
        <v>90</v>
      </c>
      <c r="B471" t="s">
        <v>5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2100</v>
      </c>
      <c r="J471">
        <v>-17.799150000000001</v>
      </c>
      <c r="K471" t="s">
        <v>51</v>
      </c>
    </row>
    <row r="472" spans="1:11" x14ac:dyDescent="0.45">
      <c r="A472" t="s">
        <v>90</v>
      </c>
      <c r="B472" t="s">
        <v>2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2020</v>
      </c>
      <c r="J472">
        <v>278.07745</v>
      </c>
      <c r="K472" t="s">
        <v>51</v>
      </c>
    </row>
    <row r="473" spans="1:11" x14ac:dyDescent="0.45">
      <c r="A473" t="s">
        <v>90</v>
      </c>
      <c r="B473" t="s">
        <v>2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2025</v>
      </c>
      <c r="J473">
        <v>145.40064999999998</v>
      </c>
      <c r="K473" t="s">
        <v>51</v>
      </c>
    </row>
    <row r="474" spans="1:11" x14ac:dyDescent="0.45">
      <c r="A474" t="s">
        <v>90</v>
      </c>
      <c r="B474" t="s">
        <v>2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2030</v>
      </c>
      <c r="J474">
        <v>107.70009999999999</v>
      </c>
      <c r="K474" t="s">
        <v>51</v>
      </c>
    </row>
    <row r="475" spans="1:11" x14ac:dyDescent="0.45">
      <c r="A475" t="s">
        <v>90</v>
      </c>
      <c r="B475" t="s">
        <v>2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2035</v>
      </c>
      <c r="J475">
        <v>74.361349999999987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2040</v>
      </c>
      <c r="J476">
        <v>46.258899999999997</v>
      </c>
      <c r="K476" t="s">
        <v>51</v>
      </c>
    </row>
    <row r="477" spans="1:11" x14ac:dyDescent="0.45">
      <c r="A477" t="s">
        <v>90</v>
      </c>
      <c r="B477" t="s">
        <v>2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2045</v>
      </c>
      <c r="J477">
        <v>29.467199999999998</v>
      </c>
      <c r="K477" t="s">
        <v>51</v>
      </c>
    </row>
    <row r="478" spans="1:11" x14ac:dyDescent="0.45">
      <c r="A478" t="s">
        <v>90</v>
      </c>
      <c r="B478" t="s">
        <v>2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2050</v>
      </c>
      <c r="J478">
        <v>19.6098</v>
      </c>
      <c r="K478" t="s">
        <v>51</v>
      </c>
    </row>
    <row r="479" spans="1:11" x14ac:dyDescent="0.45">
      <c r="A479" t="s">
        <v>90</v>
      </c>
      <c r="B479" t="s">
        <v>2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2055</v>
      </c>
      <c r="J479">
        <v>13.614699999999999</v>
      </c>
      <c r="K479" t="s">
        <v>51</v>
      </c>
    </row>
    <row r="480" spans="1:11" x14ac:dyDescent="0.45">
      <c r="A480" t="s">
        <v>90</v>
      </c>
      <c r="B480" t="s">
        <v>2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2060</v>
      </c>
      <c r="J480">
        <v>7.5724499999999999</v>
      </c>
      <c r="K480" t="s">
        <v>51</v>
      </c>
    </row>
    <row r="481" spans="1:11" x14ac:dyDescent="0.45">
      <c r="A481" t="s">
        <v>90</v>
      </c>
      <c r="B481" t="s">
        <v>2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2065</v>
      </c>
      <c r="J481">
        <v>5.6152499999999996</v>
      </c>
      <c r="K481" t="s">
        <v>51</v>
      </c>
    </row>
    <row r="482" spans="1:11" x14ac:dyDescent="0.45">
      <c r="A482" t="s">
        <v>90</v>
      </c>
      <c r="B482" t="s">
        <v>2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2070</v>
      </c>
      <c r="J482">
        <v>3.8554500000000003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2075</v>
      </c>
      <c r="J483">
        <v>4.2512500000000006</v>
      </c>
      <c r="K483" t="s">
        <v>51</v>
      </c>
    </row>
    <row r="484" spans="1:11" x14ac:dyDescent="0.45">
      <c r="A484" t="s">
        <v>90</v>
      </c>
      <c r="B484" t="s">
        <v>2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2080</v>
      </c>
      <c r="J484">
        <v>4.65245</v>
      </c>
      <c r="K484" t="s">
        <v>51</v>
      </c>
    </row>
    <row r="485" spans="1:11" x14ac:dyDescent="0.45">
      <c r="A485" t="s">
        <v>90</v>
      </c>
      <c r="B485" t="s">
        <v>2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2085</v>
      </c>
      <c r="J485">
        <v>4.2577499999999997</v>
      </c>
      <c r="K485" t="s">
        <v>51</v>
      </c>
    </row>
    <row r="486" spans="1:11" x14ac:dyDescent="0.45">
      <c r="A486" t="s">
        <v>90</v>
      </c>
      <c r="B486" t="s">
        <v>2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3.9188000000000001</v>
      </c>
      <c r="K486" t="s">
        <v>51</v>
      </c>
    </row>
    <row r="487" spans="1:11" x14ac:dyDescent="0.45">
      <c r="A487" t="s">
        <v>90</v>
      </c>
      <c r="B487" t="s">
        <v>2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2095</v>
      </c>
      <c r="J487">
        <v>2.7807500000000003</v>
      </c>
      <c r="K487" t="s">
        <v>51</v>
      </c>
    </row>
    <row r="488" spans="1:11" x14ac:dyDescent="0.45">
      <c r="A488" t="s">
        <v>90</v>
      </c>
      <c r="B488" t="s">
        <v>2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2100</v>
      </c>
      <c r="J488">
        <v>1.65205</v>
      </c>
      <c r="K488" t="s">
        <v>51</v>
      </c>
    </row>
    <row r="489" spans="1:11" x14ac:dyDescent="0.45">
      <c r="A489" t="s">
        <v>90</v>
      </c>
      <c r="B489" t="s">
        <v>1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2020</v>
      </c>
      <c r="J489">
        <v>279.0985</v>
      </c>
      <c r="K489" t="s">
        <v>51</v>
      </c>
    </row>
    <row r="490" spans="1:11" x14ac:dyDescent="0.45">
      <c r="A490" t="s">
        <v>90</v>
      </c>
      <c r="B490" t="s">
        <v>1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2025</v>
      </c>
      <c r="J490">
        <v>145.7295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2030</v>
      </c>
      <c r="J491">
        <v>87.470300000000009</v>
      </c>
      <c r="K491" t="s">
        <v>51</v>
      </c>
    </row>
    <row r="492" spans="1:11" x14ac:dyDescent="0.45">
      <c r="A492" t="s">
        <v>90</v>
      </c>
      <c r="B492" t="s">
        <v>1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2035</v>
      </c>
      <c r="J492">
        <v>25.207149999999999</v>
      </c>
      <c r="K492" t="s">
        <v>51</v>
      </c>
    </row>
    <row r="493" spans="1:11" x14ac:dyDescent="0.45">
      <c r="A493" t="s">
        <v>90</v>
      </c>
      <c r="B493" t="s">
        <v>1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2040</v>
      </c>
      <c r="J493">
        <v>-25.274500000000003</v>
      </c>
      <c r="K493" t="s">
        <v>51</v>
      </c>
    </row>
    <row r="494" spans="1:11" x14ac:dyDescent="0.45">
      <c r="A494" t="s">
        <v>90</v>
      </c>
      <c r="B494" t="s">
        <v>1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2045</v>
      </c>
      <c r="J494">
        <v>-34.900300000000001</v>
      </c>
      <c r="K494" t="s">
        <v>51</v>
      </c>
    </row>
    <row r="495" spans="1:11" x14ac:dyDescent="0.45">
      <c r="A495" t="s">
        <v>90</v>
      </c>
      <c r="B495" t="s">
        <v>1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2050</v>
      </c>
      <c r="J495">
        <v>-36.263599999999997</v>
      </c>
      <c r="K495" t="s">
        <v>51</v>
      </c>
    </row>
    <row r="496" spans="1:11" x14ac:dyDescent="0.45">
      <c r="A496" t="s">
        <v>90</v>
      </c>
      <c r="B496" t="s">
        <v>1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2055</v>
      </c>
      <c r="J496">
        <v>-34.594549999999998</v>
      </c>
      <c r="K496" t="s">
        <v>51</v>
      </c>
    </row>
    <row r="497" spans="1:11" x14ac:dyDescent="0.45">
      <c r="A497" t="s">
        <v>90</v>
      </c>
      <c r="B497" t="s">
        <v>1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2060</v>
      </c>
      <c r="J497">
        <v>-33.564549999999997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2065</v>
      </c>
      <c r="J498">
        <v>-29.606950000000001</v>
      </c>
      <c r="K498" t="s">
        <v>51</v>
      </c>
    </row>
    <row r="499" spans="1:11" x14ac:dyDescent="0.45">
      <c r="A499" t="s">
        <v>90</v>
      </c>
      <c r="B499" t="s">
        <v>1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2070</v>
      </c>
      <c r="J499">
        <v>-25.499850000000002</v>
      </c>
      <c r="K499" t="s">
        <v>51</v>
      </c>
    </row>
    <row r="500" spans="1:11" x14ac:dyDescent="0.45">
      <c r="A500" t="s">
        <v>90</v>
      </c>
      <c r="B500" t="s">
        <v>1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2075</v>
      </c>
      <c r="J500">
        <v>-22.883400000000002</v>
      </c>
      <c r="K500" t="s">
        <v>51</v>
      </c>
    </row>
    <row r="501" spans="1:11" x14ac:dyDescent="0.45">
      <c r="A501" t="s">
        <v>90</v>
      </c>
      <c r="B501" t="s">
        <v>1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2080</v>
      </c>
      <c r="J501">
        <v>-20.715049999999998</v>
      </c>
      <c r="K501" t="s">
        <v>51</v>
      </c>
    </row>
    <row r="502" spans="1:11" x14ac:dyDescent="0.45">
      <c r="A502" t="s">
        <v>90</v>
      </c>
      <c r="B502" t="s">
        <v>1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2085</v>
      </c>
      <c r="J502">
        <v>-21.411200000000001</v>
      </c>
      <c r="K502" t="s">
        <v>51</v>
      </c>
    </row>
    <row r="503" spans="1:11" x14ac:dyDescent="0.45">
      <c r="A503" t="s">
        <v>90</v>
      </c>
      <c r="B503" t="s">
        <v>1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2090</v>
      </c>
      <c r="J503">
        <v>-22.3278</v>
      </c>
      <c r="K503" t="s">
        <v>51</v>
      </c>
    </row>
    <row r="504" spans="1:11" x14ac:dyDescent="0.45">
      <c r="A504" t="s">
        <v>90</v>
      </c>
      <c r="B504" t="s">
        <v>1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2095</v>
      </c>
      <c r="J504">
        <v>-23.0227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-23.726849999999999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0.11815000000000001</v>
      </c>
      <c r="K506" t="s">
        <v>24</v>
      </c>
    </row>
    <row r="507" spans="1:11" x14ac:dyDescent="0.45">
      <c r="A507" t="s">
        <v>90</v>
      </c>
      <c r="B507" t="s">
        <v>3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2025</v>
      </c>
      <c r="J507">
        <v>0.12725</v>
      </c>
      <c r="K507" t="s">
        <v>24</v>
      </c>
    </row>
    <row r="508" spans="1:11" x14ac:dyDescent="0.45">
      <c r="A508" t="s">
        <v>90</v>
      </c>
      <c r="B508" t="s">
        <v>3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2030</v>
      </c>
      <c r="J508">
        <v>0.12809999999999999</v>
      </c>
      <c r="K508" t="s">
        <v>24</v>
      </c>
    </row>
    <row r="509" spans="1:11" x14ac:dyDescent="0.45">
      <c r="A509" t="s">
        <v>90</v>
      </c>
      <c r="B509" t="s">
        <v>3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2035</v>
      </c>
      <c r="J509">
        <v>0.15079999999999999</v>
      </c>
      <c r="K509" t="s">
        <v>24</v>
      </c>
    </row>
    <row r="510" spans="1:11" x14ac:dyDescent="0.45">
      <c r="A510" t="s">
        <v>90</v>
      </c>
      <c r="B510" t="s">
        <v>3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2040</v>
      </c>
      <c r="J510">
        <v>0.17249999999999999</v>
      </c>
      <c r="K510" t="s">
        <v>24</v>
      </c>
    </row>
    <row r="511" spans="1:11" x14ac:dyDescent="0.45">
      <c r="A511" t="s">
        <v>90</v>
      </c>
      <c r="B511" t="s">
        <v>3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2045</v>
      </c>
      <c r="J511">
        <v>0.19600000000000001</v>
      </c>
      <c r="K511" t="s">
        <v>24</v>
      </c>
    </row>
    <row r="512" spans="1:11" x14ac:dyDescent="0.45">
      <c r="A512" t="s">
        <v>90</v>
      </c>
      <c r="B512" t="s">
        <v>3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2050</v>
      </c>
      <c r="J512">
        <v>0.20995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2055</v>
      </c>
      <c r="J513">
        <v>0.20799999999999999</v>
      </c>
      <c r="K513" t="s">
        <v>24</v>
      </c>
    </row>
    <row r="514" spans="1:11" x14ac:dyDescent="0.45">
      <c r="A514" t="s">
        <v>90</v>
      </c>
      <c r="B514" t="s">
        <v>3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2060</v>
      </c>
      <c r="J514">
        <v>0.19219999999999998</v>
      </c>
      <c r="K514" t="s">
        <v>24</v>
      </c>
    </row>
    <row r="515" spans="1:11" x14ac:dyDescent="0.45">
      <c r="A515" t="s">
        <v>90</v>
      </c>
      <c r="B515" t="s">
        <v>3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0.18859999999999999</v>
      </c>
      <c r="K515" t="s">
        <v>24</v>
      </c>
    </row>
    <row r="516" spans="1:11" x14ac:dyDescent="0.45">
      <c r="A516" t="s">
        <v>90</v>
      </c>
      <c r="B516" t="s">
        <v>3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2070</v>
      </c>
      <c r="J516">
        <v>0.18345</v>
      </c>
      <c r="K516" t="s">
        <v>24</v>
      </c>
    </row>
    <row r="517" spans="1:11" x14ac:dyDescent="0.45">
      <c r="A517" t="s">
        <v>90</v>
      </c>
      <c r="B517" t="s">
        <v>3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2075</v>
      </c>
      <c r="J517">
        <v>0.17749999999999999</v>
      </c>
      <c r="K517" t="s">
        <v>24</v>
      </c>
    </row>
    <row r="518" spans="1:11" x14ac:dyDescent="0.45">
      <c r="A518" t="s">
        <v>90</v>
      </c>
      <c r="B518" t="s">
        <v>3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2080</v>
      </c>
      <c r="J518">
        <v>0.1721</v>
      </c>
      <c r="K518" t="s">
        <v>24</v>
      </c>
    </row>
    <row r="519" spans="1:11" x14ac:dyDescent="0.45">
      <c r="A519" t="s">
        <v>90</v>
      </c>
      <c r="B519" t="s">
        <v>3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2085</v>
      </c>
      <c r="J519">
        <v>0.16589999999999999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2090</v>
      </c>
      <c r="J520">
        <v>0.16015000000000001</v>
      </c>
      <c r="K520" t="s">
        <v>24</v>
      </c>
    </row>
    <row r="521" spans="1:11" x14ac:dyDescent="0.45">
      <c r="A521" t="s">
        <v>90</v>
      </c>
      <c r="B521" t="s">
        <v>3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2095</v>
      </c>
      <c r="J521">
        <v>0.15265000000000001</v>
      </c>
      <c r="K521" t="s">
        <v>24</v>
      </c>
    </row>
    <row r="522" spans="1:11" x14ac:dyDescent="0.45">
      <c r="A522" t="s">
        <v>90</v>
      </c>
      <c r="B522" t="s">
        <v>3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2100</v>
      </c>
      <c r="J522">
        <v>0.14484999999999998</v>
      </c>
      <c r="K522" t="s">
        <v>24</v>
      </c>
    </row>
    <row r="523" spans="1:11" x14ac:dyDescent="0.45">
      <c r="A523" t="s">
        <v>90</v>
      </c>
      <c r="B523" t="s">
        <v>4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0.1186</v>
      </c>
      <c r="K523" t="s">
        <v>24</v>
      </c>
    </row>
    <row r="524" spans="1:11" x14ac:dyDescent="0.45">
      <c r="A524" t="s">
        <v>90</v>
      </c>
      <c r="B524" t="s">
        <v>4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0.12570000000000001</v>
      </c>
      <c r="K524" t="s">
        <v>24</v>
      </c>
    </row>
    <row r="525" spans="1:11" x14ac:dyDescent="0.45">
      <c r="A525" t="s">
        <v>90</v>
      </c>
      <c r="B525" t="s">
        <v>4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0.12805</v>
      </c>
      <c r="K525" t="s">
        <v>24</v>
      </c>
    </row>
    <row r="526" spans="1:11" x14ac:dyDescent="0.45">
      <c r="A526" t="s">
        <v>90</v>
      </c>
      <c r="B526" t="s">
        <v>4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0.14000000000000001</v>
      </c>
      <c r="K526" t="s">
        <v>24</v>
      </c>
    </row>
    <row r="527" spans="1:11" x14ac:dyDescent="0.45">
      <c r="A527" t="s">
        <v>90</v>
      </c>
      <c r="B527" t="s">
        <v>4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0.1537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0.16515000000000002</v>
      </c>
      <c r="K528" t="s">
        <v>24</v>
      </c>
    </row>
    <row r="529" spans="1:11" x14ac:dyDescent="0.45">
      <c r="A529" t="s">
        <v>90</v>
      </c>
      <c r="B529" t="s">
        <v>4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0.17785000000000001</v>
      </c>
      <c r="K529" t="s">
        <v>24</v>
      </c>
    </row>
    <row r="530" spans="1:11" x14ac:dyDescent="0.45">
      <c r="A530" t="s">
        <v>90</v>
      </c>
      <c r="B530" t="s">
        <v>4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0.17949999999999999</v>
      </c>
      <c r="K530" t="s">
        <v>24</v>
      </c>
    </row>
    <row r="531" spans="1:11" x14ac:dyDescent="0.45">
      <c r="A531" t="s">
        <v>90</v>
      </c>
      <c r="B531" t="s">
        <v>4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0.17230000000000001</v>
      </c>
      <c r="K531" t="s">
        <v>24</v>
      </c>
    </row>
    <row r="532" spans="1:11" x14ac:dyDescent="0.45">
      <c r="A532" t="s">
        <v>90</v>
      </c>
      <c r="B532" t="s">
        <v>4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0.17075000000000001</v>
      </c>
      <c r="K532" t="s">
        <v>24</v>
      </c>
    </row>
    <row r="533" spans="1:11" x14ac:dyDescent="0.45">
      <c r="A533" t="s">
        <v>90</v>
      </c>
      <c r="B533" t="s">
        <v>4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0.16835</v>
      </c>
      <c r="K533" t="s">
        <v>24</v>
      </c>
    </row>
    <row r="534" spans="1:11" x14ac:dyDescent="0.45">
      <c r="A534" t="s">
        <v>90</v>
      </c>
      <c r="B534" t="s">
        <v>4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0.16244999999999998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0.15620000000000001</v>
      </c>
      <c r="K535" t="s">
        <v>24</v>
      </c>
    </row>
    <row r="536" spans="1:11" x14ac:dyDescent="0.45">
      <c r="A536" t="s">
        <v>90</v>
      </c>
      <c r="B536" t="s">
        <v>4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0.14929999999999999</v>
      </c>
      <c r="K536" t="s">
        <v>24</v>
      </c>
    </row>
    <row r="537" spans="1:11" x14ac:dyDescent="0.45">
      <c r="A537" t="s">
        <v>90</v>
      </c>
      <c r="B537" t="s">
        <v>4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0.1429</v>
      </c>
      <c r="K537" t="s">
        <v>24</v>
      </c>
    </row>
    <row r="538" spans="1:11" x14ac:dyDescent="0.45">
      <c r="A538" t="s">
        <v>90</v>
      </c>
      <c r="B538" t="s">
        <v>4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0.1368</v>
      </c>
      <c r="K538" t="s">
        <v>24</v>
      </c>
    </row>
    <row r="539" spans="1:11" x14ac:dyDescent="0.45">
      <c r="A539" t="s">
        <v>90</v>
      </c>
      <c r="B539" t="s">
        <v>4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0.13055</v>
      </c>
      <c r="K539" t="s">
        <v>24</v>
      </c>
    </row>
    <row r="540" spans="1:11" x14ac:dyDescent="0.45">
      <c r="A540" t="s">
        <v>90</v>
      </c>
      <c r="B540" t="s">
        <v>0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0.11904999999999999</v>
      </c>
      <c r="K540" t="s">
        <v>24</v>
      </c>
    </row>
    <row r="541" spans="1:11" x14ac:dyDescent="0.45">
      <c r="A541" t="s">
        <v>90</v>
      </c>
      <c r="B541" t="s">
        <v>0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0.126</v>
      </c>
      <c r="K541" t="s">
        <v>24</v>
      </c>
    </row>
    <row r="542" spans="1:11" x14ac:dyDescent="0.45">
      <c r="A542" t="s">
        <v>90</v>
      </c>
      <c r="B542" t="s">
        <v>0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0.12835000000000002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0.14810000000000001</v>
      </c>
      <c r="K543" t="s">
        <v>24</v>
      </c>
    </row>
    <row r="544" spans="1:11" x14ac:dyDescent="0.45">
      <c r="A544" t="s">
        <v>90</v>
      </c>
      <c r="B544" t="s">
        <v>0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0.19924999999999998</v>
      </c>
      <c r="K544" t="s">
        <v>24</v>
      </c>
    </row>
    <row r="545" spans="1:11" x14ac:dyDescent="0.45">
      <c r="A545" t="s">
        <v>90</v>
      </c>
      <c r="B545" t="s">
        <v>0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0.23365</v>
      </c>
      <c r="K545" t="s">
        <v>24</v>
      </c>
    </row>
    <row r="546" spans="1:11" x14ac:dyDescent="0.45">
      <c r="A546" t="s">
        <v>90</v>
      </c>
      <c r="B546" t="s">
        <v>0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0.23185</v>
      </c>
      <c r="K546" t="s">
        <v>24</v>
      </c>
    </row>
    <row r="547" spans="1:11" x14ac:dyDescent="0.45">
      <c r="A547" t="s">
        <v>90</v>
      </c>
      <c r="B547" t="s">
        <v>0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0.22510000000000002</v>
      </c>
      <c r="K547" t="s">
        <v>24</v>
      </c>
    </row>
    <row r="548" spans="1:11" x14ac:dyDescent="0.45">
      <c r="A548" t="s">
        <v>90</v>
      </c>
      <c r="B548" t="s">
        <v>0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0.20345000000000002</v>
      </c>
      <c r="K548" t="s">
        <v>24</v>
      </c>
    </row>
    <row r="549" spans="1:11" x14ac:dyDescent="0.45">
      <c r="A549" t="s">
        <v>90</v>
      </c>
      <c r="B549" t="s">
        <v>0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0.19739999999999999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0.19005</v>
      </c>
      <c r="K550" t="s">
        <v>24</v>
      </c>
    </row>
    <row r="551" spans="1:11" x14ac:dyDescent="0.45">
      <c r="A551" t="s">
        <v>90</v>
      </c>
      <c r="B551" t="s">
        <v>0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0.18445</v>
      </c>
      <c r="K551" t="s">
        <v>24</v>
      </c>
    </row>
    <row r="552" spans="1:11" x14ac:dyDescent="0.45">
      <c r="A552" t="s">
        <v>90</v>
      </c>
      <c r="B552" t="s">
        <v>0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0.17960000000000001</v>
      </c>
      <c r="K552" t="s">
        <v>24</v>
      </c>
    </row>
    <row r="553" spans="1:11" x14ac:dyDescent="0.45">
      <c r="A553" t="s">
        <v>90</v>
      </c>
      <c r="B553" t="s">
        <v>0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0.17275000000000001</v>
      </c>
      <c r="K553" t="s">
        <v>24</v>
      </c>
    </row>
    <row r="554" spans="1:11" x14ac:dyDescent="0.45">
      <c r="A554" t="s">
        <v>90</v>
      </c>
      <c r="B554" t="s">
        <v>0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0.16594999999999999</v>
      </c>
      <c r="K554" t="s">
        <v>24</v>
      </c>
    </row>
    <row r="555" spans="1:11" x14ac:dyDescent="0.45">
      <c r="A555" t="s">
        <v>90</v>
      </c>
      <c r="B555" t="s">
        <v>0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0.1583</v>
      </c>
      <c r="K555" t="s">
        <v>24</v>
      </c>
    </row>
    <row r="556" spans="1:11" x14ac:dyDescent="0.45">
      <c r="A556" t="s">
        <v>90</v>
      </c>
      <c r="B556" t="s">
        <v>0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0.15065000000000001</v>
      </c>
      <c r="K556" t="s">
        <v>24</v>
      </c>
    </row>
    <row r="557" spans="1:11" x14ac:dyDescent="0.45">
      <c r="A557" t="s">
        <v>90</v>
      </c>
      <c r="B557" t="s">
        <v>6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2020</v>
      </c>
      <c r="J557">
        <v>0.11799999999999999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2025</v>
      </c>
      <c r="J558">
        <v>0.1249</v>
      </c>
      <c r="K558" t="s">
        <v>24</v>
      </c>
    </row>
    <row r="559" spans="1:11" x14ac:dyDescent="0.45">
      <c r="A559" t="s">
        <v>90</v>
      </c>
      <c r="B559" t="s">
        <v>6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2030</v>
      </c>
      <c r="J559">
        <v>0.12790000000000001</v>
      </c>
      <c r="K559" t="s">
        <v>24</v>
      </c>
    </row>
    <row r="560" spans="1:11" x14ac:dyDescent="0.45">
      <c r="A560" t="s">
        <v>90</v>
      </c>
      <c r="B560" t="s">
        <v>6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2035</v>
      </c>
      <c r="J560">
        <v>0.13950000000000001</v>
      </c>
      <c r="K560" t="s">
        <v>24</v>
      </c>
    </row>
    <row r="561" spans="1:11" x14ac:dyDescent="0.45">
      <c r="A561" t="s">
        <v>90</v>
      </c>
      <c r="B561" t="s">
        <v>6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2040</v>
      </c>
      <c r="J561">
        <v>0.16160000000000002</v>
      </c>
      <c r="K561" t="s">
        <v>24</v>
      </c>
    </row>
    <row r="562" spans="1:11" x14ac:dyDescent="0.45">
      <c r="A562" t="s">
        <v>90</v>
      </c>
      <c r="B562" t="s">
        <v>6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2045</v>
      </c>
      <c r="J562">
        <v>0.17895</v>
      </c>
      <c r="K562" t="s">
        <v>24</v>
      </c>
    </row>
    <row r="563" spans="1:11" x14ac:dyDescent="0.45">
      <c r="A563" t="s">
        <v>90</v>
      </c>
      <c r="B563" t="s">
        <v>6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2050</v>
      </c>
      <c r="J563">
        <v>0.1968</v>
      </c>
      <c r="K563" t="s">
        <v>24</v>
      </c>
    </row>
    <row r="564" spans="1:11" x14ac:dyDescent="0.45">
      <c r="A564" t="s">
        <v>90</v>
      </c>
      <c r="B564" t="s">
        <v>6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2055</v>
      </c>
      <c r="J564">
        <v>0.20090000000000002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0.18869999999999998</v>
      </c>
      <c r="K565" t="s">
        <v>24</v>
      </c>
    </row>
    <row r="566" spans="1:11" x14ac:dyDescent="0.45">
      <c r="A566" t="s">
        <v>90</v>
      </c>
      <c r="B566" t="s">
        <v>6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2065</v>
      </c>
      <c r="J566">
        <v>0.1862</v>
      </c>
      <c r="K566" t="s">
        <v>24</v>
      </c>
    </row>
    <row r="567" spans="1:11" x14ac:dyDescent="0.45">
      <c r="A567" t="s">
        <v>90</v>
      </c>
      <c r="B567" t="s">
        <v>6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2070</v>
      </c>
      <c r="J567">
        <v>0.18235000000000001</v>
      </c>
      <c r="K567" t="s">
        <v>24</v>
      </c>
    </row>
    <row r="568" spans="1:11" x14ac:dyDescent="0.45">
      <c r="A568" t="s">
        <v>90</v>
      </c>
      <c r="B568" t="s">
        <v>6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2075</v>
      </c>
      <c r="J568">
        <v>0.1769</v>
      </c>
      <c r="K568" t="s">
        <v>24</v>
      </c>
    </row>
    <row r="569" spans="1:11" x14ac:dyDescent="0.45">
      <c r="A569" t="s">
        <v>90</v>
      </c>
      <c r="B569" t="s">
        <v>6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2080</v>
      </c>
      <c r="J569">
        <v>0.17130000000000001</v>
      </c>
      <c r="K569" t="s">
        <v>24</v>
      </c>
    </row>
    <row r="570" spans="1:11" x14ac:dyDescent="0.45">
      <c r="A570" t="s">
        <v>90</v>
      </c>
      <c r="B570" t="s">
        <v>6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2085</v>
      </c>
      <c r="J570">
        <v>0.16335</v>
      </c>
      <c r="K570" t="s">
        <v>24</v>
      </c>
    </row>
    <row r="571" spans="1:11" x14ac:dyDescent="0.45">
      <c r="A571" t="s">
        <v>90</v>
      </c>
      <c r="B571" t="s">
        <v>6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2090</v>
      </c>
      <c r="J571">
        <v>0.15545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2095</v>
      </c>
      <c r="J572">
        <v>0.14895</v>
      </c>
      <c r="K572" t="s">
        <v>24</v>
      </c>
    </row>
    <row r="573" spans="1:11" x14ac:dyDescent="0.45">
      <c r="A573" t="s">
        <v>90</v>
      </c>
      <c r="B573" t="s">
        <v>6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2100</v>
      </c>
      <c r="J573">
        <v>0.1424</v>
      </c>
      <c r="K573" t="s">
        <v>24</v>
      </c>
    </row>
    <row r="574" spans="1:11" x14ac:dyDescent="0.45">
      <c r="A574" t="s">
        <v>90</v>
      </c>
      <c r="B574" t="s">
        <v>5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2020</v>
      </c>
      <c r="J574">
        <v>0.12805</v>
      </c>
      <c r="K574" t="s">
        <v>24</v>
      </c>
    </row>
    <row r="575" spans="1:11" x14ac:dyDescent="0.45">
      <c r="A575" t="s">
        <v>90</v>
      </c>
      <c r="B575" t="s">
        <v>5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2025</v>
      </c>
      <c r="J575">
        <v>0.11985</v>
      </c>
      <c r="K575" t="s">
        <v>24</v>
      </c>
    </row>
    <row r="576" spans="1:11" x14ac:dyDescent="0.45">
      <c r="A576" t="s">
        <v>90</v>
      </c>
      <c r="B576" t="s">
        <v>5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2030</v>
      </c>
      <c r="J576">
        <v>0.10485</v>
      </c>
      <c r="K576" t="s">
        <v>24</v>
      </c>
    </row>
    <row r="577" spans="1:11" x14ac:dyDescent="0.45">
      <c r="A577" t="s">
        <v>90</v>
      </c>
      <c r="B577" t="s">
        <v>5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2035</v>
      </c>
      <c r="J577">
        <v>0.11</v>
      </c>
      <c r="K577" t="s">
        <v>24</v>
      </c>
    </row>
    <row r="578" spans="1:11" x14ac:dyDescent="0.45">
      <c r="A578" t="s">
        <v>90</v>
      </c>
      <c r="B578" t="s">
        <v>5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2040</v>
      </c>
      <c r="J578">
        <v>0.11829999999999999</v>
      </c>
      <c r="K578" t="s">
        <v>24</v>
      </c>
    </row>
    <row r="579" spans="1:11" x14ac:dyDescent="0.45">
      <c r="A579" t="s">
        <v>90</v>
      </c>
      <c r="B579" t="s">
        <v>5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2045</v>
      </c>
      <c r="J579">
        <v>0.12304999999999999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2050</v>
      </c>
      <c r="J580">
        <v>0.12254999999999999</v>
      </c>
      <c r="K580" t="s">
        <v>24</v>
      </c>
    </row>
    <row r="581" spans="1:11" x14ac:dyDescent="0.45">
      <c r="A581" t="s">
        <v>90</v>
      </c>
      <c r="B581" t="s">
        <v>5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2055</v>
      </c>
      <c r="J581">
        <v>0.11315</v>
      </c>
      <c r="K581" t="s">
        <v>24</v>
      </c>
    </row>
    <row r="582" spans="1:11" x14ac:dyDescent="0.45">
      <c r="A582" t="s">
        <v>90</v>
      </c>
      <c r="B582" t="s">
        <v>5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2060</v>
      </c>
      <c r="J582">
        <v>0.1042</v>
      </c>
      <c r="K582" t="s">
        <v>24</v>
      </c>
    </row>
    <row r="583" spans="1:11" x14ac:dyDescent="0.45">
      <c r="A583" t="s">
        <v>90</v>
      </c>
      <c r="B583" t="s">
        <v>5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2065</v>
      </c>
      <c r="J583">
        <v>0.1037</v>
      </c>
      <c r="K583" t="s">
        <v>24</v>
      </c>
    </row>
    <row r="584" spans="1:11" x14ac:dyDescent="0.45">
      <c r="A584" t="s">
        <v>90</v>
      </c>
      <c r="B584" t="s">
        <v>5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2070</v>
      </c>
      <c r="J584">
        <v>0.1021</v>
      </c>
      <c r="K584" t="s">
        <v>24</v>
      </c>
    </row>
    <row r="585" spans="1:11" x14ac:dyDescent="0.45">
      <c r="A585" t="s">
        <v>90</v>
      </c>
      <c r="B585" t="s">
        <v>5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0.1009</v>
      </c>
      <c r="K585" t="s">
        <v>24</v>
      </c>
    </row>
    <row r="586" spans="1:11" x14ac:dyDescent="0.45">
      <c r="A586" t="s">
        <v>90</v>
      </c>
      <c r="B586" t="s">
        <v>5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2080</v>
      </c>
      <c r="J586">
        <v>0.10014999999999999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2085</v>
      </c>
      <c r="J587">
        <v>0.10059999999999999</v>
      </c>
      <c r="K587" t="s">
        <v>24</v>
      </c>
    </row>
    <row r="588" spans="1:11" x14ac:dyDescent="0.45">
      <c r="A588" t="s">
        <v>90</v>
      </c>
      <c r="B588" t="s">
        <v>5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2090</v>
      </c>
      <c r="J588">
        <v>0.10145</v>
      </c>
      <c r="K588" t="s">
        <v>24</v>
      </c>
    </row>
    <row r="589" spans="1:11" x14ac:dyDescent="0.45">
      <c r="A589" t="s">
        <v>90</v>
      </c>
      <c r="B589" t="s">
        <v>5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2095</v>
      </c>
      <c r="J589">
        <v>0.10125000000000001</v>
      </c>
      <c r="K589" t="s">
        <v>24</v>
      </c>
    </row>
    <row r="590" spans="1:11" x14ac:dyDescent="0.45">
      <c r="A590" t="s">
        <v>90</v>
      </c>
      <c r="B590" t="s">
        <v>5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2100</v>
      </c>
      <c r="J590">
        <v>0.10075000000000001</v>
      </c>
      <c r="K590" t="s">
        <v>24</v>
      </c>
    </row>
    <row r="591" spans="1:11" x14ac:dyDescent="0.45">
      <c r="A591" t="s">
        <v>90</v>
      </c>
      <c r="B591" t="s">
        <v>2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2020</v>
      </c>
      <c r="J591">
        <v>0.1186</v>
      </c>
      <c r="K591" t="s">
        <v>24</v>
      </c>
    </row>
    <row r="592" spans="1:11" x14ac:dyDescent="0.45">
      <c r="A592" t="s">
        <v>90</v>
      </c>
      <c r="B592" t="s">
        <v>2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2025</v>
      </c>
      <c r="J592">
        <v>0.12809999999999999</v>
      </c>
      <c r="K592" t="s">
        <v>24</v>
      </c>
    </row>
    <row r="593" spans="1:11" x14ac:dyDescent="0.45">
      <c r="A593" t="s">
        <v>90</v>
      </c>
      <c r="B593" t="s">
        <v>2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2030</v>
      </c>
      <c r="J593">
        <v>0.1295</v>
      </c>
      <c r="K593" t="s">
        <v>24</v>
      </c>
    </row>
    <row r="594" spans="1:11" x14ac:dyDescent="0.45">
      <c r="A594" t="s">
        <v>90</v>
      </c>
      <c r="B594" t="s">
        <v>2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2035</v>
      </c>
      <c r="J594">
        <v>0.15250000000000002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2040</v>
      </c>
      <c r="J595">
        <v>0.17930000000000001</v>
      </c>
      <c r="K595" t="s">
        <v>24</v>
      </c>
    </row>
    <row r="596" spans="1:11" x14ac:dyDescent="0.45">
      <c r="A596" t="s">
        <v>90</v>
      </c>
      <c r="B596" t="s">
        <v>2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2045</v>
      </c>
      <c r="J596">
        <v>0.19585</v>
      </c>
      <c r="K596" t="s">
        <v>24</v>
      </c>
    </row>
    <row r="597" spans="1:11" x14ac:dyDescent="0.45">
      <c r="A597" t="s">
        <v>90</v>
      </c>
      <c r="B597" t="s">
        <v>2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2050</v>
      </c>
      <c r="J597">
        <v>0.19819999999999999</v>
      </c>
      <c r="K597" t="s">
        <v>24</v>
      </c>
    </row>
    <row r="598" spans="1:11" x14ac:dyDescent="0.45">
      <c r="A598" t="s">
        <v>90</v>
      </c>
      <c r="B598" t="s">
        <v>2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2055</v>
      </c>
      <c r="J598">
        <v>0.19889999999999999</v>
      </c>
      <c r="K598" t="s">
        <v>24</v>
      </c>
    </row>
    <row r="599" spans="1:11" x14ac:dyDescent="0.45">
      <c r="A599" t="s">
        <v>90</v>
      </c>
      <c r="B599" t="s">
        <v>2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2060</v>
      </c>
      <c r="J599">
        <v>0.18635000000000002</v>
      </c>
      <c r="K599" t="s">
        <v>24</v>
      </c>
    </row>
    <row r="600" spans="1:11" x14ac:dyDescent="0.45">
      <c r="A600" t="s">
        <v>90</v>
      </c>
      <c r="B600" t="s">
        <v>2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2065</v>
      </c>
      <c r="J600">
        <v>0.18375</v>
      </c>
      <c r="K600" t="s">
        <v>24</v>
      </c>
    </row>
    <row r="601" spans="1:11" x14ac:dyDescent="0.45">
      <c r="A601" t="s">
        <v>90</v>
      </c>
      <c r="B601" t="s">
        <v>2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2070</v>
      </c>
      <c r="J601">
        <v>0.18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2075</v>
      </c>
      <c r="J602">
        <v>0.17349999999999999</v>
      </c>
      <c r="K602" t="s">
        <v>24</v>
      </c>
    </row>
    <row r="603" spans="1:11" x14ac:dyDescent="0.45">
      <c r="A603" t="s">
        <v>90</v>
      </c>
      <c r="B603" t="s">
        <v>2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2080</v>
      </c>
      <c r="J603">
        <v>0.1661</v>
      </c>
      <c r="K603" t="s">
        <v>24</v>
      </c>
    </row>
    <row r="604" spans="1:11" x14ac:dyDescent="0.45">
      <c r="A604" t="s">
        <v>90</v>
      </c>
      <c r="B604" t="s">
        <v>2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2085</v>
      </c>
      <c r="J604">
        <v>0.15810000000000002</v>
      </c>
      <c r="K604" t="s">
        <v>24</v>
      </c>
    </row>
    <row r="605" spans="1:11" x14ac:dyDescent="0.45">
      <c r="A605" t="s">
        <v>90</v>
      </c>
      <c r="B605" t="s">
        <v>2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0.15084999999999998</v>
      </c>
      <c r="K605" t="s">
        <v>24</v>
      </c>
    </row>
    <row r="606" spans="1:11" x14ac:dyDescent="0.45">
      <c r="A606" t="s">
        <v>90</v>
      </c>
      <c r="B606" t="s">
        <v>2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2095</v>
      </c>
      <c r="J606">
        <v>0.14495000000000002</v>
      </c>
      <c r="K606" t="s">
        <v>24</v>
      </c>
    </row>
    <row r="607" spans="1:11" x14ac:dyDescent="0.45">
      <c r="A607" t="s">
        <v>90</v>
      </c>
      <c r="B607" t="s">
        <v>2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2100</v>
      </c>
      <c r="J607">
        <v>0.13895000000000002</v>
      </c>
      <c r="K607" t="s">
        <v>24</v>
      </c>
    </row>
    <row r="608" spans="1:11" x14ac:dyDescent="0.45">
      <c r="A608" t="s">
        <v>90</v>
      </c>
      <c r="B608" t="s">
        <v>1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0.12575</v>
      </c>
      <c r="K608" t="s">
        <v>24</v>
      </c>
    </row>
    <row r="609" spans="1:11" x14ac:dyDescent="0.45">
      <c r="A609" t="s">
        <v>90</v>
      </c>
      <c r="B609" t="s">
        <v>1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0.14265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0.1502</v>
      </c>
      <c r="K610" t="s">
        <v>24</v>
      </c>
    </row>
    <row r="611" spans="1:11" x14ac:dyDescent="0.45">
      <c r="A611" t="s">
        <v>90</v>
      </c>
      <c r="B611" t="s">
        <v>1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0.19535</v>
      </c>
      <c r="K611" t="s">
        <v>24</v>
      </c>
    </row>
    <row r="612" spans="1:11" x14ac:dyDescent="0.45">
      <c r="A612" t="s">
        <v>90</v>
      </c>
      <c r="B612" t="s">
        <v>1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0.25714999999999999</v>
      </c>
      <c r="K612" t="s">
        <v>24</v>
      </c>
    </row>
    <row r="613" spans="1:11" x14ac:dyDescent="0.45">
      <c r="A613" t="s">
        <v>90</v>
      </c>
      <c r="B613" t="s">
        <v>1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0.26490000000000002</v>
      </c>
      <c r="K613" t="s">
        <v>24</v>
      </c>
    </row>
    <row r="614" spans="1:11" x14ac:dyDescent="0.45">
      <c r="A614" t="s">
        <v>90</v>
      </c>
      <c r="B614" t="s">
        <v>1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0.26439999999999997</v>
      </c>
      <c r="K614" t="s">
        <v>24</v>
      </c>
    </row>
    <row r="615" spans="1:11" x14ac:dyDescent="0.45">
      <c r="A615" t="s">
        <v>90</v>
      </c>
      <c r="B615" t="s">
        <v>1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0.24540000000000001</v>
      </c>
      <c r="K615" t="s">
        <v>24</v>
      </c>
    </row>
    <row r="616" spans="1:11" x14ac:dyDescent="0.45">
      <c r="A616" t="s">
        <v>90</v>
      </c>
      <c r="B616" t="s">
        <v>1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0.23269999999999999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0.22905</v>
      </c>
      <c r="K617" t="s">
        <v>24</v>
      </c>
    </row>
    <row r="618" spans="1:11" x14ac:dyDescent="0.45">
      <c r="A618" t="s">
        <v>90</v>
      </c>
      <c r="B618" t="s">
        <v>1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0.22320000000000001</v>
      </c>
      <c r="K618" t="s">
        <v>24</v>
      </c>
    </row>
    <row r="619" spans="1:11" x14ac:dyDescent="0.45">
      <c r="A619" t="s">
        <v>90</v>
      </c>
      <c r="B619" t="s">
        <v>1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0.21510000000000001</v>
      </c>
      <c r="K619" t="s">
        <v>24</v>
      </c>
    </row>
    <row r="620" spans="1:11" x14ac:dyDescent="0.45">
      <c r="A620" t="s">
        <v>90</v>
      </c>
      <c r="B620" t="s">
        <v>1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0.20780000000000001</v>
      </c>
      <c r="K620" t="s">
        <v>24</v>
      </c>
    </row>
    <row r="621" spans="1:11" x14ac:dyDescent="0.45">
      <c r="A621" t="s">
        <v>90</v>
      </c>
      <c r="B621" t="s">
        <v>1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0.20150000000000001</v>
      </c>
      <c r="K621" t="s">
        <v>24</v>
      </c>
    </row>
    <row r="622" spans="1:11" x14ac:dyDescent="0.45">
      <c r="A622" t="s">
        <v>90</v>
      </c>
      <c r="B622" t="s">
        <v>1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0.19605</v>
      </c>
      <c r="K622" t="s">
        <v>24</v>
      </c>
    </row>
    <row r="623" spans="1:11" x14ac:dyDescent="0.45">
      <c r="A623" t="s">
        <v>90</v>
      </c>
      <c r="B623" t="s">
        <v>1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0.1865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0.17649999999999999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0.2535</v>
      </c>
      <c r="K625" t="s">
        <v>28</v>
      </c>
    </row>
    <row r="626" spans="1:11" x14ac:dyDescent="0.45">
      <c r="A626" t="s">
        <v>90</v>
      </c>
      <c r="B626" t="s">
        <v>3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0.28254999999999997</v>
      </c>
      <c r="K626" t="s">
        <v>28</v>
      </c>
    </row>
    <row r="627" spans="1:11" x14ac:dyDescent="0.45">
      <c r="A627" t="s">
        <v>90</v>
      </c>
      <c r="B627" t="s">
        <v>3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0.31204999999999999</v>
      </c>
      <c r="K627" t="s">
        <v>28</v>
      </c>
    </row>
    <row r="628" spans="1:11" x14ac:dyDescent="0.45">
      <c r="A628" t="s">
        <v>90</v>
      </c>
      <c r="B628" t="s">
        <v>3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0.36430000000000001</v>
      </c>
      <c r="K628" t="s">
        <v>28</v>
      </c>
    </row>
    <row r="629" spans="1:11" x14ac:dyDescent="0.45">
      <c r="A629" t="s">
        <v>90</v>
      </c>
      <c r="B629" t="s">
        <v>3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0.39460000000000001</v>
      </c>
      <c r="K629" t="s">
        <v>28</v>
      </c>
    </row>
    <row r="630" spans="1:11" x14ac:dyDescent="0.45">
      <c r="A630" t="s">
        <v>90</v>
      </c>
      <c r="B630" t="s">
        <v>3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0.42505000000000004</v>
      </c>
      <c r="K630" t="s">
        <v>28</v>
      </c>
    </row>
    <row r="631" spans="1:11" x14ac:dyDescent="0.45">
      <c r="A631" t="s">
        <v>90</v>
      </c>
      <c r="B631" t="s">
        <v>3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0.43590000000000001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0.40844999999999998</v>
      </c>
      <c r="K632" t="s">
        <v>28</v>
      </c>
    </row>
    <row r="633" spans="1:11" x14ac:dyDescent="0.45">
      <c r="A633" t="s">
        <v>90</v>
      </c>
      <c r="B633" t="s">
        <v>3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0.40579999999999999</v>
      </c>
      <c r="K633" t="s">
        <v>28</v>
      </c>
    </row>
    <row r="634" spans="1:11" x14ac:dyDescent="0.45">
      <c r="A634" t="s">
        <v>90</v>
      </c>
      <c r="B634" t="s">
        <v>3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0.40190000000000003</v>
      </c>
      <c r="K634" t="s">
        <v>28</v>
      </c>
    </row>
    <row r="635" spans="1:11" x14ac:dyDescent="0.45">
      <c r="A635" t="s">
        <v>90</v>
      </c>
      <c r="B635" t="s">
        <v>3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0.39849999999999997</v>
      </c>
      <c r="K635" t="s">
        <v>28</v>
      </c>
    </row>
    <row r="636" spans="1:11" x14ac:dyDescent="0.45">
      <c r="A636" t="s">
        <v>90</v>
      </c>
      <c r="B636" t="s">
        <v>3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0.40854999999999997</v>
      </c>
      <c r="K636" t="s">
        <v>28</v>
      </c>
    </row>
    <row r="637" spans="1:11" x14ac:dyDescent="0.45">
      <c r="A637" t="s">
        <v>90</v>
      </c>
      <c r="B637" t="s">
        <v>3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0.41954999999999998</v>
      </c>
      <c r="K637" t="s">
        <v>28</v>
      </c>
    </row>
    <row r="638" spans="1:11" x14ac:dyDescent="0.45">
      <c r="A638" t="s">
        <v>90</v>
      </c>
      <c r="B638" t="s">
        <v>3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0.43059999999999998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0.44385000000000002</v>
      </c>
      <c r="K639" t="s">
        <v>28</v>
      </c>
    </row>
    <row r="640" spans="1:11" x14ac:dyDescent="0.45">
      <c r="A640" t="s">
        <v>90</v>
      </c>
      <c r="B640" t="s">
        <v>3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0.45934999999999998</v>
      </c>
      <c r="K640" t="s">
        <v>28</v>
      </c>
    </row>
    <row r="641" spans="1:11" x14ac:dyDescent="0.45">
      <c r="A641" t="s">
        <v>90</v>
      </c>
      <c r="B641" t="s">
        <v>3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0.47570000000000001</v>
      </c>
      <c r="K641" t="s">
        <v>28</v>
      </c>
    </row>
    <row r="642" spans="1:11" x14ac:dyDescent="0.45">
      <c r="A642" t="s">
        <v>90</v>
      </c>
      <c r="B642" t="s">
        <v>4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0.25409999999999999</v>
      </c>
      <c r="K642" t="s">
        <v>28</v>
      </c>
    </row>
    <row r="643" spans="1:11" x14ac:dyDescent="0.45">
      <c r="A643" t="s">
        <v>90</v>
      </c>
      <c r="B643" t="s">
        <v>4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0.28310000000000002</v>
      </c>
      <c r="K643" t="s">
        <v>28</v>
      </c>
    </row>
    <row r="644" spans="1:11" x14ac:dyDescent="0.45">
      <c r="A644" t="s">
        <v>90</v>
      </c>
      <c r="B644" t="s">
        <v>4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0.31040000000000001</v>
      </c>
      <c r="K644" t="s">
        <v>28</v>
      </c>
    </row>
    <row r="645" spans="1:11" x14ac:dyDescent="0.45">
      <c r="A645" t="s">
        <v>90</v>
      </c>
      <c r="B645" t="s">
        <v>4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0.33684999999999998</v>
      </c>
      <c r="K645" t="s">
        <v>28</v>
      </c>
    </row>
    <row r="646" spans="1:11" x14ac:dyDescent="0.45">
      <c r="A646" t="s">
        <v>90</v>
      </c>
      <c r="B646" t="s">
        <v>4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0.35639999999999999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0.3614</v>
      </c>
      <c r="K647" t="s">
        <v>28</v>
      </c>
    </row>
    <row r="648" spans="1:11" x14ac:dyDescent="0.45">
      <c r="A648" t="s">
        <v>90</v>
      </c>
      <c r="B648" t="s">
        <v>4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0.36704999999999999</v>
      </c>
      <c r="K648" t="s">
        <v>28</v>
      </c>
    </row>
    <row r="649" spans="1:11" x14ac:dyDescent="0.45">
      <c r="A649" t="s">
        <v>90</v>
      </c>
      <c r="B649" t="s">
        <v>4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0.35549999999999998</v>
      </c>
      <c r="K649" t="s">
        <v>28</v>
      </c>
    </row>
    <row r="650" spans="1:11" x14ac:dyDescent="0.45">
      <c r="A650" t="s">
        <v>90</v>
      </c>
      <c r="B650" t="s">
        <v>4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0.35589999999999999</v>
      </c>
      <c r="K650" t="s">
        <v>28</v>
      </c>
    </row>
    <row r="651" spans="1:11" x14ac:dyDescent="0.45">
      <c r="A651" t="s">
        <v>90</v>
      </c>
      <c r="B651" t="s">
        <v>4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0.35844999999999999</v>
      </c>
      <c r="K651" t="s">
        <v>28</v>
      </c>
    </row>
    <row r="652" spans="1:11" x14ac:dyDescent="0.45">
      <c r="A652" t="s">
        <v>90</v>
      </c>
      <c r="B652" t="s">
        <v>4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0.36129999999999995</v>
      </c>
      <c r="K652" t="s">
        <v>28</v>
      </c>
    </row>
    <row r="653" spans="1:11" x14ac:dyDescent="0.45">
      <c r="A653" t="s">
        <v>90</v>
      </c>
      <c r="B653" t="s">
        <v>4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0.37260000000000004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0.38364999999999999</v>
      </c>
      <c r="K654" t="s">
        <v>28</v>
      </c>
    </row>
    <row r="655" spans="1:11" x14ac:dyDescent="0.45">
      <c r="A655" t="s">
        <v>90</v>
      </c>
      <c r="B655" t="s">
        <v>4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0.39234999999999998</v>
      </c>
      <c r="K655" t="s">
        <v>28</v>
      </c>
    </row>
    <row r="656" spans="1:11" x14ac:dyDescent="0.45">
      <c r="A656" t="s">
        <v>90</v>
      </c>
      <c r="B656" t="s">
        <v>4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0.40284999999999999</v>
      </c>
      <c r="K656" t="s">
        <v>28</v>
      </c>
    </row>
    <row r="657" spans="1:11" x14ac:dyDescent="0.45">
      <c r="A657" t="s">
        <v>90</v>
      </c>
      <c r="B657" t="s">
        <v>4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0.41700000000000004</v>
      </c>
      <c r="K657" t="s">
        <v>28</v>
      </c>
    </row>
    <row r="658" spans="1:11" x14ac:dyDescent="0.45">
      <c r="A658" t="s">
        <v>90</v>
      </c>
      <c r="B658" t="s">
        <v>4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0.43304999999999999</v>
      </c>
      <c r="K658" t="s">
        <v>28</v>
      </c>
    </row>
    <row r="659" spans="1:11" x14ac:dyDescent="0.45">
      <c r="A659" t="s">
        <v>90</v>
      </c>
      <c r="B659" t="s">
        <v>0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0.25519999999999998</v>
      </c>
      <c r="K659" t="s">
        <v>28</v>
      </c>
    </row>
    <row r="660" spans="1:11" x14ac:dyDescent="0.45">
      <c r="A660" t="s">
        <v>90</v>
      </c>
      <c r="B660" t="s">
        <v>0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0.28360000000000002</v>
      </c>
      <c r="K660" t="s">
        <v>28</v>
      </c>
    </row>
    <row r="661" spans="1:11" x14ac:dyDescent="0.45">
      <c r="A661" t="s">
        <v>90</v>
      </c>
      <c r="B661" t="s">
        <v>0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0.30969999999999998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0.35350000000000004</v>
      </c>
      <c r="K662" t="s">
        <v>28</v>
      </c>
    </row>
    <row r="663" spans="1:11" x14ac:dyDescent="0.45">
      <c r="A663" t="s">
        <v>90</v>
      </c>
      <c r="B663" t="s">
        <v>0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0.41805000000000003</v>
      </c>
      <c r="K663" t="s">
        <v>28</v>
      </c>
    </row>
    <row r="664" spans="1:11" x14ac:dyDescent="0.45">
      <c r="A664" t="s">
        <v>90</v>
      </c>
      <c r="B664" t="s">
        <v>0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0.48140000000000005</v>
      </c>
      <c r="K664" t="s">
        <v>28</v>
      </c>
    </row>
    <row r="665" spans="1:11" x14ac:dyDescent="0.45">
      <c r="A665" t="s">
        <v>90</v>
      </c>
      <c r="B665" t="s">
        <v>0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0.47150000000000003</v>
      </c>
      <c r="K665" t="s">
        <v>28</v>
      </c>
    </row>
    <row r="666" spans="1:11" x14ac:dyDescent="0.45">
      <c r="A666" t="s">
        <v>90</v>
      </c>
      <c r="B666" t="s">
        <v>0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0.43564999999999998</v>
      </c>
      <c r="K666" t="s">
        <v>28</v>
      </c>
    </row>
    <row r="667" spans="1:11" x14ac:dyDescent="0.45">
      <c r="A667" t="s">
        <v>90</v>
      </c>
      <c r="B667" t="s">
        <v>0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0.41725000000000001</v>
      </c>
      <c r="K667" t="s">
        <v>28</v>
      </c>
    </row>
    <row r="668" spans="1:11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0.41105000000000003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0.40505000000000002</v>
      </c>
      <c r="K669" t="s">
        <v>28</v>
      </c>
    </row>
    <row r="670" spans="1:11" x14ac:dyDescent="0.45">
      <c r="A670" t="s">
        <v>90</v>
      </c>
      <c r="B670" t="s">
        <v>0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0.41420000000000001</v>
      </c>
      <c r="K670" t="s">
        <v>28</v>
      </c>
    </row>
    <row r="671" spans="1:11" x14ac:dyDescent="0.45">
      <c r="A671" t="s">
        <v>90</v>
      </c>
      <c r="B671" t="s">
        <v>0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0.42464999999999997</v>
      </c>
      <c r="K671" t="s">
        <v>28</v>
      </c>
    </row>
    <row r="672" spans="1:11" x14ac:dyDescent="0.45">
      <c r="A672" t="s">
        <v>90</v>
      </c>
      <c r="B672" t="s">
        <v>0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0.43415000000000004</v>
      </c>
      <c r="K672" t="s">
        <v>28</v>
      </c>
    </row>
    <row r="673" spans="1:11" x14ac:dyDescent="0.45">
      <c r="A673" t="s">
        <v>90</v>
      </c>
      <c r="B673" t="s">
        <v>0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0.44535000000000002</v>
      </c>
      <c r="K673" t="s">
        <v>28</v>
      </c>
    </row>
    <row r="674" spans="1:11" x14ac:dyDescent="0.45">
      <c r="A674" t="s">
        <v>90</v>
      </c>
      <c r="B674" t="s">
        <v>0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0.46440000000000003</v>
      </c>
      <c r="K674" t="s">
        <v>28</v>
      </c>
    </row>
    <row r="675" spans="1:11" x14ac:dyDescent="0.45">
      <c r="A675" t="s">
        <v>90</v>
      </c>
      <c r="B675" t="s">
        <v>0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0.48515000000000003</v>
      </c>
      <c r="K675" t="s">
        <v>28</v>
      </c>
    </row>
    <row r="676" spans="1:11" x14ac:dyDescent="0.45">
      <c r="A676" t="s">
        <v>90</v>
      </c>
      <c r="B676" t="s">
        <v>6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0.25175000000000003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0.27884999999999999</v>
      </c>
      <c r="K677" t="s">
        <v>28</v>
      </c>
    </row>
    <row r="678" spans="1:11" x14ac:dyDescent="0.45">
      <c r="A678" t="s">
        <v>90</v>
      </c>
      <c r="B678" t="s">
        <v>6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0.30669999999999997</v>
      </c>
      <c r="K678" t="s">
        <v>28</v>
      </c>
    </row>
    <row r="679" spans="1:11" x14ac:dyDescent="0.45">
      <c r="A679" t="s">
        <v>90</v>
      </c>
      <c r="B679" t="s">
        <v>6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0.34794999999999998</v>
      </c>
      <c r="K679" t="s">
        <v>28</v>
      </c>
    </row>
    <row r="680" spans="1:11" x14ac:dyDescent="0.45">
      <c r="A680" t="s">
        <v>90</v>
      </c>
      <c r="B680" t="s">
        <v>6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0.39615</v>
      </c>
      <c r="K680" t="s">
        <v>28</v>
      </c>
    </row>
    <row r="681" spans="1:11" x14ac:dyDescent="0.45">
      <c r="A681" t="s">
        <v>90</v>
      </c>
      <c r="B681" t="s">
        <v>6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0.42085</v>
      </c>
      <c r="K681" t="s">
        <v>28</v>
      </c>
    </row>
    <row r="682" spans="1:11" x14ac:dyDescent="0.45">
      <c r="A682" t="s">
        <v>90</v>
      </c>
      <c r="B682" t="s">
        <v>6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0.4204</v>
      </c>
      <c r="K682" t="s">
        <v>28</v>
      </c>
    </row>
    <row r="683" spans="1:11" x14ac:dyDescent="0.45">
      <c r="A683" t="s">
        <v>90</v>
      </c>
      <c r="B683" t="s">
        <v>6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0.40080000000000005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0.39634999999999998</v>
      </c>
      <c r="K684" t="s">
        <v>28</v>
      </c>
    </row>
    <row r="685" spans="1:11" x14ac:dyDescent="0.45">
      <c r="A685" t="s">
        <v>90</v>
      </c>
      <c r="B685" t="s">
        <v>6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0.3926</v>
      </c>
      <c r="K685" t="s">
        <v>28</v>
      </c>
    </row>
    <row r="686" spans="1:11" x14ac:dyDescent="0.45">
      <c r="A686" t="s">
        <v>90</v>
      </c>
      <c r="B686" t="s">
        <v>6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0.38939999999999997</v>
      </c>
      <c r="K686" t="s">
        <v>28</v>
      </c>
    </row>
    <row r="687" spans="1:11" x14ac:dyDescent="0.45">
      <c r="A687" t="s">
        <v>90</v>
      </c>
      <c r="B687" t="s">
        <v>6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0.39905000000000002</v>
      </c>
      <c r="K687" t="s">
        <v>28</v>
      </c>
    </row>
    <row r="688" spans="1:11" x14ac:dyDescent="0.45">
      <c r="A688" t="s">
        <v>90</v>
      </c>
      <c r="B688" t="s">
        <v>6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0.40885000000000005</v>
      </c>
      <c r="K688" t="s">
        <v>28</v>
      </c>
    </row>
    <row r="689" spans="1:11" x14ac:dyDescent="0.45">
      <c r="A689" t="s">
        <v>90</v>
      </c>
      <c r="B689" t="s">
        <v>6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0.41920000000000002</v>
      </c>
      <c r="K689" t="s">
        <v>28</v>
      </c>
    </row>
    <row r="690" spans="1:11" x14ac:dyDescent="0.45">
      <c r="A690" t="s">
        <v>90</v>
      </c>
      <c r="B690" t="s">
        <v>6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0.43104999999999999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0.4466</v>
      </c>
      <c r="K691" t="s">
        <v>28</v>
      </c>
    </row>
    <row r="692" spans="1:11" x14ac:dyDescent="0.45">
      <c r="A692" t="s">
        <v>90</v>
      </c>
      <c r="B692" t="s">
        <v>6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0.46379999999999999</v>
      </c>
      <c r="K692" t="s">
        <v>28</v>
      </c>
    </row>
    <row r="693" spans="1:11" x14ac:dyDescent="0.45">
      <c r="A693" t="s">
        <v>90</v>
      </c>
      <c r="B693" t="s">
        <v>5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0.26500000000000001</v>
      </c>
      <c r="K693" t="s">
        <v>28</v>
      </c>
    </row>
    <row r="694" spans="1:11" x14ac:dyDescent="0.45">
      <c r="A694" t="s">
        <v>90</v>
      </c>
      <c r="B694" t="s">
        <v>5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0.30185000000000001</v>
      </c>
      <c r="K694" t="s">
        <v>28</v>
      </c>
    </row>
    <row r="695" spans="1:11" x14ac:dyDescent="0.45">
      <c r="A695" t="s">
        <v>90</v>
      </c>
      <c r="B695" t="s">
        <v>5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0.32479999999999998</v>
      </c>
      <c r="K695" t="s">
        <v>28</v>
      </c>
    </row>
    <row r="696" spans="1:11" x14ac:dyDescent="0.45">
      <c r="A696" t="s">
        <v>90</v>
      </c>
      <c r="B696" t="s">
        <v>5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0.37080000000000002</v>
      </c>
      <c r="K696" t="s">
        <v>28</v>
      </c>
    </row>
    <row r="697" spans="1:11" x14ac:dyDescent="0.45">
      <c r="A697" t="s">
        <v>90</v>
      </c>
      <c r="B697" t="s">
        <v>5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0.40670000000000001</v>
      </c>
      <c r="K697" t="s">
        <v>28</v>
      </c>
    </row>
    <row r="698" spans="1:11" x14ac:dyDescent="0.45">
      <c r="A698" t="s">
        <v>90</v>
      </c>
      <c r="B698" t="s">
        <v>5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0.44055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0.45655000000000001</v>
      </c>
      <c r="K699" t="s">
        <v>28</v>
      </c>
    </row>
    <row r="700" spans="1:11" x14ac:dyDescent="0.45">
      <c r="A700" t="s">
        <v>90</v>
      </c>
      <c r="B700" t="s">
        <v>5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0.43025000000000002</v>
      </c>
      <c r="K700" t="s">
        <v>28</v>
      </c>
    </row>
    <row r="701" spans="1:11" x14ac:dyDescent="0.45">
      <c r="A701" t="s">
        <v>90</v>
      </c>
      <c r="B701" t="s">
        <v>5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0.41705000000000003</v>
      </c>
      <c r="K701" t="s">
        <v>28</v>
      </c>
    </row>
    <row r="702" spans="1:11" x14ac:dyDescent="0.45">
      <c r="A702" t="s">
        <v>90</v>
      </c>
      <c r="B702" t="s">
        <v>5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0.41570000000000001</v>
      </c>
      <c r="K702" t="s">
        <v>28</v>
      </c>
    </row>
    <row r="703" spans="1:11" x14ac:dyDescent="0.45">
      <c r="A703" t="s">
        <v>90</v>
      </c>
      <c r="B703" t="s">
        <v>5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0.41349999999999998</v>
      </c>
      <c r="K703" t="s">
        <v>28</v>
      </c>
    </row>
    <row r="704" spans="1:11" x14ac:dyDescent="0.45">
      <c r="A704" t="s">
        <v>90</v>
      </c>
      <c r="B704" t="s">
        <v>5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0.42669999999999997</v>
      </c>
      <c r="K704" t="s">
        <v>28</v>
      </c>
    </row>
    <row r="705" spans="1:11" x14ac:dyDescent="0.45">
      <c r="A705" t="s">
        <v>90</v>
      </c>
      <c r="B705" t="s">
        <v>5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0.44110000000000005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0.4546</v>
      </c>
      <c r="K706" t="s">
        <v>28</v>
      </c>
    </row>
    <row r="707" spans="1:11" x14ac:dyDescent="0.45">
      <c r="A707" t="s">
        <v>90</v>
      </c>
      <c r="B707" t="s">
        <v>5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0.47089999999999999</v>
      </c>
      <c r="K707" t="s">
        <v>28</v>
      </c>
    </row>
    <row r="708" spans="1:11" x14ac:dyDescent="0.45">
      <c r="A708" t="s">
        <v>90</v>
      </c>
      <c r="B708" t="s">
        <v>5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0.48924999999999996</v>
      </c>
      <c r="K708" t="s">
        <v>28</v>
      </c>
    </row>
    <row r="709" spans="1:11" x14ac:dyDescent="0.45">
      <c r="A709" t="s">
        <v>90</v>
      </c>
      <c r="B709" t="s">
        <v>5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0.50875000000000004</v>
      </c>
      <c r="K709" t="s">
        <v>28</v>
      </c>
    </row>
    <row r="710" spans="1:11" x14ac:dyDescent="0.45">
      <c r="A710" t="s">
        <v>90</v>
      </c>
      <c r="B710" t="s">
        <v>2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0.25035000000000002</v>
      </c>
      <c r="K710" t="s">
        <v>28</v>
      </c>
    </row>
    <row r="711" spans="1:11" x14ac:dyDescent="0.45">
      <c r="A711" t="s">
        <v>90</v>
      </c>
      <c r="B711" t="s">
        <v>2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0.28120000000000001</v>
      </c>
      <c r="K711" t="s">
        <v>28</v>
      </c>
    </row>
    <row r="712" spans="1:11" x14ac:dyDescent="0.45">
      <c r="A712" t="s">
        <v>90</v>
      </c>
      <c r="B712" t="s">
        <v>2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0.311</v>
      </c>
      <c r="K712" t="s">
        <v>28</v>
      </c>
    </row>
    <row r="713" spans="1:11" x14ac:dyDescent="0.45">
      <c r="A713" t="s">
        <v>90</v>
      </c>
      <c r="B713" t="s">
        <v>2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0.36345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0.40159999999999996</v>
      </c>
      <c r="K714" t="s">
        <v>28</v>
      </c>
    </row>
    <row r="715" spans="1:11" x14ac:dyDescent="0.45">
      <c r="A715" t="s">
        <v>90</v>
      </c>
      <c r="B715" t="s">
        <v>2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0.41765000000000002</v>
      </c>
      <c r="K715" t="s">
        <v>28</v>
      </c>
    </row>
    <row r="716" spans="1:11" x14ac:dyDescent="0.45">
      <c r="A716" t="s">
        <v>90</v>
      </c>
      <c r="B716" t="s">
        <v>2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0.41749999999999998</v>
      </c>
      <c r="K716" t="s">
        <v>28</v>
      </c>
    </row>
    <row r="717" spans="1:11" x14ac:dyDescent="0.45">
      <c r="A717" t="s">
        <v>90</v>
      </c>
      <c r="B717" t="s">
        <v>2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0.39280000000000004</v>
      </c>
      <c r="K717" t="s">
        <v>28</v>
      </c>
    </row>
    <row r="718" spans="1:11" x14ac:dyDescent="0.45">
      <c r="A718" t="s">
        <v>90</v>
      </c>
      <c r="B718" t="s">
        <v>2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0.39360000000000001</v>
      </c>
      <c r="K718" t="s">
        <v>28</v>
      </c>
    </row>
    <row r="719" spans="1:11" x14ac:dyDescent="0.45">
      <c r="A719" t="s">
        <v>90</v>
      </c>
      <c r="B719" t="s">
        <v>2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0.39115</v>
      </c>
      <c r="K719" t="s">
        <v>28</v>
      </c>
    </row>
    <row r="720" spans="1:11" x14ac:dyDescent="0.45">
      <c r="A720" t="s">
        <v>90</v>
      </c>
      <c r="B720" t="s">
        <v>2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0.38934999999999997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0.39805000000000001</v>
      </c>
      <c r="K721" t="s">
        <v>28</v>
      </c>
    </row>
    <row r="722" spans="1:11" x14ac:dyDescent="0.45">
      <c r="A722" t="s">
        <v>90</v>
      </c>
      <c r="B722" t="s">
        <v>2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0.40579999999999999</v>
      </c>
      <c r="K722" t="s">
        <v>28</v>
      </c>
    </row>
    <row r="723" spans="1:11" x14ac:dyDescent="0.45">
      <c r="A723" t="s">
        <v>90</v>
      </c>
      <c r="B723" t="s">
        <v>2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0.41444999999999999</v>
      </c>
      <c r="K723" t="s">
        <v>28</v>
      </c>
    </row>
    <row r="724" spans="1:11" x14ac:dyDescent="0.45">
      <c r="A724" t="s">
        <v>90</v>
      </c>
      <c r="B724" t="s">
        <v>2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0.42484999999999995</v>
      </c>
      <c r="K724" t="s">
        <v>28</v>
      </c>
    </row>
    <row r="725" spans="1:11" x14ac:dyDescent="0.45">
      <c r="A725" t="s">
        <v>90</v>
      </c>
      <c r="B725" t="s">
        <v>2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0.44</v>
      </c>
      <c r="K725" t="s">
        <v>28</v>
      </c>
    </row>
    <row r="726" spans="1:11" x14ac:dyDescent="0.45">
      <c r="A726" t="s">
        <v>90</v>
      </c>
      <c r="B726" t="s">
        <v>2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0.45694999999999997</v>
      </c>
      <c r="K726" t="s">
        <v>28</v>
      </c>
    </row>
    <row r="727" spans="1:11" x14ac:dyDescent="0.45">
      <c r="A727" t="s">
        <v>90</v>
      </c>
      <c r="B727" t="s">
        <v>1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0.25955</v>
      </c>
      <c r="K727" t="s">
        <v>28</v>
      </c>
    </row>
    <row r="728" spans="1:11" x14ac:dyDescent="0.45">
      <c r="A728" t="s">
        <v>90</v>
      </c>
      <c r="B728" t="s">
        <v>1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0.29764999999999997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0.34025</v>
      </c>
      <c r="K729" t="s">
        <v>28</v>
      </c>
    </row>
    <row r="730" spans="1:11" x14ac:dyDescent="0.45">
      <c r="A730" t="s">
        <v>90</v>
      </c>
      <c r="B730" t="s">
        <v>1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0.43804999999999999</v>
      </c>
      <c r="K730" t="s">
        <v>28</v>
      </c>
    </row>
    <row r="731" spans="1:11" x14ac:dyDescent="0.45">
      <c r="A731" t="s">
        <v>90</v>
      </c>
      <c r="B731" t="s">
        <v>1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0.5111</v>
      </c>
      <c r="K731" t="s">
        <v>28</v>
      </c>
    </row>
    <row r="732" spans="1:11" x14ac:dyDescent="0.45">
      <c r="A732" t="s">
        <v>90</v>
      </c>
      <c r="B732" t="s">
        <v>1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0.51190000000000002</v>
      </c>
      <c r="K732" t="s">
        <v>28</v>
      </c>
    </row>
    <row r="733" spans="1:11" x14ac:dyDescent="0.45">
      <c r="A733" t="s">
        <v>90</v>
      </c>
      <c r="B733" t="s">
        <v>1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0.50459999999999994</v>
      </c>
      <c r="K733" t="s">
        <v>28</v>
      </c>
    </row>
    <row r="734" spans="1:11" x14ac:dyDescent="0.45">
      <c r="A734" t="s">
        <v>90</v>
      </c>
      <c r="B734" t="s">
        <v>1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0.45640000000000003</v>
      </c>
      <c r="K734" t="s">
        <v>28</v>
      </c>
    </row>
    <row r="735" spans="1:11" x14ac:dyDescent="0.45">
      <c r="A735" t="s">
        <v>90</v>
      </c>
      <c r="B735" t="s">
        <v>1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0.45705000000000001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0.45115000000000005</v>
      </c>
      <c r="K736" t="s">
        <v>28</v>
      </c>
    </row>
    <row r="737" spans="1:11" x14ac:dyDescent="0.45">
      <c r="A737" t="s">
        <v>90</v>
      </c>
      <c r="B737" t="s">
        <v>1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0.44469999999999998</v>
      </c>
      <c r="K737" t="s">
        <v>28</v>
      </c>
    </row>
    <row r="738" spans="1:11" x14ac:dyDescent="0.45">
      <c r="A738" t="s">
        <v>90</v>
      </c>
      <c r="B738" t="s">
        <v>1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0.45474999999999999</v>
      </c>
      <c r="K738" t="s">
        <v>28</v>
      </c>
    </row>
    <row r="739" spans="1:11" x14ac:dyDescent="0.45">
      <c r="A739" t="s">
        <v>90</v>
      </c>
      <c r="B739" t="s">
        <v>1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0.46615000000000001</v>
      </c>
      <c r="K739" t="s">
        <v>28</v>
      </c>
    </row>
    <row r="740" spans="1:11" x14ac:dyDescent="0.45">
      <c r="A740" t="s">
        <v>90</v>
      </c>
      <c r="B740" t="s">
        <v>1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0.48175000000000001</v>
      </c>
      <c r="K740" t="s">
        <v>28</v>
      </c>
    </row>
    <row r="741" spans="1:11" x14ac:dyDescent="0.45">
      <c r="A741" t="s">
        <v>90</v>
      </c>
      <c r="B741" t="s">
        <v>1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0.50014999999999998</v>
      </c>
      <c r="K741" t="s">
        <v>28</v>
      </c>
    </row>
    <row r="742" spans="1:11" x14ac:dyDescent="0.45">
      <c r="A742" t="s">
        <v>90</v>
      </c>
      <c r="B742" t="s">
        <v>1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0.52185000000000004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0.54495000000000005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9.5499999999999995E-3</v>
      </c>
      <c r="K744" t="s">
        <v>27</v>
      </c>
    </row>
    <row r="745" spans="1:11" x14ac:dyDescent="0.45">
      <c r="A745" t="s">
        <v>90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2025</v>
      </c>
      <c r="J745">
        <v>2.1449999999999997E-2</v>
      </c>
      <c r="K745" t="s">
        <v>27</v>
      </c>
    </row>
    <row r="746" spans="1:11" x14ac:dyDescent="0.45">
      <c r="A746" t="s">
        <v>90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2030</v>
      </c>
      <c r="J746">
        <v>4.0800000000000003E-2</v>
      </c>
      <c r="K746" t="s">
        <v>27</v>
      </c>
    </row>
    <row r="747" spans="1:11" x14ac:dyDescent="0.45">
      <c r="A747" t="s">
        <v>90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2035</v>
      </c>
      <c r="J747">
        <v>7.1149999999999991E-2</v>
      </c>
      <c r="K747" t="s">
        <v>27</v>
      </c>
    </row>
    <row r="748" spans="1:11" x14ac:dyDescent="0.45">
      <c r="A748" t="s">
        <v>90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2040</v>
      </c>
      <c r="J748">
        <v>0.10105</v>
      </c>
      <c r="K748" t="s">
        <v>27</v>
      </c>
    </row>
    <row r="749" spans="1:11" x14ac:dyDescent="0.45">
      <c r="A749" t="s">
        <v>90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2045</v>
      </c>
      <c r="J749">
        <v>0.11815000000000001</v>
      </c>
      <c r="K749" t="s">
        <v>27</v>
      </c>
    </row>
    <row r="750" spans="1:11" x14ac:dyDescent="0.45">
      <c r="A750" t="s">
        <v>90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2050</v>
      </c>
      <c r="J750">
        <v>0.12625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2055</v>
      </c>
      <c r="J751">
        <v>0.12659999999999999</v>
      </c>
      <c r="K751" t="s">
        <v>27</v>
      </c>
    </row>
    <row r="752" spans="1:11" x14ac:dyDescent="0.45">
      <c r="A752" t="s">
        <v>90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2060</v>
      </c>
      <c r="J752">
        <v>0.12564999999999998</v>
      </c>
      <c r="K752" t="s">
        <v>27</v>
      </c>
    </row>
    <row r="753" spans="1:11" x14ac:dyDescent="0.45">
      <c r="A753" t="s">
        <v>90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2065</v>
      </c>
      <c r="J753">
        <v>0.12585000000000002</v>
      </c>
      <c r="K753" t="s">
        <v>27</v>
      </c>
    </row>
    <row r="754" spans="1:11" x14ac:dyDescent="0.45">
      <c r="A754" t="s">
        <v>90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2070</v>
      </c>
      <c r="J754">
        <v>0.12640000000000001</v>
      </c>
      <c r="K754" t="s">
        <v>27</v>
      </c>
    </row>
    <row r="755" spans="1:11" x14ac:dyDescent="0.45">
      <c r="A755" t="s">
        <v>90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2075</v>
      </c>
      <c r="J755">
        <v>0.12775</v>
      </c>
      <c r="K755" t="s">
        <v>27</v>
      </c>
    </row>
    <row r="756" spans="1:11" x14ac:dyDescent="0.45">
      <c r="A756" t="s">
        <v>90</v>
      </c>
      <c r="B756" t="s">
        <v>3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0.12925</v>
      </c>
      <c r="K756" t="s">
        <v>27</v>
      </c>
    </row>
    <row r="757" spans="1:11" x14ac:dyDescent="0.45">
      <c r="A757" t="s">
        <v>90</v>
      </c>
      <c r="B757" t="s">
        <v>3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2085</v>
      </c>
      <c r="J757">
        <v>0.13055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2090</v>
      </c>
      <c r="J758">
        <v>0.13225000000000001</v>
      </c>
      <c r="K758" t="s">
        <v>27</v>
      </c>
    </row>
    <row r="759" spans="1:11" x14ac:dyDescent="0.45">
      <c r="A759" t="s">
        <v>90</v>
      </c>
      <c r="B759" t="s">
        <v>3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2095</v>
      </c>
      <c r="J759">
        <v>0.13369999999999999</v>
      </c>
      <c r="K759" t="s">
        <v>27</v>
      </c>
    </row>
    <row r="760" spans="1:11" x14ac:dyDescent="0.45">
      <c r="A760" t="s">
        <v>90</v>
      </c>
      <c r="B760" t="s">
        <v>3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2100</v>
      </c>
      <c r="J760">
        <v>0.13519999999999999</v>
      </c>
      <c r="K760" t="s">
        <v>27</v>
      </c>
    </row>
    <row r="761" spans="1:11" x14ac:dyDescent="0.45">
      <c r="A761" t="s">
        <v>90</v>
      </c>
      <c r="B761" t="s">
        <v>4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2020</v>
      </c>
      <c r="J761">
        <v>9.7999999999999997E-3</v>
      </c>
      <c r="K761" t="s">
        <v>27</v>
      </c>
    </row>
    <row r="762" spans="1:11" x14ac:dyDescent="0.45">
      <c r="A762" t="s">
        <v>90</v>
      </c>
      <c r="B762" t="s">
        <v>4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2025</v>
      </c>
      <c r="J762">
        <v>2.1049999999999999E-2</v>
      </c>
      <c r="K762" t="s">
        <v>27</v>
      </c>
    </row>
    <row r="763" spans="1:11" x14ac:dyDescent="0.45">
      <c r="A763" t="s">
        <v>90</v>
      </c>
      <c r="B763" t="s">
        <v>4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3.6949999999999997E-2</v>
      </c>
      <c r="K763" t="s">
        <v>27</v>
      </c>
    </row>
    <row r="764" spans="1:11" x14ac:dyDescent="0.45">
      <c r="A764" t="s">
        <v>90</v>
      </c>
      <c r="B764" t="s">
        <v>4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2035</v>
      </c>
      <c r="J764">
        <v>5.8700000000000002E-2</v>
      </c>
      <c r="K764" t="s">
        <v>27</v>
      </c>
    </row>
    <row r="765" spans="1:11" x14ac:dyDescent="0.45">
      <c r="A765" t="s">
        <v>90</v>
      </c>
      <c r="B765" t="s">
        <v>4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2040</v>
      </c>
      <c r="J765">
        <v>8.0500000000000002E-2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2045</v>
      </c>
      <c r="J766">
        <v>8.9249999999999996E-2</v>
      </c>
      <c r="K766" t="s">
        <v>27</v>
      </c>
    </row>
    <row r="767" spans="1:11" x14ac:dyDescent="0.45">
      <c r="A767" t="s">
        <v>90</v>
      </c>
      <c r="B767" t="s">
        <v>4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2050</v>
      </c>
      <c r="J767">
        <v>9.4899999999999998E-2</v>
      </c>
      <c r="K767" t="s">
        <v>27</v>
      </c>
    </row>
    <row r="768" spans="1:11" x14ac:dyDescent="0.45">
      <c r="A768" t="s">
        <v>90</v>
      </c>
      <c r="B768" t="s">
        <v>4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2055</v>
      </c>
      <c r="J768">
        <v>0.1003</v>
      </c>
      <c r="K768" t="s">
        <v>27</v>
      </c>
    </row>
    <row r="769" spans="1:11" x14ac:dyDescent="0.45">
      <c r="A769" t="s">
        <v>90</v>
      </c>
      <c r="B769" t="s">
        <v>4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2060</v>
      </c>
      <c r="J769">
        <v>0.10274999999999999</v>
      </c>
      <c r="K769" t="s">
        <v>27</v>
      </c>
    </row>
    <row r="770" spans="1:11" x14ac:dyDescent="0.45">
      <c r="A770" t="s">
        <v>90</v>
      </c>
      <c r="B770" t="s">
        <v>4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2065</v>
      </c>
      <c r="J770">
        <v>0.1046</v>
      </c>
      <c r="K770" t="s">
        <v>27</v>
      </c>
    </row>
    <row r="771" spans="1:11" x14ac:dyDescent="0.45">
      <c r="A771" t="s">
        <v>90</v>
      </c>
      <c r="B771" t="s">
        <v>4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2070</v>
      </c>
      <c r="J771">
        <v>0.10680000000000001</v>
      </c>
      <c r="K771" t="s">
        <v>27</v>
      </c>
    </row>
    <row r="772" spans="1:11" x14ac:dyDescent="0.45">
      <c r="A772" t="s">
        <v>90</v>
      </c>
      <c r="B772" t="s">
        <v>4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2075</v>
      </c>
      <c r="J772">
        <v>0.1082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2080</v>
      </c>
      <c r="J773">
        <v>0.10915</v>
      </c>
      <c r="K773" t="s">
        <v>27</v>
      </c>
    </row>
    <row r="774" spans="1:11" x14ac:dyDescent="0.45">
      <c r="A774" t="s">
        <v>90</v>
      </c>
      <c r="B774" t="s">
        <v>4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2085</v>
      </c>
      <c r="J774">
        <v>0.10935</v>
      </c>
      <c r="K774" t="s">
        <v>27</v>
      </c>
    </row>
    <row r="775" spans="1:11" x14ac:dyDescent="0.45">
      <c r="A775" t="s">
        <v>90</v>
      </c>
      <c r="B775" t="s">
        <v>4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2090</v>
      </c>
      <c r="J775">
        <v>0.1099</v>
      </c>
      <c r="K775" t="s">
        <v>27</v>
      </c>
    </row>
    <row r="776" spans="1:11" x14ac:dyDescent="0.45">
      <c r="A776" t="s">
        <v>90</v>
      </c>
      <c r="B776" t="s">
        <v>4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2095</v>
      </c>
      <c r="J776">
        <v>0.1108</v>
      </c>
      <c r="K776" t="s">
        <v>27</v>
      </c>
    </row>
    <row r="777" spans="1:11" x14ac:dyDescent="0.45">
      <c r="A777" t="s">
        <v>90</v>
      </c>
      <c r="B777" t="s">
        <v>4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2100</v>
      </c>
      <c r="J777">
        <v>0.11225</v>
      </c>
      <c r="K777" t="s">
        <v>27</v>
      </c>
    </row>
    <row r="778" spans="1:11" x14ac:dyDescent="0.45">
      <c r="A778" t="s">
        <v>90</v>
      </c>
      <c r="B778" t="s">
        <v>0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9.7999999999999997E-3</v>
      </c>
      <c r="K778" t="s">
        <v>27</v>
      </c>
    </row>
    <row r="779" spans="1:11" x14ac:dyDescent="0.45">
      <c r="A779" t="s">
        <v>90</v>
      </c>
      <c r="B779" t="s">
        <v>0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2.12E-2</v>
      </c>
      <c r="K779" t="s">
        <v>27</v>
      </c>
    </row>
    <row r="780" spans="1:11" x14ac:dyDescent="0.45">
      <c r="A780" t="s">
        <v>90</v>
      </c>
      <c r="B780" t="s">
        <v>0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3.7000000000000005E-2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6.3100000000000003E-2</v>
      </c>
      <c r="K781" t="s">
        <v>27</v>
      </c>
    </row>
    <row r="782" spans="1:11" x14ac:dyDescent="0.45">
      <c r="A782" t="s">
        <v>90</v>
      </c>
      <c r="B782" t="s">
        <v>0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9.2499999999999999E-2</v>
      </c>
      <c r="K782" t="s">
        <v>27</v>
      </c>
    </row>
    <row r="783" spans="1:11" x14ac:dyDescent="0.45">
      <c r="A783" t="s">
        <v>90</v>
      </c>
      <c r="B783" t="s">
        <v>0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0.11165</v>
      </c>
      <c r="K783" t="s">
        <v>27</v>
      </c>
    </row>
    <row r="784" spans="1:11" x14ac:dyDescent="0.45">
      <c r="A784" t="s">
        <v>90</v>
      </c>
      <c r="B784" t="s">
        <v>0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0.11194999999999999</v>
      </c>
      <c r="K784" t="s">
        <v>27</v>
      </c>
    </row>
    <row r="785" spans="1:11" x14ac:dyDescent="0.45">
      <c r="A785" t="s">
        <v>90</v>
      </c>
      <c r="B785" t="s">
        <v>0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0.11294999999999999</v>
      </c>
      <c r="K785" t="s">
        <v>27</v>
      </c>
    </row>
    <row r="786" spans="1:11" x14ac:dyDescent="0.45">
      <c r="A786" t="s">
        <v>90</v>
      </c>
      <c r="B786" t="s">
        <v>0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0.11205000000000001</v>
      </c>
      <c r="K786" t="s">
        <v>27</v>
      </c>
    </row>
    <row r="787" spans="1:11" x14ac:dyDescent="0.45">
      <c r="A787" t="s">
        <v>90</v>
      </c>
      <c r="B787" t="s">
        <v>0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0.11230000000000001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0.11280000000000001</v>
      </c>
      <c r="K788" t="s">
        <v>27</v>
      </c>
    </row>
    <row r="789" spans="1:11" x14ac:dyDescent="0.45">
      <c r="A789" t="s">
        <v>90</v>
      </c>
      <c r="B789" t="s">
        <v>0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0.1144</v>
      </c>
      <c r="K789" t="s">
        <v>27</v>
      </c>
    </row>
    <row r="790" spans="1:11" x14ac:dyDescent="0.45">
      <c r="A790" t="s">
        <v>90</v>
      </c>
      <c r="B790" t="s">
        <v>0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0.11635</v>
      </c>
      <c r="K790" t="s">
        <v>27</v>
      </c>
    </row>
    <row r="791" spans="1:11" x14ac:dyDescent="0.45">
      <c r="A791" t="s">
        <v>90</v>
      </c>
      <c r="B791" t="s">
        <v>0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0.11795</v>
      </c>
      <c r="K791" t="s">
        <v>27</v>
      </c>
    </row>
    <row r="792" spans="1:11" x14ac:dyDescent="0.45">
      <c r="A792" t="s">
        <v>90</v>
      </c>
      <c r="B792" t="s">
        <v>0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0.11945</v>
      </c>
      <c r="K792" t="s">
        <v>27</v>
      </c>
    </row>
    <row r="793" spans="1:11" x14ac:dyDescent="0.45">
      <c r="A793" t="s">
        <v>90</v>
      </c>
      <c r="B793" t="s">
        <v>0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0.12135000000000001</v>
      </c>
      <c r="K793" t="s">
        <v>27</v>
      </c>
    </row>
    <row r="794" spans="1:11" x14ac:dyDescent="0.45">
      <c r="A794" t="s">
        <v>90</v>
      </c>
      <c r="B794" t="s">
        <v>0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0.12384999999999999</v>
      </c>
      <c r="K794" t="s">
        <v>27</v>
      </c>
    </row>
    <row r="795" spans="1:11" x14ac:dyDescent="0.45">
      <c r="A795" t="s">
        <v>90</v>
      </c>
      <c r="B795" t="s">
        <v>6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2020</v>
      </c>
      <c r="J795">
        <v>9.75E-3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2025</v>
      </c>
      <c r="J796">
        <v>2.1299999999999999E-2</v>
      </c>
      <c r="K796" t="s">
        <v>27</v>
      </c>
    </row>
    <row r="797" spans="1:11" x14ac:dyDescent="0.45">
      <c r="A797" t="s">
        <v>90</v>
      </c>
      <c r="B797" t="s">
        <v>6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2030</v>
      </c>
      <c r="J797">
        <v>3.7949999999999998E-2</v>
      </c>
      <c r="K797" t="s">
        <v>27</v>
      </c>
    </row>
    <row r="798" spans="1:11" x14ac:dyDescent="0.45">
      <c r="A798" t="s">
        <v>90</v>
      </c>
      <c r="B798" t="s">
        <v>6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2035</v>
      </c>
      <c r="J798">
        <v>6.0600000000000001E-2</v>
      </c>
      <c r="K798" t="s">
        <v>27</v>
      </c>
    </row>
    <row r="799" spans="1:11" x14ac:dyDescent="0.45">
      <c r="A799" t="s">
        <v>90</v>
      </c>
      <c r="B799" t="s">
        <v>6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2040</v>
      </c>
      <c r="J799">
        <v>8.4350000000000008E-2</v>
      </c>
      <c r="K799" t="s">
        <v>27</v>
      </c>
    </row>
    <row r="800" spans="1:11" x14ac:dyDescent="0.45">
      <c r="A800" t="s">
        <v>90</v>
      </c>
      <c r="B800" t="s">
        <v>6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2045</v>
      </c>
      <c r="J800">
        <v>9.4549999999999995E-2</v>
      </c>
      <c r="K800" t="s">
        <v>27</v>
      </c>
    </row>
    <row r="801" spans="1:11" x14ac:dyDescent="0.45">
      <c r="A801" t="s">
        <v>90</v>
      </c>
      <c r="B801" t="s">
        <v>6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2050</v>
      </c>
      <c r="J801">
        <v>0.10200000000000001</v>
      </c>
      <c r="K801" t="s">
        <v>27</v>
      </c>
    </row>
    <row r="802" spans="1:11" x14ac:dyDescent="0.45">
      <c r="A802" t="s">
        <v>90</v>
      </c>
      <c r="B802" t="s">
        <v>6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2055</v>
      </c>
      <c r="J802">
        <v>0.10525000000000001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0.10650000000000001</v>
      </c>
      <c r="K803" t="s">
        <v>27</v>
      </c>
    </row>
    <row r="804" spans="1:11" x14ac:dyDescent="0.45">
      <c r="A804" t="s">
        <v>90</v>
      </c>
      <c r="B804" t="s">
        <v>6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2065</v>
      </c>
      <c r="J804">
        <v>0.1077</v>
      </c>
      <c r="K804" t="s">
        <v>27</v>
      </c>
    </row>
    <row r="805" spans="1:11" x14ac:dyDescent="0.45">
      <c r="A805" t="s">
        <v>90</v>
      </c>
      <c r="B805" t="s">
        <v>6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2070</v>
      </c>
      <c r="J805">
        <v>0.1091</v>
      </c>
      <c r="K805" t="s">
        <v>27</v>
      </c>
    </row>
    <row r="806" spans="1:11" x14ac:dyDescent="0.45">
      <c r="A806" t="s">
        <v>90</v>
      </c>
      <c r="B806" t="s">
        <v>6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2075</v>
      </c>
      <c r="J806">
        <v>0.11135</v>
      </c>
      <c r="K806" t="s">
        <v>27</v>
      </c>
    </row>
    <row r="807" spans="1:11" x14ac:dyDescent="0.45">
      <c r="A807" t="s">
        <v>90</v>
      </c>
      <c r="B807" t="s">
        <v>6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2080</v>
      </c>
      <c r="J807">
        <v>0.11335000000000001</v>
      </c>
      <c r="K807" t="s">
        <v>27</v>
      </c>
    </row>
    <row r="808" spans="1:11" x14ac:dyDescent="0.45">
      <c r="A808" t="s">
        <v>90</v>
      </c>
      <c r="B808" t="s">
        <v>6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2085</v>
      </c>
      <c r="J808">
        <v>0.11435000000000001</v>
      </c>
      <c r="K808" t="s">
        <v>27</v>
      </c>
    </row>
    <row r="809" spans="1:11" x14ac:dyDescent="0.45">
      <c r="A809" t="s">
        <v>90</v>
      </c>
      <c r="B809" t="s">
        <v>6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2090</v>
      </c>
      <c r="J809">
        <v>0.11545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2095</v>
      </c>
      <c r="J810">
        <v>0.11695</v>
      </c>
      <c r="K810" t="s">
        <v>27</v>
      </c>
    </row>
    <row r="811" spans="1:11" x14ac:dyDescent="0.45">
      <c r="A811" t="s">
        <v>90</v>
      </c>
      <c r="B811" t="s">
        <v>6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2100</v>
      </c>
      <c r="J811">
        <v>0.11899999999999999</v>
      </c>
      <c r="K811" t="s">
        <v>27</v>
      </c>
    </row>
    <row r="812" spans="1:11" x14ac:dyDescent="0.45">
      <c r="A812" t="s">
        <v>90</v>
      </c>
      <c r="B812" t="s">
        <v>5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2020</v>
      </c>
      <c r="J812">
        <v>1.125E-2</v>
      </c>
      <c r="K812" t="s">
        <v>27</v>
      </c>
    </row>
    <row r="813" spans="1:11" x14ac:dyDescent="0.45">
      <c r="A813" t="s">
        <v>90</v>
      </c>
      <c r="B813" t="s">
        <v>5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2025</v>
      </c>
      <c r="J813">
        <v>2.3350000000000003E-2</v>
      </c>
      <c r="K813" t="s">
        <v>27</v>
      </c>
    </row>
    <row r="814" spans="1:11" x14ac:dyDescent="0.45">
      <c r="A814" t="s">
        <v>90</v>
      </c>
      <c r="B814" t="s">
        <v>5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2030</v>
      </c>
      <c r="J814">
        <v>4.4149999999999995E-2</v>
      </c>
      <c r="K814" t="s">
        <v>27</v>
      </c>
    </row>
    <row r="815" spans="1:11" x14ac:dyDescent="0.45">
      <c r="A815" t="s">
        <v>90</v>
      </c>
      <c r="B815" t="s">
        <v>5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2035</v>
      </c>
      <c r="J815">
        <v>7.6749999999999999E-2</v>
      </c>
      <c r="K815" t="s">
        <v>27</v>
      </c>
    </row>
    <row r="816" spans="1:11" x14ac:dyDescent="0.45">
      <c r="A816" t="s">
        <v>90</v>
      </c>
      <c r="B816" t="s">
        <v>5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2040</v>
      </c>
      <c r="J816">
        <v>0.1071</v>
      </c>
      <c r="K816" t="s">
        <v>27</v>
      </c>
    </row>
    <row r="817" spans="1:11" x14ac:dyDescent="0.45">
      <c r="A817" t="s">
        <v>90</v>
      </c>
      <c r="B817" t="s">
        <v>5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2045</v>
      </c>
      <c r="J817">
        <v>0.1182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2050</v>
      </c>
      <c r="J818">
        <v>0.11885</v>
      </c>
      <c r="K818" t="s">
        <v>27</v>
      </c>
    </row>
    <row r="819" spans="1:11" x14ac:dyDescent="0.45">
      <c r="A819" t="s">
        <v>90</v>
      </c>
      <c r="B819" t="s">
        <v>5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2055</v>
      </c>
      <c r="J819">
        <v>0.12125</v>
      </c>
      <c r="K819" t="s">
        <v>27</v>
      </c>
    </row>
    <row r="820" spans="1:11" x14ac:dyDescent="0.45">
      <c r="A820" t="s">
        <v>90</v>
      </c>
      <c r="B820" t="s">
        <v>5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2060</v>
      </c>
      <c r="J820">
        <v>0.12145</v>
      </c>
      <c r="K820" t="s">
        <v>27</v>
      </c>
    </row>
    <row r="821" spans="1:11" x14ac:dyDescent="0.45">
      <c r="A821" t="s">
        <v>90</v>
      </c>
      <c r="B821" t="s">
        <v>5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2065</v>
      </c>
      <c r="J821">
        <v>0.12204999999999999</v>
      </c>
      <c r="K821" t="s">
        <v>27</v>
      </c>
    </row>
    <row r="822" spans="1:11" x14ac:dyDescent="0.45">
      <c r="A822" t="s">
        <v>90</v>
      </c>
      <c r="B822" t="s">
        <v>5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2070</v>
      </c>
      <c r="J822">
        <v>0.12215000000000001</v>
      </c>
      <c r="K822" t="s">
        <v>27</v>
      </c>
    </row>
    <row r="823" spans="1:11" x14ac:dyDescent="0.45">
      <c r="A823" t="s">
        <v>90</v>
      </c>
      <c r="B823" t="s">
        <v>5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0.12305000000000001</v>
      </c>
      <c r="K823" t="s">
        <v>27</v>
      </c>
    </row>
    <row r="824" spans="1:11" x14ac:dyDescent="0.45">
      <c r="A824" t="s">
        <v>90</v>
      </c>
      <c r="B824" t="s">
        <v>5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2080</v>
      </c>
      <c r="J824">
        <v>0.1242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2085</v>
      </c>
      <c r="J825">
        <v>0.12514999999999998</v>
      </c>
      <c r="K825" t="s">
        <v>27</v>
      </c>
    </row>
    <row r="826" spans="1:11" x14ac:dyDescent="0.45">
      <c r="A826" t="s">
        <v>90</v>
      </c>
      <c r="B826" t="s">
        <v>5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2090</v>
      </c>
      <c r="J826">
        <v>0.12670000000000001</v>
      </c>
      <c r="K826" t="s">
        <v>27</v>
      </c>
    </row>
    <row r="827" spans="1:11" x14ac:dyDescent="0.45">
      <c r="A827" t="s">
        <v>90</v>
      </c>
      <c r="B827" t="s">
        <v>5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2095</v>
      </c>
      <c r="J827">
        <v>0.12809999999999999</v>
      </c>
      <c r="K827" t="s">
        <v>27</v>
      </c>
    </row>
    <row r="828" spans="1:11" x14ac:dyDescent="0.45">
      <c r="A828" t="s">
        <v>90</v>
      </c>
      <c r="B828" t="s">
        <v>5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2100</v>
      </c>
      <c r="J828">
        <v>0.12984999999999999</v>
      </c>
      <c r="K828" t="s">
        <v>27</v>
      </c>
    </row>
    <row r="829" spans="1:11" x14ac:dyDescent="0.45">
      <c r="A829" t="s">
        <v>90</v>
      </c>
      <c r="B829" t="s">
        <v>2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2020</v>
      </c>
      <c r="J829">
        <v>0.01</v>
      </c>
      <c r="K829" t="s">
        <v>27</v>
      </c>
    </row>
    <row r="830" spans="1:11" x14ac:dyDescent="0.45">
      <c r="A830" t="s">
        <v>90</v>
      </c>
      <c r="B830" t="s">
        <v>2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2025</v>
      </c>
      <c r="J830">
        <v>2.1650000000000003E-2</v>
      </c>
      <c r="K830" t="s">
        <v>27</v>
      </c>
    </row>
    <row r="831" spans="1:11" x14ac:dyDescent="0.45">
      <c r="A831" t="s">
        <v>90</v>
      </c>
      <c r="B831" t="s">
        <v>2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2030</v>
      </c>
      <c r="J831">
        <v>3.8449999999999998E-2</v>
      </c>
      <c r="K831" t="s">
        <v>27</v>
      </c>
    </row>
    <row r="832" spans="1:11" x14ac:dyDescent="0.45">
      <c r="A832" t="s">
        <v>90</v>
      </c>
      <c r="B832" t="s">
        <v>2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2035</v>
      </c>
      <c r="J832">
        <v>6.2100000000000002E-2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2040</v>
      </c>
      <c r="J833">
        <v>8.5249999999999992E-2</v>
      </c>
      <c r="K833" t="s">
        <v>27</v>
      </c>
    </row>
    <row r="834" spans="1:11" x14ac:dyDescent="0.45">
      <c r="A834" t="s">
        <v>90</v>
      </c>
      <c r="B834" t="s">
        <v>2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2045</v>
      </c>
      <c r="J834">
        <v>9.5450000000000007E-2</v>
      </c>
      <c r="K834" t="s">
        <v>27</v>
      </c>
    </row>
    <row r="835" spans="1:11" x14ac:dyDescent="0.45">
      <c r="A835" t="s">
        <v>90</v>
      </c>
      <c r="B835" t="s">
        <v>2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2050</v>
      </c>
      <c r="J835">
        <v>0.1011</v>
      </c>
      <c r="K835" t="s">
        <v>27</v>
      </c>
    </row>
    <row r="836" spans="1:11" x14ac:dyDescent="0.45">
      <c r="A836" t="s">
        <v>90</v>
      </c>
      <c r="B836" t="s">
        <v>2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2055</v>
      </c>
      <c r="J836">
        <v>0.10435</v>
      </c>
      <c r="K836" t="s">
        <v>27</v>
      </c>
    </row>
    <row r="837" spans="1:11" x14ac:dyDescent="0.45">
      <c r="A837" t="s">
        <v>90</v>
      </c>
      <c r="B837" t="s">
        <v>2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2060</v>
      </c>
      <c r="J837">
        <v>0.10695</v>
      </c>
      <c r="K837" t="s">
        <v>27</v>
      </c>
    </row>
    <row r="838" spans="1:11" x14ac:dyDescent="0.45">
      <c r="A838" t="s">
        <v>90</v>
      </c>
      <c r="B838" t="s">
        <v>2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2065</v>
      </c>
      <c r="J838">
        <v>0.10865</v>
      </c>
      <c r="K838" t="s">
        <v>27</v>
      </c>
    </row>
    <row r="839" spans="1:11" x14ac:dyDescent="0.45">
      <c r="A839" t="s">
        <v>90</v>
      </c>
      <c r="B839" t="s">
        <v>2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2070</v>
      </c>
      <c r="J839">
        <v>0.11055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2075</v>
      </c>
      <c r="J840">
        <v>0.11260000000000001</v>
      </c>
      <c r="K840" t="s">
        <v>27</v>
      </c>
    </row>
    <row r="841" spans="1:11" x14ac:dyDescent="0.45">
      <c r="A841" t="s">
        <v>90</v>
      </c>
      <c r="B841" t="s">
        <v>2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2080</v>
      </c>
      <c r="J841">
        <v>0.11375</v>
      </c>
      <c r="K841" t="s">
        <v>27</v>
      </c>
    </row>
    <row r="842" spans="1:11" x14ac:dyDescent="0.45">
      <c r="A842" t="s">
        <v>90</v>
      </c>
      <c r="B842" t="s">
        <v>2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2085</v>
      </c>
      <c r="J842">
        <v>0.11405</v>
      </c>
      <c r="K842" t="s">
        <v>27</v>
      </c>
    </row>
    <row r="843" spans="1:11" x14ac:dyDescent="0.45">
      <c r="A843" t="s">
        <v>90</v>
      </c>
      <c r="B843" t="s">
        <v>2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0.11460000000000001</v>
      </c>
      <c r="K843" t="s">
        <v>27</v>
      </c>
    </row>
    <row r="844" spans="1:11" x14ac:dyDescent="0.45">
      <c r="A844" t="s">
        <v>90</v>
      </c>
      <c r="B844" t="s">
        <v>2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2095</v>
      </c>
      <c r="J844">
        <v>0.1159</v>
      </c>
      <c r="K844" t="s">
        <v>27</v>
      </c>
    </row>
    <row r="845" spans="1:11" x14ac:dyDescent="0.45">
      <c r="A845" t="s">
        <v>90</v>
      </c>
      <c r="B845" t="s">
        <v>2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2100</v>
      </c>
      <c r="J845">
        <v>0.1178</v>
      </c>
      <c r="K845" t="s">
        <v>27</v>
      </c>
    </row>
    <row r="846" spans="1:11" x14ac:dyDescent="0.45">
      <c r="A846" t="s">
        <v>90</v>
      </c>
      <c r="B846" t="s">
        <v>1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2020</v>
      </c>
      <c r="J846">
        <v>9.9000000000000008E-3</v>
      </c>
      <c r="K846" t="s">
        <v>27</v>
      </c>
    </row>
    <row r="847" spans="1:11" x14ac:dyDescent="0.45">
      <c r="A847" t="s">
        <v>90</v>
      </c>
      <c r="B847" t="s">
        <v>1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2025</v>
      </c>
      <c r="J847">
        <v>2.325E-2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2030</v>
      </c>
      <c r="J848">
        <v>4.6550000000000001E-2</v>
      </c>
      <c r="K848" t="s">
        <v>27</v>
      </c>
    </row>
    <row r="849" spans="1:11" x14ac:dyDescent="0.45">
      <c r="A849" t="s">
        <v>90</v>
      </c>
      <c r="B849" t="s">
        <v>1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2035</v>
      </c>
      <c r="J849">
        <v>9.1200000000000003E-2</v>
      </c>
      <c r="K849" t="s">
        <v>27</v>
      </c>
    </row>
    <row r="850" spans="1:11" x14ac:dyDescent="0.45">
      <c r="A850" t="s">
        <v>90</v>
      </c>
      <c r="B850" t="s">
        <v>1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2040</v>
      </c>
      <c r="J850">
        <v>0.13769999999999999</v>
      </c>
      <c r="K850" t="s">
        <v>27</v>
      </c>
    </row>
    <row r="851" spans="1:11" x14ac:dyDescent="0.45">
      <c r="A851" t="s">
        <v>90</v>
      </c>
      <c r="B851" t="s">
        <v>1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2045</v>
      </c>
      <c r="J851">
        <v>0.14889999999999998</v>
      </c>
      <c r="K851" t="s">
        <v>27</v>
      </c>
    </row>
    <row r="852" spans="1:11" x14ac:dyDescent="0.45">
      <c r="A852" t="s">
        <v>90</v>
      </c>
      <c r="B852" t="s">
        <v>1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2050</v>
      </c>
      <c r="J852">
        <v>0.15165000000000001</v>
      </c>
      <c r="K852" t="s">
        <v>27</v>
      </c>
    </row>
    <row r="853" spans="1:11" x14ac:dyDescent="0.45">
      <c r="A853" t="s">
        <v>90</v>
      </c>
      <c r="B853" t="s">
        <v>1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0.14495</v>
      </c>
      <c r="K853" t="s">
        <v>27</v>
      </c>
    </row>
    <row r="854" spans="1:11" x14ac:dyDescent="0.45">
      <c r="A854" t="s">
        <v>90</v>
      </c>
      <c r="B854" t="s">
        <v>1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2060</v>
      </c>
      <c r="J854">
        <v>0.14460000000000001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2065</v>
      </c>
      <c r="J855">
        <v>0.1452</v>
      </c>
      <c r="K855" t="s">
        <v>27</v>
      </c>
    </row>
    <row r="856" spans="1:11" x14ac:dyDescent="0.45">
      <c r="A856" t="s">
        <v>90</v>
      </c>
      <c r="B856" t="s">
        <v>1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2070</v>
      </c>
      <c r="J856">
        <v>0.1459</v>
      </c>
      <c r="K856" t="s">
        <v>27</v>
      </c>
    </row>
    <row r="857" spans="1:11" x14ac:dyDescent="0.45">
      <c r="A857" t="s">
        <v>90</v>
      </c>
      <c r="B857" t="s">
        <v>1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2075</v>
      </c>
      <c r="J857">
        <v>0.1474</v>
      </c>
      <c r="K857" t="s">
        <v>27</v>
      </c>
    </row>
    <row r="858" spans="1:11" x14ac:dyDescent="0.45">
      <c r="A858" t="s">
        <v>90</v>
      </c>
      <c r="B858" t="s">
        <v>1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2080</v>
      </c>
      <c r="J858">
        <v>0.14915</v>
      </c>
      <c r="K858" t="s">
        <v>27</v>
      </c>
    </row>
    <row r="859" spans="1:11" x14ac:dyDescent="0.45">
      <c r="A859" t="s">
        <v>90</v>
      </c>
      <c r="B859" t="s">
        <v>1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2085</v>
      </c>
      <c r="J859">
        <v>0.15110000000000001</v>
      </c>
      <c r="K859" t="s">
        <v>27</v>
      </c>
    </row>
    <row r="860" spans="1:11" x14ac:dyDescent="0.45">
      <c r="A860" t="s">
        <v>90</v>
      </c>
      <c r="B860" t="s">
        <v>1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2090</v>
      </c>
      <c r="J860">
        <v>0.15360000000000001</v>
      </c>
      <c r="K860" t="s">
        <v>27</v>
      </c>
    </row>
    <row r="861" spans="1:11" x14ac:dyDescent="0.45">
      <c r="A861" t="s">
        <v>90</v>
      </c>
      <c r="B861" t="s">
        <v>1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2095</v>
      </c>
      <c r="J861">
        <v>0.1555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0.15784999999999999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3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2025</v>
      </c>
      <c r="J864">
        <v>5.6314500000000001</v>
      </c>
      <c r="K864" t="s">
        <v>29</v>
      </c>
    </row>
    <row r="865" spans="1:11" x14ac:dyDescent="0.45">
      <c r="A865" t="s">
        <v>90</v>
      </c>
      <c r="B865" t="s">
        <v>3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2030</v>
      </c>
      <c r="J865">
        <v>5.5214499999999997</v>
      </c>
      <c r="K865" t="s">
        <v>29</v>
      </c>
    </row>
    <row r="866" spans="1:11" x14ac:dyDescent="0.45">
      <c r="A866" t="s">
        <v>90</v>
      </c>
      <c r="B866" t="s">
        <v>3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2035</v>
      </c>
      <c r="J866">
        <v>5.7596500000000006</v>
      </c>
      <c r="K866" t="s">
        <v>29</v>
      </c>
    </row>
    <row r="867" spans="1:11" x14ac:dyDescent="0.45">
      <c r="A867" t="s">
        <v>90</v>
      </c>
      <c r="B867" t="s">
        <v>3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2040</v>
      </c>
      <c r="J867">
        <v>6.6292499999999999</v>
      </c>
      <c r="K867" t="s">
        <v>29</v>
      </c>
    </row>
    <row r="868" spans="1:11" x14ac:dyDescent="0.45">
      <c r="A868" t="s">
        <v>90</v>
      </c>
      <c r="B868" t="s">
        <v>3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2045</v>
      </c>
      <c r="J868">
        <v>6.9108000000000001</v>
      </c>
      <c r="K868" t="s">
        <v>29</v>
      </c>
    </row>
    <row r="869" spans="1:11" x14ac:dyDescent="0.45">
      <c r="A869" t="s">
        <v>90</v>
      </c>
      <c r="B869" t="s">
        <v>3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2050</v>
      </c>
      <c r="J869">
        <v>7.9924499999999998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2055</v>
      </c>
      <c r="J870">
        <v>8.6547000000000001</v>
      </c>
      <c r="K870" t="s">
        <v>29</v>
      </c>
    </row>
    <row r="871" spans="1:11" x14ac:dyDescent="0.45">
      <c r="A871" t="s">
        <v>90</v>
      </c>
      <c r="B871" t="s">
        <v>3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2060</v>
      </c>
      <c r="J871">
        <v>12.725249999999999</v>
      </c>
      <c r="K871" t="s">
        <v>29</v>
      </c>
    </row>
    <row r="872" spans="1:11" x14ac:dyDescent="0.45">
      <c r="A872" t="s">
        <v>90</v>
      </c>
      <c r="B872" t="s">
        <v>3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2065</v>
      </c>
      <c r="J872">
        <v>12.6111</v>
      </c>
      <c r="K872" t="s">
        <v>29</v>
      </c>
    </row>
    <row r="873" spans="1:11" x14ac:dyDescent="0.45">
      <c r="A873" t="s">
        <v>90</v>
      </c>
      <c r="B873" t="s">
        <v>3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2070</v>
      </c>
      <c r="J873">
        <v>12.497</v>
      </c>
      <c r="K873" t="s">
        <v>29</v>
      </c>
    </row>
    <row r="874" spans="1:11" x14ac:dyDescent="0.45">
      <c r="A874" t="s">
        <v>90</v>
      </c>
      <c r="B874" t="s">
        <v>3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2075</v>
      </c>
      <c r="J874">
        <v>13.562349999999999</v>
      </c>
      <c r="K874" t="s">
        <v>29</v>
      </c>
    </row>
    <row r="875" spans="1:11" x14ac:dyDescent="0.45">
      <c r="A875" t="s">
        <v>90</v>
      </c>
      <c r="B875" t="s">
        <v>3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2080</v>
      </c>
      <c r="J875">
        <v>14.627700000000001</v>
      </c>
      <c r="K875" t="s">
        <v>29</v>
      </c>
    </row>
    <row r="876" spans="1:11" x14ac:dyDescent="0.45">
      <c r="A876" t="s">
        <v>90</v>
      </c>
      <c r="B876" t="s">
        <v>3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2085</v>
      </c>
      <c r="J876">
        <v>15.284700000000001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2090</v>
      </c>
      <c r="J877">
        <v>15.941649999999999</v>
      </c>
      <c r="K877" t="s">
        <v>29</v>
      </c>
    </row>
    <row r="878" spans="1:11" x14ac:dyDescent="0.45">
      <c r="A878" t="s">
        <v>90</v>
      </c>
      <c r="B878" t="s">
        <v>3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2095</v>
      </c>
      <c r="J878">
        <v>15.99475</v>
      </c>
      <c r="K878" t="s">
        <v>29</v>
      </c>
    </row>
    <row r="879" spans="1:11" x14ac:dyDescent="0.45">
      <c r="A879" t="s">
        <v>90</v>
      </c>
      <c r="B879" t="s">
        <v>3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2100</v>
      </c>
      <c r="J879">
        <v>16.047899999999998</v>
      </c>
      <c r="K879" t="s">
        <v>29</v>
      </c>
    </row>
    <row r="880" spans="1:11" x14ac:dyDescent="0.45">
      <c r="A880" t="s">
        <v>90</v>
      </c>
      <c r="B880" t="s">
        <v>4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2020</v>
      </c>
      <c r="J880">
        <v>5.3799000000000001</v>
      </c>
      <c r="K880" t="s">
        <v>29</v>
      </c>
    </row>
    <row r="881" spans="1:11" x14ac:dyDescent="0.45">
      <c r="A881" t="s">
        <v>90</v>
      </c>
      <c r="B881" t="s">
        <v>4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2025</v>
      </c>
      <c r="J881">
        <v>5.7637999999999998</v>
      </c>
      <c r="K881" t="s">
        <v>29</v>
      </c>
    </row>
    <row r="882" spans="1:11" x14ac:dyDescent="0.45">
      <c r="A882" t="s">
        <v>90</v>
      </c>
      <c r="B882" t="s">
        <v>4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5.3145500000000006</v>
      </c>
      <c r="K882" t="s">
        <v>29</v>
      </c>
    </row>
    <row r="883" spans="1:11" x14ac:dyDescent="0.45">
      <c r="A883" t="s">
        <v>90</v>
      </c>
      <c r="B883" t="s">
        <v>4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2035</v>
      </c>
      <c r="J883">
        <v>4.5601500000000001</v>
      </c>
      <c r="K883" t="s">
        <v>29</v>
      </c>
    </row>
    <row r="884" spans="1:11" x14ac:dyDescent="0.45">
      <c r="A884" t="s">
        <v>90</v>
      </c>
      <c r="B884" t="s">
        <v>4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2040</v>
      </c>
      <c r="J884">
        <v>2.1816000000000004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2045</v>
      </c>
      <c r="J885">
        <v>2.3449</v>
      </c>
      <c r="K885" t="s">
        <v>29</v>
      </c>
    </row>
    <row r="886" spans="1:11" x14ac:dyDescent="0.45">
      <c r="A886" t="s">
        <v>90</v>
      </c>
      <c r="B886" t="s">
        <v>4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2050</v>
      </c>
      <c r="J886">
        <v>3.6767000000000003</v>
      </c>
      <c r="K886" t="s">
        <v>29</v>
      </c>
    </row>
    <row r="887" spans="1:11" x14ac:dyDescent="0.45">
      <c r="A887" t="s">
        <v>90</v>
      </c>
      <c r="B887" t="s">
        <v>4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2055</v>
      </c>
      <c r="J887">
        <v>4.1312499999999996</v>
      </c>
      <c r="K887" t="s">
        <v>29</v>
      </c>
    </row>
    <row r="888" spans="1:11" x14ac:dyDescent="0.45">
      <c r="A888" t="s">
        <v>90</v>
      </c>
      <c r="B888" t="s">
        <v>4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2060</v>
      </c>
      <c r="J888">
        <v>5.2963500000000003</v>
      </c>
      <c r="K888" t="s">
        <v>29</v>
      </c>
    </row>
    <row r="889" spans="1:11" x14ac:dyDescent="0.45">
      <c r="A889" t="s">
        <v>90</v>
      </c>
      <c r="B889" t="s">
        <v>4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2065</v>
      </c>
      <c r="J889">
        <v>6.2115499999999999</v>
      </c>
      <c r="K889" t="s">
        <v>29</v>
      </c>
    </row>
    <row r="890" spans="1:11" x14ac:dyDescent="0.45">
      <c r="A890" t="s">
        <v>90</v>
      </c>
      <c r="B890" t="s">
        <v>4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2070</v>
      </c>
      <c r="J890">
        <v>7.1266999999999996</v>
      </c>
      <c r="K890" t="s">
        <v>29</v>
      </c>
    </row>
    <row r="891" spans="1:11" x14ac:dyDescent="0.45">
      <c r="A891" t="s">
        <v>90</v>
      </c>
      <c r="B891" t="s">
        <v>4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2075</v>
      </c>
      <c r="J891">
        <v>7.1797500000000003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2080</v>
      </c>
      <c r="J892">
        <v>7.2326999999999995</v>
      </c>
      <c r="K892" t="s">
        <v>29</v>
      </c>
    </row>
    <row r="893" spans="1:11" x14ac:dyDescent="0.45">
      <c r="A893" t="s">
        <v>90</v>
      </c>
      <c r="B893" t="s">
        <v>4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2085</v>
      </c>
      <c r="J893">
        <v>7.1741000000000001</v>
      </c>
      <c r="K893" t="s">
        <v>29</v>
      </c>
    </row>
    <row r="894" spans="1:11" x14ac:dyDescent="0.45">
      <c r="A894" t="s">
        <v>90</v>
      </c>
      <c r="B894" t="s">
        <v>4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2090</v>
      </c>
      <c r="J894">
        <v>7.1154500000000001</v>
      </c>
      <c r="K894" t="s">
        <v>29</v>
      </c>
    </row>
    <row r="895" spans="1:11" x14ac:dyDescent="0.45">
      <c r="A895" t="s">
        <v>90</v>
      </c>
      <c r="B895" t="s">
        <v>4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2095</v>
      </c>
      <c r="J895">
        <v>7.3076499999999998</v>
      </c>
      <c r="K895" t="s">
        <v>29</v>
      </c>
    </row>
    <row r="896" spans="1:11" x14ac:dyDescent="0.45">
      <c r="A896" t="s">
        <v>90</v>
      </c>
      <c r="B896" t="s">
        <v>4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2100</v>
      </c>
      <c r="J896">
        <v>7.4998000000000005</v>
      </c>
      <c r="K896" t="s">
        <v>29</v>
      </c>
    </row>
    <row r="897" spans="1:11" x14ac:dyDescent="0.45">
      <c r="A897" t="s">
        <v>90</v>
      </c>
      <c r="B897" t="s">
        <v>0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90</v>
      </c>
      <c r="B898" t="s">
        <v>0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5.7637999999999998</v>
      </c>
      <c r="K898" t="s">
        <v>29</v>
      </c>
    </row>
    <row r="899" spans="1:11" x14ac:dyDescent="0.45">
      <c r="A899" t="s">
        <v>90</v>
      </c>
      <c r="B899" t="s">
        <v>0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5.3145500000000006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2.1764999999999999</v>
      </c>
      <c r="K900" t="s">
        <v>29</v>
      </c>
    </row>
    <row r="901" spans="1:11" x14ac:dyDescent="0.45">
      <c r="A901" t="s">
        <v>90</v>
      </c>
      <c r="B901" t="s">
        <v>0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5.5442</v>
      </c>
      <c r="K901" t="s">
        <v>29</v>
      </c>
    </row>
    <row r="902" spans="1:11" x14ac:dyDescent="0.45">
      <c r="A902" t="s">
        <v>90</v>
      </c>
      <c r="B902" t="s">
        <v>0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9.1586999999999996</v>
      </c>
      <c r="K902" t="s">
        <v>29</v>
      </c>
    </row>
    <row r="903" spans="1:11" x14ac:dyDescent="0.45">
      <c r="A903" t="s">
        <v>90</v>
      </c>
      <c r="B903" t="s">
        <v>0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17.657350000000001</v>
      </c>
      <c r="K903" t="s">
        <v>29</v>
      </c>
    </row>
    <row r="904" spans="1:11" x14ac:dyDescent="0.45">
      <c r="A904" t="s">
        <v>90</v>
      </c>
      <c r="B904" t="s">
        <v>0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20.9406</v>
      </c>
      <c r="K904" t="s">
        <v>29</v>
      </c>
    </row>
    <row r="905" spans="1:11" x14ac:dyDescent="0.45">
      <c r="A905" t="s">
        <v>90</v>
      </c>
      <c r="B905" t="s">
        <v>0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28.955849999999998</v>
      </c>
      <c r="K905" t="s">
        <v>29</v>
      </c>
    </row>
    <row r="906" spans="1:11" x14ac:dyDescent="0.45">
      <c r="A906" t="s">
        <v>90</v>
      </c>
      <c r="B906" t="s">
        <v>0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25.764299999999999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22.572700000000001</v>
      </c>
      <c r="K907" t="s">
        <v>29</v>
      </c>
    </row>
    <row r="908" spans="1:11" x14ac:dyDescent="0.45">
      <c r="A908" t="s">
        <v>90</v>
      </c>
      <c r="B908" t="s">
        <v>0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23.83595</v>
      </c>
      <c r="K908" t="s">
        <v>29</v>
      </c>
    </row>
    <row r="909" spans="1:11" x14ac:dyDescent="0.45">
      <c r="A909" t="s">
        <v>90</v>
      </c>
      <c r="B909" t="s">
        <v>0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25.099249999999998</v>
      </c>
      <c r="K909" t="s">
        <v>29</v>
      </c>
    </row>
    <row r="910" spans="1:11" x14ac:dyDescent="0.45">
      <c r="A910" t="s">
        <v>90</v>
      </c>
      <c r="B910" t="s">
        <v>0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23.323250000000002</v>
      </c>
      <c r="K910" t="s">
        <v>29</v>
      </c>
    </row>
    <row r="911" spans="1:11" x14ac:dyDescent="0.45">
      <c r="A911" t="s">
        <v>90</v>
      </c>
      <c r="B911" t="s">
        <v>0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21.547249999999998</v>
      </c>
      <c r="K911" t="s">
        <v>29</v>
      </c>
    </row>
    <row r="912" spans="1:11" x14ac:dyDescent="0.45">
      <c r="A912" t="s">
        <v>90</v>
      </c>
      <c r="B912" t="s">
        <v>0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22.268699999999999</v>
      </c>
      <c r="K912" t="s">
        <v>29</v>
      </c>
    </row>
    <row r="913" spans="1:11" x14ac:dyDescent="0.45">
      <c r="A913" t="s">
        <v>90</v>
      </c>
      <c r="B913" t="s">
        <v>0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22.99005</v>
      </c>
      <c r="K913" t="s">
        <v>29</v>
      </c>
    </row>
    <row r="914" spans="1:11" x14ac:dyDescent="0.45">
      <c r="A914" t="s">
        <v>90</v>
      </c>
      <c r="B914" t="s">
        <v>6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2020</v>
      </c>
      <c r="J914">
        <v>5.3799000000000001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2025</v>
      </c>
      <c r="J915">
        <v>5.7637999999999998</v>
      </c>
      <c r="K915" t="s">
        <v>29</v>
      </c>
    </row>
    <row r="916" spans="1:11" x14ac:dyDescent="0.45">
      <c r="A916" t="s">
        <v>90</v>
      </c>
      <c r="B916" t="s">
        <v>6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2030</v>
      </c>
      <c r="J916">
        <v>5.3145500000000006</v>
      </c>
      <c r="K916" t="s">
        <v>29</v>
      </c>
    </row>
    <row r="917" spans="1:11" x14ac:dyDescent="0.45">
      <c r="A917" t="s">
        <v>90</v>
      </c>
      <c r="B917" t="s">
        <v>6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2035</v>
      </c>
      <c r="J917">
        <v>4.7282500000000001</v>
      </c>
      <c r="K917" t="s">
        <v>29</v>
      </c>
    </row>
    <row r="918" spans="1:11" x14ac:dyDescent="0.45">
      <c r="A918" t="s">
        <v>90</v>
      </c>
      <c r="B918" t="s">
        <v>6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2040</v>
      </c>
      <c r="J918">
        <v>5.6577500000000001</v>
      </c>
      <c r="K918" t="s">
        <v>29</v>
      </c>
    </row>
    <row r="919" spans="1:11" x14ac:dyDescent="0.45">
      <c r="A919" t="s">
        <v>90</v>
      </c>
      <c r="B919" t="s">
        <v>6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2045</v>
      </c>
      <c r="J919">
        <v>6.6602499999999996</v>
      </c>
      <c r="K919" t="s">
        <v>29</v>
      </c>
    </row>
    <row r="920" spans="1:11" x14ac:dyDescent="0.45">
      <c r="A920" t="s">
        <v>90</v>
      </c>
      <c r="B920" t="s">
        <v>6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2050</v>
      </c>
      <c r="J920">
        <v>8.1373999999999995</v>
      </c>
      <c r="K920" t="s">
        <v>29</v>
      </c>
    </row>
    <row r="921" spans="1:11" x14ac:dyDescent="0.45">
      <c r="A921" t="s">
        <v>90</v>
      </c>
      <c r="B921" t="s">
        <v>6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2055</v>
      </c>
      <c r="J921">
        <v>9.2483499999999985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6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2065</v>
      </c>
      <c r="J923">
        <v>15.117049999999999</v>
      </c>
      <c r="K923" t="s">
        <v>29</v>
      </c>
    </row>
    <row r="924" spans="1:11" x14ac:dyDescent="0.45">
      <c r="A924" t="s">
        <v>90</v>
      </c>
      <c r="B924" t="s">
        <v>6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2070</v>
      </c>
      <c r="J924">
        <v>15.547899999999998</v>
      </c>
      <c r="K924" t="s">
        <v>29</v>
      </c>
    </row>
    <row r="925" spans="1:11" x14ac:dyDescent="0.45">
      <c r="A925" t="s">
        <v>90</v>
      </c>
      <c r="B925" t="s">
        <v>6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2075</v>
      </c>
      <c r="J925">
        <v>15.43695</v>
      </c>
      <c r="K925" t="s">
        <v>29</v>
      </c>
    </row>
    <row r="926" spans="1:11" x14ac:dyDescent="0.45">
      <c r="A926" t="s">
        <v>90</v>
      </c>
      <c r="B926" t="s">
        <v>6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2080</v>
      </c>
      <c r="J926">
        <v>15.325950000000001</v>
      </c>
      <c r="K926" t="s">
        <v>29</v>
      </c>
    </row>
    <row r="927" spans="1:11" x14ac:dyDescent="0.45">
      <c r="A927" t="s">
        <v>90</v>
      </c>
      <c r="B927" t="s">
        <v>6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2085</v>
      </c>
      <c r="J927">
        <v>15.232099999999999</v>
      </c>
      <c r="K927" t="s">
        <v>29</v>
      </c>
    </row>
    <row r="928" spans="1:11" x14ac:dyDescent="0.45">
      <c r="A928" t="s">
        <v>90</v>
      </c>
      <c r="B928" t="s">
        <v>6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2090</v>
      </c>
      <c r="J928">
        <v>15.138300000000001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2095</v>
      </c>
      <c r="J929">
        <v>15.0703</v>
      </c>
      <c r="K929" t="s">
        <v>29</v>
      </c>
    </row>
    <row r="930" spans="1:11" x14ac:dyDescent="0.45">
      <c r="A930" t="s">
        <v>90</v>
      </c>
      <c r="B930" t="s">
        <v>6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2100</v>
      </c>
      <c r="J930">
        <v>15.00235</v>
      </c>
      <c r="K930" t="s">
        <v>29</v>
      </c>
    </row>
    <row r="931" spans="1:11" x14ac:dyDescent="0.45">
      <c r="A931" t="s">
        <v>90</v>
      </c>
      <c r="B931" t="s">
        <v>5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2020</v>
      </c>
      <c r="J931">
        <v>5.3799000000000001</v>
      </c>
      <c r="K931" t="s">
        <v>29</v>
      </c>
    </row>
    <row r="932" spans="1:11" x14ac:dyDescent="0.45">
      <c r="A932" t="s">
        <v>90</v>
      </c>
      <c r="B932" t="s">
        <v>5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2025</v>
      </c>
      <c r="J932">
        <v>5.3708</v>
      </c>
      <c r="K932" t="s">
        <v>29</v>
      </c>
    </row>
    <row r="933" spans="1:11" x14ac:dyDescent="0.45">
      <c r="A933" t="s">
        <v>90</v>
      </c>
      <c r="B933" t="s">
        <v>5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2030</v>
      </c>
      <c r="J933">
        <v>5.2363499999999998</v>
      </c>
      <c r="K933" t="s">
        <v>29</v>
      </c>
    </row>
    <row r="934" spans="1:11" x14ac:dyDescent="0.45">
      <c r="A934" t="s">
        <v>90</v>
      </c>
      <c r="B934" t="s">
        <v>5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2035</v>
      </c>
      <c r="J934">
        <v>7.7720500000000001</v>
      </c>
      <c r="K934" t="s">
        <v>29</v>
      </c>
    </row>
    <row r="935" spans="1:11" x14ac:dyDescent="0.45">
      <c r="A935" t="s">
        <v>90</v>
      </c>
      <c r="B935" t="s">
        <v>5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2040</v>
      </c>
      <c r="J935">
        <v>8.9328500000000002</v>
      </c>
      <c r="K935" t="s">
        <v>29</v>
      </c>
    </row>
    <row r="936" spans="1:11" x14ac:dyDescent="0.45">
      <c r="A936" t="s">
        <v>90</v>
      </c>
      <c r="B936" t="s">
        <v>5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2045</v>
      </c>
      <c r="J936">
        <v>10.32155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2050</v>
      </c>
      <c r="J937">
        <v>12.79175</v>
      </c>
      <c r="K937" t="s">
        <v>29</v>
      </c>
    </row>
    <row r="938" spans="1:11" x14ac:dyDescent="0.45">
      <c r="A938" t="s">
        <v>90</v>
      </c>
      <c r="B938" t="s">
        <v>5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2055</v>
      </c>
      <c r="J938">
        <v>10.578399999999998</v>
      </c>
      <c r="K938" t="s">
        <v>29</v>
      </c>
    </row>
    <row r="939" spans="1:11" x14ac:dyDescent="0.45">
      <c r="A939" t="s">
        <v>90</v>
      </c>
      <c r="B939" t="s">
        <v>5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2060</v>
      </c>
      <c r="J939">
        <v>21.462600000000002</v>
      </c>
      <c r="K939" t="s">
        <v>29</v>
      </c>
    </row>
    <row r="940" spans="1:11" x14ac:dyDescent="0.45">
      <c r="A940" t="s">
        <v>90</v>
      </c>
      <c r="B940" t="s">
        <v>5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2065</v>
      </c>
      <c r="J940">
        <v>19.187899999999999</v>
      </c>
      <c r="K940" t="s">
        <v>29</v>
      </c>
    </row>
    <row r="941" spans="1:11" x14ac:dyDescent="0.45">
      <c r="A941" t="s">
        <v>90</v>
      </c>
      <c r="B941" t="s">
        <v>5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2070</v>
      </c>
      <c r="J941">
        <v>16.913249999999998</v>
      </c>
      <c r="K941" t="s">
        <v>29</v>
      </c>
    </row>
    <row r="942" spans="1:11" x14ac:dyDescent="0.45">
      <c r="A942" t="s">
        <v>90</v>
      </c>
      <c r="B942" t="s">
        <v>5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16.574300000000001</v>
      </c>
      <c r="K942" t="s">
        <v>29</v>
      </c>
    </row>
    <row r="943" spans="1:11" x14ac:dyDescent="0.45">
      <c r="A943" t="s">
        <v>90</v>
      </c>
      <c r="B943" t="s">
        <v>5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2080</v>
      </c>
      <c r="J943">
        <v>16.235250000000001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2085</v>
      </c>
      <c r="J944">
        <v>16.323450000000001</v>
      </c>
      <c r="K944" t="s">
        <v>29</v>
      </c>
    </row>
    <row r="945" spans="1:11" x14ac:dyDescent="0.45">
      <c r="A945" t="s">
        <v>90</v>
      </c>
      <c r="B945" t="s">
        <v>5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2090</v>
      </c>
      <c r="J945">
        <v>16.411549999999998</v>
      </c>
      <c r="K945" t="s">
        <v>29</v>
      </c>
    </row>
    <row r="946" spans="1:11" x14ac:dyDescent="0.45">
      <c r="A946" t="s">
        <v>90</v>
      </c>
      <c r="B946" t="s">
        <v>5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2095</v>
      </c>
      <c r="J946">
        <v>16.4863</v>
      </c>
      <c r="K946" t="s">
        <v>29</v>
      </c>
    </row>
    <row r="947" spans="1:11" x14ac:dyDescent="0.45">
      <c r="A947" t="s">
        <v>90</v>
      </c>
      <c r="B947" t="s">
        <v>5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2100</v>
      </c>
      <c r="J947">
        <v>16.561</v>
      </c>
      <c r="K947" t="s">
        <v>29</v>
      </c>
    </row>
    <row r="948" spans="1:11" x14ac:dyDescent="0.45">
      <c r="A948" t="s">
        <v>90</v>
      </c>
      <c r="B948" t="s">
        <v>2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2020</v>
      </c>
      <c r="J948">
        <v>5.3799000000000001</v>
      </c>
      <c r="K948" t="s">
        <v>29</v>
      </c>
    </row>
    <row r="949" spans="1:11" x14ac:dyDescent="0.45">
      <c r="A949" t="s">
        <v>90</v>
      </c>
      <c r="B949" t="s">
        <v>2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2025</v>
      </c>
      <c r="J949">
        <v>5.6462000000000003</v>
      </c>
      <c r="K949" t="s">
        <v>29</v>
      </c>
    </row>
    <row r="950" spans="1:11" x14ac:dyDescent="0.45">
      <c r="A950" t="s">
        <v>90</v>
      </c>
      <c r="B950" t="s">
        <v>2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2030</v>
      </c>
      <c r="J950">
        <v>5.6435499999999994</v>
      </c>
      <c r="K950" t="s">
        <v>29</v>
      </c>
    </row>
    <row r="951" spans="1:11" x14ac:dyDescent="0.45">
      <c r="A951" t="s">
        <v>90</v>
      </c>
      <c r="B951" t="s">
        <v>2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2035</v>
      </c>
      <c r="J951">
        <v>5.8456999999999999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2040</v>
      </c>
      <c r="J952">
        <v>5.6480999999999995</v>
      </c>
      <c r="K952" t="s">
        <v>29</v>
      </c>
    </row>
    <row r="953" spans="1:11" x14ac:dyDescent="0.45">
      <c r="A953" t="s">
        <v>90</v>
      </c>
      <c r="B953" t="s">
        <v>2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2045</v>
      </c>
      <c r="J953">
        <v>6.5330500000000002</v>
      </c>
      <c r="K953" t="s">
        <v>29</v>
      </c>
    </row>
    <row r="954" spans="1:11" x14ac:dyDescent="0.45">
      <c r="A954" t="s">
        <v>90</v>
      </c>
      <c r="B954" t="s">
        <v>2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2050</v>
      </c>
      <c r="J954">
        <v>7.6464999999999996</v>
      </c>
      <c r="K954" t="s">
        <v>29</v>
      </c>
    </row>
    <row r="955" spans="1:11" x14ac:dyDescent="0.45">
      <c r="A955" t="s">
        <v>90</v>
      </c>
      <c r="B955" t="s">
        <v>2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2055</v>
      </c>
      <c r="J955">
        <v>6.8690999999999995</v>
      </c>
      <c r="K955" t="s">
        <v>29</v>
      </c>
    </row>
    <row r="956" spans="1:11" x14ac:dyDescent="0.45">
      <c r="A956" t="s">
        <v>90</v>
      </c>
      <c r="B956" t="s">
        <v>2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2060</v>
      </c>
      <c r="J956">
        <v>13.05955</v>
      </c>
      <c r="K956" t="s">
        <v>29</v>
      </c>
    </row>
    <row r="957" spans="1:11" x14ac:dyDescent="0.45">
      <c r="A957" t="s">
        <v>90</v>
      </c>
      <c r="B957" t="s">
        <v>2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2065</v>
      </c>
      <c r="J957">
        <v>12.338899999999999</v>
      </c>
      <c r="K957" t="s">
        <v>29</v>
      </c>
    </row>
    <row r="958" spans="1:11" x14ac:dyDescent="0.45">
      <c r="A958" t="s">
        <v>90</v>
      </c>
      <c r="B958" t="s">
        <v>2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2070</v>
      </c>
      <c r="J958">
        <v>11.61825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2075</v>
      </c>
      <c r="J959">
        <v>11.212400000000001</v>
      </c>
      <c r="K959" t="s">
        <v>29</v>
      </c>
    </row>
    <row r="960" spans="1:11" x14ac:dyDescent="0.45">
      <c r="A960" t="s">
        <v>90</v>
      </c>
      <c r="B960" t="s">
        <v>2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2080</v>
      </c>
      <c r="J960">
        <v>10.8065</v>
      </c>
      <c r="K960" t="s">
        <v>29</v>
      </c>
    </row>
    <row r="961" spans="1:11" x14ac:dyDescent="0.45">
      <c r="A961" t="s">
        <v>90</v>
      </c>
      <c r="B961" t="s">
        <v>2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2085</v>
      </c>
      <c r="J961">
        <v>10.06185</v>
      </c>
      <c r="K961" t="s">
        <v>29</v>
      </c>
    </row>
    <row r="962" spans="1:11" x14ac:dyDescent="0.45">
      <c r="A962" t="s">
        <v>90</v>
      </c>
      <c r="B962" t="s">
        <v>2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9.3171999999999997</v>
      </c>
      <c r="K962" t="s">
        <v>29</v>
      </c>
    </row>
    <row r="963" spans="1:11" x14ac:dyDescent="0.45">
      <c r="A963" t="s">
        <v>90</v>
      </c>
      <c r="B963" t="s">
        <v>2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2095</v>
      </c>
      <c r="J963">
        <v>10.18595</v>
      </c>
      <c r="K963" t="s">
        <v>29</v>
      </c>
    </row>
    <row r="964" spans="1:11" x14ac:dyDescent="0.45">
      <c r="A964" t="s">
        <v>90</v>
      </c>
      <c r="B964" t="s">
        <v>2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2100</v>
      </c>
      <c r="J964">
        <v>11.05475</v>
      </c>
      <c r="K964" t="s">
        <v>29</v>
      </c>
    </row>
    <row r="965" spans="1:11" x14ac:dyDescent="0.45">
      <c r="A965" t="s">
        <v>90</v>
      </c>
      <c r="B965" t="s">
        <v>1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1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5.2343000000000002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6.0677500000000002</v>
      </c>
      <c r="K967" t="s">
        <v>29</v>
      </c>
    </row>
    <row r="968" spans="1:11" x14ac:dyDescent="0.45">
      <c r="A968" t="s">
        <v>90</v>
      </c>
      <c r="B968" t="s">
        <v>1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8.3306499999999986</v>
      </c>
      <c r="K968" t="s">
        <v>29</v>
      </c>
    </row>
    <row r="969" spans="1:11" x14ac:dyDescent="0.45">
      <c r="A969" t="s">
        <v>90</v>
      </c>
      <c r="B969" t="s">
        <v>1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16.86035</v>
      </c>
      <c r="K969" t="s">
        <v>29</v>
      </c>
    </row>
    <row r="970" spans="1:11" x14ac:dyDescent="0.45">
      <c r="A970" t="s">
        <v>90</v>
      </c>
      <c r="B970" t="s">
        <v>1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22.537300000000002</v>
      </c>
      <c r="K970" t="s">
        <v>29</v>
      </c>
    </row>
    <row r="971" spans="1:11" x14ac:dyDescent="0.45">
      <c r="A971" t="s">
        <v>90</v>
      </c>
      <c r="B971" t="s">
        <v>1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21.625300000000003</v>
      </c>
      <c r="K971" t="s">
        <v>29</v>
      </c>
    </row>
    <row r="972" spans="1:11" x14ac:dyDescent="0.45">
      <c r="A972" t="s">
        <v>90</v>
      </c>
      <c r="B972" t="s">
        <v>1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20.022300000000001</v>
      </c>
      <c r="K972" t="s">
        <v>29</v>
      </c>
    </row>
    <row r="973" spans="1:11" x14ac:dyDescent="0.45">
      <c r="A973" t="s">
        <v>90</v>
      </c>
      <c r="B973" t="s">
        <v>1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34.522100000000002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34.848349999999996</v>
      </c>
      <c r="K974" t="s">
        <v>29</v>
      </c>
    </row>
    <row r="975" spans="1:11" x14ac:dyDescent="0.45">
      <c r="A975" t="s">
        <v>90</v>
      </c>
      <c r="B975" t="s">
        <v>1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35.174599999999998</v>
      </c>
      <c r="K975" t="s">
        <v>29</v>
      </c>
    </row>
    <row r="976" spans="1:11" x14ac:dyDescent="0.45">
      <c r="A976" t="s">
        <v>90</v>
      </c>
      <c r="B976" t="s">
        <v>1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34.450149999999994</v>
      </c>
      <c r="K976" t="s">
        <v>29</v>
      </c>
    </row>
    <row r="977" spans="1:11" x14ac:dyDescent="0.45">
      <c r="A977" t="s">
        <v>90</v>
      </c>
      <c r="B977" t="s">
        <v>1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33.725650000000002</v>
      </c>
      <c r="K977" t="s">
        <v>29</v>
      </c>
    </row>
    <row r="978" spans="1:11" x14ac:dyDescent="0.45">
      <c r="A978" t="s">
        <v>90</v>
      </c>
      <c r="B978" t="s">
        <v>1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35.534049999999993</v>
      </c>
      <c r="K978" t="s">
        <v>29</v>
      </c>
    </row>
    <row r="979" spans="1:11" x14ac:dyDescent="0.45">
      <c r="A979" t="s">
        <v>90</v>
      </c>
      <c r="B979" t="s">
        <v>1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37.342399999999998</v>
      </c>
      <c r="K979" t="s">
        <v>29</v>
      </c>
    </row>
    <row r="980" spans="1:11" x14ac:dyDescent="0.45">
      <c r="A980" t="s">
        <v>90</v>
      </c>
      <c r="B980" t="s">
        <v>1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41.003249999999994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3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2.1979500000000001</v>
      </c>
      <c r="K983" t="s">
        <v>33</v>
      </c>
    </row>
    <row r="984" spans="1:11" x14ac:dyDescent="0.45">
      <c r="A984" t="s">
        <v>90</v>
      </c>
      <c r="B984" t="s">
        <v>3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1.71675</v>
      </c>
      <c r="K984" t="s">
        <v>33</v>
      </c>
    </row>
    <row r="985" spans="1:11" x14ac:dyDescent="0.45">
      <c r="A985" t="s">
        <v>90</v>
      </c>
      <c r="B985" t="s">
        <v>3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1.54745</v>
      </c>
      <c r="K985" t="s">
        <v>33</v>
      </c>
    </row>
    <row r="986" spans="1:11" x14ac:dyDescent="0.45">
      <c r="A986" t="s">
        <v>90</v>
      </c>
      <c r="B986" t="s">
        <v>3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1.4253499999999999</v>
      </c>
      <c r="K986" t="s">
        <v>33</v>
      </c>
    </row>
    <row r="987" spans="1:11" x14ac:dyDescent="0.45">
      <c r="A987" t="s">
        <v>90</v>
      </c>
      <c r="B987" t="s">
        <v>3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1.4182999999999999</v>
      </c>
      <c r="K987" t="s">
        <v>33</v>
      </c>
    </row>
    <row r="988" spans="1:11" x14ac:dyDescent="0.45">
      <c r="A988" t="s">
        <v>90</v>
      </c>
      <c r="B988" t="s">
        <v>3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1.52275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1.3464499999999999</v>
      </c>
      <c r="K989" t="s">
        <v>33</v>
      </c>
    </row>
    <row r="990" spans="1:11" x14ac:dyDescent="0.45">
      <c r="A990" t="s">
        <v>90</v>
      </c>
      <c r="B990" t="s">
        <v>3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1.9051</v>
      </c>
      <c r="K990" t="s">
        <v>33</v>
      </c>
    </row>
    <row r="991" spans="1:11" x14ac:dyDescent="0.45">
      <c r="A991" t="s">
        <v>90</v>
      </c>
      <c r="B991" t="s">
        <v>3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1.8803999999999998</v>
      </c>
      <c r="K991" t="s">
        <v>33</v>
      </c>
    </row>
    <row r="992" spans="1:11" x14ac:dyDescent="0.45">
      <c r="A992" t="s">
        <v>90</v>
      </c>
      <c r="B992" t="s">
        <v>3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1.8557000000000001</v>
      </c>
      <c r="K992" t="s">
        <v>33</v>
      </c>
    </row>
    <row r="993" spans="1:11" x14ac:dyDescent="0.45">
      <c r="A993" t="s">
        <v>90</v>
      </c>
      <c r="B993" t="s">
        <v>3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1.85775</v>
      </c>
      <c r="K993" t="s">
        <v>33</v>
      </c>
    </row>
    <row r="994" spans="1:11" x14ac:dyDescent="0.45">
      <c r="A994" t="s">
        <v>90</v>
      </c>
      <c r="B994" t="s">
        <v>3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1.8597999999999999</v>
      </c>
      <c r="K994" t="s">
        <v>33</v>
      </c>
    </row>
    <row r="995" spans="1:11" x14ac:dyDescent="0.45">
      <c r="A995" t="s">
        <v>90</v>
      </c>
      <c r="B995" t="s">
        <v>3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1.8835500000000001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1.9073500000000001</v>
      </c>
      <c r="K996" t="s">
        <v>33</v>
      </c>
    </row>
    <row r="997" spans="1:11" x14ac:dyDescent="0.45">
      <c r="A997" t="s">
        <v>90</v>
      </c>
      <c r="B997" t="s">
        <v>3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1.81115</v>
      </c>
      <c r="K997" t="s">
        <v>33</v>
      </c>
    </row>
    <row r="998" spans="1:11" x14ac:dyDescent="0.45">
      <c r="A998" t="s">
        <v>90</v>
      </c>
      <c r="B998" t="s">
        <v>3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1.7150500000000002</v>
      </c>
      <c r="K998" t="s">
        <v>33</v>
      </c>
    </row>
    <row r="999" spans="1:11" x14ac:dyDescent="0.45">
      <c r="A999" t="s">
        <v>90</v>
      </c>
      <c r="B999" t="s">
        <v>4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2020</v>
      </c>
      <c r="J999">
        <v>2.0344000000000002</v>
      </c>
      <c r="K999" t="s">
        <v>33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2025</v>
      </c>
      <c r="J1000">
        <v>2.2243500000000003</v>
      </c>
      <c r="K1000" t="s">
        <v>33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2.2640500000000001</v>
      </c>
      <c r="K1001" t="s">
        <v>33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2035</v>
      </c>
      <c r="J1002">
        <v>2.3101000000000003</v>
      </c>
      <c r="K1002" t="s">
        <v>33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2040</v>
      </c>
      <c r="J1003">
        <v>2.3628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2045</v>
      </c>
      <c r="J1004">
        <v>2.4756</v>
      </c>
      <c r="K1004" t="s">
        <v>33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2050</v>
      </c>
      <c r="J1005">
        <v>2.7322500000000001</v>
      </c>
      <c r="K1005" t="s">
        <v>33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2055</v>
      </c>
      <c r="J1006">
        <v>2.6589499999999999</v>
      </c>
      <c r="K1006" t="s">
        <v>33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2060</v>
      </c>
      <c r="J1007">
        <v>3.4098000000000002</v>
      </c>
      <c r="K1007" t="s">
        <v>33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2065</v>
      </c>
      <c r="J1008">
        <v>3.5568999999999997</v>
      </c>
      <c r="K1008" t="s">
        <v>33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2070</v>
      </c>
      <c r="J1009">
        <v>3.7039</v>
      </c>
      <c r="K1009" t="s">
        <v>33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2075</v>
      </c>
      <c r="J1010">
        <v>3.8219000000000003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2080</v>
      </c>
      <c r="J1011">
        <v>3.9399000000000002</v>
      </c>
      <c r="K1011" t="s">
        <v>33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2085</v>
      </c>
      <c r="J1012">
        <v>4.0999499999999998</v>
      </c>
      <c r="K1012" t="s">
        <v>33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2090</v>
      </c>
      <c r="J1013">
        <v>4.2600999999999996</v>
      </c>
      <c r="K1013" t="s">
        <v>33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2095</v>
      </c>
      <c r="J1014">
        <v>4.2486499999999996</v>
      </c>
      <c r="K1014" t="s">
        <v>33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2100</v>
      </c>
      <c r="J1015">
        <v>4.2371499999999997</v>
      </c>
      <c r="K1015" t="s">
        <v>33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2020</v>
      </c>
      <c r="J1016">
        <v>2.0344000000000002</v>
      </c>
      <c r="K1016" t="s">
        <v>33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2025</v>
      </c>
      <c r="J1017">
        <v>2.2243500000000003</v>
      </c>
      <c r="K1017" t="s">
        <v>33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2030</v>
      </c>
      <c r="J1018">
        <v>2.2640500000000001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2035</v>
      </c>
      <c r="J1019">
        <v>2.29975</v>
      </c>
      <c r="K1019" t="s">
        <v>33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2040</v>
      </c>
      <c r="J1020">
        <v>1.87825</v>
      </c>
      <c r="K1020" t="s">
        <v>33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1.4248000000000001</v>
      </c>
      <c r="K1021" t="s">
        <v>33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2050</v>
      </c>
      <c r="J1022">
        <v>1.53165</v>
      </c>
      <c r="K1022" t="s">
        <v>33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2055</v>
      </c>
      <c r="J1023">
        <v>1.57935</v>
      </c>
      <c r="K1023" t="s">
        <v>33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2060</v>
      </c>
      <c r="J1024">
        <v>2.1811500000000001</v>
      </c>
      <c r="K1024" t="s">
        <v>33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2065</v>
      </c>
      <c r="J1025">
        <v>2.1503000000000001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2070</v>
      </c>
      <c r="J1026">
        <v>2.1193999999999997</v>
      </c>
      <c r="K1026" t="s">
        <v>33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2075</v>
      </c>
      <c r="J1027">
        <v>2.0685000000000002</v>
      </c>
      <c r="K1027" t="s">
        <v>33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2080</v>
      </c>
      <c r="J1028">
        <v>2.0176500000000002</v>
      </c>
      <c r="K1028" t="s">
        <v>33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2085</v>
      </c>
      <c r="J1029">
        <v>2.0796000000000001</v>
      </c>
      <c r="K1029" t="s">
        <v>33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2090</v>
      </c>
      <c r="J1030">
        <v>2.1415499999999996</v>
      </c>
      <c r="K1030" t="s">
        <v>33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2095</v>
      </c>
      <c r="J1031">
        <v>1.9457</v>
      </c>
      <c r="K1031" t="s">
        <v>33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2100</v>
      </c>
      <c r="J1032">
        <v>1.7498</v>
      </c>
      <c r="K1032" t="s">
        <v>33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2020</v>
      </c>
      <c r="J1033">
        <v>2.0344000000000002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2025</v>
      </c>
      <c r="J1034">
        <v>2.2243500000000003</v>
      </c>
      <c r="K1034" t="s">
        <v>33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2030</v>
      </c>
      <c r="J1035">
        <v>2.2640500000000001</v>
      </c>
      <c r="K1035" t="s">
        <v>33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2035</v>
      </c>
      <c r="J1036">
        <v>2.2480000000000002</v>
      </c>
      <c r="K1036" t="s">
        <v>33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2040</v>
      </c>
      <c r="J1037">
        <v>1.94885</v>
      </c>
      <c r="K1037" t="s">
        <v>33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2045</v>
      </c>
      <c r="J1038">
        <v>1.8105500000000001</v>
      </c>
      <c r="K1038" t="s">
        <v>33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2050</v>
      </c>
      <c r="J1039">
        <v>2.1814</v>
      </c>
      <c r="K1039" t="s">
        <v>33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2055</v>
      </c>
      <c r="J1040">
        <v>1.5321500000000001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2065</v>
      </c>
      <c r="J1042">
        <v>2.2705000000000002</v>
      </c>
      <c r="K1042" t="s">
        <v>33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2070</v>
      </c>
      <c r="J1043">
        <v>2.2568000000000001</v>
      </c>
      <c r="K1043" t="s">
        <v>33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2075</v>
      </c>
      <c r="J1044">
        <v>2.2270000000000003</v>
      </c>
      <c r="K1044" t="s">
        <v>33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2080</v>
      </c>
      <c r="J1045">
        <v>2.1972499999999999</v>
      </c>
      <c r="K1045" t="s">
        <v>33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2085</v>
      </c>
      <c r="J1046">
        <v>2.1886000000000001</v>
      </c>
      <c r="K1046" t="s">
        <v>33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2090</v>
      </c>
      <c r="J1047">
        <v>2.1798999999999999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2095</v>
      </c>
      <c r="J1048">
        <v>2.117</v>
      </c>
      <c r="K1048" t="s">
        <v>33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2100</v>
      </c>
      <c r="J1049">
        <v>2.0540000000000003</v>
      </c>
      <c r="K1049" t="s">
        <v>33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2020</v>
      </c>
      <c r="J1050">
        <v>2.0344000000000002</v>
      </c>
      <c r="K1050" t="s">
        <v>33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2025</v>
      </c>
      <c r="J1051">
        <v>2.3414999999999999</v>
      </c>
      <c r="K1051" t="s">
        <v>33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2030</v>
      </c>
      <c r="J1052">
        <v>1.62375</v>
      </c>
      <c r="K1052" t="s">
        <v>33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2035</v>
      </c>
      <c r="J1053">
        <v>1.2301500000000001</v>
      </c>
      <c r="K1053" t="s">
        <v>33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2040</v>
      </c>
      <c r="J1054">
        <v>1.33395</v>
      </c>
      <c r="K1054" t="s">
        <v>33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2045</v>
      </c>
      <c r="J1055">
        <v>1.2519499999999999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2050</v>
      </c>
      <c r="J1056">
        <v>1.59405</v>
      </c>
      <c r="K1056" t="s">
        <v>33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2055</v>
      </c>
      <c r="J1057">
        <v>1.51485</v>
      </c>
      <c r="K1057" t="s">
        <v>33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2060</v>
      </c>
      <c r="J1058">
        <v>1.5146000000000002</v>
      </c>
      <c r="K1058" t="s">
        <v>33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2065</v>
      </c>
      <c r="J1059">
        <v>1.63405</v>
      </c>
      <c r="K1059" t="s">
        <v>33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2070</v>
      </c>
      <c r="J1060">
        <v>1.7535500000000002</v>
      </c>
      <c r="K1060" t="s">
        <v>33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1.8342499999999999</v>
      </c>
      <c r="K1061" t="s">
        <v>33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2080</v>
      </c>
      <c r="J1062">
        <v>1.9149500000000002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2085</v>
      </c>
      <c r="J1063">
        <v>1.8938000000000001</v>
      </c>
      <c r="K1063" t="s">
        <v>33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2090</v>
      </c>
      <c r="J1064">
        <v>1.8727</v>
      </c>
      <c r="K1064" t="s">
        <v>33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2095</v>
      </c>
      <c r="J1065">
        <v>1.7038500000000001</v>
      </c>
      <c r="K1065" t="s">
        <v>33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2100</v>
      </c>
      <c r="J1066">
        <v>1.53505</v>
      </c>
      <c r="K1066" t="s">
        <v>33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2020</v>
      </c>
      <c r="J1067">
        <v>2.0344000000000002</v>
      </c>
      <c r="K1067" t="s">
        <v>33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2025</v>
      </c>
      <c r="J1068">
        <v>2.1265499999999999</v>
      </c>
      <c r="K1068" t="s">
        <v>33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2030</v>
      </c>
      <c r="J1069">
        <v>2.0793499999999998</v>
      </c>
      <c r="K1069" t="s">
        <v>33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2035</v>
      </c>
      <c r="J1070">
        <v>2.0721499999999997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2040</v>
      </c>
      <c r="J1071">
        <v>1.9272499999999999</v>
      </c>
      <c r="K1071" t="s">
        <v>33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2045</v>
      </c>
      <c r="J1072">
        <v>1.8179000000000001</v>
      </c>
      <c r="K1072" t="s">
        <v>33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2050</v>
      </c>
      <c r="J1073">
        <v>1.8801999999999999</v>
      </c>
      <c r="K1073" t="s">
        <v>33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2055</v>
      </c>
      <c r="J1074">
        <v>1.8517000000000001</v>
      </c>
      <c r="K1074" t="s">
        <v>33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2060</v>
      </c>
      <c r="J1075">
        <v>2.3400499999999997</v>
      </c>
      <c r="K1075" t="s">
        <v>33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2065</v>
      </c>
      <c r="J1076">
        <v>2.2040999999999999</v>
      </c>
      <c r="K1076" t="s">
        <v>33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2070</v>
      </c>
      <c r="J1077">
        <v>2.0681500000000002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2075</v>
      </c>
      <c r="J1078">
        <v>2.1757499999999999</v>
      </c>
      <c r="K1078" t="s">
        <v>33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2080</v>
      </c>
      <c r="J1079">
        <v>2.28335</v>
      </c>
      <c r="K1079" t="s">
        <v>33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2085</v>
      </c>
      <c r="J1080">
        <v>2.29</v>
      </c>
      <c r="K1080" t="s">
        <v>33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2.2967</v>
      </c>
      <c r="K1081" t="s">
        <v>33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2.3285</v>
      </c>
      <c r="K1082" t="s">
        <v>33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2100</v>
      </c>
      <c r="J1083">
        <v>2.3602499999999997</v>
      </c>
      <c r="K1083" t="s">
        <v>33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2020</v>
      </c>
      <c r="J1084">
        <v>2.0344000000000002</v>
      </c>
      <c r="K1084" t="s">
        <v>33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2025</v>
      </c>
      <c r="J1085">
        <v>2.6320999999999999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2030</v>
      </c>
      <c r="J1086">
        <v>1.7697500000000002</v>
      </c>
      <c r="K1086" t="s">
        <v>33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2035</v>
      </c>
      <c r="J1087">
        <v>1.43615</v>
      </c>
      <c r="K1087" t="s">
        <v>33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2040</v>
      </c>
      <c r="J1088">
        <v>1.3690500000000001</v>
      </c>
      <c r="K1088" t="s">
        <v>33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2045</v>
      </c>
      <c r="J1089">
        <v>1.4416</v>
      </c>
      <c r="K1089" t="s">
        <v>33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2050</v>
      </c>
      <c r="J1090">
        <v>1.7387999999999999</v>
      </c>
      <c r="K1090" t="s">
        <v>33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2055</v>
      </c>
      <c r="J1091">
        <v>1.66615</v>
      </c>
      <c r="K1091" t="s">
        <v>33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2060</v>
      </c>
      <c r="J1092">
        <v>1.8959000000000001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2065</v>
      </c>
      <c r="J1093">
        <v>1.9075500000000001</v>
      </c>
      <c r="K1093" t="s">
        <v>33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2070</v>
      </c>
      <c r="J1094">
        <v>1.9191499999999999</v>
      </c>
      <c r="K1094" t="s">
        <v>33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2075</v>
      </c>
      <c r="J1095">
        <v>2.0170500000000002</v>
      </c>
      <c r="K1095" t="s">
        <v>33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2080</v>
      </c>
      <c r="J1096">
        <v>2.1149</v>
      </c>
      <c r="K1096" t="s">
        <v>33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2085</v>
      </c>
      <c r="J1097">
        <v>2.0994000000000002</v>
      </c>
      <c r="K1097" t="s">
        <v>33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2090</v>
      </c>
      <c r="J1098">
        <v>2.0839499999999997</v>
      </c>
      <c r="K1098" t="s">
        <v>33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2095</v>
      </c>
      <c r="J1099">
        <v>1.94255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2025</v>
      </c>
      <c r="J1102">
        <v>4.6235499999999998</v>
      </c>
      <c r="K1102" t="s">
        <v>35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2030</v>
      </c>
      <c r="J1103">
        <v>4.5418000000000003</v>
      </c>
      <c r="K1103" t="s">
        <v>35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2035</v>
      </c>
      <c r="J1104">
        <v>5.2576499999999999</v>
      </c>
      <c r="K1104" t="s">
        <v>35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2040</v>
      </c>
      <c r="J1105">
        <v>5.1192500000000001</v>
      </c>
      <c r="K1105" t="s">
        <v>35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2045</v>
      </c>
      <c r="J1106">
        <v>4.8432000000000004</v>
      </c>
      <c r="K1106" t="s">
        <v>35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2050</v>
      </c>
      <c r="J1107">
        <v>4.78505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2055</v>
      </c>
      <c r="J1108">
        <v>4.5329499999999996</v>
      </c>
      <c r="K1108" t="s">
        <v>35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2060</v>
      </c>
      <c r="J1109">
        <v>5.8452000000000002</v>
      </c>
      <c r="K1109" t="s">
        <v>35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2065</v>
      </c>
      <c r="J1110">
        <v>5.5266999999999999</v>
      </c>
      <c r="K1110" t="s">
        <v>35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2070</v>
      </c>
      <c r="J1111">
        <v>5.2081999999999997</v>
      </c>
      <c r="K1111" t="s">
        <v>35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2075</v>
      </c>
      <c r="J1112">
        <v>5.0817499999999995</v>
      </c>
      <c r="K1112" t="s">
        <v>35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2080</v>
      </c>
      <c r="J1113">
        <v>4.9551999999999996</v>
      </c>
      <c r="K1113" t="s">
        <v>35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2085</v>
      </c>
      <c r="J1114">
        <v>5.0263999999999998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2090</v>
      </c>
      <c r="J1115">
        <v>5.0976499999999998</v>
      </c>
      <c r="K1115" t="s">
        <v>35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2095</v>
      </c>
      <c r="J1116">
        <v>5.0595999999999997</v>
      </c>
      <c r="K1116" t="s">
        <v>35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2100</v>
      </c>
      <c r="J1117">
        <v>5.0215499999999995</v>
      </c>
      <c r="K1117" t="s">
        <v>35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2020</v>
      </c>
      <c r="J1118">
        <v>3.9710999999999999</v>
      </c>
      <c r="K1118" t="s">
        <v>35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2025</v>
      </c>
      <c r="J1119">
        <v>4.6684000000000001</v>
      </c>
      <c r="K1119" t="s">
        <v>35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4.6227999999999998</v>
      </c>
      <c r="K1120" t="s">
        <v>35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2035</v>
      </c>
      <c r="J1121">
        <v>4.9910999999999994</v>
      </c>
      <c r="K1121" t="s">
        <v>35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2040</v>
      </c>
      <c r="J1122">
        <v>5.2395999999999994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2045</v>
      </c>
      <c r="J1123">
        <v>5.4906499999999996</v>
      </c>
      <c r="K1123" t="s">
        <v>35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2050</v>
      </c>
      <c r="J1124">
        <v>5.6541999999999994</v>
      </c>
      <c r="K1124" t="s">
        <v>35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2055</v>
      </c>
      <c r="J1125">
        <v>5.6654</v>
      </c>
      <c r="K1125" t="s">
        <v>35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2060</v>
      </c>
      <c r="J1126">
        <v>6.6663999999999994</v>
      </c>
      <c r="K1126" t="s">
        <v>35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2065</v>
      </c>
      <c r="J1127">
        <v>6.5385</v>
      </c>
      <c r="K1127" t="s">
        <v>35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2070</v>
      </c>
      <c r="J1128">
        <v>6.4105500000000006</v>
      </c>
      <c r="K1128" t="s">
        <v>35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2075</v>
      </c>
      <c r="J1129">
        <v>6.6208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2080</v>
      </c>
      <c r="J1130">
        <v>6.8310500000000003</v>
      </c>
      <c r="K1130" t="s">
        <v>35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2085</v>
      </c>
      <c r="J1131">
        <v>7.0742500000000001</v>
      </c>
      <c r="K1131" t="s">
        <v>35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2090</v>
      </c>
      <c r="J1132">
        <v>7.31745</v>
      </c>
      <c r="K1132" t="s">
        <v>35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2095</v>
      </c>
      <c r="J1133">
        <v>7.4690499999999993</v>
      </c>
      <c r="K1133" t="s">
        <v>35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2100</v>
      </c>
      <c r="J1134">
        <v>7.6207000000000003</v>
      </c>
      <c r="K1134" t="s">
        <v>35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4.6684000000000001</v>
      </c>
      <c r="K1136" t="s">
        <v>35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4.6227999999999998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5.7725000000000009</v>
      </c>
      <c r="K1138" t="s">
        <v>35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5.3309499999999996</v>
      </c>
      <c r="K1139" t="s">
        <v>35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4.7379999999999995</v>
      </c>
      <c r="K1140" t="s">
        <v>35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4.1950500000000002</v>
      </c>
      <c r="K1141" t="s">
        <v>35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4.3904499999999995</v>
      </c>
      <c r="K1142" t="s">
        <v>35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5.1861999999999995</v>
      </c>
      <c r="K1143" t="s">
        <v>35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5.0748999999999995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4.9635999999999996</v>
      </c>
      <c r="K1145" t="s">
        <v>35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5.0854999999999997</v>
      </c>
      <c r="K1146" t="s">
        <v>35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5.2074499999999997</v>
      </c>
      <c r="K1147" t="s">
        <v>35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5.1766000000000005</v>
      </c>
      <c r="K1148" t="s">
        <v>35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5.1458000000000004</v>
      </c>
      <c r="K1149" t="s">
        <v>35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5.0733999999999995</v>
      </c>
      <c r="K1150" t="s">
        <v>35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5.0011000000000001</v>
      </c>
      <c r="K1151" t="s">
        <v>35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2020</v>
      </c>
      <c r="J1152">
        <v>3.9710999999999999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2025</v>
      </c>
      <c r="J1153">
        <v>4.6684000000000001</v>
      </c>
      <c r="K1153" t="s">
        <v>35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2030</v>
      </c>
      <c r="J1154">
        <v>4.6227999999999998</v>
      </c>
      <c r="K1154" t="s">
        <v>35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2035</v>
      </c>
      <c r="J1155">
        <v>5.0714500000000005</v>
      </c>
      <c r="K1155" t="s">
        <v>35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2040</v>
      </c>
      <c r="J1156">
        <v>5.0700500000000002</v>
      </c>
      <c r="K1156" t="s">
        <v>35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2045</v>
      </c>
      <c r="J1157">
        <v>5.3256499999999996</v>
      </c>
      <c r="K1157" t="s">
        <v>35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2050</v>
      </c>
      <c r="J1158">
        <v>5.0553999999999997</v>
      </c>
      <c r="K1158" t="s">
        <v>35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2055</v>
      </c>
      <c r="J1159">
        <v>4.8427000000000007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2065</v>
      </c>
      <c r="J1161">
        <v>5.65855</v>
      </c>
      <c r="K1161" t="s">
        <v>35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2070</v>
      </c>
      <c r="J1162">
        <v>5.4417</v>
      </c>
      <c r="K1162" t="s">
        <v>35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2075</v>
      </c>
      <c r="J1163">
        <v>5.4064499999999995</v>
      </c>
      <c r="K1163" t="s">
        <v>35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2080</v>
      </c>
      <c r="J1164">
        <v>5.3712499999999999</v>
      </c>
      <c r="K1164" t="s">
        <v>35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2085</v>
      </c>
      <c r="J1165">
        <v>5.36965</v>
      </c>
      <c r="K1165" t="s">
        <v>35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2090</v>
      </c>
      <c r="J1166">
        <v>5.3680500000000002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2095</v>
      </c>
      <c r="J1167">
        <v>5.4055999999999997</v>
      </c>
      <c r="K1167" t="s">
        <v>35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2100</v>
      </c>
      <c r="J1168">
        <v>5.4432</v>
      </c>
      <c r="K1168" t="s">
        <v>35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2020</v>
      </c>
      <c r="J1169">
        <v>3.9710999999999999</v>
      </c>
      <c r="K1169" t="s">
        <v>35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2025</v>
      </c>
      <c r="J1170">
        <v>4.6830999999999996</v>
      </c>
      <c r="K1170" t="s">
        <v>35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2030</v>
      </c>
      <c r="J1171">
        <v>4.3525</v>
      </c>
      <c r="K1171" t="s">
        <v>35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2035</v>
      </c>
      <c r="J1172">
        <v>5.21875</v>
      </c>
      <c r="K1172" t="s">
        <v>35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2040</v>
      </c>
      <c r="J1173">
        <v>4.6133500000000005</v>
      </c>
      <c r="K1173" t="s">
        <v>35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2045</v>
      </c>
      <c r="J1174">
        <v>4.0944000000000003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2050</v>
      </c>
      <c r="J1175">
        <v>4.1289999999999996</v>
      </c>
      <c r="K1175" t="s">
        <v>35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2055</v>
      </c>
      <c r="J1176">
        <v>4.0207499999999996</v>
      </c>
      <c r="K1176" t="s">
        <v>35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2060</v>
      </c>
      <c r="J1177">
        <v>5.0639500000000002</v>
      </c>
      <c r="K1177" t="s">
        <v>35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2065</v>
      </c>
      <c r="J1178">
        <v>5.1820000000000004</v>
      </c>
      <c r="K1178" t="s">
        <v>35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2070</v>
      </c>
      <c r="J1179">
        <v>5.3000500000000006</v>
      </c>
      <c r="K1179" t="s">
        <v>35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5.1056999999999997</v>
      </c>
      <c r="K1180" t="s">
        <v>35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2080</v>
      </c>
      <c r="J1181">
        <v>4.9113500000000005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2085</v>
      </c>
      <c r="J1182">
        <v>4.8847000000000005</v>
      </c>
      <c r="K1182" t="s">
        <v>35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2090</v>
      </c>
      <c r="J1183">
        <v>4.8580500000000004</v>
      </c>
      <c r="K1183" t="s">
        <v>35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2095</v>
      </c>
      <c r="J1184">
        <v>4.3528500000000001</v>
      </c>
      <c r="K1184" t="s">
        <v>35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2100</v>
      </c>
      <c r="J1185">
        <v>3.8476499999999998</v>
      </c>
      <c r="K1185" t="s">
        <v>35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2020</v>
      </c>
      <c r="J1186">
        <v>3.9710999999999999</v>
      </c>
      <c r="K1186" t="s">
        <v>35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2025</v>
      </c>
      <c r="J1187">
        <v>4.5302500000000006</v>
      </c>
      <c r="K1187" t="s">
        <v>35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2030</v>
      </c>
      <c r="J1188">
        <v>4.3072499999999998</v>
      </c>
      <c r="K1188" t="s">
        <v>35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2035</v>
      </c>
      <c r="J1189">
        <v>4.73515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2040</v>
      </c>
      <c r="J1190">
        <v>5.0500000000000007</v>
      </c>
      <c r="K1190" t="s">
        <v>35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2045</v>
      </c>
      <c r="J1191">
        <v>5.3595000000000006</v>
      </c>
      <c r="K1191" t="s">
        <v>35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2050</v>
      </c>
      <c r="J1192">
        <v>5.3207000000000004</v>
      </c>
      <c r="K1192" t="s">
        <v>35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2055</v>
      </c>
      <c r="J1193">
        <v>5.03695</v>
      </c>
      <c r="K1193" t="s">
        <v>35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2060</v>
      </c>
      <c r="J1194">
        <v>6.1361500000000007</v>
      </c>
      <c r="K1194" t="s">
        <v>35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2065</v>
      </c>
      <c r="J1195">
        <v>5.9593500000000006</v>
      </c>
      <c r="K1195" t="s">
        <v>35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2070</v>
      </c>
      <c r="J1196">
        <v>5.7826500000000003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2075</v>
      </c>
      <c r="J1197">
        <v>5.7862499999999999</v>
      </c>
      <c r="K1197" t="s">
        <v>35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2080</v>
      </c>
      <c r="J1198">
        <v>5.7898499999999995</v>
      </c>
      <c r="K1198" t="s">
        <v>35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2085</v>
      </c>
      <c r="J1199">
        <v>5.8544</v>
      </c>
      <c r="K1199" t="s">
        <v>35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5.9189499999999997</v>
      </c>
      <c r="K1200" t="s">
        <v>35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2095</v>
      </c>
      <c r="J1201">
        <v>5.9424000000000001</v>
      </c>
      <c r="K1201" t="s">
        <v>35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2100</v>
      </c>
      <c r="J1202">
        <v>5.9658999999999995</v>
      </c>
      <c r="K1202" t="s">
        <v>35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5.1760999999999999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5.5630500000000005</v>
      </c>
      <c r="K1205" t="s">
        <v>35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5.8599999999999994</v>
      </c>
      <c r="K1206" t="s">
        <v>35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5.7446000000000002</v>
      </c>
      <c r="K1207" t="s">
        <v>35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4.9245999999999999</v>
      </c>
      <c r="K1208" t="s">
        <v>35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4.4139499999999998</v>
      </c>
      <c r="K1209" t="s">
        <v>35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4.5674000000000001</v>
      </c>
      <c r="K1210" t="s">
        <v>35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5.5579999999999998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5.8658999999999999</v>
      </c>
      <c r="K1212" t="s">
        <v>35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6.1738</v>
      </c>
      <c r="K1213" t="s">
        <v>35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6.0717999999999996</v>
      </c>
      <c r="K1214" t="s">
        <v>35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5.9697999999999993</v>
      </c>
      <c r="K1215" t="s">
        <v>35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5.8603500000000004</v>
      </c>
      <c r="K1216" t="s">
        <v>35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5.7508499999999998</v>
      </c>
      <c r="K1217" t="s">
        <v>35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5.3330500000000001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82.284700000000001</v>
      </c>
      <c r="K1220" t="s">
        <v>37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89.96575</v>
      </c>
      <c r="K1221" t="s">
        <v>37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91.722499999999997</v>
      </c>
      <c r="K1222" t="s">
        <v>37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80.866849999999999</v>
      </c>
      <c r="K1223" t="s">
        <v>37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94.775350000000003</v>
      </c>
      <c r="K1224" t="s">
        <v>37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109.4058</v>
      </c>
      <c r="K1225" t="s">
        <v>37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127.68880000000001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138.68365</v>
      </c>
      <c r="K1227" t="s">
        <v>37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231.57419999999999</v>
      </c>
      <c r="K1228" t="s">
        <v>37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276.86974999999995</v>
      </c>
      <c r="K1229" t="s">
        <v>37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322.16525000000001</v>
      </c>
      <c r="K1230" t="s">
        <v>37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329.49990000000003</v>
      </c>
      <c r="K1231" t="s">
        <v>37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336.83455000000004</v>
      </c>
      <c r="K1232" t="s">
        <v>37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339.76205000000004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342.68944999999997</v>
      </c>
      <c r="K1234" t="s">
        <v>37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348.86220000000003</v>
      </c>
      <c r="K1235" t="s">
        <v>37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355.03494999999998</v>
      </c>
      <c r="K1236" t="s">
        <v>37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2020</v>
      </c>
      <c r="J1237">
        <v>82.284700000000001</v>
      </c>
      <c r="K1237" t="s">
        <v>37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2025</v>
      </c>
      <c r="J1238">
        <v>95.1999</v>
      </c>
      <c r="K1238" t="s">
        <v>37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85.915099999999995</v>
      </c>
      <c r="K1239" t="s">
        <v>37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2035</v>
      </c>
      <c r="J1240">
        <v>88.236950000000007</v>
      </c>
      <c r="K1240" t="s">
        <v>37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2040</v>
      </c>
      <c r="J1241">
        <v>98.972450000000009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2045</v>
      </c>
      <c r="J1242">
        <v>109.85804999999999</v>
      </c>
      <c r="K1242" t="s">
        <v>37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2050</v>
      </c>
      <c r="J1243">
        <v>118.9221</v>
      </c>
      <c r="K1243" t="s">
        <v>37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2055</v>
      </c>
      <c r="J1244">
        <v>132.76395000000002</v>
      </c>
      <c r="K1244" t="s">
        <v>37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2060</v>
      </c>
      <c r="J1245">
        <v>202.08070000000001</v>
      </c>
      <c r="K1245" t="s">
        <v>37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2065</v>
      </c>
      <c r="J1246">
        <v>247.37195</v>
      </c>
      <c r="K1246" t="s">
        <v>37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2070</v>
      </c>
      <c r="J1247">
        <v>292.66325000000001</v>
      </c>
      <c r="K1247" t="s">
        <v>37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2075</v>
      </c>
      <c r="J1248">
        <v>289.27425000000005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2080</v>
      </c>
      <c r="J1249">
        <v>285.88525000000004</v>
      </c>
      <c r="K1249" t="s">
        <v>37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2085</v>
      </c>
      <c r="J1250">
        <v>283.90915000000001</v>
      </c>
      <c r="K1250" t="s">
        <v>37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2090</v>
      </c>
      <c r="J1251">
        <v>281.93314999999996</v>
      </c>
      <c r="K1251" t="s">
        <v>37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2095</v>
      </c>
      <c r="J1252">
        <v>274.43950000000001</v>
      </c>
      <c r="K1252" t="s">
        <v>37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2100</v>
      </c>
      <c r="J1253">
        <v>266.94579999999996</v>
      </c>
      <c r="K1253" t="s">
        <v>37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82.284700000000001</v>
      </c>
      <c r="K1254" t="s">
        <v>37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95.1999</v>
      </c>
      <c r="K1255" t="s">
        <v>37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85.915099999999995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67.341350000000006</v>
      </c>
      <c r="K1257" t="s">
        <v>37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120.63204999999999</v>
      </c>
      <c r="K1258" t="s">
        <v>37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160.59660000000002</v>
      </c>
      <c r="K1259" t="s">
        <v>37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161.64535000000001</v>
      </c>
      <c r="K1260" t="s">
        <v>37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174.55090000000001</v>
      </c>
      <c r="K1261" t="s">
        <v>37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296.1721</v>
      </c>
      <c r="K1262" t="s">
        <v>37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359.3349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422.49770000000001</v>
      </c>
      <c r="K1264" t="s">
        <v>37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431.72564999999997</v>
      </c>
      <c r="K1265" t="s">
        <v>37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440.95359999999999</v>
      </c>
      <c r="K1266" t="s">
        <v>37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441.67345</v>
      </c>
      <c r="K1267" t="s">
        <v>37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442.39335</v>
      </c>
      <c r="K1268" t="s">
        <v>37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450.49324999999999</v>
      </c>
      <c r="K1269" t="s">
        <v>37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458.59320000000002</v>
      </c>
      <c r="K1270" t="s">
        <v>37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2020</v>
      </c>
      <c r="J1271">
        <v>82.284700000000001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2025</v>
      </c>
      <c r="J1272">
        <v>95.1999</v>
      </c>
      <c r="K1272" t="s">
        <v>37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2030</v>
      </c>
      <c r="J1273">
        <v>85.915099999999995</v>
      </c>
      <c r="K1273" t="s">
        <v>37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2035</v>
      </c>
      <c r="J1274">
        <v>70.272050000000007</v>
      </c>
      <c r="K1274" t="s">
        <v>37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2040</v>
      </c>
      <c r="J1275">
        <v>99.064899999999994</v>
      </c>
      <c r="K1275" t="s">
        <v>37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2045</v>
      </c>
      <c r="J1276">
        <v>125.70115</v>
      </c>
      <c r="K1276" t="s">
        <v>37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2050</v>
      </c>
      <c r="J1277">
        <v>127.8946</v>
      </c>
      <c r="K1277" t="s">
        <v>37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2055</v>
      </c>
      <c r="J1278">
        <v>139.0829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220.98079999999999</v>
      </c>
      <c r="K1279" t="s">
        <v>37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2065</v>
      </c>
      <c r="J1280">
        <v>277.65129999999999</v>
      </c>
      <c r="K1280" t="s">
        <v>37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2070</v>
      </c>
      <c r="J1281">
        <v>334.3218</v>
      </c>
      <c r="K1281" t="s">
        <v>37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2075</v>
      </c>
      <c r="J1282">
        <v>336.99554999999998</v>
      </c>
      <c r="K1282" t="s">
        <v>37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2080</v>
      </c>
      <c r="J1283">
        <v>339.66935000000001</v>
      </c>
      <c r="K1283" t="s">
        <v>37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2085</v>
      </c>
      <c r="J1284">
        <v>332.01355000000001</v>
      </c>
      <c r="K1284" t="s">
        <v>37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2090</v>
      </c>
      <c r="J1285">
        <v>324.35770000000002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2095</v>
      </c>
      <c r="J1286">
        <v>338.12104999999997</v>
      </c>
      <c r="K1286" t="s">
        <v>37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2100</v>
      </c>
      <c r="J1287">
        <v>351.88430000000005</v>
      </c>
      <c r="K1287" t="s">
        <v>37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82.284700000000001</v>
      </c>
      <c r="K1288" t="s">
        <v>37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42.180800000000005</v>
      </c>
      <c r="K1289" t="s">
        <v>37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79.161200000000008</v>
      </c>
      <c r="K1290" t="s">
        <v>37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85.023949999999999</v>
      </c>
      <c r="K1291" t="s">
        <v>37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98.771500000000003</v>
      </c>
      <c r="K1292" t="s">
        <v>37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92.769149999999996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123.6588</v>
      </c>
      <c r="K1294" t="s">
        <v>37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138.9537</v>
      </c>
      <c r="K1295" t="s">
        <v>37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209.56855000000002</v>
      </c>
      <c r="K1296" t="s">
        <v>37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259.17174999999997</v>
      </c>
      <c r="K1297" t="s">
        <v>37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308.77499999999998</v>
      </c>
      <c r="K1298" t="s">
        <v>37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299.42885000000001</v>
      </c>
      <c r="K1299" t="s">
        <v>37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290.08265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283.4889</v>
      </c>
      <c r="K1301" t="s">
        <v>37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276.89509999999996</v>
      </c>
      <c r="K1302" t="s">
        <v>37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304.50725</v>
      </c>
      <c r="K1303" t="s">
        <v>37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332.11930000000001</v>
      </c>
      <c r="K1304" t="s">
        <v>37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2020</v>
      </c>
      <c r="J1305">
        <v>82.284700000000001</v>
      </c>
      <c r="K1305" t="s">
        <v>37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2025</v>
      </c>
      <c r="J1306">
        <v>90.086849999999998</v>
      </c>
      <c r="K1306" t="s">
        <v>37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2030</v>
      </c>
      <c r="J1307">
        <v>91.933149999999998</v>
      </c>
      <c r="K1307" t="s">
        <v>37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2035</v>
      </c>
      <c r="J1308">
        <v>84.959299999999999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2040</v>
      </c>
      <c r="J1309">
        <v>101.9907</v>
      </c>
      <c r="K1309" t="s">
        <v>37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2045</v>
      </c>
      <c r="J1310">
        <v>119.41069999999999</v>
      </c>
      <c r="K1310" t="s">
        <v>37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2050</v>
      </c>
      <c r="J1311">
        <v>134.60120000000001</v>
      </c>
      <c r="K1311" t="s">
        <v>37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2055</v>
      </c>
      <c r="J1312">
        <v>143.03975</v>
      </c>
      <c r="K1312" t="s">
        <v>37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2060</v>
      </c>
      <c r="J1313">
        <v>231.95824999999999</v>
      </c>
      <c r="K1313" t="s">
        <v>37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2065</v>
      </c>
      <c r="J1314">
        <v>275.41724999999997</v>
      </c>
      <c r="K1314" t="s">
        <v>37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2070</v>
      </c>
      <c r="J1315">
        <v>318.87615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2075</v>
      </c>
      <c r="J1316">
        <v>305.05365</v>
      </c>
      <c r="K1316" t="s">
        <v>37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2080</v>
      </c>
      <c r="J1317">
        <v>291.23109999999997</v>
      </c>
      <c r="K1317" t="s">
        <v>37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2085</v>
      </c>
      <c r="J1318">
        <v>276.61815000000001</v>
      </c>
      <c r="K1318" t="s">
        <v>37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262.00514999999996</v>
      </c>
      <c r="K1319" t="s">
        <v>37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2095</v>
      </c>
      <c r="J1320">
        <v>277.25805000000003</v>
      </c>
      <c r="K1320" t="s">
        <v>37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2100</v>
      </c>
      <c r="J1321">
        <v>292.51094999999998</v>
      </c>
      <c r="K1321" t="s">
        <v>37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82.284700000000001</v>
      </c>
      <c r="K1322" t="s">
        <v>37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82.312600000000003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93.561599999999999</v>
      </c>
      <c r="K1324" t="s">
        <v>37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105.96599999999999</v>
      </c>
      <c r="K1325" t="s">
        <v>37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133.94040000000001</v>
      </c>
      <c r="K1326" t="s">
        <v>37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142.2116</v>
      </c>
      <c r="K1327" t="s">
        <v>37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146.59960000000001</v>
      </c>
      <c r="K1328" t="s">
        <v>37</v>
      </c>
    </row>
    <row r="1329" spans="1:12" x14ac:dyDescent="0.45">
      <c r="A1329" t="s">
        <v>90</v>
      </c>
      <c r="B1329" t="s">
        <v>1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175.14765</v>
      </c>
      <c r="K1329" t="s">
        <v>37</v>
      </c>
    </row>
    <row r="1330" spans="1:12" x14ac:dyDescent="0.45">
      <c r="A1330" t="s">
        <v>90</v>
      </c>
      <c r="B1330" t="s">
        <v>1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294.91550000000001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396.57960000000003</v>
      </c>
      <c r="K1331" t="s">
        <v>37</v>
      </c>
    </row>
    <row r="1332" spans="1:12" x14ac:dyDescent="0.45">
      <c r="A1332" t="s">
        <v>90</v>
      </c>
      <c r="B1332" t="s">
        <v>1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498.24369999999999</v>
      </c>
      <c r="K1332" t="s">
        <v>37</v>
      </c>
    </row>
    <row r="1333" spans="1:12" x14ac:dyDescent="0.45">
      <c r="A1333" t="s">
        <v>90</v>
      </c>
      <c r="B1333" t="s">
        <v>1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516.12689999999998</v>
      </c>
      <c r="K1333" t="s">
        <v>37</v>
      </c>
    </row>
    <row r="1334" spans="1:12" x14ac:dyDescent="0.45">
      <c r="A1334" t="s">
        <v>90</v>
      </c>
      <c r="B1334" t="s">
        <v>1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534.01009999999997</v>
      </c>
      <c r="K1334" t="s">
        <v>37</v>
      </c>
    </row>
    <row r="1335" spans="1:12" x14ac:dyDescent="0.45">
      <c r="A1335" t="s">
        <v>90</v>
      </c>
      <c r="B1335" t="s">
        <v>1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540.76405</v>
      </c>
      <c r="K1335" t="s">
        <v>37</v>
      </c>
    </row>
    <row r="1336" spans="1:12" x14ac:dyDescent="0.45">
      <c r="A1336" t="s">
        <v>90</v>
      </c>
      <c r="B1336" t="s">
        <v>1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547.51790000000005</v>
      </c>
      <c r="K1336" t="s">
        <v>37</v>
      </c>
    </row>
    <row r="1337" spans="1:12" x14ac:dyDescent="0.45">
      <c r="A1337" t="s">
        <v>90</v>
      </c>
      <c r="B1337" t="s">
        <v>1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571.23070000000007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594.94344999999998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0.37430000000000002</v>
      </c>
      <c r="K1339" t="s">
        <v>52</v>
      </c>
      <c r="L1339">
        <v>94</v>
      </c>
    </row>
    <row r="1340" spans="1:12" x14ac:dyDescent="0.45">
      <c r="A1340" t="s">
        <v>90</v>
      </c>
      <c r="B1340" t="s">
        <v>3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2025</v>
      </c>
      <c r="J1340">
        <v>4.6699999999999998E-2</v>
      </c>
      <c r="K1340" t="s">
        <v>52</v>
      </c>
      <c r="L1340">
        <v>94</v>
      </c>
    </row>
    <row r="1341" spans="1:12" x14ac:dyDescent="0.45">
      <c r="A1341" t="s">
        <v>90</v>
      </c>
      <c r="B1341" t="s">
        <v>3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2030</v>
      </c>
      <c r="J1341">
        <v>4.0000000000000002E-4</v>
      </c>
      <c r="K1341" t="s">
        <v>52</v>
      </c>
      <c r="L1341">
        <v>94</v>
      </c>
    </row>
    <row r="1342" spans="1:12" x14ac:dyDescent="0.45">
      <c r="A1342" t="s">
        <v>90</v>
      </c>
      <c r="B1342" t="s">
        <v>3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2035</v>
      </c>
      <c r="J1342">
        <v>0</v>
      </c>
      <c r="K1342" t="s">
        <v>52</v>
      </c>
      <c r="L1342">
        <v>94</v>
      </c>
    </row>
    <row r="1343" spans="1:12" x14ac:dyDescent="0.45">
      <c r="A1343" t="s">
        <v>90</v>
      </c>
      <c r="B1343" t="s">
        <v>3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2040</v>
      </c>
      <c r="J1343">
        <v>0</v>
      </c>
      <c r="K1343" t="s">
        <v>52</v>
      </c>
      <c r="L1343">
        <v>94</v>
      </c>
    </row>
    <row r="1344" spans="1:12" x14ac:dyDescent="0.45">
      <c r="A1344" t="s">
        <v>90</v>
      </c>
      <c r="B1344" t="s">
        <v>3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2045</v>
      </c>
      <c r="J1344">
        <v>0</v>
      </c>
      <c r="K1344" t="s">
        <v>52</v>
      </c>
      <c r="L1344">
        <v>94</v>
      </c>
    </row>
    <row r="1345" spans="1:12" x14ac:dyDescent="0.45">
      <c r="A1345" t="s">
        <v>90</v>
      </c>
      <c r="B1345" t="s">
        <v>3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2050</v>
      </c>
      <c r="J1345">
        <v>0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2055</v>
      </c>
      <c r="J1346">
        <v>0</v>
      </c>
      <c r="K1346" t="s">
        <v>52</v>
      </c>
      <c r="L1346">
        <v>94</v>
      </c>
    </row>
    <row r="1347" spans="1:12" x14ac:dyDescent="0.45">
      <c r="A1347" t="s">
        <v>90</v>
      </c>
      <c r="B1347" t="s">
        <v>3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2060</v>
      </c>
      <c r="J1347">
        <v>0</v>
      </c>
      <c r="K1347" t="s">
        <v>52</v>
      </c>
      <c r="L1347">
        <v>94</v>
      </c>
    </row>
    <row r="1348" spans="1:12" x14ac:dyDescent="0.45">
      <c r="A1348" t="s">
        <v>90</v>
      </c>
      <c r="B1348" t="s">
        <v>3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2065</v>
      </c>
      <c r="J1348">
        <v>0</v>
      </c>
      <c r="K1348" t="s">
        <v>52</v>
      </c>
      <c r="L1348">
        <v>94</v>
      </c>
    </row>
    <row r="1349" spans="1:12" x14ac:dyDescent="0.45">
      <c r="A1349" t="s">
        <v>90</v>
      </c>
      <c r="B1349" t="s">
        <v>3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2070</v>
      </c>
      <c r="J1349">
        <v>0</v>
      </c>
      <c r="K1349" t="s">
        <v>52</v>
      </c>
      <c r="L1349">
        <v>94</v>
      </c>
    </row>
    <row r="1350" spans="1:12" x14ac:dyDescent="0.45">
      <c r="A1350" t="s">
        <v>90</v>
      </c>
      <c r="B1350" t="s">
        <v>3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2075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3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3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2085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2090</v>
      </c>
      <c r="J1353">
        <v>0</v>
      </c>
      <c r="K1353" t="s">
        <v>52</v>
      </c>
      <c r="L1353">
        <v>94</v>
      </c>
    </row>
    <row r="1354" spans="1:12" x14ac:dyDescent="0.45">
      <c r="A1354" t="s">
        <v>90</v>
      </c>
      <c r="B1354" t="s">
        <v>3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2095</v>
      </c>
      <c r="J1354">
        <v>0</v>
      </c>
      <c r="K1354" t="s">
        <v>52</v>
      </c>
      <c r="L1354">
        <v>94</v>
      </c>
    </row>
    <row r="1355" spans="1:12" x14ac:dyDescent="0.45">
      <c r="A1355" t="s">
        <v>90</v>
      </c>
      <c r="B1355" t="s">
        <v>3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2100</v>
      </c>
      <c r="J1355">
        <v>0</v>
      </c>
      <c r="K1355" t="s">
        <v>52</v>
      </c>
      <c r="L1355">
        <v>94</v>
      </c>
    </row>
    <row r="1356" spans="1:12" x14ac:dyDescent="0.45">
      <c r="A1356" t="s">
        <v>90</v>
      </c>
      <c r="B1356" t="s">
        <v>4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2020</v>
      </c>
      <c r="J1356">
        <v>0.37319999999999998</v>
      </c>
      <c r="K1356" t="s">
        <v>52</v>
      </c>
      <c r="L1356">
        <v>94</v>
      </c>
    </row>
    <row r="1357" spans="1:12" x14ac:dyDescent="0.45">
      <c r="A1357" t="s">
        <v>90</v>
      </c>
      <c r="B1357" t="s">
        <v>4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2025</v>
      </c>
      <c r="J1357">
        <v>7.0199999999999999E-2</v>
      </c>
      <c r="K1357" t="s">
        <v>52</v>
      </c>
      <c r="L1357">
        <v>94</v>
      </c>
    </row>
    <row r="1358" spans="1:12" x14ac:dyDescent="0.45">
      <c r="A1358" t="s">
        <v>90</v>
      </c>
      <c r="B1358" t="s">
        <v>4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1.6999999999999999E-3</v>
      </c>
      <c r="K1358" t="s">
        <v>52</v>
      </c>
      <c r="L1358">
        <v>94</v>
      </c>
    </row>
    <row r="1359" spans="1:12" x14ac:dyDescent="0.45">
      <c r="A1359" t="s">
        <v>90</v>
      </c>
      <c r="B1359" t="s">
        <v>4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2035</v>
      </c>
      <c r="J1359">
        <v>1.4E-3</v>
      </c>
      <c r="K1359" t="s">
        <v>52</v>
      </c>
      <c r="L1359">
        <v>94</v>
      </c>
    </row>
    <row r="1360" spans="1:12" x14ac:dyDescent="0.45">
      <c r="A1360" t="s">
        <v>90</v>
      </c>
      <c r="B1360" t="s">
        <v>4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2040</v>
      </c>
      <c r="J1360">
        <v>8.0000000000000004E-4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2045</v>
      </c>
      <c r="J1361">
        <v>0</v>
      </c>
      <c r="K1361" t="s">
        <v>52</v>
      </c>
      <c r="L1361">
        <v>94</v>
      </c>
    </row>
    <row r="1362" spans="1:12" x14ac:dyDescent="0.45">
      <c r="A1362" t="s">
        <v>90</v>
      </c>
      <c r="B1362" t="s">
        <v>4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2050</v>
      </c>
      <c r="J1362">
        <v>0</v>
      </c>
      <c r="K1362" t="s">
        <v>52</v>
      </c>
      <c r="L1362">
        <v>94</v>
      </c>
    </row>
    <row r="1363" spans="1:12" x14ac:dyDescent="0.45">
      <c r="A1363" t="s">
        <v>90</v>
      </c>
      <c r="B1363" t="s">
        <v>4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2055</v>
      </c>
      <c r="J1363">
        <v>0</v>
      </c>
      <c r="K1363" t="s">
        <v>52</v>
      </c>
      <c r="L1363">
        <v>94</v>
      </c>
    </row>
    <row r="1364" spans="1:12" x14ac:dyDescent="0.45">
      <c r="A1364" t="s">
        <v>90</v>
      </c>
      <c r="B1364" t="s">
        <v>4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2060</v>
      </c>
      <c r="J1364">
        <v>5.0000000000000002E-5</v>
      </c>
      <c r="K1364" t="s">
        <v>52</v>
      </c>
      <c r="L1364">
        <v>94</v>
      </c>
    </row>
    <row r="1365" spans="1:12" x14ac:dyDescent="0.45">
      <c r="A1365" t="s">
        <v>90</v>
      </c>
      <c r="B1365" t="s">
        <v>4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2065</v>
      </c>
      <c r="J1365">
        <v>1.3499999999999999E-3</v>
      </c>
      <c r="K1365" t="s">
        <v>52</v>
      </c>
      <c r="L1365">
        <v>94</v>
      </c>
    </row>
    <row r="1366" spans="1:12" x14ac:dyDescent="0.45">
      <c r="A1366" t="s">
        <v>90</v>
      </c>
      <c r="B1366" t="s">
        <v>4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2070</v>
      </c>
      <c r="J1366">
        <v>4.7000000000000002E-3</v>
      </c>
      <c r="K1366" t="s">
        <v>52</v>
      </c>
      <c r="L1366">
        <v>94</v>
      </c>
    </row>
    <row r="1367" spans="1:12" x14ac:dyDescent="0.45">
      <c r="A1367" t="s">
        <v>90</v>
      </c>
      <c r="B1367" t="s">
        <v>4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2075</v>
      </c>
      <c r="J1367">
        <v>9.5999999999999992E-3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2080</v>
      </c>
      <c r="J1368">
        <v>1.4700000000000001E-2</v>
      </c>
      <c r="K1368" t="s">
        <v>52</v>
      </c>
      <c r="L1368">
        <v>94</v>
      </c>
    </row>
    <row r="1369" spans="1:12" x14ac:dyDescent="0.45">
      <c r="A1369" t="s">
        <v>90</v>
      </c>
      <c r="B1369" t="s">
        <v>4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2085</v>
      </c>
      <c r="J1369">
        <v>1.9599999999999999E-2</v>
      </c>
      <c r="K1369" t="s">
        <v>52</v>
      </c>
      <c r="L1369">
        <v>94</v>
      </c>
    </row>
    <row r="1370" spans="1:12" x14ac:dyDescent="0.45">
      <c r="A1370" t="s">
        <v>90</v>
      </c>
      <c r="B1370" t="s">
        <v>4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2090</v>
      </c>
      <c r="J1370">
        <v>2.445E-2</v>
      </c>
      <c r="K1370" t="s">
        <v>52</v>
      </c>
      <c r="L1370">
        <v>94</v>
      </c>
    </row>
    <row r="1371" spans="1:12" x14ac:dyDescent="0.45">
      <c r="A1371" t="s">
        <v>90</v>
      </c>
      <c r="B1371" t="s">
        <v>4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2095</v>
      </c>
      <c r="J1371">
        <v>2.3550000000000001E-2</v>
      </c>
      <c r="K1371" t="s">
        <v>52</v>
      </c>
      <c r="L1371">
        <v>94</v>
      </c>
    </row>
    <row r="1372" spans="1:12" x14ac:dyDescent="0.45">
      <c r="A1372" t="s">
        <v>90</v>
      </c>
      <c r="B1372" t="s">
        <v>4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2100</v>
      </c>
      <c r="J1372">
        <v>2.2699999999999998E-2</v>
      </c>
      <c r="K1372" t="s">
        <v>52</v>
      </c>
      <c r="L1372">
        <v>94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2020</v>
      </c>
      <c r="J1373">
        <v>0.37530000000000002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2025</v>
      </c>
      <c r="J1374">
        <v>6.9800000000000001E-2</v>
      </c>
      <c r="K1374" t="s">
        <v>52</v>
      </c>
      <c r="L1374">
        <v>94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2030</v>
      </c>
      <c r="J1375">
        <v>1.6999999999999999E-3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2035</v>
      </c>
      <c r="J1376">
        <v>5.9999999999999995E-4</v>
      </c>
      <c r="K1376" t="s">
        <v>52</v>
      </c>
      <c r="L1376">
        <v>94</v>
      </c>
    </row>
    <row r="1377" spans="1:12" x14ac:dyDescent="0.45">
      <c r="A1377" t="s">
        <v>90</v>
      </c>
      <c r="B1377" t="s">
        <v>0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2040</v>
      </c>
      <c r="J1377">
        <v>0</v>
      </c>
      <c r="K1377" t="s">
        <v>52</v>
      </c>
      <c r="L1377">
        <v>94</v>
      </c>
    </row>
    <row r="1378" spans="1:12" x14ac:dyDescent="0.45">
      <c r="A1378" t="s">
        <v>90</v>
      </c>
      <c r="B1378" t="s">
        <v>0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45">
      <c r="A1379" t="s">
        <v>90</v>
      </c>
      <c r="B1379" t="s">
        <v>0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2050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0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2055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0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2060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0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2065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2070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0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0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0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0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0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0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6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2020</v>
      </c>
      <c r="J1390">
        <v>0.37440000000000001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2025</v>
      </c>
      <c r="J1391">
        <v>7.0000000000000007E-2</v>
      </c>
      <c r="K1391" t="s">
        <v>52</v>
      </c>
      <c r="L1391">
        <v>94</v>
      </c>
    </row>
    <row r="1392" spans="1:12" x14ac:dyDescent="0.45">
      <c r="A1392" t="s">
        <v>90</v>
      </c>
      <c r="B1392" t="s">
        <v>6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2030</v>
      </c>
      <c r="J1392">
        <v>1.6999999999999999E-3</v>
      </c>
      <c r="K1392" t="s">
        <v>52</v>
      </c>
      <c r="L1392">
        <v>94</v>
      </c>
    </row>
    <row r="1393" spans="1:12" x14ac:dyDescent="0.45">
      <c r="A1393" t="s">
        <v>90</v>
      </c>
      <c r="B1393" t="s">
        <v>6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2035</v>
      </c>
      <c r="J1393">
        <v>6.9999999999999999E-4</v>
      </c>
      <c r="K1393" t="s">
        <v>52</v>
      </c>
      <c r="L1393">
        <v>94</v>
      </c>
    </row>
    <row r="1394" spans="1:12" x14ac:dyDescent="0.45">
      <c r="A1394" t="s">
        <v>90</v>
      </c>
      <c r="B1394" t="s">
        <v>6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2040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6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2045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6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2050</v>
      </c>
      <c r="J1396">
        <v>0</v>
      </c>
      <c r="K1396" t="s">
        <v>52</v>
      </c>
      <c r="L1396">
        <v>94</v>
      </c>
    </row>
    <row r="1397" spans="1:12" x14ac:dyDescent="0.45">
      <c r="A1397" t="s">
        <v>90</v>
      </c>
      <c r="B1397" t="s">
        <v>6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2055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6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2065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6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2070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6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2075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6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2080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6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2085</v>
      </c>
      <c r="J1403">
        <v>0</v>
      </c>
      <c r="K1403" t="s">
        <v>52</v>
      </c>
      <c r="L1403">
        <v>94</v>
      </c>
    </row>
    <row r="1404" spans="1:12" x14ac:dyDescent="0.45">
      <c r="A1404" t="s">
        <v>90</v>
      </c>
      <c r="B1404" t="s">
        <v>6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2090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2095</v>
      </c>
      <c r="J1405">
        <v>0</v>
      </c>
      <c r="K1405" t="s">
        <v>52</v>
      </c>
      <c r="L1405">
        <v>94</v>
      </c>
    </row>
    <row r="1406" spans="1:12" x14ac:dyDescent="0.45">
      <c r="A1406" t="s">
        <v>90</v>
      </c>
      <c r="B1406" t="s">
        <v>6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2100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5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2020</v>
      </c>
      <c r="J1407">
        <v>0.37159999999999999</v>
      </c>
      <c r="K1407" t="s">
        <v>52</v>
      </c>
      <c r="L1407">
        <v>94</v>
      </c>
    </row>
    <row r="1408" spans="1:12" x14ac:dyDescent="0.45">
      <c r="A1408" t="s">
        <v>90</v>
      </c>
      <c r="B1408" t="s">
        <v>5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2025</v>
      </c>
      <c r="J1408">
        <v>3.1800000000000002E-2</v>
      </c>
      <c r="K1408" t="s">
        <v>52</v>
      </c>
      <c r="L1408">
        <v>94</v>
      </c>
    </row>
    <row r="1409" spans="1:12" x14ac:dyDescent="0.45">
      <c r="A1409" t="s">
        <v>90</v>
      </c>
      <c r="B1409" t="s">
        <v>5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2030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5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2035</v>
      </c>
      <c r="J1410">
        <v>0</v>
      </c>
      <c r="K1410" t="s">
        <v>52</v>
      </c>
      <c r="L1410">
        <v>94</v>
      </c>
    </row>
    <row r="1411" spans="1:12" x14ac:dyDescent="0.45">
      <c r="A1411" t="s">
        <v>90</v>
      </c>
      <c r="B1411" t="s">
        <v>5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2040</v>
      </c>
      <c r="J1411">
        <v>0</v>
      </c>
      <c r="K1411" t="s">
        <v>52</v>
      </c>
      <c r="L1411">
        <v>94</v>
      </c>
    </row>
    <row r="1412" spans="1:12" x14ac:dyDescent="0.45">
      <c r="A1412" t="s">
        <v>90</v>
      </c>
      <c r="B1412" t="s">
        <v>5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2045</v>
      </c>
      <c r="J1412">
        <v>0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2050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5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2055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5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2060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5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2065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5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2070</v>
      </c>
      <c r="J1417">
        <v>0</v>
      </c>
      <c r="K1417" t="s">
        <v>52</v>
      </c>
      <c r="L1417">
        <v>94</v>
      </c>
    </row>
    <row r="1418" spans="1:12" x14ac:dyDescent="0.45">
      <c r="A1418" t="s">
        <v>90</v>
      </c>
      <c r="B1418" t="s">
        <v>5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5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2080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2085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5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2090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5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2095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5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2100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2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2020</v>
      </c>
      <c r="J1424">
        <v>0.37290000000000001</v>
      </c>
      <c r="K1424" t="s">
        <v>52</v>
      </c>
      <c r="L1424">
        <v>94</v>
      </c>
    </row>
    <row r="1425" spans="1:12" x14ac:dyDescent="0.45">
      <c r="A1425" t="s">
        <v>90</v>
      </c>
      <c r="B1425" t="s">
        <v>2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2025</v>
      </c>
      <c r="J1425">
        <v>2.9600000000000001E-2</v>
      </c>
      <c r="K1425" t="s">
        <v>52</v>
      </c>
      <c r="L1425">
        <v>94</v>
      </c>
    </row>
    <row r="1426" spans="1:12" x14ac:dyDescent="0.45">
      <c r="A1426" t="s">
        <v>90</v>
      </c>
      <c r="B1426" t="s">
        <v>2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2030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2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2035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2040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2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2045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2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2050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2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2055</v>
      </c>
      <c r="J1431">
        <v>0</v>
      </c>
      <c r="K1431" t="s">
        <v>52</v>
      </c>
      <c r="L1431">
        <v>94</v>
      </c>
    </row>
    <row r="1432" spans="1:12" x14ac:dyDescent="0.45">
      <c r="A1432" t="s">
        <v>90</v>
      </c>
      <c r="B1432" t="s">
        <v>2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2060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2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2065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2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2070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2075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2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2080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2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2085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0</v>
      </c>
      <c r="K1438" t="s">
        <v>52</v>
      </c>
      <c r="L1438">
        <v>94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2095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2100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1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2020</v>
      </c>
      <c r="J1441">
        <v>0.37130000000000002</v>
      </c>
      <c r="K1441" t="s">
        <v>52</v>
      </c>
      <c r="L1441">
        <v>94</v>
      </c>
    </row>
    <row r="1442" spans="1:12" x14ac:dyDescent="0.45">
      <c r="A1442" t="s">
        <v>90</v>
      </c>
      <c r="B1442" t="s">
        <v>1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2025</v>
      </c>
      <c r="J1442">
        <v>2.9399999999999999E-2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2030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1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2035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1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2040</v>
      </c>
      <c r="J1445">
        <v>0</v>
      </c>
      <c r="K1445" t="s">
        <v>52</v>
      </c>
      <c r="L1445">
        <v>94</v>
      </c>
    </row>
    <row r="1446" spans="1:12" x14ac:dyDescent="0.45">
      <c r="A1446" t="s">
        <v>90</v>
      </c>
      <c r="B1446" t="s">
        <v>1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2045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1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2050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1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2055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1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2060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2065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1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2070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1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2075</v>
      </c>
      <c r="J1452">
        <v>0</v>
      </c>
      <c r="K1452" t="s">
        <v>52</v>
      </c>
      <c r="L1452">
        <v>94</v>
      </c>
    </row>
    <row r="1453" spans="1:12" x14ac:dyDescent="0.45">
      <c r="A1453" t="s">
        <v>90</v>
      </c>
      <c r="B1453" t="s">
        <v>1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1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1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1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9.5000000000000001E-2</v>
      </c>
      <c r="K1458" t="s">
        <v>53</v>
      </c>
      <c r="L1458">
        <v>55</v>
      </c>
    </row>
    <row r="1459" spans="1:12" x14ac:dyDescent="0.45">
      <c r="A1459" t="s">
        <v>90</v>
      </c>
      <c r="B1459" t="s">
        <v>3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2025</v>
      </c>
      <c r="J1459">
        <v>0.1273</v>
      </c>
      <c r="K1459" t="s">
        <v>53</v>
      </c>
      <c r="L1459">
        <v>55</v>
      </c>
    </row>
    <row r="1460" spans="1:12" x14ac:dyDescent="0.45">
      <c r="A1460" t="s">
        <v>90</v>
      </c>
      <c r="B1460" t="s">
        <v>3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2030</v>
      </c>
      <c r="J1460">
        <v>3.2899999999999999E-2</v>
      </c>
      <c r="K1460" t="s">
        <v>53</v>
      </c>
      <c r="L1460">
        <v>55</v>
      </c>
    </row>
    <row r="1461" spans="1:12" x14ac:dyDescent="0.45">
      <c r="A1461" t="s">
        <v>90</v>
      </c>
      <c r="B1461" t="s">
        <v>3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2035</v>
      </c>
      <c r="J1461">
        <v>7.6E-3</v>
      </c>
      <c r="K1461" t="s">
        <v>53</v>
      </c>
      <c r="L1461">
        <v>55</v>
      </c>
    </row>
    <row r="1462" spans="1:12" x14ac:dyDescent="0.45">
      <c r="A1462" t="s">
        <v>90</v>
      </c>
      <c r="B1462" t="s">
        <v>3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2040</v>
      </c>
      <c r="J1462">
        <v>1.1999999999999999E-3</v>
      </c>
      <c r="K1462" t="s">
        <v>53</v>
      </c>
      <c r="L1462">
        <v>55</v>
      </c>
    </row>
    <row r="1463" spans="1:12" x14ac:dyDescent="0.45">
      <c r="A1463" t="s">
        <v>90</v>
      </c>
      <c r="B1463" t="s">
        <v>3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2045</v>
      </c>
      <c r="J1463">
        <v>1.1000000000000001E-3</v>
      </c>
      <c r="K1463" t="s">
        <v>53</v>
      </c>
      <c r="L1463">
        <v>55</v>
      </c>
    </row>
    <row r="1464" spans="1:12" x14ac:dyDescent="0.45">
      <c r="A1464" t="s">
        <v>90</v>
      </c>
      <c r="B1464" t="s">
        <v>3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2050</v>
      </c>
      <c r="J1464">
        <v>8.9999999999999998E-4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2055</v>
      </c>
      <c r="J1465">
        <v>8.5000000000000006E-4</v>
      </c>
      <c r="K1465" t="s">
        <v>53</v>
      </c>
      <c r="L1465">
        <v>55</v>
      </c>
    </row>
    <row r="1466" spans="1:12" x14ac:dyDescent="0.45">
      <c r="A1466" t="s">
        <v>90</v>
      </c>
      <c r="B1466" t="s">
        <v>3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2060</v>
      </c>
      <c r="J1466">
        <v>4.4999999999999999E-4</v>
      </c>
      <c r="K1466" t="s">
        <v>53</v>
      </c>
      <c r="L1466">
        <v>55</v>
      </c>
    </row>
    <row r="1467" spans="1:12" x14ac:dyDescent="0.45">
      <c r="A1467" t="s">
        <v>90</v>
      </c>
      <c r="B1467" t="s">
        <v>3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2065</v>
      </c>
      <c r="J1467">
        <v>2.9999999999999997E-4</v>
      </c>
      <c r="K1467" t="s">
        <v>53</v>
      </c>
      <c r="L1467">
        <v>55</v>
      </c>
    </row>
    <row r="1468" spans="1:12" x14ac:dyDescent="0.45">
      <c r="A1468" t="s">
        <v>90</v>
      </c>
      <c r="B1468" t="s">
        <v>3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2070</v>
      </c>
      <c r="J1468">
        <v>5.0000000000000002E-5</v>
      </c>
      <c r="K1468" t="s">
        <v>53</v>
      </c>
      <c r="L1468">
        <v>55</v>
      </c>
    </row>
    <row r="1469" spans="1:12" x14ac:dyDescent="0.45">
      <c r="A1469" t="s">
        <v>90</v>
      </c>
      <c r="B1469" t="s">
        <v>3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2075</v>
      </c>
      <c r="J1469">
        <v>0</v>
      </c>
      <c r="K1469" t="s">
        <v>53</v>
      </c>
      <c r="L1469">
        <v>55</v>
      </c>
    </row>
    <row r="1470" spans="1:12" x14ac:dyDescent="0.45">
      <c r="A1470" t="s">
        <v>90</v>
      </c>
      <c r="B1470" t="s">
        <v>3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2080</v>
      </c>
      <c r="J1470">
        <v>0</v>
      </c>
      <c r="K1470" t="s">
        <v>53</v>
      </c>
      <c r="L1470">
        <v>55</v>
      </c>
    </row>
    <row r="1471" spans="1:12" x14ac:dyDescent="0.45">
      <c r="A1471" t="s">
        <v>90</v>
      </c>
      <c r="B1471" t="s">
        <v>3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2085</v>
      </c>
      <c r="J1471">
        <v>0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2090</v>
      </c>
      <c r="J1472">
        <v>0</v>
      </c>
      <c r="K1472" t="s">
        <v>53</v>
      </c>
      <c r="L1472">
        <v>55</v>
      </c>
    </row>
    <row r="1473" spans="1:12" x14ac:dyDescent="0.45">
      <c r="A1473" t="s">
        <v>90</v>
      </c>
      <c r="B1473" t="s">
        <v>3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2095</v>
      </c>
      <c r="J1473">
        <v>0</v>
      </c>
      <c r="K1473" t="s">
        <v>53</v>
      </c>
      <c r="L1473">
        <v>55</v>
      </c>
    </row>
    <row r="1474" spans="1:12" x14ac:dyDescent="0.45">
      <c r="A1474" t="s">
        <v>90</v>
      </c>
      <c r="B1474" t="s">
        <v>3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2100</v>
      </c>
      <c r="J1474">
        <v>0</v>
      </c>
      <c r="K1474" t="s">
        <v>53</v>
      </c>
      <c r="L1474">
        <v>55</v>
      </c>
    </row>
    <row r="1475" spans="1:12" x14ac:dyDescent="0.45">
      <c r="A1475" t="s">
        <v>90</v>
      </c>
      <c r="B1475" t="s">
        <v>4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2020</v>
      </c>
      <c r="J1475">
        <v>9.4399999999999998E-2</v>
      </c>
      <c r="K1475" t="s">
        <v>53</v>
      </c>
      <c r="L1475">
        <v>55</v>
      </c>
    </row>
    <row r="1476" spans="1:12" x14ac:dyDescent="0.45">
      <c r="A1476" t="s">
        <v>90</v>
      </c>
      <c r="B1476" t="s">
        <v>4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2025</v>
      </c>
      <c r="J1476">
        <v>0.1336</v>
      </c>
      <c r="K1476" t="s">
        <v>53</v>
      </c>
      <c r="L1476">
        <v>55</v>
      </c>
    </row>
    <row r="1477" spans="1:12" x14ac:dyDescent="0.45">
      <c r="A1477" t="s">
        <v>90</v>
      </c>
      <c r="B1477" t="s">
        <v>4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7.7499999999999999E-2</v>
      </c>
      <c r="K1477" t="s">
        <v>53</v>
      </c>
      <c r="L1477">
        <v>55</v>
      </c>
    </row>
    <row r="1478" spans="1:12" x14ac:dyDescent="0.45">
      <c r="A1478" t="s">
        <v>90</v>
      </c>
      <c r="B1478" t="s">
        <v>4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2035</v>
      </c>
      <c r="J1478">
        <v>2.98E-2</v>
      </c>
      <c r="K1478" t="s">
        <v>53</v>
      </c>
      <c r="L1478">
        <v>55</v>
      </c>
    </row>
    <row r="1479" spans="1:12" x14ac:dyDescent="0.45">
      <c r="A1479" t="s">
        <v>90</v>
      </c>
      <c r="B1479" t="s">
        <v>4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2040</v>
      </c>
      <c r="J1479">
        <v>0.01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2045</v>
      </c>
      <c r="J1480">
        <v>1.6000000000000001E-3</v>
      </c>
      <c r="K1480" t="s">
        <v>53</v>
      </c>
      <c r="L1480">
        <v>55</v>
      </c>
    </row>
    <row r="1481" spans="1:12" x14ac:dyDescent="0.45">
      <c r="A1481" t="s">
        <v>90</v>
      </c>
      <c r="B1481" t="s">
        <v>4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2050</v>
      </c>
      <c r="J1481">
        <v>1.6999999999999999E-3</v>
      </c>
      <c r="K1481" t="s">
        <v>53</v>
      </c>
      <c r="L1481">
        <v>55</v>
      </c>
    </row>
    <row r="1482" spans="1:12" x14ac:dyDescent="0.45">
      <c r="A1482" t="s">
        <v>90</v>
      </c>
      <c r="B1482" t="s">
        <v>4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2055</v>
      </c>
      <c r="J1482">
        <v>1.8E-3</v>
      </c>
      <c r="K1482" t="s">
        <v>53</v>
      </c>
      <c r="L1482">
        <v>55</v>
      </c>
    </row>
    <row r="1483" spans="1:12" x14ac:dyDescent="0.45">
      <c r="A1483" t="s">
        <v>90</v>
      </c>
      <c r="B1483" t="s">
        <v>4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2060</v>
      </c>
      <c r="J1483">
        <v>1.9499999999999999E-3</v>
      </c>
      <c r="K1483" t="s">
        <v>53</v>
      </c>
      <c r="L1483">
        <v>55</v>
      </c>
    </row>
    <row r="1484" spans="1:12" x14ac:dyDescent="0.45">
      <c r="A1484" t="s">
        <v>90</v>
      </c>
      <c r="B1484" t="s">
        <v>4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2065</v>
      </c>
      <c r="J1484">
        <v>2.1999999999999997E-3</v>
      </c>
      <c r="K1484" t="s">
        <v>53</v>
      </c>
      <c r="L1484">
        <v>55</v>
      </c>
    </row>
    <row r="1485" spans="1:12" x14ac:dyDescent="0.45">
      <c r="A1485" t="s">
        <v>90</v>
      </c>
      <c r="B1485" t="s">
        <v>4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2070</v>
      </c>
      <c r="J1485">
        <v>2.4000000000000002E-3</v>
      </c>
      <c r="K1485" t="s">
        <v>53</v>
      </c>
      <c r="L1485">
        <v>55</v>
      </c>
    </row>
    <row r="1486" spans="1:12" x14ac:dyDescent="0.45">
      <c r="A1486" t="s">
        <v>90</v>
      </c>
      <c r="B1486" t="s">
        <v>4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2075</v>
      </c>
      <c r="J1486">
        <v>2.5500000000000002E-3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2080</v>
      </c>
      <c r="J1487">
        <v>2.65E-3</v>
      </c>
      <c r="K1487" t="s">
        <v>53</v>
      </c>
      <c r="L1487">
        <v>55</v>
      </c>
    </row>
    <row r="1488" spans="1:12" x14ac:dyDescent="0.45">
      <c r="A1488" t="s">
        <v>90</v>
      </c>
      <c r="B1488" t="s">
        <v>4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2085</v>
      </c>
      <c r="J1488">
        <v>2.3999999999999998E-3</v>
      </c>
      <c r="K1488" t="s">
        <v>53</v>
      </c>
      <c r="L1488">
        <v>55</v>
      </c>
    </row>
    <row r="1489" spans="1:12" x14ac:dyDescent="0.45">
      <c r="A1489" t="s">
        <v>90</v>
      </c>
      <c r="B1489" t="s">
        <v>4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2090</v>
      </c>
      <c r="J1489">
        <v>2.2000000000000001E-3</v>
      </c>
      <c r="K1489" t="s">
        <v>53</v>
      </c>
      <c r="L1489">
        <v>55</v>
      </c>
    </row>
    <row r="1490" spans="1:12" x14ac:dyDescent="0.45">
      <c r="A1490" t="s">
        <v>90</v>
      </c>
      <c r="B1490" t="s">
        <v>4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2095</v>
      </c>
      <c r="J1490">
        <v>1.8E-3</v>
      </c>
      <c r="K1490" t="s">
        <v>53</v>
      </c>
      <c r="L1490">
        <v>55</v>
      </c>
    </row>
    <row r="1491" spans="1:12" x14ac:dyDescent="0.45">
      <c r="A1491" t="s">
        <v>90</v>
      </c>
      <c r="B1491" t="s">
        <v>4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2100</v>
      </c>
      <c r="J1491">
        <v>1.5E-3</v>
      </c>
      <c r="K1491" t="s">
        <v>53</v>
      </c>
      <c r="L1491">
        <v>55</v>
      </c>
    </row>
    <row r="1492" spans="1:12" x14ac:dyDescent="0.45">
      <c r="A1492" t="s">
        <v>90</v>
      </c>
      <c r="B1492" t="s">
        <v>0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2020</v>
      </c>
      <c r="J1492">
        <v>9.6000000000000002E-2</v>
      </c>
      <c r="K1492" t="s">
        <v>53</v>
      </c>
      <c r="L1492">
        <v>55</v>
      </c>
    </row>
    <row r="1493" spans="1:12" x14ac:dyDescent="0.45">
      <c r="A1493" t="s">
        <v>90</v>
      </c>
      <c r="B1493" t="s">
        <v>0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2025</v>
      </c>
      <c r="J1493">
        <v>0.1358</v>
      </c>
      <c r="K1493" t="s">
        <v>53</v>
      </c>
      <c r="L1493">
        <v>55</v>
      </c>
    </row>
    <row r="1494" spans="1:12" x14ac:dyDescent="0.45">
      <c r="A1494" t="s">
        <v>90</v>
      </c>
      <c r="B1494" t="s">
        <v>0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2030</v>
      </c>
      <c r="J1494">
        <v>7.6799999999999993E-2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2035</v>
      </c>
      <c r="J1495">
        <v>2.29E-2</v>
      </c>
      <c r="K1495" t="s">
        <v>53</v>
      </c>
      <c r="L1495">
        <v>55</v>
      </c>
    </row>
    <row r="1496" spans="1:12" x14ac:dyDescent="0.45">
      <c r="A1496" t="s">
        <v>90</v>
      </c>
      <c r="B1496" t="s">
        <v>0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2040</v>
      </c>
      <c r="J1496">
        <v>6.9999999999999999E-4</v>
      </c>
      <c r="K1496" t="s">
        <v>53</v>
      </c>
      <c r="L1496">
        <v>55</v>
      </c>
    </row>
    <row r="1497" spans="1:12" x14ac:dyDescent="0.45">
      <c r="A1497" t="s">
        <v>90</v>
      </c>
      <c r="B1497" t="s">
        <v>0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5.0000000000000001E-4</v>
      </c>
      <c r="K1497" t="s">
        <v>53</v>
      </c>
      <c r="L1497">
        <v>55</v>
      </c>
    </row>
    <row r="1498" spans="1:12" x14ac:dyDescent="0.45">
      <c r="A1498" t="s">
        <v>90</v>
      </c>
      <c r="B1498" t="s">
        <v>0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2050</v>
      </c>
      <c r="J1498">
        <v>2.0000000000000001E-4</v>
      </c>
      <c r="K1498" t="s">
        <v>53</v>
      </c>
      <c r="L1498">
        <v>55</v>
      </c>
    </row>
    <row r="1499" spans="1:12" x14ac:dyDescent="0.45">
      <c r="A1499" t="s">
        <v>90</v>
      </c>
      <c r="B1499" t="s">
        <v>0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2055</v>
      </c>
      <c r="J1499">
        <v>0</v>
      </c>
      <c r="K1499" t="s">
        <v>53</v>
      </c>
      <c r="L1499">
        <v>55</v>
      </c>
    </row>
    <row r="1500" spans="1:12" x14ac:dyDescent="0.45">
      <c r="A1500" t="s">
        <v>90</v>
      </c>
      <c r="B1500" t="s">
        <v>0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2060</v>
      </c>
      <c r="J1500">
        <v>0</v>
      </c>
      <c r="K1500" t="s">
        <v>53</v>
      </c>
      <c r="L1500">
        <v>55</v>
      </c>
    </row>
    <row r="1501" spans="1:12" x14ac:dyDescent="0.45">
      <c r="A1501" t="s">
        <v>90</v>
      </c>
      <c r="B1501" t="s">
        <v>0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2065</v>
      </c>
      <c r="J1501">
        <v>0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2070</v>
      </c>
      <c r="J1502">
        <v>0</v>
      </c>
      <c r="K1502" t="s">
        <v>53</v>
      </c>
      <c r="L1502">
        <v>55</v>
      </c>
    </row>
    <row r="1503" spans="1:12" x14ac:dyDescent="0.45">
      <c r="A1503" t="s">
        <v>90</v>
      </c>
      <c r="B1503" t="s">
        <v>0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2075</v>
      </c>
      <c r="J1503">
        <v>0</v>
      </c>
      <c r="K1503" t="s">
        <v>53</v>
      </c>
      <c r="L1503">
        <v>55</v>
      </c>
    </row>
    <row r="1504" spans="1:12" x14ac:dyDescent="0.45">
      <c r="A1504" t="s">
        <v>90</v>
      </c>
      <c r="B1504" t="s">
        <v>0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2080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0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0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2090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0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2095</v>
      </c>
      <c r="J1507">
        <v>0</v>
      </c>
      <c r="K1507" t="s">
        <v>53</v>
      </c>
      <c r="L1507">
        <v>55</v>
      </c>
    </row>
    <row r="1508" spans="1:12" x14ac:dyDescent="0.45">
      <c r="A1508" t="s">
        <v>90</v>
      </c>
      <c r="B1508" t="s">
        <v>0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2100</v>
      </c>
      <c r="J1508">
        <v>0</v>
      </c>
      <c r="K1508" t="s">
        <v>53</v>
      </c>
      <c r="L1508">
        <v>55</v>
      </c>
    </row>
    <row r="1509" spans="1:12" x14ac:dyDescent="0.45">
      <c r="A1509" t="s">
        <v>90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2020</v>
      </c>
      <c r="J1509">
        <v>9.4600000000000004E-2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2025</v>
      </c>
      <c r="J1510">
        <v>0.13370000000000001</v>
      </c>
      <c r="K1510" t="s">
        <v>53</v>
      </c>
      <c r="L1510">
        <v>55</v>
      </c>
    </row>
    <row r="1511" spans="1:12" x14ac:dyDescent="0.45">
      <c r="A1511" t="s">
        <v>90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2030</v>
      </c>
      <c r="J1511">
        <v>7.5399999999999995E-2</v>
      </c>
      <c r="K1511" t="s">
        <v>53</v>
      </c>
      <c r="L1511">
        <v>55</v>
      </c>
    </row>
    <row r="1512" spans="1:12" x14ac:dyDescent="0.45">
      <c r="A1512" t="s">
        <v>90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2035</v>
      </c>
      <c r="J1512">
        <v>2.5899999999999999E-2</v>
      </c>
      <c r="K1512" t="s">
        <v>53</v>
      </c>
      <c r="L1512">
        <v>55</v>
      </c>
    </row>
    <row r="1513" spans="1:12" x14ac:dyDescent="0.45">
      <c r="A1513" t="s">
        <v>90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2040</v>
      </c>
      <c r="J1513">
        <v>1.6999999999999999E-3</v>
      </c>
      <c r="K1513" t="s">
        <v>53</v>
      </c>
      <c r="L1513">
        <v>55</v>
      </c>
    </row>
    <row r="1514" spans="1:12" x14ac:dyDescent="0.45">
      <c r="A1514" t="s">
        <v>90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2045</v>
      </c>
      <c r="J1514">
        <v>1.6999999999999999E-3</v>
      </c>
      <c r="K1514" t="s">
        <v>53</v>
      </c>
      <c r="L1514">
        <v>55</v>
      </c>
    </row>
    <row r="1515" spans="1:12" x14ac:dyDescent="0.45">
      <c r="A1515" t="s">
        <v>90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2050</v>
      </c>
      <c r="J1515">
        <v>1.5E-3</v>
      </c>
      <c r="K1515" t="s">
        <v>53</v>
      </c>
      <c r="L1515">
        <v>55</v>
      </c>
    </row>
    <row r="1516" spans="1:12" x14ac:dyDescent="0.45">
      <c r="A1516" t="s">
        <v>90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2055</v>
      </c>
      <c r="J1516">
        <v>1.4499999999999999E-3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1E-3</v>
      </c>
      <c r="K1517" t="s">
        <v>53</v>
      </c>
      <c r="L1517">
        <v>55</v>
      </c>
    </row>
    <row r="1518" spans="1:12" x14ac:dyDescent="0.45">
      <c r="A1518" t="s">
        <v>90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2065</v>
      </c>
      <c r="J1518">
        <v>7.5000000000000002E-4</v>
      </c>
      <c r="K1518" t="s">
        <v>53</v>
      </c>
      <c r="L1518">
        <v>55</v>
      </c>
    </row>
    <row r="1519" spans="1:12" x14ac:dyDescent="0.45">
      <c r="A1519" t="s">
        <v>90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2070</v>
      </c>
      <c r="J1519">
        <v>4.4999999999999999E-4</v>
      </c>
      <c r="K1519" t="s">
        <v>53</v>
      </c>
      <c r="L1519">
        <v>55</v>
      </c>
    </row>
    <row r="1520" spans="1:12" x14ac:dyDescent="0.45">
      <c r="A1520" t="s">
        <v>90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2075</v>
      </c>
      <c r="J1520">
        <v>2.5000000000000001E-4</v>
      </c>
      <c r="K1520" t="s">
        <v>53</v>
      </c>
      <c r="L1520">
        <v>55</v>
      </c>
    </row>
    <row r="1521" spans="1:12" x14ac:dyDescent="0.45">
      <c r="A1521" t="s">
        <v>90</v>
      </c>
      <c r="B1521" t="s">
        <v>6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2080</v>
      </c>
      <c r="J1521">
        <v>0</v>
      </c>
      <c r="K1521" t="s">
        <v>53</v>
      </c>
      <c r="L1521">
        <v>55</v>
      </c>
    </row>
    <row r="1522" spans="1:12" x14ac:dyDescent="0.45">
      <c r="A1522" t="s">
        <v>90</v>
      </c>
      <c r="B1522" t="s">
        <v>6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2085</v>
      </c>
      <c r="J1522">
        <v>0</v>
      </c>
      <c r="K1522" t="s">
        <v>53</v>
      </c>
      <c r="L1522">
        <v>55</v>
      </c>
    </row>
    <row r="1523" spans="1:12" x14ac:dyDescent="0.45">
      <c r="A1523" t="s">
        <v>90</v>
      </c>
      <c r="B1523" t="s">
        <v>6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2090</v>
      </c>
      <c r="J1523">
        <v>0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2095</v>
      </c>
      <c r="J1524">
        <v>0</v>
      </c>
      <c r="K1524" t="s">
        <v>53</v>
      </c>
      <c r="L1524">
        <v>55</v>
      </c>
    </row>
    <row r="1525" spans="1:12" x14ac:dyDescent="0.45">
      <c r="A1525" t="s">
        <v>90</v>
      </c>
      <c r="B1525" t="s">
        <v>6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2100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5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9.7500000000000003E-2</v>
      </c>
      <c r="K1526" t="s">
        <v>53</v>
      </c>
      <c r="L1526">
        <v>55</v>
      </c>
    </row>
    <row r="1527" spans="1:12" x14ac:dyDescent="0.45">
      <c r="A1527" t="s">
        <v>90</v>
      </c>
      <c r="B1527" t="s">
        <v>5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0.1258</v>
      </c>
      <c r="K1527" t="s">
        <v>53</v>
      </c>
      <c r="L1527">
        <v>55</v>
      </c>
    </row>
    <row r="1528" spans="1:12" x14ac:dyDescent="0.45">
      <c r="A1528" t="s">
        <v>90</v>
      </c>
      <c r="B1528" t="s">
        <v>5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5.7999999999999996E-3</v>
      </c>
      <c r="K1528" t="s">
        <v>53</v>
      </c>
      <c r="L1528">
        <v>55</v>
      </c>
    </row>
    <row r="1529" spans="1:12" x14ac:dyDescent="0.45">
      <c r="A1529" t="s">
        <v>90</v>
      </c>
      <c r="B1529" t="s">
        <v>5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8.9999999999999998E-4</v>
      </c>
      <c r="K1529" t="s">
        <v>53</v>
      </c>
      <c r="L1529">
        <v>55</v>
      </c>
    </row>
    <row r="1530" spans="1:12" x14ac:dyDescent="0.45">
      <c r="A1530" t="s">
        <v>90</v>
      </c>
      <c r="B1530" t="s">
        <v>5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5.9999999999999995E-4</v>
      </c>
      <c r="K1530" t="s">
        <v>53</v>
      </c>
      <c r="L1530">
        <v>55</v>
      </c>
    </row>
    <row r="1531" spans="1:12" x14ac:dyDescent="0.45">
      <c r="A1531" t="s">
        <v>90</v>
      </c>
      <c r="B1531" t="s">
        <v>5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4.0000000000000002E-4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2.0000000000000001E-4</v>
      </c>
      <c r="K1532" t="s">
        <v>53</v>
      </c>
      <c r="L1532">
        <v>55</v>
      </c>
    </row>
    <row r="1533" spans="1:12" x14ac:dyDescent="0.45">
      <c r="A1533" t="s">
        <v>90</v>
      </c>
      <c r="B1533" t="s">
        <v>5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1E-4</v>
      </c>
      <c r="K1533" t="s">
        <v>53</v>
      </c>
      <c r="L1533">
        <v>55</v>
      </c>
    </row>
    <row r="1534" spans="1:12" x14ac:dyDescent="0.45">
      <c r="A1534" t="s">
        <v>90</v>
      </c>
      <c r="B1534" t="s">
        <v>5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1E-4</v>
      </c>
      <c r="K1534" t="s">
        <v>53</v>
      </c>
      <c r="L1534">
        <v>55</v>
      </c>
    </row>
    <row r="1535" spans="1:12" x14ac:dyDescent="0.45">
      <c r="A1535" t="s">
        <v>90</v>
      </c>
      <c r="B1535" t="s">
        <v>5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0</v>
      </c>
      <c r="K1535" t="s">
        <v>53</v>
      </c>
      <c r="L1535">
        <v>55</v>
      </c>
    </row>
    <row r="1536" spans="1:12" x14ac:dyDescent="0.45">
      <c r="A1536" t="s">
        <v>90</v>
      </c>
      <c r="B1536" t="s">
        <v>5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0</v>
      </c>
      <c r="K1536" t="s">
        <v>53</v>
      </c>
      <c r="L1536">
        <v>55</v>
      </c>
    </row>
    <row r="1537" spans="1:12" x14ac:dyDescent="0.45">
      <c r="A1537" t="s">
        <v>90</v>
      </c>
      <c r="B1537" t="s">
        <v>5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5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5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5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5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2020</v>
      </c>
      <c r="J1543">
        <v>9.4799999999999995E-2</v>
      </c>
      <c r="K1543" t="s">
        <v>53</v>
      </c>
      <c r="L1543">
        <v>55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2025</v>
      </c>
      <c r="J1544">
        <v>0.1285</v>
      </c>
      <c r="K1544" t="s">
        <v>53</v>
      </c>
      <c r="L1544">
        <v>55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2030</v>
      </c>
      <c r="J1545">
        <v>2.0199999999999999E-2</v>
      </c>
      <c r="K1545" t="s">
        <v>53</v>
      </c>
      <c r="L1545">
        <v>55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2035</v>
      </c>
      <c r="J1546">
        <v>4.7000000000000002E-3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2040</v>
      </c>
      <c r="J1547">
        <v>1.2999999999999999E-3</v>
      </c>
      <c r="K1547" t="s">
        <v>53</v>
      </c>
      <c r="L1547">
        <v>55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2045</v>
      </c>
      <c r="J1548">
        <v>1.1999999999999999E-3</v>
      </c>
      <c r="K1548" t="s">
        <v>53</v>
      </c>
      <c r="L1548">
        <v>55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2050</v>
      </c>
      <c r="J1549">
        <v>8.9999999999999998E-4</v>
      </c>
      <c r="K1549" t="s">
        <v>53</v>
      </c>
      <c r="L1549">
        <v>55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2055</v>
      </c>
      <c r="J1550">
        <v>8.5000000000000006E-4</v>
      </c>
      <c r="K1550" t="s">
        <v>53</v>
      </c>
      <c r="L1550">
        <v>55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2060</v>
      </c>
      <c r="J1551">
        <v>6.4999999999999997E-4</v>
      </c>
      <c r="K1551" t="s">
        <v>53</v>
      </c>
      <c r="L1551">
        <v>55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2065</v>
      </c>
      <c r="J1552">
        <v>4.0000000000000002E-4</v>
      </c>
      <c r="K1552" t="s">
        <v>53</v>
      </c>
      <c r="L1552">
        <v>55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2070</v>
      </c>
      <c r="J1553">
        <v>1E-4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2075</v>
      </c>
      <c r="J1554">
        <v>5.0000000000000002E-5</v>
      </c>
      <c r="K1554" t="s">
        <v>53</v>
      </c>
      <c r="L1554">
        <v>55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2080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2085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0</v>
      </c>
      <c r="K1557" t="s">
        <v>53</v>
      </c>
      <c r="L1557">
        <v>55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2095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2100</v>
      </c>
      <c r="J1559">
        <v>0</v>
      </c>
      <c r="K1559" t="s">
        <v>53</v>
      </c>
      <c r="L1559">
        <v>55</v>
      </c>
    </row>
    <row r="1560" spans="1:12" x14ac:dyDescent="0.45">
      <c r="A1560" t="s">
        <v>90</v>
      </c>
      <c r="B1560" t="s">
        <v>1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2020</v>
      </c>
      <c r="J1560">
        <v>9.7799999999999998E-2</v>
      </c>
      <c r="K1560" t="s">
        <v>53</v>
      </c>
      <c r="L1560">
        <v>55</v>
      </c>
    </row>
    <row r="1561" spans="1:12" x14ac:dyDescent="0.45">
      <c r="A1561" t="s">
        <v>90</v>
      </c>
      <c r="B1561" t="s">
        <v>1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2025</v>
      </c>
      <c r="J1561">
        <v>0.1221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2030</v>
      </c>
      <c r="J1562">
        <v>8.8999999999999999E-3</v>
      </c>
      <c r="K1562" t="s">
        <v>53</v>
      </c>
      <c r="L1562">
        <v>55</v>
      </c>
    </row>
    <row r="1563" spans="1:12" x14ac:dyDescent="0.45">
      <c r="A1563" t="s">
        <v>90</v>
      </c>
      <c r="B1563" t="s">
        <v>1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2035</v>
      </c>
      <c r="J1563">
        <v>6.9999999999999999E-4</v>
      </c>
      <c r="K1563" t="s">
        <v>53</v>
      </c>
      <c r="L1563">
        <v>55</v>
      </c>
    </row>
    <row r="1564" spans="1:12" x14ac:dyDescent="0.45">
      <c r="A1564" t="s">
        <v>90</v>
      </c>
      <c r="B1564" t="s">
        <v>1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2040</v>
      </c>
      <c r="J1564">
        <v>4.0000000000000002E-4</v>
      </c>
      <c r="K1564" t="s">
        <v>53</v>
      </c>
      <c r="L1564">
        <v>55</v>
      </c>
    </row>
    <row r="1565" spans="1:12" x14ac:dyDescent="0.45">
      <c r="A1565" t="s">
        <v>90</v>
      </c>
      <c r="B1565" t="s">
        <v>1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2045</v>
      </c>
      <c r="J1565">
        <v>1E-4</v>
      </c>
      <c r="K1565" t="s">
        <v>53</v>
      </c>
      <c r="L1565">
        <v>55</v>
      </c>
    </row>
    <row r="1566" spans="1:12" x14ac:dyDescent="0.45">
      <c r="A1566" t="s">
        <v>90</v>
      </c>
      <c r="B1566" t="s">
        <v>1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2050</v>
      </c>
      <c r="J1566">
        <v>0</v>
      </c>
      <c r="K1566" t="s">
        <v>53</v>
      </c>
      <c r="L1566">
        <v>55</v>
      </c>
    </row>
    <row r="1567" spans="1:12" x14ac:dyDescent="0.45">
      <c r="A1567" t="s">
        <v>90</v>
      </c>
      <c r="B1567" t="s">
        <v>1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2055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1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2060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2065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1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2070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1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2075</v>
      </c>
      <c r="J1571">
        <v>0</v>
      </c>
      <c r="K1571" t="s">
        <v>53</v>
      </c>
      <c r="L1571">
        <v>55</v>
      </c>
    </row>
    <row r="1572" spans="1:12" x14ac:dyDescent="0.45">
      <c r="A1572" t="s">
        <v>90</v>
      </c>
      <c r="B1572" t="s">
        <v>1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2080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1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2085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1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2090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1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2095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7.4000000000000003E-3</v>
      </c>
      <c r="K1577" t="s">
        <v>54</v>
      </c>
      <c r="L1577">
        <v>70</v>
      </c>
    </row>
    <row r="1578" spans="1:12" x14ac:dyDescent="0.45">
      <c r="A1578" t="s">
        <v>90</v>
      </c>
      <c r="B1578" t="s">
        <v>3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2025</v>
      </c>
      <c r="J1578">
        <v>8.0000000000000002E-3</v>
      </c>
      <c r="K1578" t="s">
        <v>54</v>
      </c>
      <c r="L1578">
        <v>70</v>
      </c>
    </row>
    <row r="1579" spans="1:12" x14ac:dyDescent="0.45">
      <c r="A1579" t="s">
        <v>90</v>
      </c>
      <c r="B1579" t="s">
        <v>3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2030</v>
      </c>
      <c r="J1579">
        <v>2.8999999999999998E-3</v>
      </c>
      <c r="K1579" t="s">
        <v>54</v>
      </c>
      <c r="L1579">
        <v>70</v>
      </c>
    </row>
    <row r="1580" spans="1:12" x14ac:dyDescent="0.45">
      <c r="A1580" t="s">
        <v>90</v>
      </c>
      <c r="B1580" t="s">
        <v>3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2035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3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2040</v>
      </c>
      <c r="J1581">
        <v>0</v>
      </c>
      <c r="K1581" t="s">
        <v>54</v>
      </c>
      <c r="L1581">
        <v>70</v>
      </c>
    </row>
    <row r="1582" spans="1:12" x14ac:dyDescent="0.45">
      <c r="A1582" t="s">
        <v>90</v>
      </c>
      <c r="B1582" t="s">
        <v>3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2045</v>
      </c>
      <c r="J1582">
        <v>0</v>
      </c>
      <c r="K1582" t="s">
        <v>54</v>
      </c>
      <c r="L1582">
        <v>70</v>
      </c>
    </row>
    <row r="1583" spans="1:12" x14ac:dyDescent="0.45">
      <c r="A1583" t="s">
        <v>90</v>
      </c>
      <c r="B1583" t="s">
        <v>3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2050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2055</v>
      </c>
      <c r="J1584">
        <v>0</v>
      </c>
      <c r="K1584" t="s">
        <v>54</v>
      </c>
      <c r="L1584">
        <v>70</v>
      </c>
    </row>
    <row r="1585" spans="1:12" x14ac:dyDescent="0.45">
      <c r="A1585" t="s">
        <v>90</v>
      </c>
      <c r="B1585" t="s">
        <v>3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2060</v>
      </c>
      <c r="J1585">
        <v>0</v>
      </c>
      <c r="K1585" t="s">
        <v>54</v>
      </c>
      <c r="L1585">
        <v>70</v>
      </c>
    </row>
    <row r="1586" spans="1:12" x14ac:dyDescent="0.45">
      <c r="A1586" t="s">
        <v>90</v>
      </c>
      <c r="B1586" t="s">
        <v>3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2065</v>
      </c>
      <c r="J1586">
        <v>0</v>
      </c>
      <c r="K1586" t="s">
        <v>54</v>
      </c>
      <c r="L1586">
        <v>70</v>
      </c>
    </row>
    <row r="1587" spans="1:12" x14ac:dyDescent="0.45">
      <c r="A1587" t="s">
        <v>90</v>
      </c>
      <c r="B1587" t="s">
        <v>3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2070</v>
      </c>
      <c r="J1587">
        <v>0</v>
      </c>
      <c r="K1587" t="s">
        <v>54</v>
      </c>
      <c r="L1587">
        <v>70</v>
      </c>
    </row>
    <row r="1588" spans="1:12" x14ac:dyDescent="0.45">
      <c r="A1588" t="s">
        <v>90</v>
      </c>
      <c r="B1588" t="s">
        <v>3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2075</v>
      </c>
      <c r="J1588">
        <v>0</v>
      </c>
      <c r="K1588" t="s">
        <v>54</v>
      </c>
      <c r="L1588">
        <v>70</v>
      </c>
    </row>
    <row r="1589" spans="1:12" x14ac:dyDescent="0.45">
      <c r="A1589" t="s">
        <v>90</v>
      </c>
      <c r="B1589" t="s">
        <v>3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2080</v>
      </c>
      <c r="J1589">
        <v>0</v>
      </c>
      <c r="K1589" t="s">
        <v>54</v>
      </c>
      <c r="L1589">
        <v>70</v>
      </c>
    </row>
    <row r="1590" spans="1:12" x14ac:dyDescent="0.45">
      <c r="A1590" t="s">
        <v>90</v>
      </c>
      <c r="B1590" t="s">
        <v>3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2085</v>
      </c>
      <c r="J1590">
        <v>0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2090</v>
      </c>
      <c r="J1591">
        <v>0</v>
      </c>
      <c r="K1591" t="s">
        <v>54</v>
      </c>
      <c r="L1591">
        <v>70</v>
      </c>
    </row>
    <row r="1592" spans="1:12" x14ac:dyDescent="0.45">
      <c r="A1592" t="s">
        <v>90</v>
      </c>
      <c r="B1592" t="s">
        <v>3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2095</v>
      </c>
      <c r="J1592">
        <v>0</v>
      </c>
      <c r="K1592" t="s">
        <v>54</v>
      </c>
      <c r="L1592">
        <v>70</v>
      </c>
    </row>
    <row r="1593" spans="1:12" x14ac:dyDescent="0.45">
      <c r="A1593" t="s">
        <v>90</v>
      </c>
      <c r="B1593" t="s">
        <v>3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2100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4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2020</v>
      </c>
      <c r="J1594">
        <v>7.3000000000000001E-3</v>
      </c>
      <c r="K1594" t="s">
        <v>54</v>
      </c>
      <c r="L1594">
        <v>70</v>
      </c>
    </row>
    <row r="1595" spans="1:12" x14ac:dyDescent="0.45">
      <c r="A1595" t="s">
        <v>90</v>
      </c>
      <c r="B1595" t="s">
        <v>4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2025</v>
      </c>
      <c r="J1595">
        <v>7.7999999999999996E-3</v>
      </c>
      <c r="K1595" t="s">
        <v>54</v>
      </c>
      <c r="L1595">
        <v>70</v>
      </c>
    </row>
    <row r="1596" spans="1:12" x14ac:dyDescent="0.45">
      <c r="A1596" t="s">
        <v>90</v>
      </c>
      <c r="B1596" t="s">
        <v>4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3.2000000000000002E-3</v>
      </c>
      <c r="K1596" t="s">
        <v>54</v>
      </c>
      <c r="L1596">
        <v>70</v>
      </c>
    </row>
    <row r="1597" spans="1:12" x14ac:dyDescent="0.45">
      <c r="A1597" t="s">
        <v>90</v>
      </c>
      <c r="B1597" t="s">
        <v>4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2035</v>
      </c>
      <c r="J1597">
        <v>0</v>
      </c>
      <c r="K1597" t="s">
        <v>54</v>
      </c>
      <c r="L1597">
        <v>70</v>
      </c>
    </row>
    <row r="1598" spans="1:12" x14ac:dyDescent="0.45">
      <c r="A1598" t="s">
        <v>90</v>
      </c>
      <c r="B1598" t="s">
        <v>4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2040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2045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4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2050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4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2055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4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2060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4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2065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4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2070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4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2075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2080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4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4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4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2095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4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2100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0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2020</v>
      </c>
      <c r="J1611">
        <v>7.4000000000000003E-3</v>
      </c>
      <c r="K1611" t="s">
        <v>54</v>
      </c>
      <c r="L1611">
        <v>70</v>
      </c>
    </row>
    <row r="1612" spans="1:12" x14ac:dyDescent="0.45">
      <c r="A1612" t="s">
        <v>90</v>
      </c>
      <c r="B1612" t="s">
        <v>0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2025</v>
      </c>
      <c r="J1612">
        <v>8.0000000000000002E-3</v>
      </c>
      <c r="K1612" t="s">
        <v>54</v>
      </c>
      <c r="L1612">
        <v>70</v>
      </c>
    </row>
    <row r="1613" spans="1:12" x14ac:dyDescent="0.45">
      <c r="A1613" t="s">
        <v>90</v>
      </c>
      <c r="B1613" t="s">
        <v>0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2030</v>
      </c>
      <c r="J1613">
        <v>3.2000000000000002E-3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0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0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0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0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0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0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0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0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0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0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0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0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6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2020</v>
      </c>
      <c r="J1628">
        <v>7.4000000000000003E-3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2025</v>
      </c>
      <c r="J1629">
        <v>7.9000000000000008E-3</v>
      </c>
      <c r="K1629" t="s">
        <v>54</v>
      </c>
      <c r="L1629">
        <v>70</v>
      </c>
    </row>
    <row r="1630" spans="1:12" x14ac:dyDescent="0.45">
      <c r="A1630" t="s">
        <v>90</v>
      </c>
      <c r="B1630" t="s">
        <v>6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2030</v>
      </c>
      <c r="J1630">
        <v>3.2000000000000002E-3</v>
      </c>
      <c r="K1630" t="s">
        <v>54</v>
      </c>
      <c r="L1630">
        <v>70</v>
      </c>
    </row>
    <row r="1631" spans="1:12" x14ac:dyDescent="0.45">
      <c r="A1631" t="s">
        <v>90</v>
      </c>
      <c r="B1631" t="s">
        <v>6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2035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6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2040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6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2045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6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2050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6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2055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6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2065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6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2070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6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2075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6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2080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6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2085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6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2090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2095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6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2100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5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2020</v>
      </c>
      <c r="J1645">
        <v>7.4000000000000003E-3</v>
      </c>
      <c r="K1645" t="s">
        <v>54</v>
      </c>
      <c r="L1645">
        <v>70</v>
      </c>
    </row>
    <row r="1646" spans="1:12" x14ac:dyDescent="0.45">
      <c r="A1646" t="s">
        <v>90</v>
      </c>
      <c r="B1646" t="s">
        <v>5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2025</v>
      </c>
      <c r="J1646">
        <v>8.5000000000000006E-3</v>
      </c>
      <c r="K1646" t="s">
        <v>54</v>
      </c>
      <c r="L1646">
        <v>70</v>
      </c>
    </row>
    <row r="1647" spans="1:12" x14ac:dyDescent="0.45">
      <c r="A1647" t="s">
        <v>90</v>
      </c>
      <c r="B1647" t="s">
        <v>5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2030</v>
      </c>
      <c r="J1647">
        <v>3.0999999999999999E-3</v>
      </c>
      <c r="K1647" t="s">
        <v>54</v>
      </c>
      <c r="L1647">
        <v>70</v>
      </c>
    </row>
    <row r="1648" spans="1:12" x14ac:dyDescent="0.45">
      <c r="A1648" t="s">
        <v>90</v>
      </c>
      <c r="B1648" t="s">
        <v>5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2035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5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2040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5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2045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2050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5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2055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5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2060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5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2065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5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2070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5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5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2080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2085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5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2090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5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5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2100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2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2020</v>
      </c>
      <c r="J1662">
        <v>7.3000000000000001E-3</v>
      </c>
      <c r="K1662" t="s">
        <v>54</v>
      </c>
      <c r="L1662">
        <v>70</v>
      </c>
    </row>
    <row r="1663" spans="1:12" x14ac:dyDescent="0.45">
      <c r="A1663" t="s">
        <v>90</v>
      </c>
      <c r="B1663" t="s">
        <v>2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2025</v>
      </c>
      <c r="J1663">
        <v>8.0999999999999996E-3</v>
      </c>
      <c r="K1663" t="s">
        <v>54</v>
      </c>
      <c r="L1663">
        <v>70</v>
      </c>
    </row>
    <row r="1664" spans="1:12" x14ac:dyDescent="0.45">
      <c r="A1664" t="s">
        <v>90</v>
      </c>
      <c r="B1664" t="s">
        <v>2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2030</v>
      </c>
      <c r="J1664">
        <v>2.8E-3</v>
      </c>
      <c r="K1664" t="s">
        <v>54</v>
      </c>
      <c r="L1664">
        <v>70</v>
      </c>
    </row>
    <row r="1665" spans="1:12" x14ac:dyDescent="0.45">
      <c r="A1665" t="s">
        <v>90</v>
      </c>
      <c r="B1665" t="s">
        <v>2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2035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2040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2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2045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2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2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2055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2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2060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2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2065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2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2070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2075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2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2080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2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2085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2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2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2095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2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2100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2020</v>
      </c>
      <c r="J1679">
        <v>7.4000000000000003E-3</v>
      </c>
      <c r="K1679" t="s">
        <v>54</v>
      </c>
      <c r="L1679">
        <v>70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2025</v>
      </c>
      <c r="J1680">
        <v>8.0000000000000002E-3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2030</v>
      </c>
      <c r="J1681">
        <v>2.8E-3</v>
      </c>
      <c r="K1681" t="s">
        <v>54</v>
      </c>
      <c r="L1681">
        <v>70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4.3E-3</v>
      </c>
      <c r="K1696" t="s">
        <v>85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2025</v>
      </c>
      <c r="J1697">
        <v>1.7050000000000003E-2</v>
      </c>
      <c r="K1697" t="s">
        <v>85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2030</v>
      </c>
      <c r="J1698">
        <v>3.0800000000000001E-2</v>
      </c>
      <c r="K1698" t="s">
        <v>85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2035</v>
      </c>
      <c r="J1699">
        <v>4.505E-2</v>
      </c>
      <c r="K1699" t="s">
        <v>85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2040</v>
      </c>
      <c r="J1700">
        <v>6.0649999999999996E-2</v>
      </c>
      <c r="K1700" t="s">
        <v>85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2045</v>
      </c>
      <c r="J1701">
        <v>9.0799999999999992E-2</v>
      </c>
      <c r="K1701" t="s">
        <v>85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2050</v>
      </c>
      <c r="J1702">
        <v>0.12415000000000001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2055</v>
      </c>
      <c r="J1703">
        <v>0.15529999999999999</v>
      </c>
      <c r="K1703" t="s">
        <v>85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2060</v>
      </c>
      <c r="J1704">
        <v>0.1832</v>
      </c>
      <c r="K1704" t="s">
        <v>85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2065</v>
      </c>
      <c r="J1705">
        <v>0.1757</v>
      </c>
      <c r="K1705" t="s">
        <v>85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2070</v>
      </c>
      <c r="J1706">
        <v>0.16250000000000001</v>
      </c>
      <c r="K1706" t="s">
        <v>85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2075</v>
      </c>
      <c r="J1707">
        <v>0.14910000000000001</v>
      </c>
      <c r="K1707" t="s">
        <v>85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2080</v>
      </c>
      <c r="J1708">
        <v>0.13685</v>
      </c>
      <c r="K1708" t="s">
        <v>85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2085</v>
      </c>
      <c r="J1709">
        <v>0.13214999999999999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2090</v>
      </c>
      <c r="J1710">
        <v>0.12834999999999999</v>
      </c>
      <c r="K1710" t="s">
        <v>85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0.12695000000000001</v>
      </c>
      <c r="K1711" t="s">
        <v>85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2100</v>
      </c>
      <c r="J1712">
        <v>0.126</v>
      </c>
      <c r="K1712" t="s">
        <v>85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2020</v>
      </c>
      <c r="J1713">
        <v>4.2500000000000003E-3</v>
      </c>
      <c r="K1713" t="s">
        <v>85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2025</v>
      </c>
      <c r="J1714">
        <v>1.7049999999999999E-2</v>
      </c>
      <c r="K1714" t="s">
        <v>85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2.93E-2</v>
      </c>
      <c r="K1715" t="s">
        <v>85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2035</v>
      </c>
      <c r="J1716">
        <v>3.6049999999999999E-2</v>
      </c>
      <c r="K1716" t="s">
        <v>85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2040</v>
      </c>
      <c r="J1717">
        <v>3.7699999999999997E-2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2045</v>
      </c>
      <c r="J1718">
        <v>4.265E-2</v>
      </c>
      <c r="K1718" t="s">
        <v>85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2050</v>
      </c>
      <c r="J1719">
        <v>5.4150000000000004E-2</v>
      </c>
      <c r="K1719" t="s">
        <v>85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2055</v>
      </c>
      <c r="J1720">
        <v>5.2549999999999999E-2</v>
      </c>
      <c r="K1720" t="s">
        <v>85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2060</v>
      </c>
      <c r="J1721">
        <v>8.2699999999999996E-2</v>
      </c>
      <c r="K1721" t="s">
        <v>85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2065</v>
      </c>
      <c r="J1722">
        <v>0.10015</v>
      </c>
      <c r="K1722" t="s">
        <v>85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2070</v>
      </c>
      <c r="J1723">
        <v>0.11415</v>
      </c>
      <c r="K1723" t="s">
        <v>85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2075</v>
      </c>
      <c r="J1724">
        <v>0.13314999999999999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2080</v>
      </c>
      <c r="J1725">
        <v>0.14829999999999999</v>
      </c>
      <c r="K1725" t="s">
        <v>85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2085</v>
      </c>
      <c r="J1726">
        <v>0.16370000000000001</v>
      </c>
      <c r="K1726" t="s">
        <v>85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2090</v>
      </c>
      <c r="J1727">
        <v>0.17585000000000001</v>
      </c>
      <c r="K1727" t="s">
        <v>85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2095</v>
      </c>
      <c r="J1728">
        <v>0.17725000000000002</v>
      </c>
      <c r="K1728" t="s">
        <v>85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2100</v>
      </c>
      <c r="J1729">
        <v>0.17730000000000001</v>
      </c>
      <c r="K1729" t="s">
        <v>85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2020</v>
      </c>
      <c r="J1730">
        <v>4.3499999999999997E-3</v>
      </c>
      <c r="K1730" t="s">
        <v>85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2025</v>
      </c>
      <c r="J1731">
        <v>1.745E-2</v>
      </c>
      <c r="K1731" t="s">
        <v>85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2030</v>
      </c>
      <c r="J1732">
        <v>2.9949999999999997E-2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2035</v>
      </c>
      <c r="J1733">
        <v>3.6799999999999999E-2</v>
      </c>
      <c r="K1733" t="s">
        <v>85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2040</v>
      </c>
      <c r="J1734">
        <v>6.1100000000000002E-2</v>
      </c>
      <c r="K1734" t="s">
        <v>85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0.12790000000000001</v>
      </c>
      <c r="K1735" t="s">
        <v>85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2050</v>
      </c>
      <c r="J1736">
        <v>0.20165</v>
      </c>
      <c r="K1736" t="s">
        <v>85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2055</v>
      </c>
      <c r="J1737">
        <v>0.24585000000000001</v>
      </c>
      <c r="K1737" t="s">
        <v>85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2060</v>
      </c>
      <c r="J1738">
        <v>0.27429999999999999</v>
      </c>
      <c r="K1738" t="s">
        <v>85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2065</v>
      </c>
      <c r="J1739">
        <v>0.26190000000000002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2070</v>
      </c>
      <c r="J1740">
        <v>0.2445</v>
      </c>
      <c r="K1740" t="s">
        <v>85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2075</v>
      </c>
      <c r="J1741">
        <v>0.22305000000000003</v>
      </c>
      <c r="K1741" t="s">
        <v>85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2080</v>
      </c>
      <c r="J1742">
        <v>0.2034</v>
      </c>
      <c r="K1742" t="s">
        <v>85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2085</v>
      </c>
      <c r="J1743">
        <v>0.19125</v>
      </c>
      <c r="K1743" t="s">
        <v>85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2090</v>
      </c>
      <c r="J1744">
        <v>0.18295</v>
      </c>
      <c r="K1744" t="s">
        <v>85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2095</v>
      </c>
      <c r="J1745">
        <v>0.18075000000000002</v>
      </c>
      <c r="K1745" t="s">
        <v>85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2100</v>
      </c>
      <c r="J1746">
        <v>0.17854999999999999</v>
      </c>
      <c r="K1746" t="s">
        <v>85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2020</v>
      </c>
      <c r="J1747">
        <v>4.3E-3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2025</v>
      </c>
      <c r="J1748">
        <v>1.7300000000000003E-2</v>
      </c>
      <c r="K1748" t="s">
        <v>85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2030</v>
      </c>
      <c r="J1749">
        <v>2.9650000000000003E-2</v>
      </c>
      <c r="K1749" t="s">
        <v>85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2035</v>
      </c>
      <c r="J1750">
        <v>3.5099999999999999E-2</v>
      </c>
      <c r="K1750" t="s">
        <v>85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2040</v>
      </c>
      <c r="J1751">
        <v>4.7850000000000004E-2</v>
      </c>
      <c r="K1751" t="s">
        <v>85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2045</v>
      </c>
      <c r="J1752">
        <v>7.7649999999999997E-2</v>
      </c>
      <c r="K1752" t="s">
        <v>85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2050</v>
      </c>
      <c r="J1753">
        <v>0.11879999999999999</v>
      </c>
      <c r="K1753" t="s">
        <v>85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2055</v>
      </c>
      <c r="J1754">
        <v>0.14934999999999998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0.18190000000000001</v>
      </c>
      <c r="K1755" t="s">
        <v>85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2065</v>
      </c>
      <c r="J1756">
        <v>0.18</v>
      </c>
      <c r="K1756" t="s">
        <v>85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2070</v>
      </c>
      <c r="J1757">
        <v>0.17244999999999999</v>
      </c>
      <c r="K1757" t="s">
        <v>85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2075</v>
      </c>
      <c r="J1758">
        <v>0.1633</v>
      </c>
      <c r="K1758" t="s">
        <v>85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2080</v>
      </c>
      <c r="J1759">
        <v>0.15325</v>
      </c>
      <c r="K1759" t="s">
        <v>85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2085</v>
      </c>
      <c r="J1760">
        <v>0.15</v>
      </c>
      <c r="K1760" t="s">
        <v>85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2090</v>
      </c>
      <c r="J1761">
        <v>0.1474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2095</v>
      </c>
      <c r="J1762">
        <v>0.14465</v>
      </c>
      <c r="K1762" t="s">
        <v>85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2100</v>
      </c>
      <c r="J1763">
        <v>0.14205000000000001</v>
      </c>
      <c r="K1763" t="s">
        <v>85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2020</v>
      </c>
      <c r="J1764">
        <v>4.5500000000000002E-3</v>
      </c>
      <c r="K1764" t="s">
        <v>85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2025</v>
      </c>
      <c r="J1765">
        <v>1.3899999999999999E-2</v>
      </c>
      <c r="K1765" t="s">
        <v>85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2030</v>
      </c>
      <c r="J1766">
        <v>2.6349999999999998E-2</v>
      </c>
      <c r="K1766" t="s">
        <v>85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2035</v>
      </c>
      <c r="J1767">
        <v>3.585E-2</v>
      </c>
      <c r="K1767" t="s">
        <v>85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2040</v>
      </c>
      <c r="J1768">
        <v>4.7850000000000004E-2</v>
      </c>
      <c r="K1768" t="s">
        <v>85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2045</v>
      </c>
      <c r="J1769">
        <v>5.1949999999999996E-2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2050</v>
      </c>
      <c r="J1770">
        <v>5.6250000000000001E-2</v>
      </c>
      <c r="K1770" t="s">
        <v>85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2055</v>
      </c>
      <c r="J1771">
        <v>6.1850000000000002E-2</v>
      </c>
      <c r="K1771" t="s">
        <v>85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2060</v>
      </c>
      <c r="J1772">
        <v>8.3900000000000002E-2</v>
      </c>
      <c r="K1772" t="s">
        <v>85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2065</v>
      </c>
      <c r="J1773">
        <v>8.7849999999999998E-2</v>
      </c>
      <c r="K1773" t="s">
        <v>85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2070</v>
      </c>
      <c r="J1774">
        <v>8.8200000000000001E-2</v>
      </c>
      <c r="K1774" t="s">
        <v>85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8.2100000000000006E-2</v>
      </c>
      <c r="K1775" t="s">
        <v>85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2080</v>
      </c>
      <c r="J1776">
        <v>7.7050000000000007E-2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2085</v>
      </c>
      <c r="J1777">
        <v>7.5700000000000003E-2</v>
      </c>
      <c r="K1777" t="s">
        <v>85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2090</v>
      </c>
      <c r="J1778">
        <v>7.5000000000000011E-2</v>
      </c>
      <c r="K1778" t="s">
        <v>85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2095</v>
      </c>
      <c r="J1779">
        <v>7.7050000000000007E-2</v>
      </c>
      <c r="K1779" t="s">
        <v>85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2100</v>
      </c>
      <c r="J1780">
        <v>7.8699999999999992E-2</v>
      </c>
      <c r="K1780" t="s">
        <v>85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2020</v>
      </c>
      <c r="J1781">
        <v>4.3E-3</v>
      </c>
      <c r="K1781" t="s">
        <v>85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2025</v>
      </c>
      <c r="J1782">
        <v>1.6400000000000001E-2</v>
      </c>
      <c r="K1782" t="s">
        <v>85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2030</v>
      </c>
      <c r="J1783">
        <v>3.0449999999999998E-2</v>
      </c>
      <c r="K1783" t="s">
        <v>85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2035</v>
      </c>
      <c r="J1784">
        <v>4.3999999999999997E-2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2040</v>
      </c>
      <c r="J1785">
        <v>6.7849999999999994E-2</v>
      </c>
      <c r="K1785" t="s">
        <v>85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2045</v>
      </c>
      <c r="J1786">
        <v>0.1084</v>
      </c>
      <c r="K1786" t="s">
        <v>85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2050</v>
      </c>
      <c r="J1787">
        <v>0.14804999999999999</v>
      </c>
      <c r="K1787" t="s">
        <v>85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2055</v>
      </c>
      <c r="J1788">
        <v>0.1789</v>
      </c>
      <c r="K1788" t="s">
        <v>85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2060</v>
      </c>
      <c r="J1789">
        <v>0.20724999999999999</v>
      </c>
      <c r="K1789" t="s">
        <v>85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2065</v>
      </c>
      <c r="J1790">
        <v>0.19945000000000002</v>
      </c>
      <c r="K1790" t="s">
        <v>85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2070</v>
      </c>
      <c r="J1791">
        <v>0.18559999999999999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2075</v>
      </c>
      <c r="J1792">
        <v>0.17435</v>
      </c>
      <c r="K1792" t="s">
        <v>85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2080</v>
      </c>
      <c r="J1793">
        <v>0.16349999999999998</v>
      </c>
      <c r="K1793" t="s">
        <v>85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2085</v>
      </c>
      <c r="J1794">
        <v>0.16155</v>
      </c>
      <c r="K1794" t="s">
        <v>85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0.16065000000000002</v>
      </c>
      <c r="K1795" t="s">
        <v>85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2095</v>
      </c>
      <c r="J1796">
        <v>0.1575</v>
      </c>
      <c r="K1796" t="s">
        <v>85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2100</v>
      </c>
      <c r="J1797">
        <v>0.1545</v>
      </c>
      <c r="K1797" t="s">
        <v>85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4.4000000000000003E-3</v>
      </c>
      <c r="K1798" t="s">
        <v>85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1.7149999999999999E-2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4.3399999999999994E-2</v>
      </c>
      <c r="K1800" t="s">
        <v>85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8.9200000000000002E-2</v>
      </c>
      <c r="K1801" t="s">
        <v>85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0.14555000000000001</v>
      </c>
      <c r="K1802" t="s">
        <v>85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0.18864999999999998</v>
      </c>
      <c r="K1803" t="s">
        <v>85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0.21575</v>
      </c>
      <c r="K1804" t="s">
        <v>85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0.22499999999999998</v>
      </c>
      <c r="K1805" t="s">
        <v>85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0.23049999999999998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0.2127</v>
      </c>
      <c r="K1807" t="s">
        <v>85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0.18914999999999998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0.18130000000000002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0.1757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0.17954999999999999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0.18529999999999999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0.18495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0.1847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5.1978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15.364100000000001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25.6584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44.034100000000002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63.750100000000003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0.22209999999999999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0.22520000000000001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0.22869999999999999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0.27310000000000001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0.26550000000000001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0.26179999999999998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0.2301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0.309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0.35880000000000001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0.38300000000000001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0.44800000000000001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0.47020000000000001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0.50570000000000004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0.55740000000000001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2.52E-2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1.9800000000000002E-2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3.5700000000000003E-2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0.1245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0.21329999999999999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0.29459999999999997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0.35709999999999997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1.9E-3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25.991000000000003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15.4724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0.13159999999999999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14.245000000000001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19.563500000000001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22.863500000000002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37.581499999999998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39.512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39.677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40.875999999999998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6.3E-2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5.6798999999999999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2.7907000000000002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4.6719999999999997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7.1379999999999999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7.7228000000000003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8.7202999999999999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7.8779000000000003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2.1709000000000001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1.7063999999999999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2.1709999999999998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1.9769000000000001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2.5640000000000001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1.0552999999999999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12.219799999999999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3.7282000000000002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4.2759999999999998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5.2468000000000004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5.9450000000000003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5.7946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4.6173000000000002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10.9808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4.1311999999999998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4.3116000000000003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4.7229000000000001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4.7931999999999997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6.1635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4.4867999999999997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190.4194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217.14599999999999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158.0728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126.1292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84.177000000000007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49.2789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4.8807999999999998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251.92269999999999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242.29239999999999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192.26759999999999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167.00700000000001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132.77770000000001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103.2332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63.653399999999998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0.2225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0.22800000000000001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0.23630000000000001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0.24729999999999999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0.25319999999999998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0.25800000000000001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0.22409999999999999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0.30230000000000001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0.34699999999999998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0.41839999999999999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0.43059999999999998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0.44090000000000001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0.46989999999999998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0.49680000000000002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2.47E-2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0.02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3.5200000000000002E-2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3.0200000000000001E-2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2.1899999999999999E-2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1.77E-2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3.3599999999999998E-2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4.0000000000000002E-4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25.962800000000001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36.096000000000004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6.5518000000000001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31.950599999999998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29.891999999999999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35.738799999999998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40.749000000000002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14.069000000000001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10.862500000000001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13.1065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13.579500000000001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13.53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11.511500000000002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8.7395000000000014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6.3E-2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5.6798999999999999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2.1896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4.9040999999999997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2.1084999999999998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3.7646000000000002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2.7120000000000002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7.8779000000000003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2.5169000000000001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6.4005999999999998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2.4849999999999999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1.9182999999999999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1.4338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2.3031000000000001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12.219799999999999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3.5950000000000002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10.553900000000001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4.609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4.4168000000000003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4.7584999999999997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4.2888000000000002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10.9808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4.2763999999999998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10.7896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6.0525000000000002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5.2763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6.6349999999999998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6.2908999999999997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191.7193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273.26409999999998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183.351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258.56270000000001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253.35050000000001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248.75970000000001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231.5771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253.5214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297.66000000000003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215.50700000000001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296.77390000000003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298.48669999999998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300.80930000000001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289.73439999999999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6.5763999999999996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16.259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35.540599999999998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45.877600000000001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0.22239999999999999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0.2278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0.2359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0.26850000000000002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0.28370000000000001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0.30180000000000001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0.2878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0.30130000000000001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0.34539999999999998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0.41670000000000001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0.46410000000000001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0.4975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0.54459999999999997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0.59709999999999996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2.47E-2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1.9900000000000001E-2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3.49E-2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0.10680000000000001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0.1968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0.27929999999999999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0.3412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4.0000000000000002E-4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2.5700000000000001E-2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5.9799999999999999E-2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26.038000000000004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36.227600000000002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6.5987999999999998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3.7600000000000001E-2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14.08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10.8735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13.211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23.98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31.074999999999996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27.840999999999998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24.480499999999999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6.3E-2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5.6798999999999999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2.1896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4.9040999999999997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7.2225000000000001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7.8586999999999998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11.3034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7.8779000000000003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2.5169000000000001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6.4005999999999998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3.6255999999999999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2.6890999999999998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2.5642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12.219799999999999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3.5950000000000002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10.553900000000001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6.1544999999999996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5.6174999999999997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4.8705999999999996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4.7060000000000004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10.9808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4.2763999999999998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10.7896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4.8766999999999996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5.0852000000000004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5.5401999999999996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5.1143999999999998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192.13849999999999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275.19170000000003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186.3519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139.02000000000001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94.8035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43.205199999999998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-2.7073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253.8819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298.3107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216.02449999999999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174.83099999999999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138.48410000000001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93.415700000000001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53.024999999999999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6.4036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16.983599999999999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34.423099999999998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47.017600000000002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0.221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0.2258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0.23430000000000001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0.24979999999999999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0.25480000000000003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0.2656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0.20669999999999999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0.30159999999999998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0.3553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0.42880000000000001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0.44180000000000003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0.43890000000000001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0.46110000000000001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0.46899999999999997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2.7400000000000001E-2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2.29E-2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3.9300000000000002E-2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8.8099999999999998E-2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0.15179999999999999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0.2334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0.32169999999999999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4.0000000000000002E-4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2.9999999999999997E-4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2.9999999999999997E-4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1.66E-2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25.887599999999999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36.678800000000003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6.7868000000000004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3.7600000000000001E-2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14.003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11.0055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14.200999999999999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20.377500000000001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23.0945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22.253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20.889000000000003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6.3E-2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5.6798999999999999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2.1896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4.9040999999999997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6.1734999999999998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7.2085999999999997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12.010300000000001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7.8779000000000003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2.5169000000000001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6.4005999999999998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2.9220000000000002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2.5276000000000001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2.0146000000000002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12.219799999999999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3.5950000000000002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10.553900000000001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4.9850000000000003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4.9595000000000002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4.9358000000000004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2.8281000000000001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10.9808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4.2763999999999998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10.7896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5.1483999999999996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5.6142000000000003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5.8137999999999996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4.9897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189.98310000000001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271.86829999999998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183.32730000000001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137.50890000000001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96.153000000000006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43.369599999999998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-4.8159999999999998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251.71170000000001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296.06670000000003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214.5607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176.982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144.15369999999999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98.043599999999998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56.875500000000002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14.3512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28.557099999999998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46.665599999999998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60.668300000000002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69.042900000000003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0.21940000000000001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0.2235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0.15679999999999999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0.15010000000000001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0.1489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0.13930000000000001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0.12859999999999999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0.30070000000000002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0.3478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0.41920000000000002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0.38150000000000001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0.34279999999999999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0.32040000000000002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0.30730000000000002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2.6499999999999999E-2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2.1999999999999999E-2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6.0900000000000003E-2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9.3899999999999997E-2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0.16070000000000001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0.2422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0.30719999999999997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2.8500000000000001E-2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6.8199999999999997E-2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0.12720000000000001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0.17979999999999999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0.18079999999999999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25.398800000000001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15.058800000000002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13.75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18.974999999999998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27.290999999999997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16.6265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19.029999999999998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20.608499999999999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20.971499999999999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6.3E-2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5.6798999999999999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2.7907000000000002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6.9223999999999997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17.773700000000002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7.8779000000000003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2.1709000000000001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4.2545000000000002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2.6074999999999999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4.9931999999999999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4.8968999999999996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4.0999999999999996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12.219799999999999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3.7282000000000002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1.1920999999999999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1.9091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2.6674000000000002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5.6451000000000002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4.0972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10.9808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4.1311999999999998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4.077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4.4991000000000003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4.9038000000000004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8.1531000000000002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3.7004000000000001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182.77809999999999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204.80529999999999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83.606700000000004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17.591200000000001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-26.051100000000002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-52.295699999999997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-73.885499999999993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244.79329999999999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231.18020000000001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125.39319999999999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68.442700000000002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33.182400000000001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10.7904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-9.1128999999999998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6.2709000000000001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8.4006000000000007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19.716200000000001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29.696200000000001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0.22140000000000001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0.2228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0.2283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0.26569999999999999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0.27100000000000002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0.24740000000000001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0.16300000000000001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0.30520000000000003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0.35039999999999999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0.39500000000000002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0.50690000000000002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0.50839999999999996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0.49969999999999998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0.47889999999999999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2.5999999999999999E-2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2.1999999999999999E-2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1.6199999999999999E-2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6.4399999999999999E-2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0.1116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0.17610000000000001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0.2621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8.9999999999999998E-4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1.6000000000000001E-3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1.5E-3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1.4E-3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25.840599999999998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15.3126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0.65800000000000003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14.058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19.25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18.804499999999997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22.913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32.774499999999996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33.341000000000001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27.131500000000003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6.3E-2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5.6798999999999999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2.7907000000000002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3.6280000000000001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3.7856999999999998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5.6589999999999998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6.1288999999999998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7.8779000000000003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2.1709000000000001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0.51160000000000005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2.5145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1.9249000000000001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3.9699999999999999E-2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12.219799999999999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3.7282000000000002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4.3112000000000004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4.7069999999999999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5.0536000000000003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5.2408000000000001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4.4836999999999998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10.9808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4.1311999999999998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4.6082000000000001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5.1619999999999999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5.0396999999999998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5.9504999999999999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6.2306999999999997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189.9282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215.3707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177.1155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133.24430000000001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112.3447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83.756200000000007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35.722000000000001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251.83789999999999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241.84979999999999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212.38319999999999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176.6275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163.6482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141.7381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100.4306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21.316099999999999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42.9497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58.867800000000003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51.231900000000003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55.291200000000003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0.224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0.22770000000000001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0.25650000000000001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0.31219999999999998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0.35980000000000001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0.35349999999999998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0.36770000000000003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0.30990000000000001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0.35970000000000002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0.42699999999999999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0.5383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0.67900000000000005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0.76929999999999998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0.84570000000000001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2.5899999999999999E-2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2.1600000000000001E-2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6.0600000000000001E-2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0.1081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0.1996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0.26069999999999999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0.27679999999999999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5.9700000000000003E-2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0.15959999999999999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0.2742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0.24840000000000001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0.3221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25.915800000000001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15.4254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0.54519999999999991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2.8199999999999996E-2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0.1598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14.151499999999999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19.387499999999999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28.534000000000002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13.5685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13.8325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8.2225000000000001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5.181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6.3E-2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5.6798999999999999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2.7907000000000002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38.365099999999998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34.820300000000003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40.377200000000002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41.471299999999999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7.8779000000000003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2.1709000000000001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5.96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5.4842000000000004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7.5194000000000001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8.1403999999999996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8.1904000000000003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12.219799999999999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3.7282000000000002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1.6942999999999999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5.1760999999999999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6.4951999999999996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7.1673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10.9808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4.1311999999999998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6.4311999999999996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6.0521000000000003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9.98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3.1880999999999999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5.0053999999999998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190.3288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216.8605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107.2863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31.302399999999999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-19.480499999999999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-45.927100000000003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-64.3339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251.8554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242.32429999999999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146.50069999999999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80.204300000000003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41.188000000000002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16.3185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-1.0881000000000001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0.2034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1.9053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4.5425000000000004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8.1938999999999993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11.088800000000001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11.985900000000001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12.1297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11.1844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10.063000000000001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8.8348999999999993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8.3575999999999997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7.9207000000000001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8.3073999999999995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8.7321000000000009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8.6898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8.6846999999999994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0.1191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0.12770000000000001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0.12870000000000001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0.15190000000000001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0.17249999999999999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0.1948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0.2069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0.20699999999999999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0.19109999999999999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0.187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0.18129999999999999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0.1754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0.17030000000000001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0.1643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0.15859999999999999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0.15079999999999999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0.14319999999999999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0.25409999999999999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0.28249999999999997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0.31059999999999999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0.36320000000000002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0.39290000000000003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0.42070000000000002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0.42870000000000003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0.40610000000000002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0.40339999999999998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0.3987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0.39439999999999997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0.40429999999999999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0.4153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0.42659999999999998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0.43980000000000002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0.45429999999999998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0.4698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9.7000000000000003E-3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2.18E-2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4.0800000000000003E-2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7.0699999999999999E-2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0.1002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0.1164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0.1235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0.12559999999999999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0.12470000000000001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0.12470000000000001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0.1249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0.12620000000000001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0.1278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0.12920000000000001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0.1308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0.13200000000000001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0.13339999999999999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4.3E-3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1.7000000000000001E-2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3.1199999999999999E-2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4.58E-2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6.3E-2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9.1899999999999996E-2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0.1246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0.15509999999999999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0.18240000000000001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0.1754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0.1628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0.14929999999999999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0.13700000000000001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0.13220000000000001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0.1283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0.12709999999999999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0.12640000000000001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0.37530000000000002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2.9000000000000001E-2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9.5299999999999996E-2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0.1225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2.53E-2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7.1999999999999998E-3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1.1999999999999999E-3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1.1000000000000001E-3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8.9999999999999998E-4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8.0000000000000004E-4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4.0000000000000002E-4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2.9999999999999997E-4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7.4000000000000003E-3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8.0000000000000002E-3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2.8E-3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201.1815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106.3676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69.446299999999994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31.480899999999998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-4.2535999999999996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-27.205300000000001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-42.741500000000002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-46.583300000000001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-51.761000000000003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-52.529899999999998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-53.1145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-53.822800000000001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-54.497799999999998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-55.529200000000003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-56.549199999999999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-55.159100000000002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-53.802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279.1463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147.095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112.9481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79.022900000000007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47.257199999999997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25.756900000000002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11.586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6.5685000000000002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-0.71619999999999995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-2.0972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-3.2715000000000001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-4.4265999999999996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-5.5598999999999998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-6.3297999999999996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-7.1010999999999997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-7.5242000000000004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-7.9901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0.1777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0.15640000000000001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0.14119999999999999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0.1147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0.1125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0.10589999999999999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0.1038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9.06E-2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6.0999999999999999E-2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3.1399999999999997E-2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1.52E-2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0.1176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0.1242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0.12720000000000001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0.13980000000000001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0.15340000000000001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0.16450000000000001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0.1767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0.17780000000000001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0.17050000000000001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0.16880000000000001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0.1661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0.15959999999999999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0.15310000000000001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0.14660000000000001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0.14030000000000001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0.1341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0.12770000000000001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0.25030000000000002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0.27710000000000001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0.3054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0.33329999999999999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0.3538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0.35949999999999999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0.3634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0.35299999999999998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0.35349999999999998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0.3553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0.35709999999999997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0.3669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0.377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0.38579999999999998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0.3962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0.40960000000000002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0.4249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9.7999999999999997E-3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2.1100000000000001E-2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3.7199999999999997E-2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5.8999999999999997E-2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8.1000000000000003E-2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8.9700000000000002E-2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9.5000000000000001E-2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9.9599999999999994E-2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0.10199999999999999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0.10390000000000001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0.106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0.10680000000000001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0.1074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0.1076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0.1081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0.10879999999999999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0.11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4.3E-3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1.6799999999999999E-2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2.93E-2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3.61E-2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3.7600000000000001E-2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4.2599999999999999E-2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5.3900000000000003E-2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5.2400000000000002E-2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0.08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9.5600000000000004E-2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0.1079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0.12559999999999999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0.13969999999999999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0.15479999999999999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0.16689999999999999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0.16930000000000001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0.1701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0.37309999999999999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7.0199999999999999E-2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1.6999999999999999E-3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1.4E-3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8.0000000000000004E-4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5.9999999999999995E-4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2.2000000000000001E-3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4.7999999999999996E-3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7.7000000000000002E-3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1.0999999999999999E-2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1.43E-2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1.38E-2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1.3299999999999999E-2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9.4399999999999998E-2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0.13170000000000001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7.3800000000000004E-2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2.63E-2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8.2000000000000007E-3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1.6000000000000001E-3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1.6999999999999999E-3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1.8E-3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1.9E-3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2.0999999999999999E-3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2.3E-3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2.5000000000000001E-3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2.5999999999999999E-3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2.3999999999999998E-3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2.2000000000000001E-3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1.8E-3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1.5E-3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7.3000000000000001E-3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7.7000000000000002E-3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3.2000000000000002E-3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199.63579999999999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119.4413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87.552199999999999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66.466700000000003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52.073300000000003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36.635800000000003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24.558499999999999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15.8287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9.2959999999999994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5.3463000000000003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1.4379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-3.3725000000000001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-7.6329000000000002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-10.9513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-13.7866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-13.923999999999999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-13.9382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277.60430000000002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157.80430000000001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129.21029999999999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109.9375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97.544200000000004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84.516999999999996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75.098600000000005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65.954599999999999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58.882899999999999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54.332500000000003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49.843400000000003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45.508099999999999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41.709699999999998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37.224299999999999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33.206000000000003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29.811199999999999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26.5349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0.17910000000000001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0.15820000000000001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0.84489999999999998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14.469200000000001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32.629399999999997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36.4816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36.843299999999999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34.009399999999999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32.543700000000001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30.5867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26.954599999999999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23.629100000000001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19.507899999999999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15.839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15.3086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14.7821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0.1191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0.1263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0.1285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0.14810000000000001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0.19919999999999999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0.23230000000000001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0.23019999999999999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0.223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0.20150000000000001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0.1951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0.1875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0.18229999999999999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0.17760000000000001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0.17069999999999999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0.1636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0.1565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0.14940000000000001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0.25530000000000003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0.28310000000000002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0.30980000000000002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0.35310000000000002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0.41799999999999998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0.48010000000000003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0.46929999999999999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0.43290000000000001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0.41439999999999999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0.40770000000000001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0.4012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0.41070000000000001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0.42109999999999997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0.4299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0.44019999999999998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0.45960000000000001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0.48060000000000003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9.7999999999999997E-3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2.1700000000000001E-2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3.8800000000000001E-2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6.3E-2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9.2499999999999999E-2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0.11119999999999999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0.1113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0.1124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0.1115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0.1116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0.112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0.1137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0.11559999999999999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0.1169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0.11799999999999999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0.11990000000000001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0.12239999999999999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4.4000000000000003E-3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1.72E-2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0.03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3.6799999999999999E-2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6.0999999999999999E-2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0.12740000000000001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0.20080000000000001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0.24479999999999999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0.27410000000000001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0.26300000000000001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0.2465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0.22520000000000001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0.2059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0.19309999999999999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0.1845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0.18240000000000001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0.1804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0.37530000000000002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6.9800000000000001E-2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1.6999999999999999E-3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5.9999999999999995E-4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9.6100000000000005E-2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0.13389999999999999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7.4399999999999994E-2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2.0799999999999999E-2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6.9999999999999999E-4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5.0000000000000001E-4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2.0000000000000001E-4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0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7.4000000000000003E-3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7.9000000000000008E-3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3.2000000000000002E-3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201.94049999999999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123.0934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91.723699999999994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46.838700000000003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-41.104700000000001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-86.8703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-101.04689999999999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-102.37779999999999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-98.602000000000004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-97.141400000000004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-95.584900000000005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-90.354699999999994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-85.4375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-80.831900000000005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-76.6965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-73.912700000000001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-71.1387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279.92529999999999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160.28270000000001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131.04820000000001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103.9286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22.804600000000001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-15.983000000000001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-25.614599999999999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-28.814699999999998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-29.834499999999998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-30.617599999999999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-31.2865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-27.769600000000001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-24.572399999999998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-20.494800000000001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-16.899699999999999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-16.547699999999999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-16.206600000000002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0.17829999999999999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0.15770000000000001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0.45319999999999999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2.2277999999999998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5.2704000000000004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7.2689000000000004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8.0641999999999996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8.1442999999999994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7.8472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7.4398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6.3917999999999999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5.4425999999999997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5.2927999999999997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5.1647999999999996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5.2953000000000001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5.4340000000000002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0.11840000000000001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0.1255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0.12809999999999999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0.1396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0.16200000000000001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0.1769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0.19350000000000001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0.19850000000000001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0.1855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0.183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0.17960000000000001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0.1749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0.16969999999999999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0.16250000000000001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0.15590000000000001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0.14879999999999999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0.14169999999999999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0.25319999999999998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0.28039999999999998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0.30790000000000001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0.35010000000000002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0.39910000000000001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0.41830000000000001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0.41789999999999999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0.39850000000000002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0.39369999999999999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0.38969999999999999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0.38669999999999999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0.3962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0.40550000000000003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0.41599999999999998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0.42859999999999998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0.44350000000000001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0.46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9.7000000000000003E-3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2.12E-2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3.78E-2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6.0100000000000001E-2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8.3699999999999997E-2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9.0800000000000006E-2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9.9099999999999994E-2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0.1038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0.1052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0.1062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0.1077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0.10970000000000001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0.1113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0.11219999999999999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0.11360000000000001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0.1152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0.1173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4.3E-3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1.7000000000000001E-2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2.9600000000000001E-2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3.49E-2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5.0200000000000002E-2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8.4199999999999997E-2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0.1229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0.151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0.18210000000000001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0.1799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0.1719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0.1618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0.15060000000000001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0.14649999999999999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0.14280000000000001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0.14030000000000001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0.1381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0.37440000000000001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7.0000000000000007E-2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1.6999999999999999E-3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6.9999999999999999E-4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9.5200000000000007E-2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0.13289999999999999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7.4200000000000002E-2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2.3300000000000001E-2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1.6999999999999999E-3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1.6999999999999999E-3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1.5E-3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1.4E-3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1E-3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6.9999999999999999E-4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4.0000000000000002E-4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2.0000000000000001E-4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7.4000000000000003E-3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7.7999999999999996E-3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3.2000000000000002E-3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200.87530000000001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121.58920000000001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89.744500000000002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42.543599999999998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-13.183299999999999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-36.336300000000001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-48.468400000000003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-51.752000000000002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-54.037300000000002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-55.332700000000003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-56.513199999999998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-58.899900000000002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-61.287500000000001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-62.602699999999999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-63.929699999999997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-61.814300000000003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-59.72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278.8263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159.35140000000001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130.23599999999999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98.878600000000006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46.346400000000003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25.886600000000001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15.405099999999999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10.155799999999999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5.3177000000000003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2.8037999999999998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0.42599999999999999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-0.85019999999999996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-2.1366999999999998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-2.9557000000000002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-3.7993000000000001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-4.6116999999999999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-5.4481000000000002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0.34739999999999999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6.4298000000000002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13.565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20.4405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24.599399999999999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24.843499999999999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25.616800000000001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26.192399999999999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25.392900000000001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24.168299999999999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23.352599999999999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22.7407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22.3339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22.126799999999999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21.171700000000001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20.173400000000001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0.12239999999999999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0.11260000000000001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9.7299999999999998E-2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0.1012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0.1082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0.1109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0.11269999999999999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0.1111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0.10390000000000001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0.1031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0.1011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9.9900000000000003E-2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9.9199999999999997E-2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9.9699999999999997E-2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0.1007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9.9900000000000003E-2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9.8799999999999999E-2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0.26019999999999999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0.29289999999999999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0.3135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0.36009999999999998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0.4047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0.435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0.45029999999999998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0.4254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0.41510000000000002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0.41270000000000001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0.40920000000000001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0.4224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0.43680000000000002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0.4506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0.46729999999999999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0.4839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0.50160000000000005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1.11E-2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2.3400000000000001E-2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4.19E-2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7.2499999999999995E-2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0.1004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0.11119999999999999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0.11260000000000001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0.1206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0.122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0.1226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0.1225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0.12330000000000001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0.1244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0.12509999999999999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0.1265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0.12759999999999999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0.12909999999999999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4.5999999999999999E-3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1.3599999999999999E-2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2.5499999999999998E-2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3.5400000000000001E-2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4.7800000000000002E-2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5.1799999999999999E-2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5.0299999999999997E-2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5.4399999999999997E-2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7.1099999999999997E-2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7.6399999999999996E-2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7.8700000000000006E-2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7.3899999999999993E-2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7.0000000000000007E-2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6.9900000000000004E-2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7.0400000000000004E-2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7.5800000000000006E-2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8.0399999999999999E-2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0.37159999999999999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3.1699999999999999E-2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9.7500000000000003E-2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0.1232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5.5999999999999999E-3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8.9999999999999998E-4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5.9999999999999995E-4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4.0000000000000002E-4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2.0000000000000001E-4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7.4000000000000003E-3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8.5000000000000006E-3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3.0999999999999999E-3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200.71809999999999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103.3875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25.728000000000002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-20.259499999999999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-57.197400000000002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-80.854200000000006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-88.501199999999997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-90.925600000000003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-90.799099999999996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-86.612499999999997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-82.044399999999996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-84.777799999999999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-87.587500000000006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-86.366799999999998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-85.291300000000007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-86.858000000000004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-88.436499999999995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278.6336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146.53809999999999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75.150700000000001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38.388800000000003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7.8449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-9.1869999999999994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-12.9983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-14.432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-16.0839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-15.9512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-15.4232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-16.168600000000001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-16.996500000000001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-16.9542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-17.067299999999999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-17.183299999999999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-17.310600000000001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0.35439999999999999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2.4228000000000001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5.2892999999999999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8.7034000000000002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9.3553999999999995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9.4974000000000007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9.7913999999999994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9.2448999999999995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8.1478999999999999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6.9728000000000003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5.2954999999999997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3.7854000000000001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3.7416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3.7191999999999998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4.3399000000000001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4.9611999999999998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0.1186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0.12790000000000001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0.1295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0.15190000000000001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0.17699999999999999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0.19289999999999999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0.1973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0.1976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0.18490000000000001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0.18190000000000001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0.17829999999999999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0.17180000000000001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0.16389999999999999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0.15620000000000001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0.14929999999999999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0.14330000000000001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0.13730000000000001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0.25040000000000001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0.28089999999999998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0.31059999999999999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0.36170000000000002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0.39750000000000002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0.41289999999999999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0.4118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0.3906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0.39119999999999999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0.38819999999999999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0.38619999999999999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0.39439999999999997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0.40129999999999999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0.40949999999999998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0.41959999999999997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0.434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0.45019999999999999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9.9000000000000008E-3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2.1499999999999998E-2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3.8399999999999997E-2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6.1699999999999998E-2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8.4699999999999998E-2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9.4700000000000006E-2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0.10009999999999999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0.1038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0.10630000000000001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0.10780000000000001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0.10979999999999999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0.1118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0.11260000000000001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0.1128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0.1134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0.11459999999999999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0.11650000000000001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4.3E-3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1.6400000000000001E-2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3.0499999999999999E-2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4.41E-2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6.9099999999999995E-2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0.1086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0.14729999999999999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0.17829999999999999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0.20630000000000001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0.19839999999999999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0.18429999999999999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0.1729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0.16209999999999999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0.16009999999999999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0.15909999999999999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0.15579999999999999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0.1527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0.37290000000000001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2.93E-2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9.4799999999999995E-2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0.12590000000000001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2.1700000000000001E-2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4.7000000000000002E-3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1.2999999999999999E-3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1.1999999999999999E-3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8.9999999999999998E-4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8.0000000000000004E-4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5.9999999999999995E-4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4.0000000000000002E-4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1E-4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7.3000000000000001E-3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8.0999999999999996E-3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2.8E-3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200.09829999999999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102.7043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61.886899999999997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26.430299999999999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-4.0335999999999999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-23.074999999999999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-34.273299999999999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-40.400100000000002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-44.035800000000002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-44.319299999999998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-44.444299999999998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-44.441200000000002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-44.397100000000002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-44.450200000000002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-44.441699999999997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-42.557099999999998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-40.661299999999997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278.06470000000002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145.21729999999999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107.61409999999999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74.485299999999995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46.390099999999997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29.335699999999999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20.234200000000001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12.694000000000001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6.7389000000000001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4.9599000000000002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3.3612000000000002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3.7621000000000002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4.1879999999999997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3.7319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3.3224999999999998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2.1476999999999999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0.98309999999999997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0.3614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10.955299999999999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29.1767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46.783299999999997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46.9542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42.802300000000002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40.076500000000003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36.3932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31.284099999999999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25.874400000000001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22.404900000000001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19.413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20.095300000000002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21.012599999999999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21.5276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22.053000000000001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0.1178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0.12839999999999999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0.13059999999999999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0.16719999999999999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0.2243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0.23080000000000001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0.22869999999999999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0.2263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0.2132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0.2092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0.20330000000000001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0.19539999999999999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0.18840000000000001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0.1822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0.1769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0.16800000000000001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0.15870000000000001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0.25369999999999998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0.28589999999999999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0.3236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0.40749999999999997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0.47670000000000001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0.47839999999999999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0.46679999999999999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0.43540000000000001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0.433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0.42520000000000002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0.4173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0.42430000000000001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0.43240000000000001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0.4446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0.45950000000000002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0.47820000000000001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0.49840000000000001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9.7000000000000003E-3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2.2700000000000001E-2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4.2700000000000002E-2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8.2600000000000007E-2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0.127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0.13639999999999999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0.1368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0.1366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0.1351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0.13469999999999999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0.13439999999999999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0.1348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0.1356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0.13669999999999999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0.13850000000000001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0.1399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0.14180000000000001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4.4000000000000003E-3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1.7000000000000001E-2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4.2599999999999999E-2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8.6199999999999999E-2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0.14180000000000001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0.18609999999999999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0.21560000000000001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0.22889999999999999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0.2349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0.21659999999999999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0.19220000000000001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0.1817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0.17449999999999999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0.17879999999999999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0.18509999999999999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0.18490000000000001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0.18490000000000001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0.37309999999999999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2.92E-2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9.6000000000000002E-2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0.1183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8.8999999999999999E-3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5.9999999999999995E-4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4.0000000000000002E-4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7.4000000000000003E-3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8.0000000000000002E-3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2.8E-3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201.0772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102.83369999999999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40.481699999999996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-32.085700000000003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-86.507000000000005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-98.205799999999996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-97.745000000000005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-94.667400000000001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-92.238299999999995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-84.452500000000001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-76.545699999999997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-75.834400000000002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-75.675399999999996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-74.612099999999998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-73.775099999999995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-75.904499999999999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-78.037899999999993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279.08269999999999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144.73159999999999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87.929299999999998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25.779399999999999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-25.500800000000002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-36.393500000000003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-36.354500000000002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-34.695599999999999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-34.816899999999997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-30.770600000000002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-26.5855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-23.457599999999999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-20.888500000000001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-21.605599999999999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-22.559799999999999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-23.237300000000001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-23.9175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0.35099999999999998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1.7685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4.4816000000000003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8.2457999999999991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10.7249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11.8568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12.071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11.254099999999999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10.195499999999999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9.0143000000000004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8.4535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7.9484000000000004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8.1785999999999994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8.4465000000000003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8.4621999999999993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8.5099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0.1172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0.12659999999999999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0.1275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0.1497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0.1721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0.19500000000000001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0.20849999999999999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0.20899999999999999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0.1933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0.19020000000000001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0.18559999999999999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0.17960000000000001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0.1739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0.16750000000000001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0.16170000000000001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0.1545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0.14649999999999999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0.25290000000000001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0.28149999999999997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0.311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0.36309999999999998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0.3926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0.42130000000000001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0.43190000000000001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0.4108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0.40820000000000001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0.40510000000000002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0.40260000000000001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0.4128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0.42380000000000001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0.43459999999999999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0.44790000000000002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0.46439999999999998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0.48159999999999997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9.4000000000000004E-3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2.1399999999999999E-2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4.0800000000000003E-2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7.0999999999999994E-2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0.1007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0.1173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0.12529999999999999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0.12759999999999999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0.12659999999999999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0.127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0.12790000000000001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0.1293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0.13070000000000001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0.13189999999999999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0.13370000000000001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0.13539999999999999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0.13700000000000001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4.3E-3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1.7100000000000001E-2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3.0599999999999999E-2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4.4299999999999999E-2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5.9299999999999999E-2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8.9700000000000002E-2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0.1237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0.1555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0.184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0.17599999999999999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0.16220000000000001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0.1489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0.13669999999999999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0.1321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0.12839999999999999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0.1268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0.12559999999999999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0.37419999999999998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4.6699999999999998E-2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4.0000000000000002E-4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9.4899999999999998E-2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0.1273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3.2899999999999999E-2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7.6E-3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1.2999999999999999E-3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1.1999999999999999E-3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1E-3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8.9999999999999998E-4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5.0000000000000001E-4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2.9999999999999997E-4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1E-4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7.4000000000000003E-3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7.9000000000000008E-3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2.8999999999999998E-3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200.8887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109.499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69.316699999999997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29.715800000000002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-4.9707999999999997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-28.494700000000002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-42.8596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-48.835799999999999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-53.677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-54.825800000000001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-55.802999999999997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-55.712000000000003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-55.644199999999998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-56.027200000000001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-56.419499999999999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-55.136499999999998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-53.887900000000002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278.85169999999999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151.6386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114.2379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80.081500000000005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48.0411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25.999199999999998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12.7212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5.2180999999999997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-1.923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-3.5899000000000001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-5.0618999999999996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-5.6729000000000003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-6.3196000000000003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-6.6783999999999999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-7.0598000000000001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-7.5557999999999996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-8.0915999999999997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0.19439999999999999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0.16300000000000001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0.1449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0.12939999999999999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0.12720000000000001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0.1211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0.11890000000000001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0.1043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7.0900000000000005E-2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3.7600000000000001E-2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1.8200000000000001E-2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0.1173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0.1235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0.1273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0.1401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0.154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0.1658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0.17899999999999999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0.1812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0.1741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0.17269999999999999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0.1706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0.1653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0.1593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0.152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0.14549999999999999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0.13950000000000001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0.13339999999999999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0.24970000000000001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0.27629999999999999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0.30609999999999998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0.33460000000000001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0.35589999999999999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0.3614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0.36699999999999999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0.35799999999999998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0.35830000000000001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0.36159999999999998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0.36549999999999999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0.37830000000000003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0.39029999999999998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0.39889999999999998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0.40949999999999998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0.4244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0.44119999999999998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9.7999999999999997E-3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2.1000000000000001E-2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3.7400000000000003E-2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5.9400000000000001E-2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8.14E-2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9.0399999999999994E-2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9.6100000000000005E-2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0.10100000000000001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0.10349999999999999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0.1053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0.1076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0.1096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0.1109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0.1111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0.11169999999999999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0.1128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0.1145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4.1999999999999997E-3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1.7299999999999999E-2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2.93E-2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3.5999999999999997E-2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3.78E-2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4.2700000000000002E-2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5.4399999999999997E-2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5.2699999999999997E-2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8.5400000000000004E-2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0.1047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0.12039999999999999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0.14069999999999999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0.15690000000000001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0.1726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0.18479999999999999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0.1852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0.1845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0.37319999999999998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7.0199999999999999E-2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1.6999999999999999E-3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1.4E-3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8.0000000000000004E-4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2.0999999999999999E-3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7.1999999999999998E-3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1.44E-2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2.1700000000000001E-2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2.8199999999999999E-2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3.4599999999999999E-2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3.3300000000000003E-2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3.2099999999999997E-2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9.4299999999999995E-2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0.1336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7.7499999999999999E-2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2.98E-2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0.01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1.6000000000000001E-3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1.6999999999999999E-3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1.8E-3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2E-3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2.3E-3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2.5000000000000001E-3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2.5999999999999999E-3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2.7000000000000001E-3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2.3999999999999998E-3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2.2000000000000001E-3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1.8E-3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1.5E-3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7.3000000000000001E-3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7.7999999999999996E-3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3.2000000000000002E-3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199.44489999999999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119.76309999999999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92.770600000000002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71.169499999999999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53.119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36.424100000000003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25.501100000000001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17.960599999999999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12.069800000000001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7.7047999999999996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3.9339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-1.3029999999999999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-5.8670999999999998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-9.0280000000000005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-11.7906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-11.4594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-10.974399999999999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277.4162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158.0899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134.417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114.6491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98.566000000000003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84.255600000000001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75.956000000000003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67.978300000000004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61.578099999999999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56.600499999999997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52.238599999999998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47.505499999999998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43.431399999999996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39.1477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35.244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32.314700000000002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29.533200000000001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0.19589999999999999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0.16420000000000001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0.77500000000000002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14.151199999999999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32.772100000000002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36.251899999999999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36.296199999999999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33.314999999999998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31.4358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29.177800000000001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25.291599999999999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21.688400000000001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18.181000000000001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15.045400000000001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14.595700000000001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14.1409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0.11899999999999999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0.12570000000000001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0.12820000000000001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0.14810000000000001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0.1993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0.23499999999999999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0.23350000000000001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0.22720000000000001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0.2054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0.19969999999999999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0.19259999999999999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0.18659999999999999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0.18160000000000001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0.17480000000000001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0.16830000000000001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0.16009999999999999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0.15190000000000001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0.25509999999999999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0.28260000000000002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0.30959999999999999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0.35389999999999999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0.41810000000000003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0.48270000000000002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0.47370000000000001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0.43840000000000001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0.42009999999999997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0.41439999999999999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0.40889999999999999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0.41770000000000002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0.42820000000000003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0.43840000000000001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0.45050000000000001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0.46920000000000001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0.48970000000000002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9.7999999999999997E-3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2.1700000000000001E-2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3.8800000000000001E-2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6.3200000000000006E-2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9.2499999999999999E-2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0.11210000000000001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0.11260000000000001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0.1135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0.11260000000000001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0.113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0.11360000000000001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0.11509999999999999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0.1171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0.11899999999999999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0.12089999999999999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0.12280000000000001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0.12529999999999999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4.4000000000000003E-3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1.78E-2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0.03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3.6799999999999999E-2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6.1199999999999997E-2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0.12839999999999999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0.20250000000000001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0.24690000000000001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0.27450000000000002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0.26079999999999998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0.24249999999999999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0.22090000000000001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0.2009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0.18940000000000001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0.18140000000000001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0.17910000000000001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0.1767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0.37530000000000002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6.9699999999999998E-2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1.6999999999999999E-3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5.9999999999999995E-4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9.6000000000000002E-2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0.1358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7.7799999999999994E-2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2.4E-2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6.9999999999999999E-4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5.0000000000000001E-4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2.0000000000000001E-4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0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7.4000000000000003E-3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8.0000000000000002E-3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3.2000000000000002E-3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201.9391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123.8471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97.449200000000005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51.751800000000003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-38.918900000000001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-85.015299999999996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-100.95350000000001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-99.729399999999998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-94.576599999999999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-92.919700000000006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-91.172600000000003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-86.298699999999997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-81.704099999999997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-77.768500000000003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-74.207400000000007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-71.640600000000006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-69.085300000000004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279.92509999999999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160.99369999999999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136.7552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109.2572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24.6371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-15.4422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-28.752500000000001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-29.934699999999999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-29.145399999999999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-29.405100000000001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-29.556000000000001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-26.013300000000001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-22.7559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-19.155000000000001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-15.941000000000001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-15.635899999999999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-15.342000000000001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0.1963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0.1646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0.53220000000000001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2.3687999999999998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5.0362999999999998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6.8476999999999997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7.1535000000000002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7.0523999999999996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6.6402999999999999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6.1463999999999999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4.8563999999999998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3.6842000000000001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3.8677999999999999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4.0606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4.3703000000000003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4.6872999999999996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0.1176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0.12429999999999999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0.12770000000000001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0.1394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0.16120000000000001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0.18099999999999999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0.2001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0.20330000000000001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0.19189999999999999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0.18940000000000001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0.18509999999999999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0.1789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0.1729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0.16420000000000001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0.155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0.14910000000000001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0.1431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0.24979999999999999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0.27729999999999999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0.30549999999999999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0.3458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0.39319999999999999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0.42330000000000001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0.4229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0.40310000000000001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0.39900000000000002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0.39550000000000002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0.3921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0.40189999999999998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0.41220000000000001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0.4224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0.4335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0.44969999999999999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0.46760000000000002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9.7999999999999997E-3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2.1399999999999999E-2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3.8100000000000002E-2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6.1100000000000002E-2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8.5000000000000006E-2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9.5699999999999993E-2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0.1033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0.1067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0.10780000000000001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0.10920000000000001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0.1105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0.113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0.1154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0.11650000000000001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0.1173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0.1187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0.1207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4.3E-3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1.7600000000000001E-2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2.9700000000000001E-2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3.5299999999999998E-2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4.6699999999999998E-2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7.1099999999999997E-2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0.1147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0.1477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0.1817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0.18010000000000001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0.17299999999999999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0.1648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0.15590000000000001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0.1535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0.152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0.14899999999999999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0.14599999999999999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0.37259999999999999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6.9699999999999998E-2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1.6999999999999999E-3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8.0000000000000004E-4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9.4600000000000004E-2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0.13400000000000001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7.7299999999999994E-2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2.69E-2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1.9E-3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1.8E-3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1.6000000000000001E-3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1.5E-3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1E-3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8.0000000000000004E-4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5.0000000000000001E-4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2.9999999999999997E-4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7.3000000000000001E-3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7.9000000000000008E-3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3.2000000000000002E-3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200.2099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121.66630000000001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94.961200000000005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47.721499999999999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-5.7196999999999996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-33.118099999999998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-48.219700000000003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-50.9925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-52.728299999999997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-53.261000000000003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-53.679000000000002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-54.225900000000003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-54.698300000000003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-56.002200000000002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-57.0578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-54.843899999999998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-52.751300000000001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278.16140000000001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159.3937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135.4487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100.8065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52.281500000000001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29.7667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17.536999999999999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12.9678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8.4032999999999998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6.2218999999999998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4.1792999999999996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4.0095000000000001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3.9045000000000001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2.0493000000000001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0.41899999999999998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-0.61219999999999997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-1.7647999999999999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0.34610000000000002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6.5393999999999997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13.725300000000001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20.555599999999998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24.2958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23.959099999999999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23.5275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22.245899999999999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21.353100000000001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20.026299999999999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19.5227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19.167100000000001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19.2897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19.564299999999999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20.133500000000002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20.6707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0.12230000000000001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0.1125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9.7000000000000003E-2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0.1016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0.10979999999999999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0.1148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0.11650000000000001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0.1152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0.1045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0.1043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0.1031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0.1019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0.1011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0.10150000000000001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0.1022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0.1026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0.1027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0.25990000000000002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0.29270000000000002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0.31269999999999998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0.35970000000000002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0.40870000000000001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0.4461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0.46279999999999999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0.43509999999999999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0.41899999999999998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0.41870000000000002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0.4178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0.43099999999999999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0.44540000000000002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0.45860000000000001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0.47449999999999998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0.49459999999999998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0.51590000000000003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1.0999999999999999E-2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2.3300000000000001E-2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4.1599999999999998E-2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7.2300000000000003E-2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0.1011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0.1118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0.11020000000000001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0.12189999999999999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0.12089999999999999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0.1215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0.12180000000000001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0.12280000000000001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0.124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0.12520000000000001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0.12690000000000001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0.12859999999999999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0.13059999999999999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4.4999999999999997E-3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1.4200000000000001E-2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2.64E-2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3.5700000000000003E-2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4.7600000000000003E-2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5.21E-2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5.67E-2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6.93E-2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9.6699999999999994E-2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9.9299999999999999E-2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9.7699999999999995E-2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9.0300000000000005E-2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8.4099999999999994E-2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8.1500000000000003E-2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7.9600000000000004E-2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7.8299999999999995E-2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7.6999999999999999E-2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0.37180000000000002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3.1800000000000002E-2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9.7500000000000003E-2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0.1258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5.7999999999999996E-3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8.9999999999999998E-4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5.9999999999999995E-4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4.0000000000000002E-4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2.0000000000000001E-4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1E-4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7.4000000000000003E-3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8.6E-3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3.0999999999999999E-3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200.75219999999999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102.1811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24.788900000000002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-20.9556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-56.319200000000002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-79.401799999999994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-87.931700000000006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-92.178299999999993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-90.109399999999994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-85.381699999999995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-80.192099999999996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-81.308400000000006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-82.485200000000006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-80.631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-78.892200000000003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-81.859099999999998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-84.818100000000001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278.67110000000002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146.9486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76.151600000000002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38.521099999999997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7.7019000000000002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-9.5076000000000001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-12.606999999999999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-15.3512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-15.3094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-15.3887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-14.989100000000001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-15.046200000000001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-15.1713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-15.7006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-16.356300000000001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-17.3278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-18.287700000000001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0.3493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2.4479000000000002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5.3577000000000004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8.7512000000000008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9.4225999999999992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9.7771000000000008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9.8655000000000008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9.3203999999999994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8.2058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7.0194999999999999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5.0826000000000002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3.3391000000000002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3.1541000000000001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2.9931999999999999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3.5268999999999999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4.0609999999999999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0.1186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0.1278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0.12920000000000001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0.15240000000000001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0.17799999999999999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0.19409999999999999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0.1991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0.20019999999999999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0.18779999999999999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0.18559999999999999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0.1817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0.17519999999999999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0.16830000000000001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0.16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0.15240000000000001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0.14660000000000001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0.1406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0.25030000000000002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0.28079999999999999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0.30990000000000001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0.36230000000000001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0.39789999999999998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0.41410000000000002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0.41460000000000002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0.39500000000000002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0.39600000000000002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0.39410000000000001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0.39250000000000002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0.4017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0.4103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0.4194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0.43009999999999998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0.44600000000000001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0.4637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0.01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2.1600000000000001E-2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3.85E-2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6.1899999999999997E-2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8.48E-2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9.4899999999999998E-2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0.10059999999999999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0.10489999999999999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0.1076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0.1095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0.1113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0.1134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0.1149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0.1153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0.1158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0.1172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0.1191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4.3E-3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1.6400000000000001E-2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3.04E-2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4.3900000000000002E-2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6.6600000000000006E-2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0.1082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0.14879999999999999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0.17949999999999999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0.2082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0.20050000000000001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0.18690000000000001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0.17580000000000001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0.16489999999999999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0.16300000000000001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0.16220000000000001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0.15920000000000001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0.15629999999999999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0.373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2.9600000000000001E-2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9.4799999999999995E-2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0.1285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2.0199999999999999E-2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4.7000000000000002E-3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1.2999999999999999E-3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1.2999999999999999E-3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1E-3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8.9999999999999998E-4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6.9999999999999999E-4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4.0000000000000002E-4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1E-4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1E-4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7.3000000000000001E-3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8.0999999999999996E-3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2.8E-3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200.12209999999999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103.5057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62.517899999999997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27.2926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-3.3043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-21.8155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-34.471600000000002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-37.432400000000001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-41.162700000000001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-41.827199999999998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-42.302100000000003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-42.3675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-42.428199999999997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-42.3964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-42.283499999999997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-40.282600000000002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-38.271299999999997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278.09019999999998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144.92910000000001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107.1327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74.237399999999994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46.127699999999997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29.598700000000001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18.985399999999998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14.535399999999999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8.4060000000000006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6.2706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4.3497000000000003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4.7404000000000002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5.1169000000000002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4.7835999999999999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4.5151000000000003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3.4138000000000002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2.3210000000000002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0.3604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11.0776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29.696300000000001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45.908299999999997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44.234900000000003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40.052100000000003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37.613399999999999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34.120699999999999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29.351400000000002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24.336300000000001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21.791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19.474599999999999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20.073699999999999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20.870200000000001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21.456399999999999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22.0379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0.1258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0.14230000000000001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0.1502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0.1951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0.2576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0.2641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0.26300000000000001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0.26450000000000001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0.25219999999999998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0.24890000000000001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0.24310000000000001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0.23480000000000001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0.22720000000000001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0.2208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0.2152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0.20499999999999999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0.1943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0.2596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0.2974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0.34029999999999999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0.43740000000000001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0.5111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0.51029999999999998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0.50370000000000004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0.47739999999999999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0.48110000000000003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0.47710000000000002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0.47210000000000002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0.48520000000000002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0.49990000000000001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0.51890000000000003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0.54079999999999995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0.5655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0.59150000000000003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9.9000000000000008E-3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2.3800000000000002E-2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4.65E-2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9.0899999999999995E-2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0.13750000000000001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0.14849999999999999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0.15110000000000001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0.15329999999999999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0.15409999999999999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0.15570000000000001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0.15740000000000001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0.16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0.16270000000000001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0.16550000000000001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0.16869999999999999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0.1711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0.1739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4.4000000000000003E-3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1.7600000000000001E-2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4.3499999999999997E-2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8.8700000000000001E-2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0.14430000000000001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0.18729999999999999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0.21190000000000001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0.22109999999999999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0.2261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0.20880000000000001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0.18609999999999999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0.18090000000000001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0.1769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0.18029999999999999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0.1855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0.185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0.1845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0.37130000000000002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2.9499999999999998E-2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9.7799999999999998E-2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0.1221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9.4000000000000004E-3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6.9999999999999999E-4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4.0000000000000002E-4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1E-4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7.4000000000000003E-3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8.0000000000000002E-3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2.8E-3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201.18049999999999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102.4875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38.290100000000002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-32.030200000000001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-86.296999999999997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-95.731499999999997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-97.799700000000001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-94.385800000000003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-89.464600000000004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-81.843299999999999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-74.083399999999997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-74.474500000000006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-75.194699999999997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-74.133700000000005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-73.263499999999993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-75.479600000000005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-77.714699999999993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279.11430000000001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145.648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87.011300000000006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24.634899999999998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-25.048200000000001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-33.607500000000002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-36.172699999999999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-34.493499999999997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-32.312199999999997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-28.443300000000001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-24.414200000000001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-22.309200000000001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-20.541599999999999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-21.216799999999999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-22.095800000000001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-22.8081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-23.536200000000001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0.35139999999999999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1.9392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5.1117999999999997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9.3445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12.0616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13.106400000000001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0.1166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0.1268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0.12670000000000001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0.14960000000000001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0.17249999999999999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0.19700000000000001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0.2114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0.25290000000000001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0.28260000000000002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0.31309999999999999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0.3654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0.39629999999999999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0.42880000000000001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0.43990000000000001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9.4000000000000004E-3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2.1499999999999998E-2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4.0899999999999999E-2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7.1300000000000002E-2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0.1014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0.11899999999999999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0.12720000000000001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4.3E-3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1.7299999999999999E-2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3.1E-2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4.58E-2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6.2E-2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9.2499999999999999E-2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0.12670000000000001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0.37430000000000002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4.7E-2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4.0000000000000002E-4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9.5000000000000001E-2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0.1308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3.5000000000000003E-2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8.0000000000000002E-3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1.1999999999999999E-3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1.1000000000000001E-3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8.9999999999999998E-4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7.4000000000000003E-3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8.0000000000000002E-3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2.8999999999999998E-3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201.0138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110.72450000000001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71.438599999999994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32.1402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-3.1575000000000002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-27.342500000000001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-41.931199999999997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278.9889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152.77709999999999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116.0804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80.763300000000001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47.686199999999999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24.6706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11.1106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0.23100000000000001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0.22320000000000001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0.1966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0.17319999999999999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0.16439999999999999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0.14349999999999999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0.1196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0.12720000000000001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0.1288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0.1399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0.151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0.1615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0.1739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0.25790000000000002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0.28910000000000002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0.31469999999999998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0.33910000000000001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0.3569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0.3614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0.36709999999999998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9.7999999999999997E-3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2.12E-2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3.6700000000000003E-2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5.8400000000000001E-2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0.08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8.8800000000000004E-2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9.4799999999999995E-2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4.3E-3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1.77E-2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3.0099999999999998E-2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3.7199999999999997E-2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3.9399999999999998E-2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4.3999999999999997E-2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5.57E-2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0.38009999999999999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7.2999999999999995E-2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1.6000000000000001E-3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1.4E-3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8.0000000000000004E-4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9.5699999999999993E-2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0.1391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7.9000000000000001E-2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3.0499999999999999E-2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1.03E-2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1.6000000000000001E-3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1.6999999999999999E-3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7.4000000000000003E-3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8.0999999999999996E-3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3.3E-3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202.85849999999999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121.02419999999999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87.512699999999995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68.272599999999997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51.962299999999999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36.525799999999997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26.168700000000001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280.84269999999998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159.38849999999999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129.12950000000001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111.64239999999999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97.308800000000005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84.265100000000004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76.500600000000006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0.23150000000000001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0.2235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0.92749999999999999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12.807499999999999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30.9251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34.128399999999999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0.11609999999999999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0.12130000000000001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0.1202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0.1353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0.19020000000000001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0.22520000000000001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0.21959999999999999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0.255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0.28410000000000002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0.30719999999999997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0.3463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0.40629999999999999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0.47020000000000001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0.45950000000000002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9.7000000000000003E-3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2.07E-2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3.5200000000000002E-2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5.9900000000000002E-2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8.8999999999999996E-2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0.1087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0.1081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4.3E-3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1.77E-2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2.9899999999999999E-2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3.7199999999999997E-2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6.2E-2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0.12859999999999999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0.20250000000000001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0.38129999999999997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7.3200000000000001E-2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1.4E-3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5.0000000000000001E-4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9.4500000000000001E-2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0.1376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7.6799999999999993E-2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2.29E-2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5.9999999999999995E-4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2.9999999999999997E-4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1E-4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7.4000000000000003E-3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8.0999999999999996E-3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3.3E-3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202.90770000000001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121.63039999999999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89.041200000000003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44.9968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-36.261000000000003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-83.799300000000002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-100.02079999999999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280.92419999999998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158.9015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128.43809999999999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101.7029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26.573699999999999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-14.7811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-28.161799999999999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0.2288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0.22140000000000001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0.59770000000000001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3.6219999999999999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5.5298999999999996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7.1984000000000004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0.1139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0.11849999999999999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0.11799999999999999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0.12839999999999999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0.1479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0.1719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0.19059999999999999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0.25030000000000002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0.27589999999999998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0.30059999999999998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0.34060000000000001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0.38490000000000002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0.41839999999999999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0.4128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9.7000000000000003E-3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2.0799999999999999E-2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3.6499999999999998E-2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5.8400000000000001E-2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8.1799999999999998E-2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9.3399999999999997E-2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0.1007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4.3E-3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1.77E-2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2.98E-2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3.5400000000000001E-2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4.9000000000000002E-2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8.6400000000000005E-2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0.14080000000000001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0.37540000000000001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7.0499999999999993E-2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1.4E-3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6.9999999999999999E-4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9.3899999999999997E-2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0.13370000000000001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7.5399999999999995E-2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2.5899999999999999E-2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1.2999999999999999E-3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1.2999999999999999E-3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1.1000000000000001E-3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7.4000000000000003E-3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8.0000000000000002E-3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3.2000000000000002E-3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200.88130000000001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120.1412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86.608500000000006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46.757899999999999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-6.6231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-37.489600000000003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-55.609000000000002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278.86619999999999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158.011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127.255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100.9746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53.785699999999999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27.282800000000002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11.914300000000001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0.35780000000000001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6.5461999999999998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13.6492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20.6508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24.242799999999999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24.2577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0.13370000000000001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0.12709999999999999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0.1124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0.11840000000000001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0.1268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0.1313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0.13339999999999999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0.26979999999999998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0.31080000000000002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0.33610000000000001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0.39119999999999999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0.44369999999999998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0.48349999999999999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0.50049999999999994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1.14E-2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2.5000000000000001E-2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4.6399999999999997E-2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8.1000000000000003E-2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0.11310000000000001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0.1246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0.12509999999999999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4.5999999999999999E-3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1.4200000000000001E-2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2.63E-2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3.5999999999999997E-2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4.7899999999999998E-2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5.1799999999999999E-2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5.5800000000000002E-2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0.37009999999999998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3.2099999999999997E-2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9.9599999999999994E-2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0.12970000000000001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7.7000000000000002E-3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1.1999999999999999E-3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6.9999999999999999E-4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4.0000000000000002E-4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2.0000000000000001E-4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7.4000000000000003E-3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8.3999999999999995E-3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3.0999999999999999E-3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201.15049999999999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101.4371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25.380500000000001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-20.712599999999998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-57.2455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-80.530500000000004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-87.584599999999995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278.9665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144.70359999999999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74.980500000000006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37.988999999999997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7.1670999999999996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-10.066000000000001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-14.056900000000001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0.35310000000000002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2.9636999999999998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6.5118999999999998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10.4823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11.0633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11.1294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0.11849999999999999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0.1283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0.1295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0.15260000000000001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0.18060000000000001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0.1976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0.2021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0.25019999999999998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0.28149999999999997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0.31140000000000001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0.36459999999999998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0.40529999999999999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0.42120000000000002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0.4204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0.01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2.1700000000000001E-2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3.8600000000000002E-2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6.2300000000000001E-2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8.5699999999999998E-2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9.6000000000000002E-2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0.1016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4.3E-3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1.6400000000000001E-2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3.0800000000000001E-2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4.5400000000000003E-2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7.0199999999999999E-2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0.1132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0.1545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0.37290000000000001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2.9700000000000001E-2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9.4799999999999995E-2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0.1308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2.01E-2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3.8999999999999998E-3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1.1999999999999999E-3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1.1000000000000001E-3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8.9999999999999998E-4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7.3000000000000001E-3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8.0999999999999996E-3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2.8E-3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200.14959999999999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103.2218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62.1706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25.0167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-6.6852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-24.791899999999998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-36.016199999999998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278.11599999999999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145.584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107.7861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73.018900000000002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43.6357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27.468900000000001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18.233000000000001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0.36120000000000002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11.2377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30.5382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47.347799999999999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46.523400000000002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42.317399999999999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0.12570000000000001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0.14299999999999999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0.1502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0.1956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0.25669999999999998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0.26569999999999999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0.26579999999999998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0.25950000000000001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0.2979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0.3402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0.43869999999999998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0.5111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0.51349999999999996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0.50549999999999995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9.9000000000000008E-3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2.3900000000000001E-2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4.6600000000000003E-2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9.1499999999999998E-2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0.13789999999999999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0.14929999999999999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0.1522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4.4000000000000003E-3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1.7299999999999999E-2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4.3299999999999998E-2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8.9700000000000002E-2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0.14680000000000001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0.19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0.21590000000000001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0.37130000000000002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2.9399999999999999E-2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9.7799999999999998E-2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0.124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8.8999999999999999E-3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6.9999999999999999E-4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4.0000000000000002E-4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1E-4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7.4000000000000003E-3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8.0000000000000002E-3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2.8E-3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201.2645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102.548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37.582599999999999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-34.398699999999998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-88.515000000000001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-99.327699999999993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-99.2196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279.19979999999998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145.81100000000001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86.861099999999993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23.331299999999999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-26.482500000000002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-36.193100000000001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-36.468800000000002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2025-10-24T09:28:03Z</dcterms:modified>
</cp:coreProperties>
</file>