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syn_5\SuppXLS\"/>
    </mc:Choice>
  </mc:AlternateContent>
  <xr:revisionPtr revIDLastSave="0" documentId="8_{65CE6C1F-BE01-4D3A-87E3-8545A3E58340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annual" sheetId="7" r:id="rId6"/>
    <sheet name="ts_12t" sheetId="8" r:id="rId7"/>
  </sheets>
  <definedNames>
    <definedName name="_xlnm._FilterDatabase" localSheetId="0" hidden="1">Veda!$C$6:$E$63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8" l="1"/>
  <c r="AG9" i="8"/>
  <c r="AC9" i="8"/>
  <c r="A10" i="6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D77" i="1"/>
  <c r="D73" i="1"/>
  <c r="D72" i="1"/>
  <c r="E69" i="1"/>
  <c r="E74" i="1" s="1"/>
  <c r="D67" i="1"/>
  <c r="E64" i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38" i="1"/>
  <c r="D42" i="1"/>
  <c r="D43" i="1"/>
  <c r="D47" i="1"/>
  <c r="D52" i="1"/>
  <c r="D57" i="1"/>
  <c r="D58" i="1"/>
  <c r="D62" i="1"/>
  <c r="D63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D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/>
  <c r="D23" i="1" s="1"/>
  <c r="AJ28" i="1"/>
  <c r="D28" i="1" s="1"/>
  <c r="AJ33" i="1"/>
  <c r="AJ38" i="1" s="1"/>
  <c r="AJ43" i="1" s="1"/>
  <c r="AJ48" i="1" s="1"/>
  <c r="AJ53" i="1" s="1"/>
  <c r="AJ58" i="1" s="1"/>
  <c r="AJ63" i="1" s="1"/>
  <c r="AJ68" i="1" s="1"/>
  <c r="AJ73" i="1" s="1"/>
  <c r="AJ78" i="1" s="1"/>
  <c r="D78" i="1" s="1"/>
  <c r="AJ14" i="1"/>
  <c r="AJ19" i="1" s="1"/>
  <c r="E15" i="1"/>
  <c r="E20" i="1" s="1"/>
  <c r="E25" i="1" s="1"/>
  <c r="E30" i="1" s="1"/>
  <c r="E35" i="1" s="1"/>
  <c r="E40" i="1" s="1"/>
  <c r="E45" i="1" s="1"/>
  <c r="E50" i="1" s="1"/>
  <c r="E55" i="1" s="1"/>
  <c r="E60" i="1" s="1"/>
  <c r="E65" i="1" s="1"/>
  <c r="E16" i="1"/>
  <c r="E17" i="1"/>
  <c r="B17" i="1" s="1"/>
  <c r="E18" i="1"/>
  <c r="B18" i="1" s="1"/>
  <c r="E21" i="1"/>
  <c r="E22" i="1"/>
  <c r="E27" i="1" s="1"/>
  <c r="E32" i="1" s="1"/>
  <c r="E37" i="1" s="1"/>
  <c r="E42" i="1" s="1"/>
  <c r="E47" i="1" s="1"/>
  <c r="E52" i="1" s="1"/>
  <c r="E57" i="1" s="1"/>
  <c r="E62" i="1" s="1"/>
  <c r="B62" i="1" s="1"/>
  <c r="E23" i="1"/>
  <c r="E28" i="1" s="1"/>
  <c r="E26" i="1"/>
  <c r="E31" i="1" s="1"/>
  <c r="E36" i="1" s="1"/>
  <c r="E41" i="1" s="1"/>
  <c r="E46" i="1" s="1"/>
  <c r="E51" i="1" s="1"/>
  <c r="E56" i="1" s="1"/>
  <c r="E61" i="1" s="1"/>
  <c r="E66" i="1" s="1"/>
  <c r="E14" i="1"/>
  <c r="E19" i="1" s="1"/>
  <c r="E24" i="1" s="1"/>
  <c r="E29" i="1" s="1"/>
  <c r="E34" i="1" s="1"/>
  <c r="E39" i="1" s="1"/>
  <c r="E44" i="1" s="1"/>
  <c r="E49" i="1" s="1"/>
  <c r="E54" i="1" s="1"/>
  <c r="E59" i="1" s="1"/>
  <c r="E70" i="1" l="1"/>
  <c r="E33" i="1"/>
  <c r="B28" i="1"/>
  <c r="B16" i="1"/>
  <c r="AJ24" i="1"/>
  <c r="D19" i="1"/>
  <c r="B19" i="1" s="1"/>
  <c r="D21" i="1"/>
  <c r="B21" i="1" s="1"/>
  <c r="B52" i="1"/>
  <c r="D36" i="1"/>
  <c r="B36" i="1" s="1"/>
  <c r="B23" i="1"/>
  <c r="D41" i="1"/>
  <c r="B41" i="1" s="1"/>
  <c r="B47" i="1"/>
  <c r="D26" i="1"/>
  <c r="B26" i="1" s="1"/>
  <c r="B57" i="1"/>
  <c r="D71" i="1"/>
  <c r="D16" i="1"/>
  <c r="D31" i="1"/>
  <c r="B31" i="1" s="1"/>
  <c r="B15" i="1"/>
  <c r="B27" i="1"/>
  <c r="D61" i="1"/>
  <c r="B61" i="1" s="1"/>
  <c r="D33" i="1"/>
  <c r="D53" i="1"/>
  <c r="D51" i="1"/>
  <c r="B51" i="1" s="1"/>
  <c r="AJ20" i="1"/>
  <c r="D48" i="1"/>
  <c r="B56" i="1"/>
  <c r="D46" i="1"/>
  <c r="B46" i="1" s="1"/>
  <c r="E67" i="1"/>
  <c r="D14" i="1"/>
  <c r="B14" i="1" s="1"/>
  <c r="B22" i="1"/>
  <c r="D56" i="1"/>
  <c r="B42" i="1"/>
  <c r="B37" i="1"/>
  <c r="D66" i="1"/>
  <c r="B66" i="1" s="1"/>
  <c r="D68" i="1"/>
  <c r="B32" i="1"/>
  <c r="E71" i="1"/>
  <c r="B71" i="1" s="1"/>
  <c r="D2" i="1"/>
  <c r="H48" i="1"/>
  <c r="H47" i="1"/>
  <c r="H46" i="1"/>
  <c r="H45" i="1"/>
  <c r="H24" i="6"/>
  <c r="H23" i="6"/>
  <c r="D5" i="1"/>
  <c r="H21" i="6" l="1"/>
  <c r="AJ25" i="1"/>
  <c r="D20" i="1"/>
  <c r="B20" i="1" s="1"/>
  <c r="AJ29" i="1"/>
  <c r="D24" i="1"/>
  <c r="B24" i="1" s="1"/>
  <c r="E72" i="1"/>
  <c r="B67" i="1"/>
  <c r="E38" i="1"/>
  <c r="B33" i="1"/>
  <c r="E75" i="1"/>
  <c r="E76" i="1"/>
  <c r="B76" i="1" s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E43" i="1" l="1"/>
  <c r="B38" i="1"/>
  <c r="B72" i="1"/>
  <c r="E77" i="1"/>
  <c r="B77" i="1" s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39" i="1" l="1"/>
  <c r="D34" i="1"/>
  <c r="B34" i="1" s="1"/>
  <c r="D30" i="1"/>
  <c r="B30" i="1" s="1"/>
  <c r="AJ35" i="1"/>
  <c r="E48" i="1"/>
  <c r="B43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E53" i="1" l="1"/>
  <c r="B48" i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49" i="1" l="1"/>
  <c r="D44" i="1"/>
  <c r="B44" i="1" s="1"/>
  <c r="AJ45" i="1"/>
  <c r="D40" i="1"/>
  <c r="B40" i="1" s="1"/>
  <c r="E58" i="1"/>
  <c r="B53" i="1"/>
  <c r="U22" i="1"/>
  <c r="Y22" i="1"/>
  <c r="E63" i="1" l="1"/>
  <c r="B58" i="1"/>
  <c r="AJ50" i="1"/>
  <c r="D45" i="1"/>
  <c r="B45" i="1" s="1"/>
  <c r="AJ54" i="1"/>
  <c r="D49" i="1"/>
  <c r="B49" i="1" s="1"/>
  <c r="B63" i="1" l="1"/>
  <c r="E68" i="1"/>
  <c r="AJ59" i="1"/>
  <c r="D54" i="1"/>
  <c r="B54" i="1" s="1"/>
  <c r="AJ55" i="1"/>
  <c r="D50" i="1"/>
  <c r="B50" i="1" s="1"/>
  <c r="AJ60" i="1" l="1"/>
  <c r="D55" i="1"/>
  <c r="B55" i="1" s="1"/>
  <c r="E73" i="1"/>
  <c r="B68" i="1"/>
  <c r="AJ64" i="1"/>
  <c r="D59" i="1"/>
  <c r="B59" i="1" s="1"/>
  <c r="AJ69" i="1" l="1"/>
  <c r="D64" i="1"/>
  <c r="B64" i="1" s="1"/>
  <c r="B73" i="1"/>
  <c r="E78" i="1"/>
  <c r="B78" i="1" s="1"/>
  <c r="AJ65" i="1"/>
  <c r="D60" i="1"/>
  <c r="B60" i="1" s="1"/>
  <c r="AJ70" i="1" l="1"/>
  <c r="D65" i="1"/>
  <c r="B65" i="1" s="1"/>
  <c r="AJ74" i="1"/>
  <c r="D74" i="1" s="1"/>
  <c r="B74" i="1" s="1"/>
  <c r="D69" i="1"/>
  <c r="B69" i="1" s="1"/>
  <c r="AJ75" i="1" l="1"/>
  <c r="D75" i="1" s="1"/>
  <c r="B75" i="1" s="1"/>
  <c r="D70" i="1"/>
  <c r="B7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<sst xmlns="http://schemas.openxmlformats.org/spreadsheetml/2006/main" count="4032" uniqueCount="239">
  <si>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</si>
  <si>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</si>
  <si>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</si>
  <si>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</si>
  <si>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</si>
  <si>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</si>
  <si>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</si>
  <si>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</si>
  <si>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</si>
  <si>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</si>
  <si>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</si>
  <si>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</si>
  <si>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</si>
  <si>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</si>
  <si>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</si>
  <si>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</si>
  <si>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</si>
  <si>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</si>
  <si>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</si>
  <si>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</si>
  <si>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</si>
  <si>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</si>
  <si>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</si>
  <si>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</si>
  <si>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</si>
  <si>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</si>
  <si>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</si>
  <si>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</si>
  <si>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</si>
  <si>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</si>
  <si>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</si>
  <si>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</si>
  <si>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</si>
  <si>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</si>
  <si>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</si>
  <si>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</si>
  <si>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</si>
  <si>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</si>
  <si>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</si>
  <si>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</si>
  <si>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</si>
  <si>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</si>
  <si>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</si>
  <si>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</si>
  <si>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</si>
  <si>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</si>
  <si>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</si>
  <si>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</si>
  <si>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</si>
  <si>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</si>
  <si>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</si>
  <si>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</si>
  <si>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</si>
  <si>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</si>
  <si>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</si>
  <si>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</si>
  <si>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</si>
  <si>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</si>
  <si>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</si>
  <si>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</si>
  <si>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</si>
  <si>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</si>
  <si>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</si>
  <si>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</si>
  <si>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</si>
  <si>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</si>
  <si>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</si>
  <si>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</si>
  <si>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</si>
  <si>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</si>
  <si>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</si>
  <si>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</si>
  <si>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</si>
  <si>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</si>
  <si>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</si>
  <si>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</si>
  <si>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</si>
  <si>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</si>
  <si>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</si>
  <si>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</si>
  <si>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</si>
  <si>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</si>
  <si>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</si>
  <si>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</si>
  <si>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</si>
  <si>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</si>
  <si>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</si>
  <si>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</si>
  <si>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</si>
  <si>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</si>
  <si>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</si>
  <si>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</si>
  <si>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</si>
  <si>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</si>
  <si>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</si>
  <si>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</si>
  <si>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</si>
  <si>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</si>
  <si>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</si>
  <si>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</si>
  <si>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</si>
  <si>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</si>
  <si>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s3p3v3_d</t>
  </si>
  <si>
    <t>s2_w</t>
  </si>
  <si>
    <t>s2_w_p2_d</t>
  </si>
  <si>
    <t>s5p5v5_d</t>
  </si>
  <si>
    <t>ts_annual</t>
  </si>
  <si>
    <t>pset_co</t>
  </si>
  <si>
    <t>e3d</t>
  </si>
  <si>
    <t>e 1.5 deg no OS</t>
  </si>
  <si>
    <t>d9d</t>
  </si>
  <si>
    <t>d 1.5 deg OS</t>
  </si>
  <si>
    <t>b2w</t>
  </si>
  <si>
    <t>c 2 deg (67%)</t>
  </si>
  <si>
    <t>a2w2d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</si>
  <si>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</si>
  <si>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</si>
  <si>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</si>
  <si>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</si>
  <si>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</si>
  <si>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</si>
  <si>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</si>
  <si>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</si>
  <si>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</si>
  <si>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</si>
  <si>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ts_024</t>
  </si>
  <si>
    <t>ts_048</t>
  </si>
  <si>
    <t>ts_064</t>
  </si>
  <si>
    <t>ts_096P50</t>
  </si>
  <si>
    <t>ts_096P10</t>
  </si>
  <si>
    <t>ts_096P90</t>
  </si>
  <si>
    <t>ts_12t</t>
  </si>
  <si>
    <t>f96p90</t>
  </si>
  <si>
    <t>f96p10</t>
  </si>
  <si>
    <t>g64</t>
  </si>
  <si>
    <t>h48</t>
  </si>
  <si>
    <t>i24</t>
  </si>
  <si>
    <t>j12</t>
  </si>
  <si>
    <t>k12</t>
  </si>
  <si>
    <t>kAnn</t>
  </si>
  <si>
    <t>f96p50</t>
  </si>
  <si>
    <t>~TFM_INS-TS: attribute=flo_cost;pset_pn=-IMP*Z</t>
  </si>
  <si>
    <t>bio price multiplier</t>
  </si>
  <si>
    <t>POL</t>
  </si>
  <si>
    <t>R10EUROPE</t>
  </si>
  <si>
    <t>Pipeline gas, coal &amp; forest resources</t>
  </si>
  <si>
    <t>1,2,3,4,5,6,7,8,9,10,11,12,13,14,15,21,22,23,24,25,31,32,33,34,35,36,37,38,39,40,41,42,43,44,45,46,47,48,49,50,56,57,58,59,60,66,67,68,69,70</t>
  </si>
  <si>
    <t>~tfm_ins-ts</t>
  </si>
  <si>
    <t>lo</t>
  </si>
  <si>
    <t>cap_bnd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</si>
  <si>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</si>
  <si>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</si>
  <si>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</si>
  <si>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</si>
  <si>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</si>
  <si>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</si>
  <si>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</si>
  <si>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</si>
  <si>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com_fr</t>
  </si>
  <si>
    <t>elc_spv_001</t>
  </si>
  <si>
    <t>AllSaAllH</t>
  </si>
  <si>
    <t>IMPNRGZ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</si>
  <si>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</si>
  <si>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</si>
  <si>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</si>
  <si>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</si>
  <si>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</si>
  <si>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</si>
  <si>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</si>
  <si>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</si>
  <si>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</si>
  <si>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</si>
  <si>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</si>
  <si>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</si>
  <si>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</si>
  <si>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</si>
  <si>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</si>
  <si>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</si>
  <si>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</si>
  <si>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</si>
  <si>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</si>
  <si>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elc_won_001</t>
  </si>
  <si>
    <t>elc_won_002</t>
  </si>
  <si>
    <t>elc_won_003</t>
  </si>
  <si>
    <t>elc_won_004</t>
  </si>
  <si>
    <t>elc_won_005</t>
  </si>
  <si>
    <t>elc_won_006</t>
  </si>
  <si>
    <t>elc_won_007</t>
  </si>
  <si>
    <t>elc_won_008</t>
  </si>
  <si>
    <t>elc_won_009</t>
  </si>
  <si>
    <t>elc_won_010</t>
  </si>
  <si>
    <t>elc_won_011</t>
  </si>
  <si>
    <t>elc_won_012</t>
  </si>
  <si>
    <t>elc_won_013</t>
  </si>
  <si>
    <t>elc_won_014</t>
  </si>
  <si>
    <t>elc_won_015</t>
  </si>
  <si>
    <t>elc_won_016</t>
  </si>
  <si>
    <t>elc_won_017</t>
  </si>
  <si>
    <t>elc_won_018</t>
  </si>
  <si>
    <t>elc_won_019</t>
  </si>
  <si>
    <t>elc_won_020</t>
  </si>
  <si>
    <t>elc_wof_001</t>
  </si>
  <si>
    <t>elc_wof_002</t>
  </si>
  <si>
    <t>elc_wof_003</t>
  </si>
  <si>
    <t>elc_wof_004</t>
  </si>
  <si>
    <t>elc_wof_005</t>
  </si>
  <si>
    <t>elc_wof_006</t>
  </si>
  <si>
    <t>elc_wof_007</t>
  </si>
  <si>
    <t>elc_wof_008</t>
  </si>
  <si>
    <t>elc_wof_009</t>
  </si>
  <si>
    <t>elc_wof_010</t>
  </si>
  <si>
    <t>g_yrfr</t>
  </si>
  <si>
    <t>day_night</t>
  </si>
  <si>
    <t>D</t>
  </si>
  <si>
    <t>N</t>
  </si>
  <si>
    <t>com_pkflx</t>
  </si>
  <si>
    <t>ncap_afs</t>
  </si>
  <si>
    <t>pset_ci</t>
  </si>
  <si>
    <t>hydro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</si>
  <si>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</si>
  <si>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</si>
  <si>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</si>
  <si>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</si>
  <si>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</si>
  <si>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</si>
  <si>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</si>
  <si>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</si>
  <si>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</si>
  <si>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</si>
  <si>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</si>
  <si>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</si>
  <si>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</si>
  <si>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</si>
  <si>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</si>
  <si>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</si>
  <si>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</si>
  <si>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</si>
  <si>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RaD,WaP,FaP,SaP,RaP,WaD,FaD,SaD</t>
  </si>
  <si>
    <t>RaN,SaN,WaN,WaP,FaN,RaP,FaP,SaP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</si>
</sst>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177.03</c:v>
                </c:pt>
                <c:pt idx="1">
                  <c:v>185.88150000000002</c:v>
                </c:pt>
                <c:pt idx="2">
                  <c:v>207.12509999999997</c:v>
                </c:pt>
                <c:pt idx="3">
                  <c:v>233.67960000000002</c:v>
                </c:pt>
                <c:pt idx="4">
                  <c:v>265.54500000000002</c:v>
                </c:pt>
                <c:pt idx="5">
                  <c:v>297.41039999999998</c:v>
                </c:pt>
                <c:pt idx="6">
                  <c:v>320.42430000000002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71.48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5"/>
  <sheetViews>
    <sheetView topLeftCell="A26" workbookViewId="0">
      <selection activeCell="O48" sqref="O48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146</v>
      </c>
    </row>
    <row r="2" spans="1:39" x14ac:dyDescent="0.45">
      <c r="D2" s="1" t="str">
        <f>"~Inputcell: "&amp;_xlfn.TEXTJOIN(",",TRUE,G1:EE1)</f>
        <v>~Inputcell: 1,2,3,4,5,6,7,8,9,10,11,12,13,14,15,21,22,23,24,25,31,32,33,34,35,36,37,38,39,40,41,42,43,44,45,46,47,48,49,50,56,57,58,59,60,66,67,68,69,70</v>
      </c>
      <c r="G2">
        <v>5</v>
      </c>
      <c r="H2">
        <v>6</v>
      </c>
      <c r="I2">
        <v>7</v>
      </c>
      <c r="J2">
        <v>9</v>
      </c>
      <c r="K2">
        <v>10</v>
      </c>
      <c r="L2">
        <v>11</v>
      </c>
      <c r="M2">
        <v>16</v>
      </c>
      <c r="N2">
        <v>17</v>
      </c>
      <c r="O2">
        <v>18</v>
      </c>
      <c r="P2">
        <v>20</v>
      </c>
      <c r="Q2">
        <v>21</v>
      </c>
      <c r="R2">
        <v>22</v>
      </c>
      <c r="S2">
        <v>27</v>
      </c>
      <c r="T2">
        <v>28</v>
      </c>
      <c r="U2">
        <v>29</v>
      </c>
      <c r="V2">
        <v>31</v>
      </c>
      <c r="W2">
        <v>32</v>
      </c>
      <c r="X2">
        <v>33</v>
      </c>
      <c r="Y2">
        <v>38</v>
      </c>
      <c r="Z2">
        <v>39</v>
      </c>
      <c r="AA2">
        <v>40</v>
      </c>
      <c r="AB2">
        <v>42</v>
      </c>
      <c r="AC2">
        <v>43</v>
      </c>
      <c r="AD2">
        <v>44</v>
      </c>
      <c r="AE2">
        <v>49</v>
      </c>
      <c r="AF2">
        <v>50</v>
      </c>
      <c r="AG2">
        <v>51</v>
      </c>
      <c r="AH2">
        <v>53</v>
      </c>
      <c r="AI2">
        <v>54</v>
      </c>
      <c r="AJ2">
        <v>55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118</v>
      </c>
    </row>
    <row r="8" spans="1:39" ht="14.65" thickBot="1" x14ac:dyDescent="0.5">
      <c r="A8" s="4" t="s">
        <v>123</v>
      </c>
      <c r="B8" s="4" t="s">
        <v>119</v>
      </c>
      <c r="C8" s="4" t="s">
        <v>120</v>
      </c>
      <c r="D8" s="4" t="s">
        <v>121</v>
      </c>
      <c r="E8" s="4" t="s">
        <v>122</v>
      </c>
      <c r="AM8" s="2" t="s">
        <v>142</v>
      </c>
    </row>
    <row r="9" spans="1:39" x14ac:dyDescent="0.45">
      <c r="A9">
        <v>5</v>
      </c>
      <c r="B9" t="str">
        <f>VLOOKUP(E9,$AK$9:$AL$15,2,FALSE)&amp;"."&amp;VLOOKUP(D9,$AH$9:$AI$24,2,FALSE)</f>
        <v>e 1.5 deg no OS.kAnn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106</v>
      </c>
      <c r="AI9" t="s">
        <v>139</v>
      </c>
      <c r="AJ9" s="10">
        <v>1</v>
      </c>
      <c r="AK9" t="s">
        <v>0</v>
      </c>
      <c r="AL9" t="s">
        <v>109</v>
      </c>
      <c r="AM9" s="12">
        <v>5</v>
      </c>
    </row>
    <row r="10" spans="1:39" x14ac:dyDescent="0.45">
      <c r="A10">
        <v>5</v>
      </c>
      <c r="B10" t="str">
        <f t="shared" ref="B10:B73" si="0">VLOOKUP(E10,$AK$9:$AL$15,2,FALSE)&amp;"."&amp;VLOOKUP(D10,$AH$9:$AI$24,2,FALSE)</f>
        <v>d 1.5 deg OS.kAnn</v>
      </c>
      <c r="C10">
        <f>C9+1</f>
        <v>2</v>
      </c>
      <c r="D10" t="str">
        <f t="shared" ref="D10:D63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131</v>
      </c>
      <c r="AI10" t="s">
        <v>138</v>
      </c>
      <c r="AJ10" s="10">
        <v>1</v>
      </c>
      <c r="AK10" t="s">
        <v>2</v>
      </c>
      <c r="AL10" t="s">
        <v>111</v>
      </c>
      <c r="AM10" s="12">
        <v>4</v>
      </c>
    </row>
    <row r="11" spans="1:39" x14ac:dyDescent="0.45">
      <c r="A11">
        <v>5</v>
      </c>
      <c r="B11" t="str">
        <f t="shared" si="0"/>
        <v>c 2 deg (67%).kAnn</v>
      </c>
      <c r="C11">
        <f t="shared" ref="C11:C74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124</v>
      </c>
      <c r="AI11" t="s">
        <v>137</v>
      </c>
      <c r="AJ11" s="10">
        <v>1</v>
      </c>
      <c r="AK11" t="s">
        <v>5</v>
      </c>
      <c r="AL11" t="s">
        <v>113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(50%).kAnn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177.03</v>
      </c>
      <c r="T12" s="2" t="s">
        <v>57</v>
      </c>
      <c r="AG12">
        <v>4</v>
      </c>
      <c r="AH12" t="s">
        <v>125</v>
      </c>
      <c r="AI12" t="s">
        <v>136</v>
      </c>
      <c r="AJ12" s="10">
        <v>1</v>
      </c>
      <c r="AK12" t="s">
        <v>7</v>
      </c>
      <c r="AL12" t="s">
        <v>115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deg.kAnn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126</v>
      </c>
      <c r="AI13" t="s">
        <v>135</v>
      </c>
      <c r="AJ13" s="10">
        <v>1</v>
      </c>
      <c r="AK13" t="s">
        <v>9</v>
      </c>
      <c r="AL13" t="s">
        <v>116</v>
      </c>
      <c r="AM13" s="12">
        <v>1.5</v>
      </c>
    </row>
    <row r="14" spans="1:39" x14ac:dyDescent="0.45">
      <c r="A14">
        <v>5</v>
      </c>
      <c r="B14" t="str">
        <f t="shared" si="0"/>
        <v>e 1.5 deg no OS.k12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177.03</v>
      </c>
      <c r="U14" s="8">
        <f t="shared" ref="U14:Z14" si="3">$S$12*J15</f>
        <v>185.88150000000002</v>
      </c>
      <c r="V14" s="8">
        <f t="shared" si="3"/>
        <v>207.12509999999997</v>
      </c>
      <c r="W14" s="8">
        <f t="shared" si="3"/>
        <v>233.67960000000002</v>
      </c>
      <c r="X14" s="8">
        <f t="shared" si="3"/>
        <v>265.54500000000002</v>
      </c>
      <c r="Y14" s="8">
        <f t="shared" si="3"/>
        <v>297.41039999999998</v>
      </c>
      <c r="Z14" s="8">
        <f t="shared" si="3"/>
        <v>320.42430000000002</v>
      </c>
      <c r="AG14">
        <v>6</v>
      </c>
      <c r="AH14" t="s">
        <v>127</v>
      </c>
      <c r="AI14" t="s">
        <v>134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OS.k12</v>
      </c>
      <c r="C15">
        <f t="shared" si="2"/>
        <v>7</v>
      </c>
      <c r="D15" t="str">
        <f t="shared" si="1"/>
        <v>ts_12t</v>
      </c>
      <c r="E15" t="str">
        <f t="shared" ref="E15:E78" si="4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1.05</v>
      </c>
      <c r="K15" s="11">
        <f>SUMIFS(ar6_r10!$F$2:$F$999,ar6_r10!$A$2:$A$999,Veda!$E$5,ar6_r10!$C$2:$C$999,Veda!K$17,ar6_r10!$M$2:$M$999,Veda!$G15)</f>
        <v>1.17</v>
      </c>
      <c r="L15" s="11">
        <f>SUMIFS(ar6_r10!$F$2:$F$999,ar6_r10!$A$2:$A$999,Veda!$E$5,ar6_r10!$C$2:$C$999,Veda!L$17,ar6_r10!$M$2:$M$999,Veda!$G15)</f>
        <v>1.32</v>
      </c>
      <c r="M15" s="11">
        <f>SUMIFS(ar6_r10!$F$2:$F$999,ar6_r10!$A$2:$A$999,Veda!$E$5,ar6_r10!$C$2:$C$999,Veda!M$17,ar6_r10!$M$2:$M$999,Veda!$G15)</f>
        <v>1.5</v>
      </c>
      <c r="N15" s="11">
        <f>SUMIFS(ar6_r10!$F$2:$F$999,ar6_r10!$A$2:$A$999,Veda!$E$5,ar6_r10!$C$2:$C$999,Veda!N$17,ar6_r10!$M$2:$M$999,Veda!$G15)</f>
        <v>1.68</v>
      </c>
      <c r="O15" s="11">
        <f>SUMIFS(ar6_r10!$F$2:$F$999,ar6_r10!$A$2:$A$999,Veda!$E$5,ar6_r10!$C$2:$C$999,Veda!O$17,ar6_r10!$M$2:$M$999,Veda!$G15)</f>
        <v>1.81</v>
      </c>
      <c r="AG15">
        <v>7</v>
      </c>
      <c r="AH15" t="s">
        <v>128</v>
      </c>
      <c r="AI15" t="s">
        <v>140</v>
      </c>
      <c r="AJ15" s="10">
        <f t="shared" ref="AJ15:AJ78" si="5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(67%).k12</v>
      </c>
      <c r="C16">
        <f t="shared" si="2"/>
        <v>8</v>
      </c>
      <c r="D16" t="str">
        <f t="shared" si="1"/>
        <v>ts_12t</v>
      </c>
      <c r="E16" t="str">
        <f t="shared" si="4"/>
        <v>C3</v>
      </c>
      <c r="S16" s="5" t="s">
        <v>12</v>
      </c>
      <c r="AG16">
        <v>8</v>
      </c>
      <c r="AH16" t="s">
        <v>129</v>
      </c>
      <c r="AI16" t="s">
        <v>133</v>
      </c>
      <c r="AJ16" s="10">
        <f t="shared" si="5"/>
        <v>2</v>
      </c>
    </row>
    <row r="17" spans="1:36" ht="15" customHeight="1" thickTop="1" thickBot="1" x14ac:dyDescent="0.5">
      <c r="A17">
        <v>5</v>
      </c>
      <c r="B17" t="str">
        <f t="shared" si="0"/>
        <v>b 2 deg (50%).k12</v>
      </c>
      <c r="C17">
        <f t="shared" si="2"/>
        <v>9</v>
      </c>
      <c r="D17" t="str">
        <f t="shared" si="1"/>
        <v>ts_12t</v>
      </c>
      <c r="E17" t="str">
        <f t="shared" si="4"/>
        <v>C4</v>
      </c>
      <c r="I17" s="7">
        <v>2020</v>
      </c>
      <c r="J17" s="7">
        <f t="shared" ref="J17:O17" si="6">U17</f>
        <v>2025</v>
      </c>
      <c r="K17" s="7">
        <f t="shared" si="6"/>
        <v>2030</v>
      </c>
      <c r="L17" s="7">
        <f t="shared" si="6"/>
        <v>2035</v>
      </c>
      <c r="M17" s="7">
        <f t="shared" si="6"/>
        <v>2040</v>
      </c>
      <c r="N17" s="7">
        <f t="shared" si="6"/>
        <v>2045</v>
      </c>
      <c r="O17" s="7">
        <f t="shared" si="6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130</v>
      </c>
      <c r="AI17" t="s">
        <v>132</v>
      </c>
      <c r="AJ17" s="10">
        <f t="shared" si="5"/>
        <v>2</v>
      </c>
    </row>
    <row r="18" spans="1:36" x14ac:dyDescent="0.45">
      <c r="A18">
        <v>5</v>
      </c>
      <c r="B18" t="str">
        <f t="shared" si="0"/>
        <v>a 3 deg.k12</v>
      </c>
      <c r="C18">
        <f t="shared" si="2"/>
        <v>10</v>
      </c>
      <c r="D18" t="str">
        <f t="shared" si="1"/>
        <v>ts_12t</v>
      </c>
      <c r="E18" t="str">
        <f t="shared" si="4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0.01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0.02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7">I18*T$14</f>
        <v>0</v>
      </c>
      <c r="U18" s="6">
        <f t="shared" si="7"/>
        <v>0</v>
      </c>
      <c r="V18" s="6">
        <f t="shared" si="7"/>
        <v>2.0712509999999997</v>
      </c>
      <c r="W18" s="6">
        <f t="shared" si="7"/>
        <v>2.3367960000000001</v>
      </c>
      <c r="X18" s="6">
        <f t="shared" si="7"/>
        <v>2.6554500000000001</v>
      </c>
      <c r="Y18" s="6">
        <f t="shared" si="7"/>
        <v>5.9482080000000002</v>
      </c>
      <c r="Z18" s="6">
        <f t="shared" si="7"/>
        <v>9.6127289999999999</v>
      </c>
      <c r="AA18" t="s">
        <v>17</v>
      </c>
      <c r="AC18" s="2"/>
      <c r="AG18">
        <v>10</v>
      </c>
      <c r="AH18" t="s">
        <v>101</v>
      </c>
      <c r="AI18" t="s">
        <v>108</v>
      </c>
      <c r="AJ18" s="10">
        <f t="shared" si="5"/>
        <v>2</v>
      </c>
    </row>
    <row r="19" spans="1:36" x14ac:dyDescent="0.45">
      <c r="A19">
        <v>5</v>
      </c>
      <c r="B19" t="str">
        <f t="shared" si="0"/>
        <v>e 1.5 deg no OS.j12</v>
      </c>
      <c r="C19">
        <f t="shared" si="2"/>
        <v>11</v>
      </c>
      <c r="D19" t="str">
        <f t="shared" si="1"/>
        <v>ts_012</v>
      </c>
      <c r="E19" t="str">
        <f t="shared" si="4"/>
        <v>C1</v>
      </c>
      <c r="G19" t="s">
        <v>18</v>
      </c>
      <c r="I19" s="11">
        <f>SUMIFS(ar6_r10!$F$2:$F$999,ar6_r10!$A$2:$A$999,Veda!$E$5,ar6_r10!$C$2:$C$999,Veda!I$17,ar6_r10!$M$2:$M$999,Veda!$G19)</f>
        <v>0.36</v>
      </c>
      <c r="J19" s="11">
        <f>SUMIFS(ar6_r10!$F$2:$F$999,ar6_r10!$A$2:$A$999,Veda!$E$5,ar6_r10!$C$2:$C$999,Veda!J$17,ar6_r10!$M$2:$M$999,Veda!$G19)</f>
        <v>0.32</v>
      </c>
      <c r="K19" s="11">
        <f>SUMIFS(ar6_r10!$F$2:$F$999,ar6_r10!$A$2:$A$999,Veda!$E$5,ar6_r10!$C$2:$C$999,Veda!K$17,ar6_r10!$M$2:$M$999,Veda!$G19)</f>
        <v>0.31</v>
      </c>
      <c r="L19" s="11">
        <f>SUMIFS(ar6_r10!$F$2:$F$999,ar6_r10!$A$2:$A$999,Veda!$E$5,ar6_r10!$C$2:$C$999,Veda!L$17,ar6_r10!$M$2:$M$999,Veda!$G19)</f>
        <v>0.28999999999999998</v>
      </c>
      <c r="M19" s="11">
        <f>SUMIFS(ar6_r10!$F$2:$F$999,ar6_r10!$A$2:$A$999,Veda!$E$5,ar6_r10!$C$2:$C$999,Veda!M$17,ar6_r10!$M$2:$M$999,Veda!$G19)</f>
        <v>0.28999999999999998</v>
      </c>
      <c r="N19" s="11">
        <f>SUMIFS(ar6_r10!$F$2:$F$999,ar6_r10!$A$2:$A$999,Veda!$E$5,ar6_r10!$C$2:$C$999,Veda!N$17,ar6_r10!$M$2:$M$999,Veda!$G19)</f>
        <v>0.28999999999999998</v>
      </c>
      <c r="O19" s="11">
        <f>SUMIFS(ar6_r10!$F$2:$F$999,ar6_r10!$A$2:$A$999,Veda!$E$5,ar6_r10!$C$2:$C$999,Veda!O$17,ar6_r10!$M$2:$M$999,Veda!$G19)</f>
        <v>0.3</v>
      </c>
      <c r="S19" s="10" t="s">
        <v>19</v>
      </c>
      <c r="T19" s="6">
        <f t="shared" si="7"/>
        <v>63.730799999999995</v>
      </c>
      <c r="U19" s="6">
        <f t="shared" si="7"/>
        <v>59.482080000000003</v>
      </c>
      <c r="V19" s="6">
        <f t="shared" si="7"/>
        <v>64.208780999999988</v>
      </c>
      <c r="W19" s="6">
        <f t="shared" si="7"/>
        <v>67.767083999999997</v>
      </c>
      <c r="X19" s="6">
        <f t="shared" si="7"/>
        <v>77.008049999999997</v>
      </c>
      <c r="Y19" s="6">
        <f t="shared" si="7"/>
        <v>86.249015999999983</v>
      </c>
      <c r="Z19" s="6">
        <f t="shared" si="7"/>
        <v>96.127290000000002</v>
      </c>
      <c r="AA19" t="s">
        <v>17</v>
      </c>
      <c r="AG19">
        <v>11</v>
      </c>
      <c r="AH19" t="s">
        <v>102</v>
      </c>
      <c r="AI19" t="s">
        <v>110</v>
      </c>
      <c r="AJ19" s="10">
        <f t="shared" si="5"/>
        <v>3</v>
      </c>
    </row>
    <row r="20" spans="1:36" x14ac:dyDescent="0.45">
      <c r="A20">
        <v>5</v>
      </c>
      <c r="B20" t="str">
        <f t="shared" si="0"/>
        <v>d 1.5 deg OS.j12</v>
      </c>
      <c r="C20">
        <f t="shared" si="2"/>
        <v>12</v>
      </c>
      <c r="D20" t="str">
        <f t="shared" si="1"/>
        <v>ts_012</v>
      </c>
      <c r="E20" t="str">
        <f t="shared" si="4"/>
        <v>C2</v>
      </c>
      <c r="G20" t="s">
        <v>21</v>
      </c>
      <c r="I20" s="11">
        <f>SUMIFS(ar6_r10!$F$2:$F$999,ar6_r10!$A$2:$A$999,Veda!$E$5,ar6_r10!$C$2:$C$999,Veda!I$17,ar6_r10!$M$2:$M$999,Veda!$G20)</f>
        <v>0.6</v>
      </c>
      <c r="J20" s="11">
        <f>SUMIFS(ar6_r10!$F$2:$F$999,ar6_r10!$A$2:$A$999,Veda!$E$5,ar6_r10!$C$2:$C$999,Veda!J$17,ar6_r10!$M$2:$M$999,Veda!$G20)</f>
        <v>0.6</v>
      </c>
      <c r="K20" s="11">
        <f>SUMIFS(ar6_r10!$F$2:$F$999,ar6_r10!$A$2:$A$999,Veda!$E$5,ar6_r10!$C$2:$C$999,Veda!K$17,ar6_r10!$M$2:$M$999,Veda!$G20)</f>
        <v>0.6</v>
      </c>
      <c r="L20" s="11">
        <f>SUMIFS(ar6_r10!$F$2:$F$999,ar6_r10!$A$2:$A$999,Veda!$E$5,ar6_r10!$C$2:$C$999,Veda!L$17,ar6_r10!$M$2:$M$999,Veda!$G20)</f>
        <v>0.56999999999999995</v>
      </c>
      <c r="M20" s="11">
        <f>SUMIFS(ar6_r10!$F$2:$F$999,ar6_r10!$A$2:$A$999,Veda!$E$5,ar6_r10!$C$2:$C$999,Veda!M$17,ar6_r10!$M$2:$M$999,Veda!$G20)</f>
        <v>0.54</v>
      </c>
      <c r="N20" s="11">
        <f>SUMIFS(ar6_r10!$F$2:$F$999,ar6_r10!$A$2:$A$999,Veda!$E$5,ar6_r10!$C$2:$C$999,Veda!N$17,ar6_r10!$M$2:$M$999,Veda!$G20)</f>
        <v>0.52</v>
      </c>
      <c r="O20" s="11">
        <f>SUMIFS(ar6_r10!$F$2:$F$999,ar6_r10!$A$2:$A$999,Veda!$E$5,ar6_r10!$C$2:$C$999,Veda!O$17,ar6_r10!$M$2:$M$999,Veda!$G20)</f>
        <v>0.53</v>
      </c>
      <c r="S20" s="10" t="s">
        <v>22</v>
      </c>
      <c r="T20" s="6">
        <f t="shared" si="7"/>
        <v>106.218</v>
      </c>
      <c r="U20" s="6">
        <f t="shared" si="7"/>
        <v>111.52890000000001</v>
      </c>
      <c r="V20" s="6">
        <f t="shared" si="7"/>
        <v>124.27505999999998</v>
      </c>
      <c r="W20" s="6">
        <f t="shared" si="7"/>
        <v>133.197372</v>
      </c>
      <c r="X20" s="6">
        <f t="shared" si="7"/>
        <v>143.39430000000002</v>
      </c>
      <c r="Y20" s="6">
        <f t="shared" si="7"/>
        <v>154.65340799999998</v>
      </c>
      <c r="Z20" s="6">
        <f t="shared" si="7"/>
        <v>169.82487900000001</v>
      </c>
      <c r="AA20" t="s">
        <v>17</v>
      </c>
      <c r="AG20">
        <v>12</v>
      </c>
      <c r="AH20" t="s">
        <v>105</v>
      </c>
      <c r="AI20" t="s">
        <v>117</v>
      </c>
      <c r="AJ20" s="10">
        <f t="shared" si="5"/>
        <v>3</v>
      </c>
    </row>
    <row r="21" spans="1:36" x14ac:dyDescent="0.45">
      <c r="A21">
        <v>5</v>
      </c>
      <c r="B21" t="str">
        <f t="shared" si="0"/>
        <v>c 2 deg (67%).j12</v>
      </c>
      <c r="C21">
        <f t="shared" si="2"/>
        <v>13</v>
      </c>
      <c r="D21" t="str">
        <f t="shared" si="1"/>
        <v>ts_012</v>
      </c>
      <c r="E21" t="str">
        <f t="shared" si="4"/>
        <v>C3</v>
      </c>
      <c r="G21" t="s">
        <v>23</v>
      </c>
      <c r="I21" s="11">
        <f>SUMIFS(ar6_r10!$F$2:$F$999,ar6_r10!$A$2:$A$999,Veda!$E$5,ar6_r10!$C$2:$C$999,Veda!I$17,ar6_r10!$M$2:$M$999,Veda!$G21)</f>
        <v>0.03</v>
      </c>
      <c r="J21" s="11">
        <f>SUMIFS(ar6_r10!$F$2:$F$999,ar6_r10!$A$2:$A$999,Veda!$E$5,ar6_r10!$C$2:$C$999,Veda!J$17,ar6_r10!$M$2:$M$999,Veda!$G21)</f>
        <v>0.06</v>
      </c>
      <c r="K21" s="11">
        <f>SUMIFS(ar6_r10!$F$2:$F$999,ar6_r10!$A$2:$A$999,Veda!$E$5,ar6_r10!$C$2:$C$999,Veda!K$17,ar6_r10!$M$2:$M$999,Veda!$G21)</f>
        <v>0.08</v>
      </c>
      <c r="L21" s="11">
        <f>SUMIFS(ar6_r10!$F$2:$F$999,ar6_r10!$A$2:$A$999,Veda!$E$5,ar6_r10!$C$2:$C$999,Veda!L$17,ar6_r10!$M$2:$M$999,Veda!$G21)</f>
        <v>0.11</v>
      </c>
      <c r="M21" s="11">
        <f>SUMIFS(ar6_r10!$F$2:$F$999,ar6_r10!$A$2:$A$999,Veda!$E$5,ar6_r10!$C$2:$C$999,Veda!M$17,ar6_r10!$M$2:$M$999,Veda!$G21)</f>
        <v>0.12</v>
      </c>
      <c r="N21" s="11">
        <f>SUMIFS(ar6_r10!$F$2:$F$999,ar6_r10!$A$2:$A$999,Veda!$E$5,ar6_r10!$C$2:$C$999,Veda!N$17,ar6_r10!$M$2:$M$999,Veda!$G21)</f>
        <v>0.18</v>
      </c>
      <c r="O21" s="11">
        <f>SUMIFS(ar6_r10!$F$2:$F$999,ar6_r10!$A$2:$A$999,Veda!$E$5,ar6_r10!$C$2:$C$999,Veda!O$17,ar6_r10!$M$2:$M$999,Veda!$G21)</f>
        <v>0.19</v>
      </c>
      <c r="S21" s="10" t="s">
        <v>24</v>
      </c>
      <c r="T21" s="6">
        <f>I21*T$14</f>
        <v>5.3109000000000002</v>
      </c>
      <c r="U21" s="6">
        <f t="shared" ref="U21:Z21" si="8">T21</f>
        <v>5.3109000000000002</v>
      </c>
      <c r="V21" s="6">
        <f t="shared" si="8"/>
        <v>5.3109000000000002</v>
      </c>
      <c r="W21" s="6">
        <f t="shared" si="8"/>
        <v>5.3109000000000002</v>
      </c>
      <c r="X21" s="6">
        <f t="shared" si="8"/>
        <v>5.3109000000000002</v>
      </c>
      <c r="Y21" s="6">
        <f t="shared" si="8"/>
        <v>5.3109000000000002</v>
      </c>
      <c r="Z21" s="6">
        <f t="shared" si="8"/>
        <v>5.3109000000000002</v>
      </c>
      <c r="AA21" t="s">
        <v>17</v>
      </c>
      <c r="AC21" s="2" t="s">
        <v>20</v>
      </c>
      <c r="AG21">
        <v>13</v>
      </c>
      <c r="AH21" t="s">
        <v>103</v>
      </c>
      <c r="AI21" t="s">
        <v>112</v>
      </c>
      <c r="AJ21" s="10">
        <f t="shared" si="5"/>
        <v>3</v>
      </c>
    </row>
    <row r="22" spans="1:36" x14ac:dyDescent="0.45">
      <c r="A22">
        <v>5</v>
      </c>
      <c r="B22" t="str">
        <f t="shared" si="0"/>
        <v>b 2 deg (50%).j12</v>
      </c>
      <c r="C22">
        <f t="shared" si="2"/>
        <v>14</v>
      </c>
      <c r="D22" t="str">
        <f t="shared" si="1"/>
        <v>ts_012</v>
      </c>
      <c r="E22" t="str">
        <f t="shared" si="4"/>
        <v>C4</v>
      </c>
      <c r="S22" s="10" t="s">
        <v>25</v>
      </c>
      <c r="T22" s="6">
        <f t="shared" ref="T22:Z22" si="9">T14-SUM(T19:T21)</f>
        <v>1.7702999999999918</v>
      </c>
      <c r="U22" s="6">
        <f t="shared" si="9"/>
        <v>9.5596199999999953</v>
      </c>
      <c r="V22" s="6">
        <f t="shared" si="9"/>
        <v>13.330358999999987</v>
      </c>
      <c r="W22" s="6">
        <f t="shared" si="9"/>
        <v>27.404244000000034</v>
      </c>
      <c r="X22" s="6">
        <f t="shared" si="9"/>
        <v>39.83175</v>
      </c>
      <c r="Y22" s="6">
        <f t="shared" si="9"/>
        <v>51.19707600000001</v>
      </c>
      <c r="Z22" s="6">
        <f t="shared" si="9"/>
        <v>49.161230999999987</v>
      </c>
      <c r="AA22" t="s">
        <v>17</v>
      </c>
      <c r="AG22">
        <v>14</v>
      </c>
      <c r="AH22" t="s">
        <v>104</v>
      </c>
      <c r="AI22" t="s">
        <v>114</v>
      </c>
      <c r="AJ22" s="10">
        <f t="shared" si="5"/>
        <v>3</v>
      </c>
    </row>
    <row r="23" spans="1:36" x14ac:dyDescent="0.45">
      <c r="A23">
        <v>5</v>
      </c>
      <c r="B23" t="str">
        <f t="shared" si="0"/>
        <v>a 3 deg.j12</v>
      </c>
      <c r="C23">
        <f t="shared" si="2"/>
        <v>15</v>
      </c>
      <c r="D23" t="str">
        <f t="shared" si="1"/>
        <v>ts_012</v>
      </c>
      <c r="E23" t="str">
        <f t="shared" si="4"/>
        <v>C7</v>
      </c>
      <c r="S23" t="s">
        <v>26</v>
      </c>
      <c r="AJ23" s="10">
        <f t="shared" si="5"/>
        <v>3</v>
      </c>
    </row>
    <row r="24" spans="1:36" ht="14.65" customHeight="1" x14ac:dyDescent="0.45">
      <c r="A24">
        <v>5</v>
      </c>
      <c r="B24" t="str">
        <f t="shared" si="0"/>
        <v>e 1.5 deg no OS.i24</v>
      </c>
      <c r="C24">
        <f t="shared" si="2"/>
        <v>16</v>
      </c>
      <c r="D24" t="str">
        <f t="shared" si="1"/>
        <v>ts_024</v>
      </c>
      <c r="E24" t="str">
        <f t="shared" si="4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71.48</v>
      </c>
      <c r="L24" s="8">
        <f>SUMIFS(ar6_r10!$F$2:$F$999,ar6_r10!$A$2:$A$999,Veda!$E$5,ar6_r10!$C$2:$C$999,Veda!L$17,ar6_r10!$M$2:$M$999,Veda!$G24)</f>
        <v>104.42</v>
      </c>
      <c r="M24" s="8">
        <f>SUMIFS(ar6_r10!$F$2:$F$999,ar6_r10!$A$2:$A$999,Veda!$E$5,ar6_r10!$C$2:$C$999,Veda!M$17,ar6_r10!$M$2:$M$999,Veda!$G24)</f>
        <v>134.85</v>
      </c>
      <c r="N24" s="8">
        <f>SUMIFS(ar6_r10!$F$2:$F$999,ar6_r10!$A$2:$A$999,Veda!$E$5,ar6_r10!$C$2:$C$999,Veda!N$17,ar6_r10!$M$2:$M$999,Veda!$G24)</f>
        <v>178.1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7.1480000000000002E-2</v>
      </c>
      <c r="W24" s="11">
        <f>L24/1000</f>
        <v>0.10442</v>
      </c>
      <c r="X24" s="11">
        <f>M24/1000</f>
        <v>0.13485</v>
      </c>
      <c r="Y24" s="11">
        <f>N24/1000</f>
        <v>0.17809999999999998</v>
      </c>
      <c r="Z24" s="11">
        <f>O24/1000</f>
        <v>0.20945</v>
      </c>
      <c r="AA24" t="s">
        <v>29</v>
      </c>
      <c r="AJ24" s="10">
        <f t="shared" si="5"/>
        <v>4</v>
      </c>
    </row>
    <row r="25" spans="1:36" ht="14.65" customHeight="1" x14ac:dyDescent="0.45">
      <c r="A25">
        <v>5</v>
      </c>
      <c r="B25" t="str">
        <f t="shared" si="0"/>
        <v>d 1.5 deg OS.i24</v>
      </c>
      <c r="C25">
        <f t="shared" si="2"/>
        <v>17</v>
      </c>
      <c r="D25" t="str">
        <f t="shared" si="1"/>
        <v>ts_024</v>
      </c>
      <c r="E25" t="str">
        <f t="shared" si="4"/>
        <v>C2</v>
      </c>
      <c r="AJ25" s="10">
        <f t="shared" si="5"/>
        <v>4</v>
      </c>
    </row>
    <row r="26" spans="1:36" ht="17.649999999999999" customHeight="1" thickBot="1" x14ac:dyDescent="0.6">
      <c r="A26">
        <v>5</v>
      </c>
      <c r="B26" t="str">
        <f t="shared" si="0"/>
        <v>c 2 deg (67%).i24</v>
      </c>
      <c r="C26">
        <f t="shared" si="2"/>
        <v>18</v>
      </c>
      <c r="D26" t="str">
        <f t="shared" si="1"/>
        <v>ts_024</v>
      </c>
      <c r="E26" t="str">
        <f t="shared" si="4"/>
        <v>C3</v>
      </c>
      <c r="S26" s="5" t="s">
        <v>12</v>
      </c>
      <c r="AJ26" s="10">
        <f t="shared" si="5"/>
        <v>4</v>
      </c>
    </row>
    <row r="27" spans="1:36" ht="15" customHeight="1" thickTop="1" thickBot="1" x14ac:dyDescent="0.5">
      <c r="A27">
        <v>5</v>
      </c>
      <c r="B27" t="str">
        <f t="shared" si="0"/>
        <v>b 2 deg (50%).i24</v>
      </c>
      <c r="C27">
        <f t="shared" si="2"/>
        <v>19</v>
      </c>
      <c r="D27" t="str">
        <f t="shared" si="1"/>
        <v>ts_024</v>
      </c>
      <c r="E27" t="str">
        <f t="shared" si="4"/>
        <v>C4</v>
      </c>
      <c r="S27" s="4" t="s">
        <v>30</v>
      </c>
      <c r="T27" s="4">
        <f t="shared" ref="T27:Z27" si="10">T17</f>
        <v>2022</v>
      </c>
      <c r="U27" s="4">
        <f t="shared" si="10"/>
        <v>2025</v>
      </c>
      <c r="V27" s="4">
        <f t="shared" si="10"/>
        <v>2030</v>
      </c>
      <c r="W27" s="4">
        <f t="shared" si="10"/>
        <v>2035</v>
      </c>
      <c r="X27" s="4">
        <f t="shared" si="10"/>
        <v>2040</v>
      </c>
      <c r="Y27" s="4">
        <f t="shared" si="10"/>
        <v>2045</v>
      </c>
      <c r="Z27" s="4">
        <f t="shared" si="10"/>
        <v>2050</v>
      </c>
      <c r="AA27" s="4" t="s">
        <v>14</v>
      </c>
      <c r="AB27" s="4" t="s">
        <v>31</v>
      </c>
      <c r="AJ27" s="10">
        <f t="shared" si="5"/>
        <v>4</v>
      </c>
    </row>
    <row r="28" spans="1:36" ht="14.65" customHeight="1" thickBot="1" x14ac:dyDescent="0.5">
      <c r="A28">
        <v>5</v>
      </c>
      <c r="B28" t="str">
        <f t="shared" si="0"/>
        <v>a 3 deg.i24</v>
      </c>
      <c r="C28">
        <f t="shared" si="2"/>
        <v>20</v>
      </c>
      <c r="D28" t="str">
        <f t="shared" si="1"/>
        <v>ts_024</v>
      </c>
      <c r="E28" t="str">
        <f t="shared" si="4"/>
        <v>C7</v>
      </c>
      <c r="Q28" s="3">
        <f>SUMIFS(iea_data!G3:G9999,iea_data!$B$3:$B$9999,Veda!$S$11)</f>
        <v>15.24</v>
      </c>
      <c r="S28" t="s">
        <v>32</v>
      </c>
      <c r="T28" s="3">
        <f>Q28</f>
        <v>15.24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5"/>
        <v>4</v>
      </c>
    </row>
    <row r="29" spans="1:36" ht="15" customHeight="1" thickTop="1" thickBot="1" x14ac:dyDescent="0.5">
      <c r="A29">
        <v>5</v>
      </c>
      <c r="B29" t="str">
        <f t="shared" si="0"/>
        <v>e 1.5 deg no OS.h48</v>
      </c>
      <c r="C29">
        <f t="shared" si="2"/>
        <v>21</v>
      </c>
      <c r="D29" t="str">
        <f t="shared" si="1"/>
        <v>ts_048</v>
      </c>
      <c r="E29" t="str">
        <f t="shared" si="4"/>
        <v>C1</v>
      </c>
      <c r="Q29" s="3">
        <f>SUMIFS(iea_data!H3:H9999,iea_data!$B$3:$B$9999,Veda!$S$11)</f>
        <v>-16.91</v>
      </c>
      <c r="S29" t="s">
        <v>35</v>
      </c>
      <c r="T29" s="3">
        <f>-1*Q29</f>
        <v>16.91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5"/>
        <v>5</v>
      </c>
    </row>
    <row r="30" spans="1:36" ht="14.65" customHeight="1" thickTop="1" x14ac:dyDescent="0.45">
      <c r="A30">
        <v>5</v>
      </c>
      <c r="B30" t="str">
        <f t="shared" si="0"/>
        <v>d 1.5 deg OS.h48</v>
      </c>
      <c r="C30">
        <f t="shared" si="2"/>
        <v>22</v>
      </c>
      <c r="D30" t="str">
        <f t="shared" si="1"/>
        <v>ts_048</v>
      </c>
      <c r="E30" t="str">
        <f t="shared" si="4"/>
        <v>C2</v>
      </c>
      <c r="AJ30" s="10">
        <f t="shared" si="5"/>
        <v>5</v>
      </c>
    </row>
    <row r="31" spans="1:36" x14ac:dyDescent="0.45">
      <c r="A31">
        <v>5</v>
      </c>
      <c r="B31" t="str">
        <f t="shared" si="0"/>
        <v>c 2 deg (67%).h48</v>
      </c>
      <c r="C31">
        <f t="shared" si="2"/>
        <v>23</v>
      </c>
      <c r="D31" t="str">
        <f t="shared" si="1"/>
        <v>ts_048</v>
      </c>
      <c r="E31" t="str">
        <f t="shared" si="4"/>
        <v>C3</v>
      </c>
      <c r="AJ31" s="10">
        <f t="shared" si="5"/>
        <v>5</v>
      </c>
    </row>
    <row r="32" spans="1:36" x14ac:dyDescent="0.45">
      <c r="A32">
        <v>5</v>
      </c>
      <c r="B32" t="str">
        <f t="shared" si="0"/>
        <v>b 2 deg (50%).h48</v>
      </c>
      <c r="C32">
        <f t="shared" si="2"/>
        <v>24</v>
      </c>
      <c r="D32" t="str">
        <f t="shared" si="1"/>
        <v>ts_048</v>
      </c>
      <c r="E32" t="str">
        <f t="shared" si="4"/>
        <v>C4</v>
      </c>
      <c r="AJ32" s="10">
        <f t="shared" si="5"/>
        <v>5</v>
      </c>
    </row>
    <row r="33" spans="1:36" x14ac:dyDescent="0.45">
      <c r="A33">
        <v>5</v>
      </c>
      <c r="B33" t="str">
        <f t="shared" si="0"/>
        <v>a 3 deg.h48</v>
      </c>
      <c r="C33">
        <f t="shared" si="2"/>
        <v>25</v>
      </c>
      <c r="D33" t="str">
        <f t="shared" si="1"/>
        <v>ts_048</v>
      </c>
      <c r="E33" t="str">
        <f t="shared" si="4"/>
        <v>C7</v>
      </c>
      <c r="AJ33" s="10">
        <f t="shared" si="5"/>
        <v>5</v>
      </c>
    </row>
    <row r="34" spans="1:36" x14ac:dyDescent="0.45">
      <c r="A34">
        <v>5</v>
      </c>
      <c r="B34" t="str">
        <f t="shared" si="0"/>
        <v>e 1.5 deg no OS.g64</v>
      </c>
      <c r="C34">
        <f t="shared" si="2"/>
        <v>26</v>
      </c>
      <c r="D34" t="str">
        <f t="shared" si="1"/>
        <v>ts_064</v>
      </c>
      <c r="E34" t="str">
        <f t="shared" si="4"/>
        <v>C1</v>
      </c>
      <c r="AJ34" s="10">
        <f t="shared" si="5"/>
        <v>6</v>
      </c>
    </row>
    <row r="35" spans="1:36" x14ac:dyDescent="0.45">
      <c r="A35">
        <v>5</v>
      </c>
      <c r="B35" t="str">
        <f t="shared" si="0"/>
        <v>d 1.5 deg OS.g64</v>
      </c>
      <c r="C35">
        <f t="shared" si="2"/>
        <v>27</v>
      </c>
      <c r="D35" t="str">
        <f t="shared" si="1"/>
        <v>ts_064</v>
      </c>
      <c r="E35" t="str">
        <f t="shared" si="4"/>
        <v>C2</v>
      </c>
      <c r="AJ35" s="10">
        <f t="shared" si="5"/>
        <v>6</v>
      </c>
    </row>
    <row r="36" spans="1:36" x14ac:dyDescent="0.45">
      <c r="A36">
        <v>5</v>
      </c>
      <c r="B36" t="str">
        <f t="shared" si="0"/>
        <v>c 2 deg (67%).g64</v>
      </c>
      <c r="C36">
        <f t="shared" si="2"/>
        <v>28</v>
      </c>
      <c r="D36" t="str">
        <f t="shared" si="1"/>
        <v>ts_064</v>
      </c>
      <c r="E36" t="str">
        <f t="shared" si="4"/>
        <v>C3</v>
      </c>
      <c r="G36" s="2" t="s">
        <v>9</v>
      </c>
      <c r="AJ36" s="10">
        <f t="shared" si="5"/>
        <v>6</v>
      </c>
    </row>
    <row r="37" spans="1:36" x14ac:dyDescent="0.45">
      <c r="A37">
        <v>5</v>
      </c>
      <c r="B37" t="str">
        <f t="shared" si="0"/>
        <v>b 2 deg (50%).g64</v>
      </c>
      <c r="C37">
        <f t="shared" si="2"/>
        <v>29</v>
      </c>
      <c r="D37" t="str">
        <f t="shared" si="1"/>
        <v>ts_064</v>
      </c>
      <c r="E37" t="str">
        <f t="shared" si="4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1.07</v>
      </c>
      <c r="K37" s="11">
        <f>SUMIFS(ar6_r10!$F$2:$F$999,ar6_r10!$A$2:$A$999,Veda!$G$36,ar6_r10!$C$2:$C$999,Veda!K$17,ar6_r10!$M$2:$M$999,Veda!$G37)</f>
        <v>1.24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1.25</v>
      </c>
      <c r="N37" s="11">
        <f>SUMIFS(ar6_r10!$F$2:$F$999,ar6_r10!$A$2:$A$999,Veda!$G$36,ar6_r10!$C$2:$C$999,Veda!N$17,ar6_r10!$M$2:$M$999,Veda!$G37)</f>
        <v>1.17</v>
      </c>
      <c r="O37" s="11">
        <f>SUMIFS(ar6_r10!$F$2:$F$999,ar6_r10!$A$2:$A$999,Veda!$G$36,ar6_r10!$C$2:$C$999,Veda!O$17,ar6_r10!$M$2:$M$999,Veda!$G37)</f>
        <v>1.34</v>
      </c>
      <c r="AJ37" s="10">
        <f t="shared" si="5"/>
        <v>6</v>
      </c>
    </row>
    <row r="38" spans="1:36" x14ac:dyDescent="0.45">
      <c r="A38">
        <v>5</v>
      </c>
      <c r="B38" t="str">
        <f t="shared" si="0"/>
        <v>a 3 deg.g64</v>
      </c>
      <c r="C38">
        <f t="shared" si="2"/>
        <v>30</v>
      </c>
      <c r="D38" t="str">
        <f t="shared" si="1"/>
        <v>ts_064</v>
      </c>
      <c r="E38" t="str">
        <f t="shared" si="4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1.02</v>
      </c>
      <c r="K38" s="11">
        <f>SUMIFS(ar6_r10!$F$2:$F$999,ar6_r10!$A$2:$A$999,Veda!$G$36,ar6_r10!$C$2:$C$999,Veda!K$17,ar6_r10!$M$2:$M$999,Veda!$G38)</f>
        <v>1.06</v>
      </c>
      <c r="L38" s="11">
        <f>SUMIFS(ar6_r10!$F$2:$F$999,ar6_r10!$A$2:$A$999,Veda!$G$36,ar6_r10!$C$2:$C$999,Veda!L$17,ar6_r10!$M$2:$M$999,Veda!$G38)</f>
        <v>1.07</v>
      </c>
      <c r="M38" s="11">
        <f>SUMIFS(ar6_r10!$F$2:$F$999,ar6_r10!$A$2:$A$999,Veda!$G$36,ar6_r10!$C$2:$C$999,Veda!M$17,ar6_r10!$M$2:$M$999,Veda!$G38)</f>
        <v>1.08</v>
      </c>
      <c r="N38" s="11">
        <f>SUMIFS(ar6_r10!$F$2:$F$999,ar6_r10!$A$2:$A$999,Veda!$G$36,ar6_r10!$C$2:$C$999,Veda!N$17,ar6_r10!$M$2:$M$999,Veda!$G38)</f>
        <v>1.1000000000000001</v>
      </c>
      <c r="O38" s="11">
        <f>SUMIFS(ar6_r10!$F$2:$F$999,ar6_r10!$A$2:$A$999,Veda!$G$36,ar6_r10!$C$2:$C$999,Veda!O$17,ar6_r10!$M$2:$M$999,Veda!$G38)</f>
        <v>1.1200000000000001</v>
      </c>
      <c r="AJ38" s="10">
        <f t="shared" si="5"/>
        <v>6</v>
      </c>
    </row>
    <row r="39" spans="1:36" x14ac:dyDescent="0.45">
      <c r="A39">
        <v>5</v>
      </c>
      <c r="B39" t="str">
        <f t="shared" si="0"/>
        <v>e 1.5 deg no OS.f96p50</v>
      </c>
      <c r="C39">
        <f t="shared" si="2"/>
        <v>31</v>
      </c>
      <c r="D39" t="str">
        <f t="shared" si="1"/>
        <v>ts_096P50</v>
      </c>
      <c r="E39" t="str">
        <f t="shared" si="4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1.01</v>
      </c>
      <c r="K39" s="11">
        <f>SUMIFS(ar6_r10!$F$2:$F$999,ar6_r10!$A$2:$A$999,Veda!$G$36,ar6_r10!$C$2:$C$999,Veda!K$17,ar6_r10!$M$2:$M$999,Veda!$G39)</f>
        <v>1.1100000000000001</v>
      </c>
      <c r="L39" s="11">
        <f>SUMIFS(ar6_r10!$F$2:$F$999,ar6_r10!$A$2:$A$999,Veda!$G$36,ar6_r10!$C$2:$C$999,Veda!L$17,ar6_r10!$M$2:$M$999,Veda!$G39)</f>
        <v>1.01</v>
      </c>
      <c r="M39" s="11">
        <f>SUMIFS(ar6_r10!$F$2:$F$999,ar6_r10!$A$2:$A$999,Veda!$G$36,ar6_r10!$C$2:$C$999,Veda!M$17,ar6_r10!$M$2:$M$999,Veda!$G39)</f>
        <v>1.01</v>
      </c>
      <c r="N39" s="11">
        <f>SUMIFS(ar6_r10!$F$2:$F$999,ar6_r10!$A$2:$A$999,Veda!$G$36,ar6_r10!$C$2:$C$999,Veda!N$17,ar6_r10!$M$2:$M$999,Veda!$G39)</f>
        <v>1.04</v>
      </c>
      <c r="O39" s="11">
        <f>SUMIFS(ar6_r10!$F$2:$F$999,ar6_r10!$A$2:$A$999,Veda!$G$36,ar6_r10!$C$2:$C$999,Veda!O$17,ar6_r10!$M$2:$M$999,Veda!$G39)</f>
        <v>1.1399999999999999</v>
      </c>
      <c r="AJ39" s="10">
        <f t="shared" si="5"/>
        <v>7</v>
      </c>
    </row>
    <row r="40" spans="1:36" x14ac:dyDescent="0.45">
      <c r="A40">
        <v>5</v>
      </c>
      <c r="B40" t="str">
        <f t="shared" si="0"/>
        <v>d 1.5 deg OS.f96p50</v>
      </c>
      <c r="C40">
        <f t="shared" si="2"/>
        <v>32</v>
      </c>
      <c r="D40" t="str">
        <f t="shared" si="1"/>
        <v>ts_096P50</v>
      </c>
      <c r="E40" t="str">
        <f t="shared" si="4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0.96</v>
      </c>
      <c r="K40" s="11">
        <f>SUMIFS(ar6_r10!$F$2:$F$999,ar6_r10!$A$2:$A$999,Veda!$G$36,ar6_r10!$C$2:$C$999,Veda!K$17,ar6_r10!$M$2:$M$999,Veda!$G40)</f>
        <v>1.04</v>
      </c>
      <c r="L40" s="11">
        <f>SUMIFS(ar6_r10!$F$2:$F$999,ar6_r10!$A$2:$A$999,Veda!$G$36,ar6_r10!$C$2:$C$999,Veda!L$17,ar6_r10!$M$2:$M$999,Veda!$G40)</f>
        <v>1.04</v>
      </c>
      <c r="M40" s="11">
        <f>SUMIFS(ar6_r10!$F$2:$F$999,ar6_r10!$A$2:$A$999,Veda!$G$36,ar6_r10!$C$2:$C$999,Veda!M$17,ar6_r10!$M$2:$M$999,Veda!$G40)</f>
        <v>0.98</v>
      </c>
      <c r="N40" s="11">
        <f>SUMIFS(ar6_r10!$F$2:$F$999,ar6_r10!$A$2:$A$999,Veda!$G$36,ar6_r10!$C$2:$C$999,Veda!N$17,ar6_r10!$M$2:$M$999,Veda!$G40)</f>
        <v>0.99</v>
      </c>
      <c r="O40" s="11">
        <f>SUMIFS(ar6_r10!$F$2:$F$999,ar6_r10!$A$2:$A$999,Veda!$G$36,ar6_r10!$C$2:$C$999,Veda!O$17,ar6_r10!$M$2:$M$999,Veda!$G40)</f>
        <v>1</v>
      </c>
      <c r="AJ40" s="10">
        <f t="shared" si="5"/>
        <v>7</v>
      </c>
    </row>
    <row r="41" spans="1:36" x14ac:dyDescent="0.45">
      <c r="A41">
        <v>5</v>
      </c>
      <c r="B41" t="str">
        <f t="shared" si="0"/>
        <v>c 2 deg (67%).f96p50</v>
      </c>
      <c r="C41">
        <f t="shared" si="2"/>
        <v>33</v>
      </c>
      <c r="D41" t="str">
        <f t="shared" si="1"/>
        <v>ts_096P50</v>
      </c>
      <c r="E41" t="str">
        <f t="shared" si="4"/>
        <v>C3</v>
      </c>
      <c r="AJ41" s="10">
        <f t="shared" si="5"/>
        <v>7</v>
      </c>
    </row>
    <row r="42" spans="1:36" x14ac:dyDescent="0.45">
      <c r="A42">
        <v>5</v>
      </c>
      <c r="B42" t="str">
        <f t="shared" si="0"/>
        <v>b 2 deg (50%).f96p50</v>
      </c>
      <c r="C42">
        <f t="shared" si="2"/>
        <v>34</v>
      </c>
      <c r="D42" t="str">
        <f t="shared" si="1"/>
        <v>ts_096P50</v>
      </c>
      <c r="E42" t="str">
        <f t="shared" si="4"/>
        <v>C4</v>
      </c>
      <c r="AJ42" s="10">
        <f t="shared" si="5"/>
        <v>7</v>
      </c>
    </row>
    <row r="43" spans="1:36" x14ac:dyDescent="0.45">
      <c r="A43">
        <v>5</v>
      </c>
      <c r="B43" t="str">
        <f t="shared" si="0"/>
        <v>a 3 deg.f96p50</v>
      </c>
      <c r="C43">
        <f t="shared" si="2"/>
        <v>35</v>
      </c>
      <c r="D43" t="str">
        <f t="shared" si="1"/>
        <v>ts_096P50</v>
      </c>
      <c r="E43" t="str">
        <f t="shared" si="4"/>
        <v>C7</v>
      </c>
      <c r="G43" t="s">
        <v>141</v>
      </c>
      <c r="AJ43" s="10">
        <f t="shared" si="5"/>
        <v>7</v>
      </c>
    </row>
    <row r="44" spans="1:36" x14ac:dyDescent="0.45">
      <c r="A44">
        <v>5</v>
      </c>
      <c r="B44" t="str">
        <f t="shared" si="0"/>
        <v>e 1.5 deg no OS.f96p10</v>
      </c>
      <c r="C44">
        <f t="shared" si="2"/>
        <v>36</v>
      </c>
      <c r="D44" t="str">
        <f t="shared" si="1"/>
        <v>ts_096P10</v>
      </c>
      <c r="E44" t="str">
        <f t="shared" si="4"/>
        <v>C1</v>
      </c>
      <c r="G44" t="s">
        <v>13</v>
      </c>
      <c r="H44" t="s">
        <v>107</v>
      </c>
      <c r="I44">
        <v>2022</v>
      </c>
      <c r="J44">
        <f>J17</f>
        <v>2025</v>
      </c>
      <c r="K44">
        <f t="shared" ref="K44:O44" si="11">K17</f>
        <v>2030</v>
      </c>
      <c r="L44">
        <f t="shared" si="11"/>
        <v>2035</v>
      </c>
      <c r="M44">
        <f t="shared" si="11"/>
        <v>2040</v>
      </c>
      <c r="N44">
        <f t="shared" si="11"/>
        <v>2045</v>
      </c>
      <c r="O44">
        <f t="shared" si="11"/>
        <v>2050</v>
      </c>
      <c r="R44" t="s">
        <v>82</v>
      </c>
      <c r="S44" t="s">
        <v>83</v>
      </c>
      <c r="AJ44" s="10">
        <f t="shared" si="5"/>
        <v>8</v>
      </c>
    </row>
    <row r="45" spans="1:36" x14ac:dyDescent="0.45">
      <c r="A45">
        <v>5</v>
      </c>
      <c r="B45" t="str">
        <f t="shared" si="0"/>
        <v>d 1.5 deg OS.f96p10</v>
      </c>
      <c r="C45">
        <f t="shared" si="2"/>
        <v>37</v>
      </c>
      <c r="D45" t="str">
        <f t="shared" si="1"/>
        <v>ts_096P10</v>
      </c>
      <c r="E45" t="str">
        <f t="shared" si="4"/>
        <v>C2</v>
      </c>
      <c r="G45" t="s">
        <v>78</v>
      </c>
      <c r="H45" t="str">
        <f>G45</f>
        <v>Gas</v>
      </c>
      <c r="I45">
        <f t="shared" ref="I45:O48" si="12">AVERAGE($R45:$S45)*I37</f>
        <v>33.4</v>
      </c>
      <c r="J45">
        <f t="shared" si="12"/>
        <v>35.738</v>
      </c>
      <c r="K45">
        <f t="shared" si="12"/>
        <v>41.415999999999997</v>
      </c>
      <c r="L45">
        <f t="shared" si="12"/>
        <v>38.409999999999997</v>
      </c>
      <c r="M45">
        <f t="shared" si="12"/>
        <v>41.75</v>
      </c>
      <c r="N45">
        <f t="shared" si="12"/>
        <v>39.077999999999996</v>
      </c>
      <c r="O45">
        <f t="shared" si="12"/>
        <v>44.756</v>
      </c>
      <c r="R45">
        <f>HLOOKUP($G45&amp;"_"&amp;R$44,fuel_prices!$B$10:$I$11,2,FALSE)</f>
        <v>27.4</v>
      </c>
      <c r="S45">
        <f>HLOOKUP($G45&amp;"_"&amp;S$44,fuel_prices!$B$10:$I$11,2,FALSE)</f>
        <v>39.4</v>
      </c>
      <c r="AJ45" s="10">
        <f t="shared" si="5"/>
        <v>8</v>
      </c>
    </row>
    <row r="46" spans="1:36" x14ac:dyDescent="0.45">
      <c r="A46">
        <v>5</v>
      </c>
      <c r="B46" t="str">
        <f t="shared" si="0"/>
        <v>c 2 deg (67%).f96p10</v>
      </c>
      <c r="C46">
        <f t="shared" si="2"/>
        <v>38</v>
      </c>
      <c r="D46" t="str">
        <f t="shared" si="1"/>
        <v>ts_096P10</v>
      </c>
      <c r="E46" t="str">
        <f t="shared" si="4"/>
        <v>C3</v>
      </c>
      <c r="G46" t="s">
        <v>79</v>
      </c>
      <c r="H46" t="str">
        <f t="shared" ref="H46:H48" si="13">G46</f>
        <v>Coal</v>
      </c>
      <c r="I46">
        <f t="shared" si="12"/>
        <v>12.2</v>
      </c>
      <c r="J46">
        <f t="shared" si="12"/>
        <v>12.443999999999999</v>
      </c>
      <c r="K46">
        <f t="shared" si="12"/>
        <v>12.932</v>
      </c>
      <c r="L46">
        <f t="shared" si="12"/>
        <v>13.054</v>
      </c>
      <c r="M46">
        <f t="shared" si="12"/>
        <v>13.176</v>
      </c>
      <c r="N46">
        <f t="shared" si="12"/>
        <v>13.42</v>
      </c>
      <c r="O46">
        <f t="shared" si="12"/>
        <v>13.664</v>
      </c>
      <c r="R46">
        <f>HLOOKUP($G46&amp;"_"&amp;R$44,fuel_prices!$B$10:$I$11,2,FALSE)</f>
        <v>10.7</v>
      </c>
      <c r="S46">
        <f>HLOOKUP($G46&amp;"_"&amp;S$44,fuel_prices!$B$10:$I$11,2,FALSE)</f>
        <v>13.7</v>
      </c>
      <c r="AJ46" s="10">
        <f t="shared" si="5"/>
        <v>8</v>
      </c>
    </row>
    <row r="47" spans="1:36" x14ac:dyDescent="0.45">
      <c r="A47">
        <v>5</v>
      </c>
      <c r="B47" t="str">
        <f t="shared" si="0"/>
        <v>b 2 deg (50%).f96p10</v>
      </c>
      <c r="C47">
        <f t="shared" si="2"/>
        <v>39</v>
      </c>
      <c r="D47" t="str">
        <f t="shared" si="1"/>
        <v>ts_096P10</v>
      </c>
      <c r="E47" t="str">
        <f t="shared" si="4"/>
        <v>C4</v>
      </c>
      <c r="G47" t="s">
        <v>80</v>
      </c>
      <c r="H47" t="str">
        <f t="shared" si="13"/>
        <v>Oil</v>
      </c>
      <c r="I47">
        <f t="shared" si="12"/>
        <v>53</v>
      </c>
      <c r="J47">
        <f t="shared" si="12"/>
        <v>53.53</v>
      </c>
      <c r="K47">
        <f t="shared" si="12"/>
        <v>58.830000000000005</v>
      </c>
      <c r="L47">
        <f t="shared" si="12"/>
        <v>53.53</v>
      </c>
      <c r="M47">
        <f t="shared" si="12"/>
        <v>53.53</v>
      </c>
      <c r="N47">
        <f t="shared" si="12"/>
        <v>55.120000000000005</v>
      </c>
      <c r="O47">
        <f t="shared" si="12"/>
        <v>60.419999999999995</v>
      </c>
      <c r="R47">
        <f>HLOOKUP($G47&amp;"_"&amp;R$44,fuel_prices!$B$10:$I$11,2,FALSE)</f>
        <v>48</v>
      </c>
      <c r="S47">
        <f>HLOOKUP($G47&amp;"_"&amp;S$44,fuel_prices!$B$10:$I$11,2,FALSE)</f>
        <v>58</v>
      </c>
      <c r="AJ47" s="10">
        <f t="shared" si="5"/>
        <v>8</v>
      </c>
    </row>
    <row r="48" spans="1:36" x14ac:dyDescent="0.45">
      <c r="A48">
        <v>5</v>
      </c>
      <c r="B48" t="str">
        <f t="shared" si="0"/>
        <v>a 3 deg.f96p10</v>
      </c>
      <c r="C48">
        <f t="shared" si="2"/>
        <v>40</v>
      </c>
      <c r="D48" t="str">
        <f t="shared" si="1"/>
        <v>ts_096P10</v>
      </c>
      <c r="E48" t="str">
        <f t="shared" si="4"/>
        <v>C7</v>
      </c>
      <c r="G48" t="s">
        <v>81</v>
      </c>
      <c r="H48" t="str">
        <f t="shared" si="13"/>
        <v>Bioenergy</v>
      </c>
      <c r="I48">
        <f t="shared" si="12"/>
        <v>26</v>
      </c>
      <c r="O48">
        <f>VLOOKUP($E$5,$AK$9:$AM$15,3,FALSE)*I48</f>
        <v>78</v>
      </c>
      <c r="R48">
        <f>HLOOKUP($G48&amp;"_"&amp;R$44,fuel_prices!$B$10:$I$11,2,FALSE)</f>
        <v>22</v>
      </c>
      <c r="S48">
        <f>HLOOKUP($G48&amp;"_"&amp;S$44,fuel_prices!$B$10:$I$11,2,FALSE)</f>
        <v>30</v>
      </c>
      <c r="AJ48" s="10">
        <f t="shared" si="5"/>
        <v>8</v>
      </c>
    </row>
    <row r="49" spans="1:36" x14ac:dyDescent="0.45">
      <c r="A49">
        <v>5</v>
      </c>
      <c r="B49" t="str">
        <f t="shared" si="0"/>
        <v>e 1.5 deg no OS.f96p90</v>
      </c>
      <c r="C49">
        <f t="shared" si="2"/>
        <v>41</v>
      </c>
      <c r="D49" t="str">
        <f t="shared" si="1"/>
        <v>ts_096P90</v>
      </c>
      <c r="E49" t="str">
        <f t="shared" si="4"/>
        <v>C1</v>
      </c>
      <c r="AJ49" s="10">
        <f t="shared" si="5"/>
        <v>9</v>
      </c>
    </row>
    <row r="50" spans="1:36" x14ac:dyDescent="0.45">
      <c r="A50">
        <v>5</v>
      </c>
      <c r="B50" t="str">
        <f t="shared" si="0"/>
        <v>d 1.5 deg OS.f96p90</v>
      </c>
      <c r="C50">
        <f t="shared" si="2"/>
        <v>42</v>
      </c>
      <c r="D50" t="str">
        <f t="shared" si="1"/>
        <v>ts_096P90</v>
      </c>
      <c r="E50" t="str">
        <f t="shared" si="4"/>
        <v>C2</v>
      </c>
      <c r="AJ50" s="10">
        <f t="shared" si="5"/>
        <v>9</v>
      </c>
    </row>
    <row r="51" spans="1:36" x14ac:dyDescent="0.45">
      <c r="A51">
        <v>5</v>
      </c>
      <c r="B51" t="str">
        <f t="shared" si="0"/>
        <v>c 2 deg (67%).f96p90</v>
      </c>
      <c r="C51">
        <f t="shared" si="2"/>
        <v>43</v>
      </c>
      <c r="D51" t="str">
        <f t="shared" si="1"/>
        <v>ts_096P90</v>
      </c>
      <c r="E51" t="str">
        <f t="shared" si="4"/>
        <v>C3</v>
      </c>
      <c r="AJ51" s="10">
        <f t="shared" si="5"/>
        <v>9</v>
      </c>
    </row>
    <row r="52" spans="1:36" x14ac:dyDescent="0.45">
      <c r="A52">
        <v>5</v>
      </c>
      <c r="B52" t="str">
        <f t="shared" si="0"/>
        <v>b 2 deg (50%).f96p90</v>
      </c>
      <c r="C52">
        <f t="shared" si="2"/>
        <v>44</v>
      </c>
      <c r="D52" t="str">
        <f t="shared" si="1"/>
        <v>ts_096P90</v>
      </c>
      <c r="E52" t="str">
        <f t="shared" si="4"/>
        <v>C4</v>
      </c>
      <c r="AJ52" s="10">
        <f t="shared" si="5"/>
        <v>9</v>
      </c>
    </row>
    <row r="53" spans="1:36" x14ac:dyDescent="0.45">
      <c r="A53">
        <v>5</v>
      </c>
      <c r="B53" t="str">
        <f t="shared" si="0"/>
        <v>a 3 deg.f96p90</v>
      </c>
      <c r="C53">
        <f t="shared" si="2"/>
        <v>45</v>
      </c>
      <c r="D53" t="str">
        <f t="shared" si="1"/>
        <v>ts_096P90</v>
      </c>
      <c r="E53" t="str">
        <f t="shared" si="4"/>
        <v>C7</v>
      </c>
      <c r="AJ53" s="10">
        <f t="shared" si="5"/>
        <v>9</v>
      </c>
    </row>
    <row r="54" spans="1:36" x14ac:dyDescent="0.45">
      <c r="A54">
        <v>5</v>
      </c>
      <c r="B54" t="str">
        <f t="shared" si="0"/>
        <v>e 1.5 deg no OS.e3d</v>
      </c>
      <c r="C54">
        <f t="shared" si="2"/>
        <v>46</v>
      </c>
      <c r="D54" t="str">
        <f t="shared" si="1"/>
        <v>s1p1v1_d</v>
      </c>
      <c r="E54" t="str">
        <f t="shared" si="4"/>
        <v>C1</v>
      </c>
      <c r="AJ54" s="10">
        <f t="shared" si="5"/>
        <v>10</v>
      </c>
    </row>
    <row r="55" spans="1:36" x14ac:dyDescent="0.45">
      <c r="A55">
        <v>5</v>
      </c>
      <c r="B55" t="str">
        <f t="shared" si="0"/>
        <v>d 1.5 deg OS.e3d</v>
      </c>
      <c r="C55">
        <f t="shared" si="2"/>
        <v>47</v>
      </c>
      <c r="D55" t="str">
        <f t="shared" si="1"/>
        <v>s1p1v1_d</v>
      </c>
      <c r="E55" t="str">
        <f t="shared" si="4"/>
        <v>C2</v>
      </c>
      <c r="AJ55" s="10">
        <f t="shared" si="5"/>
        <v>10</v>
      </c>
    </row>
    <row r="56" spans="1:36" x14ac:dyDescent="0.45">
      <c r="A56">
        <v>5</v>
      </c>
      <c r="B56" t="str">
        <f t="shared" si="0"/>
        <v>c 2 deg (67%).e3d</v>
      </c>
      <c r="C56">
        <f t="shared" si="2"/>
        <v>48</v>
      </c>
      <c r="D56" t="str">
        <f t="shared" si="1"/>
        <v>s1p1v1_d</v>
      </c>
      <c r="E56" t="str">
        <f t="shared" si="4"/>
        <v>C3</v>
      </c>
      <c r="AJ56" s="10">
        <f t="shared" si="5"/>
        <v>10</v>
      </c>
    </row>
    <row r="57" spans="1:36" x14ac:dyDescent="0.45">
      <c r="A57">
        <v>5</v>
      </c>
      <c r="B57" t="str">
        <f t="shared" si="0"/>
        <v>b 2 deg (50%).e3d</v>
      </c>
      <c r="C57">
        <f t="shared" si="2"/>
        <v>49</v>
      </c>
      <c r="D57" t="str">
        <f t="shared" si="1"/>
        <v>s1p1v1_d</v>
      </c>
      <c r="E57" t="str">
        <f t="shared" si="4"/>
        <v>C4</v>
      </c>
      <c r="AJ57" s="10">
        <f t="shared" si="5"/>
        <v>10</v>
      </c>
    </row>
    <row r="58" spans="1:36" x14ac:dyDescent="0.45">
      <c r="A58">
        <v>5</v>
      </c>
      <c r="B58" t="str">
        <f t="shared" si="0"/>
        <v>a 3 deg.e3d</v>
      </c>
      <c r="C58">
        <f t="shared" si="2"/>
        <v>50</v>
      </c>
      <c r="D58" t="str">
        <f t="shared" si="1"/>
        <v>s1p1v1_d</v>
      </c>
      <c r="E58" t="str">
        <f t="shared" si="4"/>
        <v>C7</v>
      </c>
      <c r="AJ58" s="10">
        <f t="shared" si="5"/>
        <v>10</v>
      </c>
    </row>
    <row r="59" spans="1:36" x14ac:dyDescent="0.45">
      <c r="A59">
        <v>5</v>
      </c>
      <c r="B59" t="str">
        <f t="shared" si="0"/>
        <v>e 1.5 deg no OS.d9d</v>
      </c>
      <c r="C59">
        <f t="shared" si="2"/>
        <v>51</v>
      </c>
      <c r="D59" t="str">
        <f t="shared" si="1"/>
        <v>s3p3v3_d</v>
      </c>
      <c r="E59" t="str">
        <f t="shared" si="4"/>
        <v>C1</v>
      </c>
      <c r="AJ59" s="10">
        <f t="shared" si="5"/>
        <v>11</v>
      </c>
    </row>
    <row r="60" spans="1:36" x14ac:dyDescent="0.45">
      <c r="A60">
        <v>5</v>
      </c>
      <c r="B60" t="str">
        <f t="shared" si="0"/>
        <v>d 1.5 deg OS.d9d</v>
      </c>
      <c r="C60">
        <f t="shared" si="2"/>
        <v>52</v>
      </c>
      <c r="D60" t="str">
        <f t="shared" si="1"/>
        <v>s3p3v3_d</v>
      </c>
      <c r="E60" t="str">
        <f t="shared" si="4"/>
        <v>C2</v>
      </c>
      <c r="AJ60" s="10">
        <f t="shared" si="5"/>
        <v>11</v>
      </c>
    </row>
    <row r="61" spans="1:36" x14ac:dyDescent="0.45">
      <c r="A61">
        <v>5</v>
      </c>
      <c r="B61" t="str">
        <f t="shared" si="0"/>
        <v>c 2 deg (67%).d9d</v>
      </c>
      <c r="C61">
        <f t="shared" si="2"/>
        <v>53</v>
      </c>
      <c r="D61" t="str">
        <f t="shared" si="1"/>
        <v>s3p3v3_d</v>
      </c>
      <c r="E61" t="str">
        <f t="shared" si="4"/>
        <v>C3</v>
      </c>
      <c r="AJ61" s="10">
        <f t="shared" si="5"/>
        <v>11</v>
      </c>
    </row>
    <row r="62" spans="1:36" x14ac:dyDescent="0.45">
      <c r="A62">
        <v>5</v>
      </c>
      <c r="B62" t="str">
        <f t="shared" si="0"/>
        <v>b 2 deg (50%).d9d</v>
      </c>
      <c r="C62">
        <f t="shared" si="2"/>
        <v>54</v>
      </c>
      <c r="D62" t="str">
        <f t="shared" si="1"/>
        <v>s3p3v3_d</v>
      </c>
      <c r="E62" t="str">
        <f t="shared" si="4"/>
        <v>C4</v>
      </c>
      <c r="AJ62" s="10">
        <f t="shared" si="5"/>
        <v>11</v>
      </c>
    </row>
    <row r="63" spans="1:36" x14ac:dyDescent="0.45">
      <c r="A63">
        <v>5</v>
      </c>
      <c r="B63" t="str">
        <f t="shared" si="0"/>
        <v>a 3 deg.d9d</v>
      </c>
      <c r="C63">
        <f t="shared" si="2"/>
        <v>55</v>
      </c>
      <c r="D63" t="str">
        <f t="shared" si="1"/>
        <v>s3p3v3_d</v>
      </c>
      <c r="E63" t="str">
        <f t="shared" si="4"/>
        <v>C7</v>
      </c>
      <c r="AJ63" s="10">
        <f t="shared" si="5"/>
        <v>11</v>
      </c>
    </row>
    <row r="64" spans="1:36" x14ac:dyDescent="0.45">
      <c r="A64">
        <v>5</v>
      </c>
      <c r="B64" t="str">
        <f t="shared" si="0"/>
        <v>e 1.5 deg no OS.c15d</v>
      </c>
      <c r="C64">
        <f t="shared" si="2"/>
        <v>56</v>
      </c>
      <c r="D64" t="str">
        <f t="shared" ref="D64:D78" si="14">VLOOKUP(AJ64,$AG$9:$AH$22,2,FALSE)</f>
        <v>s5p5v5_d</v>
      </c>
      <c r="E64" t="str">
        <f t="shared" si="4"/>
        <v>C1</v>
      </c>
      <c r="AJ64" s="10">
        <f t="shared" si="5"/>
        <v>12</v>
      </c>
    </row>
    <row r="65" spans="1:36" x14ac:dyDescent="0.45">
      <c r="A65">
        <v>5</v>
      </c>
      <c r="B65" t="str">
        <f t="shared" si="0"/>
        <v>d 1.5 deg OS.c15d</v>
      </c>
      <c r="C65">
        <f t="shared" si="2"/>
        <v>57</v>
      </c>
      <c r="D65" t="str">
        <f t="shared" si="14"/>
        <v>s5p5v5_d</v>
      </c>
      <c r="E65" t="str">
        <f t="shared" si="4"/>
        <v>C2</v>
      </c>
      <c r="AJ65" s="10">
        <f t="shared" si="5"/>
        <v>12</v>
      </c>
    </row>
    <row r="66" spans="1:36" x14ac:dyDescent="0.45">
      <c r="A66">
        <v>5</v>
      </c>
      <c r="B66" t="str">
        <f t="shared" si="0"/>
        <v>c 2 deg (67%).c15d</v>
      </c>
      <c r="C66">
        <f t="shared" si="2"/>
        <v>58</v>
      </c>
      <c r="D66" t="str">
        <f t="shared" si="14"/>
        <v>s5p5v5_d</v>
      </c>
      <c r="E66" t="str">
        <f t="shared" si="4"/>
        <v>C3</v>
      </c>
      <c r="AJ66" s="10">
        <f t="shared" si="5"/>
        <v>12</v>
      </c>
    </row>
    <row r="67" spans="1:36" x14ac:dyDescent="0.45">
      <c r="A67">
        <v>5</v>
      </c>
      <c r="B67" t="str">
        <f t="shared" si="0"/>
        <v>b 2 deg (50%).c15d</v>
      </c>
      <c r="C67">
        <f t="shared" si="2"/>
        <v>59</v>
      </c>
      <c r="D67" t="str">
        <f t="shared" si="14"/>
        <v>s5p5v5_d</v>
      </c>
      <c r="E67" t="str">
        <f t="shared" si="4"/>
        <v>C4</v>
      </c>
      <c r="AJ67" s="10">
        <f t="shared" si="5"/>
        <v>12</v>
      </c>
    </row>
    <row r="68" spans="1:36" x14ac:dyDescent="0.45">
      <c r="A68">
        <v>5</v>
      </c>
      <c r="B68" t="str">
        <f t="shared" si="0"/>
        <v>a 3 deg.c15d</v>
      </c>
      <c r="C68">
        <f t="shared" si="2"/>
        <v>60</v>
      </c>
      <c r="D68" t="str">
        <f t="shared" si="14"/>
        <v>s5p5v5_d</v>
      </c>
      <c r="E68" t="str">
        <f t="shared" si="4"/>
        <v>C7</v>
      </c>
      <c r="AJ68" s="10">
        <f t="shared" si="5"/>
        <v>12</v>
      </c>
    </row>
    <row r="69" spans="1:36" x14ac:dyDescent="0.45">
      <c r="A69">
        <v>5</v>
      </c>
      <c r="B69" t="str">
        <f t="shared" si="0"/>
        <v>e 1.5 deg no OS.b2w</v>
      </c>
      <c r="C69">
        <f t="shared" si="2"/>
        <v>61</v>
      </c>
      <c r="D69" t="str">
        <f t="shared" si="14"/>
        <v>s2_w</v>
      </c>
      <c r="E69" t="str">
        <f t="shared" si="4"/>
        <v>C1</v>
      </c>
      <c r="AJ69" s="10">
        <f t="shared" si="5"/>
        <v>13</v>
      </c>
    </row>
    <row r="70" spans="1:36" x14ac:dyDescent="0.45">
      <c r="A70">
        <v>5</v>
      </c>
      <c r="B70" t="str">
        <f t="shared" si="0"/>
        <v>d 1.5 deg OS.b2w</v>
      </c>
      <c r="C70">
        <f t="shared" si="2"/>
        <v>62</v>
      </c>
      <c r="D70" t="str">
        <f t="shared" si="14"/>
        <v>s2_w</v>
      </c>
      <c r="E70" t="str">
        <f t="shared" si="4"/>
        <v>C2</v>
      </c>
      <c r="AJ70" s="10">
        <f t="shared" si="5"/>
        <v>13</v>
      </c>
    </row>
    <row r="71" spans="1:36" x14ac:dyDescent="0.45">
      <c r="A71">
        <v>5</v>
      </c>
      <c r="B71" t="str">
        <f t="shared" si="0"/>
        <v>c 2 deg (67%).b2w</v>
      </c>
      <c r="C71">
        <f t="shared" si="2"/>
        <v>63</v>
      </c>
      <c r="D71" t="str">
        <f t="shared" si="14"/>
        <v>s2_w</v>
      </c>
      <c r="E71" t="str">
        <f t="shared" si="4"/>
        <v>C3</v>
      </c>
      <c r="AJ71" s="10">
        <f t="shared" si="5"/>
        <v>13</v>
      </c>
    </row>
    <row r="72" spans="1:36" x14ac:dyDescent="0.45">
      <c r="A72">
        <v>5</v>
      </c>
      <c r="B72" t="str">
        <f t="shared" si="0"/>
        <v>b 2 deg (50%).b2w</v>
      </c>
      <c r="C72">
        <f t="shared" si="2"/>
        <v>64</v>
      </c>
      <c r="D72" t="str">
        <f t="shared" si="14"/>
        <v>s2_w</v>
      </c>
      <c r="E72" t="str">
        <f t="shared" si="4"/>
        <v>C4</v>
      </c>
      <c r="AJ72" s="10">
        <f t="shared" si="5"/>
        <v>13</v>
      </c>
    </row>
    <row r="73" spans="1:36" x14ac:dyDescent="0.45">
      <c r="A73">
        <v>5</v>
      </c>
      <c r="B73" t="str">
        <f t="shared" si="0"/>
        <v>a 3 deg.b2w</v>
      </c>
      <c r="C73">
        <f t="shared" si="2"/>
        <v>65</v>
      </c>
      <c r="D73" t="str">
        <f t="shared" si="14"/>
        <v>s2_w</v>
      </c>
      <c r="E73" t="str">
        <f t="shared" si="4"/>
        <v>C7</v>
      </c>
      <c r="AJ73" s="10">
        <f t="shared" si="5"/>
        <v>13</v>
      </c>
    </row>
    <row r="74" spans="1:36" x14ac:dyDescent="0.45">
      <c r="A74">
        <v>5</v>
      </c>
      <c r="B74" t="str">
        <f t="shared" ref="B74:B78" si="15">VLOOKUP(E74,$AK$9:$AL$15,2,FALSE)&amp;"."&amp;VLOOKUP(D74,$AH$9:$AI$24,2,FALSE)</f>
        <v>e 1.5 deg no OS.a2w2d</v>
      </c>
      <c r="C74">
        <f t="shared" si="2"/>
        <v>66</v>
      </c>
      <c r="D74" t="str">
        <f t="shared" si="14"/>
        <v>s2_w_p2_d</v>
      </c>
      <c r="E74" t="str">
        <f t="shared" si="4"/>
        <v>C1</v>
      </c>
      <c r="AJ74" s="10">
        <f t="shared" si="5"/>
        <v>14</v>
      </c>
    </row>
    <row r="75" spans="1:36" x14ac:dyDescent="0.45">
      <c r="A75">
        <v>5</v>
      </c>
      <c r="B75" t="str">
        <f t="shared" si="15"/>
        <v>d 1.5 deg OS.a2w2d</v>
      </c>
      <c r="C75">
        <f t="shared" ref="C75:C78" si="16">C74+1</f>
        <v>67</v>
      </c>
      <c r="D75" t="str">
        <f t="shared" si="14"/>
        <v>s2_w_p2_d</v>
      </c>
      <c r="E75" t="str">
        <f t="shared" si="4"/>
        <v>C2</v>
      </c>
      <c r="AJ75" s="10">
        <f t="shared" si="5"/>
        <v>14</v>
      </c>
    </row>
    <row r="76" spans="1:36" x14ac:dyDescent="0.45">
      <c r="A76">
        <v>5</v>
      </c>
      <c r="B76" t="str">
        <f t="shared" si="15"/>
        <v>c 2 deg (67%).a2w2d</v>
      </c>
      <c r="C76">
        <f t="shared" si="16"/>
        <v>68</v>
      </c>
      <c r="D76" t="str">
        <f t="shared" si="14"/>
        <v>s2_w_p2_d</v>
      </c>
      <c r="E76" t="str">
        <f t="shared" si="4"/>
        <v>C3</v>
      </c>
      <c r="AJ76" s="10">
        <f t="shared" si="5"/>
        <v>14</v>
      </c>
    </row>
    <row r="77" spans="1:36" x14ac:dyDescent="0.45">
      <c r="A77">
        <v>5</v>
      </c>
      <c r="B77" t="str">
        <f t="shared" si="15"/>
        <v>b 2 deg (50%).a2w2d</v>
      </c>
      <c r="C77">
        <f t="shared" si="16"/>
        <v>69</v>
      </c>
      <c r="D77" t="str">
        <f t="shared" si="14"/>
        <v>s2_w_p2_d</v>
      </c>
      <c r="E77" t="str">
        <f t="shared" si="4"/>
        <v>C4</v>
      </c>
      <c r="AJ77" s="10">
        <f t="shared" si="5"/>
        <v>14</v>
      </c>
    </row>
    <row r="78" spans="1:36" x14ac:dyDescent="0.45">
      <c r="A78">
        <v>5</v>
      </c>
      <c r="B78" t="str">
        <f t="shared" si="15"/>
        <v>a 3 deg.a2w2d</v>
      </c>
      <c r="C78">
        <f t="shared" si="16"/>
        <v>70</v>
      </c>
      <c r="D78" t="str">
        <f t="shared" si="14"/>
        <v>s2_w_p2_d</v>
      </c>
      <c r="E78" t="str">
        <f t="shared" si="4"/>
        <v>C7</v>
      </c>
      <c r="AJ78" s="10">
        <f t="shared" si="5"/>
        <v>14</v>
      </c>
    </row>
    <row r="82" spans="1:6" x14ac:dyDescent="0.45">
      <c r="A82" t="s">
        <v>147</v>
      </c>
    </row>
    <row r="83" spans="1:6" x14ac:dyDescent="0.45">
      <c r="A83" t="s">
        <v>30</v>
      </c>
      <c r="B83" t="s">
        <v>31</v>
      </c>
      <c r="C83">
        <v>2024</v>
      </c>
      <c r="D83">
        <v>2030</v>
      </c>
      <c r="E83">
        <v>2040</v>
      </c>
      <c r="F83" t="s">
        <v>14</v>
      </c>
    </row>
    <row r="84" spans="1:6" x14ac:dyDescent="0.45">
      <c r="A84" t="s">
        <v>35</v>
      </c>
      <c r="B84" t="s">
        <v>148</v>
      </c>
      <c r="C84">
        <v>1.4550000000000001</v>
      </c>
      <c r="D84">
        <v>1.881</v>
      </c>
      <c r="E84">
        <v>1.881</v>
      </c>
      <c r="F84" t="s">
        <v>149</v>
      </c>
    </row>
    <row r="85" spans="1:6" x14ac:dyDescent="0.45">
      <c r="A85" t="s">
        <v>32</v>
      </c>
      <c r="B85" t="s">
        <v>148</v>
      </c>
      <c r="C85">
        <v>1.8</v>
      </c>
      <c r="D85">
        <v>3.3</v>
      </c>
      <c r="E85">
        <v>3.3</v>
      </c>
      <c r="F85" t="s">
        <v>149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143</v>
      </c>
      <c r="B11">
        <v>27.4</v>
      </c>
      <c r="C11">
        <v>39.4</v>
      </c>
      <c r="D11">
        <v>10.7</v>
      </c>
      <c r="E11">
        <v>13.7</v>
      </c>
      <c r="F11">
        <v>48</v>
      </c>
      <c r="G11">
        <v>58</v>
      </c>
      <c r="H11">
        <v>22</v>
      </c>
      <c r="I11">
        <v>30</v>
      </c>
      <c r="J11" t="s">
        <v>145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143</v>
      </c>
      <c r="B11">
        <v>2000</v>
      </c>
      <c r="C11">
        <v>75.849999999999994</v>
      </c>
      <c r="D11">
        <v>53.54</v>
      </c>
      <c r="E11">
        <v>4.3099999999999996</v>
      </c>
      <c r="F11">
        <v>0.02</v>
      </c>
      <c r="G11">
        <v>3.29</v>
      </c>
      <c r="H11">
        <v>-9.66</v>
      </c>
      <c r="I11">
        <v>143.16999999999999</v>
      </c>
    </row>
    <row r="12" spans="1:9" x14ac:dyDescent="0.45">
      <c r="A12" t="s">
        <v>143</v>
      </c>
      <c r="B12">
        <v>2001</v>
      </c>
      <c r="C12">
        <v>74.36</v>
      </c>
      <c r="D12">
        <v>55.12</v>
      </c>
      <c r="E12">
        <v>4.2699999999999996</v>
      </c>
      <c r="F12">
        <v>0.02</v>
      </c>
      <c r="G12">
        <v>4.3099999999999996</v>
      </c>
      <c r="H12">
        <v>-11.04</v>
      </c>
      <c r="I12">
        <v>143.72</v>
      </c>
    </row>
    <row r="13" spans="1:9" x14ac:dyDescent="0.45">
      <c r="A13" t="s">
        <v>143</v>
      </c>
      <c r="B13">
        <v>2002</v>
      </c>
      <c r="C13">
        <v>73.3</v>
      </c>
      <c r="D13">
        <v>54.71</v>
      </c>
      <c r="E13">
        <v>4.29</v>
      </c>
      <c r="F13">
        <v>0.02</v>
      </c>
      <c r="G13">
        <v>4.47</v>
      </c>
      <c r="H13">
        <v>-11.54</v>
      </c>
      <c r="I13">
        <v>142.5</v>
      </c>
    </row>
    <row r="14" spans="1:9" x14ac:dyDescent="0.45">
      <c r="A14" t="s">
        <v>143</v>
      </c>
      <c r="B14">
        <v>2003</v>
      </c>
      <c r="C14">
        <v>75.86</v>
      </c>
      <c r="D14">
        <v>56.23</v>
      </c>
      <c r="E14">
        <v>4.37</v>
      </c>
      <c r="F14">
        <v>0.02</v>
      </c>
      <c r="G14">
        <v>4.99</v>
      </c>
      <c r="H14">
        <v>-15.15</v>
      </c>
      <c r="I14">
        <v>150.01</v>
      </c>
    </row>
    <row r="15" spans="1:9" x14ac:dyDescent="0.45">
      <c r="A15" t="s">
        <v>143</v>
      </c>
      <c r="B15">
        <v>2004</v>
      </c>
      <c r="C15">
        <v>78.180000000000007</v>
      </c>
      <c r="D15">
        <v>57.95</v>
      </c>
      <c r="E15">
        <v>3.88</v>
      </c>
      <c r="F15">
        <v>0.02</v>
      </c>
      <c r="G15">
        <v>5.31</v>
      </c>
      <c r="H15">
        <v>-14.6</v>
      </c>
      <c r="I15">
        <v>152.55000000000001</v>
      </c>
    </row>
    <row r="16" spans="1:9" x14ac:dyDescent="0.45">
      <c r="A16" t="s">
        <v>143</v>
      </c>
      <c r="B16">
        <v>2005</v>
      </c>
      <c r="C16">
        <v>77.150000000000006</v>
      </c>
      <c r="D16">
        <v>60.1</v>
      </c>
      <c r="E16">
        <v>3.55</v>
      </c>
      <c r="F16">
        <v>0.02</v>
      </c>
      <c r="G16">
        <v>5</v>
      </c>
      <c r="H16">
        <v>-16.190000000000001</v>
      </c>
      <c r="I16">
        <v>155.36000000000001</v>
      </c>
    </row>
    <row r="17" spans="1:9" x14ac:dyDescent="0.45">
      <c r="A17" t="s">
        <v>143</v>
      </c>
      <c r="B17">
        <v>2006</v>
      </c>
      <c r="C17">
        <v>78.91</v>
      </c>
      <c r="D17">
        <v>64.7</v>
      </c>
      <c r="E17">
        <v>3.1</v>
      </c>
      <c r="F17">
        <v>0.02</v>
      </c>
      <c r="G17">
        <v>4.79</v>
      </c>
      <c r="H17">
        <v>-15.78</v>
      </c>
      <c r="I17">
        <v>160.76</v>
      </c>
    </row>
    <row r="18" spans="1:9" x14ac:dyDescent="0.45">
      <c r="A18" t="s">
        <v>143</v>
      </c>
      <c r="B18">
        <v>2007</v>
      </c>
      <c r="C18">
        <v>82.1</v>
      </c>
      <c r="D18">
        <v>65.06</v>
      </c>
      <c r="E18">
        <v>3.25</v>
      </c>
      <c r="F18">
        <v>0.02</v>
      </c>
      <c r="G18">
        <v>7.76</v>
      </c>
      <c r="H18">
        <v>-13.11</v>
      </c>
      <c r="I18">
        <v>158.76</v>
      </c>
    </row>
    <row r="19" spans="1:9" x14ac:dyDescent="0.45">
      <c r="A19" t="s">
        <v>143</v>
      </c>
      <c r="B19">
        <v>2008</v>
      </c>
      <c r="C19">
        <v>78.39</v>
      </c>
      <c r="D19">
        <v>69.83</v>
      </c>
      <c r="E19">
        <v>3.17</v>
      </c>
      <c r="F19">
        <v>0.02</v>
      </c>
      <c r="G19">
        <v>9.0299999999999994</v>
      </c>
      <c r="H19">
        <v>-9.6999999999999993</v>
      </c>
      <c r="I19">
        <v>154.71</v>
      </c>
    </row>
    <row r="20" spans="1:9" x14ac:dyDescent="0.45">
      <c r="A20" t="s">
        <v>143</v>
      </c>
      <c r="B20">
        <v>2009</v>
      </c>
      <c r="C20">
        <v>73.959999999999994</v>
      </c>
      <c r="D20">
        <v>69.69</v>
      </c>
      <c r="E20">
        <v>2.86</v>
      </c>
      <c r="F20">
        <v>0.02</v>
      </c>
      <c r="G20">
        <v>7.4</v>
      </c>
      <c r="H20">
        <v>-9.59</v>
      </c>
      <c r="I20">
        <v>151.12</v>
      </c>
    </row>
    <row r="21" spans="1:9" x14ac:dyDescent="0.45">
      <c r="A21" t="s">
        <v>143</v>
      </c>
      <c r="B21">
        <v>2010</v>
      </c>
      <c r="C21">
        <v>76.11</v>
      </c>
      <c r="D21">
        <v>73.900000000000006</v>
      </c>
      <c r="E21">
        <v>2.96</v>
      </c>
      <c r="F21">
        <v>0.02</v>
      </c>
      <c r="G21">
        <v>6.31</v>
      </c>
      <c r="H21">
        <v>-7.66</v>
      </c>
      <c r="I21">
        <v>157.09</v>
      </c>
    </row>
    <row r="22" spans="1:9" x14ac:dyDescent="0.45">
      <c r="A22" t="s">
        <v>143</v>
      </c>
      <c r="B22">
        <v>2011</v>
      </c>
      <c r="C22">
        <v>78.38</v>
      </c>
      <c r="D22">
        <v>74.040000000000006</v>
      </c>
      <c r="E22">
        <v>2.96</v>
      </c>
      <c r="F22">
        <v>0.02</v>
      </c>
      <c r="G22">
        <v>6.78</v>
      </c>
      <c r="H22">
        <v>-12.02</v>
      </c>
      <c r="I22">
        <v>163.12</v>
      </c>
    </row>
    <row r="23" spans="1:9" x14ac:dyDescent="0.45">
      <c r="A23" t="s">
        <v>143</v>
      </c>
      <c r="B23">
        <v>2012</v>
      </c>
      <c r="C23">
        <v>79.09</v>
      </c>
      <c r="D23">
        <v>74.260000000000005</v>
      </c>
      <c r="E23">
        <v>2.87</v>
      </c>
      <c r="F23">
        <v>0.02</v>
      </c>
      <c r="G23">
        <v>9.8000000000000007</v>
      </c>
      <c r="H23">
        <v>-12.64</v>
      </c>
      <c r="I23">
        <v>161.71</v>
      </c>
    </row>
    <row r="24" spans="1:9" x14ac:dyDescent="0.45">
      <c r="A24" t="s">
        <v>143</v>
      </c>
      <c r="B24">
        <v>2013</v>
      </c>
      <c r="C24">
        <v>80.930000000000007</v>
      </c>
      <c r="D24">
        <v>73.11</v>
      </c>
      <c r="E24">
        <v>2.85</v>
      </c>
      <c r="F24">
        <v>0.02</v>
      </c>
      <c r="G24">
        <v>7.8</v>
      </c>
      <c r="H24">
        <v>-12.32</v>
      </c>
      <c r="I24">
        <v>164.02</v>
      </c>
    </row>
    <row r="25" spans="1:9" x14ac:dyDescent="0.45">
      <c r="A25" t="s">
        <v>143</v>
      </c>
      <c r="B25">
        <v>2014</v>
      </c>
      <c r="C25">
        <v>80.56</v>
      </c>
      <c r="D25">
        <v>74.75</v>
      </c>
      <c r="E25">
        <v>2.7</v>
      </c>
      <c r="F25">
        <v>0.02</v>
      </c>
      <c r="G25">
        <v>13.51</v>
      </c>
      <c r="H25">
        <v>-11.34</v>
      </c>
      <c r="I25">
        <v>158.51</v>
      </c>
    </row>
    <row r="26" spans="1:9" x14ac:dyDescent="0.45">
      <c r="A26" t="s">
        <v>143</v>
      </c>
      <c r="B26">
        <v>2015</v>
      </c>
      <c r="C26">
        <v>82.98</v>
      </c>
      <c r="D26">
        <v>75.23</v>
      </c>
      <c r="E26">
        <v>2.8</v>
      </c>
      <c r="F26">
        <v>0.02</v>
      </c>
      <c r="G26">
        <v>14.46</v>
      </c>
      <c r="H26">
        <v>-14.79</v>
      </c>
      <c r="I26">
        <v>164.34</v>
      </c>
    </row>
    <row r="27" spans="1:9" x14ac:dyDescent="0.45">
      <c r="A27" t="s">
        <v>143</v>
      </c>
      <c r="B27">
        <v>2016</v>
      </c>
      <c r="C27">
        <v>84</v>
      </c>
      <c r="D27">
        <v>78.34</v>
      </c>
      <c r="E27">
        <v>2.96</v>
      </c>
      <c r="F27">
        <v>0.02</v>
      </c>
      <c r="G27">
        <v>14.02</v>
      </c>
      <c r="H27">
        <v>-12.02</v>
      </c>
      <c r="I27">
        <v>166.15</v>
      </c>
    </row>
    <row r="28" spans="1:9" x14ac:dyDescent="0.45">
      <c r="A28" t="s">
        <v>143</v>
      </c>
      <c r="B28">
        <v>2017</v>
      </c>
      <c r="C28">
        <v>88.21</v>
      </c>
      <c r="D28">
        <v>77.91</v>
      </c>
      <c r="E28">
        <v>3.06</v>
      </c>
      <c r="F28">
        <v>0.03</v>
      </c>
      <c r="G28">
        <v>13.27</v>
      </c>
      <c r="H28">
        <v>-10.98</v>
      </c>
      <c r="I28">
        <v>169.99</v>
      </c>
    </row>
    <row r="29" spans="1:9" x14ac:dyDescent="0.45">
      <c r="A29" t="s">
        <v>143</v>
      </c>
      <c r="B29">
        <v>2018</v>
      </c>
      <c r="C29">
        <v>88.27</v>
      </c>
      <c r="D29">
        <v>80.569999999999993</v>
      </c>
      <c r="E29">
        <v>3.2</v>
      </c>
      <c r="F29">
        <v>0.03</v>
      </c>
      <c r="G29">
        <v>13.82</v>
      </c>
      <c r="H29">
        <v>-8.1199999999999992</v>
      </c>
      <c r="I29">
        <v>169.62</v>
      </c>
    </row>
    <row r="30" spans="1:9" x14ac:dyDescent="0.45">
      <c r="A30" t="s">
        <v>143</v>
      </c>
      <c r="B30">
        <v>2019</v>
      </c>
      <c r="C30">
        <v>86.39</v>
      </c>
      <c r="D30">
        <v>80.31</v>
      </c>
      <c r="E30">
        <v>3.15</v>
      </c>
      <c r="F30">
        <v>0.03</v>
      </c>
      <c r="G30">
        <v>17.87</v>
      </c>
      <c r="H30">
        <v>-7.25</v>
      </c>
      <c r="I30">
        <v>163.28</v>
      </c>
    </row>
    <row r="31" spans="1:9" x14ac:dyDescent="0.45">
      <c r="A31" t="s">
        <v>143</v>
      </c>
      <c r="B31">
        <v>2020</v>
      </c>
      <c r="C31">
        <v>84.93</v>
      </c>
      <c r="D31">
        <v>78.86</v>
      </c>
      <c r="E31">
        <v>2.89</v>
      </c>
      <c r="F31">
        <v>7.0000000000000007E-2</v>
      </c>
      <c r="G31">
        <v>20.62</v>
      </c>
      <c r="H31">
        <v>-7.36</v>
      </c>
      <c r="I31">
        <v>157.22</v>
      </c>
    </row>
    <row r="32" spans="1:9" x14ac:dyDescent="0.45">
      <c r="A32" t="s">
        <v>143</v>
      </c>
      <c r="B32">
        <v>2021</v>
      </c>
      <c r="C32">
        <v>87.3</v>
      </c>
      <c r="D32">
        <v>83.98</v>
      </c>
      <c r="E32">
        <v>3.22</v>
      </c>
      <c r="F32">
        <v>0.06</v>
      </c>
      <c r="G32">
        <v>15.1</v>
      </c>
      <c r="H32">
        <v>-14.21</v>
      </c>
      <c r="I32">
        <v>178.87</v>
      </c>
    </row>
    <row r="33" spans="1:9" x14ac:dyDescent="0.45">
      <c r="A33" t="s">
        <v>143</v>
      </c>
      <c r="B33">
        <v>2022</v>
      </c>
      <c r="C33">
        <v>83.2</v>
      </c>
      <c r="D33">
        <v>84.78</v>
      </c>
      <c r="E33">
        <v>3.32</v>
      </c>
      <c r="F33">
        <v>0.17</v>
      </c>
      <c r="G33">
        <v>15.24</v>
      </c>
      <c r="H33">
        <v>-16.91</v>
      </c>
      <c r="I33">
        <v>178.7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144</v>
      </c>
      <c r="C11">
        <v>2020</v>
      </c>
      <c r="D11">
        <v>60</v>
      </c>
      <c r="E11">
        <v>8.68</v>
      </c>
      <c r="F11">
        <v>6.87</v>
      </c>
      <c r="G11">
        <v>10.43</v>
      </c>
      <c r="H11">
        <v>0</v>
      </c>
      <c r="I11">
        <v>55.17</v>
      </c>
      <c r="J11">
        <v>0</v>
      </c>
      <c r="K11">
        <v>13.64</v>
      </c>
      <c r="L11" t="s">
        <v>1</v>
      </c>
      <c r="M11" t="s">
        <v>27</v>
      </c>
    </row>
    <row r="12" spans="1:13" x14ac:dyDescent="0.45">
      <c r="A12" t="s">
        <v>0</v>
      </c>
      <c r="B12" t="s">
        <v>144</v>
      </c>
      <c r="C12">
        <v>2025</v>
      </c>
      <c r="D12">
        <v>60</v>
      </c>
      <c r="E12">
        <v>190.52</v>
      </c>
      <c r="F12">
        <v>181.51</v>
      </c>
      <c r="G12">
        <v>136.22999999999999</v>
      </c>
      <c r="H12">
        <v>1.81</v>
      </c>
      <c r="I12">
        <v>626.48</v>
      </c>
      <c r="J12">
        <v>115.48</v>
      </c>
      <c r="K12">
        <v>238.58</v>
      </c>
      <c r="L12" t="s">
        <v>1</v>
      </c>
      <c r="M12" t="s">
        <v>27</v>
      </c>
    </row>
    <row r="13" spans="1:13" x14ac:dyDescent="0.45">
      <c r="A13" t="s">
        <v>0</v>
      </c>
      <c r="B13" t="s">
        <v>144</v>
      </c>
      <c r="C13">
        <v>2030</v>
      </c>
      <c r="D13">
        <v>60</v>
      </c>
      <c r="E13">
        <v>268.18</v>
      </c>
      <c r="F13">
        <v>241.69</v>
      </c>
      <c r="G13">
        <v>134.29</v>
      </c>
      <c r="H13">
        <v>1.27</v>
      </c>
      <c r="I13">
        <v>673.46</v>
      </c>
      <c r="J13">
        <v>182.47</v>
      </c>
      <c r="K13">
        <v>329.7</v>
      </c>
      <c r="L13" t="s">
        <v>1</v>
      </c>
      <c r="M13" t="s">
        <v>27</v>
      </c>
    </row>
    <row r="14" spans="1:13" x14ac:dyDescent="0.45">
      <c r="A14" t="s">
        <v>0</v>
      </c>
      <c r="B14" t="s">
        <v>144</v>
      </c>
      <c r="C14">
        <v>2035</v>
      </c>
      <c r="D14">
        <v>60</v>
      </c>
      <c r="E14">
        <v>363.27</v>
      </c>
      <c r="F14">
        <v>339.03</v>
      </c>
      <c r="G14">
        <v>173.79</v>
      </c>
      <c r="H14">
        <v>14.37</v>
      </c>
      <c r="I14">
        <v>859.53</v>
      </c>
      <c r="J14">
        <v>227.05</v>
      </c>
      <c r="K14">
        <v>483.38</v>
      </c>
      <c r="L14" t="s">
        <v>1</v>
      </c>
      <c r="M14" t="s">
        <v>27</v>
      </c>
    </row>
    <row r="15" spans="1:13" x14ac:dyDescent="0.45">
      <c r="A15" t="s">
        <v>0</v>
      </c>
      <c r="B15" t="s">
        <v>144</v>
      </c>
      <c r="C15">
        <v>2040</v>
      </c>
      <c r="D15">
        <v>60</v>
      </c>
      <c r="E15">
        <v>471.65</v>
      </c>
      <c r="F15">
        <v>410.28</v>
      </c>
      <c r="G15">
        <v>224.31</v>
      </c>
      <c r="H15">
        <v>162.1</v>
      </c>
      <c r="I15">
        <v>1097.01</v>
      </c>
      <c r="J15">
        <v>298.63</v>
      </c>
      <c r="K15">
        <v>622.14</v>
      </c>
      <c r="L15" t="s">
        <v>1</v>
      </c>
      <c r="M15" t="s">
        <v>27</v>
      </c>
    </row>
    <row r="16" spans="1:13" x14ac:dyDescent="0.45">
      <c r="A16" t="s">
        <v>0</v>
      </c>
      <c r="B16" t="s">
        <v>144</v>
      </c>
      <c r="C16">
        <v>2045</v>
      </c>
      <c r="D16">
        <v>60</v>
      </c>
      <c r="E16">
        <v>565.69000000000005</v>
      </c>
      <c r="F16">
        <v>494.2</v>
      </c>
      <c r="G16">
        <v>256.14999999999998</v>
      </c>
      <c r="H16">
        <v>193.42</v>
      </c>
      <c r="I16">
        <v>1269.8800000000001</v>
      </c>
      <c r="J16">
        <v>352.78</v>
      </c>
      <c r="K16">
        <v>748.01</v>
      </c>
      <c r="L16" t="s">
        <v>1</v>
      </c>
      <c r="M16" t="s">
        <v>27</v>
      </c>
    </row>
    <row r="17" spans="1:13" x14ac:dyDescent="0.45">
      <c r="A17" t="s">
        <v>0</v>
      </c>
      <c r="B17" t="s">
        <v>144</v>
      </c>
      <c r="C17">
        <v>2050</v>
      </c>
      <c r="D17">
        <v>60</v>
      </c>
      <c r="E17">
        <v>647.44000000000005</v>
      </c>
      <c r="F17">
        <v>635.42999999999995</v>
      </c>
      <c r="G17">
        <v>273.56</v>
      </c>
      <c r="H17">
        <v>209.76</v>
      </c>
      <c r="I17">
        <v>1170.26</v>
      </c>
      <c r="J17">
        <v>409.79</v>
      </c>
      <c r="K17">
        <v>887.68</v>
      </c>
      <c r="L17" t="s">
        <v>1</v>
      </c>
      <c r="M17" t="s">
        <v>27</v>
      </c>
    </row>
    <row r="18" spans="1:13" x14ac:dyDescent="0.45">
      <c r="A18" t="s">
        <v>2</v>
      </c>
      <c r="B18" t="s">
        <v>144</v>
      </c>
      <c r="C18">
        <v>2020</v>
      </c>
      <c r="D18">
        <v>86</v>
      </c>
      <c r="E18">
        <v>6.44</v>
      </c>
      <c r="F18">
        <v>0</v>
      </c>
      <c r="G18">
        <v>8.34</v>
      </c>
      <c r="H18">
        <v>0</v>
      </c>
      <c r="I18">
        <v>24.5</v>
      </c>
      <c r="J18">
        <v>0</v>
      </c>
      <c r="K18">
        <v>12.68</v>
      </c>
      <c r="L18" t="s">
        <v>3</v>
      </c>
      <c r="M18" t="s">
        <v>27</v>
      </c>
    </row>
    <row r="19" spans="1:13" x14ac:dyDescent="0.45">
      <c r="A19" t="s">
        <v>2</v>
      </c>
      <c r="B19" t="s">
        <v>144</v>
      </c>
      <c r="C19">
        <v>2025</v>
      </c>
      <c r="D19">
        <v>75</v>
      </c>
      <c r="E19">
        <v>63.21</v>
      </c>
      <c r="F19">
        <v>44.89</v>
      </c>
      <c r="G19">
        <v>56.62</v>
      </c>
      <c r="H19">
        <v>3.21</v>
      </c>
      <c r="I19">
        <v>273</v>
      </c>
      <c r="J19">
        <v>27.09</v>
      </c>
      <c r="K19">
        <v>77.31</v>
      </c>
      <c r="L19" t="s">
        <v>3</v>
      </c>
      <c r="M19" t="s">
        <v>27</v>
      </c>
    </row>
    <row r="20" spans="1:13" x14ac:dyDescent="0.45">
      <c r="A20" t="s">
        <v>2</v>
      </c>
      <c r="B20" t="s">
        <v>144</v>
      </c>
      <c r="C20">
        <v>2030</v>
      </c>
      <c r="D20">
        <v>86</v>
      </c>
      <c r="E20">
        <v>85.48</v>
      </c>
      <c r="F20">
        <v>63.36</v>
      </c>
      <c r="G20">
        <v>73.459999999999994</v>
      </c>
      <c r="H20">
        <v>0</v>
      </c>
      <c r="I20">
        <v>409.5</v>
      </c>
      <c r="J20">
        <v>50</v>
      </c>
      <c r="K20">
        <v>111.1</v>
      </c>
      <c r="L20" t="s">
        <v>3</v>
      </c>
      <c r="M20" t="s">
        <v>27</v>
      </c>
    </row>
    <row r="21" spans="1:13" x14ac:dyDescent="0.45">
      <c r="A21" t="s">
        <v>2</v>
      </c>
      <c r="B21" t="s">
        <v>144</v>
      </c>
      <c r="C21">
        <v>2035</v>
      </c>
      <c r="D21">
        <v>75</v>
      </c>
      <c r="E21">
        <v>208.71</v>
      </c>
      <c r="F21">
        <v>154.82</v>
      </c>
      <c r="G21">
        <v>291.77999999999997</v>
      </c>
      <c r="H21">
        <v>60.83</v>
      </c>
      <c r="I21">
        <v>2037.12</v>
      </c>
      <c r="J21">
        <v>93.79</v>
      </c>
      <c r="K21">
        <v>206.26</v>
      </c>
      <c r="L21" t="s">
        <v>3</v>
      </c>
      <c r="M21" t="s">
        <v>27</v>
      </c>
    </row>
    <row r="22" spans="1:13" x14ac:dyDescent="0.45">
      <c r="A22" t="s">
        <v>2</v>
      </c>
      <c r="B22" t="s">
        <v>144</v>
      </c>
      <c r="C22">
        <v>2040</v>
      </c>
      <c r="D22">
        <v>86</v>
      </c>
      <c r="E22">
        <v>253.33</v>
      </c>
      <c r="F22">
        <v>172.09</v>
      </c>
      <c r="G22">
        <v>359.35</v>
      </c>
      <c r="H22">
        <v>0</v>
      </c>
      <c r="I22">
        <v>2600</v>
      </c>
      <c r="J22">
        <v>119.07</v>
      </c>
      <c r="K22">
        <v>259.39999999999998</v>
      </c>
      <c r="L22" t="s">
        <v>3</v>
      </c>
      <c r="M22" t="s">
        <v>27</v>
      </c>
    </row>
    <row r="23" spans="1:13" x14ac:dyDescent="0.45">
      <c r="A23" t="s">
        <v>2</v>
      </c>
      <c r="B23" t="s">
        <v>144</v>
      </c>
      <c r="C23">
        <v>2045</v>
      </c>
      <c r="D23">
        <v>75</v>
      </c>
      <c r="E23">
        <v>299.39999999999998</v>
      </c>
      <c r="F23">
        <v>253.87</v>
      </c>
      <c r="G23">
        <v>189.93</v>
      </c>
      <c r="H23">
        <v>103.36</v>
      </c>
      <c r="I23">
        <v>1213.1199999999999</v>
      </c>
      <c r="J23">
        <v>169.48</v>
      </c>
      <c r="K23">
        <v>352.5</v>
      </c>
      <c r="L23" t="s">
        <v>3</v>
      </c>
      <c r="M23" t="s">
        <v>27</v>
      </c>
    </row>
    <row r="24" spans="1:13" x14ac:dyDescent="0.45">
      <c r="A24" t="s">
        <v>2</v>
      </c>
      <c r="B24" t="s">
        <v>144</v>
      </c>
      <c r="C24">
        <v>2050</v>
      </c>
      <c r="D24">
        <v>86</v>
      </c>
      <c r="E24">
        <v>309.14999999999998</v>
      </c>
      <c r="F24">
        <v>285.02999999999997</v>
      </c>
      <c r="G24">
        <v>169.93</v>
      </c>
      <c r="H24">
        <v>0</v>
      </c>
      <c r="I24">
        <v>729.74</v>
      </c>
      <c r="J24">
        <v>195.5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144</v>
      </c>
      <c r="C25">
        <v>2020</v>
      </c>
      <c r="D25">
        <v>190</v>
      </c>
      <c r="E25">
        <v>9.32</v>
      </c>
      <c r="F25">
        <v>7.71</v>
      </c>
      <c r="G25">
        <v>13.68</v>
      </c>
      <c r="H25">
        <v>0</v>
      </c>
      <c r="I25">
        <v>128.75</v>
      </c>
      <c r="J25">
        <v>0</v>
      </c>
      <c r="K25">
        <v>14.86</v>
      </c>
      <c r="L25" t="s">
        <v>6</v>
      </c>
      <c r="M25" t="s">
        <v>27</v>
      </c>
    </row>
    <row r="26" spans="1:13" x14ac:dyDescent="0.45">
      <c r="A26" t="s">
        <v>5</v>
      </c>
      <c r="B26" t="s">
        <v>144</v>
      </c>
      <c r="C26">
        <v>2025</v>
      </c>
      <c r="D26">
        <v>167</v>
      </c>
      <c r="E26">
        <v>60.83</v>
      </c>
      <c r="F26">
        <v>42.81</v>
      </c>
      <c r="G26">
        <v>55.06</v>
      </c>
      <c r="H26">
        <v>0.05</v>
      </c>
      <c r="I26">
        <v>273</v>
      </c>
      <c r="J26">
        <v>23.68</v>
      </c>
      <c r="K26">
        <v>76.23</v>
      </c>
      <c r="L26" t="s">
        <v>6</v>
      </c>
      <c r="M26" t="s">
        <v>27</v>
      </c>
    </row>
    <row r="27" spans="1:13" x14ac:dyDescent="0.45">
      <c r="A27" t="s">
        <v>5</v>
      </c>
      <c r="B27" t="s">
        <v>144</v>
      </c>
      <c r="C27">
        <v>2030</v>
      </c>
      <c r="D27">
        <v>190</v>
      </c>
      <c r="E27">
        <v>90.32</v>
      </c>
      <c r="F27">
        <v>71.48</v>
      </c>
      <c r="G27">
        <v>69.180000000000007</v>
      </c>
      <c r="H27">
        <v>2.4900000000000002</v>
      </c>
      <c r="I27">
        <v>409.5</v>
      </c>
      <c r="J27">
        <v>50.2</v>
      </c>
      <c r="K27">
        <v>110.96</v>
      </c>
      <c r="L27" t="s">
        <v>6</v>
      </c>
      <c r="M27" t="s">
        <v>27</v>
      </c>
    </row>
    <row r="28" spans="1:13" x14ac:dyDescent="0.45">
      <c r="A28" t="s">
        <v>5</v>
      </c>
      <c r="B28" t="s">
        <v>144</v>
      </c>
      <c r="C28">
        <v>2035</v>
      </c>
      <c r="D28">
        <v>167</v>
      </c>
      <c r="E28">
        <v>130.19999999999999</v>
      </c>
      <c r="F28">
        <v>104.42</v>
      </c>
      <c r="G28">
        <v>98.85</v>
      </c>
      <c r="H28">
        <v>16.87</v>
      </c>
      <c r="I28">
        <v>960.63</v>
      </c>
      <c r="J28">
        <v>72.599999999999994</v>
      </c>
      <c r="K28">
        <v>168.65</v>
      </c>
      <c r="L28" t="s">
        <v>6</v>
      </c>
      <c r="M28" t="s">
        <v>27</v>
      </c>
    </row>
    <row r="29" spans="1:13" x14ac:dyDescent="0.45">
      <c r="A29" t="s">
        <v>5</v>
      </c>
      <c r="B29" t="s">
        <v>144</v>
      </c>
      <c r="C29">
        <v>2040</v>
      </c>
      <c r="D29">
        <v>190</v>
      </c>
      <c r="E29">
        <v>167.07</v>
      </c>
      <c r="F29">
        <v>134.85</v>
      </c>
      <c r="G29">
        <v>118.94</v>
      </c>
      <c r="H29">
        <v>46.91</v>
      </c>
      <c r="I29">
        <v>1226.04</v>
      </c>
      <c r="J29">
        <v>98.66</v>
      </c>
      <c r="K29">
        <v>213.93</v>
      </c>
      <c r="L29" t="s">
        <v>6</v>
      </c>
      <c r="M29" t="s">
        <v>27</v>
      </c>
    </row>
    <row r="30" spans="1:13" x14ac:dyDescent="0.45">
      <c r="A30" t="s">
        <v>5</v>
      </c>
      <c r="B30" t="s">
        <v>144</v>
      </c>
      <c r="C30">
        <v>2045</v>
      </c>
      <c r="D30">
        <v>167</v>
      </c>
      <c r="E30">
        <v>208.52</v>
      </c>
      <c r="F30">
        <v>178.1</v>
      </c>
      <c r="G30">
        <v>150.1</v>
      </c>
      <c r="H30">
        <v>46.46</v>
      </c>
      <c r="I30">
        <v>1564.8</v>
      </c>
      <c r="J30">
        <v>120.71</v>
      </c>
      <c r="K30">
        <v>263.56</v>
      </c>
      <c r="L30" t="s">
        <v>6</v>
      </c>
      <c r="M30" t="s">
        <v>27</v>
      </c>
    </row>
    <row r="31" spans="1:13" x14ac:dyDescent="0.45">
      <c r="A31" t="s">
        <v>5</v>
      </c>
      <c r="B31" t="s">
        <v>144</v>
      </c>
      <c r="C31">
        <v>2050</v>
      </c>
      <c r="D31">
        <v>190</v>
      </c>
      <c r="E31">
        <v>240.94</v>
      </c>
      <c r="F31">
        <v>209.45</v>
      </c>
      <c r="G31">
        <v>124.18</v>
      </c>
      <c r="H31">
        <v>50.14</v>
      </c>
      <c r="I31">
        <v>712.07</v>
      </c>
      <c r="J31">
        <v>147.69999999999999</v>
      </c>
      <c r="K31">
        <v>301.86</v>
      </c>
      <c r="L31" t="s">
        <v>6</v>
      </c>
      <c r="M31" t="s">
        <v>27</v>
      </c>
    </row>
    <row r="32" spans="1:13" x14ac:dyDescent="0.45">
      <c r="A32" t="s">
        <v>7</v>
      </c>
      <c r="B32" t="s">
        <v>144</v>
      </c>
      <c r="C32">
        <v>2020</v>
      </c>
      <c r="D32">
        <v>74</v>
      </c>
      <c r="E32">
        <v>4.3499999999999996</v>
      </c>
      <c r="F32">
        <v>0</v>
      </c>
      <c r="G32">
        <v>7.73</v>
      </c>
      <c r="H32">
        <v>0</v>
      </c>
      <c r="I32">
        <v>24.38</v>
      </c>
      <c r="J32">
        <v>0</v>
      </c>
      <c r="K32">
        <v>7.17</v>
      </c>
      <c r="L32" t="s">
        <v>8</v>
      </c>
      <c r="M32" t="s">
        <v>27</v>
      </c>
    </row>
    <row r="33" spans="1:13" x14ac:dyDescent="0.45">
      <c r="A33" t="s">
        <v>7</v>
      </c>
      <c r="B33" t="s">
        <v>144</v>
      </c>
      <c r="C33">
        <v>2025</v>
      </c>
      <c r="D33">
        <v>68</v>
      </c>
      <c r="E33">
        <v>25.04</v>
      </c>
      <c r="F33">
        <v>22.1</v>
      </c>
      <c r="G33">
        <v>12.97</v>
      </c>
      <c r="H33">
        <v>0</v>
      </c>
      <c r="I33">
        <v>57.11</v>
      </c>
      <c r="J33">
        <v>16.3</v>
      </c>
      <c r="K33">
        <v>31.32</v>
      </c>
      <c r="L33" t="s">
        <v>8</v>
      </c>
      <c r="M33" t="s">
        <v>27</v>
      </c>
    </row>
    <row r="34" spans="1:13" x14ac:dyDescent="0.45">
      <c r="A34" t="s">
        <v>7</v>
      </c>
      <c r="B34" t="s">
        <v>144</v>
      </c>
      <c r="C34">
        <v>2030</v>
      </c>
      <c r="D34">
        <v>74</v>
      </c>
      <c r="E34">
        <v>54.37</v>
      </c>
      <c r="F34">
        <v>43.88</v>
      </c>
      <c r="G34">
        <v>32.69</v>
      </c>
      <c r="H34">
        <v>0</v>
      </c>
      <c r="I34">
        <v>123.26</v>
      </c>
      <c r="J34">
        <v>28.1</v>
      </c>
      <c r="K34">
        <v>76.42</v>
      </c>
      <c r="L34" t="s">
        <v>8</v>
      </c>
      <c r="M34" t="s">
        <v>27</v>
      </c>
    </row>
    <row r="35" spans="1:13" x14ac:dyDescent="0.45">
      <c r="A35" t="s">
        <v>7</v>
      </c>
      <c r="B35" t="s">
        <v>144</v>
      </c>
      <c r="C35">
        <v>2035</v>
      </c>
      <c r="D35">
        <v>68</v>
      </c>
      <c r="E35">
        <v>61.46</v>
      </c>
      <c r="F35">
        <v>52.06</v>
      </c>
      <c r="G35">
        <v>29.59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144</v>
      </c>
      <c r="C36">
        <v>2040</v>
      </c>
      <c r="D36">
        <v>74</v>
      </c>
      <c r="E36">
        <v>86.34</v>
      </c>
      <c r="F36">
        <v>75.8</v>
      </c>
      <c r="G36">
        <v>43.25</v>
      </c>
      <c r="H36">
        <v>31.83</v>
      </c>
      <c r="I36">
        <v>281.89</v>
      </c>
      <c r="J36">
        <v>57.1</v>
      </c>
      <c r="K36">
        <v>108.06</v>
      </c>
      <c r="L36" t="s">
        <v>8</v>
      </c>
      <c r="M36" t="s">
        <v>27</v>
      </c>
    </row>
    <row r="37" spans="1:13" x14ac:dyDescent="0.45">
      <c r="A37" t="s">
        <v>7</v>
      </c>
      <c r="B37" t="s">
        <v>144</v>
      </c>
      <c r="C37">
        <v>2045</v>
      </c>
      <c r="D37">
        <v>68</v>
      </c>
      <c r="E37">
        <v>112.08</v>
      </c>
      <c r="F37">
        <v>94.76</v>
      </c>
      <c r="G37">
        <v>56.79</v>
      </c>
      <c r="H37">
        <v>42.44</v>
      </c>
      <c r="I37">
        <v>319.42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144</v>
      </c>
      <c r="C38">
        <v>2050</v>
      </c>
      <c r="D38">
        <v>74</v>
      </c>
      <c r="E38">
        <v>132.24</v>
      </c>
      <c r="F38">
        <v>112.38</v>
      </c>
      <c r="G38">
        <v>60.01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144</v>
      </c>
      <c r="C39">
        <v>2020</v>
      </c>
      <c r="D39">
        <v>55</v>
      </c>
      <c r="E39">
        <v>4.55</v>
      </c>
      <c r="F39">
        <v>0</v>
      </c>
      <c r="G39">
        <v>7.89</v>
      </c>
      <c r="H39">
        <v>0</v>
      </c>
      <c r="I39">
        <v>30.44</v>
      </c>
      <c r="J39">
        <v>0</v>
      </c>
      <c r="K39">
        <v>8.51</v>
      </c>
      <c r="L39" t="s">
        <v>10</v>
      </c>
      <c r="M39" t="s">
        <v>27</v>
      </c>
    </row>
    <row r="40" spans="1:13" x14ac:dyDescent="0.45">
      <c r="A40" t="s">
        <v>9</v>
      </c>
      <c r="B40" t="s">
        <v>144</v>
      </c>
      <c r="C40">
        <v>2025</v>
      </c>
      <c r="D40">
        <v>50</v>
      </c>
      <c r="E40">
        <v>5.0199999999999996</v>
      </c>
      <c r="F40">
        <v>0</v>
      </c>
      <c r="G40">
        <v>7.98</v>
      </c>
      <c r="H40">
        <v>0</v>
      </c>
      <c r="I40">
        <v>28.37</v>
      </c>
      <c r="J40">
        <v>0</v>
      </c>
      <c r="K40">
        <v>9.64</v>
      </c>
      <c r="L40" t="s">
        <v>10</v>
      </c>
      <c r="M40" t="s">
        <v>27</v>
      </c>
    </row>
    <row r="41" spans="1:13" x14ac:dyDescent="0.45">
      <c r="A41" t="s">
        <v>9</v>
      </c>
      <c r="B41" t="s">
        <v>144</v>
      </c>
      <c r="C41">
        <v>2030</v>
      </c>
      <c r="D41">
        <v>55</v>
      </c>
      <c r="E41">
        <v>8.19</v>
      </c>
      <c r="F41">
        <v>0</v>
      </c>
      <c r="G41">
        <v>16.579999999999998</v>
      </c>
      <c r="H41">
        <v>0</v>
      </c>
      <c r="I41">
        <v>84.88</v>
      </c>
      <c r="J41">
        <v>0</v>
      </c>
      <c r="K41">
        <v>10.58</v>
      </c>
      <c r="L41" t="s">
        <v>10</v>
      </c>
      <c r="M41" t="s">
        <v>27</v>
      </c>
    </row>
    <row r="42" spans="1:13" x14ac:dyDescent="0.45">
      <c r="A42" t="s">
        <v>9</v>
      </c>
      <c r="B42" t="s">
        <v>144</v>
      </c>
      <c r="C42">
        <v>2035</v>
      </c>
      <c r="D42">
        <v>50</v>
      </c>
      <c r="E42">
        <v>4.74</v>
      </c>
      <c r="F42">
        <v>0</v>
      </c>
      <c r="G42">
        <v>7.39</v>
      </c>
      <c r="H42">
        <v>0</v>
      </c>
      <c r="I42">
        <v>25.15</v>
      </c>
      <c r="J42">
        <v>0</v>
      </c>
      <c r="K42">
        <v>9.1</v>
      </c>
      <c r="L42" t="s">
        <v>10</v>
      </c>
      <c r="M42" t="s">
        <v>27</v>
      </c>
    </row>
    <row r="43" spans="1:13" x14ac:dyDescent="0.45">
      <c r="A43" t="s">
        <v>9</v>
      </c>
      <c r="B43" t="s">
        <v>144</v>
      </c>
      <c r="C43">
        <v>2040</v>
      </c>
      <c r="D43">
        <v>55</v>
      </c>
      <c r="E43">
        <v>4.25</v>
      </c>
      <c r="F43">
        <v>0</v>
      </c>
      <c r="G43">
        <v>6.92</v>
      </c>
      <c r="H43">
        <v>0</v>
      </c>
      <c r="I43">
        <v>23.62</v>
      </c>
      <c r="J43">
        <v>0</v>
      </c>
      <c r="K43">
        <v>8.6199999999999992</v>
      </c>
      <c r="L43" t="s">
        <v>10</v>
      </c>
      <c r="M43" t="s">
        <v>27</v>
      </c>
    </row>
    <row r="44" spans="1:13" x14ac:dyDescent="0.45">
      <c r="A44" t="s">
        <v>9</v>
      </c>
      <c r="B44" t="s">
        <v>144</v>
      </c>
      <c r="C44">
        <v>2045</v>
      </c>
      <c r="D44">
        <v>50</v>
      </c>
      <c r="E44">
        <v>4.62</v>
      </c>
      <c r="F44">
        <v>0</v>
      </c>
      <c r="G44">
        <v>6.86</v>
      </c>
      <c r="H44">
        <v>0</v>
      </c>
      <c r="I44">
        <v>22.16</v>
      </c>
      <c r="J44">
        <v>0</v>
      </c>
      <c r="K44">
        <v>8.7799999999999994</v>
      </c>
      <c r="L44" t="s">
        <v>10</v>
      </c>
      <c r="M44" t="s">
        <v>27</v>
      </c>
    </row>
    <row r="45" spans="1:13" x14ac:dyDescent="0.45">
      <c r="A45" t="s">
        <v>9</v>
      </c>
      <c r="B45" t="s">
        <v>144</v>
      </c>
      <c r="C45">
        <v>2050</v>
      </c>
      <c r="D45">
        <v>55</v>
      </c>
      <c r="E45">
        <v>4.18</v>
      </c>
      <c r="F45">
        <v>0</v>
      </c>
      <c r="G45">
        <v>6.55</v>
      </c>
      <c r="H45">
        <v>0</v>
      </c>
      <c r="I45">
        <v>23.71</v>
      </c>
      <c r="J45">
        <v>0</v>
      </c>
      <c r="K45">
        <v>8.48</v>
      </c>
      <c r="L45" t="s">
        <v>10</v>
      </c>
      <c r="M45" t="s">
        <v>27</v>
      </c>
    </row>
    <row r="46" spans="1:13" x14ac:dyDescent="0.45">
      <c r="A46" t="s">
        <v>0</v>
      </c>
      <c r="B46" t="s">
        <v>144</v>
      </c>
      <c r="C46">
        <v>2020</v>
      </c>
      <c r="D46">
        <v>63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144</v>
      </c>
      <c r="C47">
        <v>2025</v>
      </c>
      <c r="D47">
        <v>63</v>
      </c>
      <c r="E47">
        <v>1.04</v>
      </c>
      <c r="F47">
        <v>1.03</v>
      </c>
      <c r="G47">
        <v>0.06</v>
      </c>
      <c r="H47">
        <v>0.94</v>
      </c>
      <c r="I47">
        <v>1.28</v>
      </c>
      <c r="J47">
        <v>1.02</v>
      </c>
      <c r="K47">
        <v>1.07</v>
      </c>
      <c r="L47" t="s">
        <v>1</v>
      </c>
      <c r="M47" t="s">
        <v>11</v>
      </c>
    </row>
    <row r="48" spans="1:13" x14ac:dyDescent="0.45">
      <c r="A48" t="s">
        <v>0</v>
      </c>
      <c r="B48" t="s">
        <v>144</v>
      </c>
      <c r="C48">
        <v>2030</v>
      </c>
      <c r="D48">
        <v>63</v>
      </c>
      <c r="E48">
        <v>1.19</v>
      </c>
      <c r="F48">
        <v>1.19</v>
      </c>
      <c r="G48">
        <v>0.12</v>
      </c>
      <c r="H48">
        <v>1</v>
      </c>
      <c r="I48">
        <v>1.72</v>
      </c>
      <c r="J48">
        <v>1.1499999999999999</v>
      </c>
      <c r="K48">
        <v>1.21</v>
      </c>
      <c r="L48" t="s">
        <v>1</v>
      </c>
      <c r="M48" t="s">
        <v>11</v>
      </c>
    </row>
    <row r="49" spans="1:13" x14ac:dyDescent="0.45">
      <c r="A49" t="s">
        <v>0</v>
      </c>
      <c r="B49" t="s">
        <v>144</v>
      </c>
      <c r="C49">
        <v>2035</v>
      </c>
      <c r="D49">
        <v>63</v>
      </c>
      <c r="E49">
        <v>1.41</v>
      </c>
      <c r="F49">
        <v>1.43</v>
      </c>
      <c r="G49">
        <v>0.17</v>
      </c>
      <c r="H49">
        <v>1.0900000000000001</v>
      </c>
      <c r="I49">
        <v>1.97</v>
      </c>
      <c r="J49">
        <v>1.33</v>
      </c>
      <c r="K49">
        <v>1.5</v>
      </c>
      <c r="L49" t="s">
        <v>1</v>
      </c>
      <c r="M49" t="s">
        <v>11</v>
      </c>
    </row>
    <row r="50" spans="1:13" x14ac:dyDescent="0.45">
      <c r="A50" t="s">
        <v>0</v>
      </c>
      <c r="B50" t="s">
        <v>144</v>
      </c>
      <c r="C50">
        <v>2040</v>
      </c>
      <c r="D50">
        <v>63</v>
      </c>
      <c r="E50">
        <v>1.62</v>
      </c>
      <c r="F50">
        <v>1.65</v>
      </c>
      <c r="G50">
        <v>0.22</v>
      </c>
      <c r="H50">
        <v>1.02</v>
      </c>
      <c r="I50">
        <v>2.09</v>
      </c>
      <c r="J50">
        <v>1.53</v>
      </c>
      <c r="K50">
        <v>1.75</v>
      </c>
      <c r="L50" t="s">
        <v>1</v>
      </c>
      <c r="M50" t="s">
        <v>11</v>
      </c>
    </row>
    <row r="51" spans="1:13" x14ac:dyDescent="0.45">
      <c r="A51" t="s">
        <v>0</v>
      </c>
      <c r="B51" t="s">
        <v>144</v>
      </c>
      <c r="C51">
        <v>2045</v>
      </c>
      <c r="D51">
        <v>63</v>
      </c>
      <c r="E51">
        <v>1.79</v>
      </c>
      <c r="F51">
        <v>1.81</v>
      </c>
      <c r="G51">
        <v>0.28000000000000003</v>
      </c>
      <c r="H51">
        <v>1.1200000000000001</v>
      </c>
      <c r="I51">
        <v>2.31</v>
      </c>
      <c r="J51">
        <v>1.63</v>
      </c>
      <c r="K51">
        <v>1.99</v>
      </c>
      <c r="L51" t="s">
        <v>1</v>
      </c>
      <c r="M51" t="s">
        <v>11</v>
      </c>
    </row>
    <row r="52" spans="1:13" x14ac:dyDescent="0.45">
      <c r="A52" t="s">
        <v>0</v>
      </c>
      <c r="B52" t="s">
        <v>144</v>
      </c>
      <c r="C52">
        <v>2050</v>
      </c>
      <c r="D52">
        <v>63</v>
      </c>
      <c r="E52">
        <v>1.92</v>
      </c>
      <c r="F52">
        <v>1.93</v>
      </c>
      <c r="G52">
        <v>0.31</v>
      </c>
      <c r="H52">
        <v>1.24</v>
      </c>
      <c r="I52">
        <v>2.54</v>
      </c>
      <c r="J52">
        <v>1.7</v>
      </c>
      <c r="K52">
        <v>2.14</v>
      </c>
      <c r="L52" t="s">
        <v>1</v>
      </c>
      <c r="M52" t="s">
        <v>11</v>
      </c>
    </row>
    <row r="53" spans="1:13" x14ac:dyDescent="0.45">
      <c r="A53" t="s">
        <v>2</v>
      </c>
      <c r="B53" t="s">
        <v>144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144</v>
      </c>
      <c r="C54">
        <v>2025</v>
      </c>
      <c r="D54">
        <v>89</v>
      </c>
      <c r="E54">
        <v>1.06</v>
      </c>
      <c r="F54">
        <v>1.05</v>
      </c>
      <c r="G54">
        <v>0.05</v>
      </c>
      <c r="H54">
        <v>0.99</v>
      </c>
      <c r="I54">
        <v>1.41</v>
      </c>
      <c r="J54">
        <v>1.03</v>
      </c>
      <c r="K54">
        <v>1.08</v>
      </c>
      <c r="L54" t="s">
        <v>3</v>
      </c>
      <c r="M54" t="s">
        <v>11</v>
      </c>
    </row>
    <row r="55" spans="1:13" x14ac:dyDescent="0.45">
      <c r="A55" t="s">
        <v>2</v>
      </c>
      <c r="B55" t="s">
        <v>144</v>
      </c>
      <c r="C55">
        <v>2030</v>
      </c>
      <c r="D55">
        <v>100</v>
      </c>
      <c r="E55">
        <v>1.2</v>
      </c>
      <c r="F55">
        <v>1.18</v>
      </c>
      <c r="G55">
        <v>0.12</v>
      </c>
      <c r="H55">
        <v>1.03</v>
      </c>
      <c r="I55">
        <v>1.61</v>
      </c>
      <c r="J55">
        <v>1.1399999999999999</v>
      </c>
      <c r="K55">
        <v>1.24</v>
      </c>
      <c r="L55" t="s">
        <v>3</v>
      </c>
      <c r="M55" t="s">
        <v>11</v>
      </c>
    </row>
    <row r="56" spans="1:13" x14ac:dyDescent="0.45">
      <c r="A56" t="s">
        <v>2</v>
      </c>
      <c r="B56" t="s">
        <v>144</v>
      </c>
      <c r="C56">
        <v>2035</v>
      </c>
      <c r="D56">
        <v>89</v>
      </c>
      <c r="E56">
        <v>1.32</v>
      </c>
      <c r="F56">
        <v>1.32</v>
      </c>
      <c r="G56">
        <v>0.13</v>
      </c>
      <c r="H56">
        <v>1.03</v>
      </c>
      <c r="I56">
        <v>1.87</v>
      </c>
      <c r="J56">
        <v>1.26</v>
      </c>
      <c r="K56">
        <v>1.37</v>
      </c>
      <c r="L56" t="s">
        <v>3</v>
      </c>
      <c r="M56" t="s">
        <v>11</v>
      </c>
    </row>
    <row r="57" spans="1:13" x14ac:dyDescent="0.45">
      <c r="A57" t="s">
        <v>2</v>
      </c>
      <c r="B57" t="s">
        <v>144</v>
      </c>
      <c r="C57">
        <v>2040</v>
      </c>
      <c r="D57">
        <v>100</v>
      </c>
      <c r="E57">
        <v>1.56</v>
      </c>
      <c r="F57">
        <v>1.54</v>
      </c>
      <c r="G57">
        <v>0.22</v>
      </c>
      <c r="H57">
        <v>1.07</v>
      </c>
      <c r="I57">
        <v>2.1800000000000002</v>
      </c>
      <c r="J57">
        <v>1.42</v>
      </c>
      <c r="K57">
        <v>1.65</v>
      </c>
      <c r="L57" t="s">
        <v>3</v>
      </c>
      <c r="M57" t="s">
        <v>11</v>
      </c>
    </row>
    <row r="58" spans="1:13" x14ac:dyDescent="0.45">
      <c r="A58" t="s">
        <v>2</v>
      </c>
      <c r="B58" t="s">
        <v>144</v>
      </c>
      <c r="C58">
        <v>2045</v>
      </c>
      <c r="D58">
        <v>89</v>
      </c>
      <c r="E58">
        <v>1.68</v>
      </c>
      <c r="F58">
        <v>1.64</v>
      </c>
      <c r="G58">
        <v>0.24</v>
      </c>
      <c r="H58">
        <v>1.1000000000000001</v>
      </c>
      <c r="I58">
        <v>2.4500000000000002</v>
      </c>
      <c r="J58">
        <v>1.52</v>
      </c>
      <c r="K58">
        <v>1.88</v>
      </c>
      <c r="L58" t="s">
        <v>3</v>
      </c>
      <c r="M58" t="s">
        <v>11</v>
      </c>
    </row>
    <row r="59" spans="1:13" x14ac:dyDescent="0.45">
      <c r="A59" t="s">
        <v>2</v>
      </c>
      <c r="B59" t="s">
        <v>144</v>
      </c>
      <c r="C59">
        <v>2050</v>
      </c>
      <c r="D59">
        <v>100</v>
      </c>
      <c r="E59">
        <v>1.9</v>
      </c>
      <c r="F59">
        <v>1.92</v>
      </c>
      <c r="G59">
        <v>0.35</v>
      </c>
      <c r="H59">
        <v>1.1299999999999999</v>
      </c>
      <c r="I59">
        <v>2.66</v>
      </c>
      <c r="J59">
        <v>1.66</v>
      </c>
      <c r="K59">
        <v>2.11</v>
      </c>
      <c r="L59" t="s">
        <v>3</v>
      </c>
      <c r="M59" t="s">
        <v>11</v>
      </c>
    </row>
    <row r="60" spans="1:13" x14ac:dyDescent="0.45">
      <c r="A60" t="s">
        <v>5</v>
      </c>
      <c r="B60" t="s">
        <v>144</v>
      </c>
      <c r="C60">
        <v>2020</v>
      </c>
      <c r="D60">
        <v>219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144</v>
      </c>
      <c r="C61">
        <v>2025</v>
      </c>
      <c r="D61">
        <v>196</v>
      </c>
      <c r="E61">
        <v>1.05</v>
      </c>
      <c r="F61">
        <v>1.05</v>
      </c>
      <c r="G61">
        <v>0.04</v>
      </c>
      <c r="H61">
        <v>0.95</v>
      </c>
      <c r="I61">
        <v>1.19</v>
      </c>
      <c r="J61">
        <v>1.03</v>
      </c>
      <c r="K61">
        <v>1.07</v>
      </c>
      <c r="L61" t="s">
        <v>6</v>
      </c>
      <c r="M61" t="s">
        <v>11</v>
      </c>
    </row>
    <row r="62" spans="1:13" x14ac:dyDescent="0.45">
      <c r="A62" t="s">
        <v>5</v>
      </c>
      <c r="B62" t="s">
        <v>144</v>
      </c>
      <c r="C62">
        <v>2030</v>
      </c>
      <c r="D62">
        <v>219</v>
      </c>
      <c r="E62">
        <v>1.1499999999999999</v>
      </c>
      <c r="F62">
        <v>1.17</v>
      </c>
      <c r="G62">
        <v>7.0000000000000007E-2</v>
      </c>
      <c r="H62">
        <v>0.95</v>
      </c>
      <c r="I62">
        <v>1.44</v>
      </c>
      <c r="J62">
        <v>1.1100000000000001</v>
      </c>
      <c r="K62">
        <v>1.19</v>
      </c>
      <c r="L62" t="s">
        <v>6</v>
      </c>
      <c r="M62" t="s">
        <v>11</v>
      </c>
    </row>
    <row r="63" spans="1:13" x14ac:dyDescent="0.45">
      <c r="A63" t="s">
        <v>5</v>
      </c>
      <c r="B63" t="s">
        <v>144</v>
      </c>
      <c r="C63">
        <v>2035</v>
      </c>
      <c r="D63">
        <v>196</v>
      </c>
      <c r="E63">
        <v>1.32</v>
      </c>
      <c r="F63">
        <v>1.32</v>
      </c>
      <c r="G63">
        <v>0.14000000000000001</v>
      </c>
      <c r="H63">
        <v>0.93</v>
      </c>
      <c r="I63">
        <v>1.8</v>
      </c>
      <c r="J63">
        <v>1.23</v>
      </c>
      <c r="K63">
        <v>1.4</v>
      </c>
      <c r="L63" t="s">
        <v>6</v>
      </c>
      <c r="M63" t="s">
        <v>11</v>
      </c>
    </row>
    <row r="64" spans="1:13" x14ac:dyDescent="0.45">
      <c r="A64" t="s">
        <v>5</v>
      </c>
      <c r="B64" t="s">
        <v>144</v>
      </c>
      <c r="C64">
        <v>2040</v>
      </c>
      <c r="D64">
        <v>219</v>
      </c>
      <c r="E64">
        <v>1.47</v>
      </c>
      <c r="F64">
        <v>1.5</v>
      </c>
      <c r="G64">
        <v>0.2</v>
      </c>
      <c r="H64">
        <v>0.97</v>
      </c>
      <c r="I64">
        <v>1.9</v>
      </c>
      <c r="J64">
        <v>1.36</v>
      </c>
      <c r="K64">
        <v>1.61</v>
      </c>
      <c r="L64" t="s">
        <v>6</v>
      </c>
      <c r="M64" t="s">
        <v>11</v>
      </c>
    </row>
    <row r="65" spans="1:13" x14ac:dyDescent="0.45">
      <c r="A65" t="s">
        <v>5</v>
      </c>
      <c r="B65" t="s">
        <v>144</v>
      </c>
      <c r="C65">
        <v>2045</v>
      </c>
      <c r="D65">
        <v>196</v>
      </c>
      <c r="E65">
        <v>1.69</v>
      </c>
      <c r="F65">
        <v>1.68</v>
      </c>
      <c r="G65">
        <v>0.25</v>
      </c>
      <c r="H65">
        <v>1.04</v>
      </c>
      <c r="I65">
        <v>2.17</v>
      </c>
      <c r="J65">
        <v>1.51</v>
      </c>
      <c r="K65">
        <v>1.84</v>
      </c>
      <c r="L65" t="s">
        <v>6</v>
      </c>
      <c r="M65" t="s">
        <v>11</v>
      </c>
    </row>
    <row r="66" spans="1:13" x14ac:dyDescent="0.45">
      <c r="A66" t="s">
        <v>5</v>
      </c>
      <c r="B66" t="s">
        <v>144</v>
      </c>
      <c r="C66">
        <v>2050</v>
      </c>
      <c r="D66">
        <v>219</v>
      </c>
      <c r="E66">
        <v>1.82</v>
      </c>
      <c r="F66">
        <v>1.81</v>
      </c>
      <c r="G66">
        <v>0.3</v>
      </c>
      <c r="H66">
        <v>1.1399999999999999</v>
      </c>
      <c r="I66">
        <v>2.73</v>
      </c>
      <c r="J66">
        <v>1.6</v>
      </c>
      <c r="K66">
        <v>2.0099999999999998</v>
      </c>
      <c r="L66" t="s">
        <v>6</v>
      </c>
      <c r="M66" t="s">
        <v>11</v>
      </c>
    </row>
    <row r="67" spans="1:13" x14ac:dyDescent="0.45">
      <c r="A67" t="s">
        <v>7</v>
      </c>
      <c r="B67" t="s">
        <v>144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144</v>
      </c>
      <c r="C68">
        <v>2025</v>
      </c>
      <c r="D68">
        <v>96</v>
      </c>
      <c r="E68">
        <v>1.06</v>
      </c>
      <c r="F68">
        <v>1.05</v>
      </c>
      <c r="G68">
        <v>0.05</v>
      </c>
      <c r="H68">
        <v>0.99</v>
      </c>
      <c r="I68">
        <v>1.24</v>
      </c>
      <c r="J68">
        <v>1.02</v>
      </c>
      <c r="K68">
        <v>1.08</v>
      </c>
      <c r="L68" t="s">
        <v>8</v>
      </c>
      <c r="M68" t="s">
        <v>11</v>
      </c>
    </row>
    <row r="69" spans="1:13" x14ac:dyDescent="0.45">
      <c r="A69" t="s">
        <v>7</v>
      </c>
      <c r="B69" t="s">
        <v>144</v>
      </c>
      <c r="C69">
        <v>2030</v>
      </c>
      <c r="D69">
        <v>102</v>
      </c>
      <c r="E69">
        <v>1.1399999999999999</v>
      </c>
      <c r="F69">
        <v>1.17</v>
      </c>
      <c r="G69">
        <v>0.08</v>
      </c>
      <c r="H69">
        <v>1.02</v>
      </c>
      <c r="I69">
        <v>1.37</v>
      </c>
      <c r="J69">
        <v>1.05</v>
      </c>
      <c r="K69">
        <v>1.19</v>
      </c>
      <c r="L69" t="s">
        <v>8</v>
      </c>
      <c r="M69" t="s">
        <v>11</v>
      </c>
    </row>
    <row r="70" spans="1:13" x14ac:dyDescent="0.45">
      <c r="A70" t="s">
        <v>7</v>
      </c>
      <c r="B70" t="s">
        <v>144</v>
      </c>
      <c r="C70">
        <v>2035</v>
      </c>
      <c r="D70">
        <v>96</v>
      </c>
      <c r="E70">
        <v>1.26</v>
      </c>
      <c r="F70">
        <v>1.29</v>
      </c>
      <c r="G70">
        <v>0.14000000000000001</v>
      </c>
      <c r="H70">
        <v>0.96</v>
      </c>
      <c r="I70">
        <v>1.54</v>
      </c>
      <c r="J70">
        <v>1.1399999999999999</v>
      </c>
      <c r="K70">
        <v>1.35</v>
      </c>
      <c r="L70" t="s">
        <v>8</v>
      </c>
      <c r="M70" t="s">
        <v>11</v>
      </c>
    </row>
    <row r="71" spans="1:13" x14ac:dyDescent="0.45">
      <c r="A71" t="s">
        <v>7</v>
      </c>
      <c r="B71" t="s">
        <v>144</v>
      </c>
      <c r="C71">
        <v>2040</v>
      </c>
      <c r="D71">
        <v>102</v>
      </c>
      <c r="E71">
        <v>1.39</v>
      </c>
      <c r="F71">
        <v>1.42</v>
      </c>
      <c r="G71">
        <v>0.2</v>
      </c>
      <c r="H71">
        <v>0.97</v>
      </c>
      <c r="I71">
        <v>1.75</v>
      </c>
      <c r="J71">
        <v>1.24</v>
      </c>
      <c r="K71">
        <v>1.51</v>
      </c>
      <c r="L71" t="s">
        <v>8</v>
      </c>
      <c r="M71" t="s">
        <v>11</v>
      </c>
    </row>
    <row r="72" spans="1:13" x14ac:dyDescent="0.45">
      <c r="A72" t="s">
        <v>7</v>
      </c>
      <c r="B72" t="s">
        <v>144</v>
      </c>
      <c r="C72">
        <v>2045</v>
      </c>
      <c r="D72">
        <v>96</v>
      </c>
      <c r="E72">
        <v>1.57</v>
      </c>
      <c r="F72">
        <v>1.59</v>
      </c>
      <c r="G72">
        <v>0.27</v>
      </c>
      <c r="H72">
        <v>1.01</v>
      </c>
      <c r="I72">
        <v>2.0699999999999998</v>
      </c>
      <c r="J72">
        <v>1.43</v>
      </c>
      <c r="K72">
        <v>1.68</v>
      </c>
      <c r="L72" t="s">
        <v>8</v>
      </c>
      <c r="M72" t="s">
        <v>11</v>
      </c>
    </row>
    <row r="73" spans="1:13" x14ac:dyDescent="0.45">
      <c r="A73" t="s">
        <v>7</v>
      </c>
      <c r="B73" t="s">
        <v>144</v>
      </c>
      <c r="C73">
        <v>2050</v>
      </c>
      <c r="D73">
        <v>102</v>
      </c>
      <c r="E73">
        <v>1.72</v>
      </c>
      <c r="F73">
        <v>1.73</v>
      </c>
      <c r="G73">
        <v>0.33</v>
      </c>
      <c r="H73">
        <v>1.07</v>
      </c>
      <c r="I73">
        <v>2.6</v>
      </c>
      <c r="J73">
        <v>1.54</v>
      </c>
      <c r="K73">
        <v>1.95</v>
      </c>
      <c r="L73" t="s">
        <v>8</v>
      </c>
      <c r="M73" t="s">
        <v>11</v>
      </c>
    </row>
    <row r="74" spans="1:13" x14ac:dyDescent="0.45">
      <c r="A74" t="s">
        <v>9</v>
      </c>
      <c r="B74" t="s">
        <v>144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144</v>
      </c>
      <c r="C75">
        <v>2025</v>
      </c>
      <c r="D75">
        <v>56</v>
      </c>
      <c r="E75">
        <v>1.08</v>
      </c>
      <c r="F75">
        <v>1.07</v>
      </c>
      <c r="G75">
        <v>0.08</v>
      </c>
      <c r="H75">
        <v>0.99</v>
      </c>
      <c r="I75">
        <v>1.6</v>
      </c>
      <c r="J75">
        <v>1.06</v>
      </c>
      <c r="K75">
        <v>1.1000000000000001</v>
      </c>
      <c r="L75" t="s">
        <v>10</v>
      </c>
      <c r="M75" t="s">
        <v>11</v>
      </c>
    </row>
    <row r="76" spans="1:13" x14ac:dyDescent="0.45">
      <c r="A76" t="s">
        <v>9</v>
      </c>
      <c r="B76" t="s">
        <v>144</v>
      </c>
      <c r="C76">
        <v>2030</v>
      </c>
      <c r="D76">
        <v>61</v>
      </c>
      <c r="E76">
        <v>1.1599999999999999</v>
      </c>
      <c r="F76">
        <v>1.1599999999999999</v>
      </c>
      <c r="G76">
        <v>0.09</v>
      </c>
      <c r="H76">
        <v>1.02</v>
      </c>
      <c r="I76">
        <v>1.58</v>
      </c>
      <c r="J76">
        <v>1.0900000000000001</v>
      </c>
      <c r="K76">
        <v>1.2</v>
      </c>
      <c r="L76" t="s">
        <v>10</v>
      </c>
      <c r="M76" t="s">
        <v>11</v>
      </c>
    </row>
    <row r="77" spans="1:13" x14ac:dyDescent="0.45">
      <c r="A77" t="s">
        <v>9</v>
      </c>
      <c r="B77" t="s">
        <v>144</v>
      </c>
      <c r="C77">
        <v>2035</v>
      </c>
      <c r="D77">
        <v>56</v>
      </c>
      <c r="E77">
        <v>1.25</v>
      </c>
      <c r="F77">
        <v>1.25</v>
      </c>
      <c r="G77">
        <v>0.11</v>
      </c>
      <c r="H77">
        <v>1.02</v>
      </c>
      <c r="I77">
        <v>1.5</v>
      </c>
      <c r="J77">
        <v>1.17</v>
      </c>
      <c r="K77">
        <v>1.33</v>
      </c>
      <c r="L77" t="s">
        <v>10</v>
      </c>
      <c r="M77" t="s">
        <v>11</v>
      </c>
    </row>
    <row r="78" spans="1:13" x14ac:dyDescent="0.45">
      <c r="A78" t="s">
        <v>9</v>
      </c>
      <c r="B78" t="s">
        <v>144</v>
      </c>
      <c r="C78">
        <v>2040</v>
      </c>
      <c r="D78">
        <v>61</v>
      </c>
      <c r="E78">
        <v>1.33</v>
      </c>
      <c r="F78">
        <v>1.3</v>
      </c>
      <c r="G78">
        <v>0.14000000000000001</v>
      </c>
      <c r="H78">
        <v>1.02</v>
      </c>
      <c r="I78">
        <v>1.72</v>
      </c>
      <c r="J78">
        <v>1.22</v>
      </c>
      <c r="K78">
        <v>1.44</v>
      </c>
      <c r="L78" t="s">
        <v>10</v>
      </c>
      <c r="M78" t="s">
        <v>11</v>
      </c>
    </row>
    <row r="79" spans="1:13" x14ac:dyDescent="0.45">
      <c r="A79" t="s">
        <v>9</v>
      </c>
      <c r="B79" t="s">
        <v>144</v>
      </c>
      <c r="C79">
        <v>2045</v>
      </c>
      <c r="D79">
        <v>56</v>
      </c>
      <c r="E79">
        <v>1.44</v>
      </c>
      <c r="F79">
        <v>1.41</v>
      </c>
      <c r="G79">
        <v>0.19</v>
      </c>
      <c r="H79">
        <v>1.03</v>
      </c>
      <c r="I79">
        <v>2.0299999999999998</v>
      </c>
      <c r="J79">
        <v>1.32</v>
      </c>
      <c r="K79">
        <v>1.56</v>
      </c>
      <c r="L79" t="s">
        <v>10</v>
      </c>
      <c r="M79" t="s">
        <v>11</v>
      </c>
    </row>
    <row r="80" spans="1:13" x14ac:dyDescent="0.45">
      <c r="A80" t="s">
        <v>9</v>
      </c>
      <c r="B80" t="s">
        <v>144</v>
      </c>
      <c r="C80">
        <v>2050</v>
      </c>
      <c r="D80">
        <v>61</v>
      </c>
      <c r="E80">
        <v>1.51</v>
      </c>
      <c r="F80">
        <v>1.48</v>
      </c>
      <c r="G80">
        <v>0.24</v>
      </c>
      <c r="H80">
        <v>1.04</v>
      </c>
      <c r="I80">
        <v>2.54</v>
      </c>
      <c r="J80">
        <v>1.36</v>
      </c>
      <c r="K80">
        <v>1.63</v>
      </c>
      <c r="L80" t="s">
        <v>10</v>
      </c>
      <c r="M80" t="s">
        <v>11</v>
      </c>
    </row>
    <row r="81" spans="1:13" x14ac:dyDescent="0.45">
      <c r="A81" t="s">
        <v>0</v>
      </c>
      <c r="B81" t="s">
        <v>144</v>
      </c>
      <c r="C81">
        <v>2020</v>
      </c>
      <c r="D81">
        <v>60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144</v>
      </c>
      <c r="C82">
        <v>2025</v>
      </c>
      <c r="D82">
        <v>60</v>
      </c>
      <c r="E82">
        <v>0.01</v>
      </c>
      <c r="F82">
        <v>0.01</v>
      </c>
      <c r="G82">
        <v>0.01</v>
      </c>
      <c r="H82">
        <v>0</v>
      </c>
      <c r="I82">
        <v>0.04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144</v>
      </c>
      <c r="C83">
        <v>2030</v>
      </c>
      <c r="D83">
        <v>60</v>
      </c>
      <c r="E83">
        <v>0.02</v>
      </c>
      <c r="F83">
        <v>0.01</v>
      </c>
      <c r="G83">
        <v>0.03</v>
      </c>
      <c r="H83">
        <v>0</v>
      </c>
      <c r="I83">
        <v>0.16</v>
      </c>
      <c r="J83">
        <v>0</v>
      </c>
      <c r="K83">
        <v>0.02</v>
      </c>
      <c r="L83" t="s">
        <v>1</v>
      </c>
      <c r="M83" t="s">
        <v>15</v>
      </c>
    </row>
    <row r="84" spans="1:13" x14ac:dyDescent="0.45">
      <c r="A84" t="s">
        <v>0</v>
      </c>
      <c r="B84" t="s">
        <v>144</v>
      </c>
      <c r="C84">
        <v>2035</v>
      </c>
      <c r="D84">
        <v>60</v>
      </c>
      <c r="E84">
        <v>0.03</v>
      </c>
      <c r="F84">
        <v>0.03</v>
      </c>
      <c r="G84">
        <v>0.03</v>
      </c>
      <c r="H84">
        <v>0</v>
      </c>
      <c r="I84">
        <v>0.16</v>
      </c>
      <c r="J84">
        <v>0.01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144</v>
      </c>
      <c r="C85">
        <v>2040</v>
      </c>
      <c r="D85">
        <v>60</v>
      </c>
      <c r="E85">
        <v>0.04</v>
      </c>
      <c r="F85">
        <v>0.03</v>
      </c>
      <c r="G85">
        <v>0.04</v>
      </c>
      <c r="H85">
        <v>0</v>
      </c>
      <c r="I85">
        <v>0.15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144</v>
      </c>
      <c r="C86">
        <v>2045</v>
      </c>
      <c r="D86">
        <v>60</v>
      </c>
      <c r="E86">
        <v>0.05</v>
      </c>
      <c r="F86">
        <v>0.04</v>
      </c>
      <c r="G86">
        <v>0.04</v>
      </c>
      <c r="H86">
        <v>0</v>
      </c>
      <c r="I86">
        <v>0.15</v>
      </c>
      <c r="J86">
        <v>0.02</v>
      </c>
      <c r="K86">
        <v>7.0000000000000007E-2</v>
      </c>
      <c r="L86" t="s">
        <v>1</v>
      </c>
      <c r="M86" t="s">
        <v>15</v>
      </c>
    </row>
    <row r="87" spans="1:13" x14ac:dyDescent="0.45">
      <c r="A87" t="s">
        <v>0</v>
      </c>
      <c r="B87" t="s">
        <v>144</v>
      </c>
      <c r="C87">
        <v>2050</v>
      </c>
      <c r="D87">
        <v>60</v>
      </c>
      <c r="E87">
        <v>0.06</v>
      </c>
      <c r="F87">
        <v>0.05</v>
      </c>
      <c r="G87">
        <v>0.04</v>
      </c>
      <c r="H87">
        <v>0</v>
      </c>
      <c r="I87">
        <v>0.13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45">
      <c r="A88" t="s">
        <v>2</v>
      </c>
      <c r="B88" t="s">
        <v>144</v>
      </c>
      <c r="C88">
        <v>2020</v>
      </c>
      <c r="D88">
        <v>93</v>
      </c>
      <c r="E88">
        <v>0</v>
      </c>
      <c r="F88">
        <v>0</v>
      </c>
      <c r="G88">
        <v>0</v>
      </c>
      <c r="H88">
        <v>0</v>
      </c>
      <c r="I88">
        <v>0.01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144</v>
      </c>
      <c r="C89">
        <v>2025</v>
      </c>
      <c r="D89">
        <v>82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144</v>
      </c>
      <c r="C90">
        <v>2030</v>
      </c>
      <c r="D90">
        <v>93</v>
      </c>
      <c r="E90">
        <v>0.01</v>
      </c>
      <c r="F90">
        <v>0</v>
      </c>
      <c r="G90">
        <v>0.01</v>
      </c>
      <c r="H90">
        <v>0</v>
      </c>
      <c r="I90">
        <v>0.05</v>
      </c>
      <c r="J90">
        <v>0</v>
      </c>
      <c r="K90">
        <v>0.02</v>
      </c>
      <c r="L90" t="s">
        <v>3</v>
      </c>
      <c r="M90" t="s">
        <v>15</v>
      </c>
    </row>
    <row r="91" spans="1:13" x14ac:dyDescent="0.45">
      <c r="A91" t="s">
        <v>2</v>
      </c>
      <c r="B91" t="s">
        <v>144</v>
      </c>
      <c r="C91">
        <v>2035</v>
      </c>
      <c r="D91">
        <v>82</v>
      </c>
      <c r="E91">
        <v>0.01</v>
      </c>
      <c r="F91">
        <v>0.01</v>
      </c>
      <c r="G91">
        <v>0.02</v>
      </c>
      <c r="H91">
        <v>0</v>
      </c>
      <c r="I91">
        <v>7.0000000000000007E-2</v>
      </c>
      <c r="J91">
        <v>0</v>
      </c>
      <c r="K91">
        <v>0.03</v>
      </c>
      <c r="L91" t="s">
        <v>3</v>
      </c>
      <c r="M91" t="s">
        <v>15</v>
      </c>
    </row>
    <row r="92" spans="1:13" x14ac:dyDescent="0.45">
      <c r="A92" t="s">
        <v>2</v>
      </c>
      <c r="B92" t="s">
        <v>144</v>
      </c>
      <c r="C92">
        <v>2040</v>
      </c>
      <c r="D92">
        <v>93</v>
      </c>
      <c r="E92">
        <v>0.02</v>
      </c>
      <c r="F92">
        <v>0.02</v>
      </c>
      <c r="G92">
        <v>0.03</v>
      </c>
      <c r="H92">
        <v>0</v>
      </c>
      <c r="I92">
        <v>0.11</v>
      </c>
      <c r="J92">
        <v>0</v>
      </c>
      <c r="K92">
        <v>0.04</v>
      </c>
      <c r="L92" t="s">
        <v>3</v>
      </c>
      <c r="M92" t="s">
        <v>15</v>
      </c>
    </row>
    <row r="93" spans="1:13" x14ac:dyDescent="0.45">
      <c r="A93" t="s">
        <v>2</v>
      </c>
      <c r="B93" t="s">
        <v>144</v>
      </c>
      <c r="C93">
        <v>2045</v>
      </c>
      <c r="D93">
        <v>82</v>
      </c>
      <c r="E93">
        <v>0.03</v>
      </c>
      <c r="F93">
        <v>0.02</v>
      </c>
      <c r="G93">
        <v>0.03</v>
      </c>
      <c r="H93">
        <v>0</v>
      </c>
      <c r="I93">
        <v>0.12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144</v>
      </c>
      <c r="C94">
        <v>2050</v>
      </c>
      <c r="D94">
        <v>93</v>
      </c>
      <c r="E94">
        <v>0.04</v>
      </c>
      <c r="F94">
        <v>0.04</v>
      </c>
      <c r="G94">
        <v>0.04</v>
      </c>
      <c r="H94">
        <v>0</v>
      </c>
      <c r="I94">
        <v>0.21</v>
      </c>
      <c r="J94">
        <v>0.01</v>
      </c>
      <c r="K94">
        <v>0.06</v>
      </c>
      <c r="L94" t="s">
        <v>3</v>
      </c>
      <c r="M94" t="s">
        <v>15</v>
      </c>
    </row>
    <row r="95" spans="1:13" x14ac:dyDescent="0.45">
      <c r="A95" t="s">
        <v>5</v>
      </c>
      <c r="B95" t="s">
        <v>144</v>
      </c>
      <c r="C95">
        <v>2020</v>
      </c>
      <c r="D95">
        <v>214</v>
      </c>
      <c r="E95">
        <v>0</v>
      </c>
      <c r="F95">
        <v>0</v>
      </c>
      <c r="G95">
        <v>0</v>
      </c>
      <c r="H95">
        <v>0</v>
      </c>
      <c r="I95">
        <v>0.01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144</v>
      </c>
      <c r="C96">
        <v>2025</v>
      </c>
      <c r="D96">
        <v>192</v>
      </c>
      <c r="E96">
        <v>0.01</v>
      </c>
      <c r="F96">
        <v>0</v>
      </c>
      <c r="G96">
        <v>0.01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144</v>
      </c>
      <c r="C97">
        <v>2030</v>
      </c>
      <c r="D97">
        <v>214</v>
      </c>
      <c r="E97">
        <v>0.01</v>
      </c>
      <c r="F97">
        <v>0.01</v>
      </c>
      <c r="G97">
        <v>0.01</v>
      </c>
      <c r="H97">
        <v>0</v>
      </c>
      <c r="I97">
        <v>0.08</v>
      </c>
      <c r="J97">
        <v>0</v>
      </c>
      <c r="K97">
        <v>0.02</v>
      </c>
      <c r="L97" t="s">
        <v>6</v>
      </c>
      <c r="M97" t="s">
        <v>15</v>
      </c>
    </row>
    <row r="98" spans="1:13" x14ac:dyDescent="0.45">
      <c r="A98" t="s">
        <v>5</v>
      </c>
      <c r="B98" t="s">
        <v>144</v>
      </c>
      <c r="C98">
        <v>2035</v>
      </c>
      <c r="D98">
        <v>192</v>
      </c>
      <c r="E98">
        <v>0.02</v>
      </c>
      <c r="F98">
        <v>0.01</v>
      </c>
      <c r="G98">
        <v>0.02</v>
      </c>
      <c r="H98">
        <v>0</v>
      </c>
      <c r="I98">
        <v>0.15</v>
      </c>
      <c r="J98">
        <v>0</v>
      </c>
      <c r="K98">
        <v>0.03</v>
      </c>
      <c r="L98" t="s">
        <v>6</v>
      </c>
      <c r="M98" t="s">
        <v>15</v>
      </c>
    </row>
    <row r="99" spans="1:13" x14ac:dyDescent="0.45">
      <c r="A99" t="s">
        <v>5</v>
      </c>
      <c r="B99" t="s">
        <v>144</v>
      </c>
      <c r="C99">
        <v>2040</v>
      </c>
      <c r="D99">
        <v>214</v>
      </c>
      <c r="E99">
        <v>0.03</v>
      </c>
      <c r="F99">
        <v>0.01</v>
      </c>
      <c r="G99">
        <v>0.03</v>
      </c>
      <c r="H99">
        <v>0</v>
      </c>
      <c r="I99">
        <v>0.13</v>
      </c>
      <c r="J99">
        <v>0</v>
      </c>
      <c r="K99">
        <v>0.04</v>
      </c>
      <c r="L99" t="s">
        <v>6</v>
      </c>
      <c r="M99" t="s">
        <v>15</v>
      </c>
    </row>
    <row r="100" spans="1:13" x14ac:dyDescent="0.45">
      <c r="A100" t="s">
        <v>5</v>
      </c>
      <c r="B100" t="s">
        <v>144</v>
      </c>
      <c r="C100">
        <v>2045</v>
      </c>
      <c r="D100">
        <v>192</v>
      </c>
      <c r="E100">
        <v>0.03</v>
      </c>
      <c r="F100">
        <v>0.02</v>
      </c>
      <c r="G100">
        <v>0.03</v>
      </c>
      <c r="H100">
        <v>0</v>
      </c>
      <c r="I100">
        <v>0.13</v>
      </c>
      <c r="J100">
        <v>0</v>
      </c>
      <c r="K100">
        <v>0.05</v>
      </c>
      <c r="L100" t="s">
        <v>6</v>
      </c>
      <c r="M100" t="s">
        <v>15</v>
      </c>
    </row>
    <row r="101" spans="1:13" x14ac:dyDescent="0.45">
      <c r="A101" t="s">
        <v>5</v>
      </c>
      <c r="B101" t="s">
        <v>144</v>
      </c>
      <c r="C101">
        <v>2050</v>
      </c>
      <c r="D101">
        <v>214</v>
      </c>
      <c r="E101">
        <v>0.05</v>
      </c>
      <c r="F101">
        <v>0.03</v>
      </c>
      <c r="G101">
        <v>0.06</v>
      </c>
      <c r="H101">
        <v>0</v>
      </c>
      <c r="I101">
        <v>0.23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144</v>
      </c>
      <c r="C102">
        <v>2020</v>
      </c>
      <c r="D102">
        <v>102</v>
      </c>
      <c r="E102">
        <v>0</v>
      </c>
      <c r="F102">
        <v>0</v>
      </c>
      <c r="G102">
        <v>0</v>
      </c>
      <c r="H102">
        <v>0</v>
      </c>
      <c r="I102">
        <v>0.01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144</v>
      </c>
      <c r="C103">
        <v>2025</v>
      </c>
      <c r="D103">
        <v>96</v>
      </c>
      <c r="E103">
        <v>0</v>
      </c>
      <c r="F103">
        <v>0</v>
      </c>
      <c r="G103">
        <v>0.01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144</v>
      </c>
      <c r="C104">
        <v>2030</v>
      </c>
      <c r="D104">
        <v>102</v>
      </c>
      <c r="E104">
        <v>0.01</v>
      </c>
      <c r="F104">
        <v>0</v>
      </c>
      <c r="G104">
        <v>0.01</v>
      </c>
      <c r="H104">
        <v>0</v>
      </c>
      <c r="I104">
        <v>0.04</v>
      </c>
      <c r="J104">
        <v>0</v>
      </c>
      <c r="K104">
        <v>0.01</v>
      </c>
      <c r="L104" t="s">
        <v>8</v>
      </c>
      <c r="M104" t="s">
        <v>15</v>
      </c>
    </row>
    <row r="105" spans="1:13" x14ac:dyDescent="0.45">
      <c r="A105" t="s">
        <v>7</v>
      </c>
      <c r="B105" t="s">
        <v>144</v>
      </c>
      <c r="C105">
        <v>2035</v>
      </c>
      <c r="D105">
        <v>96</v>
      </c>
      <c r="E105">
        <v>0.01</v>
      </c>
      <c r="F105">
        <v>0</v>
      </c>
      <c r="G105">
        <v>0.02</v>
      </c>
      <c r="H105">
        <v>0</v>
      </c>
      <c r="I105">
        <v>7.0000000000000007E-2</v>
      </c>
      <c r="J105">
        <v>0</v>
      </c>
      <c r="K105">
        <v>0.01</v>
      </c>
      <c r="L105" t="s">
        <v>8</v>
      </c>
      <c r="M105" t="s">
        <v>15</v>
      </c>
    </row>
    <row r="106" spans="1:13" x14ac:dyDescent="0.45">
      <c r="A106" t="s">
        <v>7</v>
      </c>
      <c r="B106" t="s">
        <v>144</v>
      </c>
      <c r="C106">
        <v>2040</v>
      </c>
      <c r="D106">
        <v>102</v>
      </c>
      <c r="E106">
        <v>0.02</v>
      </c>
      <c r="F106">
        <v>0</v>
      </c>
      <c r="G106">
        <v>0.02</v>
      </c>
      <c r="H106">
        <v>0</v>
      </c>
      <c r="I106">
        <v>0.09</v>
      </c>
      <c r="J106">
        <v>0</v>
      </c>
      <c r="K106">
        <v>0.04</v>
      </c>
      <c r="L106" t="s">
        <v>8</v>
      </c>
      <c r="M106" t="s">
        <v>15</v>
      </c>
    </row>
    <row r="107" spans="1:13" x14ac:dyDescent="0.45">
      <c r="A107" t="s">
        <v>7</v>
      </c>
      <c r="B107" t="s">
        <v>144</v>
      </c>
      <c r="C107">
        <v>2045</v>
      </c>
      <c r="D107">
        <v>96</v>
      </c>
      <c r="E107">
        <v>0.02</v>
      </c>
      <c r="F107">
        <v>0</v>
      </c>
      <c r="G107">
        <v>0.03</v>
      </c>
      <c r="H107">
        <v>0</v>
      </c>
      <c r="I107">
        <v>0.09</v>
      </c>
      <c r="J107">
        <v>0</v>
      </c>
      <c r="K107">
        <v>0.03</v>
      </c>
      <c r="L107" t="s">
        <v>8</v>
      </c>
      <c r="M107" t="s">
        <v>15</v>
      </c>
    </row>
    <row r="108" spans="1:13" x14ac:dyDescent="0.45">
      <c r="A108" t="s">
        <v>7</v>
      </c>
      <c r="B108" t="s">
        <v>144</v>
      </c>
      <c r="C108">
        <v>2050</v>
      </c>
      <c r="D108">
        <v>102</v>
      </c>
      <c r="E108">
        <v>0.02</v>
      </c>
      <c r="F108">
        <v>0</v>
      </c>
      <c r="G108">
        <v>0.03</v>
      </c>
      <c r="H108">
        <v>0</v>
      </c>
      <c r="I108">
        <v>0.11</v>
      </c>
      <c r="J108">
        <v>0</v>
      </c>
      <c r="K108">
        <v>0.04</v>
      </c>
      <c r="L108" t="s">
        <v>8</v>
      </c>
      <c r="M108" t="s">
        <v>15</v>
      </c>
    </row>
    <row r="109" spans="1:13" x14ac:dyDescent="0.45">
      <c r="A109" t="s">
        <v>9</v>
      </c>
      <c r="B109" t="s">
        <v>144</v>
      </c>
      <c r="C109">
        <v>2020</v>
      </c>
      <c r="D109">
        <v>58</v>
      </c>
      <c r="E109">
        <v>0</v>
      </c>
      <c r="F109">
        <v>0</v>
      </c>
      <c r="G109">
        <v>0</v>
      </c>
      <c r="H109">
        <v>0</v>
      </c>
      <c r="I109">
        <v>0.01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144</v>
      </c>
      <c r="C110">
        <v>2025</v>
      </c>
      <c r="D110">
        <v>53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144</v>
      </c>
      <c r="C111">
        <v>2030</v>
      </c>
      <c r="D111">
        <v>58</v>
      </c>
      <c r="E111">
        <v>0.01</v>
      </c>
      <c r="F111">
        <v>0.01</v>
      </c>
      <c r="G111">
        <v>0.01</v>
      </c>
      <c r="H111">
        <v>0</v>
      </c>
      <c r="I111">
        <v>0.05</v>
      </c>
      <c r="J111">
        <v>0</v>
      </c>
      <c r="K111">
        <v>0.02</v>
      </c>
      <c r="L111" t="s">
        <v>10</v>
      </c>
      <c r="M111" t="s">
        <v>15</v>
      </c>
    </row>
    <row r="112" spans="1:13" x14ac:dyDescent="0.45">
      <c r="A112" t="s">
        <v>9</v>
      </c>
      <c r="B112" t="s">
        <v>144</v>
      </c>
      <c r="C112">
        <v>2035</v>
      </c>
      <c r="D112">
        <v>53</v>
      </c>
      <c r="E112">
        <v>0.02</v>
      </c>
      <c r="F112">
        <v>0.01</v>
      </c>
      <c r="G112">
        <v>0.02</v>
      </c>
      <c r="H112">
        <v>0</v>
      </c>
      <c r="I112">
        <v>0.06</v>
      </c>
      <c r="J112">
        <v>0</v>
      </c>
      <c r="K112">
        <v>0.03</v>
      </c>
      <c r="L112" t="s">
        <v>10</v>
      </c>
      <c r="M112" t="s">
        <v>15</v>
      </c>
    </row>
    <row r="113" spans="1:13" x14ac:dyDescent="0.45">
      <c r="A113" t="s">
        <v>9</v>
      </c>
      <c r="B113" t="s">
        <v>144</v>
      </c>
      <c r="C113">
        <v>2040</v>
      </c>
      <c r="D113">
        <v>58</v>
      </c>
      <c r="E113">
        <v>0.02</v>
      </c>
      <c r="F113">
        <v>0.02</v>
      </c>
      <c r="G113">
        <v>0.02</v>
      </c>
      <c r="H113">
        <v>0</v>
      </c>
      <c r="I113">
        <v>0.08</v>
      </c>
      <c r="J113">
        <v>0.01</v>
      </c>
      <c r="K113">
        <v>0.04</v>
      </c>
      <c r="L113" t="s">
        <v>10</v>
      </c>
      <c r="M113" t="s">
        <v>15</v>
      </c>
    </row>
    <row r="114" spans="1:13" x14ac:dyDescent="0.45">
      <c r="A114" t="s">
        <v>9</v>
      </c>
      <c r="B114" t="s">
        <v>144</v>
      </c>
      <c r="C114">
        <v>2045</v>
      </c>
      <c r="D114">
        <v>53</v>
      </c>
      <c r="E114">
        <v>0.03</v>
      </c>
      <c r="F114">
        <v>0.02</v>
      </c>
      <c r="G114">
        <v>0.03</v>
      </c>
      <c r="H114">
        <v>0</v>
      </c>
      <c r="I114">
        <v>0.1</v>
      </c>
      <c r="J114">
        <v>0.01</v>
      </c>
      <c r="K114">
        <v>0.05</v>
      </c>
      <c r="L114" t="s">
        <v>10</v>
      </c>
      <c r="M114" t="s">
        <v>15</v>
      </c>
    </row>
    <row r="115" spans="1:13" x14ac:dyDescent="0.45">
      <c r="A115" t="s">
        <v>9</v>
      </c>
      <c r="B115" t="s">
        <v>144</v>
      </c>
      <c r="C115">
        <v>2050</v>
      </c>
      <c r="D115">
        <v>58</v>
      </c>
      <c r="E115">
        <v>0.03</v>
      </c>
      <c r="F115">
        <v>0.03</v>
      </c>
      <c r="G115">
        <v>0.03</v>
      </c>
      <c r="H115">
        <v>0</v>
      </c>
      <c r="I115">
        <v>0.12</v>
      </c>
      <c r="J115">
        <v>0.01</v>
      </c>
      <c r="K115">
        <v>0.05</v>
      </c>
      <c r="L115" t="s">
        <v>10</v>
      </c>
      <c r="M115" t="s">
        <v>15</v>
      </c>
    </row>
    <row r="116" spans="1:13" x14ac:dyDescent="0.45">
      <c r="A116" t="s">
        <v>0</v>
      </c>
      <c r="B116" t="s">
        <v>144</v>
      </c>
      <c r="C116">
        <v>2020</v>
      </c>
      <c r="D116">
        <v>61</v>
      </c>
      <c r="E116">
        <v>0.36</v>
      </c>
      <c r="F116">
        <v>0.35</v>
      </c>
      <c r="G116">
        <v>0.02</v>
      </c>
      <c r="H116">
        <v>0.33</v>
      </c>
      <c r="I116">
        <v>0.41</v>
      </c>
      <c r="J116">
        <v>0.35</v>
      </c>
      <c r="K116">
        <v>0.37</v>
      </c>
      <c r="L116" t="s">
        <v>1</v>
      </c>
      <c r="M116" t="s">
        <v>18</v>
      </c>
    </row>
    <row r="117" spans="1:13" x14ac:dyDescent="0.45">
      <c r="A117" t="s">
        <v>0</v>
      </c>
      <c r="B117" t="s">
        <v>144</v>
      </c>
      <c r="C117">
        <v>2025</v>
      </c>
      <c r="D117">
        <v>61</v>
      </c>
      <c r="E117">
        <v>0.33</v>
      </c>
      <c r="F117">
        <v>0.32</v>
      </c>
      <c r="G117">
        <v>0.05</v>
      </c>
      <c r="H117">
        <v>0.25</v>
      </c>
      <c r="I117">
        <v>0.45</v>
      </c>
      <c r="J117">
        <v>0.31</v>
      </c>
      <c r="K117">
        <v>0.36</v>
      </c>
      <c r="L117" t="s">
        <v>1</v>
      </c>
      <c r="M117" t="s">
        <v>18</v>
      </c>
    </row>
    <row r="118" spans="1:13" x14ac:dyDescent="0.45">
      <c r="A118" t="s">
        <v>0</v>
      </c>
      <c r="B118" t="s">
        <v>144</v>
      </c>
      <c r="C118">
        <v>2030</v>
      </c>
      <c r="D118">
        <v>61</v>
      </c>
      <c r="E118">
        <v>0.32</v>
      </c>
      <c r="F118">
        <v>0.3</v>
      </c>
      <c r="G118">
        <v>0.06</v>
      </c>
      <c r="H118">
        <v>0.25</v>
      </c>
      <c r="I118">
        <v>0.48</v>
      </c>
      <c r="J118">
        <v>0.28999999999999998</v>
      </c>
      <c r="K118">
        <v>0.34</v>
      </c>
      <c r="L118" t="s">
        <v>1</v>
      </c>
      <c r="M118" t="s">
        <v>18</v>
      </c>
    </row>
    <row r="119" spans="1:13" x14ac:dyDescent="0.45">
      <c r="A119" t="s">
        <v>0</v>
      </c>
      <c r="B119" t="s">
        <v>144</v>
      </c>
      <c r="C119">
        <v>2035</v>
      </c>
      <c r="D119">
        <v>61</v>
      </c>
      <c r="E119">
        <v>0.32</v>
      </c>
      <c r="F119">
        <v>0.28999999999999998</v>
      </c>
      <c r="G119">
        <v>7.0000000000000007E-2</v>
      </c>
      <c r="H119">
        <v>0.25</v>
      </c>
      <c r="I119">
        <v>0.5</v>
      </c>
      <c r="J119">
        <v>0.28000000000000003</v>
      </c>
      <c r="K119">
        <v>0.32</v>
      </c>
      <c r="L119" t="s">
        <v>1</v>
      </c>
      <c r="M119" t="s">
        <v>18</v>
      </c>
    </row>
    <row r="120" spans="1:13" x14ac:dyDescent="0.45">
      <c r="A120" t="s">
        <v>0</v>
      </c>
      <c r="B120" t="s">
        <v>144</v>
      </c>
      <c r="C120">
        <v>2040</v>
      </c>
      <c r="D120">
        <v>61</v>
      </c>
      <c r="E120">
        <v>0.31</v>
      </c>
      <c r="F120">
        <v>0.28999999999999998</v>
      </c>
      <c r="G120">
        <v>7.0000000000000007E-2</v>
      </c>
      <c r="H120">
        <v>0.22</v>
      </c>
      <c r="I120">
        <v>0.49</v>
      </c>
      <c r="J120">
        <v>0.27</v>
      </c>
      <c r="K120">
        <v>0.33</v>
      </c>
      <c r="L120" t="s">
        <v>1</v>
      </c>
      <c r="M120" t="s">
        <v>18</v>
      </c>
    </row>
    <row r="121" spans="1:13" x14ac:dyDescent="0.45">
      <c r="A121" t="s">
        <v>0</v>
      </c>
      <c r="B121" t="s">
        <v>144</v>
      </c>
      <c r="C121">
        <v>2045</v>
      </c>
      <c r="D121">
        <v>61</v>
      </c>
      <c r="E121">
        <v>0.31</v>
      </c>
      <c r="F121">
        <v>0.3</v>
      </c>
      <c r="G121">
        <v>7.0000000000000007E-2</v>
      </c>
      <c r="H121">
        <v>0.22</v>
      </c>
      <c r="I121">
        <v>0.49</v>
      </c>
      <c r="J121">
        <v>0.26</v>
      </c>
      <c r="K121">
        <v>0.34</v>
      </c>
      <c r="L121" t="s">
        <v>1</v>
      </c>
      <c r="M121" t="s">
        <v>18</v>
      </c>
    </row>
    <row r="122" spans="1:13" x14ac:dyDescent="0.45">
      <c r="A122" t="s">
        <v>0</v>
      </c>
      <c r="B122" t="s">
        <v>144</v>
      </c>
      <c r="C122">
        <v>2050</v>
      </c>
      <c r="D122">
        <v>61</v>
      </c>
      <c r="E122">
        <v>0.32</v>
      </c>
      <c r="F122">
        <v>0.31</v>
      </c>
      <c r="G122">
        <v>7.0000000000000007E-2</v>
      </c>
      <c r="H122">
        <v>0.21</v>
      </c>
      <c r="I122">
        <v>0.48</v>
      </c>
      <c r="J122">
        <v>0.26</v>
      </c>
      <c r="K122">
        <v>0.35</v>
      </c>
      <c r="L122" t="s">
        <v>1</v>
      </c>
      <c r="M122" t="s">
        <v>18</v>
      </c>
    </row>
    <row r="123" spans="1:13" x14ac:dyDescent="0.45">
      <c r="A123" t="s">
        <v>2</v>
      </c>
      <c r="B123" t="s">
        <v>144</v>
      </c>
      <c r="C123">
        <v>2020</v>
      </c>
      <c r="D123">
        <v>100</v>
      </c>
      <c r="E123">
        <v>0.36</v>
      </c>
      <c r="F123">
        <v>0.36</v>
      </c>
      <c r="G123">
        <v>0.03</v>
      </c>
      <c r="H123">
        <v>0.32</v>
      </c>
      <c r="I123">
        <v>0.41</v>
      </c>
      <c r="J123">
        <v>0.33</v>
      </c>
      <c r="K123">
        <v>0.39</v>
      </c>
      <c r="L123" t="s">
        <v>3</v>
      </c>
      <c r="M123" t="s">
        <v>18</v>
      </c>
    </row>
    <row r="124" spans="1:13" x14ac:dyDescent="0.45">
      <c r="A124" t="s">
        <v>2</v>
      </c>
      <c r="B124" t="s">
        <v>144</v>
      </c>
      <c r="C124">
        <v>2025</v>
      </c>
      <c r="D124">
        <v>89</v>
      </c>
      <c r="E124">
        <v>0.34</v>
      </c>
      <c r="F124">
        <v>0.34</v>
      </c>
      <c r="G124">
        <v>0.05</v>
      </c>
      <c r="H124">
        <v>0</v>
      </c>
      <c r="I124">
        <v>0.44</v>
      </c>
      <c r="J124">
        <v>0.32</v>
      </c>
      <c r="K124">
        <v>0.38</v>
      </c>
      <c r="L124" t="s">
        <v>3</v>
      </c>
      <c r="M124" t="s">
        <v>18</v>
      </c>
    </row>
    <row r="125" spans="1:13" x14ac:dyDescent="0.45">
      <c r="A125" t="s">
        <v>2</v>
      </c>
      <c r="B125" t="s">
        <v>144</v>
      </c>
      <c r="C125">
        <v>2030</v>
      </c>
      <c r="D125">
        <v>100</v>
      </c>
      <c r="E125">
        <v>0.32</v>
      </c>
      <c r="F125">
        <v>0.31</v>
      </c>
      <c r="G125">
        <v>0.06</v>
      </c>
      <c r="H125">
        <v>0</v>
      </c>
      <c r="I125">
        <v>0.48</v>
      </c>
      <c r="J125">
        <v>0.28999999999999998</v>
      </c>
      <c r="K125">
        <v>0.35</v>
      </c>
      <c r="L125" t="s">
        <v>3</v>
      </c>
      <c r="M125" t="s">
        <v>18</v>
      </c>
    </row>
    <row r="126" spans="1:13" x14ac:dyDescent="0.45">
      <c r="A126" t="s">
        <v>2</v>
      </c>
      <c r="B126" t="s">
        <v>144</v>
      </c>
      <c r="C126">
        <v>2035</v>
      </c>
      <c r="D126">
        <v>89</v>
      </c>
      <c r="E126">
        <v>0.32</v>
      </c>
      <c r="F126">
        <v>0.3</v>
      </c>
      <c r="G126">
        <v>0.06</v>
      </c>
      <c r="H126">
        <v>0.25</v>
      </c>
      <c r="I126">
        <v>0.49</v>
      </c>
      <c r="J126">
        <v>0.28000000000000003</v>
      </c>
      <c r="K126">
        <v>0.36</v>
      </c>
      <c r="L126" t="s">
        <v>3</v>
      </c>
      <c r="M126" t="s">
        <v>18</v>
      </c>
    </row>
    <row r="127" spans="1:13" x14ac:dyDescent="0.45">
      <c r="A127" t="s">
        <v>2</v>
      </c>
      <c r="B127" t="s">
        <v>144</v>
      </c>
      <c r="C127">
        <v>2040</v>
      </c>
      <c r="D127">
        <v>100</v>
      </c>
      <c r="E127">
        <v>0.3</v>
      </c>
      <c r="F127">
        <v>0.28999999999999998</v>
      </c>
      <c r="G127">
        <v>7.0000000000000007E-2</v>
      </c>
      <c r="H127">
        <v>0.19</v>
      </c>
      <c r="I127">
        <v>0.48</v>
      </c>
      <c r="J127">
        <v>0.25</v>
      </c>
      <c r="K127">
        <v>0.36</v>
      </c>
      <c r="L127" t="s">
        <v>3</v>
      </c>
      <c r="M127" t="s">
        <v>18</v>
      </c>
    </row>
    <row r="128" spans="1:13" x14ac:dyDescent="0.45">
      <c r="A128" t="s">
        <v>2</v>
      </c>
      <c r="B128" t="s">
        <v>144</v>
      </c>
      <c r="C128">
        <v>2045</v>
      </c>
      <c r="D128">
        <v>89</v>
      </c>
      <c r="E128">
        <v>0.32</v>
      </c>
      <c r="F128">
        <v>0.31</v>
      </c>
      <c r="G128">
        <v>7.0000000000000007E-2</v>
      </c>
      <c r="H128">
        <v>0.21</v>
      </c>
      <c r="I128">
        <v>0.47</v>
      </c>
      <c r="J128">
        <v>0.26</v>
      </c>
      <c r="K128">
        <v>0.35</v>
      </c>
      <c r="L128" t="s">
        <v>3</v>
      </c>
      <c r="M128" t="s">
        <v>18</v>
      </c>
    </row>
    <row r="129" spans="1:13" x14ac:dyDescent="0.45">
      <c r="A129" t="s">
        <v>2</v>
      </c>
      <c r="B129" t="s">
        <v>144</v>
      </c>
      <c r="C129">
        <v>2050</v>
      </c>
      <c r="D129">
        <v>100</v>
      </c>
      <c r="E129">
        <v>0.31</v>
      </c>
      <c r="F129">
        <v>0.31</v>
      </c>
      <c r="G129">
        <v>7.0000000000000007E-2</v>
      </c>
      <c r="H129">
        <v>0.18</v>
      </c>
      <c r="I129">
        <v>0.48</v>
      </c>
      <c r="J129">
        <v>0.24</v>
      </c>
      <c r="K129">
        <v>0.35</v>
      </c>
      <c r="L129" t="s">
        <v>3</v>
      </c>
      <c r="M129" t="s">
        <v>18</v>
      </c>
    </row>
    <row r="130" spans="1:13" x14ac:dyDescent="0.45">
      <c r="A130" t="s">
        <v>5</v>
      </c>
      <c r="B130" t="s">
        <v>144</v>
      </c>
      <c r="C130">
        <v>2020</v>
      </c>
      <c r="D130">
        <v>219</v>
      </c>
      <c r="E130">
        <v>0.37</v>
      </c>
      <c r="F130">
        <v>0.36</v>
      </c>
      <c r="G130">
        <v>0.02</v>
      </c>
      <c r="H130">
        <v>0.32</v>
      </c>
      <c r="I130">
        <v>0.41</v>
      </c>
      <c r="J130">
        <v>0.35</v>
      </c>
      <c r="K130">
        <v>0.37</v>
      </c>
      <c r="L130" t="s">
        <v>6</v>
      </c>
      <c r="M130" t="s">
        <v>18</v>
      </c>
    </row>
    <row r="131" spans="1:13" x14ac:dyDescent="0.45">
      <c r="A131" t="s">
        <v>5</v>
      </c>
      <c r="B131" t="s">
        <v>144</v>
      </c>
      <c r="C131">
        <v>2025</v>
      </c>
      <c r="D131">
        <v>196</v>
      </c>
      <c r="E131">
        <v>0.31</v>
      </c>
      <c r="F131">
        <v>0.32</v>
      </c>
      <c r="G131">
        <v>0.1</v>
      </c>
      <c r="H131">
        <v>0</v>
      </c>
      <c r="I131">
        <v>0.44</v>
      </c>
      <c r="J131">
        <v>0.32</v>
      </c>
      <c r="K131">
        <v>0.36</v>
      </c>
      <c r="L131" t="s">
        <v>6</v>
      </c>
      <c r="M131" t="s">
        <v>18</v>
      </c>
    </row>
    <row r="132" spans="1:13" x14ac:dyDescent="0.45">
      <c r="A132" t="s">
        <v>5</v>
      </c>
      <c r="B132" t="s">
        <v>144</v>
      </c>
      <c r="C132">
        <v>2030</v>
      </c>
      <c r="D132">
        <v>219</v>
      </c>
      <c r="E132">
        <v>0.31</v>
      </c>
      <c r="F132">
        <v>0.31</v>
      </c>
      <c r="G132">
        <v>0.1</v>
      </c>
      <c r="H132">
        <v>0</v>
      </c>
      <c r="I132">
        <v>0.48</v>
      </c>
      <c r="J132">
        <v>0.3</v>
      </c>
      <c r="K132">
        <v>0.34</v>
      </c>
      <c r="L132" t="s">
        <v>6</v>
      </c>
      <c r="M132" t="s">
        <v>18</v>
      </c>
    </row>
    <row r="133" spans="1:13" x14ac:dyDescent="0.45">
      <c r="A133" t="s">
        <v>5</v>
      </c>
      <c r="B133" t="s">
        <v>144</v>
      </c>
      <c r="C133">
        <v>2035</v>
      </c>
      <c r="D133">
        <v>196</v>
      </c>
      <c r="E133">
        <v>0.32</v>
      </c>
      <c r="F133">
        <v>0.28999999999999998</v>
      </c>
      <c r="G133">
        <v>0.06</v>
      </c>
      <c r="H133">
        <v>0.25</v>
      </c>
      <c r="I133">
        <v>0.49</v>
      </c>
      <c r="J133">
        <v>0.28000000000000003</v>
      </c>
      <c r="K133">
        <v>0.36</v>
      </c>
      <c r="L133" t="s">
        <v>6</v>
      </c>
      <c r="M133" t="s">
        <v>18</v>
      </c>
    </row>
    <row r="134" spans="1:13" x14ac:dyDescent="0.45">
      <c r="A134" t="s">
        <v>5</v>
      </c>
      <c r="B134" t="s">
        <v>144</v>
      </c>
      <c r="C134">
        <v>2040</v>
      </c>
      <c r="D134">
        <v>219</v>
      </c>
      <c r="E134">
        <v>0.31</v>
      </c>
      <c r="F134">
        <v>0.28999999999999998</v>
      </c>
      <c r="G134">
        <v>0.06</v>
      </c>
      <c r="H134">
        <v>0.2</v>
      </c>
      <c r="I134">
        <v>0.49</v>
      </c>
      <c r="J134">
        <v>0.27</v>
      </c>
      <c r="K134">
        <v>0.35</v>
      </c>
      <c r="L134" t="s">
        <v>6</v>
      </c>
      <c r="M134" t="s">
        <v>18</v>
      </c>
    </row>
    <row r="135" spans="1:13" x14ac:dyDescent="0.45">
      <c r="A135" t="s">
        <v>5</v>
      </c>
      <c r="B135" t="s">
        <v>144</v>
      </c>
      <c r="C135">
        <v>2045</v>
      </c>
      <c r="D135">
        <v>196</v>
      </c>
      <c r="E135">
        <v>0.31</v>
      </c>
      <c r="F135">
        <v>0.28999999999999998</v>
      </c>
      <c r="G135">
        <v>7.0000000000000007E-2</v>
      </c>
      <c r="H135">
        <v>0.22</v>
      </c>
      <c r="I135">
        <v>0.49</v>
      </c>
      <c r="J135">
        <v>0.26</v>
      </c>
      <c r="K135">
        <v>0.35</v>
      </c>
      <c r="L135" t="s">
        <v>6</v>
      </c>
      <c r="M135" t="s">
        <v>18</v>
      </c>
    </row>
    <row r="136" spans="1:13" x14ac:dyDescent="0.45">
      <c r="A136" t="s">
        <v>5</v>
      </c>
      <c r="B136" t="s">
        <v>144</v>
      </c>
      <c r="C136">
        <v>2050</v>
      </c>
      <c r="D136">
        <v>219</v>
      </c>
      <c r="E136">
        <v>0.31</v>
      </c>
      <c r="F136">
        <v>0.3</v>
      </c>
      <c r="G136">
        <v>7.0000000000000007E-2</v>
      </c>
      <c r="H136">
        <v>0.18</v>
      </c>
      <c r="I136">
        <v>0.49</v>
      </c>
      <c r="J136">
        <v>0.26</v>
      </c>
      <c r="K136">
        <v>0.36</v>
      </c>
      <c r="L136" t="s">
        <v>6</v>
      </c>
      <c r="M136" t="s">
        <v>18</v>
      </c>
    </row>
    <row r="137" spans="1:13" x14ac:dyDescent="0.45">
      <c r="A137" t="s">
        <v>7</v>
      </c>
      <c r="B137" t="s">
        <v>144</v>
      </c>
      <c r="C137">
        <v>2020</v>
      </c>
      <c r="D137">
        <v>101</v>
      </c>
      <c r="E137">
        <v>0.37</v>
      </c>
      <c r="F137">
        <v>0.37</v>
      </c>
      <c r="G137">
        <v>0.02</v>
      </c>
      <c r="H137">
        <v>0.33</v>
      </c>
      <c r="I137">
        <v>0.4</v>
      </c>
      <c r="J137">
        <v>0.36</v>
      </c>
      <c r="K137">
        <v>0.4</v>
      </c>
      <c r="L137" t="s">
        <v>8</v>
      </c>
      <c r="M137" t="s">
        <v>18</v>
      </c>
    </row>
    <row r="138" spans="1:13" x14ac:dyDescent="0.45">
      <c r="A138" t="s">
        <v>7</v>
      </c>
      <c r="B138" t="s">
        <v>144</v>
      </c>
      <c r="C138">
        <v>2025</v>
      </c>
      <c r="D138">
        <v>95</v>
      </c>
      <c r="E138">
        <v>0.33</v>
      </c>
      <c r="F138">
        <v>0.35</v>
      </c>
      <c r="G138">
        <v>0.11</v>
      </c>
      <c r="H138">
        <v>0</v>
      </c>
      <c r="I138">
        <v>0.43</v>
      </c>
      <c r="J138">
        <v>0.32</v>
      </c>
      <c r="K138">
        <v>0.38</v>
      </c>
      <c r="L138" t="s">
        <v>8</v>
      </c>
      <c r="M138" t="s">
        <v>18</v>
      </c>
    </row>
    <row r="139" spans="1:13" x14ac:dyDescent="0.45">
      <c r="A139" t="s">
        <v>7</v>
      </c>
      <c r="B139" t="s">
        <v>144</v>
      </c>
      <c r="C139">
        <v>2030</v>
      </c>
      <c r="D139">
        <v>101</v>
      </c>
      <c r="E139">
        <v>0.32</v>
      </c>
      <c r="F139">
        <v>0.34</v>
      </c>
      <c r="G139">
        <v>0.1</v>
      </c>
      <c r="H139">
        <v>0</v>
      </c>
      <c r="I139">
        <v>0.45</v>
      </c>
      <c r="J139">
        <v>0.3</v>
      </c>
      <c r="K139">
        <v>0.38</v>
      </c>
      <c r="L139" t="s">
        <v>8</v>
      </c>
      <c r="M139" t="s">
        <v>18</v>
      </c>
    </row>
    <row r="140" spans="1:13" x14ac:dyDescent="0.45">
      <c r="A140" t="s">
        <v>7</v>
      </c>
      <c r="B140" t="s">
        <v>144</v>
      </c>
      <c r="C140">
        <v>2035</v>
      </c>
      <c r="D140">
        <v>95</v>
      </c>
      <c r="E140">
        <v>0.33</v>
      </c>
      <c r="F140">
        <v>0.33</v>
      </c>
      <c r="G140">
        <v>0.05</v>
      </c>
      <c r="H140">
        <v>0.25</v>
      </c>
      <c r="I140">
        <v>0.45</v>
      </c>
      <c r="J140">
        <v>0.28000000000000003</v>
      </c>
      <c r="K140">
        <v>0.37</v>
      </c>
      <c r="L140" t="s">
        <v>8</v>
      </c>
      <c r="M140" t="s">
        <v>18</v>
      </c>
    </row>
    <row r="141" spans="1:13" x14ac:dyDescent="0.45">
      <c r="A141" t="s">
        <v>7</v>
      </c>
      <c r="B141" t="s">
        <v>144</v>
      </c>
      <c r="C141">
        <v>2040</v>
      </c>
      <c r="D141">
        <v>101</v>
      </c>
      <c r="E141">
        <v>0.32</v>
      </c>
      <c r="F141">
        <v>0.3</v>
      </c>
      <c r="G141">
        <v>0.06</v>
      </c>
      <c r="H141">
        <v>0.23</v>
      </c>
      <c r="I141">
        <v>0.48</v>
      </c>
      <c r="J141">
        <v>0.27</v>
      </c>
      <c r="K141">
        <v>0.36</v>
      </c>
      <c r="L141" t="s">
        <v>8</v>
      </c>
      <c r="M141" t="s">
        <v>18</v>
      </c>
    </row>
    <row r="142" spans="1:13" x14ac:dyDescent="0.45">
      <c r="A142" t="s">
        <v>7</v>
      </c>
      <c r="B142" t="s">
        <v>144</v>
      </c>
      <c r="C142">
        <v>2045</v>
      </c>
      <c r="D142">
        <v>95</v>
      </c>
      <c r="E142">
        <v>0.31</v>
      </c>
      <c r="F142">
        <v>0.28999999999999998</v>
      </c>
      <c r="G142">
        <v>7.0000000000000007E-2</v>
      </c>
      <c r="H142">
        <v>0.21</v>
      </c>
      <c r="I142">
        <v>0.48</v>
      </c>
      <c r="J142">
        <v>0.27</v>
      </c>
      <c r="K142">
        <v>0.35</v>
      </c>
      <c r="L142" t="s">
        <v>8</v>
      </c>
      <c r="M142" t="s">
        <v>18</v>
      </c>
    </row>
    <row r="143" spans="1:13" x14ac:dyDescent="0.45">
      <c r="A143" t="s">
        <v>7</v>
      </c>
      <c r="B143" t="s">
        <v>144</v>
      </c>
      <c r="C143">
        <v>2050</v>
      </c>
      <c r="D143">
        <v>101</v>
      </c>
      <c r="E143">
        <v>0.3</v>
      </c>
      <c r="F143">
        <v>0.3</v>
      </c>
      <c r="G143">
        <v>7.0000000000000007E-2</v>
      </c>
      <c r="H143">
        <v>0.21</v>
      </c>
      <c r="I143">
        <v>0.47</v>
      </c>
      <c r="J143">
        <v>0.25</v>
      </c>
      <c r="K143">
        <v>0.34</v>
      </c>
      <c r="L143" t="s">
        <v>8</v>
      </c>
      <c r="M143" t="s">
        <v>18</v>
      </c>
    </row>
    <row r="144" spans="1:13" x14ac:dyDescent="0.45">
      <c r="A144" t="s">
        <v>9</v>
      </c>
      <c r="B144" t="s">
        <v>144</v>
      </c>
      <c r="C144">
        <v>2020</v>
      </c>
      <c r="D144">
        <v>60</v>
      </c>
      <c r="E144">
        <v>0.36</v>
      </c>
      <c r="F144">
        <v>0.35</v>
      </c>
      <c r="G144">
        <v>0.02</v>
      </c>
      <c r="H144">
        <v>0.33</v>
      </c>
      <c r="I144">
        <v>0.41</v>
      </c>
      <c r="J144">
        <v>0.35</v>
      </c>
      <c r="K144">
        <v>0.37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144</v>
      </c>
      <c r="C145">
        <v>2025</v>
      </c>
      <c r="D145">
        <v>55</v>
      </c>
      <c r="E145">
        <v>0.35</v>
      </c>
      <c r="F145">
        <v>0.33</v>
      </c>
      <c r="G145">
        <v>0.03</v>
      </c>
      <c r="H145">
        <v>0.3</v>
      </c>
      <c r="I145">
        <v>0.41</v>
      </c>
      <c r="J145">
        <v>0.32</v>
      </c>
      <c r="K145">
        <v>0.37</v>
      </c>
      <c r="L145" t="s">
        <v>10</v>
      </c>
      <c r="M145" t="s">
        <v>18</v>
      </c>
    </row>
    <row r="146" spans="1:13" x14ac:dyDescent="0.45">
      <c r="A146" t="s">
        <v>9</v>
      </c>
      <c r="B146" t="s">
        <v>144</v>
      </c>
      <c r="C146">
        <v>2030</v>
      </c>
      <c r="D146">
        <v>60</v>
      </c>
      <c r="E146">
        <v>0.34</v>
      </c>
      <c r="F146">
        <v>0.34</v>
      </c>
      <c r="G146">
        <v>0.03</v>
      </c>
      <c r="H146">
        <v>0.28999999999999998</v>
      </c>
      <c r="I146">
        <v>0.41</v>
      </c>
      <c r="J146">
        <v>0.31</v>
      </c>
      <c r="K146">
        <v>0.36</v>
      </c>
      <c r="L146" t="s">
        <v>10</v>
      </c>
      <c r="M146" t="s">
        <v>18</v>
      </c>
    </row>
    <row r="147" spans="1:13" x14ac:dyDescent="0.45">
      <c r="A147" t="s">
        <v>9</v>
      </c>
      <c r="B147" t="s">
        <v>144</v>
      </c>
      <c r="C147">
        <v>2035</v>
      </c>
      <c r="D147">
        <v>55</v>
      </c>
      <c r="E147">
        <v>0.33</v>
      </c>
      <c r="F147">
        <v>0.32</v>
      </c>
      <c r="G147">
        <v>0.04</v>
      </c>
      <c r="H147">
        <v>0.28000000000000003</v>
      </c>
      <c r="I147">
        <v>0.44</v>
      </c>
      <c r="J147">
        <v>0.3</v>
      </c>
      <c r="K147">
        <v>0.36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144</v>
      </c>
      <c r="C148">
        <v>2040</v>
      </c>
      <c r="D148">
        <v>60</v>
      </c>
      <c r="E148">
        <v>0.32</v>
      </c>
      <c r="F148">
        <v>0.3</v>
      </c>
      <c r="G148">
        <v>0.04</v>
      </c>
      <c r="H148">
        <v>0.25</v>
      </c>
      <c r="I148">
        <v>0.46</v>
      </c>
      <c r="J148">
        <v>0.28999999999999998</v>
      </c>
      <c r="K148">
        <v>0.35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144</v>
      </c>
      <c r="C149">
        <v>2045</v>
      </c>
      <c r="D149">
        <v>55</v>
      </c>
      <c r="E149">
        <v>0.32</v>
      </c>
      <c r="F149">
        <v>0.3</v>
      </c>
      <c r="G149">
        <v>0.05</v>
      </c>
      <c r="H149">
        <v>0.25</v>
      </c>
      <c r="I149">
        <v>0.48</v>
      </c>
      <c r="J149">
        <v>0.28000000000000003</v>
      </c>
      <c r="K149">
        <v>0.35</v>
      </c>
      <c r="L149" t="s">
        <v>10</v>
      </c>
      <c r="M149" t="s">
        <v>18</v>
      </c>
    </row>
    <row r="150" spans="1:13" x14ac:dyDescent="0.45">
      <c r="A150" t="s">
        <v>9</v>
      </c>
      <c r="B150" t="s">
        <v>144</v>
      </c>
      <c r="C150">
        <v>2050</v>
      </c>
      <c r="D150">
        <v>60</v>
      </c>
      <c r="E150">
        <v>0.31</v>
      </c>
      <c r="F150">
        <v>0.28999999999999998</v>
      </c>
      <c r="G150">
        <v>0.05</v>
      </c>
      <c r="H150">
        <v>0.26</v>
      </c>
      <c r="I150">
        <v>0.49</v>
      </c>
      <c r="J150">
        <v>0.28000000000000003</v>
      </c>
      <c r="K150">
        <v>0.34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144</v>
      </c>
      <c r="C151">
        <v>2020</v>
      </c>
      <c r="D151">
        <v>63</v>
      </c>
      <c r="E151">
        <v>0.6</v>
      </c>
      <c r="F151">
        <v>0.61</v>
      </c>
      <c r="G151">
        <v>0.03</v>
      </c>
      <c r="H151">
        <v>0.54</v>
      </c>
      <c r="I151">
        <v>0.64</v>
      </c>
      <c r="J151">
        <v>0.57999999999999996</v>
      </c>
      <c r="K151">
        <v>0.62</v>
      </c>
      <c r="L151" t="s">
        <v>1</v>
      </c>
      <c r="M151" t="s">
        <v>21</v>
      </c>
    </row>
    <row r="152" spans="1:13" x14ac:dyDescent="0.45">
      <c r="A152" t="s">
        <v>0</v>
      </c>
      <c r="B152" t="s">
        <v>144</v>
      </c>
      <c r="C152">
        <v>2025</v>
      </c>
      <c r="D152">
        <v>63</v>
      </c>
      <c r="E152">
        <v>0.6</v>
      </c>
      <c r="F152">
        <v>0.62</v>
      </c>
      <c r="G152">
        <v>0.04</v>
      </c>
      <c r="H152">
        <v>0.52</v>
      </c>
      <c r="I152">
        <v>0.69</v>
      </c>
      <c r="J152">
        <v>0.56000000000000005</v>
      </c>
      <c r="K152">
        <v>0.63</v>
      </c>
      <c r="L152" t="s">
        <v>1</v>
      </c>
      <c r="M152" t="s">
        <v>21</v>
      </c>
    </row>
    <row r="153" spans="1:13" x14ac:dyDescent="0.45">
      <c r="A153" t="s">
        <v>0</v>
      </c>
      <c r="B153" t="s">
        <v>144</v>
      </c>
      <c r="C153">
        <v>2030</v>
      </c>
      <c r="D153">
        <v>63</v>
      </c>
      <c r="E153">
        <v>0.57999999999999996</v>
      </c>
      <c r="F153">
        <v>0.59</v>
      </c>
      <c r="G153">
        <v>0.05</v>
      </c>
      <c r="H153">
        <v>0.46</v>
      </c>
      <c r="I153">
        <v>0.66</v>
      </c>
      <c r="J153">
        <v>0.55000000000000004</v>
      </c>
      <c r="K153">
        <v>0.61</v>
      </c>
      <c r="L153" t="s">
        <v>1</v>
      </c>
      <c r="M153" t="s">
        <v>21</v>
      </c>
    </row>
    <row r="154" spans="1:13" x14ac:dyDescent="0.45">
      <c r="A154" t="s">
        <v>0</v>
      </c>
      <c r="B154" t="s">
        <v>144</v>
      </c>
      <c r="C154">
        <v>2035</v>
      </c>
      <c r="D154">
        <v>63</v>
      </c>
      <c r="E154">
        <v>0.55000000000000004</v>
      </c>
      <c r="F154">
        <v>0.56000000000000005</v>
      </c>
      <c r="G154">
        <v>0.06</v>
      </c>
      <c r="H154">
        <v>0.4</v>
      </c>
      <c r="I154">
        <v>0.65</v>
      </c>
      <c r="J154">
        <v>0.53</v>
      </c>
      <c r="K154">
        <v>0.59</v>
      </c>
      <c r="L154" t="s">
        <v>1</v>
      </c>
      <c r="M154" t="s">
        <v>21</v>
      </c>
    </row>
    <row r="155" spans="1:13" x14ac:dyDescent="0.45">
      <c r="A155" t="s">
        <v>0</v>
      </c>
      <c r="B155" t="s">
        <v>144</v>
      </c>
      <c r="C155">
        <v>2040</v>
      </c>
      <c r="D155">
        <v>63</v>
      </c>
      <c r="E155">
        <v>0.53</v>
      </c>
      <c r="F155">
        <v>0.54</v>
      </c>
      <c r="G155">
        <v>0.06</v>
      </c>
      <c r="H155">
        <v>0.36</v>
      </c>
      <c r="I155">
        <v>0.64</v>
      </c>
      <c r="J155">
        <v>0.52</v>
      </c>
      <c r="K155">
        <v>0.56000000000000005</v>
      </c>
      <c r="L155" t="s">
        <v>1</v>
      </c>
      <c r="M155" t="s">
        <v>21</v>
      </c>
    </row>
    <row r="156" spans="1:13" x14ac:dyDescent="0.45">
      <c r="A156" t="s">
        <v>0</v>
      </c>
      <c r="B156" t="s">
        <v>144</v>
      </c>
      <c r="C156">
        <v>2045</v>
      </c>
      <c r="D156">
        <v>63</v>
      </c>
      <c r="E156">
        <v>0.52</v>
      </c>
      <c r="F156">
        <v>0.53</v>
      </c>
      <c r="G156">
        <v>7.0000000000000007E-2</v>
      </c>
      <c r="H156">
        <v>0.34</v>
      </c>
      <c r="I156">
        <v>0.64</v>
      </c>
      <c r="J156">
        <v>0.51</v>
      </c>
      <c r="K156">
        <v>0.56000000000000005</v>
      </c>
      <c r="L156" t="s">
        <v>1</v>
      </c>
      <c r="M156" t="s">
        <v>21</v>
      </c>
    </row>
    <row r="157" spans="1:13" x14ac:dyDescent="0.45">
      <c r="A157" t="s">
        <v>0</v>
      </c>
      <c r="B157" t="s">
        <v>144</v>
      </c>
      <c r="C157">
        <v>2050</v>
      </c>
      <c r="D157">
        <v>63</v>
      </c>
      <c r="E157">
        <v>0.51</v>
      </c>
      <c r="F157">
        <v>0.53</v>
      </c>
      <c r="G157">
        <v>7.0000000000000007E-2</v>
      </c>
      <c r="H157">
        <v>0.33</v>
      </c>
      <c r="I157">
        <v>0.64</v>
      </c>
      <c r="J157">
        <v>0.48</v>
      </c>
      <c r="K157">
        <v>0.56000000000000005</v>
      </c>
      <c r="L157" t="s">
        <v>1</v>
      </c>
      <c r="M157" t="s">
        <v>21</v>
      </c>
    </row>
    <row r="158" spans="1:13" x14ac:dyDescent="0.45">
      <c r="A158" t="s">
        <v>2</v>
      </c>
      <c r="B158" t="s">
        <v>144</v>
      </c>
      <c r="C158">
        <v>2020</v>
      </c>
      <c r="D158">
        <v>97</v>
      </c>
      <c r="E158">
        <v>0.6</v>
      </c>
      <c r="F158">
        <v>0.6</v>
      </c>
      <c r="G158">
        <v>0.03</v>
      </c>
      <c r="H158">
        <v>0.54</v>
      </c>
      <c r="I158">
        <v>0.65</v>
      </c>
      <c r="J158">
        <v>0.56999999999999995</v>
      </c>
      <c r="K158">
        <v>0.63</v>
      </c>
      <c r="L158" t="s">
        <v>3</v>
      </c>
      <c r="M158" t="s">
        <v>21</v>
      </c>
    </row>
    <row r="159" spans="1:13" x14ac:dyDescent="0.45">
      <c r="A159" t="s">
        <v>2</v>
      </c>
      <c r="B159" t="s">
        <v>144</v>
      </c>
      <c r="C159">
        <v>2025</v>
      </c>
      <c r="D159">
        <v>86</v>
      </c>
      <c r="E159">
        <v>0.59</v>
      </c>
      <c r="F159">
        <v>0.59</v>
      </c>
      <c r="G159">
        <v>0.05</v>
      </c>
      <c r="H159">
        <v>0.26</v>
      </c>
      <c r="I159">
        <v>0.69</v>
      </c>
      <c r="J159">
        <v>0.56000000000000005</v>
      </c>
      <c r="K159">
        <v>0.63</v>
      </c>
      <c r="L159" t="s">
        <v>3</v>
      </c>
      <c r="M159" t="s">
        <v>21</v>
      </c>
    </row>
    <row r="160" spans="1:13" x14ac:dyDescent="0.45">
      <c r="A160" t="s">
        <v>2</v>
      </c>
      <c r="B160" t="s">
        <v>144</v>
      </c>
      <c r="C160">
        <v>2030</v>
      </c>
      <c r="D160">
        <v>97</v>
      </c>
      <c r="E160">
        <v>0.57999999999999996</v>
      </c>
      <c r="F160">
        <v>0.59</v>
      </c>
      <c r="G160">
        <v>0.06</v>
      </c>
      <c r="H160">
        <v>0.23</v>
      </c>
      <c r="I160">
        <v>0.67</v>
      </c>
      <c r="J160">
        <v>0.56000000000000005</v>
      </c>
      <c r="K160">
        <v>0.62</v>
      </c>
      <c r="L160" t="s">
        <v>3</v>
      </c>
      <c r="M160" t="s">
        <v>21</v>
      </c>
    </row>
    <row r="161" spans="1:13" x14ac:dyDescent="0.45">
      <c r="A161" t="s">
        <v>2</v>
      </c>
      <c r="B161" t="s">
        <v>144</v>
      </c>
      <c r="C161">
        <v>2035</v>
      </c>
      <c r="D161">
        <v>86</v>
      </c>
      <c r="E161">
        <v>0.55000000000000004</v>
      </c>
      <c r="F161">
        <v>0.56000000000000005</v>
      </c>
      <c r="G161">
        <v>0.05</v>
      </c>
      <c r="H161">
        <v>0.4</v>
      </c>
      <c r="I161">
        <v>0.66</v>
      </c>
      <c r="J161">
        <v>0.53</v>
      </c>
      <c r="K161">
        <v>0.6</v>
      </c>
      <c r="L161" t="s">
        <v>3</v>
      </c>
      <c r="M161" t="s">
        <v>21</v>
      </c>
    </row>
    <row r="162" spans="1:13" x14ac:dyDescent="0.45">
      <c r="A162" t="s">
        <v>2</v>
      </c>
      <c r="B162" t="s">
        <v>144</v>
      </c>
      <c r="C162">
        <v>2040</v>
      </c>
      <c r="D162">
        <v>97</v>
      </c>
      <c r="E162">
        <v>0.54</v>
      </c>
      <c r="F162">
        <v>0.54</v>
      </c>
      <c r="G162">
        <v>0.06</v>
      </c>
      <c r="H162">
        <v>0.36</v>
      </c>
      <c r="I162">
        <v>0.65</v>
      </c>
      <c r="J162">
        <v>0.52</v>
      </c>
      <c r="K162">
        <v>0.57999999999999996</v>
      </c>
      <c r="L162" t="s">
        <v>3</v>
      </c>
      <c r="M162" t="s">
        <v>21</v>
      </c>
    </row>
    <row r="163" spans="1:13" x14ac:dyDescent="0.45">
      <c r="A163" t="s">
        <v>2</v>
      </c>
      <c r="B163" t="s">
        <v>144</v>
      </c>
      <c r="C163">
        <v>2045</v>
      </c>
      <c r="D163">
        <v>86</v>
      </c>
      <c r="E163">
        <v>0.53</v>
      </c>
      <c r="F163">
        <v>0.53</v>
      </c>
      <c r="G163">
        <v>0.06</v>
      </c>
      <c r="H163">
        <v>0.33</v>
      </c>
      <c r="I163">
        <v>0.65</v>
      </c>
      <c r="J163">
        <v>0.5</v>
      </c>
      <c r="K163">
        <v>0.56000000000000005</v>
      </c>
      <c r="L163" t="s">
        <v>3</v>
      </c>
      <c r="M163" t="s">
        <v>21</v>
      </c>
    </row>
    <row r="164" spans="1:13" x14ac:dyDescent="0.45">
      <c r="A164" t="s">
        <v>2</v>
      </c>
      <c r="B164" t="s">
        <v>144</v>
      </c>
      <c r="C164">
        <v>2050</v>
      </c>
      <c r="D164">
        <v>97</v>
      </c>
      <c r="E164">
        <v>0.52</v>
      </c>
      <c r="F164">
        <v>0.54</v>
      </c>
      <c r="G164">
        <v>0.06</v>
      </c>
      <c r="H164">
        <v>0.32</v>
      </c>
      <c r="I164">
        <v>0.64</v>
      </c>
      <c r="J164">
        <v>0.49</v>
      </c>
      <c r="K164">
        <v>0.56000000000000005</v>
      </c>
      <c r="L164" t="s">
        <v>3</v>
      </c>
      <c r="M164" t="s">
        <v>21</v>
      </c>
    </row>
    <row r="165" spans="1:13" x14ac:dyDescent="0.45">
      <c r="A165" t="s">
        <v>5</v>
      </c>
      <c r="B165" t="s">
        <v>144</v>
      </c>
      <c r="C165">
        <v>2020</v>
      </c>
      <c r="D165">
        <v>218</v>
      </c>
      <c r="E165">
        <v>0.6</v>
      </c>
      <c r="F165">
        <v>0.6</v>
      </c>
      <c r="G165">
        <v>0.02</v>
      </c>
      <c r="H165">
        <v>0.54</v>
      </c>
      <c r="I165">
        <v>0.65</v>
      </c>
      <c r="J165">
        <v>0.57999999999999996</v>
      </c>
      <c r="K165">
        <v>0.62</v>
      </c>
      <c r="L165" t="s">
        <v>6</v>
      </c>
      <c r="M165" t="s">
        <v>21</v>
      </c>
    </row>
    <row r="166" spans="1:13" x14ac:dyDescent="0.45">
      <c r="A166" t="s">
        <v>5</v>
      </c>
      <c r="B166" t="s">
        <v>144</v>
      </c>
      <c r="C166">
        <v>2025</v>
      </c>
      <c r="D166">
        <v>195</v>
      </c>
      <c r="E166">
        <v>0.59</v>
      </c>
      <c r="F166">
        <v>0.6</v>
      </c>
      <c r="G166">
        <v>0.11</v>
      </c>
      <c r="H166">
        <v>0</v>
      </c>
      <c r="I166">
        <v>0.76</v>
      </c>
      <c r="J166">
        <v>0.56999999999999995</v>
      </c>
      <c r="K166">
        <v>0.63</v>
      </c>
      <c r="L166" t="s">
        <v>6</v>
      </c>
      <c r="M166" t="s">
        <v>21</v>
      </c>
    </row>
    <row r="167" spans="1:13" x14ac:dyDescent="0.45">
      <c r="A167" t="s">
        <v>5</v>
      </c>
      <c r="B167" t="s">
        <v>144</v>
      </c>
      <c r="C167">
        <v>2030</v>
      </c>
      <c r="D167">
        <v>218</v>
      </c>
      <c r="E167">
        <v>0.57999999999999996</v>
      </c>
      <c r="F167">
        <v>0.6</v>
      </c>
      <c r="G167">
        <v>0.11</v>
      </c>
      <c r="H167">
        <v>0</v>
      </c>
      <c r="I167">
        <v>0.76</v>
      </c>
      <c r="J167">
        <v>0.56000000000000005</v>
      </c>
      <c r="K167">
        <v>0.63</v>
      </c>
      <c r="L167" t="s">
        <v>6</v>
      </c>
      <c r="M167" t="s">
        <v>21</v>
      </c>
    </row>
    <row r="168" spans="1:13" x14ac:dyDescent="0.45">
      <c r="A168" t="s">
        <v>5</v>
      </c>
      <c r="B168" t="s">
        <v>144</v>
      </c>
      <c r="C168">
        <v>2035</v>
      </c>
      <c r="D168">
        <v>195</v>
      </c>
      <c r="E168">
        <v>0.56999999999999995</v>
      </c>
      <c r="F168">
        <v>0.56999999999999995</v>
      </c>
      <c r="G168">
        <v>0.06</v>
      </c>
      <c r="H168">
        <v>0.41</v>
      </c>
      <c r="I168">
        <v>0.66</v>
      </c>
      <c r="J168">
        <v>0.53</v>
      </c>
      <c r="K168">
        <v>0.6</v>
      </c>
      <c r="L168" t="s">
        <v>6</v>
      </c>
      <c r="M168" t="s">
        <v>21</v>
      </c>
    </row>
    <row r="169" spans="1:13" x14ac:dyDescent="0.45">
      <c r="A169" t="s">
        <v>5</v>
      </c>
      <c r="B169" t="s">
        <v>144</v>
      </c>
      <c r="C169">
        <v>2040</v>
      </c>
      <c r="D169">
        <v>218</v>
      </c>
      <c r="E169">
        <v>0.56000000000000005</v>
      </c>
      <c r="F169">
        <v>0.54</v>
      </c>
      <c r="G169">
        <v>7.0000000000000007E-2</v>
      </c>
      <c r="H169">
        <v>0.35</v>
      </c>
      <c r="I169">
        <v>0.68</v>
      </c>
      <c r="J169">
        <v>0.52</v>
      </c>
      <c r="K169">
        <v>0.6</v>
      </c>
      <c r="L169" t="s">
        <v>6</v>
      </c>
      <c r="M169" t="s">
        <v>21</v>
      </c>
    </row>
    <row r="170" spans="1:13" x14ac:dyDescent="0.45">
      <c r="A170" t="s">
        <v>5</v>
      </c>
      <c r="B170" t="s">
        <v>144</v>
      </c>
      <c r="C170">
        <v>2045</v>
      </c>
      <c r="D170">
        <v>195</v>
      </c>
      <c r="E170">
        <v>0.53</v>
      </c>
      <c r="F170">
        <v>0.52</v>
      </c>
      <c r="G170">
        <v>0.06</v>
      </c>
      <c r="H170">
        <v>0.32</v>
      </c>
      <c r="I170">
        <v>0.65</v>
      </c>
      <c r="J170">
        <v>0.5</v>
      </c>
      <c r="K170">
        <v>0.56000000000000005</v>
      </c>
      <c r="L170" t="s">
        <v>6</v>
      </c>
      <c r="M170" t="s">
        <v>21</v>
      </c>
    </row>
    <row r="171" spans="1:13" x14ac:dyDescent="0.45">
      <c r="A171" t="s">
        <v>5</v>
      </c>
      <c r="B171" t="s">
        <v>144</v>
      </c>
      <c r="C171">
        <v>2050</v>
      </c>
      <c r="D171">
        <v>218</v>
      </c>
      <c r="E171">
        <v>0.53</v>
      </c>
      <c r="F171">
        <v>0.53</v>
      </c>
      <c r="G171">
        <v>7.0000000000000007E-2</v>
      </c>
      <c r="H171">
        <v>0.3</v>
      </c>
      <c r="I171">
        <v>0.71</v>
      </c>
      <c r="J171">
        <v>0.49</v>
      </c>
      <c r="K171">
        <v>0.56999999999999995</v>
      </c>
      <c r="L171" t="s">
        <v>6</v>
      </c>
      <c r="M171" t="s">
        <v>21</v>
      </c>
    </row>
    <row r="172" spans="1:13" x14ac:dyDescent="0.45">
      <c r="A172" t="s">
        <v>7</v>
      </c>
      <c r="B172" t="s">
        <v>144</v>
      </c>
      <c r="C172">
        <v>2020</v>
      </c>
      <c r="D172">
        <v>102</v>
      </c>
      <c r="E172">
        <v>0.59</v>
      </c>
      <c r="F172">
        <v>0.59</v>
      </c>
      <c r="G172">
        <v>0.02</v>
      </c>
      <c r="H172">
        <v>0.54</v>
      </c>
      <c r="I172">
        <v>0.64</v>
      </c>
      <c r="J172">
        <v>0.56999999999999995</v>
      </c>
      <c r="K172">
        <v>0.6</v>
      </c>
      <c r="L172" t="s">
        <v>8</v>
      </c>
      <c r="M172" t="s">
        <v>21</v>
      </c>
    </row>
    <row r="173" spans="1:13" x14ac:dyDescent="0.45">
      <c r="A173" t="s">
        <v>7</v>
      </c>
      <c r="B173" t="s">
        <v>144</v>
      </c>
      <c r="C173">
        <v>2025</v>
      </c>
      <c r="D173">
        <v>96</v>
      </c>
      <c r="E173">
        <v>0.57999999999999996</v>
      </c>
      <c r="F173">
        <v>0.59</v>
      </c>
      <c r="G173">
        <v>0.12</v>
      </c>
      <c r="H173">
        <v>0</v>
      </c>
      <c r="I173">
        <v>0.78</v>
      </c>
      <c r="J173">
        <v>0.57999999999999996</v>
      </c>
      <c r="K173">
        <v>0.61</v>
      </c>
      <c r="L173" t="s">
        <v>8</v>
      </c>
      <c r="M173" t="s">
        <v>21</v>
      </c>
    </row>
    <row r="174" spans="1:13" x14ac:dyDescent="0.45">
      <c r="A174" t="s">
        <v>7</v>
      </c>
      <c r="B174" t="s">
        <v>144</v>
      </c>
      <c r="C174">
        <v>2030</v>
      </c>
      <c r="D174">
        <v>102</v>
      </c>
      <c r="E174">
        <v>0.57999999999999996</v>
      </c>
      <c r="F174">
        <v>0.59</v>
      </c>
      <c r="G174">
        <v>0.12</v>
      </c>
      <c r="H174">
        <v>0</v>
      </c>
      <c r="I174">
        <v>0.77</v>
      </c>
      <c r="J174">
        <v>0.56999999999999995</v>
      </c>
      <c r="K174">
        <v>0.62</v>
      </c>
      <c r="L174" t="s">
        <v>8</v>
      </c>
      <c r="M174" t="s">
        <v>21</v>
      </c>
    </row>
    <row r="175" spans="1:13" x14ac:dyDescent="0.45">
      <c r="A175" t="s">
        <v>7</v>
      </c>
      <c r="B175" t="s">
        <v>144</v>
      </c>
      <c r="C175">
        <v>2035</v>
      </c>
      <c r="D175">
        <v>96</v>
      </c>
      <c r="E175">
        <v>0.59</v>
      </c>
      <c r="F175">
        <v>0.57999999999999996</v>
      </c>
      <c r="G175">
        <v>0.04</v>
      </c>
      <c r="H175">
        <v>0.51</v>
      </c>
      <c r="I175">
        <v>0.67</v>
      </c>
      <c r="J175">
        <v>0.56999999999999995</v>
      </c>
      <c r="K175">
        <v>0.61</v>
      </c>
      <c r="L175" t="s">
        <v>8</v>
      </c>
      <c r="M175" t="s">
        <v>21</v>
      </c>
    </row>
    <row r="176" spans="1:13" x14ac:dyDescent="0.45">
      <c r="A176" t="s">
        <v>7</v>
      </c>
      <c r="B176" t="s">
        <v>144</v>
      </c>
      <c r="C176">
        <v>2040</v>
      </c>
      <c r="D176">
        <v>102</v>
      </c>
      <c r="E176">
        <v>0.57999999999999996</v>
      </c>
      <c r="F176">
        <v>0.57999999999999996</v>
      </c>
      <c r="G176">
        <v>0.05</v>
      </c>
      <c r="H176">
        <v>0.46</v>
      </c>
      <c r="I176">
        <v>0.68</v>
      </c>
      <c r="J176">
        <v>0.54</v>
      </c>
      <c r="K176">
        <v>0.62</v>
      </c>
      <c r="L176" t="s">
        <v>8</v>
      </c>
      <c r="M176" t="s">
        <v>21</v>
      </c>
    </row>
    <row r="177" spans="1:13" x14ac:dyDescent="0.45">
      <c r="A177" t="s">
        <v>7</v>
      </c>
      <c r="B177" t="s">
        <v>144</v>
      </c>
      <c r="C177">
        <v>2045</v>
      </c>
      <c r="D177">
        <v>96</v>
      </c>
      <c r="E177">
        <v>0.56000000000000005</v>
      </c>
      <c r="F177">
        <v>0.56000000000000005</v>
      </c>
      <c r="G177">
        <v>0.06</v>
      </c>
      <c r="H177">
        <v>0.46</v>
      </c>
      <c r="I177">
        <v>0.65</v>
      </c>
      <c r="J177">
        <v>0.52</v>
      </c>
      <c r="K177">
        <v>0.62</v>
      </c>
      <c r="L177" t="s">
        <v>8</v>
      </c>
      <c r="M177" t="s">
        <v>21</v>
      </c>
    </row>
    <row r="178" spans="1:13" x14ac:dyDescent="0.45">
      <c r="A178" t="s">
        <v>7</v>
      </c>
      <c r="B178" t="s">
        <v>144</v>
      </c>
      <c r="C178">
        <v>2050</v>
      </c>
      <c r="D178">
        <v>102</v>
      </c>
      <c r="E178">
        <v>0.56999999999999995</v>
      </c>
      <c r="F178">
        <v>0.54</v>
      </c>
      <c r="G178">
        <v>7.0000000000000007E-2</v>
      </c>
      <c r="H178">
        <v>0.46</v>
      </c>
      <c r="I178">
        <v>0.71</v>
      </c>
      <c r="J178">
        <v>0.52</v>
      </c>
      <c r="K178">
        <v>0.64</v>
      </c>
      <c r="L178" t="s">
        <v>8</v>
      </c>
      <c r="M178" t="s">
        <v>21</v>
      </c>
    </row>
    <row r="179" spans="1:13" x14ac:dyDescent="0.45">
      <c r="A179" t="s">
        <v>9</v>
      </c>
      <c r="B179" t="s">
        <v>144</v>
      </c>
      <c r="C179">
        <v>2020</v>
      </c>
      <c r="D179">
        <v>58</v>
      </c>
      <c r="E179">
        <v>0.6</v>
      </c>
      <c r="F179">
        <v>0.61</v>
      </c>
      <c r="G179">
        <v>0.03</v>
      </c>
      <c r="H179">
        <v>0.54</v>
      </c>
      <c r="I179">
        <v>0.64</v>
      </c>
      <c r="J179">
        <v>0.57999999999999996</v>
      </c>
      <c r="K179">
        <v>0.62</v>
      </c>
      <c r="L179" t="s">
        <v>10</v>
      </c>
      <c r="M179" t="s">
        <v>21</v>
      </c>
    </row>
    <row r="180" spans="1:13" x14ac:dyDescent="0.45">
      <c r="A180" t="s">
        <v>9</v>
      </c>
      <c r="B180" t="s">
        <v>144</v>
      </c>
      <c r="C180">
        <v>2025</v>
      </c>
      <c r="D180">
        <v>53</v>
      </c>
      <c r="E180">
        <v>0.6</v>
      </c>
      <c r="F180">
        <v>0.61</v>
      </c>
      <c r="G180">
        <v>0.04</v>
      </c>
      <c r="H180">
        <v>0.42</v>
      </c>
      <c r="I180">
        <v>0.65</v>
      </c>
      <c r="J180">
        <v>0.59</v>
      </c>
      <c r="K180">
        <v>0.63</v>
      </c>
      <c r="L180" t="s">
        <v>10</v>
      </c>
      <c r="M180" t="s">
        <v>21</v>
      </c>
    </row>
    <row r="181" spans="1:13" x14ac:dyDescent="0.45">
      <c r="A181" t="s">
        <v>9</v>
      </c>
      <c r="B181" t="s">
        <v>144</v>
      </c>
      <c r="C181">
        <v>2030</v>
      </c>
      <c r="D181">
        <v>58</v>
      </c>
      <c r="E181">
        <v>0.6</v>
      </c>
      <c r="F181">
        <v>0.61</v>
      </c>
      <c r="G181">
        <v>0.04</v>
      </c>
      <c r="H181">
        <v>0.48</v>
      </c>
      <c r="I181">
        <v>0.65</v>
      </c>
      <c r="J181">
        <v>0.59</v>
      </c>
      <c r="K181">
        <v>0.63</v>
      </c>
      <c r="L181" t="s">
        <v>10</v>
      </c>
      <c r="M181" t="s">
        <v>21</v>
      </c>
    </row>
    <row r="182" spans="1:13" x14ac:dyDescent="0.45">
      <c r="A182" t="s">
        <v>9</v>
      </c>
      <c r="B182" t="s">
        <v>144</v>
      </c>
      <c r="C182">
        <v>2035</v>
      </c>
      <c r="D182">
        <v>53</v>
      </c>
      <c r="E182">
        <v>0.57999999999999996</v>
      </c>
      <c r="F182">
        <v>0.59</v>
      </c>
      <c r="G182">
        <v>0.04</v>
      </c>
      <c r="H182">
        <v>0.46</v>
      </c>
      <c r="I182">
        <v>0.65</v>
      </c>
      <c r="J182">
        <v>0.56999999999999995</v>
      </c>
      <c r="K182">
        <v>0.61</v>
      </c>
      <c r="L182" t="s">
        <v>10</v>
      </c>
      <c r="M182" t="s">
        <v>21</v>
      </c>
    </row>
    <row r="183" spans="1:13" x14ac:dyDescent="0.45">
      <c r="A183" t="s">
        <v>9</v>
      </c>
      <c r="B183" t="s">
        <v>144</v>
      </c>
      <c r="C183">
        <v>2040</v>
      </c>
      <c r="D183">
        <v>58</v>
      </c>
      <c r="E183">
        <v>0.57999999999999996</v>
      </c>
      <c r="F183">
        <v>0.57999999999999996</v>
      </c>
      <c r="G183">
        <v>0.05</v>
      </c>
      <c r="H183">
        <v>0.42</v>
      </c>
      <c r="I183">
        <v>0.68</v>
      </c>
      <c r="J183">
        <v>0.55000000000000004</v>
      </c>
      <c r="K183">
        <v>0.61</v>
      </c>
      <c r="L183" t="s">
        <v>10</v>
      </c>
      <c r="M183" t="s">
        <v>21</v>
      </c>
    </row>
    <row r="184" spans="1:13" x14ac:dyDescent="0.45">
      <c r="A184" t="s">
        <v>9</v>
      </c>
      <c r="B184" t="s">
        <v>144</v>
      </c>
      <c r="C184">
        <v>2045</v>
      </c>
      <c r="D184">
        <v>53</v>
      </c>
      <c r="E184">
        <v>0.55000000000000004</v>
      </c>
      <c r="F184">
        <v>0.54</v>
      </c>
      <c r="G184">
        <v>0.06</v>
      </c>
      <c r="H184">
        <v>0.4</v>
      </c>
      <c r="I184">
        <v>0.68</v>
      </c>
      <c r="J184">
        <v>0.53</v>
      </c>
      <c r="K184">
        <v>0.59</v>
      </c>
      <c r="L184" t="s">
        <v>10</v>
      </c>
      <c r="M184" t="s">
        <v>21</v>
      </c>
    </row>
    <row r="185" spans="1:13" x14ac:dyDescent="0.45">
      <c r="A185" t="s">
        <v>9</v>
      </c>
      <c r="B185" t="s">
        <v>144</v>
      </c>
      <c r="C185">
        <v>2050</v>
      </c>
      <c r="D185">
        <v>58</v>
      </c>
      <c r="E185">
        <v>0.55000000000000004</v>
      </c>
      <c r="F185">
        <v>0.54</v>
      </c>
      <c r="G185">
        <v>7.0000000000000007E-2</v>
      </c>
      <c r="H185">
        <v>0.39</v>
      </c>
      <c r="I185">
        <v>0.69</v>
      </c>
      <c r="J185">
        <v>0.51</v>
      </c>
      <c r="K185">
        <v>0.59</v>
      </c>
      <c r="L185" t="s">
        <v>10</v>
      </c>
      <c r="M185" t="s">
        <v>21</v>
      </c>
    </row>
    <row r="186" spans="1:13" x14ac:dyDescent="0.45">
      <c r="A186" t="s">
        <v>0</v>
      </c>
      <c r="B186" t="s">
        <v>144</v>
      </c>
      <c r="C186">
        <v>2020</v>
      </c>
      <c r="D186">
        <v>63</v>
      </c>
      <c r="E186">
        <v>0.03</v>
      </c>
      <c r="F186">
        <v>0.03</v>
      </c>
      <c r="G186">
        <v>0.01</v>
      </c>
      <c r="H186">
        <v>0.02</v>
      </c>
      <c r="I186">
        <v>0.06</v>
      </c>
      <c r="J186">
        <v>0.03</v>
      </c>
      <c r="K186">
        <v>0.04</v>
      </c>
      <c r="L186" t="s">
        <v>1</v>
      </c>
      <c r="M186" t="s">
        <v>23</v>
      </c>
    </row>
    <row r="187" spans="1:13" x14ac:dyDescent="0.45">
      <c r="A187" t="s">
        <v>0</v>
      </c>
      <c r="B187" t="s">
        <v>144</v>
      </c>
      <c r="C187">
        <v>2025</v>
      </c>
      <c r="D187">
        <v>63</v>
      </c>
      <c r="E187">
        <v>0.06</v>
      </c>
      <c r="F187">
        <v>0.06</v>
      </c>
      <c r="G187">
        <v>0.02</v>
      </c>
      <c r="H187">
        <v>0.02</v>
      </c>
      <c r="I187">
        <v>0.1</v>
      </c>
      <c r="J187">
        <v>0.05</v>
      </c>
      <c r="K187">
        <v>7.0000000000000007E-2</v>
      </c>
      <c r="L187" t="s">
        <v>1</v>
      </c>
      <c r="M187" t="s">
        <v>23</v>
      </c>
    </row>
    <row r="188" spans="1:13" x14ac:dyDescent="0.45">
      <c r="A188" t="s">
        <v>0</v>
      </c>
      <c r="B188" t="s">
        <v>144</v>
      </c>
      <c r="C188">
        <v>2030</v>
      </c>
      <c r="D188">
        <v>63</v>
      </c>
      <c r="E188">
        <v>0.09</v>
      </c>
      <c r="F188">
        <v>0.1</v>
      </c>
      <c r="G188">
        <v>0.03</v>
      </c>
      <c r="H188">
        <v>0.02</v>
      </c>
      <c r="I188">
        <v>0.16</v>
      </c>
      <c r="J188">
        <v>7.0000000000000007E-2</v>
      </c>
      <c r="K188">
        <v>0.11</v>
      </c>
      <c r="L188" t="s">
        <v>1</v>
      </c>
      <c r="M188" t="s">
        <v>23</v>
      </c>
    </row>
    <row r="189" spans="1:13" x14ac:dyDescent="0.45">
      <c r="A189" t="s">
        <v>0</v>
      </c>
      <c r="B189" t="s">
        <v>144</v>
      </c>
      <c r="C189">
        <v>2035</v>
      </c>
      <c r="D189">
        <v>63</v>
      </c>
      <c r="E189">
        <v>0.13</v>
      </c>
      <c r="F189">
        <v>0.14000000000000001</v>
      </c>
      <c r="G189">
        <v>0.05</v>
      </c>
      <c r="H189">
        <v>0.02</v>
      </c>
      <c r="I189">
        <v>0.22</v>
      </c>
      <c r="J189">
        <v>0.1</v>
      </c>
      <c r="K189">
        <v>0.16</v>
      </c>
      <c r="L189" t="s">
        <v>1</v>
      </c>
      <c r="M189" t="s">
        <v>23</v>
      </c>
    </row>
    <row r="190" spans="1:13" x14ac:dyDescent="0.45">
      <c r="A190" t="s">
        <v>0</v>
      </c>
      <c r="B190" t="s">
        <v>144</v>
      </c>
      <c r="C190">
        <v>2040</v>
      </c>
      <c r="D190">
        <v>63</v>
      </c>
      <c r="E190">
        <v>0.15</v>
      </c>
      <c r="F190">
        <v>0.17</v>
      </c>
      <c r="G190">
        <v>0.06</v>
      </c>
      <c r="H190">
        <v>0.03</v>
      </c>
      <c r="I190">
        <v>0.23</v>
      </c>
      <c r="J190">
        <v>0.12</v>
      </c>
      <c r="K190">
        <v>0.19</v>
      </c>
      <c r="L190" t="s">
        <v>1</v>
      </c>
      <c r="M190" t="s">
        <v>23</v>
      </c>
    </row>
    <row r="191" spans="1:13" x14ac:dyDescent="0.45">
      <c r="A191" t="s">
        <v>0</v>
      </c>
      <c r="B191" t="s">
        <v>144</v>
      </c>
      <c r="C191">
        <v>2045</v>
      </c>
      <c r="D191">
        <v>63</v>
      </c>
      <c r="E191">
        <v>0.16</v>
      </c>
      <c r="F191">
        <v>0.19</v>
      </c>
      <c r="G191">
        <v>0.06</v>
      </c>
      <c r="H191">
        <v>0.03</v>
      </c>
      <c r="I191">
        <v>0.25</v>
      </c>
      <c r="J191">
        <v>0.11</v>
      </c>
      <c r="K191">
        <v>0.2</v>
      </c>
      <c r="L191" t="s">
        <v>1</v>
      </c>
      <c r="M191" t="s">
        <v>23</v>
      </c>
    </row>
    <row r="192" spans="1:13" x14ac:dyDescent="0.45">
      <c r="A192" t="s">
        <v>0</v>
      </c>
      <c r="B192" t="s">
        <v>144</v>
      </c>
      <c r="C192">
        <v>2050</v>
      </c>
      <c r="D192">
        <v>63</v>
      </c>
      <c r="E192">
        <v>0.17</v>
      </c>
      <c r="F192">
        <v>0.2</v>
      </c>
      <c r="G192">
        <v>0.06</v>
      </c>
      <c r="H192">
        <v>0.03</v>
      </c>
      <c r="I192">
        <v>0.26</v>
      </c>
      <c r="J192">
        <v>0.11</v>
      </c>
      <c r="K192">
        <v>0.2</v>
      </c>
      <c r="L192" t="s">
        <v>1</v>
      </c>
      <c r="M192" t="s">
        <v>23</v>
      </c>
    </row>
    <row r="193" spans="1:13" x14ac:dyDescent="0.45">
      <c r="A193" t="s">
        <v>2</v>
      </c>
      <c r="B193" t="s">
        <v>144</v>
      </c>
      <c r="C193">
        <v>2020</v>
      </c>
      <c r="D193">
        <v>100</v>
      </c>
      <c r="E193">
        <v>0.03</v>
      </c>
      <c r="F193">
        <v>0.03</v>
      </c>
      <c r="G193">
        <v>0.01</v>
      </c>
      <c r="H193">
        <v>0.01</v>
      </c>
      <c r="I193">
        <v>0.06</v>
      </c>
      <c r="J193">
        <v>0.03</v>
      </c>
      <c r="K193">
        <v>0.04</v>
      </c>
      <c r="L193" t="s">
        <v>3</v>
      </c>
      <c r="M193" t="s">
        <v>23</v>
      </c>
    </row>
    <row r="194" spans="1:13" x14ac:dyDescent="0.45">
      <c r="A194" t="s">
        <v>2</v>
      </c>
      <c r="B194" t="s">
        <v>144</v>
      </c>
      <c r="C194">
        <v>2025</v>
      </c>
      <c r="D194">
        <v>89</v>
      </c>
      <c r="E194">
        <v>0.06</v>
      </c>
      <c r="F194">
        <v>0.06</v>
      </c>
      <c r="G194">
        <v>0.06</v>
      </c>
      <c r="H194">
        <v>0.01</v>
      </c>
      <c r="I194">
        <v>0.59</v>
      </c>
      <c r="J194">
        <v>0.05</v>
      </c>
      <c r="K194">
        <v>7.0000000000000007E-2</v>
      </c>
      <c r="L194" t="s">
        <v>3</v>
      </c>
      <c r="M194" t="s">
        <v>23</v>
      </c>
    </row>
    <row r="195" spans="1:13" x14ac:dyDescent="0.45">
      <c r="A195" t="s">
        <v>2</v>
      </c>
      <c r="B195" t="s">
        <v>144</v>
      </c>
      <c r="C195">
        <v>2030</v>
      </c>
      <c r="D195">
        <v>100</v>
      </c>
      <c r="E195">
        <v>0.1</v>
      </c>
      <c r="F195">
        <v>0.09</v>
      </c>
      <c r="G195">
        <v>7.0000000000000007E-2</v>
      </c>
      <c r="H195">
        <v>0.01</v>
      </c>
      <c r="I195">
        <v>0.7</v>
      </c>
      <c r="J195">
        <v>0.06</v>
      </c>
      <c r="K195">
        <v>0.12</v>
      </c>
      <c r="L195" t="s">
        <v>3</v>
      </c>
      <c r="M195" t="s">
        <v>23</v>
      </c>
    </row>
    <row r="196" spans="1:13" x14ac:dyDescent="0.45">
      <c r="A196" t="s">
        <v>2</v>
      </c>
      <c r="B196" t="s">
        <v>144</v>
      </c>
      <c r="C196">
        <v>2035</v>
      </c>
      <c r="D196">
        <v>89</v>
      </c>
      <c r="E196">
        <v>0.12</v>
      </c>
      <c r="F196">
        <v>0.12</v>
      </c>
      <c r="G196">
        <v>0.06</v>
      </c>
      <c r="H196">
        <v>0.01</v>
      </c>
      <c r="I196">
        <v>0.24</v>
      </c>
      <c r="J196">
        <v>7.0000000000000007E-2</v>
      </c>
      <c r="K196">
        <v>0.16</v>
      </c>
      <c r="L196" t="s">
        <v>3</v>
      </c>
      <c r="M196" t="s">
        <v>23</v>
      </c>
    </row>
    <row r="197" spans="1:13" x14ac:dyDescent="0.45">
      <c r="A197" t="s">
        <v>2</v>
      </c>
      <c r="B197" t="s">
        <v>144</v>
      </c>
      <c r="C197">
        <v>2040</v>
      </c>
      <c r="D197">
        <v>100</v>
      </c>
      <c r="E197">
        <v>0.15</v>
      </c>
      <c r="F197">
        <v>0.17</v>
      </c>
      <c r="G197">
        <v>7.0000000000000007E-2</v>
      </c>
      <c r="H197">
        <v>0.01</v>
      </c>
      <c r="I197">
        <v>0.27</v>
      </c>
      <c r="J197">
        <v>0.1</v>
      </c>
      <c r="K197">
        <v>0.22</v>
      </c>
      <c r="L197" t="s">
        <v>3</v>
      </c>
      <c r="M197" t="s">
        <v>23</v>
      </c>
    </row>
    <row r="198" spans="1:13" x14ac:dyDescent="0.45">
      <c r="A198" t="s">
        <v>2</v>
      </c>
      <c r="B198" t="s">
        <v>144</v>
      </c>
      <c r="C198">
        <v>2045</v>
      </c>
      <c r="D198">
        <v>89</v>
      </c>
      <c r="E198">
        <v>0.15</v>
      </c>
      <c r="F198">
        <v>0.17</v>
      </c>
      <c r="G198">
        <v>7.0000000000000007E-2</v>
      </c>
      <c r="H198">
        <v>0.01</v>
      </c>
      <c r="I198">
        <v>0.26</v>
      </c>
      <c r="J198">
        <v>0.08</v>
      </c>
      <c r="K198">
        <v>0.21</v>
      </c>
      <c r="L198" t="s">
        <v>3</v>
      </c>
      <c r="M198" t="s">
        <v>23</v>
      </c>
    </row>
    <row r="199" spans="1:13" x14ac:dyDescent="0.45">
      <c r="A199" t="s">
        <v>2</v>
      </c>
      <c r="B199" t="s">
        <v>144</v>
      </c>
      <c r="C199">
        <v>2050</v>
      </c>
      <c r="D199">
        <v>100</v>
      </c>
      <c r="E199">
        <v>0.16</v>
      </c>
      <c r="F199">
        <v>0.2</v>
      </c>
      <c r="G199">
        <v>7.0000000000000007E-2</v>
      </c>
      <c r="H199">
        <v>0</v>
      </c>
      <c r="I199">
        <v>0.28000000000000003</v>
      </c>
      <c r="J199">
        <v>0.11</v>
      </c>
      <c r="K199">
        <v>0.22</v>
      </c>
      <c r="L199" t="s">
        <v>3</v>
      </c>
      <c r="M199" t="s">
        <v>23</v>
      </c>
    </row>
    <row r="200" spans="1:13" x14ac:dyDescent="0.45">
      <c r="A200" t="s">
        <v>5</v>
      </c>
      <c r="B200" t="s">
        <v>144</v>
      </c>
      <c r="C200">
        <v>2020</v>
      </c>
      <c r="D200">
        <v>219</v>
      </c>
      <c r="E200">
        <v>0.03</v>
      </c>
      <c r="F200">
        <v>0.03</v>
      </c>
      <c r="G200">
        <v>0.01</v>
      </c>
      <c r="H200">
        <v>0.01</v>
      </c>
      <c r="I200">
        <v>0.06</v>
      </c>
      <c r="J200">
        <v>0.02</v>
      </c>
      <c r="K200">
        <v>0.04</v>
      </c>
      <c r="L200" t="s">
        <v>6</v>
      </c>
      <c r="M200" t="s">
        <v>23</v>
      </c>
    </row>
    <row r="201" spans="1:13" x14ac:dyDescent="0.45">
      <c r="A201" t="s">
        <v>5</v>
      </c>
      <c r="B201" t="s">
        <v>144</v>
      </c>
      <c r="C201">
        <v>2025</v>
      </c>
      <c r="D201">
        <v>196</v>
      </c>
      <c r="E201">
        <v>0.09</v>
      </c>
      <c r="F201">
        <v>0.06</v>
      </c>
      <c r="G201">
        <v>0.16</v>
      </c>
      <c r="H201">
        <v>0.01</v>
      </c>
      <c r="I201">
        <v>1</v>
      </c>
      <c r="J201">
        <v>0.05</v>
      </c>
      <c r="K201">
        <v>7.0000000000000007E-2</v>
      </c>
      <c r="L201" t="s">
        <v>6</v>
      </c>
      <c r="M201" t="s">
        <v>23</v>
      </c>
    </row>
    <row r="202" spans="1:13" x14ac:dyDescent="0.45">
      <c r="A202" t="s">
        <v>5</v>
      </c>
      <c r="B202" t="s">
        <v>144</v>
      </c>
      <c r="C202">
        <v>2030</v>
      </c>
      <c r="D202">
        <v>219</v>
      </c>
      <c r="E202">
        <v>0.11</v>
      </c>
      <c r="F202">
        <v>0.08</v>
      </c>
      <c r="G202">
        <v>0.16</v>
      </c>
      <c r="H202">
        <v>0.01</v>
      </c>
      <c r="I202">
        <v>1</v>
      </c>
      <c r="J202">
        <v>0.04</v>
      </c>
      <c r="K202">
        <v>0.11</v>
      </c>
      <c r="L202" t="s">
        <v>6</v>
      </c>
      <c r="M202" t="s">
        <v>23</v>
      </c>
    </row>
    <row r="203" spans="1:13" x14ac:dyDescent="0.45">
      <c r="A203" t="s">
        <v>5</v>
      </c>
      <c r="B203" t="s">
        <v>144</v>
      </c>
      <c r="C203">
        <v>2035</v>
      </c>
      <c r="D203">
        <v>196</v>
      </c>
      <c r="E203">
        <v>0.11</v>
      </c>
      <c r="F203">
        <v>0.11</v>
      </c>
      <c r="G203">
        <v>0.06</v>
      </c>
      <c r="H203">
        <v>0.01</v>
      </c>
      <c r="I203">
        <v>0.24</v>
      </c>
      <c r="J203">
        <v>0.06</v>
      </c>
      <c r="K203">
        <v>0.15</v>
      </c>
      <c r="L203" t="s">
        <v>6</v>
      </c>
      <c r="M203" t="s">
        <v>23</v>
      </c>
    </row>
    <row r="204" spans="1:13" x14ac:dyDescent="0.45">
      <c r="A204" t="s">
        <v>5</v>
      </c>
      <c r="B204" t="s">
        <v>144</v>
      </c>
      <c r="C204">
        <v>2040</v>
      </c>
      <c r="D204">
        <v>219</v>
      </c>
      <c r="E204">
        <v>0.13</v>
      </c>
      <c r="F204">
        <v>0.12</v>
      </c>
      <c r="G204">
        <v>0.08</v>
      </c>
      <c r="H204">
        <v>0.01</v>
      </c>
      <c r="I204">
        <v>0.27</v>
      </c>
      <c r="J204">
        <v>0.06</v>
      </c>
      <c r="K204">
        <v>0.18</v>
      </c>
      <c r="L204" t="s">
        <v>6</v>
      </c>
      <c r="M204" t="s">
        <v>23</v>
      </c>
    </row>
    <row r="205" spans="1:13" x14ac:dyDescent="0.45">
      <c r="A205" t="s">
        <v>5</v>
      </c>
      <c r="B205" t="s">
        <v>144</v>
      </c>
      <c r="C205">
        <v>2045</v>
      </c>
      <c r="D205">
        <v>196</v>
      </c>
      <c r="E205">
        <v>0.15</v>
      </c>
      <c r="F205">
        <v>0.18</v>
      </c>
      <c r="G205">
        <v>0.08</v>
      </c>
      <c r="H205">
        <v>0.01</v>
      </c>
      <c r="I205">
        <v>0.27</v>
      </c>
      <c r="J205">
        <v>7.0000000000000007E-2</v>
      </c>
      <c r="K205">
        <v>0.2</v>
      </c>
      <c r="L205" t="s">
        <v>6</v>
      </c>
      <c r="M205" t="s">
        <v>23</v>
      </c>
    </row>
    <row r="206" spans="1:13" x14ac:dyDescent="0.45">
      <c r="A206" t="s">
        <v>5</v>
      </c>
      <c r="B206" t="s">
        <v>144</v>
      </c>
      <c r="C206">
        <v>2050</v>
      </c>
      <c r="D206">
        <v>219</v>
      </c>
      <c r="E206">
        <v>0.15</v>
      </c>
      <c r="F206">
        <v>0.19</v>
      </c>
      <c r="G206">
        <v>0.08</v>
      </c>
      <c r="H206">
        <v>0</v>
      </c>
      <c r="I206">
        <v>0.28999999999999998</v>
      </c>
      <c r="J206">
        <v>7.0000000000000007E-2</v>
      </c>
      <c r="K206">
        <v>0.21</v>
      </c>
      <c r="L206" t="s">
        <v>6</v>
      </c>
      <c r="M206" t="s">
        <v>23</v>
      </c>
    </row>
    <row r="207" spans="1:13" x14ac:dyDescent="0.45">
      <c r="A207" t="s">
        <v>7</v>
      </c>
      <c r="B207" t="s">
        <v>144</v>
      </c>
      <c r="C207">
        <v>2020</v>
      </c>
      <c r="D207">
        <v>102</v>
      </c>
      <c r="E207">
        <v>0.03</v>
      </c>
      <c r="F207">
        <v>0.03</v>
      </c>
      <c r="G207">
        <v>0.01</v>
      </c>
      <c r="H207">
        <v>0.01</v>
      </c>
      <c r="I207">
        <v>0.06</v>
      </c>
      <c r="J207">
        <v>0.02</v>
      </c>
      <c r="K207">
        <v>0.04</v>
      </c>
      <c r="L207" t="s">
        <v>8</v>
      </c>
      <c r="M207" t="s">
        <v>23</v>
      </c>
    </row>
    <row r="208" spans="1:13" x14ac:dyDescent="0.45">
      <c r="A208" t="s">
        <v>7</v>
      </c>
      <c r="B208" t="s">
        <v>144</v>
      </c>
      <c r="C208">
        <v>2025</v>
      </c>
      <c r="D208">
        <v>96</v>
      </c>
      <c r="E208">
        <v>0.08</v>
      </c>
      <c r="F208">
        <v>0.05</v>
      </c>
      <c r="G208">
        <v>0.18</v>
      </c>
      <c r="H208">
        <v>0.01</v>
      </c>
      <c r="I208">
        <v>1</v>
      </c>
      <c r="J208">
        <v>0.02</v>
      </c>
      <c r="K208">
        <v>7.0000000000000007E-2</v>
      </c>
      <c r="L208" t="s">
        <v>8</v>
      </c>
      <c r="M208" t="s">
        <v>23</v>
      </c>
    </row>
    <row r="209" spans="1:13" x14ac:dyDescent="0.45">
      <c r="A209" t="s">
        <v>7</v>
      </c>
      <c r="B209" t="s">
        <v>144</v>
      </c>
      <c r="C209">
        <v>2030</v>
      </c>
      <c r="D209">
        <v>102</v>
      </c>
      <c r="E209">
        <v>0.09</v>
      </c>
      <c r="F209">
        <v>0.04</v>
      </c>
      <c r="G209">
        <v>0.18</v>
      </c>
      <c r="H209">
        <v>0.01</v>
      </c>
      <c r="I209">
        <v>1</v>
      </c>
      <c r="J209">
        <v>0.03</v>
      </c>
      <c r="K209">
        <v>0.08</v>
      </c>
      <c r="L209" t="s">
        <v>8</v>
      </c>
      <c r="M209" t="s">
        <v>23</v>
      </c>
    </row>
    <row r="210" spans="1:13" x14ac:dyDescent="0.45">
      <c r="A210" t="s">
        <v>7</v>
      </c>
      <c r="B210" t="s">
        <v>144</v>
      </c>
      <c r="C210">
        <v>2035</v>
      </c>
      <c r="D210">
        <v>96</v>
      </c>
      <c r="E210">
        <v>7.0000000000000007E-2</v>
      </c>
      <c r="F210">
        <v>0.06</v>
      </c>
      <c r="G210">
        <v>0.05</v>
      </c>
      <c r="H210">
        <v>0.01</v>
      </c>
      <c r="I210">
        <v>0.24</v>
      </c>
      <c r="J210">
        <v>0.03</v>
      </c>
      <c r="K210">
        <v>0.09</v>
      </c>
      <c r="L210" t="s">
        <v>8</v>
      </c>
      <c r="M210" t="s">
        <v>23</v>
      </c>
    </row>
    <row r="211" spans="1:13" x14ac:dyDescent="0.45">
      <c r="A211" t="s">
        <v>7</v>
      </c>
      <c r="B211" t="s">
        <v>144</v>
      </c>
      <c r="C211">
        <v>2040</v>
      </c>
      <c r="D211">
        <v>102</v>
      </c>
      <c r="E211">
        <v>0.09</v>
      </c>
      <c r="F211">
        <v>7.0000000000000007E-2</v>
      </c>
      <c r="G211">
        <v>7.0000000000000007E-2</v>
      </c>
      <c r="H211">
        <v>0.01</v>
      </c>
      <c r="I211">
        <v>0.27</v>
      </c>
      <c r="J211">
        <v>0.03</v>
      </c>
      <c r="K211">
        <v>0.12</v>
      </c>
      <c r="L211" t="s">
        <v>8</v>
      </c>
      <c r="M211" t="s">
        <v>23</v>
      </c>
    </row>
    <row r="212" spans="1:13" x14ac:dyDescent="0.45">
      <c r="A212" t="s">
        <v>7</v>
      </c>
      <c r="B212" t="s">
        <v>144</v>
      </c>
      <c r="C212">
        <v>2045</v>
      </c>
      <c r="D212">
        <v>96</v>
      </c>
      <c r="E212">
        <v>0.11</v>
      </c>
      <c r="F212">
        <v>0.08</v>
      </c>
      <c r="G212">
        <v>0.09</v>
      </c>
      <c r="H212">
        <v>0.01</v>
      </c>
      <c r="I212">
        <v>0.27</v>
      </c>
      <c r="J212">
        <v>0.04</v>
      </c>
      <c r="K212">
        <v>0.19</v>
      </c>
      <c r="L212" t="s">
        <v>8</v>
      </c>
      <c r="M212" t="s">
        <v>23</v>
      </c>
    </row>
    <row r="213" spans="1:13" x14ac:dyDescent="0.45">
      <c r="A213" t="s">
        <v>7</v>
      </c>
      <c r="B213" t="s">
        <v>144</v>
      </c>
      <c r="C213">
        <v>2050</v>
      </c>
      <c r="D213">
        <v>102</v>
      </c>
      <c r="E213">
        <v>0.12</v>
      </c>
      <c r="F213">
        <v>0.08</v>
      </c>
      <c r="G213">
        <v>0.1</v>
      </c>
      <c r="H213">
        <v>0</v>
      </c>
      <c r="I213">
        <v>0.27</v>
      </c>
      <c r="J213">
        <v>0.03</v>
      </c>
      <c r="K213">
        <v>0.22</v>
      </c>
      <c r="L213" t="s">
        <v>8</v>
      </c>
      <c r="M213" t="s">
        <v>23</v>
      </c>
    </row>
    <row r="214" spans="1:13" x14ac:dyDescent="0.45">
      <c r="A214" t="s">
        <v>9</v>
      </c>
      <c r="B214" t="s">
        <v>144</v>
      </c>
      <c r="C214">
        <v>2020</v>
      </c>
      <c r="D214">
        <v>61</v>
      </c>
      <c r="E214">
        <v>0.03</v>
      </c>
      <c r="F214">
        <v>0.03</v>
      </c>
      <c r="G214">
        <v>0.01</v>
      </c>
      <c r="H214">
        <v>0.01</v>
      </c>
      <c r="I214">
        <v>0.06</v>
      </c>
      <c r="J214">
        <v>0.03</v>
      </c>
      <c r="K214">
        <v>0.03</v>
      </c>
      <c r="L214" t="s">
        <v>10</v>
      </c>
      <c r="M214" t="s">
        <v>23</v>
      </c>
    </row>
    <row r="215" spans="1:13" x14ac:dyDescent="0.45">
      <c r="A215" t="s">
        <v>9</v>
      </c>
      <c r="B215" t="s">
        <v>144</v>
      </c>
      <c r="C215">
        <v>2025</v>
      </c>
      <c r="D215">
        <v>56</v>
      </c>
      <c r="E215">
        <v>0.04</v>
      </c>
      <c r="F215">
        <v>0.05</v>
      </c>
      <c r="G215">
        <v>0.01</v>
      </c>
      <c r="H215">
        <v>0.01</v>
      </c>
      <c r="I215">
        <v>7.0000000000000007E-2</v>
      </c>
      <c r="J215">
        <v>0.04</v>
      </c>
      <c r="K215">
        <v>0.05</v>
      </c>
      <c r="L215" t="s">
        <v>10</v>
      </c>
      <c r="M215" t="s">
        <v>23</v>
      </c>
    </row>
    <row r="216" spans="1:13" x14ac:dyDescent="0.45">
      <c r="A216" t="s">
        <v>9</v>
      </c>
      <c r="B216" t="s">
        <v>144</v>
      </c>
      <c r="C216">
        <v>2030</v>
      </c>
      <c r="D216">
        <v>61</v>
      </c>
      <c r="E216">
        <v>0.06</v>
      </c>
      <c r="F216">
        <v>0.06</v>
      </c>
      <c r="G216">
        <v>0.02</v>
      </c>
      <c r="H216">
        <v>0.01</v>
      </c>
      <c r="I216">
        <v>0.11</v>
      </c>
      <c r="J216">
        <v>0.03</v>
      </c>
      <c r="K216">
        <v>0.08</v>
      </c>
      <c r="L216" t="s">
        <v>10</v>
      </c>
      <c r="M216" t="s">
        <v>23</v>
      </c>
    </row>
    <row r="217" spans="1:13" x14ac:dyDescent="0.45">
      <c r="A217" t="s">
        <v>9</v>
      </c>
      <c r="B217" t="s">
        <v>144</v>
      </c>
      <c r="C217">
        <v>2035</v>
      </c>
      <c r="D217">
        <v>56</v>
      </c>
      <c r="E217">
        <v>0.08</v>
      </c>
      <c r="F217">
        <v>0.08</v>
      </c>
      <c r="G217">
        <v>0.04</v>
      </c>
      <c r="H217">
        <v>0.01</v>
      </c>
      <c r="I217">
        <v>0.17</v>
      </c>
      <c r="J217">
        <v>0.06</v>
      </c>
      <c r="K217">
        <v>0.1</v>
      </c>
      <c r="L217" t="s">
        <v>10</v>
      </c>
      <c r="M217" t="s">
        <v>23</v>
      </c>
    </row>
    <row r="218" spans="1:13" x14ac:dyDescent="0.45">
      <c r="A218" t="s">
        <v>9</v>
      </c>
      <c r="B218" t="s">
        <v>144</v>
      </c>
      <c r="C218">
        <v>2040</v>
      </c>
      <c r="D218">
        <v>61</v>
      </c>
      <c r="E218">
        <v>0.09</v>
      </c>
      <c r="F218">
        <v>0.09</v>
      </c>
      <c r="G218">
        <v>0.05</v>
      </c>
      <c r="H218">
        <v>0.01</v>
      </c>
      <c r="I218">
        <v>0.22</v>
      </c>
      <c r="J218">
        <v>0.03</v>
      </c>
      <c r="K218">
        <v>0.14000000000000001</v>
      </c>
      <c r="L218" t="s">
        <v>10</v>
      </c>
      <c r="M218" t="s">
        <v>23</v>
      </c>
    </row>
    <row r="219" spans="1:13" x14ac:dyDescent="0.45">
      <c r="A219" t="s">
        <v>9</v>
      </c>
      <c r="B219" t="s">
        <v>144</v>
      </c>
      <c r="C219">
        <v>2045</v>
      </c>
      <c r="D219">
        <v>56</v>
      </c>
      <c r="E219">
        <v>0.12</v>
      </c>
      <c r="F219">
        <v>0.11</v>
      </c>
      <c r="G219">
        <v>7.0000000000000007E-2</v>
      </c>
      <c r="H219">
        <v>0.01</v>
      </c>
      <c r="I219">
        <v>0.25</v>
      </c>
      <c r="J219">
        <v>0.08</v>
      </c>
      <c r="K219">
        <v>0.19</v>
      </c>
      <c r="L219" t="s">
        <v>10</v>
      </c>
      <c r="M219" t="s">
        <v>23</v>
      </c>
    </row>
    <row r="220" spans="1:13" x14ac:dyDescent="0.45">
      <c r="A220" t="s">
        <v>9</v>
      </c>
      <c r="B220" t="s">
        <v>144</v>
      </c>
      <c r="C220">
        <v>2050</v>
      </c>
      <c r="D220">
        <v>61</v>
      </c>
      <c r="E220">
        <v>0.13</v>
      </c>
      <c r="F220">
        <v>0.12</v>
      </c>
      <c r="G220">
        <v>0.08</v>
      </c>
      <c r="H220">
        <v>0.01</v>
      </c>
      <c r="I220">
        <v>0.27</v>
      </c>
      <c r="J220">
        <v>0.05</v>
      </c>
      <c r="K220">
        <v>0.22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144</v>
      </c>
      <c r="C221">
        <v>2020</v>
      </c>
      <c r="D221">
        <v>33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144</v>
      </c>
      <c r="C222">
        <v>2025</v>
      </c>
      <c r="D222">
        <v>34</v>
      </c>
      <c r="E222">
        <v>65535</v>
      </c>
      <c r="F222">
        <v>2.42</v>
      </c>
      <c r="H222">
        <v>1.18</v>
      </c>
      <c r="I222">
        <v>65535</v>
      </c>
      <c r="J222">
        <v>2.0099999999999998</v>
      </c>
      <c r="K222">
        <v>2.75</v>
      </c>
      <c r="L222" t="s">
        <v>1</v>
      </c>
      <c r="M222" t="s">
        <v>70</v>
      </c>
    </row>
    <row r="223" spans="1:13" x14ac:dyDescent="0.45">
      <c r="A223" t="s">
        <v>0</v>
      </c>
      <c r="B223" t="s">
        <v>144</v>
      </c>
      <c r="C223">
        <v>2030</v>
      </c>
      <c r="D223">
        <v>34</v>
      </c>
      <c r="E223">
        <v>65535</v>
      </c>
      <c r="F223">
        <v>3.1</v>
      </c>
      <c r="H223">
        <v>1.71</v>
      </c>
      <c r="I223">
        <v>65535</v>
      </c>
      <c r="J223">
        <v>2.38</v>
      </c>
      <c r="K223">
        <v>3.46</v>
      </c>
      <c r="L223" t="s">
        <v>1</v>
      </c>
      <c r="M223" t="s">
        <v>70</v>
      </c>
    </row>
    <row r="224" spans="1:13" x14ac:dyDescent="0.45">
      <c r="A224" t="s">
        <v>0</v>
      </c>
      <c r="B224" t="s">
        <v>144</v>
      </c>
      <c r="C224">
        <v>2035</v>
      </c>
      <c r="D224">
        <v>34</v>
      </c>
      <c r="E224">
        <v>65535</v>
      </c>
      <c r="F224">
        <v>3.54</v>
      </c>
      <c r="H224">
        <v>1.91</v>
      </c>
      <c r="I224">
        <v>65535</v>
      </c>
      <c r="J224">
        <v>2.66</v>
      </c>
      <c r="K224">
        <v>4.16</v>
      </c>
      <c r="L224" t="s">
        <v>1</v>
      </c>
      <c r="M224" t="s">
        <v>70</v>
      </c>
    </row>
    <row r="225" spans="1:13" x14ac:dyDescent="0.45">
      <c r="A225" t="s">
        <v>0</v>
      </c>
      <c r="B225" t="s">
        <v>144</v>
      </c>
      <c r="C225">
        <v>2040</v>
      </c>
      <c r="D225">
        <v>34</v>
      </c>
      <c r="E225">
        <v>65535</v>
      </c>
      <c r="F225">
        <v>4.0999999999999996</v>
      </c>
      <c r="H225">
        <v>2.27</v>
      </c>
      <c r="I225">
        <v>65535</v>
      </c>
      <c r="J225">
        <v>2.96</v>
      </c>
      <c r="K225">
        <v>4.5199999999999996</v>
      </c>
      <c r="L225" t="s">
        <v>1</v>
      </c>
      <c r="M225" t="s">
        <v>70</v>
      </c>
    </row>
    <row r="226" spans="1:13" x14ac:dyDescent="0.45">
      <c r="A226" t="s">
        <v>0</v>
      </c>
      <c r="B226" t="s">
        <v>144</v>
      </c>
      <c r="C226">
        <v>2045</v>
      </c>
      <c r="D226">
        <v>34</v>
      </c>
      <c r="E226">
        <v>65535</v>
      </c>
      <c r="F226">
        <v>3.86</v>
      </c>
      <c r="H226">
        <v>2.54</v>
      </c>
      <c r="I226">
        <v>65535</v>
      </c>
      <c r="J226">
        <v>3.3</v>
      </c>
      <c r="K226">
        <v>4.8899999999999997</v>
      </c>
      <c r="L226" t="s">
        <v>1</v>
      </c>
      <c r="M226" t="s">
        <v>70</v>
      </c>
    </row>
    <row r="227" spans="1:13" x14ac:dyDescent="0.45">
      <c r="A227" t="s">
        <v>0</v>
      </c>
      <c r="B227" t="s">
        <v>144</v>
      </c>
      <c r="C227">
        <v>2050</v>
      </c>
      <c r="D227">
        <v>34</v>
      </c>
      <c r="E227">
        <v>65535</v>
      </c>
      <c r="F227">
        <v>3.59</v>
      </c>
      <c r="H227">
        <v>2.73</v>
      </c>
      <c r="I227">
        <v>65535</v>
      </c>
      <c r="J227">
        <v>3.07</v>
      </c>
      <c r="K227">
        <v>4.0599999999999996</v>
      </c>
      <c r="L227" t="s">
        <v>1</v>
      </c>
      <c r="M227" t="s">
        <v>70</v>
      </c>
    </row>
    <row r="228" spans="1:13" x14ac:dyDescent="0.45">
      <c r="A228" t="s">
        <v>2</v>
      </c>
      <c r="B228" t="s">
        <v>144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144</v>
      </c>
      <c r="C229">
        <v>2025</v>
      </c>
      <c r="D229">
        <v>44</v>
      </c>
      <c r="E229">
        <v>65535</v>
      </c>
      <c r="F229">
        <v>1.22</v>
      </c>
      <c r="H229">
        <v>0</v>
      </c>
      <c r="I229">
        <v>65535</v>
      </c>
      <c r="J229">
        <v>1.1299999999999999</v>
      </c>
      <c r="K229">
        <v>1.35</v>
      </c>
      <c r="L229" t="s">
        <v>3</v>
      </c>
      <c r="M229" t="s">
        <v>70</v>
      </c>
    </row>
    <row r="230" spans="1:13" x14ac:dyDescent="0.45">
      <c r="A230" t="s">
        <v>2</v>
      </c>
      <c r="B230" t="s">
        <v>144</v>
      </c>
      <c r="C230">
        <v>2030</v>
      </c>
      <c r="D230">
        <v>44</v>
      </c>
      <c r="E230">
        <v>65535</v>
      </c>
      <c r="F230">
        <v>1.5</v>
      </c>
      <c r="H230">
        <v>0</v>
      </c>
      <c r="I230">
        <v>65535</v>
      </c>
      <c r="J230">
        <v>1.31</v>
      </c>
      <c r="K230">
        <v>1.83</v>
      </c>
      <c r="L230" t="s">
        <v>3</v>
      </c>
      <c r="M230" t="s">
        <v>70</v>
      </c>
    </row>
    <row r="231" spans="1:13" x14ac:dyDescent="0.45">
      <c r="A231" t="s">
        <v>2</v>
      </c>
      <c r="B231" t="s">
        <v>144</v>
      </c>
      <c r="C231">
        <v>2035</v>
      </c>
      <c r="D231">
        <v>44</v>
      </c>
      <c r="E231">
        <v>65535</v>
      </c>
      <c r="F231">
        <v>2.12</v>
      </c>
      <c r="H231">
        <v>0</v>
      </c>
      <c r="I231">
        <v>65535</v>
      </c>
      <c r="J231">
        <v>1.68</v>
      </c>
      <c r="K231">
        <v>2.46</v>
      </c>
      <c r="L231" t="s">
        <v>3</v>
      </c>
      <c r="M231" t="s">
        <v>70</v>
      </c>
    </row>
    <row r="232" spans="1:13" x14ac:dyDescent="0.45">
      <c r="A232" t="s">
        <v>2</v>
      </c>
      <c r="B232" t="s">
        <v>144</v>
      </c>
      <c r="C232">
        <v>2040</v>
      </c>
      <c r="D232">
        <v>44</v>
      </c>
      <c r="E232">
        <v>65535</v>
      </c>
      <c r="F232">
        <v>2.5</v>
      </c>
      <c r="H232">
        <v>0</v>
      </c>
      <c r="I232">
        <v>65535</v>
      </c>
      <c r="J232">
        <v>2</v>
      </c>
      <c r="K232">
        <v>2.94</v>
      </c>
      <c r="L232" t="s">
        <v>3</v>
      </c>
      <c r="M232" t="s">
        <v>70</v>
      </c>
    </row>
    <row r="233" spans="1:13" x14ac:dyDescent="0.45">
      <c r="A233" t="s">
        <v>2</v>
      </c>
      <c r="B233" t="s">
        <v>144</v>
      </c>
      <c r="C233">
        <v>2045</v>
      </c>
      <c r="D233">
        <v>44</v>
      </c>
      <c r="E233">
        <v>65535</v>
      </c>
      <c r="F233">
        <v>2.79</v>
      </c>
      <c r="H233">
        <v>0</v>
      </c>
      <c r="I233">
        <v>65535</v>
      </c>
      <c r="J233">
        <v>2.08</v>
      </c>
      <c r="K233">
        <v>3.44</v>
      </c>
      <c r="L233" t="s">
        <v>3</v>
      </c>
      <c r="M233" t="s">
        <v>70</v>
      </c>
    </row>
    <row r="234" spans="1:13" x14ac:dyDescent="0.45">
      <c r="A234" t="s">
        <v>2</v>
      </c>
      <c r="B234" t="s">
        <v>144</v>
      </c>
      <c r="C234">
        <v>2050</v>
      </c>
      <c r="D234">
        <v>44</v>
      </c>
      <c r="E234">
        <v>65535</v>
      </c>
      <c r="F234">
        <v>2.95</v>
      </c>
      <c r="H234">
        <v>0</v>
      </c>
      <c r="I234">
        <v>65535</v>
      </c>
      <c r="J234">
        <v>2.4900000000000002</v>
      </c>
      <c r="K234">
        <v>3.78</v>
      </c>
      <c r="L234" t="s">
        <v>3</v>
      </c>
      <c r="M234" t="s">
        <v>70</v>
      </c>
    </row>
    <row r="235" spans="1:13" x14ac:dyDescent="0.45">
      <c r="A235" t="s">
        <v>5</v>
      </c>
      <c r="B235" t="s">
        <v>144</v>
      </c>
      <c r="C235">
        <v>2020</v>
      </c>
      <c r="D235">
        <v>103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144</v>
      </c>
      <c r="C236">
        <v>2025</v>
      </c>
      <c r="D236">
        <v>112</v>
      </c>
      <c r="E236">
        <v>65535</v>
      </c>
      <c r="F236">
        <v>1.41</v>
      </c>
      <c r="H236">
        <v>0.98</v>
      </c>
      <c r="I236">
        <v>65535</v>
      </c>
      <c r="J236">
        <v>1.23</v>
      </c>
      <c r="K236">
        <v>1.96</v>
      </c>
      <c r="L236" t="s">
        <v>6</v>
      </c>
      <c r="M236" t="s">
        <v>70</v>
      </c>
    </row>
    <row r="237" spans="1:13" x14ac:dyDescent="0.45">
      <c r="A237" t="s">
        <v>5</v>
      </c>
      <c r="B237" t="s">
        <v>144</v>
      </c>
      <c r="C237">
        <v>2030</v>
      </c>
      <c r="D237">
        <v>112</v>
      </c>
      <c r="E237">
        <v>65535</v>
      </c>
      <c r="F237">
        <v>2.04</v>
      </c>
      <c r="H237">
        <v>1.05</v>
      </c>
      <c r="I237">
        <v>65535</v>
      </c>
      <c r="J237">
        <v>1.52</v>
      </c>
      <c r="K237">
        <v>2.5499999999999998</v>
      </c>
      <c r="L237" t="s">
        <v>6</v>
      </c>
      <c r="M237" t="s">
        <v>70</v>
      </c>
    </row>
    <row r="238" spans="1:13" x14ac:dyDescent="0.45">
      <c r="A238" t="s">
        <v>5</v>
      </c>
      <c r="B238" t="s">
        <v>144</v>
      </c>
      <c r="C238">
        <v>2035</v>
      </c>
      <c r="D238">
        <v>112</v>
      </c>
      <c r="E238">
        <v>65535</v>
      </c>
      <c r="F238">
        <v>2.4</v>
      </c>
      <c r="H238">
        <v>1.05</v>
      </c>
      <c r="I238">
        <v>65535</v>
      </c>
      <c r="J238">
        <v>1.71</v>
      </c>
      <c r="K238">
        <v>3.14</v>
      </c>
      <c r="L238" t="s">
        <v>6</v>
      </c>
      <c r="M238" t="s">
        <v>70</v>
      </c>
    </row>
    <row r="239" spans="1:13" x14ac:dyDescent="0.45">
      <c r="A239" t="s">
        <v>5</v>
      </c>
      <c r="B239" t="s">
        <v>144</v>
      </c>
      <c r="C239">
        <v>2040</v>
      </c>
      <c r="D239">
        <v>112</v>
      </c>
      <c r="E239">
        <v>65535</v>
      </c>
      <c r="F239">
        <v>2.6</v>
      </c>
      <c r="H239">
        <v>1.06</v>
      </c>
      <c r="I239">
        <v>65535</v>
      </c>
      <c r="J239">
        <v>1.85</v>
      </c>
      <c r="K239">
        <v>3.74</v>
      </c>
      <c r="L239" t="s">
        <v>6</v>
      </c>
      <c r="M239" t="s">
        <v>70</v>
      </c>
    </row>
    <row r="240" spans="1:13" x14ac:dyDescent="0.45">
      <c r="A240" t="s">
        <v>5</v>
      </c>
      <c r="B240" t="s">
        <v>144</v>
      </c>
      <c r="C240">
        <v>2045</v>
      </c>
      <c r="D240">
        <v>112</v>
      </c>
      <c r="E240">
        <v>65535</v>
      </c>
      <c r="F240">
        <v>2.85</v>
      </c>
      <c r="H240">
        <v>1.08</v>
      </c>
      <c r="I240">
        <v>65535</v>
      </c>
      <c r="J240">
        <v>2</v>
      </c>
      <c r="K240">
        <v>4.28</v>
      </c>
      <c r="L240" t="s">
        <v>6</v>
      </c>
      <c r="M240" t="s">
        <v>70</v>
      </c>
    </row>
    <row r="241" spans="1:13" x14ac:dyDescent="0.45">
      <c r="A241" t="s">
        <v>5</v>
      </c>
      <c r="B241" t="s">
        <v>144</v>
      </c>
      <c r="C241">
        <v>2050</v>
      </c>
      <c r="D241">
        <v>112</v>
      </c>
      <c r="E241">
        <v>65535</v>
      </c>
      <c r="F241">
        <v>2.97</v>
      </c>
      <c r="H241">
        <v>0</v>
      </c>
      <c r="I241">
        <v>65535</v>
      </c>
      <c r="J241">
        <v>2.15</v>
      </c>
      <c r="K241">
        <v>4.51</v>
      </c>
      <c r="L241" t="s">
        <v>6</v>
      </c>
      <c r="M241" t="s">
        <v>70</v>
      </c>
    </row>
    <row r="242" spans="1:13" x14ac:dyDescent="0.45">
      <c r="A242" t="s">
        <v>7</v>
      </c>
      <c r="B242" t="s">
        <v>144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144</v>
      </c>
      <c r="C243">
        <v>2025</v>
      </c>
      <c r="D243">
        <v>27</v>
      </c>
      <c r="E243">
        <v>1.33</v>
      </c>
      <c r="F243">
        <v>1.31</v>
      </c>
      <c r="G243">
        <v>0.18</v>
      </c>
      <c r="H243">
        <v>1.06</v>
      </c>
      <c r="I243">
        <v>1.66</v>
      </c>
      <c r="J243">
        <v>1.22</v>
      </c>
      <c r="K243">
        <v>1.45</v>
      </c>
      <c r="L243" t="s">
        <v>8</v>
      </c>
      <c r="M243" t="s">
        <v>70</v>
      </c>
    </row>
    <row r="244" spans="1:13" x14ac:dyDescent="0.45">
      <c r="A244" t="s">
        <v>7</v>
      </c>
      <c r="B244" t="s">
        <v>144</v>
      </c>
      <c r="C244">
        <v>2030</v>
      </c>
      <c r="D244">
        <v>27</v>
      </c>
      <c r="E244">
        <v>1.84</v>
      </c>
      <c r="F244">
        <v>2.02</v>
      </c>
      <c r="G244">
        <v>0.28000000000000003</v>
      </c>
      <c r="H244">
        <v>1.24</v>
      </c>
      <c r="I244">
        <v>2.17</v>
      </c>
      <c r="J244">
        <v>1.52</v>
      </c>
      <c r="K244">
        <v>2.0699999999999998</v>
      </c>
      <c r="L244" t="s">
        <v>8</v>
      </c>
      <c r="M244" t="s">
        <v>70</v>
      </c>
    </row>
    <row r="245" spans="1:13" x14ac:dyDescent="0.45">
      <c r="A245" t="s">
        <v>7</v>
      </c>
      <c r="B245" t="s">
        <v>144</v>
      </c>
      <c r="C245">
        <v>2035</v>
      </c>
      <c r="D245">
        <v>27</v>
      </c>
      <c r="E245">
        <v>1.84</v>
      </c>
      <c r="F245">
        <v>1.96</v>
      </c>
      <c r="G245">
        <v>0.41</v>
      </c>
      <c r="H245">
        <v>1.19</v>
      </c>
      <c r="I245">
        <v>2.46</v>
      </c>
      <c r="J245">
        <v>1.42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144</v>
      </c>
      <c r="C246">
        <v>2040</v>
      </c>
      <c r="D246">
        <v>27</v>
      </c>
      <c r="E246">
        <v>2.12</v>
      </c>
      <c r="F246">
        <v>2.2200000000000002</v>
      </c>
      <c r="G246">
        <v>0.47</v>
      </c>
      <c r="H246">
        <v>1.41</v>
      </c>
      <c r="I246">
        <v>2.78</v>
      </c>
      <c r="J246">
        <v>1.54</v>
      </c>
      <c r="K246">
        <v>2.4300000000000002</v>
      </c>
      <c r="L246" t="s">
        <v>8</v>
      </c>
      <c r="M246" t="s">
        <v>70</v>
      </c>
    </row>
    <row r="247" spans="1:13" x14ac:dyDescent="0.45">
      <c r="A247" t="s">
        <v>7</v>
      </c>
      <c r="B247" t="s">
        <v>144</v>
      </c>
      <c r="C247">
        <v>2045</v>
      </c>
      <c r="D247">
        <v>27</v>
      </c>
      <c r="E247">
        <v>2.31</v>
      </c>
      <c r="F247">
        <v>2.39</v>
      </c>
      <c r="G247">
        <v>0.62</v>
      </c>
      <c r="H247">
        <v>1.34</v>
      </c>
      <c r="I247">
        <v>3.22</v>
      </c>
      <c r="J247">
        <v>1.67</v>
      </c>
      <c r="K247">
        <v>2.74</v>
      </c>
      <c r="L247" t="s">
        <v>8</v>
      </c>
      <c r="M247" t="s">
        <v>70</v>
      </c>
    </row>
    <row r="248" spans="1:13" x14ac:dyDescent="0.45">
      <c r="A248" t="s">
        <v>7</v>
      </c>
      <c r="B248" t="s">
        <v>144</v>
      </c>
      <c r="C248">
        <v>2050</v>
      </c>
      <c r="D248">
        <v>27</v>
      </c>
      <c r="E248">
        <v>2.48</v>
      </c>
      <c r="F248">
        <v>2.52</v>
      </c>
      <c r="G248">
        <v>0.71</v>
      </c>
      <c r="H248">
        <v>1.52</v>
      </c>
      <c r="I248">
        <v>3.64</v>
      </c>
      <c r="J248">
        <v>1.84</v>
      </c>
      <c r="K248">
        <v>3.04</v>
      </c>
      <c r="L248" t="s">
        <v>8</v>
      </c>
      <c r="M248" t="s">
        <v>70</v>
      </c>
    </row>
    <row r="249" spans="1:13" x14ac:dyDescent="0.45">
      <c r="A249" t="s">
        <v>9</v>
      </c>
      <c r="B249" t="s">
        <v>144</v>
      </c>
      <c r="C249">
        <v>2020</v>
      </c>
      <c r="D249">
        <v>42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144</v>
      </c>
      <c r="C250">
        <v>2025</v>
      </c>
      <c r="D250">
        <v>42</v>
      </c>
      <c r="E250">
        <v>1.0900000000000001</v>
      </c>
      <c r="F250">
        <v>1.07</v>
      </c>
      <c r="G250">
        <v>0.13</v>
      </c>
      <c r="H250">
        <v>0.91</v>
      </c>
      <c r="I250">
        <v>1.5</v>
      </c>
      <c r="J250">
        <v>1.02</v>
      </c>
      <c r="K250">
        <v>1.1499999999999999</v>
      </c>
      <c r="L250" t="s">
        <v>10</v>
      </c>
      <c r="M250" t="s">
        <v>70</v>
      </c>
    </row>
    <row r="251" spans="1:13" x14ac:dyDescent="0.45">
      <c r="A251" t="s">
        <v>9</v>
      </c>
      <c r="B251" t="s">
        <v>144</v>
      </c>
      <c r="C251">
        <v>2030</v>
      </c>
      <c r="D251">
        <v>42</v>
      </c>
      <c r="E251">
        <v>1.37</v>
      </c>
      <c r="F251">
        <v>1.24</v>
      </c>
      <c r="G251">
        <v>0.32</v>
      </c>
      <c r="H251">
        <v>1.01</v>
      </c>
      <c r="I251">
        <v>2.14</v>
      </c>
      <c r="J251">
        <v>1.1499999999999999</v>
      </c>
      <c r="K251">
        <v>1.53</v>
      </c>
      <c r="L251" t="s">
        <v>10</v>
      </c>
      <c r="M251" t="s">
        <v>70</v>
      </c>
    </row>
    <row r="252" spans="1:13" x14ac:dyDescent="0.45">
      <c r="A252" t="s">
        <v>9</v>
      </c>
      <c r="B252" t="s">
        <v>144</v>
      </c>
      <c r="C252">
        <v>2035</v>
      </c>
      <c r="D252">
        <v>42</v>
      </c>
      <c r="E252">
        <v>1.19</v>
      </c>
      <c r="F252">
        <v>1.1499999999999999</v>
      </c>
      <c r="G252">
        <v>0.17</v>
      </c>
      <c r="H252">
        <v>1.01</v>
      </c>
      <c r="I252">
        <v>1.69</v>
      </c>
      <c r="J252">
        <v>1.07</v>
      </c>
      <c r="K252">
        <v>1.22</v>
      </c>
      <c r="L252" t="s">
        <v>10</v>
      </c>
      <c r="M252" t="s">
        <v>70</v>
      </c>
    </row>
    <row r="253" spans="1:13" x14ac:dyDescent="0.45">
      <c r="A253" t="s">
        <v>9</v>
      </c>
      <c r="B253" t="s">
        <v>144</v>
      </c>
      <c r="C253">
        <v>2040</v>
      </c>
      <c r="D253">
        <v>42</v>
      </c>
      <c r="E253">
        <v>1.27</v>
      </c>
      <c r="F253">
        <v>1.25</v>
      </c>
      <c r="G253">
        <v>0.16</v>
      </c>
      <c r="H253">
        <v>1.04</v>
      </c>
      <c r="I253">
        <v>1.78</v>
      </c>
      <c r="J253">
        <v>1.1599999999999999</v>
      </c>
      <c r="K253">
        <v>1.31</v>
      </c>
      <c r="L253" t="s">
        <v>10</v>
      </c>
      <c r="M253" t="s">
        <v>70</v>
      </c>
    </row>
    <row r="254" spans="1:13" x14ac:dyDescent="0.45">
      <c r="A254" t="s">
        <v>9</v>
      </c>
      <c r="B254" t="s">
        <v>144</v>
      </c>
      <c r="C254">
        <v>2045</v>
      </c>
      <c r="D254">
        <v>42</v>
      </c>
      <c r="E254">
        <v>1.26</v>
      </c>
      <c r="F254">
        <v>1.17</v>
      </c>
      <c r="G254">
        <v>0.27</v>
      </c>
      <c r="H254">
        <v>1</v>
      </c>
      <c r="I254">
        <v>2.2000000000000002</v>
      </c>
      <c r="J254">
        <v>1.1100000000000001</v>
      </c>
      <c r="K254">
        <v>1.28</v>
      </c>
      <c r="L254" t="s">
        <v>10</v>
      </c>
      <c r="M254" t="s">
        <v>70</v>
      </c>
    </row>
    <row r="255" spans="1:13" x14ac:dyDescent="0.45">
      <c r="A255" t="s">
        <v>9</v>
      </c>
      <c r="B255" t="s">
        <v>144</v>
      </c>
      <c r="C255">
        <v>2050</v>
      </c>
      <c r="D255">
        <v>42</v>
      </c>
      <c r="E255">
        <v>1.39</v>
      </c>
      <c r="F255">
        <v>1.34</v>
      </c>
      <c r="G255">
        <v>0.23</v>
      </c>
      <c r="H255">
        <v>1.08</v>
      </c>
      <c r="I255">
        <v>2.1800000000000002</v>
      </c>
      <c r="J255">
        <v>1.29</v>
      </c>
      <c r="K255">
        <v>1.39</v>
      </c>
      <c r="L255" t="s">
        <v>10</v>
      </c>
      <c r="M255" t="s">
        <v>70</v>
      </c>
    </row>
    <row r="256" spans="1:13" x14ac:dyDescent="0.45">
      <c r="A256" t="s">
        <v>0</v>
      </c>
      <c r="B256" t="s">
        <v>144</v>
      </c>
      <c r="C256">
        <v>2020</v>
      </c>
      <c r="D256">
        <v>49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144</v>
      </c>
      <c r="C257">
        <v>2025</v>
      </c>
      <c r="D257">
        <v>50</v>
      </c>
      <c r="E257">
        <v>65535</v>
      </c>
      <c r="F257">
        <v>1.1000000000000001</v>
      </c>
      <c r="H257">
        <v>-4.33</v>
      </c>
      <c r="I257">
        <v>65535</v>
      </c>
      <c r="J257">
        <v>0.81</v>
      </c>
      <c r="K257">
        <v>1.5</v>
      </c>
      <c r="L257" t="s">
        <v>1</v>
      </c>
      <c r="M257" t="s">
        <v>71</v>
      </c>
    </row>
    <row r="258" spans="1:13" x14ac:dyDescent="0.45">
      <c r="A258" t="s">
        <v>0</v>
      </c>
      <c r="B258" t="s">
        <v>144</v>
      </c>
      <c r="C258">
        <v>2030</v>
      </c>
      <c r="D258">
        <v>50</v>
      </c>
      <c r="E258">
        <v>65535</v>
      </c>
      <c r="F258">
        <v>1.77</v>
      </c>
      <c r="H258">
        <v>-6.1</v>
      </c>
      <c r="I258">
        <v>65535</v>
      </c>
      <c r="J258">
        <v>1.27</v>
      </c>
      <c r="K258">
        <v>2.54</v>
      </c>
      <c r="L258" t="s">
        <v>1</v>
      </c>
      <c r="M258" t="s">
        <v>71</v>
      </c>
    </row>
    <row r="259" spans="1:13" x14ac:dyDescent="0.45">
      <c r="A259" t="s">
        <v>0</v>
      </c>
      <c r="B259" t="s">
        <v>144</v>
      </c>
      <c r="C259">
        <v>2035</v>
      </c>
      <c r="D259">
        <v>50</v>
      </c>
      <c r="E259">
        <v>65535</v>
      </c>
      <c r="F259">
        <v>1.87</v>
      </c>
      <c r="H259">
        <v>-6.86</v>
      </c>
      <c r="I259">
        <v>65535</v>
      </c>
      <c r="J259">
        <v>1.1499999999999999</v>
      </c>
      <c r="K259">
        <v>2.77</v>
      </c>
      <c r="L259" t="s">
        <v>1</v>
      </c>
      <c r="M259" t="s">
        <v>71</v>
      </c>
    </row>
    <row r="260" spans="1:13" x14ac:dyDescent="0.45">
      <c r="A260" t="s">
        <v>0</v>
      </c>
      <c r="B260" t="s">
        <v>144</v>
      </c>
      <c r="C260">
        <v>2040</v>
      </c>
      <c r="D260">
        <v>50</v>
      </c>
      <c r="E260">
        <v>65535</v>
      </c>
      <c r="F260">
        <v>1.96</v>
      </c>
      <c r="H260">
        <v>-9.2100000000000009</v>
      </c>
      <c r="I260">
        <v>65535</v>
      </c>
      <c r="J260">
        <v>1.31</v>
      </c>
      <c r="K260">
        <v>3.39</v>
      </c>
      <c r="L260" t="s">
        <v>1</v>
      </c>
      <c r="M260" t="s">
        <v>71</v>
      </c>
    </row>
    <row r="261" spans="1:13" x14ac:dyDescent="0.45">
      <c r="A261" t="s">
        <v>0</v>
      </c>
      <c r="B261" t="s">
        <v>144</v>
      </c>
      <c r="C261">
        <v>2045</v>
      </c>
      <c r="D261">
        <v>50</v>
      </c>
      <c r="E261">
        <v>65535</v>
      </c>
      <c r="F261">
        <v>2.13</v>
      </c>
      <c r="H261">
        <v>-6.95</v>
      </c>
      <c r="I261">
        <v>65535</v>
      </c>
      <c r="J261">
        <v>1.6</v>
      </c>
      <c r="K261">
        <v>3.41</v>
      </c>
      <c r="L261" t="s">
        <v>1</v>
      </c>
      <c r="M261" t="s">
        <v>71</v>
      </c>
    </row>
    <row r="262" spans="1:13" x14ac:dyDescent="0.45">
      <c r="A262" t="s">
        <v>0</v>
      </c>
      <c r="B262" t="s">
        <v>144</v>
      </c>
      <c r="C262">
        <v>2050</v>
      </c>
      <c r="D262">
        <v>50</v>
      </c>
      <c r="E262">
        <v>65535</v>
      </c>
      <c r="F262">
        <v>2</v>
      </c>
      <c r="H262">
        <v>-10.07</v>
      </c>
      <c r="I262">
        <v>65535</v>
      </c>
      <c r="J262">
        <v>1.55</v>
      </c>
      <c r="K262">
        <v>4.63</v>
      </c>
      <c r="L262" t="s">
        <v>1</v>
      </c>
      <c r="M262" t="s">
        <v>71</v>
      </c>
    </row>
    <row r="263" spans="1:13" x14ac:dyDescent="0.45">
      <c r="A263" t="s">
        <v>2</v>
      </c>
      <c r="B263" t="s">
        <v>144</v>
      </c>
      <c r="C263">
        <v>2020</v>
      </c>
      <c r="D263">
        <v>62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144</v>
      </c>
      <c r="C264">
        <v>2025</v>
      </c>
      <c r="D264">
        <v>52</v>
      </c>
      <c r="E264">
        <v>65535</v>
      </c>
      <c r="F264">
        <v>0.61</v>
      </c>
      <c r="H264">
        <v>0</v>
      </c>
      <c r="I264">
        <v>65535</v>
      </c>
      <c r="J264">
        <v>0.53</v>
      </c>
      <c r="K264">
        <v>0.89</v>
      </c>
      <c r="L264" t="s">
        <v>3</v>
      </c>
      <c r="M264" t="s">
        <v>71</v>
      </c>
    </row>
    <row r="265" spans="1:13" x14ac:dyDescent="0.45">
      <c r="A265" t="s">
        <v>2</v>
      </c>
      <c r="B265" t="s">
        <v>144</v>
      </c>
      <c r="C265">
        <v>2030</v>
      </c>
      <c r="D265">
        <v>63</v>
      </c>
      <c r="E265">
        <v>65535</v>
      </c>
      <c r="F265">
        <v>1.07</v>
      </c>
      <c r="H265">
        <v>0</v>
      </c>
      <c r="I265">
        <v>65535</v>
      </c>
      <c r="J265">
        <v>0.6</v>
      </c>
      <c r="K265">
        <v>1.55</v>
      </c>
      <c r="L265" t="s">
        <v>3</v>
      </c>
      <c r="M265" t="s">
        <v>71</v>
      </c>
    </row>
    <row r="266" spans="1:13" x14ac:dyDescent="0.45">
      <c r="A266" t="s">
        <v>2</v>
      </c>
      <c r="B266" t="s">
        <v>144</v>
      </c>
      <c r="C266">
        <v>2035</v>
      </c>
      <c r="D266">
        <v>52</v>
      </c>
      <c r="E266">
        <v>65535</v>
      </c>
      <c r="F266">
        <v>1.0900000000000001</v>
      </c>
      <c r="H266">
        <v>0</v>
      </c>
      <c r="I266">
        <v>65535</v>
      </c>
      <c r="J266">
        <v>0.6</v>
      </c>
      <c r="K266">
        <v>1.76</v>
      </c>
      <c r="L266" t="s">
        <v>3</v>
      </c>
      <c r="M266" t="s">
        <v>71</v>
      </c>
    </row>
    <row r="267" spans="1:13" x14ac:dyDescent="0.45">
      <c r="A267" t="s">
        <v>2</v>
      </c>
      <c r="B267" t="s">
        <v>144</v>
      </c>
      <c r="C267">
        <v>2040</v>
      </c>
      <c r="D267">
        <v>63</v>
      </c>
      <c r="E267">
        <v>65535</v>
      </c>
      <c r="F267">
        <v>1.25</v>
      </c>
      <c r="H267">
        <v>0</v>
      </c>
      <c r="I267">
        <v>65535</v>
      </c>
      <c r="J267">
        <v>0.87</v>
      </c>
      <c r="K267">
        <v>1.91</v>
      </c>
      <c r="L267" t="s">
        <v>3</v>
      </c>
      <c r="M267" t="s">
        <v>71</v>
      </c>
    </row>
    <row r="268" spans="1:13" x14ac:dyDescent="0.45">
      <c r="A268" t="s">
        <v>2</v>
      </c>
      <c r="B268" t="s">
        <v>144</v>
      </c>
      <c r="C268">
        <v>2045</v>
      </c>
      <c r="D268">
        <v>52</v>
      </c>
      <c r="E268">
        <v>65535</v>
      </c>
      <c r="F268">
        <v>1.35</v>
      </c>
      <c r="H268">
        <v>0</v>
      </c>
      <c r="I268">
        <v>65535</v>
      </c>
      <c r="J268">
        <v>0.78</v>
      </c>
      <c r="K268">
        <v>1.89</v>
      </c>
      <c r="L268" t="s">
        <v>3</v>
      </c>
      <c r="M268" t="s">
        <v>71</v>
      </c>
    </row>
    <row r="269" spans="1:13" x14ac:dyDescent="0.45">
      <c r="A269" t="s">
        <v>2</v>
      </c>
      <c r="B269" t="s">
        <v>144</v>
      </c>
      <c r="C269">
        <v>2050</v>
      </c>
      <c r="D269">
        <v>63</v>
      </c>
      <c r="E269">
        <v>65535</v>
      </c>
      <c r="F269">
        <v>1.62</v>
      </c>
      <c r="H269">
        <v>-2.31</v>
      </c>
      <c r="I269">
        <v>65535</v>
      </c>
      <c r="J269">
        <v>0.61</v>
      </c>
      <c r="K269">
        <v>2.16</v>
      </c>
      <c r="L269" t="s">
        <v>3</v>
      </c>
      <c r="M269" t="s">
        <v>71</v>
      </c>
    </row>
    <row r="270" spans="1:13" x14ac:dyDescent="0.45">
      <c r="A270" t="s">
        <v>5</v>
      </c>
      <c r="B270" t="s">
        <v>144</v>
      </c>
      <c r="C270">
        <v>2020</v>
      </c>
      <c r="D270">
        <v>157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144</v>
      </c>
      <c r="C271">
        <v>2025</v>
      </c>
      <c r="D271">
        <v>163</v>
      </c>
      <c r="E271">
        <v>65535</v>
      </c>
      <c r="F271">
        <v>0.75</v>
      </c>
      <c r="H271">
        <v>0.46</v>
      </c>
      <c r="I271">
        <v>65535</v>
      </c>
      <c r="J271">
        <v>0.54</v>
      </c>
      <c r="K271">
        <v>1.24</v>
      </c>
      <c r="L271" t="s">
        <v>6</v>
      </c>
      <c r="M271" t="s">
        <v>71</v>
      </c>
    </row>
    <row r="272" spans="1:13" x14ac:dyDescent="0.45">
      <c r="A272" t="s">
        <v>5</v>
      </c>
      <c r="B272" t="s">
        <v>144</v>
      </c>
      <c r="C272">
        <v>2030</v>
      </c>
      <c r="D272">
        <v>166</v>
      </c>
      <c r="E272">
        <v>65535</v>
      </c>
      <c r="F272">
        <v>1.1499999999999999</v>
      </c>
      <c r="H272">
        <v>0.51</v>
      </c>
      <c r="I272">
        <v>65535</v>
      </c>
      <c r="J272">
        <v>0.74</v>
      </c>
      <c r="K272">
        <v>1.65</v>
      </c>
      <c r="L272" t="s">
        <v>6</v>
      </c>
      <c r="M272" t="s">
        <v>71</v>
      </c>
    </row>
    <row r="273" spans="1:13" x14ac:dyDescent="0.45">
      <c r="A273" t="s">
        <v>5</v>
      </c>
      <c r="B273" t="s">
        <v>144</v>
      </c>
      <c r="C273">
        <v>2035</v>
      </c>
      <c r="D273">
        <v>163</v>
      </c>
      <c r="E273">
        <v>65535</v>
      </c>
      <c r="F273">
        <v>1.21</v>
      </c>
      <c r="H273">
        <v>-0.95</v>
      </c>
      <c r="I273">
        <v>65535</v>
      </c>
      <c r="J273">
        <v>0.88</v>
      </c>
      <c r="K273">
        <v>2.11</v>
      </c>
      <c r="L273" t="s">
        <v>6</v>
      </c>
      <c r="M273" t="s">
        <v>71</v>
      </c>
    </row>
    <row r="274" spans="1:13" x14ac:dyDescent="0.45">
      <c r="A274" t="s">
        <v>5</v>
      </c>
      <c r="B274" t="s">
        <v>144</v>
      </c>
      <c r="C274">
        <v>2040</v>
      </c>
      <c r="D274">
        <v>166</v>
      </c>
      <c r="E274">
        <v>65535</v>
      </c>
      <c r="F274">
        <v>1.28</v>
      </c>
      <c r="H274">
        <v>-1.8</v>
      </c>
      <c r="I274">
        <v>65535</v>
      </c>
      <c r="J274">
        <v>0.89</v>
      </c>
      <c r="K274">
        <v>2.4300000000000002</v>
      </c>
      <c r="L274" t="s">
        <v>6</v>
      </c>
      <c r="M274" t="s">
        <v>71</v>
      </c>
    </row>
    <row r="275" spans="1:13" x14ac:dyDescent="0.45">
      <c r="A275" t="s">
        <v>5</v>
      </c>
      <c r="B275" t="s">
        <v>144</v>
      </c>
      <c r="C275">
        <v>2045</v>
      </c>
      <c r="D275">
        <v>163</v>
      </c>
      <c r="E275">
        <v>65535</v>
      </c>
      <c r="F275">
        <v>1.48</v>
      </c>
      <c r="H275">
        <v>-5.93</v>
      </c>
      <c r="I275">
        <v>65535</v>
      </c>
      <c r="J275">
        <v>1.08</v>
      </c>
      <c r="K275">
        <v>2.75</v>
      </c>
      <c r="L275" t="s">
        <v>6</v>
      </c>
      <c r="M275" t="s">
        <v>71</v>
      </c>
    </row>
    <row r="276" spans="1:13" x14ac:dyDescent="0.45">
      <c r="A276" t="s">
        <v>5</v>
      </c>
      <c r="B276" t="s">
        <v>144</v>
      </c>
      <c r="C276">
        <v>2050</v>
      </c>
      <c r="D276">
        <v>166</v>
      </c>
      <c r="E276">
        <v>65535</v>
      </c>
      <c r="F276">
        <v>1.59</v>
      </c>
      <c r="H276">
        <v>-5.35</v>
      </c>
      <c r="I276">
        <v>65535</v>
      </c>
      <c r="J276">
        <v>0.97</v>
      </c>
      <c r="K276">
        <v>2.91</v>
      </c>
      <c r="L276" t="s">
        <v>6</v>
      </c>
      <c r="M276" t="s">
        <v>71</v>
      </c>
    </row>
    <row r="277" spans="1:13" x14ac:dyDescent="0.45">
      <c r="A277" t="s">
        <v>7</v>
      </c>
      <c r="B277" t="s">
        <v>144</v>
      </c>
      <c r="C277">
        <v>2020</v>
      </c>
      <c r="D277">
        <v>52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144</v>
      </c>
      <c r="C278">
        <v>2025</v>
      </c>
      <c r="D278">
        <v>52</v>
      </c>
      <c r="E278">
        <v>0.89</v>
      </c>
      <c r="F278">
        <v>0.6</v>
      </c>
      <c r="G278">
        <v>0.38</v>
      </c>
      <c r="H278">
        <v>0.45</v>
      </c>
      <c r="I278">
        <v>1.39</v>
      </c>
      <c r="J278">
        <v>0.53</v>
      </c>
      <c r="K278">
        <v>1.25</v>
      </c>
      <c r="L278" t="s">
        <v>8</v>
      </c>
      <c r="M278" t="s">
        <v>71</v>
      </c>
    </row>
    <row r="279" spans="1:13" x14ac:dyDescent="0.45">
      <c r="A279" t="s">
        <v>7</v>
      </c>
      <c r="B279" t="s">
        <v>144</v>
      </c>
      <c r="C279">
        <v>2030</v>
      </c>
      <c r="D279">
        <v>52</v>
      </c>
      <c r="E279">
        <v>1.06</v>
      </c>
      <c r="F279">
        <v>0.63</v>
      </c>
      <c r="G279">
        <v>0.52</v>
      </c>
      <c r="H279">
        <v>0.5</v>
      </c>
      <c r="I279">
        <v>1.81</v>
      </c>
      <c r="J279">
        <v>0.59</v>
      </c>
      <c r="K279">
        <v>1.65</v>
      </c>
      <c r="L279" t="s">
        <v>8</v>
      </c>
      <c r="M279" t="s">
        <v>71</v>
      </c>
    </row>
    <row r="280" spans="1:13" x14ac:dyDescent="0.45">
      <c r="A280" t="s">
        <v>7</v>
      </c>
      <c r="B280" t="s">
        <v>144</v>
      </c>
      <c r="C280">
        <v>2035</v>
      </c>
      <c r="D280">
        <v>52</v>
      </c>
      <c r="E280">
        <v>1.0900000000000001</v>
      </c>
      <c r="F280">
        <v>0.69</v>
      </c>
      <c r="G280">
        <v>0.56000000000000005</v>
      </c>
      <c r="H280">
        <v>0.53</v>
      </c>
      <c r="I280">
        <v>2.74</v>
      </c>
      <c r="J280">
        <v>0.62</v>
      </c>
      <c r="K280">
        <v>1.55</v>
      </c>
      <c r="L280" t="s">
        <v>8</v>
      </c>
      <c r="M280" t="s">
        <v>71</v>
      </c>
    </row>
    <row r="281" spans="1:13" x14ac:dyDescent="0.45">
      <c r="A281" t="s">
        <v>7</v>
      </c>
      <c r="B281" t="s">
        <v>144</v>
      </c>
      <c r="C281">
        <v>2040</v>
      </c>
      <c r="D281">
        <v>52</v>
      </c>
      <c r="E281">
        <v>1.2</v>
      </c>
      <c r="F281">
        <v>0.79</v>
      </c>
      <c r="G281">
        <v>0.67</v>
      </c>
      <c r="H281">
        <v>0.59</v>
      </c>
      <c r="I281">
        <v>3.56</v>
      </c>
      <c r="J281">
        <v>0.63</v>
      </c>
      <c r="K281">
        <v>1.75</v>
      </c>
      <c r="L281" t="s">
        <v>8</v>
      </c>
      <c r="M281" t="s">
        <v>71</v>
      </c>
    </row>
    <row r="282" spans="1:13" x14ac:dyDescent="0.45">
      <c r="A282" t="s">
        <v>7</v>
      </c>
      <c r="B282" t="s">
        <v>144</v>
      </c>
      <c r="C282">
        <v>2045</v>
      </c>
      <c r="D282">
        <v>52</v>
      </c>
      <c r="E282">
        <v>1.32</v>
      </c>
      <c r="F282">
        <v>0.84</v>
      </c>
      <c r="G282">
        <v>0.77</v>
      </c>
      <c r="H282">
        <v>0.6</v>
      </c>
      <c r="I282">
        <v>4.16</v>
      </c>
      <c r="J282">
        <v>0.7</v>
      </c>
      <c r="K282">
        <v>1.9</v>
      </c>
      <c r="L282" t="s">
        <v>8</v>
      </c>
      <c r="M282" t="s">
        <v>71</v>
      </c>
    </row>
    <row r="283" spans="1:13" x14ac:dyDescent="0.45">
      <c r="A283" t="s">
        <v>7</v>
      </c>
      <c r="B283" t="s">
        <v>144</v>
      </c>
      <c r="C283">
        <v>2050</v>
      </c>
      <c r="D283">
        <v>52</v>
      </c>
      <c r="E283">
        <v>1.4</v>
      </c>
      <c r="F283">
        <v>0.94</v>
      </c>
      <c r="G283">
        <v>0.85</v>
      </c>
      <c r="H283">
        <v>0.61</v>
      </c>
      <c r="I283">
        <v>4.67</v>
      </c>
      <c r="J283">
        <v>0.71</v>
      </c>
      <c r="K283">
        <v>2.06</v>
      </c>
      <c r="L283" t="s">
        <v>8</v>
      </c>
      <c r="M283" t="s">
        <v>71</v>
      </c>
    </row>
    <row r="284" spans="1:13" x14ac:dyDescent="0.45">
      <c r="A284" t="s">
        <v>9</v>
      </c>
      <c r="B284" t="s">
        <v>144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144</v>
      </c>
      <c r="C285">
        <v>2025</v>
      </c>
      <c r="D285">
        <v>43</v>
      </c>
      <c r="E285">
        <v>0.93</v>
      </c>
      <c r="F285">
        <v>1.01</v>
      </c>
      <c r="G285">
        <v>0.45</v>
      </c>
      <c r="H285">
        <v>0.38</v>
      </c>
      <c r="I285">
        <v>2.73</v>
      </c>
      <c r="J285">
        <v>0.62</v>
      </c>
      <c r="K285">
        <v>1.0900000000000001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144</v>
      </c>
      <c r="C286">
        <v>2030</v>
      </c>
      <c r="D286">
        <v>43</v>
      </c>
      <c r="E286">
        <v>1.1499999999999999</v>
      </c>
      <c r="F286">
        <v>1.1100000000000001</v>
      </c>
      <c r="G286">
        <v>0.46</v>
      </c>
      <c r="H286">
        <v>0.57999999999999996</v>
      </c>
      <c r="I286">
        <v>3.14</v>
      </c>
      <c r="J286">
        <v>0.99</v>
      </c>
      <c r="K286">
        <v>1.17</v>
      </c>
      <c r="L286" t="s">
        <v>10</v>
      </c>
      <c r="M286" t="s">
        <v>71</v>
      </c>
    </row>
    <row r="287" spans="1:13" x14ac:dyDescent="0.45">
      <c r="A287" t="s">
        <v>9</v>
      </c>
      <c r="B287" t="s">
        <v>144</v>
      </c>
      <c r="C287">
        <v>2035</v>
      </c>
      <c r="D287">
        <v>43</v>
      </c>
      <c r="E287">
        <v>1.07</v>
      </c>
      <c r="F287">
        <v>1.01</v>
      </c>
      <c r="G287">
        <v>0.42</v>
      </c>
      <c r="H287">
        <v>0.63</v>
      </c>
      <c r="I287">
        <v>2.83</v>
      </c>
      <c r="J287">
        <v>0.78</v>
      </c>
      <c r="K287">
        <v>1.2</v>
      </c>
      <c r="L287" t="s">
        <v>10</v>
      </c>
      <c r="M287" t="s">
        <v>71</v>
      </c>
    </row>
    <row r="288" spans="1:13" x14ac:dyDescent="0.45">
      <c r="A288" t="s">
        <v>9</v>
      </c>
      <c r="B288" t="s">
        <v>144</v>
      </c>
      <c r="C288">
        <v>2040</v>
      </c>
      <c r="D288">
        <v>43</v>
      </c>
      <c r="E288">
        <v>1.0900000000000001</v>
      </c>
      <c r="F288">
        <v>1.01</v>
      </c>
      <c r="G288">
        <v>0.46</v>
      </c>
      <c r="H288">
        <v>0.67</v>
      </c>
      <c r="I288">
        <v>3.23</v>
      </c>
      <c r="J288">
        <v>0.82</v>
      </c>
      <c r="K288">
        <v>1.23</v>
      </c>
      <c r="L288" t="s">
        <v>10</v>
      </c>
      <c r="M288" t="s">
        <v>71</v>
      </c>
    </row>
    <row r="289" spans="1:13" x14ac:dyDescent="0.45">
      <c r="A289" t="s">
        <v>9</v>
      </c>
      <c r="B289" t="s">
        <v>144</v>
      </c>
      <c r="C289">
        <v>2045</v>
      </c>
      <c r="D289">
        <v>43</v>
      </c>
      <c r="E289">
        <v>1.1599999999999999</v>
      </c>
      <c r="F289">
        <v>1.04</v>
      </c>
      <c r="G289">
        <v>0.44</v>
      </c>
      <c r="H289">
        <v>0.7</v>
      </c>
      <c r="I289">
        <v>3.16</v>
      </c>
      <c r="J289">
        <v>0.95</v>
      </c>
      <c r="K289">
        <v>1.26</v>
      </c>
      <c r="L289" t="s">
        <v>10</v>
      </c>
      <c r="M289" t="s">
        <v>71</v>
      </c>
    </row>
    <row r="290" spans="1:13" x14ac:dyDescent="0.45">
      <c r="A290" t="s">
        <v>9</v>
      </c>
      <c r="B290" t="s">
        <v>144</v>
      </c>
      <c r="C290">
        <v>2050</v>
      </c>
      <c r="D290">
        <v>43</v>
      </c>
      <c r="E290">
        <v>1.26</v>
      </c>
      <c r="F290">
        <v>1.1399999999999999</v>
      </c>
      <c r="G290">
        <v>0.59</v>
      </c>
      <c r="H290">
        <v>0.79</v>
      </c>
      <c r="I290">
        <v>4.05</v>
      </c>
      <c r="J290">
        <v>0.99</v>
      </c>
      <c r="K290">
        <v>1.31</v>
      </c>
      <c r="L290" t="s">
        <v>10</v>
      </c>
      <c r="M290" t="s">
        <v>71</v>
      </c>
    </row>
    <row r="291" spans="1:13" x14ac:dyDescent="0.45">
      <c r="A291" t="s">
        <v>0</v>
      </c>
      <c r="B291" t="s">
        <v>144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144</v>
      </c>
      <c r="C292">
        <v>2025</v>
      </c>
      <c r="D292">
        <v>20</v>
      </c>
      <c r="E292">
        <v>3.7</v>
      </c>
      <c r="F292">
        <v>3.91</v>
      </c>
      <c r="G292">
        <v>2.78</v>
      </c>
      <c r="H292">
        <v>0</v>
      </c>
      <c r="I292">
        <v>9.42</v>
      </c>
      <c r="J292">
        <v>1.08</v>
      </c>
      <c r="K292">
        <v>4.53</v>
      </c>
      <c r="L292" t="s">
        <v>1</v>
      </c>
      <c r="M292" t="s">
        <v>72</v>
      </c>
    </row>
    <row r="293" spans="1:13" x14ac:dyDescent="0.45">
      <c r="A293" t="s">
        <v>0</v>
      </c>
      <c r="B293" t="s">
        <v>144</v>
      </c>
      <c r="C293">
        <v>2030</v>
      </c>
      <c r="D293">
        <v>20</v>
      </c>
      <c r="E293">
        <v>5.81</v>
      </c>
      <c r="F293">
        <v>6.49</v>
      </c>
      <c r="G293">
        <v>3.1</v>
      </c>
      <c r="H293">
        <v>0</v>
      </c>
      <c r="I293">
        <v>14.03</v>
      </c>
      <c r="J293">
        <v>3.75</v>
      </c>
      <c r="K293">
        <v>7.02</v>
      </c>
      <c r="L293" t="s">
        <v>1</v>
      </c>
      <c r="M293" t="s">
        <v>72</v>
      </c>
    </row>
    <row r="294" spans="1:13" x14ac:dyDescent="0.45">
      <c r="A294" t="s">
        <v>0</v>
      </c>
      <c r="B294" t="s">
        <v>144</v>
      </c>
      <c r="C294">
        <v>2035</v>
      </c>
      <c r="D294">
        <v>20</v>
      </c>
      <c r="E294">
        <v>8.36</v>
      </c>
      <c r="F294">
        <v>8.1300000000000008</v>
      </c>
      <c r="G294">
        <v>4.8899999999999997</v>
      </c>
      <c r="H294">
        <v>0</v>
      </c>
      <c r="I294">
        <v>17.010000000000002</v>
      </c>
      <c r="J294">
        <v>4.04</v>
      </c>
      <c r="K294">
        <v>12.98</v>
      </c>
      <c r="L294" t="s">
        <v>1</v>
      </c>
      <c r="M294" t="s">
        <v>72</v>
      </c>
    </row>
    <row r="295" spans="1:13" x14ac:dyDescent="0.45">
      <c r="A295" t="s">
        <v>0</v>
      </c>
      <c r="B295" t="s">
        <v>144</v>
      </c>
      <c r="C295">
        <v>2040</v>
      </c>
      <c r="D295">
        <v>20</v>
      </c>
      <c r="E295">
        <v>10.89</v>
      </c>
      <c r="F295">
        <v>9.48</v>
      </c>
      <c r="G295">
        <v>6.99</v>
      </c>
      <c r="H295">
        <v>0</v>
      </c>
      <c r="I295">
        <v>20.12</v>
      </c>
      <c r="J295">
        <v>3.74</v>
      </c>
      <c r="K295">
        <v>18.11</v>
      </c>
      <c r="L295" t="s">
        <v>1</v>
      </c>
      <c r="M295" t="s">
        <v>72</v>
      </c>
    </row>
    <row r="296" spans="1:13" x14ac:dyDescent="0.45">
      <c r="A296" t="s">
        <v>0</v>
      </c>
      <c r="B296" t="s">
        <v>144</v>
      </c>
      <c r="C296">
        <v>2045</v>
      </c>
      <c r="D296">
        <v>20</v>
      </c>
      <c r="E296">
        <v>13.48</v>
      </c>
      <c r="F296">
        <v>11.01</v>
      </c>
      <c r="G296">
        <v>8.77</v>
      </c>
      <c r="H296">
        <v>0</v>
      </c>
      <c r="I296">
        <v>24.43</v>
      </c>
      <c r="J296">
        <v>4.7300000000000004</v>
      </c>
      <c r="K296">
        <v>22.58</v>
      </c>
      <c r="L296" t="s">
        <v>1</v>
      </c>
      <c r="M296" t="s">
        <v>72</v>
      </c>
    </row>
    <row r="297" spans="1:13" x14ac:dyDescent="0.45">
      <c r="A297" t="s">
        <v>0</v>
      </c>
      <c r="B297" t="s">
        <v>144</v>
      </c>
      <c r="C297">
        <v>2050</v>
      </c>
      <c r="D297">
        <v>20</v>
      </c>
      <c r="E297">
        <v>15.11</v>
      </c>
      <c r="F297">
        <v>12.07</v>
      </c>
      <c r="G297">
        <v>10.14</v>
      </c>
      <c r="H297">
        <v>0</v>
      </c>
      <c r="I297">
        <v>26.3</v>
      </c>
      <c r="J297">
        <v>5.37</v>
      </c>
      <c r="K297">
        <v>26.18</v>
      </c>
      <c r="L297" t="s">
        <v>1</v>
      </c>
      <c r="M297" t="s">
        <v>72</v>
      </c>
    </row>
    <row r="298" spans="1:13" x14ac:dyDescent="0.45">
      <c r="A298" t="s">
        <v>2</v>
      </c>
      <c r="B298" t="s">
        <v>144</v>
      </c>
      <c r="C298">
        <v>2020</v>
      </c>
      <c r="D298">
        <v>16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144</v>
      </c>
      <c r="C299">
        <v>2025</v>
      </c>
      <c r="D299">
        <v>16</v>
      </c>
      <c r="E299">
        <v>2.46</v>
      </c>
      <c r="F299">
        <v>2.35</v>
      </c>
      <c r="G299">
        <v>1.51</v>
      </c>
      <c r="H299">
        <v>1.06</v>
      </c>
      <c r="I299">
        <v>5.16</v>
      </c>
      <c r="J299">
        <v>1.1599999999999999</v>
      </c>
      <c r="K299">
        <v>3.27</v>
      </c>
      <c r="L299" t="s">
        <v>3</v>
      </c>
      <c r="M299" t="s">
        <v>72</v>
      </c>
    </row>
    <row r="300" spans="1:13" x14ac:dyDescent="0.45">
      <c r="A300" t="s">
        <v>2</v>
      </c>
      <c r="B300" t="s">
        <v>144</v>
      </c>
      <c r="C300">
        <v>2030</v>
      </c>
      <c r="D300">
        <v>16</v>
      </c>
      <c r="E300">
        <v>2.5499999999999998</v>
      </c>
      <c r="F300">
        <v>2.5499999999999998</v>
      </c>
      <c r="G300">
        <v>0.8</v>
      </c>
      <c r="H300">
        <v>1.0900000000000001</v>
      </c>
      <c r="I300">
        <v>3.71</v>
      </c>
      <c r="J300">
        <v>2.2799999999999998</v>
      </c>
      <c r="K300">
        <v>3.04</v>
      </c>
      <c r="L300" t="s">
        <v>3</v>
      </c>
      <c r="M300" t="s">
        <v>72</v>
      </c>
    </row>
    <row r="301" spans="1:13" x14ac:dyDescent="0.45">
      <c r="A301" t="s">
        <v>2</v>
      </c>
      <c r="B301" t="s">
        <v>144</v>
      </c>
      <c r="C301">
        <v>2035</v>
      </c>
      <c r="D301">
        <v>16</v>
      </c>
      <c r="E301">
        <v>6.3</v>
      </c>
      <c r="F301">
        <v>3.61</v>
      </c>
      <c r="G301">
        <v>5.01</v>
      </c>
      <c r="H301">
        <v>3.14</v>
      </c>
      <c r="I301">
        <v>19.96</v>
      </c>
      <c r="J301">
        <v>3.44</v>
      </c>
      <c r="K301">
        <v>7.68</v>
      </c>
      <c r="L301" t="s">
        <v>3</v>
      </c>
      <c r="M301" t="s">
        <v>72</v>
      </c>
    </row>
    <row r="302" spans="1:13" x14ac:dyDescent="0.45">
      <c r="A302" t="s">
        <v>2</v>
      </c>
      <c r="B302" t="s">
        <v>144</v>
      </c>
      <c r="C302">
        <v>2040</v>
      </c>
      <c r="D302">
        <v>16</v>
      </c>
      <c r="E302">
        <v>6.95</v>
      </c>
      <c r="F302">
        <v>3.8</v>
      </c>
      <c r="G302">
        <v>6.29</v>
      </c>
      <c r="H302">
        <v>2.7</v>
      </c>
      <c r="I302">
        <v>25.59</v>
      </c>
      <c r="J302">
        <v>3.52</v>
      </c>
      <c r="K302">
        <v>9.2100000000000009</v>
      </c>
      <c r="L302" t="s">
        <v>3</v>
      </c>
      <c r="M302" t="s">
        <v>72</v>
      </c>
    </row>
    <row r="303" spans="1:13" x14ac:dyDescent="0.45">
      <c r="A303" t="s">
        <v>2</v>
      </c>
      <c r="B303" t="s">
        <v>144</v>
      </c>
      <c r="C303">
        <v>2045</v>
      </c>
      <c r="D303">
        <v>16</v>
      </c>
      <c r="E303">
        <v>6.37</v>
      </c>
      <c r="F303">
        <v>4.22</v>
      </c>
      <c r="G303">
        <v>5.01</v>
      </c>
      <c r="H303">
        <v>3.47</v>
      </c>
      <c r="I303">
        <v>22.39</v>
      </c>
      <c r="J303">
        <v>3.85</v>
      </c>
      <c r="K303">
        <v>6.02</v>
      </c>
      <c r="L303" t="s">
        <v>3</v>
      </c>
      <c r="M303" t="s">
        <v>72</v>
      </c>
    </row>
    <row r="304" spans="1:13" x14ac:dyDescent="0.45">
      <c r="A304" t="s">
        <v>2</v>
      </c>
      <c r="B304" t="s">
        <v>144</v>
      </c>
      <c r="C304">
        <v>2050</v>
      </c>
      <c r="D304">
        <v>16</v>
      </c>
      <c r="E304">
        <v>5.48</v>
      </c>
      <c r="F304">
        <v>4.91</v>
      </c>
      <c r="G304">
        <v>1.37</v>
      </c>
      <c r="H304">
        <v>4.32</v>
      </c>
      <c r="I304">
        <v>9.4600000000000009</v>
      </c>
      <c r="J304">
        <v>4.6500000000000004</v>
      </c>
      <c r="K304">
        <v>5.8</v>
      </c>
      <c r="L304" t="s">
        <v>3</v>
      </c>
      <c r="M304" t="s">
        <v>72</v>
      </c>
    </row>
    <row r="305" spans="1:13" x14ac:dyDescent="0.45">
      <c r="A305" t="s">
        <v>5</v>
      </c>
      <c r="B305" t="s">
        <v>144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144</v>
      </c>
      <c r="C306">
        <v>2025</v>
      </c>
      <c r="D306">
        <v>70</v>
      </c>
      <c r="E306">
        <v>2.37</v>
      </c>
      <c r="F306">
        <v>2.35</v>
      </c>
      <c r="G306">
        <v>0.99</v>
      </c>
      <c r="H306">
        <v>1.02</v>
      </c>
      <c r="I306">
        <v>5.16</v>
      </c>
      <c r="J306">
        <v>1.64</v>
      </c>
      <c r="K306">
        <v>2.76</v>
      </c>
      <c r="L306" t="s">
        <v>6</v>
      </c>
      <c r="M306" t="s">
        <v>72</v>
      </c>
    </row>
    <row r="307" spans="1:13" x14ac:dyDescent="0.45">
      <c r="A307" t="s">
        <v>5</v>
      </c>
      <c r="B307" t="s">
        <v>144</v>
      </c>
      <c r="C307">
        <v>2030</v>
      </c>
      <c r="D307">
        <v>70</v>
      </c>
      <c r="E307">
        <v>3.02</v>
      </c>
      <c r="F307">
        <v>3.15</v>
      </c>
      <c r="G307">
        <v>1.1299999999999999</v>
      </c>
      <c r="H307">
        <v>1.1100000000000001</v>
      </c>
      <c r="I307">
        <v>7.09</v>
      </c>
      <c r="J307">
        <v>2.2799999999999998</v>
      </c>
      <c r="K307">
        <v>3.52</v>
      </c>
      <c r="L307" t="s">
        <v>6</v>
      </c>
      <c r="M307" t="s">
        <v>72</v>
      </c>
    </row>
    <row r="308" spans="1:13" x14ac:dyDescent="0.45">
      <c r="A308" t="s">
        <v>5</v>
      </c>
      <c r="B308" t="s">
        <v>144</v>
      </c>
      <c r="C308">
        <v>2035</v>
      </c>
      <c r="D308">
        <v>70</v>
      </c>
      <c r="E308">
        <v>4.1100000000000003</v>
      </c>
      <c r="F308">
        <v>3.54</v>
      </c>
      <c r="G308">
        <v>1.7</v>
      </c>
      <c r="H308">
        <v>1.66</v>
      </c>
      <c r="I308">
        <v>9.1199999999999992</v>
      </c>
      <c r="J308">
        <v>2.76</v>
      </c>
      <c r="K308">
        <v>5.27</v>
      </c>
      <c r="L308" t="s">
        <v>6</v>
      </c>
      <c r="M308" t="s">
        <v>72</v>
      </c>
    </row>
    <row r="309" spans="1:13" x14ac:dyDescent="0.45">
      <c r="A309" t="s">
        <v>5</v>
      </c>
      <c r="B309" t="s">
        <v>144</v>
      </c>
      <c r="C309">
        <v>2040</v>
      </c>
      <c r="D309">
        <v>70</v>
      </c>
      <c r="E309">
        <v>5.05</v>
      </c>
      <c r="F309">
        <v>4.18</v>
      </c>
      <c r="G309">
        <v>2.72</v>
      </c>
      <c r="H309">
        <v>2.21</v>
      </c>
      <c r="I309">
        <v>11.9</v>
      </c>
      <c r="J309">
        <v>2.66</v>
      </c>
      <c r="K309">
        <v>6.9</v>
      </c>
      <c r="L309" t="s">
        <v>6</v>
      </c>
      <c r="M309" t="s">
        <v>72</v>
      </c>
    </row>
    <row r="310" spans="1:13" x14ac:dyDescent="0.45">
      <c r="A310" t="s">
        <v>5</v>
      </c>
      <c r="B310" t="s">
        <v>144</v>
      </c>
      <c r="C310">
        <v>2045</v>
      </c>
      <c r="D310">
        <v>70</v>
      </c>
      <c r="E310">
        <v>5.76</v>
      </c>
      <c r="F310">
        <v>4.38</v>
      </c>
      <c r="G310">
        <v>3.34</v>
      </c>
      <c r="H310">
        <v>2.23</v>
      </c>
      <c r="I310">
        <v>13.81</v>
      </c>
      <c r="J310">
        <v>2.9</v>
      </c>
      <c r="K310">
        <v>8.02</v>
      </c>
      <c r="L310" t="s">
        <v>6</v>
      </c>
      <c r="M310" t="s">
        <v>72</v>
      </c>
    </row>
    <row r="311" spans="1:13" x14ac:dyDescent="0.45">
      <c r="A311" t="s">
        <v>5</v>
      </c>
      <c r="B311" t="s">
        <v>144</v>
      </c>
      <c r="C311">
        <v>2050</v>
      </c>
      <c r="D311">
        <v>70</v>
      </c>
      <c r="E311">
        <v>6.63</v>
      </c>
      <c r="F311">
        <v>4.8</v>
      </c>
      <c r="G311">
        <v>3.72</v>
      </c>
      <c r="H311">
        <v>2.48</v>
      </c>
      <c r="I311">
        <v>16.84</v>
      </c>
      <c r="J311">
        <v>3.72</v>
      </c>
      <c r="K311">
        <v>8.7899999999999991</v>
      </c>
      <c r="L311" t="s">
        <v>6</v>
      </c>
      <c r="M311" t="s">
        <v>72</v>
      </c>
    </row>
    <row r="312" spans="1:13" x14ac:dyDescent="0.45">
      <c r="A312" t="s">
        <v>7</v>
      </c>
      <c r="B312" t="s">
        <v>144</v>
      </c>
      <c r="C312">
        <v>2020</v>
      </c>
      <c r="D312">
        <v>28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144</v>
      </c>
      <c r="C313">
        <v>2025</v>
      </c>
      <c r="D313">
        <v>28</v>
      </c>
      <c r="E313">
        <v>1.96</v>
      </c>
      <c r="F313">
        <v>1.95</v>
      </c>
      <c r="G313">
        <v>0.27</v>
      </c>
      <c r="H313">
        <v>1.64</v>
      </c>
      <c r="I313">
        <v>2.39</v>
      </c>
      <c r="J313">
        <v>1.64</v>
      </c>
      <c r="K313">
        <v>2.13</v>
      </c>
      <c r="L313" t="s">
        <v>8</v>
      </c>
      <c r="M313" t="s">
        <v>72</v>
      </c>
    </row>
    <row r="314" spans="1:13" x14ac:dyDescent="0.45">
      <c r="A314" t="s">
        <v>7</v>
      </c>
      <c r="B314" t="s">
        <v>144</v>
      </c>
      <c r="C314">
        <v>2030</v>
      </c>
      <c r="D314">
        <v>28</v>
      </c>
      <c r="E314">
        <v>2.96</v>
      </c>
      <c r="F314">
        <v>3.18</v>
      </c>
      <c r="G314">
        <v>0.59</v>
      </c>
      <c r="H314">
        <v>1.81</v>
      </c>
      <c r="I314">
        <v>4.04</v>
      </c>
      <c r="J314">
        <v>2.52</v>
      </c>
      <c r="K314">
        <v>3.24</v>
      </c>
      <c r="L314" t="s">
        <v>8</v>
      </c>
      <c r="M314" t="s">
        <v>72</v>
      </c>
    </row>
    <row r="315" spans="1:13" x14ac:dyDescent="0.45">
      <c r="A315" t="s">
        <v>7</v>
      </c>
      <c r="B315" t="s">
        <v>144</v>
      </c>
      <c r="C315">
        <v>2035</v>
      </c>
      <c r="D315">
        <v>28</v>
      </c>
      <c r="E315">
        <v>3.13</v>
      </c>
      <c r="F315">
        <v>2.98</v>
      </c>
      <c r="G315">
        <v>0.84</v>
      </c>
      <c r="H315">
        <v>1.87</v>
      </c>
      <c r="I315">
        <v>4.99</v>
      </c>
      <c r="J315">
        <v>2.64</v>
      </c>
      <c r="K315">
        <v>3.7</v>
      </c>
      <c r="L315" t="s">
        <v>8</v>
      </c>
      <c r="M315" t="s">
        <v>72</v>
      </c>
    </row>
    <row r="316" spans="1:13" x14ac:dyDescent="0.45">
      <c r="A316" t="s">
        <v>7</v>
      </c>
      <c r="B316" t="s">
        <v>144</v>
      </c>
      <c r="C316">
        <v>2040</v>
      </c>
      <c r="D316">
        <v>28</v>
      </c>
      <c r="E316">
        <v>3.72</v>
      </c>
      <c r="F316">
        <v>3.78</v>
      </c>
      <c r="G316">
        <v>1.22</v>
      </c>
      <c r="H316">
        <v>1.78</v>
      </c>
      <c r="I316">
        <v>7.34</v>
      </c>
      <c r="J316">
        <v>3.29</v>
      </c>
      <c r="K316">
        <v>4.4400000000000004</v>
      </c>
      <c r="L316" t="s">
        <v>8</v>
      </c>
      <c r="M316" t="s">
        <v>72</v>
      </c>
    </row>
    <row r="317" spans="1:13" x14ac:dyDescent="0.45">
      <c r="A317" t="s">
        <v>7</v>
      </c>
      <c r="B317" t="s">
        <v>144</v>
      </c>
      <c r="C317">
        <v>2045</v>
      </c>
      <c r="D317">
        <v>28</v>
      </c>
      <c r="E317">
        <v>4.3499999999999996</v>
      </c>
      <c r="F317">
        <v>4.4400000000000004</v>
      </c>
      <c r="G317">
        <v>1.75</v>
      </c>
      <c r="H317">
        <v>1.87</v>
      </c>
      <c r="I317">
        <v>8.8699999999999992</v>
      </c>
      <c r="J317">
        <v>3.26</v>
      </c>
      <c r="K317">
        <v>5.19</v>
      </c>
      <c r="L317" t="s">
        <v>8</v>
      </c>
      <c r="M317" t="s">
        <v>72</v>
      </c>
    </row>
    <row r="318" spans="1:13" x14ac:dyDescent="0.45">
      <c r="A318" t="s">
        <v>7</v>
      </c>
      <c r="B318" t="s">
        <v>144</v>
      </c>
      <c r="C318">
        <v>2050</v>
      </c>
      <c r="D318">
        <v>28</v>
      </c>
      <c r="E318">
        <v>4.6500000000000004</v>
      </c>
      <c r="F318">
        <v>4.8</v>
      </c>
      <c r="G318">
        <v>1.85</v>
      </c>
      <c r="H318">
        <v>2.29</v>
      </c>
      <c r="I318">
        <v>10.14</v>
      </c>
      <c r="J318">
        <v>3.04</v>
      </c>
      <c r="K318">
        <v>5.69</v>
      </c>
      <c r="L318" t="s">
        <v>8</v>
      </c>
      <c r="M318" t="s">
        <v>72</v>
      </c>
    </row>
    <row r="319" spans="1:13" x14ac:dyDescent="0.45">
      <c r="A319" t="s">
        <v>9</v>
      </c>
      <c r="B319" t="s">
        <v>144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144</v>
      </c>
      <c r="C320">
        <v>2025</v>
      </c>
      <c r="D320">
        <v>15</v>
      </c>
      <c r="E320">
        <v>1.18</v>
      </c>
      <c r="F320">
        <v>1.02</v>
      </c>
      <c r="G320">
        <v>0.35</v>
      </c>
      <c r="H320">
        <v>1.02</v>
      </c>
      <c r="I320">
        <v>2.11</v>
      </c>
      <c r="J320">
        <v>1.02</v>
      </c>
      <c r="K320">
        <v>1.05</v>
      </c>
      <c r="L320" t="s">
        <v>10</v>
      </c>
      <c r="M320" t="s">
        <v>72</v>
      </c>
    </row>
    <row r="321" spans="1:13" x14ac:dyDescent="0.45">
      <c r="A321" t="s">
        <v>9</v>
      </c>
      <c r="B321" t="s">
        <v>144</v>
      </c>
      <c r="C321">
        <v>2030</v>
      </c>
      <c r="D321">
        <v>15</v>
      </c>
      <c r="E321">
        <v>1.35</v>
      </c>
      <c r="F321">
        <v>1.06</v>
      </c>
      <c r="G321">
        <v>0.66</v>
      </c>
      <c r="H321">
        <v>1.03</v>
      </c>
      <c r="I321">
        <v>3.13</v>
      </c>
      <c r="J321">
        <v>1.04</v>
      </c>
      <c r="K321">
        <v>1.1200000000000001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144</v>
      </c>
      <c r="C322">
        <v>2035</v>
      </c>
      <c r="D322">
        <v>15</v>
      </c>
      <c r="E322">
        <v>1.23</v>
      </c>
      <c r="F322">
        <v>1.07</v>
      </c>
      <c r="G322">
        <v>0.34</v>
      </c>
      <c r="H322">
        <v>1.01</v>
      </c>
      <c r="I322">
        <v>2.23</v>
      </c>
      <c r="J322">
        <v>1.06</v>
      </c>
      <c r="K322">
        <v>1.18</v>
      </c>
      <c r="L322" t="s">
        <v>10</v>
      </c>
      <c r="M322" t="s">
        <v>72</v>
      </c>
    </row>
    <row r="323" spans="1:13" x14ac:dyDescent="0.45">
      <c r="A323" t="s">
        <v>9</v>
      </c>
      <c r="B323" t="s">
        <v>144</v>
      </c>
      <c r="C323">
        <v>2040</v>
      </c>
      <c r="D323">
        <v>15</v>
      </c>
      <c r="E323">
        <v>1.1200000000000001</v>
      </c>
      <c r="F323">
        <v>1.08</v>
      </c>
      <c r="G323">
        <v>0.16</v>
      </c>
      <c r="H323">
        <v>0.86</v>
      </c>
      <c r="I323">
        <v>1.48</v>
      </c>
      <c r="J323">
        <v>1.02</v>
      </c>
      <c r="K323">
        <v>1.2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144</v>
      </c>
      <c r="C324">
        <v>2045</v>
      </c>
      <c r="D324">
        <v>15</v>
      </c>
      <c r="E324">
        <v>1.1499999999999999</v>
      </c>
      <c r="F324">
        <v>1.1000000000000001</v>
      </c>
      <c r="G324">
        <v>0.23</v>
      </c>
      <c r="H324">
        <v>0.85</v>
      </c>
      <c r="I324">
        <v>1.81</v>
      </c>
      <c r="J324">
        <v>1</v>
      </c>
      <c r="K324">
        <v>1.27</v>
      </c>
      <c r="L324" t="s">
        <v>10</v>
      </c>
      <c r="M324" t="s">
        <v>72</v>
      </c>
    </row>
    <row r="325" spans="1:13" x14ac:dyDescent="0.45">
      <c r="A325" t="s">
        <v>9</v>
      </c>
      <c r="B325" t="s">
        <v>144</v>
      </c>
      <c r="C325">
        <v>2050</v>
      </c>
      <c r="D325">
        <v>15</v>
      </c>
      <c r="E325">
        <v>1.21</v>
      </c>
      <c r="F325">
        <v>1.1200000000000001</v>
      </c>
      <c r="G325">
        <v>0.37</v>
      </c>
      <c r="H325">
        <v>0.84</v>
      </c>
      <c r="I325">
        <v>2.38</v>
      </c>
      <c r="J325">
        <v>0.98</v>
      </c>
      <c r="K325">
        <v>1.32</v>
      </c>
      <c r="L325" t="s">
        <v>10</v>
      </c>
      <c r="M325" t="s">
        <v>72</v>
      </c>
    </row>
    <row r="326" spans="1:13" x14ac:dyDescent="0.45">
      <c r="A326" t="s">
        <v>0</v>
      </c>
      <c r="B326" t="s">
        <v>144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144</v>
      </c>
      <c r="C327">
        <v>2025</v>
      </c>
      <c r="D327">
        <v>7</v>
      </c>
      <c r="E327">
        <v>1.05</v>
      </c>
      <c r="F327">
        <v>1.05</v>
      </c>
      <c r="G327">
        <v>0</v>
      </c>
      <c r="H327">
        <v>1.05</v>
      </c>
      <c r="I327">
        <v>1.05</v>
      </c>
      <c r="J327">
        <v>1.05</v>
      </c>
      <c r="K327">
        <v>1.05</v>
      </c>
      <c r="L327" t="s">
        <v>1</v>
      </c>
      <c r="M327" t="s">
        <v>73</v>
      </c>
    </row>
    <row r="328" spans="1:13" x14ac:dyDescent="0.45">
      <c r="A328" t="s">
        <v>0</v>
      </c>
      <c r="B328" t="s">
        <v>144</v>
      </c>
      <c r="C328">
        <v>2030</v>
      </c>
      <c r="D328">
        <v>7</v>
      </c>
      <c r="E328">
        <v>1.1100000000000001</v>
      </c>
      <c r="F328">
        <v>1.1100000000000001</v>
      </c>
      <c r="G328">
        <v>0</v>
      </c>
      <c r="H328">
        <v>1.1000000000000001</v>
      </c>
      <c r="I328">
        <v>1.1100000000000001</v>
      </c>
      <c r="J328">
        <v>1.1100000000000001</v>
      </c>
      <c r="K328">
        <v>1.1100000000000001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144</v>
      </c>
      <c r="C329">
        <v>2035</v>
      </c>
      <c r="D329">
        <v>7</v>
      </c>
      <c r="E329">
        <v>1.1599999999999999</v>
      </c>
      <c r="F329">
        <v>1.17</v>
      </c>
      <c r="G329">
        <v>0.01</v>
      </c>
      <c r="H329">
        <v>1.1499999999999999</v>
      </c>
      <c r="I329">
        <v>1.17</v>
      </c>
      <c r="J329">
        <v>1.1599999999999999</v>
      </c>
      <c r="K329">
        <v>1.17</v>
      </c>
      <c r="L329" t="s">
        <v>1</v>
      </c>
      <c r="M329" t="s">
        <v>73</v>
      </c>
    </row>
    <row r="330" spans="1:13" x14ac:dyDescent="0.45">
      <c r="A330" t="s">
        <v>0</v>
      </c>
      <c r="B330" t="s">
        <v>144</v>
      </c>
      <c r="C330">
        <v>2040</v>
      </c>
      <c r="D330">
        <v>7</v>
      </c>
      <c r="E330">
        <v>1.1499999999999999</v>
      </c>
      <c r="F330">
        <v>1.17</v>
      </c>
      <c r="G330">
        <v>0.04</v>
      </c>
      <c r="H330">
        <v>1.1000000000000001</v>
      </c>
      <c r="I330">
        <v>1.19</v>
      </c>
      <c r="J330">
        <v>1.1200000000000001</v>
      </c>
      <c r="K330">
        <v>1.19</v>
      </c>
      <c r="L330" t="s">
        <v>1</v>
      </c>
      <c r="M330" t="s">
        <v>73</v>
      </c>
    </row>
    <row r="331" spans="1:13" x14ac:dyDescent="0.45">
      <c r="A331" t="s">
        <v>0</v>
      </c>
      <c r="B331" t="s">
        <v>144</v>
      </c>
      <c r="C331">
        <v>2045</v>
      </c>
      <c r="D331">
        <v>7</v>
      </c>
      <c r="E331">
        <v>1.1000000000000001</v>
      </c>
      <c r="F331">
        <v>1.1100000000000001</v>
      </c>
      <c r="G331">
        <v>0.03</v>
      </c>
      <c r="H331">
        <v>1.05</v>
      </c>
      <c r="I331">
        <v>1.1399999999999999</v>
      </c>
      <c r="J331">
        <v>1.08</v>
      </c>
      <c r="K331">
        <v>1.1299999999999999</v>
      </c>
      <c r="L331" t="s">
        <v>1</v>
      </c>
      <c r="M331" t="s">
        <v>73</v>
      </c>
    </row>
    <row r="332" spans="1:13" x14ac:dyDescent="0.45">
      <c r="A332" t="s">
        <v>0</v>
      </c>
      <c r="B332" t="s">
        <v>144</v>
      </c>
      <c r="C332">
        <v>2050</v>
      </c>
      <c r="D332">
        <v>7</v>
      </c>
      <c r="E332">
        <v>1.06</v>
      </c>
      <c r="F332">
        <v>1.06</v>
      </c>
      <c r="G332">
        <v>0.04</v>
      </c>
      <c r="H332">
        <v>1</v>
      </c>
      <c r="I332">
        <v>1.1399999999999999</v>
      </c>
      <c r="J332">
        <v>1.04</v>
      </c>
      <c r="K332">
        <v>1.08</v>
      </c>
      <c r="L332" t="s">
        <v>1</v>
      </c>
      <c r="M332" t="s">
        <v>73</v>
      </c>
    </row>
    <row r="333" spans="1:13" x14ac:dyDescent="0.45">
      <c r="A333" t="s">
        <v>2</v>
      </c>
      <c r="B333" t="s">
        <v>144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144</v>
      </c>
      <c r="C334">
        <v>2025</v>
      </c>
      <c r="D334">
        <v>7</v>
      </c>
      <c r="E334">
        <v>1.05</v>
      </c>
      <c r="F334">
        <v>1.05</v>
      </c>
      <c r="G334">
        <v>0</v>
      </c>
      <c r="H334">
        <v>1.05</v>
      </c>
      <c r="I334">
        <v>1.06</v>
      </c>
      <c r="J334">
        <v>1.05</v>
      </c>
      <c r="K334">
        <v>1.05</v>
      </c>
      <c r="L334" t="s">
        <v>3</v>
      </c>
      <c r="M334" t="s">
        <v>73</v>
      </c>
    </row>
    <row r="335" spans="1:13" x14ac:dyDescent="0.45">
      <c r="A335" t="s">
        <v>2</v>
      </c>
      <c r="B335" t="s">
        <v>144</v>
      </c>
      <c r="C335">
        <v>2030</v>
      </c>
      <c r="D335">
        <v>7</v>
      </c>
      <c r="E335">
        <v>1.1100000000000001</v>
      </c>
      <c r="F335">
        <v>1.1100000000000001</v>
      </c>
      <c r="G335">
        <v>0</v>
      </c>
      <c r="H335">
        <v>1.1000000000000001</v>
      </c>
      <c r="I335">
        <v>1.1100000000000001</v>
      </c>
      <c r="J335">
        <v>1.1100000000000001</v>
      </c>
      <c r="K335">
        <v>1.1100000000000001</v>
      </c>
      <c r="L335" t="s">
        <v>3</v>
      </c>
      <c r="M335" t="s">
        <v>73</v>
      </c>
    </row>
    <row r="336" spans="1:13" x14ac:dyDescent="0.45">
      <c r="A336" t="s">
        <v>2</v>
      </c>
      <c r="B336" t="s">
        <v>144</v>
      </c>
      <c r="C336">
        <v>2035</v>
      </c>
      <c r="D336">
        <v>7</v>
      </c>
      <c r="E336">
        <v>1.1599999999999999</v>
      </c>
      <c r="F336">
        <v>1.1599999999999999</v>
      </c>
      <c r="G336">
        <v>0.01</v>
      </c>
      <c r="H336">
        <v>1.1299999999999999</v>
      </c>
      <c r="I336">
        <v>1.17</v>
      </c>
      <c r="J336">
        <v>1.1499999999999999</v>
      </c>
      <c r="K336">
        <v>1.1599999999999999</v>
      </c>
      <c r="L336" t="s">
        <v>3</v>
      </c>
      <c r="M336" t="s">
        <v>73</v>
      </c>
    </row>
    <row r="337" spans="1:13" x14ac:dyDescent="0.45">
      <c r="A337" t="s">
        <v>2</v>
      </c>
      <c r="B337" t="s">
        <v>144</v>
      </c>
      <c r="C337">
        <v>2040</v>
      </c>
      <c r="D337">
        <v>7</v>
      </c>
      <c r="E337">
        <v>1.1499999999999999</v>
      </c>
      <c r="F337">
        <v>1.1499999999999999</v>
      </c>
      <c r="G337">
        <v>0.05</v>
      </c>
      <c r="H337">
        <v>1.0900000000000001</v>
      </c>
      <c r="I337">
        <v>1.22</v>
      </c>
      <c r="J337">
        <v>1.1100000000000001</v>
      </c>
      <c r="K337">
        <v>1.18</v>
      </c>
      <c r="L337" t="s">
        <v>3</v>
      </c>
      <c r="M337" t="s">
        <v>73</v>
      </c>
    </row>
    <row r="338" spans="1:13" x14ac:dyDescent="0.45">
      <c r="A338" t="s">
        <v>2</v>
      </c>
      <c r="B338" t="s">
        <v>144</v>
      </c>
      <c r="C338">
        <v>2045</v>
      </c>
      <c r="D338">
        <v>7</v>
      </c>
      <c r="E338">
        <v>1.19</v>
      </c>
      <c r="F338">
        <v>1.1599999999999999</v>
      </c>
      <c r="G338">
        <v>0.05</v>
      </c>
      <c r="H338">
        <v>1.1399999999999999</v>
      </c>
      <c r="I338">
        <v>1.28</v>
      </c>
      <c r="J338">
        <v>1.1499999999999999</v>
      </c>
      <c r="K338">
        <v>1.22</v>
      </c>
      <c r="L338" t="s">
        <v>3</v>
      </c>
      <c r="M338" t="s">
        <v>73</v>
      </c>
    </row>
    <row r="339" spans="1:13" x14ac:dyDescent="0.45">
      <c r="A339" t="s">
        <v>2</v>
      </c>
      <c r="B339" t="s">
        <v>144</v>
      </c>
      <c r="C339">
        <v>2050</v>
      </c>
      <c r="D339">
        <v>7</v>
      </c>
      <c r="E339">
        <v>1.25</v>
      </c>
      <c r="F339">
        <v>1.22</v>
      </c>
      <c r="G339">
        <v>0.06</v>
      </c>
      <c r="H339">
        <v>1.2</v>
      </c>
      <c r="I339">
        <v>1.35</v>
      </c>
      <c r="J339">
        <v>1.21</v>
      </c>
      <c r="K339">
        <v>1.29</v>
      </c>
      <c r="L339" t="s">
        <v>3</v>
      </c>
      <c r="M339" t="s">
        <v>73</v>
      </c>
    </row>
    <row r="340" spans="1:13" x14ac:dyDescent="0.45">
      <c r="A340" t="s">
        <v>5</v>
      </c>
      <c r="B340" t="s">
        <v>144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144</v>
      </c>
      <c r="C341">
        <v>2025</v>
      </c>
      <c r="D341">
        <v>18</v>
      </c>
      <c r="E341">
        <v>0.98</v>
      </c>
      <c r="F341">
        <v>1.05</v>
      </c>
      <c r="G341">
        <v>0.09</v>
      </c>
      <c r="H341">
        <v>0.82</v>
      </c>
      <c r="I341">
        <v>1.06</v>
      </c>
      <c r="J341">
        <v>0.87</v>
      </c>
      <c r="K341">
        <v>1.05</v>
      </c>
      <c r="L341" t="s">
        <v>6</v>
      </c>
      <c r="M341" t="s">
        <v>73</v>
      </c>
    </row>
    <row r="342" spans="1:13" x14ac:dyDescent="0.45">
      <c r="A342" t="s">
        <v>5</v>
      </c>
      <c r="B342" t="s">
        <v>144</v>
      </c>
      <c r="C342">
        <v>2030</v>
      </c>
      <c r="D342">
        <v>18</v>
      </c>
      <c r="E342">
        <v>1.1499999999999999</v>
      </c>
      <c r="F342">
        <v>1.1100000000000001</v>
      </c>
      <c r="G342">
        <v>0.1</v>
      </c>
      <c r="H342">
        <v>0.99</v>
      </c>
      <c r="I342">
        <v>1.4</v>
      </c>
      <c r="J342">
        <v>1.1100000000000001</v>
      </c>
      <c r="K342">
        <v>1.17</v>
      </c>
      <c r="L342" t="s">
        <v>6</v>
      </c>
      <c r="M342" t="s">
        <v>73</v>
      </c>
    </row>
    <row r="343" spans="1:13" x14ac:dyDescent="0.45">
      <c r="A343" t="s">
        <v>5</v>
      </c>
      <c r="B343" t="s">
        <v>144</v>
      </c>
      <c r="C343">
        <v>2035</v>
      </c>
      <c r="D343">
        <v>18</v>
      </c>
      <c r="E343">
        <v>1.34</v>
      </c>
      <c r="F343">
        <v>1.25</v>
      </c>
      <c r="G343">
        <v>0.24</v>
      </c>
      <c r="H343">
        <v>1.0900000000000001</v>
      </c>
      <c r="I343">
        <v>1.83</v>
      </c>
      <c r="J343">
        <v>1.1499999999999999</v>
      </c>
      <c r="K343">
        <v>1.54</v>
      </c>
      <c r="L343" t="s">
        <v>6</v>
      </c>
      <c r="M343" t="s">
        <v>73</v>
      </c>
    </row>
    <row r="344" spans="1:13" x14ac:dyDescent="0.45">
      <c r="A344" t="s">
        <v>5</v>
      </c>
      <c r="B344" t="s">
        <v>144</v>
      </c>
      <c r="C344">
        <v>2040</v>
      </c>
      <c r="D344">
        <v>18</v>
      </c>
      <c r="E344">
        <v>1.52</v>
      </c>
      <c r="F344">
        <v>1.35</v>
      </c>
      <c r="G344">
        <v>0.48</v>
      </c>
      <c r="H344">
        <v>1.03</v>
      </c>
      <c r="I344">
        <v>2.4500000000000002</v>
      </c>
      <c r="J344">
        <v>1.08</v>
      </c>
      <c r="K344">
        <v>1.85</v>
      </c>
      <c r="L344" t="s">
        <v>6</v>
      </c>
      <c r="M344" t="s">
        <v>73</v>
      </c>
    </row>
    <row r="345" spans="1:13" x14ac:dyDescent="0.45">
      <c r="A345" t="s">
        <v>5</v>
      </c>
      <c r="B345" t="s">
        <v>144</v>
      </c>
      <c r="C345">
        <v>2045</v>
      </c>
      <c r="D345">
        <v>18</v>
      </c>
      <c r="E345">
        <v>1.77</v>
      </c>
      <c r="F345">
        <v>1.55</v>
      </c>
      <c r="G345">
        <v>0.82</v>
      </c>
      <c r="H345">
        <v>0.99</v>
      </c>
      <c r="I345">
        <v>3.43</v>
      </c>
      <c r="J345">
        <v>1.04</v>
      </c>
      <c r="K345">
        <v>2.23</v>
      </c>
      <c r="L345" t="s">
        <v>6</v>
      </c>
      <c r="M345" t="s">
        <v>73</v>
      </c>
    </row>
    <row r="346" spans="1:13" x14ac:dyDescent="0.45">
      <c r="A346" t="s">
        <v>5</v>
      </c>
      <c r="B346" t="s">
        <v>144</v>
      </c>
      <c r="C346">
        <v>2050</v>
      </c>
      <c r="D346">
        <v>18</v>
      </c>
      <c r="E346">
        <v>2.1</v>
      </c>
      <c r="F346">
        <v>1.8</v>
      </c>
      <c r="G346">
        <v>1.19</v>
      </c>
      <c r="H346">
        <v>0.96</v>
      </c>
      <c r="I346">
        <v>4.32</v>
      </c>
      <c r="J346">
        <v>1.01</v>
      </c>
      <c r="K346">
        <v>2.85</v>
      </c>
      <c r="L346" t="s">
        <v>6</v>
      </c>
      <c r="M346" t="s">
        <v>73</v>
      </c>
    </row>
    <row r="347" spans="1:13" x14ac:dyDescent="0.45">
      <c r="A347" t="s">
        <v>7</v>
      </c>
      <c r="B347" t="s">
        <v>144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144</v>
      </c>
      <c r="C348">
        <v>2025</v>
      </c>
      <c r="D348">
        <v>8</v>
      </c>
      <c r="E348">
        <v>0.83</v>
      </c>
      <c r="F348">
        <v>0.84</v>
      </c>
      <c r="G348">
        <v>0.01</v>
      </c>
      <c r="H348">
        <v>0.82</v>
      </c>
      <c r="I348">
        <v>0.85</v>
      </c>
      <c r="J348">
        <v>0.82</v>
      </c>
      <c r="K348">
        <v>0.84</v>
      </c>
      <c r="L348" t="s">
        <v>8</v>
      </c>
      <c r="M348" t="s">
        <v>73</v>
      </c>
    </row>
    <row r="349" spans="1:13" x14ac:dyDescent="0.45">
      <c r="A349" t="s">
        <v>7</v>
      </c>
      <c r="B349" t="s">
        <v>144</v>
      </c>
      <c r="C349">
        <v>2030</v>
      </c>
      <c r="D349">
        <v>8</v>
      </c>
      <c r="E349">
        <v>1.17</v>
      </c>
      <c r="F349">
        <v>1.17</v>
      </c>
      <c r="G349">
        <v>0.03</v>
      </c>
      <c r="H349">
        <v>1.1399999999999999</v>
      </c>
      <c r="I349">
        <v>1.24</v>
      </c>
      <c r="J349">
        <v>1.17</v>
      </c>
      <c r="K349">
        <v>1.17</v>
      </c>
      <c r="L349" t="s">
        <v>8</v>
      </c>
      <c r="M349" t="s">
        <v>73</v>
      </c>
    </row>
    <row r="350" spans="1:13" x14ac:dyDescent="0.45">
      <c r="A350" t="s">
        <v>7</v>
      </c>
      <c r="B350" t="s">
        <v>144</v>
      </c>
      <c r="C350">
        <v>2035</v>
      </c>
      <c r="D350">
        <v>8</v>
      </c>
      <c r="E350">
        <v>1.25</v>
      </c>
      <c r="F350">
        <v>1.26</v>
      </c>
      <c r="G350">
        <v>0.08</v>
      </c>
      <c r="H350">
        <v>1.1399999999999999</v>
      </c>
      <c r="I350">
        <v>1.35</v>
      </c>
      <c r="J350">
        <v>1.2</v>
      </c>
      <c r="K350">
        <v>1.3</v>
      </c>
      <c r="L350" t="s">
        <v>8</v>
      </c>
      <c r="M350" t="s">
        <v>73</v>
      </c>
    </row>
    <row r="351" spans="1:13" x14ac:dyDescent="0.45">
      <c r="A351" t="s">
        <v>7</v>
      </c>
      <c r="B351" t="s">
        <v>144</v>
      </c>
      <c r="C351">
        <v>2040</v>
      </c>
      <c r="D351">
        <v>8</v>
      </c>
      <c r="E351">
        <v>1.24</v>
      </c>
      <c r="F351">
        <v>1.23</v>
      </c>
      <c r="G351">
        <v>0.1</v>
      </c>
      <c r="H351">
        <v>1.1100000000000001</v>
      </c>
      <c r="I351">
        <v>1.41</v>
      </c>
      <c r="J351">
        <v>1.19</v>
      </c>
      <c r="K351">
        <v>1.3</v>
      </c>
      <c r="L351" t="s">
        <v>8</v>
      </c>
      <c r="M351" t="s">
        <v>73</v>
      </c>
    </row>
    <row r="352" spans="1:13" x14ac:dyDescent="0.45">
      <c r="A352" t="s">
        <v>7</v>
      </c>
      <c r="B352" t="s">
        <v>144</v>
      </c>
      <c r="C352">
        <v>2045</v>
      </c>
      <c r="D352">
        <v>8</v>
      </c>
      <c r="E352">
        <v>1.51</v>
      </c>
      <c r="F352">
        <v>1.52</v>
      </c>
      <c r="G352">
        <v>0.13</v>
      </c>
      <c r="H352">
        <v>1.31</v>
      </c>
      <c r="I352">
        <v>1.67</v>
      </c>
      <c r="J352">
        <v>1.4</v>
      </c>
      <c r="K352">
        <v>1.6</v>
      </c>
      <c r="L352" t="s">
        <v>8</v>
      </c>
      <c r="M352" t="s">
        <v>73</v>
      </c>
    </row>
    <row r="353" spans="1:13" x14ac:dyDescent="0.45">
      <c r="A353" t="s">
        <v>7</v>
      </c>
      <c r="B353" t="s">
        <v>144</v>
      </c>
      <c r="C353">
        <v>2050</v>
      </c>
      <c r="D353">
        <v>8</v>
      </c>
      <c r="E353">
        <v>1.94</v>
      </c>
      <c r="F353">
        <v>1.94</v>
      </c>
      <c r="G353">
        <v>0.27</v>
      </c>
      <c r="H353">
        <v>1.5</v>
      </c>
      <c r="I353">
        <v>2.29</v>
      </c>
      <c r="J353">
        <v>1.78</v>
      </c>
      <c r="K353">
        <v>2.12</v>
      </c>
      <c r="L353" t="s">
        <v>8</v>
      </c>
      <c r="M353" t="s">
        <v>73</v>
      </c>
    </row>
    <row r="354" spans="1:13" x14ac:dyDescent="0.45">
      <c r="A354" t="s">
        <v>9</v>
      </c>
      <c r="B354" t="s">
        <v>144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144</v>
      </c>
      <c r="C355">
        <v>2025</v>
      </c>
      <c r="D355">
        <v>10</v>
      </c>
      <c r="E355">
        <v>0.96</v>
      </c>
      <c r="F355">
        <v>0.96</v>
      </c>
      <c r="G355">
        <v>0.09</v>
      </c>
      <c r="H355">
        <v>0.82</v>
      </c>
      <c r="I355">
        <v>1.05</v>
      </c>
      <c r="J355">
        <v>0.94</v>
      </c>
      <c r="K355">
        <v>1.05</v>
      </c>
      <c r="L355" t="s">
        <v>10</v>
      </c>
      <c r="M355" t="s">
        <v>73</v>
      </c>
    </row>
    <row r="356" spans="1:13" x14ac:dyDescent="0.45">
      <c r="A356" t="s">
        <v>9</v>
      </c>
      <c r="B356" t="s">
        <v>144</v>
      </c>
      <c r="C356">
        <v>2030</v>
      </c>
      <c r="D356">
        <v>10</v>
      </c>
      <c r="E356">
        <v>1.03</v>
      </c>
      <c r="F356">
        <v>1.04</v>
      </c>
      <c r="G356">
        <v>0.09</v>
      </c>
      <c r="H356">
        <v>0.9</v>
      </c>
      <c r="I356">
        <v>1.17</v>
      </c>
      <c r="J356">
        <v>0.96</v>
      </c>
      <c r="K356">
        <v>1.1100000000000001</v>
      </c>
      <c r="L356" t="s">
        <v>10</v>
      </c>
      <c r="M356" t="s">
        <v>73</v>
      </c>
    </row>
    <row r="357" spans="1:13" x14ac:dyDescent="0.45">
      <c r="A357" t="s">
        <v>9</v>
      </c>
      <c r="B357" t="s">
        <v>144</v>
      </c>
      <c r="C357">
        <v>2035</v>
      </c>
      <c r="D357">
        <v>10</v>
      </c>
      <c r="E357">
        <v>1.03</v>
      </c>
      <c r="F357">
        <v>1.04</v>
      </c>
      <c r="G357">
        <v>7.0000000000000007E-2</v>
      </c>
      <c r="H357">
        <v>0.89</v>
      </c>
      <c r="I357">
        <v>1.1100000000000001</v>
      </c>
      <c r="J357">
        <v>0.99</v>
      </c>
      <c r="K357">
        <v>1.0900000000000001</v>
      </c>
      <c r="L357" t="s">
        <v>10</v>
      </c>
      <c r="M357" t="s">
        <v>73</v>
      </c>
    </row>
    <row r="358" spans="1:13" x14ac:dyDescent="0.45">
      <c r="A358" t="s">
        <v>9</v>
      </c>
      <c r="B358" t="s">
        <v>144</v>
      </c>
      <c r="C358">
        <v>2040</v>
      </c>
      <c r="D358">
        <v>10</v>
      </c>
      <c r="E358">
        <v>0.99</v>
      </c>
      <c r="F358">
        <v>0.98</v>
      </c>
      <c r="G358">
        <v>0.05</v>
      </c>
      <c r="H358">
        <v>0.9</v>
      </c>
      <c r="I358">
        <v>1.04</v>
      </c>
      <c r="J358">
        <v>0.97</v>
      </c>
      <c r="K358">
        <v>1.03</v>
      </c>
      <c r="L358" t="s">
        <v>10</v>
      </c>
      <c r="M358" t="s">
        <v>73</v>
      </c>
    </row>
    <row r="359" spans="1:13" x14ac:dyDescent="0.45">
      <c r="A359" t="s">
        <v>9</v>
      </c>
      <c r="B359" t="s">
        <v>144</v>
      </c>
      <c r="C359">
        <v>2045</v>
      </c>
      <c r="D359">
        <v>10</v>
      </c>
      <c r="E359">
        <v>0.99</v>
      </c>
      <c r="F359">
        <v>0.99</v>
      </c>
      <c r="G359">
        <v>0.05</v>
      </c>
      <c r="H359">
        <v>0.9</v>
      </c>
      <c r="I359">
        <v>1.07</v>
      </c>
      <c r="J359">
        <v>0.98</v>
      </c>
      <c r="K359">
        <v>1</v>
      </c>
      <c r="L359" t="s">
        <v>10</v>
      </c>
      <c r="M359" t="s">
        <v>73</v>
      </c>
    </row>
    <row r="360" spans="1:13" x14ac:dyDescent="0.45">
      <c r="A360" t="s">
        <v>9</v>
      </c>
      <c r="B360" t="s">
        <v>144</v>
      </c>
      <c r="C360">
        <v>2050</v>
      </c>
      <c r="D360">
        <v>10</v>
      </c>
      <c r="E360">
        <v>1</v>
      </c>
      <c r="F360">
        <v>1</v>
      </c>
      <c r="G360">
        <v>7.0000000000000007E-2</v>
      </c>
      <c r="H360">
        <v>0.85</v>
      </c>
      <c r="I360">
        <v>1.0900000000000001</v>
      </c>
      <c r="J360">
        <v>0.97</v>
      </c>
      <c r="K360">
        <v>1.06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M24"/>
  <sheetViews>
    <sheetView workbookViewId="0">
      <selection activeCell="H21" sqref="H21"/>
    </sheetView>
  </sheetViews>
  <sheetFormatPr defaultRowHeight="14.25" x14ac:dyDescent="0.45"/>
  <sheetData>
    <row r="10" spans="1:7" x14ac:dyDescent="0.45">
      <c r="A10" t="str">
        <f>IFERROR(Veda!D5,"ts_12t")</f>
        <v>ts_annual</v>
      </c>
      <c r="B10" s="15"/>
      <c r="C10" s="15" t="s">
        <v>212</v>
      </c>
      <c r="D10" t="s">
        <v>106</v>
      </c>
      <c r="F10" t="s">
        <v>212</v>
      </c>
      <c r="G10" t="s">
        <v>131</v>
      </c>
    </row>
    <row r="11" spans="1:7" x14ac:dyDescent="0.45">
      <c r="B11" s="15"/>
      <c r="C11" s="15" t="s">
        <v>213</v>
      </c>
      <c r="D11" t="s">
        <v>160</v>
      </c>
      <c r="F11" t="s">
        <v>213</v>
      </c>
      <c r="G11" t="s">
        <v>237</v>
      </c>
    </row>
    <row r="12" spans="1:7" x14ac:dyDescent="0.45">
      <c r="B12" s="15"/>
      <c r="C12" s="15" t="s">
        <v>214</v>
      </c>
      <c r="D12" t="s">
        <v>160</v>
      </c>
      <c r="F12" t="s">
        <v>214</v>
      </c>
      <c r="G12" t="s">
        <v>238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BD93-61BC-41F7-9559-C95A08DAEB8E}">
  <dimension ref="A9:AN3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106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158</v>
      </c>
      <c r="L10" t="s">
        <v>30</v>
      </c>
      <c r="N10" t="s">
        <v>13</v>
      </c>
      <c r="O10" t="s">
        <v>121</v>
      </c>
      <c r="P10" t="s">
        <v>158</v>
      </c>
      <c r="Q10" t="s">
        <v>30</v>
      </c>
      <c r="S10" t="s">
        <v>13</v>
      </c>
      <c r="T10" t="s">
        <v>121</v>
      </c>
      <c r="U10" t="s">
        <v>158</v>
      </c>
      <c r="V10" t="s">
        <v>30</v>
      </c>
      <c r="X10" t="s">
        <v>211</v>
      </c>
      <c r="Y10" t="s">
        <v>158</v>
      </c>
      <c r="Z10" t="s">
        <v>121</v>
      </c>
      <c r="AA10" t="s">
        <v>13</v>
      </c>
      <c r="AC10" t="s">
        <v>13</v>
      </c>
      <c r="AD10" t="s">
        <v>121</v>
      </c>
      <c r="AE10" t="s">
        <v>158</v>
      </c>
      <c r="AG10" t="s">
        <v>13</v>
      </c>
      <c r="AH10" t="s">
        <v>121</v>
      </c>
      <c r="AI10" t="s">
        <v>215</v>
      </c>
      <c r="AK10" t="s">
        <v>47</v>
      </c>
      <c r="AL10" t="s">
        <v>121</v>
      </c>
      <c r="AM10" t="s">
        <v>216</v>
      </c>
      <c r="AN10" t="s">
        <v>217</v>
      </c>
    </row>
    <row r="11" spans="1:40" x14ac:dyDescent="0.45">
      <c r="A11" t="str">
        <f>IFERROR(IF(Veda!D5=A10,"ok","x"),"")</f>
        <v>ok</v>
      </c>
      <c r="C11" t="s">
        <v>155</v>
      </c>
      <c r="D11" t="s">
        <v>156</v>
      </c>
      <c r="E11" t="s">
        <v>157</v>
      </c>
      <c r="F11" t="s">
        <v>155</v>
      </c>
      <c r="G11" t="s">
        <v>156</v>
      </c>
      <c r="I11" t="s">
        <v>159</v>
      </c>
      <c r="J11" t="s">
        <v>160</v>
      </c>
      <c r="K11">
        <v>0.99999999999999867</v>
      </c>
      <c r="L11" t="s">
        <v>161</v>
      </c>
      <c r="N11" t="s">
        <v>181</v>
      </c>
      <c r="O11" t="s">
        <v>160</v>
      </c>
      <c r="P11">
        <v>0.99999999999999711</v>
      </c>
      <c r="Q11" t="s">
        <v>161</v>
      </c>
      <c r="S11" t="s">
        <v>201</v>
      </c>
      <c r="T11" t="s">
        <v>160</v>
      </c>
      <c r="U11">
        <v>0.99999999999999722</v>
      </c>
      <c r="V11" t="s">
        <v>161</v>
      </c>
      <c r="X11">
        <v>1</v>
      </c>
      <c r="Y11">
        <v>1.0000000000000002</v>
      </c>
      <c r="Z11" t="s">
        <v>160</v>
      </c>
      <c r="AA11" t="s">
        <v>25</v>
      </c>
      <c r="AC11" t="s">
        <v>22</v>
      </c>
      <c r="AD11" t="s">
        <v>160</v>
      </c>
      <c r="AE11">
        <v>1</v>
      </c>
      <c r="AG11" t="s">
        <v>96</v>
      </c>
      <c r="AH11" t="s">
        <v>160</v>
      </c>
      <c r="AI11">
        <v>0.22677421853655755</v>
      </c>
      <c r="AK11">
        <v>2020</v>
      </c>
      <c r="AL11" t="s">
        <v>155</v>
      </c>
      <c r="AM11">
        <v>0.18843767577479634</v>
      </c>
      <c r="AN11" t="s">
        <v>218</v>
      </c>
    </row>
    <row r="12" spans="1:40" x14ac:dyDescent="0.45">
      <c r="I12" t="s">
        <v>162</v>
      </c>
      <c r="J12" t="s">
        <v>160</v>
      </c>
      <c r="K12">
        <v>1</v>
      </c>
      <c r="L12" t="s">
        <v>161</v>
      </c>
      <c r="N12" t="s">
        <v>182</v>
      </c>
      <c r="O12" t="s">
        <v>160</v>
      </c>
      <c r="P12">
        <v>0.999999999999996</v>
      </c>
      <c r="Q12" t="s">
        <v>161</v>
      </c>
      <c r="S12" t="s">
        <v>202</v>
      </c>
      <c r="T12" t="s">
        <v>160</v>
      </c>
      <c r="U12">
        <v>1.0000000000000042</v>
      </c>
      <c r="V12" t="s">
        <v>161</v>
      </c>
      <c r="AC12" t="s">
        <v>19</v>
      </c>
      <c r="AD12" t="s">
        <v>160</v>
      </c>
      <c r="AE12">
        <v>1</v>
      </c>
      <c r="AK12">
        <v>2021</v>
      </c>
      <c r="AL12" t="s">
        <v>155</v>
      </c>
      <c r="AM12">
        <v>0.21560142735733026</v>
      </c>
      <c r="AN12" t="s">
        <v>218</v>
      </c>
    </row>
    <row r="13" spans="1:40" x14ac:dyDescent="0.45">
      <c r="I13" t="s">
        <v>163</v>
      </c>
      <c r="J13" t="s">
        <v>160</v>
      </c>
      <c r="K13">
        <v>0.99999999999999789</v>
      </c>
      <c r="L13" t="s">
        <v>161</v>
      </c>
      <c r="N13" t="s">
        <v>183</v>
      </c>
      <c r="O13" t="s">
        <v>160</v>
      </c>
      <c r="P13">
        <v>1.0000000000000027</v>
      </c>
      <c r="Q13" t="s">
        <v>161</v>
      </c>
      <c r="S13" t="s">
        <v>203</v>
      </c>
      <c r="T13" t="s">
        <v>160</v>
      </c>
      <c r="U13">
        <v>1.0000000000000004</v>
      </c>
      <c r="V13" t="s">
        <v>161</v>
      </c>
      <c r="AK13">
        <v>2022</v>
      </c>
      <c r="AL13" t="s">
        <v>155</v>
      </c>
      <c r="AM13">
        <v>0.18139392213618674</v>
      </c>
      <c r="AN13" t="s">
        <v>218</v>
      </c>
    </row>
    <row r="14" spans="1:40" x14ac:dyDescent="0.45">
      <c r="I14" t="s">
        <v>164</v>
      </c>
      <c r="J14" t="s">
        <v>160</v>
      </c>
      <c r="K14">
        <v>1.0000000000000002</v>
      </c>
      <c r="L14" t="s">
        <v>161</v>
      </c>
      <c r="N14" t="s">
        <v>184</v>
      </c>
      <c r="O14" t="s">
        <v>160</v>
      </c>
      <c r="P14">
        <v>0.99999999999999978</v>
      </c>
      <c r="Q14" t="s">
        <v>161</v>
      </c>
      <c r="S14" t="s">
        <v>204</v>
      </c>
      <c r="T14" t="s">
        <v>160</v>
      </c>
      <c r="U14">
        <v>1.0000000000000018</v>
      </c>
      <c r="V14" t="s">
        <v>161</v>
      </c>
      <c r="AK14">
        <v>2025</v>
      </c>
      <c r="AL14" t="s">
        <v>155</v>
      </c>
      <c r="AM14">
        <v>0.19461666666666666</v>
      </c>
      <c r="AN14" t="s">
        <v>218</v>
      </c>
    </row>
    <row r="15" spans="1:40" x14ac:dyDescent="0.45">
      <c r="I15" t="s">
        <v>165</v>
      </c>
      <c r="J15" t="s">
        <v>160</v>
      </c>
      <c r="K15">
        <v>0.99999999999999911</v>
      </c>
      <c r="L15" t="s">
        <v>161</v>
      </c>
      <c r="N15" t="s">
        <v>185</v>
      </c>
      <c r="O15" t="s">
        <v>160</v>
      </c>
      <c r="P15">
        <v>0.99999999999999645</v>
      </c>
      <c r="Q15" t="s">
        <v>161</v>
      </c>
      <c r="S15" t="s">
        <v>205</v>
      </c>
      <c r="T15" t="s">
        <v>160</v>
      </c>
      <c r="U15">
        <v>0.99999999999999967</v>
      </c>
      <c r="V15" t="s">
        <v>161</v>
      </c>
      <c r="AK15">
        <v>2026</v>
      </c>
      <c r="AL15" t="s">
        <v>155</v>
      </c>
      <c r="AM15">
        <v>0.19336666666666666</v>
      </c>
      <c r="AN15" t="s">
        <v>218</v>
      </c>
    </row>
    <row r="16" spans="1:40" x14ac:dyDescent="0.45">
      <c r="I16" t="s">
        <v>166</v>
      </c>
      <c r="J16" t="s">
        <v>160</v>
      </c>
      <c r="K16">
        <v>1.0000000000000024</v>
      </c>
      <c r="L16" t="s">
        <v>161</v>
      </c>
      <c r="N16" t="s">
        <v>186</v>
      </c>
      <c r="O16" t="s">
        <v>160</v>
      </c>
      <c r="P16">
        <v>0.999999999999998</v>
      </c>
      <c r="Q16" t="s">
        <v>161</v>
      </c>
      <c r="S16" t="s">
        <v>206</v>
      </c>
      <c r="T16" t="s">
        <v>160</v>
      </c>
      <c r="U16">
        <v>1.0000000000000007</v>
      </c>
      <c r="V16" t="s">
        <v>161</v>
      </c>
      <c r="AK16">
        <v>2027</v>
      </c>
      <c r="AL16" t="s">
        <v>155</v>
      </c>
      <c r="AM16">
        <v>0.20275000000000001</v>
      </c>
      <c r="AN16" t="s">
        <v>218</v>
      </c>
    </row>
    <row r="17" spans="9:40" x14ac:dyDescent="0.45">
      <c r="I17" t="s">
        <v>167</v>
      </c>
      <c r="J17" t="s">
        <v>160</v>
      </c>
      <c r="K17">
        <v>0.99999999999999989</v>
      </c>
      <c r="L17" t="s">
        <v>161</v>
      </c>
      <c r="N17" t="s">
        <v>187</v>
      </c>
      <c r="O17" t="s">
        <v>160</v>
      </c>
      <c r="P17">
        <v>1.0000000000000022</v>
      </c>
      <c r="Q17" t="s">
        <v>161</v>
      </c>
      <c r="S17" t="s">
        <v>207</v>
      </c>
      <c r="T17" t="s">
        <v>160</v>
      </c>
      <c r="U17">
        <v>0.99999999999999989</v>
      </c>
      <c r="V17" t="s">
        <v>161</v>
      </c>
      <c r="AK17">
        <v>2028</v>
      </c>
      <c r="AL17" t="s">
        <v>155</v>
      </c>
      <c r="AM17">
        <v>0.17006666666666667</v>
      </c>
      <c r="AN17" t="s">
        <v>218</v>
      </c>
    </row>
    <row r="18" spans="9:40" x14ac:dyDescent="0.45">
      <c r="I18" t="s">
        <v>168</v>
      </c>
      <c r="J18" t="s">
        <v>160</v>
      </c>
      <c r="K18">
        <v>1.0000000000000033</v>
      </c>
      <c r="L18" t="s">
        <v>161</v>
      </c>
      <c r="N18" t="s">
        <v>188</v>
      </c>
      <c r="O18" t="s">
        <v>160</v>
      </c>
      <c r="P18">
        <v>0.99999999999999889</v>
      </c>
      <c r="Q18" t="s">
        <v>161</v>
      </c>
      <c r="S18" t="s">
        <v>208</v>
      </c>
      <c r="T18" t="s">
        <v>160</v>
      </c>
      <c r="U18">
        <v>0.99999999999999956</v>
      </c>
      <c r="V18" t="s">
        <v>161</v>
      </c>
      <c r="AK18">
        <v>2029</v>
      </c>
      <c r="AL18" t="s">
        <v>155</v>
      </c>
      <c r="AM18">
        <v>0.16963333333333333</v>
      </c>
      <c r="AN18" t="s">
        <v>218</v>
      </c>
    </row>
    <row r="19" spans="9:40" x14ac:dyDescent="0.45">
      <c r="I19" t="s">
        <v>169</v>
      </c>
      <c r="J19" t="s">
        <v>160</v>
      </c>
      <c r="K19">
        <v>1</v>
      </c>
      <c r="L19" t="s">
        <v>161</v>
      </c>
      <c r="N19" t="s">
        <v>189</v>
      </c>
      <c r="O19" t="s">
        <v>160</v>
      </c>
      <c r="P19">
        <v>1.0000000000000011</v>
      </c>
      <c r="Q19" t="s">
        <v>161</v>
      </c>
      <c r="S19" t="s">
        <v>209</v>
      </c>
      <c r="T19" t="s">
        <v>160</v>
      </c>
      <c r="U19">
        <v>1.0000000000000002</v>
      </c>
      <c r="V19" t="s">
        <v>161</v>
      </c>
      <c r="AK19">
        <v>2030</v>
      </c>
      <c r="AL19" t="s">
        <v>155</v>
      </c>
      <c r="AM19">
        <v>0.16924166666666665</v>
      </c>
      <c r="AN19" t="s">
        <v>218</v>
      </c>
    </row>
    <row r="20" spans="9:40" x14ac:dyDescent="0.45">
      <c r="I20" t="s">
        <v>170</v>
      </c>
      <c r="J20" t="s">
        <v>160</v>
      </c>
      <c r="K20">
        <v>0.99999999999999989</v>
      </c>
      <c r="L20" t="s">
        <v>161</v>
      </c>
      <c r="N20" t="s">
        <v>190</v>
      </c>
      <c r="O20" t="s">
        <v>160</v>
      </c>
      <c r="P20">
        <v>0.99999999999999911</v>
      </c>
      <c r="Q20" t="s">
        <v>161</v>
      </c>
      <c r="S20" t="s">
        <v>210</v>
      </c>
      <c r="T20" t="s">
        <v>160</v>
      </c>
      <c r="U20">
        <v>1.0000000000000004</v>
      </c>
      <c r="V20" t="s">
        <v>161</v>
      </c>
      <c r="AK20">
        <v>2031</v>
      </c>
      <c r="AL20" t="s">
        <v>155</v>
      </c>
      <c r="AM20">
        <v>0.16455833333333333</v>
      </c>
      <c r="AN20" t="s">
        <v>218</v>
      </c>
    </row>
    <row r="21" spans="9:40" x14ac:dyDescent="0.45">
      <c r="I21" t="s">
        <v>171</v>
      </c>
      <c r="J21" t="s">
        <v>160</v>
      </c>
      <c r="K21">
        <v>0.99999999999999478</v>
      </c>
      <c r="L21" t="s">
        <v>161</v>
      </c>
      <c r="N21" t="s">
        <v>191</v>
      </c>
      <c r="O21" t="s">
        <v>160</v>
      </c>
      <c r="P21">
        <v>1.0000000000000022</v>
      </c>
      <c r="Q21" t="s">
        <v>161</v>
      </c>
      <c r="AK21">
        <v>2032</v>
      </c>
      <c r="AL21" t="s">
        <v>155</v>
      </c>
      <c r="AM21">
        <v>0.17049166666666668</v>
      </c>
      <c r="AN21" t="s">
        <v>218</v>
      </c>
    </row>
    <row r="22" spans="9:40" x14ac:dyDescent="0.45">
      <c r="I22" t="s">
        <v>172</v>
      </c>
      <c r="J22" t="s">
        <v>160</v>
      </c>
      <c r="K22">
        <v>1.0000000000000011</v>
      </c>
      <c r="L22" t="s">
        <v>161</v>
      </c>
      <c r="N22" t="s">
        <v>192</v>
      </c>
      <c r="O22" t="s">
        <v>160</v>
      </c>
      <c r="P22">
        <v>0.99999999999999745</v>
      </c>
      <c r="Q22" t="s">
        <v>161</v>
      </c>
      <c r="AK22">
        <v>2033</v>
      </c>
      <c r="AL22" t="s">
        <v>155</v>
      </c>
      <c r="AM22">
        <v>0.23421666666666666</v>
      </c>
      <c r="AN22" t="s">
        <v>218</v>
      </c>
    </row>
    <row r="23" spans="9:40" x14ac:dyDescent="0.45">
      <c r="I23" t="s">
        <v>173</v>
      </c>
      <c r="J23" t="s">
        <v>160</v>
      </c>
      <c r="K23">
        <v>0.999999999999999</v>
      </c>
      <c r="L23" t="s">
        <v>161</v>
      </c>
      <c r="N23" t="s">
        <v>193</v>
      </c>
      <c r="O23" t="s">
        <v>160</v>
      </c>
      <c r="P23">
        <v>0.99999999999999623</v>
      </c>
      <c r="Q23" t="s">
        <v>161</v>
      </c>
      <c r="AK23">
        <v>2034</v>
      </c>
      <c r="AL23" t="s">
        <v>155</v>
      </c>
      <c r="AM23">
        <v>0.21967500000000004</v>
      </c>
      <c r="AN23" t="s">
        <v>218</v>
      </c>
    </row>
    <row r="24" spans="9:40" x14ac:dyDescent="0.45">
      <c r="I24" t="s">
        <v>174</v>
      </c>
      <c r="J24" t="s">
        <v>160</v>
      </c>
      <c r="K24">
        <v>1.0000000000000029</v>
      </c>
      <c r="L24" t="s">
        <v>161</v>
      </c>
      <c r="N24" t="s">
        <v>194</v>
      </c>
      <c r="O24" t="s">
        <v>160</v>
      </c>
      <c r="P24">
        <v>0.99999999999999989</v>
      </c>
      <c r="Q24" t="s">
        <v>161</v>
      </c>
      <c r="AK24">
        <v>2035</v>
      </c>
      <c r="AL24" t="s">
        <v>155</v>
      </c>
      <c r="AM24">
        <v>0.22216666666666671</v>
      </c>
      <c r="AN24" t="s">
        <v>218</v>
      </c>
    </row>
    <row r="25" spans="9:40" x14ac:dyDescent="0.45">
      <c r="I25" t="s">
        <v>175</v>
      </c>
      <c r="J25" t="s">
        <v>160</v>
      </c>
      <c r="K25">
        <v>1</v>
      </c>
      <c r="L25" t="s">
        <v>161</v>
      </c>
      <c r="N25" t="s">
        <v>195</v>
      </c>
      <c r="O25" t="s">
        <v>160</v>
      </c>
      <c r="P25">
        <v>1.0000000000000067</v>
      </c>
      <c r="Q25" t="s">
        <v>161</v>
      </c>
      <c r="AK25">
        <v>2036</v>
      </c>
      <c r="AL25" t="s">
        <v>155</v>
      </c>
      <c r="AM25">
        <v>0.22770833333333332</v>
      </c>
      <c r="AN25" t="s">
        <v>218</v>
      </c>
    </row>
    <row r="26" spans="9:40" x14ac:dyDescent="0.45">
      <c r="I26" t="s">
        <v>176</v>
      </c>
      <c r="J26" t="s">
        <v>160</v>
      </c>
      <c r="K26">
        <v>0.99999999999999922</v>
      </c>
      <c r="L26" t="s">
        <v>161</v>
      </c>
      <c r="N26" t="s">
        <v>196</v>
      </c>
      <c r="O26" t="s">
        <v>160</v>
      </c>
      <c r="P26">
        <v>1.0000000000000029</v>
      </c>
      <c r="Q26" t="s">
        <v>161</v>
      </c>
      <c r="AK26">
        <v>2037</v>
      </c>
      <c r="AL26" t="s">
        <v>155</v>
      </c>
      <c r="AM26">
        <v>0.22924166666666668</v>
      </c>
      <c r="AN26" t="s">
        <v>218</v>
      </c>
    </row>
    <row r="27" spans="9:40" x14ac:dyDescent="0.45">
      <c r="I27" t="s">
        <v>177</v>
      </c>
      <c r="J27" t="s">
        <v>160</v>
      </c>
      <c r="K27">
        <v>1</v>
      </c>
      <c r="L27" t="s">
        <v>161</v>
      </c>
      <c r="N27" t="s">
        <v>197</v>
      </c>
      <c r="O27" t="s">
        <v>160</v>
      </c>
      <c r="P27">
        <v>0.99999999999999922</v>
      </c>
      <c r="Q27" t="s">
        <v>161</v>
      </c>
      <c r="AK27">
        <v>2038</v>
      </c>
      <c r="AL27" t="s">
        <v>155</v>
      </c>
      <c r="AM27">
        <v>0.22686666666666666</v>
      </c>
      <c r="AN27" t="s">
        <v>218</v>
      </c>
    </row>
    <row r="28" spans="9:40" x14ac:dyDescent="0.45">
      <c r="I28" t="s">
        <v>178</v>
      </c>
      <c r="J28" t="s">
        <v>160</v>
      </c>
      <c r="K28">
        <v>0.99999999999999734</v>
      </c>
      <c r="L28" t="s">
        <v>161</v>
      </c>
      <c r="N28" t="s">
        <v>198</v>
      </c>
      <c r="O28" t="s">
        <v>160</v>
      </c>
      <c r="P28">
        <v>0.99999999999999978</v>
      </c>
      <c r="Q28" t="s">
        <v>161</v>
      </c>
      <c r="AK28">
        <v>2039</v>
      </c>
      <c r="AL28" t="s">
        <v>155</v>
      </c>
      <c r="AM28">
        <v>0.20100833333333334</v>
      </c>
      <c r="AN28" t="s">
        <v>218</v>
      </c>
    </row>
    <row r="29" spans="9:40" x14ac:dyDescent="0.45">
      <c r="I29" t="s">
        <v>179</v>
      </c>
      <c r="J29" t="s">
        <v>160</v>
      </c>
      <c r="K29">
        <v>1.0000000000000011</v>
      </c>
      <c r="L29" t="s">
        <v>161</v>
      </c>
      <c r="N29" t="s">
        <v>199</v>
      </c>
      <c r="O29" t="s">
        <v>160</v>
      </c>
      <c r="P29">
        <v>1.0000000000000016</v>
      </c>
      <c r="Q29" t="s">
        <v>161</v>
      </c>
      <c r="AK29">
        <v>2040</v>
      </c>
      <c r="AL29" t="s">
        <v>155</v>
      </c>
      <c r="AM29">
        <v>0.19754999999999998</v>
      </c>
      <c r="AN29" t="s">
        <v>218</v>
      </c>
    </row>
    <row r="30" spans="9:40" x14ac:dyDescent="0.45">
      <c r="I30" t="s">
        <v>180</v>
      </c>
      <c r="J30" t="s">
        <v>160</v>
      </c>
      <c r="K30">
        <v>0.99999999999999978</v>
      </c>
      <c r="L30" t="s">
        <v>161</v>
      </c>
      <c r="N30" t="s">
        <v>200</v>
      </c>
      <c r="O30" t="s">
        <v>160</v>
      </c>
      <c r="P30">
        <v>0.99999999999999634</v>
      </c>
      <c r="Q30" t="s">
        <v>161</v>
      </c>
      <c r="AK30">
        <v>2041</v>
      </c>
      <c r="AL30" t="s">
        <v>155</v>
      </c>
      <c r="AM30">
        <v>0.20084999999999997</v>
      </c>
      <c r="AN30" t="s">
        <v>218</v>
      </c>
    </row>
    <row r="31" spans="9:40" x14ac:dyDescent="0.45">
      <c r="AK31">
        <v>2042</v>
      </c>
      <c r="AL31" t="s">
        <v>155</v>
      </c>
      <c r="AM31">
        <v>0.22047499999999998</v>
      </c>
      <c r="AN31" t="s">
        <v>218</v>
      </c>
    </row>
    <row r="32" spans="9:40" x14ac:dyDescent="0.45">
      <c r="AK32">
        <v>2043</v>
      </c>
      <c r="AL32" t="s">
        <v>155</v>
      </c>
      <c r="AM32">
        <v>0.2273583333333333</v>
      </c>
      <c r="AN32" t="s">
        <v>218</v>
      </c>
    </row>
    <row r="33" spans="37:40" x14ac:dyDescent="0.45">
      <c r="AK33">
        <v>2044</v>
      </c>
      <c r="AL33" t="s">
        <v>155</v>
      </c>
      <c r="AM33">
        <v>0.23075833333333329</v>
      </c>
      <c r="AN33" t="s">
        <v>218</v>
      </c>
    </row>
    <row r="34" spans="37:40" x14ac:dyDescent="0.45">
      <c r="AK34">
        <v>2045</v>
      </c>
      <c r="AL34" t="s">
        <v>155</v>
      </c>
      <c r="AM34">
        <v>0.16792499999999999</v>
      </c>
      <c r="AN34" t="s">
        <v>218</v>
      </c>
    </row>
    <row r="35" spans="37:40" x14ac:dyDescent="0.45">
      <c r="AK35">
        <v>2046</v>
      </c>
      <c r="AL35" t="s">
        <v>155</v>
      </c>
      <c r="AM35">
        <v>0.16623333333333332</v>
      </c>
      <c r="AN35" t="s">
        <v>218</v>
      </c>
    </row>
    <row r="36" spans="37:40" x14ac:dyDescent="0.45">
      <c r="AK36">
        <v>2047</v>
      </c>
      <c r="AL36" t="s">
        <v>155</v>
      </c>
      <c r="AM36">
        <v>0.20014166666666666</v>
      </c>
      <c r="AN36" t="s">
        <v>218</v>
      </c>
    </row>
    <row r="37" spans="37:40" x14ac:dyDescent="0.45">
      <c r="AK37">
        <v>2048</v>
      </c>
      <c r="AL37" t="s">
        <v>155</v>
      </c>
      <c r="AM37">
        <v>0.19996666666666665</v>
      </c>
      <c r="AN37" t="s">
        <v>218</v>
      </c>
    </row>
    <row r="38" spans="37:40" x14ac:dyDescent="0.45">
      <c r="AK38">
        <v>2049</v>
      </c>
      <c r="AL38" t="s">
        <v>155</v>
      </c>
      <c r="AM38">
        <v>0.19070833333333334</v>
      </c>
      <c r="AN38" t="s">
        <v>218</v>
      </c>
    </row>
    <row r="39" spans="37:40" x14ac:dyDescent="0.45">
      <c r="AK39">
        <v>2050</v>
      </c>
      <c r="AL39" t="s">
        <v>155</v>
      </c>
      <c r="AM39">
        <v>0.19342500000000004</v>
      </c>
      <c r="AN39" t="s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8E995-C809-46D8-B40A-0BB4D68585B5}">
  <dimension ref="A9:AN250"/>
  <sheetViews>
    <sheetView tabSelected="1"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131</v>
      </c>
      <c r="C10" t="s">
        <v>150</v>
      </c>
      <c r="D10" t="s">
        <v>151</v>
      </c>
      <c r="E10" t="s">
        <v>152</v>
      </c>
      <c r="F10" t="s">
        <v>153</v>
      </c>
      <c r="G10" t="s">
        <v>154</v>
      </c>
      <c r="I10" t="s">
        <v>13</v>
      </c>
      <c r="J10" t="s">
        <v>121</v>
      </c>
      <c r="K10" t="s">
        <v>158</v>
      </c>
      <c r="L10" t="s">
        <v>30</v>
      </c>
      <c r="N10" t="s">
        <v>13</v>
      </c>
      <c r="O10" t="s">
        <v>121</v>
      </c>
      <c r="P10" t="s">
        <v>158</v>
      </c>
      <c r="Q10" t="s">
        <v>30</v>
      </c>
      <c r="S10" t="s">
        <v>13</v>
      </c>
      <c r="T10" t="s">
        <v>121</v>
      </c>
      <c r="U10" t="s">
        <v>158</v>
      </c>
      <c r="V10" t="s">
        <v>30</v>
      </c>
      <c r="X10" t="s">
        <v>211</v>
      </c>
      <c r="Y10" t="s">
        <v>158</v>
      </c>
      <c r="Z10" t="s">
        <v>121</v>
      </c>
      <c r="AA10" t="s">
        <v>13</v>
      </c>
      <c r="AC10" t="s">
        <v>13</v>
      </c>
      <c r="AD10" t="s">
        <v>121</v>
      </c>
      <c r="AE10" t="s">
        <v>158</v>
      </c>
      <c r="AG10" t="s">
        <v>13</v>
      </c>
      <c r="AH10" t="s">
        <v>121</v>
      </c>
      <c r="AI10" t="s">
        <v>215</v>
      </c>
      <c r="AK10" t="s">
        <v>47</v>
      </c>
      <c r="AL10" t="s">
        <v>121</v>
      </c>
      <c r="AM10" t="s">
        <v>216</v>
      </c>
      <c r="AN10" t="s">
        <v>217</v>
      </c>
    </row>
    <row r="11" spans="1:40" x14ac:dyDescent="0.45">
      <c r="A11" t="str">
        <f>IFERROR(IF(Veda!D5=A10,"ok","x"),"")</f>
        <v>x</v>
      </c>
      <c r="C11" t="s">
        <v>219</v>
      </c>
      <c r="D11" t="s">
        <v>156</v>
      </c>
      <c r="E11" t="s">
        <v>213</v>
      </c>
      <c r="F11" t="s">
        <v>220</v>
      </c>
      <c r="G11" t="s">
        <v>156</v>
      </c>
      <c r="I11" t="s">
        <v>159</v>
      </c>
      <c r="J11" t="s">
        <v>225</v>
      </c>
      <c r="K11">
        <v>0.15815973459075042</v>
      </c>
      <c r="L11" t="s">
        <v>161</v>
      </c>
      <c r="N11" t="s">
        <v>181</v>
      </c>
      <c r="O11" t="s">
        <v>225</v>
      </c>
      <c r="P11">
        <v>0.1071799500005267</v>
      </c>
      <c r="Q11" t="s">
        <v>161</v>
      </c>
      <c r="S11" t="s">
        <v>201</v>
      </c>
      <c r="T11" t="s">
        <v>225</v>
      </c>
      <c r="U11">
        <v>0.11983833908882083</v>
      </c>
      <c r="V11" t="s">
        <v>161</v>
      </c>
      <c r="X11">
        <v>0.11426940639269406</v>
      </c>
      <c r="Y11">
        <v>0.16087081189037786</v>
      </c>
      <c r="Z11" t="s">
        <v>225</v>
      </c>
      <c r="AA11" t="s">
        <v>25</v>
      </c>
      <c r="AC11" t="s">
        <v>22</v>
      </c>
      <c r="AD11" t="s">
        <v>225</v>
      </c>
      <c r="AE11">
        <v>0.12325462334855938</v>
      </c>
      <c r="AG11" t="s">
        <v>96</v>
      </c>
      <c r="AH11" t="s">
        <v>225</v>
      </c>
      <c r="AI11">
        <v>7.0637918290734847E-2</v>
      </c>
      <c r="AK11">
        <v>2020</v>
      </c>
      <c r="AL11" t="s">
        <v>219</v>
      </c>
      <c r="AM11">
        <v>0.19109794455416573</v>
      </c>
      <c r="AN11" t="s">
        <v>218</v>
      </c>
    </row>
    <row r="12" spans="1:40" x14ac:dyDescent="0.45">
      <c r="C12" t="s">
        <v>221</v>
      </c>
      <c r="E12" t="s">
        <v>214</v>
      </c>
      <c r="G12" t="s">
        <v>156</v>
      </c>
      <c r="I12" t="s">
        <v>159</v>
      </c>
      <c r="J12" t="s">
        <v>226</v>
      </c>
      <c r="K12">
        <v>6.0516170988145112E-5</v>
      </c>
      <c r="L12" t="s">
        <v>161</v>
      </c>
      <c r="N12" t="s">
        <v>181</v>
      </c>
      <c r="O12" t="s">
        <v>226</v>
      </c>
      <c r="P12">
        <v>0.12977412150857026</v>
      </c>
      <c r="Q12" t="s">
        <v>161</v>
      </c>
      <c r="S12" t="s">
        <v>201</v>
      </c>
      <c r="T12" t="s">
        <v>226</v>
      </c>
      <c r="U12">
        <v>0.12968922237045</v>
      </c>
      <c r="V12" t="s">
        <v>161</v>
      </c>
      <c r="X12">
        <v>0.11426940639269406</v>
      </c>
      <c r="Y12">
        <v>5.2547713165767528E-2</v>
      </c>
      <c r="Z12" t="s">
        <v>226</v>
      </c>
      <c r="AA12" t="s">
        <v>25</v>
      </c>
      <c r="AC12" t="s">
        <v>22</v>
      </c>
      <c r="AD12" t="s">
        <v>226</v>
      </c>
      <c r="AE12">
        <v>9.5299004096072198E-2</v>
      </c>
      <c r="AG12" t="s">
        <v>96</v>
      </c>
      <c r="AH12" t="s">
        <v>226</v>
      </c>
      <c r="AI12">
        <v>0.22617474361522572</v>
      </c>
      <c r="AK12">
        <v>2020</v>
      </c>
      <c r="AL12" t="s">
        <v>221</v>
      </c>
      <c r="AM12">
        <v>0.17524931119401166</v>
      </c>
      <c r="AN12" t="s">
        <v>218</v>
      </c>
    </row>
    <row r="13" spans="1:40" x14ac:dyDescent="0.45">
      <c r="C13" t="s">
        <v>222</v>
      </c>
      <c r="E13" t="s">
        <v>223</v>
      </c>
      <c r="G13" t="s">
        <v>156</v>
      </c>
      <c r="I13" t="s">
        <v>159</v>
      </c>
      <c r="J13" t="s">
        <v>227</v>
      </c>
      <c r="K13">
        <v>9.4324533079876479E-3</v>
      </c>
      <c r="L13" t="s">
        <v>161</v>
      </c>
      <c r="N13" t="s">
        <v>181</v>
      </c>
      <c r="O13" t="s">
        <v>227</v>
      </c>
      <c r="P13">
        <v>2.2956672869091182E-2</v>
      </c>
      <c r="Q13" t="s">
        <v>161</v>
      </c>
      <c r="S13" t="s">
        <v>201</v>
      </c>
      <c r="T13" t="s">
        <v>227</v>
      </c>
      <c r="U13">
        <v>2.4185738824140046E-2</v>
      </c>
      <c r="V13" t="s">
        <v>161</v>
      </c>
      <c r="X13">
        <v>2.0776255707762557E-2</v>
      </c>
      <c r="Y13">
        <v>3.5896543437005365E-2</v>
      </c>
      <c r="Z13" t="s">
        <v>227</v>
      </c>
      <c r="AA13" t="s">
        <v>25</v>
      </c>
      <c r="AC13" t="s">
        <v>22</v>
      </c>
      <c r="AD13" t="s">
        <v>227</v>
      </c>
      <c r="AE13">
        <v>2.2905846310482161E-2</v>
      </c>
      <c r="AG13" t="s">
        <v>96</v>
      </c>
      <c r="AH13" t="s">
        <v>227</v>
      </c>
      <c r="AI13">
        <v>4.9491556032410955E-2</v>
      </c>
      <c r="AK13">
        <v>2020</v>
      </c>
      <c r="AL13" t="s">
        <v>222</v>
      </c>
      <c r="AM13">
        <v>0.194602930778046</v>
      </c>
      <c r="AN13" t="s">
        <v>218</v>
      </c>
    </row>
    <row r="14" spans="1:40" x14ac:dyDescent="0.45">
      <c r="C14" t="s">
        <v>224</v>
      </c>
      <c r="I14" t="s">
        <v>159</v>
      </c>
      <c r="J14" t="s">
        <v>228</v>
      </c>
      <c r="K14">
        <v>0.28816843961544714</v>
      </c>
      <c r="L14" t="s">
        <v>161</v>
      </c>
      <c r="N14" t="s">
        <v>181</v>
      </c>
      <c r="O14" t="s">
        <v>228</v>
      </c>
      <c r="P14">
        <v>0.10409493991846873</v>
      </c>
      <c r="Q14" t="s">
        <v>161</v>
      </c>
      <c r="S14" t="s">
        <v>201</v>
      </c>
      <c r="T14" t="s">
        <v>228</v>
      </c>
      <c r="U14">
        <v>9.845987886097568E-2</v>
      </c>
      <c r="V14" t="s">
        <v>161</v>
      </c>
      <c r="X14">
        <v>0.11552511415525114</v>
      </c>
      <c r="Y14">
        <v>0.16263862301005233</v>
      </c>
      <c r="Z14" t="s">
        <v>228</v>
      </c>
      <c r="AA14" t="s">
        <v>25</v>
      </c>
      <c r="AC14" t="s">
        <v>22</v>
      </c>
      <c r="AD14" t="s">
        <v>228</v>
      </c>
      <c r="AE14">
        <v>0.12892601867863113</v>
      </c>
      <c r="AG14" t="s">
        <v>96</v>
      </c>
      <c r="AH14" t="s">
        <v>228</v>
      </c>
      <c r="AI14">
        <v>0.11480848950527855</v>
      </c>
      <c r="AK14">
        <v>2020</v>
      </c>
      <c r="AL14" t="s">
        <v>224</v>
      </c>
      <c r="AM14">
        <v>0.19280051657296213</v>
      </c>
      <c r="AN14" t="s">
        <v>218</v>
      </c>
    </row>
    <row r="15" spans="1:40" x14ac:dyDescent="0.45">
      <c r="I15" t="s">
        <v>159</v>
      </c>
      <c r="J15" t="s">
        <v>229</v>
      </c>
      <c r="K15">
        <v>6.7367090850218555E-3</v>
      </c>
      <c r="L15" t="s">
        <v>161</v>
      </c>
      <c r="N15" t="s">
        <v>181</v>
      </c>
      <c r="O15" t="s">
        <v>229</v>
      </c>
      <c r="P15">
        <v>0.13696106411374909</v>
      </c>
      <c r="Q15" t="s">
        <v>161</v>
      </c>
      <c r="S15" t="s">
        <v>201</v>
      </c>
      <c r="T15" t="s">
        <v>229</v>
      </c>
      <c r="U15">
        <v>0.11770536563640166</v>
      </c>
      <c r="V15" t="s">
        <v>161</v>
      </c>
      <c r="X15">
        <v>0.11552511415525114</v>
      </c>
      <c r="Y15">
        <v>5.3125160563193538E-2</v>
      </c>
      <c r="Z15" t="s">
        <v>229</v>
      </c>
      <c r="AA15" t="s">
        <v>25</v>
      </c>
      <c r="AC15" t="s">
        <v>22</v>
      </c>
      <c r="AD15" t="s">
        <v>229</v>
      </c>
      <c r="AE15">
        <v>0.10041038504997256</v>
      </c>
      <c r="AG15" t="s">
        <v>96</v>
      </c>
      <c r="AH15" t="s">
        <v>229</v>
      </c>
      <c r="AI15">
        <v>0.28709809029390865</v>
      </c>
      <c r="AK15">
        <v>2021</v>
      </c>
      <c r="AL15" t="s">
        <v>219</v>
      </c>
      <c r="AM15">
        <v>0.18891105937996525</v>
      </c>
      <c r="AN15" t="s">
        <v>218</v>
      </c>
    </row>
    <row r="16" spans="1:40" x14ac:dyDescent="0.45">
      <c r="I16" t="s">
        <v>159</v>
      </c>
      <c r="J16" t="s">
        <v>230</v>
      </c>
      <c r="K16">
        <v>3.0669631048064298E-2</v>
      </c>
      <c r="L16" t="s">
        <v>161</v>
      </c>
      <c r="N16" t="s">
        <v>181</v>
      </c>
      <c r="O16" t="s">
        <v>230</v>
      </c>
      <c r="P16">
        <v>1.9703500708996617E-2</v>
      </c>
      <c r="Q16" t="s">
        <v>161</v>
      </c>
      <c r="S16" t="s">
        <v>201</v>
      </c>
      <c r="T16" t="s">
        <v>230</v>
      </c>
      <c r="U16">
        <v>1.9399263211499901E-2</v>
      </c>
      <c r="V16" t="s">
        <v>161</v>
      </c>
      <c r="X16">
        <v>2.1004566210045664E-2</v>
      </c>
      <c r="Y16">
        <v>3.6291010947302131E-2</v>
      </c>
      <c r="Z16" t="s">
        <v>230</v>
      </c>
      <c r="AA16" t="s">
        <v>25</v>
      </c>
      <c r="AC16" t="s">
        <v>22</v>
      </c>
      <c r="AD16" t="s">
        <v>230</v>
      </c>
      <c r="AE16">
        <v>2.3821144994717238E-2</v>
      </c>
      <c r="AG16" t="s">
        <v>96</v>
      </c>
      <c r="AH16" t="s">
        <v>230</v>
      </c>
      <c r="AI16">
        <v>9.6801300066599261E-2</v>
      </c>
      <c r="AK16">
        <v>2021</v>
      </c>
      <c r="AL16" t="s">
        <v>221</v>
      </c>
      <c r="AM16">
        <v>0.28960203968517906</v>
      </c>
      <c r="AN16" t="s">
        <v>218</v>
      </c>
    </row>
    <row r="17" spans="9:40" x14ac:dyDescent="0.45">
      <c r="I17" t="s">
        <v>159</v>
      </c>
      <c r="J17" t="s">
        <v>231</v>
      </c>
      <c r="K17">
        <v>0.35734367402477635</v>
      </c>
      <c r="L17" t="s">
        <v>161</v>
      </c>
      <c r="N17" t="s">
        <v>181</v>
      </c>
      <c r="O17" t="s">
        <v>231</v>
      </c>
      <c r="P17">
        <v>4.9773206875024983E-2</v>
      </c>
      <c r="Q17" t="s">
        <v>161</v>
      </c>
      <c r="S17" t="s">
        <v>201</v>
      </c>
      <c r="T17" t="s">
        <v>231</v>
      </c>
      <c r="U17">
        <v>6.5982387357272451E-2</v>
      </c>
      <c r="V17" t="s">
        <v>161</v>
      </c>
      <c r="X17">
        <v>0.11552511415525114</v>
      </c>
      <c r="Y17">
        <v>0.16263862301005233</v>
      </c>
      <c r="Z17" t="s">
        <v>231</v>
      </c>
      <c r="AA17" t="s">
        <v>25</v>
      </c>
      <c r="AC17" t="s">
        <v>22</v>
      </c>
      <c r="AD17" t="s">
        <v>231</v>
      </c>
      <c r="AE17">
        <v>0.12215498602787588</v>
      </c>
      <c r="AG17" t="s">
        <v>96</v>
      </c>
      <c r="AH17" t="s">
        <v>231</v>
      </c>
      <c r="AI17">
        <v>0.11467288801788245</v>
      </c>
      <c r="AK17">
        <v>2021</v>
      </c>
      <c r="AL17" t="s">
        <v>222</v>
      </c>
      <c r="AM17">
        <v>0.17736392861101877</v>
      </c>
      <c r="AN17" t="s">
        <v>218</v>
      </c>
    </row>
    <row r="18" spans="9:40" x14ac:dyDescent="0.45">
      <c r="I18" t="s">
        <v>159</v>
      </c>
      <c r="J18" t="s">
        <v>232</v>
      </c>
      <c r="K18">
        <v>2.0549060229037592E-2</v>
      </c>
      <c r="L18" t="s">
        <v>161</v>
      </c>
      <c r="N18" t="s">
        <v>181</v>
      </c>
      <c r="O18" t="s">
        <v>232</v>
      </c>
      <c r="P18">
        <v>7.1639093339195672E-2</v>
      </c>
      <c r="Q18" t="s">
        <v>161</v>
      </c>
      <c r="S18" t="s">
        <v>201</v>
      </c>
      <c r="T18" t="s">
        <v>232</v>
      </c>
      <c r="U18">
        <v>6.8097048738344879E-2</v>
      </c>
      <c r="V18" t="s">
        <v>161</v>
      </c>
      <c r="X18">
        <v>0.11552511415525114</v>
      </c>
      <c r="Y18">
        <v>5.3125160563193538E-2</v>
      </c>
      <c r="Z18" t="s">
        <v>232</v>
      </c>
      <c r="AA18" t="s">
        <v>25</v>
      </c>
      <c r="AC18" t="s">
        <v>22</v>
      </c>
      <c r="AD18" t="s">
        <v>232</v>
      </c>
      <c r="AE18">
        <v>8.9997599530402872E-2</v>
      </c>
      <c r="AG18" t="s">
        <v>96</v>
      </c>
      <c r="AH18" t="s">
        <v>232</v>
      </c>
      <c r="AI18">
        <v>0.29813599440261807</v>
      </c>
      <c r="AK18">
        <v>2021</v>
      </c>
      <c r="AL18" t="s">
        <v>224</v>
      </c>
      <c r="AM18">
        <v>0.20652868175315797</v>
      </c>
      <c r="AN18" t="s">
        <v>218</v>
      </c>
    </row>
    <row r="19" spans="9:40" x14ac:dyDescent="0.45">
      <c r="I19" t="s">
        <v>159</v>
      </c>
      <c r="J19" t="s">
        <v>233</v>
      </c>
      <c r="K19">
        <v>4.592915218233791E-2</v>
      </c>
      <c r="L19" t="s">
        <v>161</v>
      </c>
      <c r="N19" t="s">
        <v>181</v>
      </c>
      <c r="O19" t="s">
        <v>233</v>
      </c>
      <c r="P19">
        <v>9.765678805784269E-3</v>
      </c>
      <c r="Q19" t="s">
        <v>161</v>
      </c>
      <c r="S19" t="s">
        <v>201</v>
      </c>
      <c r="T19" t="s">
        <v>233</v>
      </c>
      <c r="U19">
        <v>1.3224625908716254E-2</v>
      </c>
      <c r="V19" t="s">
        <v>161</v>
      </c>
      <c r="X19">
        <v>2.1004566210045664E-2</v>
      </c>
      <c r="Y19">
        <v>3.6291010947302131E-2</v>
      </c>
      <c r="Z19" t="s">
        <v>233</v>
      </c>
      <c r="AA19" t="s">
        <v>25</v>
      </c>
      <c r="AC19" t="s">
        <v>22</v>
      </c>
      <c r="AD19" t="s">
        <v>233</v>
      </c>
      <c r="AE19">
        <v>2.2494274815923199E-2</v>
      </c>
      <c r="AG19" t="s">
        <v>96</v>
      </c>
      <c r="AH19" t="s">
        <v>233</v>
      </c>
      <c r="AI19">
        <v>7.8378586427065411E-2</v>
      </c>
      <c r="AK19">
        <v>2022</v>
      </c>
      <c r="AL19" t="s">
        <v>219</v>
      </c>
      <c r="AM19">
        <v>0.13532294638285416</v>
      </c>
      <c r="AN19" t="s">
        <v>218</v>
      </c>
    </row>
    <row r="20" spans="9:40" x14ac:dyDescent="0.45">
      <c r="I20" t="s">
        <v>159</v>
      </c>
      <c r="J20" t="s">
        <v>234</v>
      </c>
      <c r="K20">
        <v>8.1555317858132595E-2</v>
      </c>
      <c r="L20" t="s">
        <v>161</v>
      </c>
      <c r="N20" t="s">
        <v>181</v>
      </c>
      <c r="O20" t="s">
        <v>234</v>
      </c>
      <c r="P20">
        <v>0.15327249967694306</v>
      </c>
      <c r="Q20" t="s">
        <v>161</v>
      </c>
      <c r="S20" t="s">
        <v>201</v>
      </c>
      <c r="T20" t="s">
        <v>234</v>
      </c>
      <c r="U20">
        <v>0.1529822274123557</v>
      </c>
      <c r="V20" t="s">
        <v>161</v>
      </c>
      <c r="X20">
        <v>0.11301369863013698</v>
      </c>
      <c r="Y20">
        <v>0.15910300077070333</v>
      </c>
      <c r="Z20" t="s">
        <v>234</v>
      </c>
      <c r="AA20" t="s">
        <v>25</v>
      </c>
      <c r="AC20" t="s">
        <v>22</v>
      </c>
      <c r="AD20" t="s">
        <v>234</v>
      </c>
      <c r="AE20">
        <v>0.13599890975606152</v>
      </c>
      <c r="AG20" t="s">
        <v>96</v>
      </c>
      <c r="AH20" t="s">
        <v>234</v>
      </c>
      <c r="AI20">
        <v>9.4340104751361231E-2</v>
      </c>
      <c r="AK20">
        <v>2022</v>
      </c>
      <c r="AL20" t="s">
        <v>221</v>
      </c>
      <c r="AM20">
        <v>0.23148148148148148</v>
      </c>
      <c r="AN20" t="s">
        <v>218</v>
      </c>
    </row>
    <row r="21" spans="9:40" x14ac:dyDescent="0.45">
      <c r="I21" t="s">
        <v>159</v>
      </c>
      <c r="J21" t="s">
        <v>235</v>
      </c>
      <c r="K21">
        <v>0</v>
      </c>
      <c r="L21" t="s">
        <v>161</v>
      </c>
      <c r="N21" t="s">
        <v>181</v>
      </c>
      <c r="O21" t="s">
        <v>235</v>
      </c>
      <c r="P21">
        <v>0.16472962894157292</v>
      </c>
      <c r="Q21" t="s">
        <v>161</v>
      </c>
      <c r="S21" t="s">
        <v>201</v>
      </c>
      <c r="T21" t="s">
        <v>235</v>
      </c>
      <c r="U21">
        <v>0.16116448556285357</v>
      </c>
      <c r="V21" t="s">
        <v>161</v>
      </c>
      <c r="X21">
        <v>0.11301369863013698</v>
      </c>
      <c r="Y21">
        <v>5.197026576834151E-2</v>
      </c>
      <c r="Z21" t="s">
        <v>235</v>
      </c>
      <c r="AA21" t="s">
        <v>25</v>
      </c>
      <c r="AC21" t="s">
        <v>22</v>
      </c>
      <c r="AD21" t="s">
        <v>235</v>
      </c>
      <c r="AE21">
        <v>0.10963691781244359</v>
      </c>
      <c r="AG21" t="s">
        <v>96</v>
      </c>
      <c r="AH21" t="s">
        <v>235</v>
      </c>
      <c r="AI21">
        <v>0.22253705730388695</v>
      </c>
      <c r="AK21">
        <v>2022</v>
      </c>
      <c r="AL21" t="s">
        <v>222</v>
      </c>
      <c r="AM21">
        <v>0.12038865725501668</v>
      </c>
      <c r="AN21" t="s">
        <v>218</v>
      </c>
    </row>
    <row r="22" spans="9:40" x14ac:dyDescent="0.45">
      <c r="I22" t="s">
        <v>159</v>
      </c>
      <c r="J22" t="s">
        <v>236</v>
      </c>
      <c r="K22">
        <v>1.3953118874546668E-3</v>
      </c>
      <c r="L22" t="s">
        <v>161</v>
      </c>
      <c r="N22" t="s">
        <v>181</v>
      </c>
      <c r="O22" t="s">
        <v>236</v>
      </c>
      <c r="P22">
        <v>3.0149643242073636E-2</v>
      </c>
      <c r="Q22" t="s">
        <v>161</v>
      </c>
      <c r="S22" t="s">
        <v>201</v>
      </c>
      <c r="T22" t="s">
        <v>236</v>
      </c>
      <c r="U22">
        <v>2.9271417028166241E-2</v>
      </c>
      <c r="V22" t="s">
        <v>161</v>
      </c>
      <c r="X22">
        <v>2.0547945205479451E-2</v>
      </c>
      <c r="Y22">
        <v>3.5502075926708607E-2</v>
      </c>
      <c r="Z22" t="s">
        <v>236</v>
      </c>
      <c r="AA22" t="s">
        <v>25</v>
      </c>
      <c r="AC22" t="s">
        <v>22</v>
      </c>
      <c r="AD22" t="s">
        <v>236</v>
      </c>
      <c r="AE22">
        <v>2.5100289578858292E-2</v>
      </c>
      <c r="AG22" t="s">
        <v>96</v>
      </c>
      <c r="AH22" t="s">
        <v>236</v>
      </c>
      <c r="AI22">
        <v>5.9192450215786563E-2</v>
      </c>
      <c r="AK22">
        <v>2022</v>
      </c>
      <c r="AL22" t="s">
        <v>224</v>
      </c>
      <c r="AM22">
        <v>0.23838260342539472</v>
      </c>
      <c r="AN22" t="s">
        <v>218</v>
      </c>
    </row>
    <row r="23" spans="9:40" x14ac:dyDescent="0.45">
      <c r="I23" t="s">
        <v>162</v>
      </c>
      <c r="J23" t="s">
        <v>225</v>
      </c>
      <c r="K23">
        <v>0.16851617895788054</v>
      </c>
      <c r="L23" t="s">
        <v>161</v>
      </c>
      <c r="N23" t="s">
        <v>182</v>
      </c>
      <c r="O23" t="s">
        <v>225</v>
      </c>
      <c r="P23">
        <v>0.1053539365223017</v>
      </c>
      <c r="Q23" t="s">
        <v>161</v>
      </c>
      <c r="S23" t="s">
        <v>202</v>
      </c>
      <c r="T23" t="s">
        <v>225</v>
      </c>
      <c r="U23">
        <v>0.11784329242649716</v>
      </c>
      <c r="V23" t="s">
        <v>161</v>
      </c>
      <c r="AC23" t="s">
        <v>19</v>
      </c>
      <c r="AD23" t="s">
        <v>225</v>
      </c>
      <c r="AE23">
        <v>0.1150112108779263</v>
      </c>
      <c r="AK23">
        <v>2025</v>
      </c>
      <c r="AL23" t="s">
        <v>219</v>
      </c>
      <c r="AM23">
        <v>0.16193333333333332</v>
      </c>
      <c r="AN23" t="s">
        <v>218</v>
      </c>
    </row>
    <row r="24" spans="9:40" x14ac:dyDescent="0.45">
      <c r="I24" t="s">
        <v>162</v>
      </c>
      <c r="J24" t="s">
        <v>226</v>
      </c>
      <c r="K24">
        <v>8.932401456156926E-7</v>
      </c>
      <c r="L24" t="s">
        <v>161</v>
      </c>
      <c r="N24" t="s">
        <v>182</v>
      </c>
      <c r="O24" t="s">
        <v>226</v>
      </c>
      <c r="P24">
        <v>0.13002287088989922</v>
      </c>
      <c r="Q24" t="s">
        <v>161</v>
      </c>
      <c r="S24" t="s">
        <v>202</v>
      </c>
      <c r="T24" t="s">
        <v>226</v>
      </c>
      <c r="U24">
        <v>0.11986717492024784</v>
      </c>
      <c r="V24" t="s">
        <v>161</v>
      </c>
      <c r="AC24" t="s">
        <v>19</v>
      </c>
      <c r="AD24" t="s">
        <v>226</v>
      </c>
      <c r="AE24">
        <v>0.1133168646329651</v>
      </c>
      <c r="AK24">
        <v>2025</v>
      </c>
      <c r="AL24" t="s">
        <v>221</v>
      </c>
      <c r="AM24">
        <v>0.23829999999999998</v>
      </c>
      <c r="AN24" t="s">
        <v>218</v>
      </c>
    </row>
    <row r="25" spans="9:40" x14ac:dyDescent="0.45">
      <c r="I25" t="s">
        <v>162</v>
      </c>
      <c r="J25" t="s">
        <v>227</v>
      </c>
      <c r="K25">
        <v>8.431253693965057E-3</v>
      </c>
      <c r="L25" t="s">
        <v>161</v>
      </c>
      <c r="N25" t="s">
        <v>182</v>
      </c>
      <c r="O25" t="s">
        <v>227</v>
      </c>
      <c r="P25">
        <v>2.3156495480571852E-2</v>
      </c>
      <c r="Q25" t="s">
        <v>161</v>
      </c>
      <c r="S25" t="s">
        <v>202</v>
      </c>
      <c r="T25" t="s">
        <v>227</v>
      </c>
      <c r="U25">
        <v>2.2255362876470418E-2</v>
      </c>
      <c r="V25" t="s">
        <v>161</v>
      </c>
      <c r="AC25" t="s">
        <v>19</v>
      </c>
      <c r="AD25" t="s">
        <v>227</v>
      </c>
      <c r="AE25">
        <v>2.0941185868452401E-2</v>
      </c>
      <c r="AK25">
        <v>2025</v>
      </c>
      <c r="AL25" t="s">
        <v>222</v>
      </c>
      <c r="AM25">
        <v>0.14673333333333333</v>
      </c>
      <c r="AN25" t="s">
        <v>218</v>
      </c>
    </row>
    <row r="26" spans="9:40" x14ac:dyDescent="0.45">
      <c r="I26" t="s">
        <v>162</v>
      </c>
      <c r="J26" t="s">
        <v>228</v>
      </c>
      <c r="K26">
        <v>0.27898524030852545</v>
      </c>
      <c r="L26" t="s">
        <v>161</v>
      </c>
      <c r="N26" t="s">
        <v>182</v>
      </c>
      <c r="O26" t="s">
        <v>228</v>
      </c>
      <c r="P26">
        <v>0.1050898855951144</v>
      </c>
      <c r="Q26" t="s">
        <v>161</v>
      </c>
      <c r="S26" t="s">
        <v>202</v>
      </c>
      <c r="T26" t="s">
        <v>228</v>
      </c>
      <c r="U26">
        <v>0.11162914957074054</v>
      </c>
      <c r="V26" t="s">
        <v>161</v>
      </c>
      <c r="AC26" t="s">
        <v>19</v>
      </c>
      <c r="AD26" t="s">
        <v>228</v>
      </c>
      <c r="AE26">
        <v>0.1163096359343711</v>
      </c>
      <c r="AK26">
        <v>2025</v>
      </c>
      <c r="AL26" t="s">
        <v>224</v>
      </c>
      <c r="AM26">
        <v>0.23150000000000001</v>
      </c>
      <c r="AN26" t="s">
        <v>218</v>
      </c>
    </row>
    <row r="27" spans="9:40" x14ac:dyDescent="0.45">
      <c r="I27" t="s">
        <v>162</v>
      </c>
      <c r="J27" t="s">
        <v>229</v>
      </c>
      <c r="K27">
        <v>5.6149949030663872E-3</v>
      </c>
      <c r="L27" t="s">
        <v>161</v>
      </c>
      <c r="N27" t="s">
        <v>182</v>
      </c>
      <c r="O27" t="s">
        <v>229</v>
      </c>
      <c r="P27">
        <v>0.13575064338051329</v>
      </c>
      <c r="Q27" t="s">
        <v>161</v>
      </c>
      <c r="S27" t="s">
        <v>202</v>
      </c>
      <c r="T27" t="s">
        <v>229</v>
      </c>
      <c r="U27">
        <v>0.1266066061696908</v>
      </c>
      <c r="V27" t="s">
        <v>161</v>
      </c>
      <c r="AC27" t="s">
        <v>19</v>
      </c>
      <c r="AD27" t="s">
        <v>229</v>
      </c>
      <c r="AE27">
        <v>0.11458134809624322</v>
      </c>
      <c r="AK27">
        <v>2026</v>
      </c>
      <c r="AL27" t="s">
        <v>219</v>
      </c>
      <c r="AM27">
        <v>0.16739999999999999</v>
      </c>
      <c r="AN27" t="s">
        <v>218</v>
      </c>
    </row>
    <row r="28" spans="9:40" x14ac:dyDescent="0.45">
      <c r="I28" t="s">
        <v>162</v>
      </c>
      <c r="J28" t="s">
        <v>230</v>
      </c>
      <c r="K28">
        <v>2.9144254812100905E-2</v>
      </c>
      <c r="L28" t="s">
        <v>161</v>
      </c>
      <c r="N28" t="s">
        <v>182</v>
      </c>
      <c r="O28" t="s">
        <v>230</v>
      </c>
      <c r="P28">
        <v>2.0187800688005131E-2</v>
      </c>
      <c r="Q28" t="s">
        <v>161</v>
      </c>
      <c r="S28" t="s">
        <v>202</v>
      </c>
      <c r="T28" t="s">
        <v>230</v>
      </c>
      <c r="U28">
        <v>2.1607370407787162E-2</v>
      </c>
      <c r="V28" t="s">
        <v>161</v>
      </c>
      <c r="AC28" t="s">
        <v>19</v>
      </c>
      <c r="AD28" t="s">
        <v>230</v>
      </c>
      <c r="AE28">
        <v>2.1170240809845968E-2</v>
      </c>
      <c r="AK28">
        <v>2026</v>
      </c>
      <c r="AL28" t="s">
        <v>221</v>
      </c>
      <c r="AM28">
        <v>0.24223333333333338</v>
      </c>
      <c r="AN28" t="s">
        <v>218</v>
      </c>
    </row>
    <row r="29" spans="9:40" x14ac:dyDescent="0.45">
      <c r="I29" t="s">
        <v>162</v>
      </c>
      <c r="J29" t="s">
        <v>231</v>
      </c>
      <c r="K29">
        <v>0.35376217338895188</v>
      </c>
      <c r="L29" t="s">
        <v>161</v>
      </c>
      <c r="N29" t="s">
        <v>182</v>
      </c>
      <c r="O29" t="s">
        <v>231</v>
      </c>
      <c r="P29">
        <v>4.8413837053543747E-2</v>
      </c>
      <c r="Q29" t="s">
        <v>161</v>
      </c>
      <c r="S29" t="s">
        <v>202</v>
      </c>
      <c r="T29" t="s">
        <v>231</v>
      </c>
      <c r="U29">
        <v>7.5387863294410135E-2</v>
      </c>
      <c r="V29" t="s">
        <v>161</v>
      </c>
      <c r="AC29" t="s">
        <v>19</v>
      </c>
      <c r="AD29" t="s">
        <v>231</v>
      </c>
      <c r="AE29">
        <v>0.11636398835065369</v>
      </c>
      <c r="AK29">
        <v>2026</v>
      </c>
      <c r="AL29" t="s">
        <v>222</v>
      </c>
      <c r="AM29">
        <v>0.153</v>
      </c>
      <c r="AN29" t="s">
        <v>218</v>
      </c>
    </row>
    <row r="30" spans="9:40" x14ac:dyDescent="0.45">
      <c r="I30" t="s">
        <v>162</v>
      </c>
      <c r="J30" t="s">
        <v>232</v>
      </c>
      <c r="K30">
        <v>1.8318349612564646E-2</v>
      </c>
      <c r="L30" t="s">
        <v>161</v>
      </c>
      <c r="N30" t="s">
        <v>182</v>
      </c>
      <c r="O30" t="s">
        <v>232</v>
      </c>
      <c r="P30">
        <v>6.7191206045088714E-2</v>
      </c>
      <c r="Q30" t="s">
        <v>161</v>
      </c>
      <c r="S30" t="s">
        <v>202</v>
      </c>
      <c r="T30" t="s">
        <v>232</v>
      </c>
      <c r="U30">
        <v>8.0667347804444706E-2</v>
      </c>
      <c r="V30" t="s">
        <v>161</v>
      </c>
      <c r="AC30" t="s">
        <v>19</v>
      </c>
      <c r="AD30" t="s">
        <v>232</v>
      </c>
      <c r="AE30">
        <v>0.11441497958187415</v>
      </c>
      <c r="AK30">
        <v>2026</v>
      </c>
      <c r="AL30" t="s">
        <v>224</v>
      </c>
      <c r="AM30">
        <v>0.21083333333333334</v>
      </c>
      <c r="AN30" t="s">
        <v>218</v>
      </c>
    </row>
    <row r="31" spans="9:40" x14ac:dyDescent="0.45">
      <c r="I31" t="s">
        <v>162</v>
      </c>
      <c r="J31" t="s">
        <v>233</v>
      </c>
      <c r="K31">
        <v>4.3612702133092575E-2</v>
      </c>
      <c r="L31" t="s">
        <v>161</v>
      </c>
      <c r="N31" t="s">
        <v>182</v>
      </c>
      <c r="O31" t="s">
        <v>233</v>
      </c>
      <c r="P31">
        <v>1.0037390768827845E-2</v>
      </c>
      <c r="Q31" t="s">
        <v>161</v>
      </c>
      <c r="S31" t="s">
        <v>202</v>
      </c>
      <c r="T31" t="s">
        <v>233</v>
      </c>
      <c r="U31">
        <v>1.5071082065426773E-2</v>
      </c>
      <c r="V31" t="s">
        <v>161</v>
      </c>
      <c r="AC31" t="s">
        <v>19</v>
      </c>
      <c r="AD31" t="s">
        <v>233</v>
      </c>
      <c r="AE31">
        <v>2.1174318395811156E-2</v>
      </c>
      <c r="AK31">
        <v>2027</v>
      </c>
      <c r="AL31" t="s">
        <v>219</v>
      </c>
      <c r="AM31">
        <v>0.1718666666666667</v>
      </c>
      <c r="AN31" t="s">
        <v>218</v>
      </c>
    </row>
    <row r="32" spans="9:40" x14ac:dyDescent="0.45">
      <c r="I32" t="s">
        <v>162</v>
      </c>
      <c r="J32" t="s">
        <v>234</v>
      </c>
      <c r="K32">
        <v>9.2089619267371595E-2</v>
      </c>
      <c r="L32" t="s">
        <v>161</v>
      </c>
      <c r="N32" t="s">
        <v>182</v>
      </c>
      <c r="O32" t="s">
        <v>234</v>
      </c>
      <c r="P32">
        <v>0.15579688383808213</v>
      </c>
      <c r="Q32" t="s">
        <v>161</v>
      </c>
      <c r="S32" t="s">
        <v>202</v>
      </c>
      <c r="T32" t="s">
        <v>234</v>
      </c>
      <c r="U32">
        <v>0.14000581994067773</v>
      </c>
      <c r="V32" t="s">
        <v>161</v>
      </c>
      <c r="AC32" t="s">
        <v>19</v>
      </c>
      <c r="AD32" t="s">
        <v>234</v>
      </c>
      <c r="AE32">
        <v>0.11380020962934309</v>
      </c>
      <c r="AK32">
        <v>2027</v>
      </c>
      <c r="AL32" t="s">
        <v>221</v>
      </c>
      <c r="AM32">
        <v>0.24816666666666665</v>
      </c>
      <c r="AN32" t="s">
        <v>218</v>
      </c>
    </row>
    <row r="33" spans="9:40" x14ac:dyDescent="0.45">
      <c r="I33" t="s">
        <v>162</v>
      </c>
      <c r="J33" t="s">
        <v>235</v>
      </c>
      <c r="K33">
        <v>0</v>
      </c>
      <c r="L33" t="s">
        <v>161</v>
      </c>
      <c r="N33" t="s">
        <v>182</v>
      </c>
      <c r="O33" t="s">
        <v>235</v>
      </c>
      <c r="P33">
        <v>0.16810013498874607</v>
      </c>
      <c r="Q33" t="s">
        <v>161</v>
      </c>
      <c r="S33" t="s">
        <v>202</v>
      </c>
      <c r="T33" t="s">
        <v>235</v>
      </c>
      <c r="U33">
        <v>0.14233807455149977</v>
      </c>
      <c r="V33" t="s">
        <v>161</v>
      </c>
      <c r="AC33" t="s">
        <v>19</v>
      </c>
      <c r="AD33" t="s">
        <v>235</v>
      </c>
      <c r="AE33">
        <v>0.1122024506365641</v>
      </c>
      <c r="AK33">
        <v>2027</v>
      </c>
      <c r="AL33" t="s">
        <v>222</v>
      </c>
      <c r="AM33">
        <v>0.14873333333333333</v>
      </c>
      <c r="AN33" t="s">
        <v>218</v>
      </c>
    </row>
    <row r="34" spans="9:40" x14ac:dyDescent="0.45">
      <c r="I34" t="s">
        <v>162</v>
      </c>
      <c r="J34" t="s">
        <v>236</v>
      </c>
      <c r="K34">
        <v>1.5243396823353505E-3</v>
      </c>
      <c r="L34" t="s">
        <v>161</v>
      </c>
      <c r="N34" t="s">
        <v>182</v>
      </c>
      <c r="O34" t="s">
        <v>236</v>
      </c>
      <c r="P34">
        <v>3.089891474930195E-2</v>
      </c>
      <c r="Q34" t="s">
        <v>161</v>
      </c>
      <c r="S34" t="s">
        <v>202</v>
      </c>
      <c r="T34" t="s">
        <v>236</v>
      </c>
      <c r="U34">
        <v>2.6720855972111109E-2</v>
      </c>
      <c r="V34" t="s">
        <v>161</v>
      </c>
      <c r="AC34" t="s">
        <v>19</v>
      </c>
      <c r="AD34" t="s">
        <v>236</v>
      </c>
      <c r="AE34">
        <v>2.0713567185949661E-2</v>
      </c>
      <c r="AK34">
        <v>2027</v>
      </c>
      <c r="AL34" t="s">
        <v>224</v>
      </c>
      <c r="AM34">
        <v>0.24223333333333333</v>
      </c>
      <c r="AN34" t="s">
        <v>218</v>
      </c>
    </row>
    <row r="35" spans="9:40" x14ac:dyDescent="0.45">
      <c r="I35" t="s">
        <v>163</v>
      </c>
      <c r="J35" t="s">
        <v>225</v>
      </c>
      <c r="K35">
        <v>0.16482142179916728</v>
      </c>
      <c r="L35" t="s">
        <v>161</v>
      </c>
      <c r="N35" t="s">
        <v>183</v>
      </c>
      <c r="O35" t="s">
        <v>225</v>
      </c>
      <c r="P35">
        <v>0.10584875094575126</v>
      </c>
      <c r="Q35" t="s">
        <v>161</v>
      </c>
      <c r="S35" t="s">
        <v>203</v>
      </c>
      <c r="T35" t="s">
        <v>225</v>
      </c>
      <c r="U35">
        <v>0.11882855916167628</v>
      </c>
      <c r="V35" t="s">
        <v>161</v>
      </c>
      <c r="AK35">
        <v>2028</v>
      </c>
      <c r="AL35" t="s">
        <v>219</v>
      </c>
      <c r="AM35">
        <v>0.14180000000000001</v>
      </c>
      <c r="AN35" t="s">
        <v>218</v>
      </c>
    </row>
    <row r="36" spans="9:40" x14ac:dyDescent="0.45">
      <c r="I36" t="s">
        <v>163</v>
      </c>
      <c r="J36" t="s">
        <v>226</v>
      </c>
      <c r="K36">
        <v>1.3702555882245474E-5</v>
      </c>
      <c r="L36" t="s">
        <v>161</v>
      </c>
      <c r="N36" t="s">
        <v>183</v>
      </c>
      <c r="O36" t="s">
        <v>226</v>
      </c>
      <c r="P36">
        <v>0.12735977414993183</v>
      </c>
      <c r="Q36" t="s">
        <v>161</v>
      </c>
      <c r="S36" t="s">
        <v>203</v>
      </c>
      <c r="T36" t="s">
        <v>226</v>
      </c>
      <c r="U36">
        <v>0.12463660880263405</v>
      </c>
      <c r="V36" t="s">
        <v>161</v>
      </c>
      <c r="AK36">
        <v>2028</v>
      </c>
      <c r="AL36" t="s">
        <v>221</v>
      </c>
      <c r="AM36">
        <v>0.20676666666666668</v>
      </c>
      <c r="AN36" t="s">
        <v>218</v>
      </c>
    </row>
    <row r="37" spans="9:40" x14ac:dyDescent="0.45">
      <c r="I37" t="s">
        <v>163</v>
      </c>
      <c r="J37" t="s">
        <v>227</v>
      </c>
      <c r="K37">
        <v>7.8869877600477954E-3</v>
      </c>
      <c r="L37" t="s">
        <v>161</v>
      </c>
      <c r="N37" t="s">
        <v>183</v>
      </c>
      <c r="O37" t="s">
        <v>227</v>
      </c>
      <c r="P37">
        <v>2.2142760332504851E-2</v>
      </c>
      <c r="Q37" t="s">
        <v>161</v>
      </c>
      <c r="S37" t="s">
        <v>203</v>
      </c>
      <c r="T37" t="s">
        <v>227</v>
      </c>
      <c r="U37">
        <v>2.3331367859919176E-2</v>
      </c>
      <c r="V37" t="s">
        <v>161</v>
      </c>
      <c r="AK37">
        <v>2028</v>
      </c>
      <c r="AL37" t="s">
        <v>222</v>
      </c>
      <c r="AM37">
        <v>0.12963333333333335</v>
      </c>
      <c r="AN37" t="s">
        <v>218</v>
      </c>
    </row>
    <row r="38" spans="9:40" x14ac:dyDescent="0.45">
      <c r="I38" t="s">
        <v>163</v>
      </c>
      <c r="J38" t="s">
        <v>228</v>
      </c>
      <c r="K38">
        <v>0.28581435750393325</v>
      </c>
      <c r="L38" t="s">
        <v>161</v>
      </c>
      <c r="N38" t="s">
        <v>183</v>
      </c>
      <c r="O38" t="s">
        <v>228</v>
      </c>
      <c r="P38">
        <v>0.11240328938174787</v>
      </c>
      <c r="Q38" t="s">
        <v>161</v>
      </c>
      <c r="S38" t="s">
        <v>203</v>
      </c>
      <c r="T38" t="s">
        <v>228</v>
      </c>
      <c r="U38">
        <v>0.10450159690453237</v>
      </c>
      <c r="V38" t="s">
        <v>161</v>
      </c>
      <c r="AK38">
        <v>2028</v>
      </c>
      <c r="AL38" t="s">
        <v>224</v>
      </c>
      <c r="AM38">
        <v>0.20206666666666664</v>
      </c>
      <c r="AN38" t="s">
        <v>218</v>
      </c>
    </row>
    <row r="39" spans="9:40" x14ac:dyDescent="0.45">
      <c r="I39" t="s">
        <v>163</v>
      </c>
      <c r="J39" t="s">
        <v>229</v>
      </c>
      <c r="K39">
        <v>6.5176444325687208E-3</v>
      </c>
      <c r="L39" t="s">
        <v>161</v>
      </c>
      <c r="N39" t="s">
        <v>183</v>
      </c>
      <c r="O39" t="s">
        <v>229</v>
      </c>
      <c r="P39">
        <v>0.13332203762603698</v>
      </c>
      <c r="Q39" t="s">
        <v>161</v>
      </c>
      <c r="S39" t="s">
        <v>203</v>
      </c>
      <c r="T39" t="s">
        <v>229</v>
      </c>
      <c r="U39">
        <v>0.12244462699021383</v>
      </c>
      <c r="V39" t="s">
        <v>161</v>
      </c>
      <c r="AK39">
        <v>2029</v>
      </c>
      <c r="AL39" t="s">
        <v>219</v>
      </c>
      <c r="AM39">
        <v>0.1318</v>
      </c>
      <c r="AN39" t="s">
        <v>218</v>
      </c>
    </row>
    <row r="40" spans="9:40" x14ac:dyDescent="0.45">
      <c r="I40" t="s">
        <v>163</v>
      </c>
      <c r="J40" t="s">
        <v>230</v>
      </c>
      <c r="K40">
        <v>2.970929746140779E-2</v>
      </c>
      <c r="L40" t="s">
        <v>161</v>
      </c>
      <c r="N40" t="s">
        <v>183</v>
      </c>
      <c r="O40" t="s">
        <v>230</v>
      </c>
      <c r="P40">
        <v>2.050327439341423E-2</v>
      </c>
      <c r="Q40" t="s">
        <v>161</v>
      </c>
      <c r="S40" t="s">
        <v>203</v>
      </c>
      <c r="T40" t="s">
        <v>230</v>
      </c>
      <c r="U40">
        <v>2.0499019788322612E-2</v>
      </c>
      <c r="V40" t="s">
        <v>161</v>
      </c>
      <c r="AK40">
        <v>2029</v>
      </c>
      <c r="AL40" t="s">
        <v>221</v>
      </c>
      <c r="AM40">
        <v>0.22176666666666667</v>
      </c>
      <c r="AN40" t="s">
        <v>218</v>
      </c>
    </row>
    <row r="41" spans="9:40" x14ac:dyDescent="0.45">
      <c r="I41" t="s">
        <v>163</v>
      </c>
      <c r="J41" t="s">
        <v>231</v>
      </c>
      <c r="K41">
        <v>0.35703434500444703</v>
      </c>
      <c r="L41" t="s">
        <v>161</v>
      </c>
      <c r="N41" t="s">
        <v>183</v>
      </c>
      <c r="O41" t="s">
        <v>231</v>
      </c>
      <c r="P41">
        <v>5.0913198860313751E-2</v>
      </c>
      <c r="Q41" t="s">
        <v>161</v>
      </c>
      <c r="S41" t="s">
        <v>203</v>
      </c>
      <c r="T41" t="s">
        <v>231</v>
      </c>
      <c r="U41">
        <v>7.1551065330918817E-2</v>
      </c>
      <c r="V41" t="s">
        <v>161</v>
      </c>
      <c r="AK41">
        <v>2029</v>
      </c>
      <c r="AL41" t="s">
        <v>222</v>
      </c>
      <c r="AM41">
        <v>0.13126666666666667</v>
      </c>
      <c r="AN41" t="s">
        <v>218</v>
      </c>
    </row>
    <row r="42" spans="9:40" x14ac:dyDescent="0.45">
      <c r="I42" t="s">
        <v>163</v>
      </c>
      <c r="J42" t="s">
        <v>232</v>
      </c>
      <c r="K42">
        <v>1.9551915828404456E-2</v>
      </c>
      <c r="L42" t="s">
        <v>161</v>
      </c>
      <c r="N42" t="s">
        <v>183</v>
      </c>
      <c r="O42" t="s">
        <v>232</v>
      </c>
      <c r="P42">
        <v>6.890951521176715E-2</v>
      </c>
      <c r="Q42" t="s">
        <v>161</v>
      </c>
      <c r="S42" t="s">
        <v>203</v>
      </c>
      <c r="T42" t="s">
        <v>232</v>
      </c>
      <c r="U42">
        <v>7.4978794950154401E-2</v>
      </c>
      <c r="V42" t="s">
        <v>161</v>
      </c>
      <c r="AK42">
        <v>2029</v>
      </c>
      <c r="AL42" t="s">
        <v>224</v>
      </c>
      <c r="AM42">
        <v>0.19369999999999998</v>
      </c>
      <c r="AN42" t="s">
        <v>218</v>
      </c>
    </row>
    <row r="43" spans="9:40" x14ac:dyDescent="0.45">
      <c r="I43" t="s">
        <v>163</v>
      </c>
      <c r="J43" t="s">
        <v>233</v>
      </c>
      <c r="K43">
        <v>4.4829257167455457E-2</v>
      </c>
      <c r="L43" t="s">
        <v>161</v>
      </c>
      <c r="N43" t="s">
        <v>183</v>
      </c>
      <c r="O43" t="s">
        <v>233</v>
      </c>
      <c r="P43">
        <v>1.0351885885446074E-2</v>
      </c>
      <c r="Q43" t="s">
        <v>161</v>
      </c>
      <c r="S43" t="s">
        <v>203</v>
      </c>
      <c r="T43" t="s">
        <v>233</v>
      </c>
      <c r="U43">
        <v>1.4505052892088956E-2</v>
      </c>
      <c r="V43" t="s">
        <v>161</v>
      </c>
      <c r="AK43">
        <v>2030</v>
      </c>
      <c r="AL43" t="s">
        <v>219</v>
      </c>
      <c r="AM43">
        <v>0.14249999999999999</v>
      </c>
      <c r="AN43" t="s">
        <v>218</v>
      </c>
    </row>
    <row r="44" spans="9:40" x14ac:dyDescent="0.45">
      <c r="I44" t="s">
        <v>163</v>
      </c>
      <c r="J44" t="s">
        <v>234</v>
      </c>
      <c r="K44">
        <v>8.2778721446603726E-2</v>
      </c>
      <c r="L44" t="s">
        <v>161</v>
      </c>
      <c r="N44" t="s">
        <v>183</v>
      </c>
      <c r="O44" t="s">
        <v>234</v>
      </c>
      <c r="P44">
        <v>0.15488404837302827</v>
      </c>
      <c r="Q44" t="s">
        <v>161</v>
      </c>
      <c r="S44" t="s">
        <v>203</v>
      </c>
      <c r="T44" t="s">
        <v>234</v>
      </c>
      <c r="U44">
        <v>0.14542607243144284</v>
      </c>
      <c r="V44" t="s">
        <v>161</v>
      </c>
      <c r="AK44">
        <v>2030</v>
      </c>
      <c r="AL44" t="s">
        <v>221</v>
      </c>
      <c r="AM44">
        <v>0.20966666666666667</v>
      </c>
      <c r="AN44" t="s">
        <v>218</v>
      </c>
    </row>
    <row r="45" spans="9:40" x14ac:dyDescent="0.45">
      <c r="I45" t="s">
        <v>163</v>
      </c>
      <c r="J45" t="s">
        <v>235</v>
      </c>
      <c r="K45">
        <v>0</v>
      </c>
      <c r="L45" t="s">
        <v>161</v>
      </c>
      <c r="N45" t="s">
        <v>183</v>
      </c>
      <c r="O45" t="s">
        <v>235</v>
      </c>
      <c r="P45">
        <v>0.16376834072705682</v>
      </c>
      <c r="Q45" t="s">
        <v>161</v>
      </c>
      <c r="S45" t="s">
        <v>203</v>
      </c>
      <c r="T45" t="s">
        <v>235</v>
      </c>
      <c r="U45">
        <v>0.15135280569713222</v>
      </c>
      <c r="V45" t="s">
        <v>161</v>
      </c>
      <c r="AK45">
        <v>2030</v>
      </c>
      <c r="AL45" t="s">
        <v>222</v>
      </c>
      <c r="AM45">
        <v>0.12216666666666666</v>
      </c>
      <c r="AN45" t="s">
        <v>218</v>
      </c>
    </row>
    <row r="46" spans="9:40" x14ac:dyDescent="0.45">
      <c r="I46" t="s">
        <v>163</v>
      </c>
      <c r="J46" t="s">
        <v>236</v>
      </c>
      <c r="K46">
        <v>1.0423490400801349E-3</v>
      </c>
      <c r="L46" t="s">
        <v>161</v>
      </c>
      <c r="N46" t="s">
        <v>183</v>
      </c>
      <c r="O46" t="s">
        <v>236</v>
      </c>
      <c r="P46">
        <v>2.9593124113003681E-2</v>
      </c>
      <c r="Q46" t="s">
        <v>161</v>
      </c>
      <c r="S46" t="s">
        <v>203</v>
      </c>
      <c r="T46" t="s">
        <v>236</v>
      </c>
      <c r="U46">
        <v>2.7944429190964796E-2</v>
      </c>
      <c r="V46" t="s">
        <v>161</v>
      </c>
      <c r="AK46">
        <v>2030</v>
      </c>
      <c r="AL46" t="s">
        <v>224</v>
      </c>
      <c r="AM46">
        <v>0.20263333333333333</v>
      </c>
      <c r="AN46" t="s">
        <v>218</v>
      </c>
    </row>
    <row r="47" spans="9:40" x14ac:dyDescent="0.45">
      <c r="I47" t="s">
        <v>164</v>
      </c>
      <c r="J47" t="s">
        <v>225</v>
      </c>
      <c r="K47">
        <v>0.14708710301535161</v>
      </c>
      <c r="L47" t="s">
        <v>161</v>
      </c>
      <c r="N47" t="s">
        <v>184</v>
      </c>
      <c r="O47" t="s">
        <v>225</v>
      </c>
      <c r="P47">
        <v>0.10946871851303384</v>
      </c>
      <c r="Q47" t="s">
        <v>161</v>
      </c>
      <c r="S47" t="s">
        <v>204</v>
      </c>
      <c r="T47" t="s">
        <v>225</v>
      </c>
      <c r="U47">
        <v>0.11982067136198235</v>
      </c>
      <c r="V47" t="s">
        <v>161</v>
      </c>
      <c r="AK47">
        <v>2031</v>
      </c>
      <c r="AL47" t="s">
        <v>219</v>
      </c>
      <c r="AM47">
        <v>0.13183333333333333</v>
      </c>
      <c r="AN47" t="s">
        <v>218</v>
      </c>
    </row>
    <row r="48" spans="9:40" x14ac:dyDescent="0.45">
      <c r="I48" t="s">
        <v>164</v>
      </c>
      <c r="J48" t="s">
        <v>226</v>
      </c>
      <c r="K48">
        <v>1.6227727218252818E-4</v>
      </c>
      <c r="L48" t="s">
        <v>161</v>
      </c>
      <c r="N48" t="s">
        <v>184</v>
      </c>
      <c r="O48" t="s">
        <v>226</v>
      </c>
      <c r="P48">
        <v>0.13140511903354546</v>
      </c>
      <c r="Q48" t="s">
        <v>161</v>
      </c>
      <c r="S48" t="s">
        <v>204</v>
      </c>
      <c r="T48" t="s">
        <v>226</v>
      </c>
      <c r="U48">
        <v>0.11887965186303433</v>
      </c>
      <c r="V48" t="s">
        <v>161</v>
      </c>
      <c r="AK48">
        <v>2031</v>
      </c>
      <c r="AL48" t="s">
        <v>221</v>
      </c>
      <c r="AM48">
        <v>0.2084</v>
      </c>
      <c r="AN48" t="s">
        <v>218</v>
      </c>
    </row>
    <row r="49" spans="9:40" x14ac:dyDescent="0.45">
      <c r="I49" t="s">
        <v>164</v>
      </c>
      <c r="J49" t="s">
        <v>227</v>
      </c>
      <c r="K49">
        <v>8.7758758418751033E-3</v>
      </c>
      <c r="L49" t="s">
        <v>161</v>
      </c>
      <c r="N49" t="s">
        <v>184</v>
      </c>
      <c r="O49" t="s">
        <v>227</v>
      </c>
      <c r="P49">
        <v>2.2493619515708396E-2</v>
      </c>
      <c r="Q49" t="s">
        <v>161</v>
      </c>
      <c r="S49" t="s">
        <v>204</v>
      </c>
      <c r="T49" t="s">
        <v>227</v>
      </c>
      <c r="U49">
        <v>2.1122124088813782E-2</v>
      </c>
      <c r="V49" t="s">
        <v>161</v>
      </c>
      <c r="AK49">
        <v>2031</v>
      </c>
      <c r="AL49" t="s">
        <v>222</v>
      </c>
      <c r="AM49">
        <v>0.127</v>
      </c>
      <c r="AN49" t="s">
        <v>218</v>
      </c>
    </row>
    <row r="50" spans="9:40" x14ac:dyDescent="0.45">
      <c r="I50" t="s">
        <v>164</v>
      </c>
      <c r="J50" t="s">
        <v>228</v>
      </c>
      <c r="K50">
        <v>0.31395103547002179</v>
      </c>
      <c r="L50" t="s">
        <v>161</v>
      </c>
      <c r="N50" t="s">
        <v>184</v>
      </c>
      <c r="O50" t="s">
        <v>228</v>
      </c>
      <c r="P50">
        <v>0.10947534836252645</v>
      </c>
      <c r="Q50" t="s">
        <v>161</v>
      </c>
      <c r="S50" t="s">
        <v>204</v>
      </c>
      <c r="T50" t="s">
        <v>228</v>
      </c>
      <c r="U50">
        <v>0.11734366610015415</v>
      </c>
      <c r="V50" t="s">
        <v>161</v>
      </c>
      <c r="AK50">
        <v>2031</v>
      </c>
      <c r="AL50" t="s">
        <v>224</v>
      </c>
      <c r="AM50">
        <v>0.19100000000000003</v>
      </c>
      <c r="AN50" t="s">
        <v>218</v>
      </c>
    </row>
    <row r="51" spans="9:40" x14ac:dyDescent="0.45">
      <c r="I51" t="s">
        <v>164</v>
      </c>
      <c r="J51" t="s">
        <v>229</v>
      </c>
      <c r="K51">
        <v>7.1813480901402422E-3</v>
      </c>
      <c r="L51" t="s">
        <v>161</v>
      </c>
      <c r="N51" t="s">
        <v>184</v>
      </c>
      <c r="O51" t="s">
        <v>229</v>
      </c>
      <c r="P51">
        <v>0.13637158472160399</v>
      </c>
      <c r="Q51" t="s">
        <v>161</v>
      </c>
      <c r="S51" t="s">
        <v>204</v>
      </c>
      <c r="T51" t="s">
        <v>229</v>
      </c>
      <c r="U51">
        <v>0.13072015390398187</v>
      </c>
      <c r="V51" t="s">
        <v>161</v>
      </c>
      <c r="AK51">
        <v>2032</v>
      </c>
      <c r="AL51" t="s">
        <v>219</v>
      </c>
      <c r="AM51">
        <v>0.14176666666666668</v>
      </c>
      <c r="AN51" t="s">
        <v>218</v>
      </c>
    </row>
    <row r="52" spans="9:40" x14ac:dyDescent="0.45">
      <c r="I52" t="s">
        <v>164</v>
      </c>
      <c r="J52" t="s">
        <v>230</v>
      </c>
      <c r="K52">
        <v>3.3247615137482159E-2</v>
      </c>
      <c r="L52" t="s">
        <v>161</v>
      </c>
      <c r="N52" t="s">
        <v>184</v>
      </c>
      <c r="O52" t="s">
        <v>230</v>
      </c>
      <c r="P52">
        <v>2.0863034843362577E-2</v>
      </c>
      <c r="Q52" t="s">
        <v>161</v>
      </c>
      <c r="S52" t="s">
        <v>204</v>
      </c>
      <c r="T52" t="s">
        <v>230</v>
      </c>
      <c r="U52">
        <v>2.2956749737623645E-2</v>
      </c>
      <c r="V52" t="s">
        <v>161</v>
      </c>
      <c r="AK52">
        <v>2032</v>
      </c>
      <c r="AL52" t="s">
        <v>221</v>
      </c>
      <c r="AM52">
        <v>0.20650000000000002</v>
      </c>
      <c r="AN52" t="s">
        <v>218</v>
      </c>
    </row>
    <row r="53" spans="9:40" x14ac:dyDescent="0.45">
      <c r="I53" t="s">
        <v>164</v>
      </c>
      <c r="J53" t="s">
        <v>231</v>
      </c>
      <c r="K53">
        <v>0.35081205409732574</v>
      </c>
      <c r="L53" t="s">
        <v>161</v>
      </c>
      <c r="N53" t="s">
        <v>184</v>
      </c>
      <c r="O53" t="s">
        <v>231</v>
      </c>
      <c r="P53">
        <v>4.6620906311808707E-2</v>
      </c>
      <c r="Q53" t="s">
        <v>161</v>
      </c>
      <c r="S53" t="s">
        <v>204</v>
      </c>
      <c r="T53" t="s">
        <v>231</v>
      </c>
      <c r="U53">
        <v>7.8813371215066652E-2</v>
      </c>
      <c r="V53" t="s">
        <v>161</v>
      </c>
      <c r="AK53">
        <v>2032</v>
      </c>
      <c r="AL53" t="s">
        <v>222</v>
      </c>
      <c r="AM53">
        <v>0.1303</v>
      </c>
      <c r="AN53" t="s">
        <v>218</v>
      </c>
    </row>
    <row r="54" spans="9:40" x14ac:dyDescent="0.45">
      <c r="I54" t="s">
        <v>164</v>
      </c>
      <c r="J54" t="s">
        <v>232</v>
      </c>
      <c r="K54">
        <v>2.3209282062334774E-2</v>
      </c>
      <c r="L54" t="s">
        <v>161</v>
      </c>
      <c r="N54" t="s">
        <v>184</v>
      </c>
      <c r="O54" t="s">
        <v>232</v>
      </c>
      <c r="P54">
        <v>6.5319850311821678E-2</v>
      </c>
      <c r="Q54" t="s">
        <v>161</v>
      </c>
      <c r="S54" t="s">
        <v>204</v>
      </c>
      <c r="T54" t="s">
        <v>232</v>
      </c>
      <c r="U54">
        <v>8.4505500980630921E-2</v>
      </c>
      <c r="V54" t="s">
        <v>161</v>
      </c>
      <c r="AK54">
        <v>2032</v>
      </c>
      <c r="AL54" t="s">
        <v>224</v>
      </c>
      <c r="AM54">
        <v>0.20340000000000003</v>
      </c>
      <c r="AN54" t="s">
        <v>218</v>
      </c>
    </row>
    <row r="55" spans="9:40" x14ac:dyDescent="0.45">
      <c r="I55" t="s">
        <v>164</v>
      </c>
      <c r="J55" t="s">
        <v>233</v>
      </c>
      <c r="K55">
        <v>4.7832000095898372E-2</v>
      </c>
      <c r="L55" t="s">
        <v>161</v>
      </c>
      <c r="N55" t="s">
        <v>184</v>
      </c>
      <c r="O55" t="s">
        <v>233</v>
      </c>
      <c r="P55">
        <v>8.9676002578795606E-3</v>
      </c>
      <c r="Q55" t="s">
        <v>161</v>
      </c>
      <c r="S55" t="s">
        <v>204</v>
      </c>
      <c r="T55" t="s">
        <v>233</v>
      </c>
      <c r="U55">
        <v>1.4632269988108135E-2</v>
      </c>
      <c r="V55" t="s">
        <v>161</v>
      </c>
      <c r="AK55">
        <v>2033</v>
      </c>
      <c r="AL55" t="s">
        <v>219</v>
      </c>
      <c r="AM55">
        <v>0.18843333333333334</v>
      </c>
      <c r="AN55" t="s">
        <v>218</v>
      </c>
    </row>
    <row r="56" spans="9:40" x14ac:dyDescent="0.45">
      <c r="I56" t="s">
        <v>164</v>
      </c>
      <c r="J56" t="s">
        <v>234</v>
      </c>
      <c r="K56">
        <v>6.636719275179645E-2</v>
      </c>
      <c r="L56" t="s">
        <v>161</v>
      </c>
      <c r="N56" t="s">
        <v>184</v>
      </c>
      <c r="O56" t="s">
        <v>234</v>
      </c>
      <c r="P56">
        <v>0.15438467900098837</v>
      </c>
      <c r="Q56" t="s">
        <v>161</v>
      </c>
      <c r="S56" t="s">
        <v>204</v>
      </c>
      <c r="T56" t="s">
        <v>234</v>
      </c>
      <c r="U56">
        <v>0.13450357034105781</v>
      </c>
      <c r="V56" t="s">
        <v>161</v>
      </c>
      <c r="AK56">
        <v>2033</v>
      </c>
      <c r="AL56" t="s">
        <v>221</v>
      </c>
      <c r="AM56">
        <v>0.30043333333333333</v>
      </c>
      <c r="AN56" t="s">
        <v>218</v>
      </c>
    </row>
    <row r="57" spans="9:40" x14ac:dyDescent="0.45">
      <c r="I57" t="s">
        <v>164</v>
      </c>
      <c r="J57" t="s">
        <v>235</v>
      </c>
      <c r="K57">
        <v>0</v>
      </c>
      <c r="L57" t="s">
        <v>161</v>
      </c>
      <c r="N57" t="s">
        <v>184</v>
      </c>
      <c r="O57" t="s">
        <v>235</v>
      </c>
      <c r="P57">
        <v>0.16455222809176043</v>
      </c>
      <c r="Q57" t="s">
        <v>161</v>
      </c>
      <c r="S57" t="s">
        <v>204</v>
      </c>
      <c r="T57" t="s">
        <v>235</v>
      </c>
      <c r="U57">
        <v>0.1315916157396026</v>
      </c>
      <c r="V57" t="s">
        <v>161</v>
      </c>
      <c r="AK57">
        <v>2033</v>
      </c>
      <c r="AL57" t="s">
        <v>222</v>
      </c>
      <c r="AM57">
        <v>0.17813333333333334</v>
      </c>
      <c r="AN57" t="s">
        <v>218</v>
      </c>
    </row>
    <row r="58" spans="9:40" x14ac:dyDescent="0.45">
      <c r="I58" t="s">
        <v>164</v>
      </c>
      <c r="J58" t="s">
        <v>236</v>
      </c>
      <c r="K58">
        <v>1.3742161655913513E-3</v>
      </c>
      <c r="L58" t="s">
        <v>161</v>
      </c>
      <c r="N58" t="s">
        <v>184</v>
      </c>
      <c r="O58" t="s">
        <v>236</v>
      </c>
      <c r="P58">
        <v>3.0077311035960268E-2</v>
      </c>
      <c r="Q58" t="s">
        <v>161</v>
      </c>
      <c r="S58" t="s">
        <v>204</v>
      </c>
      <c r="T58" t="s">
        <v>236</v>
      </c>
      <c r="U58">
        <v>2.5110654679945516E-2</v>
      </c>
      <c r="V58" t="s">
        <v>161</v>
      </c>
      <c r="AK58">
        <v>2033</v>
      </c>
      <c r="AL58" t="s">
        <v>224</v>
      </c>
      <c r="AM58">
        <v>0.2698666666666667</v>
      </c>
      <c r="AN58" t="s">
        <v>218</v>
      </c>
    </row>
    <row r="59" spans="9:40" x14ac:dyDescent="0.45">
      <c r="I59" t="s">
        <v>165</v>
      </c>
      <c r="J59" t="s">
        <v>225</v>
      </c>
      <c r="K59">
        <v>0.15306071796490894</v>
      </c>
      <c r="L59" t="s">
        <v>161</v>
      </c>
      <c r="N59" t="s">
        <v>185</v>
      </c>
      <c r="O59" t="s">
        <v>225</v>
      </c>
      <c r="P59">
        <v>0.11135014475400454</v>
      </c>
      <c r="Q59" t="s">
        <v>161</v>
      </c>
      <c r="S59" t="s">
        <v>205</v>
      </c>
      <c r="T59" t="s">
        <v>225</v>
      </c>
      <c r="U59">
        <v>0.12069133318702717</v>
      </c>
      <c r="V59" t="s">
        <v>161</v>
      </c>
      <c r="AK59">
        <v>2034</v>
      </c>
      <c r="AL59" t="s">
        <v>219</v>
      </c>
      <c r="AM59">
        <v>0.18399999999999997</v>
      </c>
      <c r="AN59" t="s">
        <v>218</v>
      </c>
    </row>
    <row r="60" spans="9:40" x14ac:dyDescent="0.45">
      <c r="I60" t="s">
        <v>165</v>
      </c>
      <c r="J60" t="s">
        <v>226</v>
      </c>
      <c r="K60">
        <v>5.1924181316008167E-5</v>
      </c>
      <c r="L60" t="s">
        <v>161</v>
      </c>
      <c r="N60" t="s">
        <v>185</v>
      </c>
      <c r="O60" t="s">
        <v>226</v>
      </c>
      <c r="P60">
        <v>0.12523937918833844</v>
      </c>
      <c r="Q60" t="s">
        <v>161</v>
      </c>
      <c r="S60" t="s">
        <v>205</v>
      </c>
      <c r="T60" t="s">
        <v>226</v>
      </c>
      <c r="U60">
        <v>0.11787847707137046</v>
      </c>
      <c r="V60" t="s">
        <v>161</v>
      </c>
      <c r="AK60">
        <v>2034</v>
      </c>
      <c r="AL60" t="s">
        <v>221</v>
      </c>
      <c r="AM60">
        <v>0.28463333333333335</v>
      </c>
      <c r="AN60" t="s">
        <v>218</v>
      </c>
    </row>
    <row r="61" spans="9:40" x14ac:dyDescent="0.45">
      <c r="I61" t="s">
        <v>165</v>
      </c>
      <c r="J61" t="s">
        <v>227</v>
      </c>
      <c r="K61">
        <v>7.5713810681285812E-3</v>
      </c>
      <c r="L61" t="s">
        <v>161</v>
      </c>
      <c r="N61" t="s">
        <v>185</v>
      </c>
      <c r="O61" t="s">
        <v>227</v>
      </c>
      <c r="P61">
        <v>2.273160902805535E-2</v>
      </c>
      <c r="Q61" t="s">
        <v>161</v>
      </c>
      <c r="S61" t="s">
        <v>205</v>
      </c>
      <c r="T61" t="s">
        <v>227</v>
      </c>
      <c r="U61">
        <v>2.1978030741242702E-2</v>
      </c>
      <c r="V61" t="s">
        <v>161</v>
      </c>
      <c r="AK61">
        <v>2034</v>
      </c>
      <c r="AL61" t="s">
        <v>222</v>
      </c>
      <c r="AM61">
        <v>0.16866666666666666</v>
      </c>
      <c r="AN61" t="s">
        <v>218</v>
      </c>
    </row>
    <row r="62" spans="9:40" x14ac:dyDescent="0.45">
      <c r="I62" t="s">
        <v>165</v>
      </c>
      <c r="J62" t="s">
        <v>228</v>
      </c>
      <c r="K62">
        <v>0.30904466104260436</v>
      </c>
      <c r="L62" t="s">
        <v>161</v>
      </c>
      <c r="N62" t="s">
        <v>185</v>
      </c>
      <c r="O62" t="s">
        <v>228</v>
      </c>
      <c r="P62">
        <v>0.10821665974140363</v>
      </c>
      <c r="Q62" t="s">
        <v>161</v>
      </c>
      <c r="S62" t="s">
        <v>205</v>
      </c>
      <c r="T62" t="s">
        <v>228</v>
      </c>
      <c r="U62">
        <v>0.11611128322094409</v>
      </c>
      <c r="V62" t="s">
        <v>161</v>
      </c>
      <c r="AK62">
        <v>2034</v>
      </c>
      <c r="AL62" t="s">
        <v>224</v>
      </c>
      <c r="AM62">
        <v>0.24140000000000003</v>
      </c>
      <c r="AN62" t="s">
        <v>218</v>
      </c>
    </row>
    <row r="63" spans="9:40" x14ac:dyDescent="0.45">
      <c r="I63" t="s">
        <v>165</v>
      </c>
      <c r="J63" t="s">
        <v>229</v>
      </c>
      <c r="K63">
        <v>7.0229479043634468E-3</v>
      </c>
      <c r="L63" t="s">
        <v>161</v>
      </c>
      <c r="N63" t="s">
        <v>185</v>
      </c>
      <c r="O63" t="s">
        <v>229</v>
      </c>
      <c r="P63">
        <v>0.13155875233534875</v>
      </c>
      <c r="Q63" t="s">
        <v>161</v>
      </c>
      <c r="S63" t="s">
        <v>205</v>
      </c>
      <c r="T63" t="s">
        <v>229</v>
      </c>
      <c r="U63">
        <v>0.12931316451955482</v>
      </c>
      <c r="V63" t="s">
        <v>161</v>
      </c>
      <c r="AK63">
        <v>2035</v>
      </c>
      <c r="AL63" t="s">
        <v>219</v>
      </c>
      <c r="AM63">
        <v>0.17983333333333332</v>
      </c>
      <c r="AN63" t="s">
        <v>218</v>
      </c>
    </row>
    <row r="64" spans="9:40" x14ac:dyDescent="0.45">
      <c r="I64" t="s">
        <v>165</v>
      </c>
      <c r="J64" t="s">
        <v>230</v>
      </c>
      <c r="K64">
        <v>3.1488766431332534E-2</v>
      </c>
      <c r="L64" t="s">
        <v>161</v>
      </c>
      <c r="N64" t="s">
        <v>185</v>
      </c>
      <c r="O64" t="s">
        <v>230</v>
      </c>
      <c r="P64">
        <v>2.138845617079806E-2</v>
      </c>
      <c r="Q64" t="s">
        <v>161</v>
      </c>
      <c r="S64" t="s">
        <v>205</v>
      </c>
      <c r="T64" t="s">
        <v>230</v>
      </c>
      <c r="U64">
        <v>2.2729308421843928E-2</v>
      </c>
      <c r="V64" t="s">
        <v>161</v>
      </c>
      <c r="AK64">
        <v>2035</v>
      </c>
      <c r="AL64" t="s">
        <v>221</v>
      </c>
      <c r="AM64">
        <v>0.28186666666666671</v>
      </c>
      <c r="AN64" t="s">
        <v>218</v>
      </c>
    </row>
    <row r="65" spans="9:40" x14ac:dyDescent="0.45">
      <c r="I65" t="s">
        <v>165</v>
      </c>
      <c r="J65" t="s">
        <v>231</v>
      </c>
      <c r="K65">
        <v>0.35605034037071298</v>
      </c>
      <c r="L65" t="s">
        <v>161</v>
      </c>
      <c r="N65" t="s">
        <v>185</v>
      </c>
      <c r="O65" t="s">
        <v>231</v>
      </c>
      <c r="P65">
        <v>5.8668681202414745E-2</v>
      </c>
      <c r="Q65" t="s">
        <v>161</v>
      </c>
      <c r="S65" t="s">
        <v>205</v>
      </c>
      <c r="T65" t="s">
        <v>231</v>
      </c>
      <c r="U65">
        <v>7.7587633614700349E-2</v>
      </c>
      <c r="V65" t="s">
        <v>161</v>
      </c>
      <c r="AK65">
        <v>2035</v>
      </c>
      <c r="AL65" t="s">
        <v>222</v>
      </c>
      <c r="AM65">
        <v>0.16830000000000001</v>
      </c>
      <c r="AN65" t="s">
        <v>218</v>
      </c>
    </row>
    <row r="66" spans="9:40" x14ac:dyDescent="0.45">
      <c r="I66" t="s">
        <v>165</v>
      </c>
      <c r="J66" t="s">
        <v>232</v>
      </c>
      <c r="K66">
        <v>2.1971173580011476E-2</v>
      </c>
      <c r="L66" t="s">
        <v>161</v>
      </c>
      <c r="N66" t="s">
        <v>185</v>
      </c>
      <c r="O66" t="s">
        <v>232</v>
      </c>
      <c r="P66">
        <v>7.0800671139349305E-2</v>
      </c>
      <c r="Q66" t="s">
        <v>161</v>
      </c>
      <c r="S66" t="s">
        <v>205</v>
      </c>
      <c r="T66" t="s">
        <v>232</v>
      </c>
      <c r="U66">
        <v>8.0974336852784531E-2</v>
      </c>
      <c r="V66" t="s">
        <v>161</v>
      </c>
      <c r="AK66">
        <v>2035</v>
      </c>
      <c r="AL66" t="s">
        <v>224</v>
      </c>
      <c r="AM66">
        <v>0.25866666666666666</v>
      </c>
      <c r="AN66" t="s">
        <v>218</v>
      </c>
    </row>
    <row r="67" spans="9:40" x14ac:dyDescent="0.45">
      <c r="I67" t="s">
        <v>165</v>
      </c>
      <c r="J67" t="s">
        <v>233</v>
      </c>
      <c r="K67">
        <v>4.4918500259002452E-2</v>
      </c>
      <c r="L67" t="s">
        <v>161</v>
      </c>
      <c r="N67" t="s">
        <v>185</v>
      </c>
      <c r="O67" t="s">
        <v>233</v>
      </c>
      <c r="P67">
        <v>1.2140305739412376E-2</v>
      </c>
      <c r="Q67" t="s">
        <v>161</v>
      </c>
      <c r="S67" t="s">
        <v>205</v>
      </c>
      <c r="T67" t="s">
        <v>233</v>
      </c>
      <c r="U67">
        <v>1.4867512490770606E-2</v>
      </c>
      <c r="V67" t="s">
        <v>161</v>
      </c>
      <c r="AK67">
        <v>2036</v>
      </c>
      <c r="AL67" t="s">
        <v>219</v>
      </c>
      <c r="AM67">
        <v>0.18996666666666664</v>
      </c>
      <c r="AN67" t="s">
        <v>218</v>
      </c>
    </row>
    <row r="68" spans="9:40" x14ac:dyDescent="0.45">
      <c r="I68" t="s">
        <v>165</v>
      </c>
      <c r="J68" t="s">
        <v>234</v>
      </c>
      <c r="K68">
        <v>6.78409002030569E-2</v>
      </c>
      <c r="L68" t="s">
        <v>161</v>
      </c>
      <c r="N68" t="s">
        <v>185</v>
      </c>
      <c r="O68" t="s">
        <v>234</v>
      </c>
      <c r="P68">
        <v>0.15004434639748795</v>
      </c>
      <c r="Q68" t="s">
        <v>161</v>
      </c>
      <c r="S68" t="s">
        <v>205</v>
      </c>
      <c r="T68" t="s">
        <v>234</v>
      </c>
      <c r="U68">
        <v>0.13686245167255945</v>
      </c>
      <c r="V68" t="s">
        <v>161</v>
      </c>
      <c r="AK68">
        <v>2036</v>
      </c>
      <c r="AL68" t="s">
        <v>221</v>
      </c>
      <c r="AM68">
        <v>0.30519999999999997</v>
      </c>
      <c r="AN68" t="s">
        <v>218</v>
      </c>
    </row>
    <row r="69" spans="9:40" x14ac:dyDescent="0.45">
      <c r="I69" t="s">
        <v>165</v>
      </c>
      <c r="J69" t="s">
        <v>235</v>
      </c>
      <c r="K69">
        <v>0</v>
      </c>
      <c r="L69" t="s">
        <v>161</v>
      </c>
      <c r="N69" t="s">
        <v>185</v>
      </c>
      <c r="O69" t="s">
        <v>235</v>
      </c>
      <c r="P69">
        <v>0.15890069655519737</v>
      </c>
      <c r="Q69" t="s">
        <v>161</v>
      </c>
      <c r="S69" t="s">
        <v>205</v>
      </c>
      <c r="T69" t="s">
        <v>235</v>
      </c>
      <c r="U69">
        <v>0.13568491202404137</v>
      </c>
      <c r="V69" t="s">
        <v>161</v>
      </c>
      <c r="AK69">
        <v>2036</v>
      </c>
      <c r="AL69" t="s">
        <v>222</v>
      </c>
      <c r="AM69">
        <v>0.16900000000000001</v>
      </c>
      <c r="AN69" t="s">
        <v>218</v>
      </c>
    </row>
    <row r="70" spans="9:40" x14ac:dyDescent="0.45">
      <c r="I70" t="s">
        <v>165</v>
      </c>
      <c r="J70" t="s">
        <v>236</v>
      </c>
      <c r="K70">
        <v>9.7868699456141921E-4</v>
      </c>
      <c r="L70" t="s">
        <v>161</v>
      </c>
      <c r="N70" t="s">
        <v>185</v>
      </c>
      <c r="O70" t="s">
        <v>236</v>
      </c>
      <c r="P70">
        <v>2.8960297748185919E-2</v>
      </c>
      <c r="Q70" t="s">
        <v>161</v>
      </c>
      <c r="S70" t="s">
        <v>205</v>
      </c>
      <c r="T70" t="s">
        <v>236</v>
      </c>
      <c r="U70">
        <v>2.5321556183160152E-2</v>
      </c>
      <c r="V70" t="s">
        <v>161</v>
      </c>
      <c r="AK70">
        <v>2036</v>
      </c>
      <c r="AL70" t="s">
        <v>224</v>
      </c>
      <c r="AM70">
        <v>0.24666666666666667</v>
      </c>
      <c r="AN70" t="s">
        <v>218</v>
      </c>
    </row>
    <row r="71" spans="9:40" x14ac:dyDescent="0.45">
      <c r="I71" t="s">
        <v>166</v>
      </c>
      <c r="J71" t="s">
        <v>225</v>
      </c>
      <c r="K71">
        <v>0.14351500097566641</v>
      </c>
      <c r="L71" t="s">
        <v>161</v>
      </c>
      <c r="N71" t="s">
        <v>186</v>
      </c>
      <c r="O71" t="s">
        <v>225</v>
      </c>
      <c r="P71">
        <v>0.11251646795448099</v>
      </c>
      <c r="Q71" t="s">
        <v>161</v>
      </c>
      <c r="S71" t="s">
        <v>206</v>
      </c>
      <c r="T71" t="s">
        <v>225</v>
      </c>
      <c r="U71">
        <v>0.1191648951421099</v>
      </c>
      <c r="V71" t="s">
        <v>161</v>
      </c>
      <c r="AK71">
        <v>2037</v>
      </c>
      <c r="AL71" t="s">
        <v>219</v>
      </c>
      <c r="AM71">
        <v>0.1988</v>
      </c>
      <c r="AN71" t="s">
        <v>218</v>
      </c>
    </row>
    <row r="72" spans="9:40" x14ac:dyDescent="0.45">
      <c r="I72" t="s">
        <v>166</v>
      </c>
      <c r="J72" t="s">
        <v>226</v>
      </c>
      <c r="K72">
        <v>0</v>
      </c>
      <c r="L72" t="s">
        <v>161</v>
      </c>
      <c r="N72" t="s">
        <v>186</v>
      </c>
      <c r="O72" t="s">
        <v>226</v>
      </c>
      <c r="P72">
        <v>0.12847513943281205</v>
      </c>
      <c r="Q72" t="s">
        <v>161</v>
      </c>
      <c r="S72" t="s">
        <v>206</v>
      </c>
      <c r="T72" t="s">
        <v>226</v>
      </c>
      <c r="U72">
        <v>0.1190277694420806</v>
      </c>
      <c r="V72" t="s">
        <v>161</v>
      </c>
      <c r="AK72">
        <v>2037</v>
      </c>
      <c r="AL72" t="s">
        <v>221</v>
      </c>
      <c r="AM72">
        <v>0.28876666666666667</v>
      </c>
      <c r="AN72" t="s">
        <v>218</v>
      </c>
    </row>
    <row r="73" spans="9:40" x14ac:dyDescent="0.45">
      <c r="I73" t="s">
        <v>166</v>
      </c>
      <c r="J73" t="s">
        <v>227</v>
      </c>
      <c r="K73">
        <v>6.635092060538748E-3</v>
      </c>
      <c r="L73" t="s">
        <v>161</v>
      </c>
      <c r="N73" t="s">
        <v>186</v>
      </c>
      <c r="O73" t="s">
        <v>227</v>
      </c>
      <c r="P73">
        <v>2.3661258584891487E-2</v>
      </c>
      <c r="Q73" t="s">
        <v>161</v>
      </c>
      <c r="S73" t="s">
        <v>206</v>
      </c>
      <c r="T73" t="s">
        <v>227</v>
      </c>
      <c r="U73">
        <v>2.1670909860085324E-2</v>
      </c>
      <c r="V73" t="s">
        <v>161</v>
      </c>
      <c r="AK73">
        <v>2037</v>
      </c>
      <c r="AL73" t="s">
        <v>222</v>
      </c>
      <c r="AM73">
        <v>0.17</v>
      </c>
      <c r="AN73" t="s">
        <v>218</v>
      </c>
    </row>
    <row r="74" spans="9:40" x14ac:dyDescent="0.45">
      <c r="I74" t="s">
        <v>166</v>
      </c>
      <c r="J74" t="s">
        <v>228</v>
      </c>
      <c r="K74">
        <v>0.33143924208251296</v>
      </c>
      <c r="L74" t="s">
        <v>161</v>
      </c>
      <c r="N74" t="s">
        <v>186</v>
      </c>
      <c r="O74" t="s">
        <v>228</v>
      </c>
      <c r="P74">
        <v>0.10567363678329007</v>
      </c>
      <c r="Q74" t="s">
        <v>161</v>
      </c>
      <c r="S74" t="s">
        <v>206</v>
      </c>
      <c r="T74" t="s">
        <v>228</v>
      </c>
      <c r="U74">
        <v>0.11560554792722924</v>
      </c>
      <c r="V74" t="s">
        <v>161</v>
      </c>
      <c r="AK74">
        <v>2037</v>
      </c>
      <c r="AL74" t="s">
        <v>224</v>
      </c>
      <c r="AM74">
        <v>0.25940000000000002</v>
      </c>
      <c r="AN74" t="s">
        <v>218</v>
      </c>
    </row>
    <row r="75" spans="9:40" x14ac:dyDescent="0.45">
      <c r="I75" t="s">
        <v>166</v>
      </c>
      <c r="J75" t="s">
        <v>229</v>
      </c>
      <c r="K75">
        <v>6.7319439027263396E-3</v>
      </c>
      <c r="L75" t="s">
        <v>161</v>
      </c>
      <c r="N75" t="s">
        <v>186</v>
      </c>
      <c r="O75" t="s">
        <v>229</v>
      </c>
      <c r="P75">
        <v>0.13478121801974247</v>
      </c>
      <c r="Q75" t="s">
        <v>161</v>
      </c>
      <c r="S75" t="s">
        <v>206</v>
      </c>
      <c r="T75" t="s">
        <v>229</v>
      </c>
      <c r="U75">
        <v>0.12678871249107898</v>
      </c>
      <c r="V75" t="s">
        <v>161</v>
      </c>
      <c r="AK75">
        <v>2038</v>
      </c>
      <c r="AL75" t="s">
        <v>219</v>
      </c>
      <c r="AM75">
        <v>0.18346666666666667</v>
      </c>
      <c r="AN75" t="s">
        <v>218</v>
      </c>
    </row>
    <row r="76" spans="9:40" x14ac:dyDescent="0.45">
      <c r="I76" t="s">
        <v>166</v>
      </c>
      <c r="J76" t="s">
        <v>230</v>
      </c>
      <c r="K76">
        <v>2.992786870012229E-2</v>
      </c>
      <c r="L76" t="s">
        <v>161</v>
      </c>
      <c r="N76" t="s">
        <v>186</v>
      </c>
      <c r="O76" t="s">
        <v>230</v>
      </c>
      <c r="P76">
        <v>1.9412951317309364E-2</v>
      </c>
      <c r="Q76" t="s">
        <v>161</v>
      </c>
      <c r="S76" t="s">
        <v>206</v>
      </c>
      <c r="T76" t="s">
        <v>230</v>
      </c>
      <c r="U76">
        <v>2.2279130006976625E-2</v>
      </c>
      <c r="V76" t="s">
        <v>161</v>
      </c>
      <c r="AK76">
        <v>2038</v>
      </c>
      <c r="AL76" t="s">
        <v>221</v>
      </c>
      <c r="AM76">
        <v>0.27763333333333334</v>
      </c>
      <c r="AN76" t="s">
        <v>218</v>
      </c>
    </row>
    <row r="77" spans="9:40" x14ac:dyDescent="0.45">
      <c r="I77" t="s">
        <v>166</v>
      </c>
      <c r="J77" t="s">
        <v>231</v>
      </c>
      <c r="K77">
        <v>0.35168363556636817</v>
      </c>
      <c r="L77" t="s">
        <v>161</v>
      </c>
      <c r="N77" t="s">
        <v>186</v>
      </c>
      <c r="O77" t="s">
        <v>231</v>
      </c>
      <c r="P77">
        <v>5.7125379145429443E-2</v>
      </c>
      <c r="Q77" t="s">
        <v>161</v>
      </c>
      <c r="S77" t="s">
        <v>206</v>
      </c>
      <c r="T77" t="s">
        <v>231</v>
      </c>
      <c r="U77">
        <v>7.8434441669920654E-2</v>
      </c>
      <c r="V77" t="s">
        <v>161</v>
      </c>
      <c r="AK77">
        <v>2038</v>
      </c>
      <c r="AL77" t="s">
        <v>222</v>
      </c>
      <c r="AM77">
        <v>0.17176666666666665</v>
      </c>
      <c r="AN77" t="s">
        <v>218</v>
      </c>
    </row>
    <row r="78" spans="9:40" x14ac:dyDescent="0.45">
      <c r="I78" t="s">
        <v>166</v>
      </c>
      <c r="J78" t="s">
        <v>232</v>
      </c>
      <c r="K78">
        <v>2.15161621680236E-2</v>
      </c>
      <c r="L78" t="s">
        <v>161</v>
      </c>
      <c r="N78" t="s">
        <v>186</v>
      </c>
      <c r="O78" t="s">
        <v>232</v>
      </c>
      <c r="P78">
        <v>7.3005474401008408E-2</v>
      </c>
      <c r="Q78" t="s">
        <v>161</v>
      </c>
      <c r="S78" t="s">
        <v>206</v>
      </c>
      <c r="T78" t="s">
        <v>232</v>
      </c>
      <c r="U78">
        <v>7.9599732291879305E-2</v>
      </c>
      <c r="V78" t="s">
        <v>161</v>
      </c>
      <c r="AK78">
        <v>2038</v>
      </c>
      <c r="AL78" t="s">
        <v>224</v>
      </c>
      <c r="AM78">
        <v>0.27460000000000001</v>
      </c>
      <c r="AN78" t="s">
        <v>218</v>
      </c>
    </row>
    <row r="79" spans="9:40" x14ac:dyDescent="0.45">
      <c r="I79" t="s">
        <v>166</v>
      </c>
      <c r="J79" t="s">
        <v>233</v>
      </c>
      <c r="K79">
        <v>4.1873991268462481E-2</v>
      </c>
      <c r="L79" t="s">
        <v>161</v>
      </c>
      <c r="N79" t="s">
        <v>186</v>
      </c>
      <c r="O79" t="s">
        <v>233</v>
      </c>
      <c r="P79">
        <v>1.1551367050975758E-2</v>
      </c>
      <c r="Q79" t="s">
        <v>161</v>
      </c>
      <c r="S79" t="s">
        <v>206</v>
      </c>
      <c r="T79" t="s">
        <v>233</v>
      </c>
      <c r="U79">
        <v>1.4232513379819393E-2</v>
      </c>
      <c r="V79" t="s">
        <v>161</v>
      </c>
      <c r="AK79">
        <v>2039</v>
      </c>
      <c r="AL79" t="s">
        <v>219</v>
      </c>
      <c r="AM79">
        <v>0.17120000000000002</v>
      </c>
      <c r="AN79" t="s">
        <v>218</v>
      </c>
    </row>
    <row r="80" spans="9:40" x14ac:dyDescent="0.45">
      <c r="I80" t="s">
        <v>166</v>
      </c>
      <c r="J80" t="s">
        <v>234</v>
      </c>
      <c r="K80">
        <v>6.6043108687498547E-2</v>
      </c>
      <c r="L80" t="s">
        <v>161</v>
      </c>
      <c r="N80" t="s">
        <v>186</v>
      </c>
      <c r="O80" t="s">
        <v>234</v>
      </c>
      <c r="P80">
        <v>0.14808177129134395</v>
      </c>
      <c r="Q80" t="s">
        <v>161</v>
      </c>
      <c r="S80" t="s">
        <v>206</v>
      </c>
      <c r="T80" t="s">
        <v>234</v>
      </c>
      <c r="U80">
        <v>0.1391332231820803</v>
      </c>
      <c r="V80" t="s">
        <v>161</v>
      </c>
      <c r="AK80">
        <v>2039</v>
      </c>
      <c r="AL80" t="s">
        <v>221</v>
      </c>
      <c r="AM80">
        <v>0.24663333333333334</v>
      </c>
      <c r="AN80" t="s">
        <v>218</v>
      </c>
    </row>
    <row r="81" spans="9:40" x14ac:dyDescent="0.45">
      <c r="I81" t="s">
        <v>166</v>
      </c>
      <c r="J81" t="s">
        <v>235</v>
      </c>
      <c r="K81">
        <v>0</v>
      </c>
      <c r="L81" t="s">
        <v>161</v>
      </c>
      <c r="N81" t="s">
        <v>186</v>
      </c>
      <c r="O81" t="s">
        <v>235</v>
      </c>
      <c r="P81">
        <v>0.15667096753272386</v>
      </c>
      <c r="Q81" t="s">
        <v>161</v>
      </c>
      <c r="S81" t="s">
        <v>206</v>
      </c>
      <c r="T81" t="s">
        <v>235</v>
      </c>
      <c r="U81">
        <v>0.13782428409537642</v>
      </c>
      <c r="V81" t="s">
        <v>161</v>
      </c>
      <c r="AK81">
        <v>2039</v>
      </c>
      <c r="AL81" t="s">
        <v>222</v>
      </c>
      <c r="AM81">
        <v>0.15043333333333334</v>
      </c>
      <c r="AN81" t="s">
        <v>218</v>
      </c>
    </row>
    <row r="82" spans="9:40" x14ac:dyDescent="0.45">
      <c r="I82" t="s">
        <v>166</v>
      </c>
      <c r="J82" t="s">
        <v>236</v>
      </c>
      <c r="K82">
        <v>6.3395458808286208E-4</v>
      </c>
      <c r="L82" t="s">
        <v>161</v>
      </c>
      <c r="N82" t="s">
        <v>186</v>
      </c>
      <c r="O82" t="s">
        <v>236</v>
      </c>
      <c r="P82">
        <v>2.9044368485990131E-2</v>
      </c>
      <c r="Q82" t="s">
        <v>161</v>
      </c>
      <c r="S82" t="s">
        <v>206</v>
      </c>
      <c r="T82" t="s">
        <v>236</v>
      </c>
      <c r="U82">
        <v>2.6238840511363912E-2</v>
      </c>
      <c r="V82" t="s">
        <v>161</v>
      </c>
      <c r="AK82">
        <v>2039</v>
      </c>
      <c r="AL82" t="s">
        <v>224</v>
      </c>
      <c r="AM82">
        <v>0.23576666666666665</v>
      </c>
      <c r="AN82" t="s">
        <v>218</v>
      </c>
    </row>
    <row r="83" spans="9:40" x14ac:dyDescent="0.45">
      <c r="I83" t="s">
        <v>167</v>
      </c>
      <c r="J83" t="s">
        <v>225</v>
      </c>
      <c r="K83">
        <v>0.14621008860179133</v>
      </c>
      <c r="L83" t="s">
        <v>161</v>
      </c>
      <c r="N83" t="s">
        <v>187</v>
      </c>
      <c r="O83" t="s">
        <v>225</v>
      </c>
      <c r="P83">
        <v>0.10703920986815968</v>
      </c>
      <c r="Q83" t="s">
        <v>161</v>
      </c>
      <c r="S83" t="s">
        <v>207</v>
      </c>
      <c r="T83" t="s">
        <v>225</v>
      </c>
      <c r="U83">
        <v>0.12334259709019253</v>
      </c>
      <c r="V83" t="s">
        <v>161</v>
      </c>
      <c r="AK83">
        <v>2040</v>
      </c>
      <c r="AL83" t="s">
        <v>219</v>
      </c>
      <c r="AM83">
        <v>0.17123333333333332</v>
      </c>
      <c r="AN83" t="s">
        <v>218</v>
      </c>
    </row>
    <row r="84" spans="9:40" x14ac:dyDescent="0.45">
      <c r="I84" t="s">
        <v>167</v>
      </c>
      <c r="J84" t="s">
        <v>226</v>
      </c>
      <c r="K84">
        <v>6.1766302427554196E-5</v>
      </c>
      <c r="L84" t="s">
        <v>161</v>
      </c>
      <c r="N84" t="s">
        <v>187</v>
      </c>
      <c r="O84" t="s">
        <v>226</v>
      </c>
      <c r="P84">
        <v>0.12550234749102124</v>
      </c>
      <c r="Q84" t="s">
        <v>161</v>
      </c>
      <c r="S84" t="s">
        <v>207</v>
      </c>
      <c r="T84" t="s">
        <v>226</v>
      </c>
      <c r="U84">
        <v>0.12920277810737035</v>
      </c>
      <c r="V84" t="s">
        <v>161</v>
      </c>
      <c r="AK84">
        <v>2040</v>
      </c>
      <c r="AL84" t="s">
        <v>221</v>
      </c>
      <c r="AM84">
        <v>0.24586666666666668</v>
      </c>
      <c r="AN84" t="s">
        <v>218</v>
      </c>
    </row>
    <row r="85" spans="9:40" x14ac:dyDescent="0.45">
      <c r="I85" t="s">
        <v>167</v>
      </c>
      <c r="J85" t="s">
        <v>227</v>
      </c>
      <c r="K85">
        <v>8.9407803422826299E-3</v>
      </c>
      <c r="L85" t="s">
        <v>161</v>
      </c>
      <c r="N85" t="s">
        <v>187</v>
      </c>
      <c r="O85" t="s">
        <v>227</v>
      </c>
      <c r="P85">
        <v>2.253867290105167E-2</v>
      </c>
      <c r="Q85" t="s">
        <v>161</v>
      </c>
      <c r="S85" t="s">
        <v>207</v>
      </c>
      <c r="T85" t="s">
        <v>227</v>
      </c>
      <c r="U85">
        <v>2.3727873062267132E-2</v>
      </c>
      <c r="V85" t="s">
        <v>161</v>
      </c>
      <c r="AK85">
        <v>2040</v>
      </c>
      <c r="AL85" t="s">
        <v>222</v>
      </c>
      <c r="AM85">
        <v>0.14873333333333336</v>
      </c>
      <c r="AN85" t="s">
        <v>218</v>
      </c>
    </row>
    <row r="86" spans="9:40" x14ac:dyDescent="0.45">
      <c r="I86" t="s">
        <v>167</v>
      </c>
      <c r="J86" t="s">
        <v>228</v>
      </c>
      <c r="K86">
        <v>0.32401165331803494</v>
      </c>
      <c r="L86" t="s">
        <v>161</v>
      </c>
      <c r="N86" t="s">
        <v>187</v>
      </c>
      <c r="O86" t="s">
        <v>228</v>
      </c>
      <c r="P86">
        <v>0.10932710460134</v>
      </c>
      <c r="Q86" t="s">
        <v>161</v>
      </c>
      <c r="S86" t="s">
        <v>207</v>
      </c>
      <c r="T86" t="s">
        <v>228</v>
      </c>
      <c r="U86">
        <v>0.10428638148282789</v>
      </c>
      <c r="V86" t="s">
        <v>161</v>
      </c>
      <c r="AK86">
        <v>2040</v>
      </c>
      <c r="AL86" t="s">
        <v>224</v>
      </c>
      <c r="AM86">
        <v>0.22436666666666669</v>
      </c>
      <c r="AN86" t="s">
        <v>218</v>
      </c>
    </row>
    <row r="87" spans="9:40" x14ac:dyDescent="0.45">
      <c r="I87" t="s">
        <v>167</v>
      </c>
      <c r="J87" t="s">
        <v>229</v>
      </c>
      <c r="K87">
        <v>8.5465713579776972E-3</v>
      </c>
      <c r="L87" t="s">
        <v>161</v>
      </c>
      <c r="N87" t="s">
        <v>187</v>
      </c>
      <c r="O87" t="s">
        <v>229</v>
      </c>
      <c r="P87">
        <v>0.13484076770693604</v>
      </c>
      <c r="Q87" t="s">
        <v>161</v>
      </c>
      <c r="S87" t="s">
        <v>207</v>
      </c>
      <c r="T87" t="s">
        <v>229</v>
      </c>
      <c r="U87">
        <v>0.11566897519877621</v>
      </c>
      <c r="V87" t="s">
        <v>161</v>
      </c>
      <c r="AK87">
        <v>2041</v>
      </c>
      <c r="AL87" t="s">
        <v>219</v>
      </c>
      <c r="AM87">
        <v>0.16469999999999999</v>
      </c>
      <c r="AN87" t="s">
        <v>218</v>
      </c>
    </row>
    <row r="88" spans="9:40" x14ac:dyDescent="0.45">
      <c r="I88" t="s">
        <v>167</v>
      </c>
      <c r="J88" t="s">
        <v>230</v>
      </c>
      <c r="K88">
        <v>3.6705610163595803E-2</v>
      </c>
      <c r="L88" t="s">
        <v>161</v>
      </c>
      <c r="N88" t="s">
        <v>187</v>
      </c>
      <c r="O88" t="s">
        <v>230</v>
      </c>
      <c r="P88">
        <v>2.1264789329261319E-2</v>
      </c>
      <c r="Q88" t="s">
        <v>161</v>
      </c>
      <c r="S88" t="s">
        <v>207</v>
      </c>
      <c r="T88" t="s">
        <v>230</v>
      </c>
      <c r="U88">
        <v>2.0509898065753977E-2</v>
      </c>
      <c r="V88" t="s">
        <v>161</v>
      </c>
      <c r="AK88">
        <v>2041</v>
      </c>
      <c r="AL88" t="s">
        <v>221</v>
      </c>
      <c r="AM88">
        <v>0.25883333333333336</v>
      </c>
      <c r="AN88" t="s">
        <v>218</v>
      </c>
    </row>
    <row r="89" spans="9:40" x14ac:dyDescent="0.45">
      <c r="I89" t="s">
        <v>167</v>
      </c>
      <c r="J89" t="s">
        <v>231</v>
      </c>
      <c r="K89">
        <v>0.33947074972025343</v>
      </c>
      <c r="L89" t="s">
        <v>161</v>
      </c>
      <c r="N89" t="s">
        <v>187</v>
      </c>
      <c r="O89" t="s">
        <v>231</v>
      </c>
      <c r="P89">
        <v>5.540608613493761E-2</v>
      </c>
      <c r="Q89" t="s">
        <v>161</v>
      </c>
      <c r="S89" t="s">
        <v>207</v>
      </c>
      <c r="T89" t="s">
        <v>231</v>
      </c>
      <c r="U89">
        <v>7.7329660704891293E-2</v>
      </c>
      <c r="V89" t="s">
        <v>161</v>
      </c>
      <c r="AK89">
        <v>2041</v>
      </c>
      <c r="AL89" t="s">
        <v>222</v>
      </c>
      <c r="AM89">
        <v>0.15066666666666664</v>
      </c>
      <c r="AN89" t="s">
        <v>218</v>
      </c>
    </row>
    <row r="90" spans="9:40" x14ac:dyDescent="0.45">
      <c r="I90" t="s">
        <v>167</v>
      </c>
      <c r="J90" t="s">
        <v>232</v>
      </c>
      <c r="K90">
        <v>2.4150738012662095E-2</v>
      </c>
      <c r="L90" t="s">
        <v>161</v>
      </c>
      <c r="N90" t="s">
        <v>187</v>
      </c>
      <c r="O90" t="s">
        <v>232</v>
      </c>
      <c r="P90">
        <v>7.1167662929517775E-2</v>
      </c>
      <c r="Q90" t="s">
        <v>161</v>
      </c>
      <c r="S90" t="s">
        <v>207</v>
      </c>
      <c r="T90" t="s">
        <v>232</v>
      </c>
      <c r="U90">
        <v>7.8432096674225654E-2</v>
      </c>
      <c r="V90" t="s">
        <v>161</v>
      </c>
      <c r="AK90">
        <v>2041</v>
      </c>
      <c r="AL90" t="s">
        <v>224</v>
      </c>
      <c r="AM90">
        <v>0.22919999999999999</v>
      </c>
      <c r="AN90" t="s">
        <v>218</v>
      </c>
    </row>
    <row r="91" spans="9:40" x14ac:dyDescent="0.45">
      <c r="I91" t="s">
        <v>167</v>
      </c>
      <c r="J91" t="s">
        <v>233</v>
      </c>
      <c r="K91">
        <v>4.8775676099112958E-2</v>
      </c>
      <c r="L91" t="s">
        <v>161</v>
      </c>
      <c r="N91" t="s">
        <v>187</v>
      </c>
      <c r="O91" t="s">
        <v>233</v>
      </c>
      <c r="P91">
        <v>1.211980309359233E-2</v>
      </c>
      <c r="Q91" t="s">
        <v>161</v>
      </c>
      <c r="S91" t="s">
        <v>207</v>
      </c>
      <c r="T91" t="s">
        <v>233</v>
      </c>
      <c r="U91">
        <v>1.3851232796589969E-2</v>
      </c>
      <c r="V91" t="s">
        <v>161</v>
      </c>
      <c r="AK91">
        <v>2042</v>
      </c>
      <c r="AL91" t="s">
        <v>219</v>
      </c>
      <c r="AM91">
        <v>0.17419999999999999</v>
      </c>
      <c r="AN91" t="s">
        <v>218</v>
      </c>
    </row>
    <row r="92" spans="9:40" x14ac:dyDescent="0.45">
      <c r="I92" t="s">
        <v>167</v>
      </c>
      <c r="J92" t="s">
        <v>234</v>
      </c>
      <c r="K92">
        <v>6.1967918960960974E-2</v>
      </c>
      <c r="L92" t="s">
        <v>161</v>
      </c>
      <c r="N92" t="s">
        <v>187</v>
      </c>
      <c r="O92" t="s">
        <v>234</v>
      </c>
      <c r="P92">
        <v>0.15083286836738852</v>
      </c>
      <c r="Q92" t="s">
        <v>161</v>
      </c>
      <c r="S92" t="s">
        <v>207</v>
      </c>
      <c r="T92" t="s">
        <v>234</v>
      </c>
      <c r="U92">
        <v>0.14463082254994009</v>
      </c>
      <c r="V92" t="s">
        <v>161</v>
      </c>
      <c r="AK92">
        <v>2042</v>
      </c>
      <c r="AL92" t="s">
        <v>221</v>
      </c>
      <c r="AM92">
        <v>0.27343333333333336</v>
      </c>
      <c r="AN92" t="s">
        <v>218</v>
      </c>
    </row>
    <row r="93" spans="9:40" x14ac:dyDescent="0.45">
      <c r="I93" t="s">
        <v>167</v>
      </c>
      <c r="J93" t="s">
        <v>235</v>
      </c>
      <c r="K93">
        <v>0</v>
      </c>
      <c r="L93" t="s">
        <v>161</v>
      </c>
      <c r="N93" t="s">
        <v>187</v>
      </c>
      <c r="O93" t="s">
        <v>235</v>
      </c>
      <c r="P93">
        <v>0.16096125278145412</v>
      </c>
      <c r="Q93" t="s">
        <v>161</v>
      </c>
      <c r="S93" t="s">
        <v>207</v>
      </c>
      <c r="T93" t="s">
        <v>235</v>
      </c>
      <c r="U93">
        <v>0.1412662121093213</v>
      </c>
      <c r="V93" t="s">
        <v>161</v>
      </c>
      <c r="AK93">
        <v>2042</v>
      </c>
      <c r="AL93" t="s">
        <v>222</v>
      </c>
      <c r="AM93">
        <v>0.17646666666666666</v>
      </c>
      <c r="AN93" t="s">
        <v>218</v>
      </c>
    </row>
    <row r="94" spans="9:40" x14ac:dyDescent="0.45">
      <c r="I94" t="s">
        <v>167</v>
      </c>
      <c r="J94" t="s">
        <v>236</v>
      </c>
      <c r="K94">
        <v>1.1584471209004344E-3</v>
      </c>
      <c r="L94" t="s">
        <v>161</v>
      </c>
      <c r="N94" t="s">
        <v>187</v>
      </c>
      <c r="O94" t="s">
        <v>236</v>
      </c>
      <c r="P94">
        <v>2.8999434795341946E-2</v>
      </c>
      <c r="Q94" t="s">
        <v>161</v>
      </c>
      <c r="S94" t="s">
        <v>207</v>
      </c>
      <c r="T94" t="s">
        <v>236</v>
      </c>
      <c r="U94">
        <v>2.7751472157843508E-2</v>
      </c>
      <c r="V94" t="s">
        <v>161</v>
      </c>
      <c r="AK94">
        <v>2042</v>
      </c>
      <c r="AL94" t="s">
        <v>224</v>
      </c>
      <c r="AM94">
        <v>0.25779999999999997</v>
      </c>
      <c r="AN94" t="s">
        <v>218</v>
      </c>
    </row>
    <row r="95" spans="9:40" x14ac:dyDescent="0.45">
      <c r="I95" t="s">
        <v>168</v>
      </c>
      <c r="J95" t="s">
        <v>225</v>
      </c>
      <c r="K95">
        <v>0.14799362982673261</v>
      </c>
      <c r="L95" t="s">
        <v>161</v>
      </c>
      <c r="N95" t="s">
        <v>188</v>
      </c>
      <c r="O95" t="s">
        <v>225</v>
      </c>
      <c r="P95">
        <v>0.11464150902267597</v>
      </c>
      <c r="Q95" t="s">
        <v>161</v>
      </c>
      <c r="S95" t="s">
        <v>208</v>
      </c>
      <c r="T95" t="s">
        <v>225</v>
      </c>
      <c r="U95">
        <v>0.11679550885690326</v>
      </c>
      <c r="V95" t="s">
        <v>161</v>
      </c>
      <c r="AK95">
        <v>2043</v>
      </c>
      <c r="AL95" t="s">
        <v>219</v>
      </c>
      <c r="AM95">
        <v>0.1859666666666667</v>
      </c>
      <c r="AN95" t="s">
        <v>218</v>
      </c>
    </row>
    <row r="96" spans="9:40" x14ac:dyDescent="0.45">
      <c r="I96" t="s">
        <v>168</v>
      </c>
      <c r="J96" t="s">
        <v>226</v>
      </c>
      <c r="K96">
        <v>0</v>
      </c>
      <c r="L96" t="s">
        <v>161</v>
      </c>
      <c r="N96" t="s">
        <v>188</v>
      </c>
      <c r="O96" t="s">
        <v>226</v>
      </c>
      <c r="P96">
        <v>0.12886300796776501</v>
      </c>
      <c r="Q96" t="s">
        <v>161</v>
      </c>
      <c r="S96" t="s">
        <v>208</v>
      </c>
      <c r="T96" t="s">
        <v>226</v>
      </c>
      <c r="U96">
        <v>0.12232246636659101</v>
      </c>
      <c r="V96" t="s">
        <v>161</v>
      </c>
      <c r="AK96">
        <v>2043</v>
      </c>
      <c r="AL96" t="s">
        <v>221</v>
      </c>
      <c r="AM96">
        <v>0.28320000000000001</v>
      </c>
      <c r="AN96" t="s">
        <v>218</v>
      </c>
    </row>
    <row r="97" spans="9:40" x14ac:dyDescent="0.45">
      <c r="I97" t="s">
        <v>168</v>
      </c>
      <c r="J97" t="s">
        <v>227</v>
      </c>
      <c r="K97">
        <v>7.6980630824023235E-3</v>
      </c>
      <c r="L97" t="s">
        <v>161</v>
      </c>
      <c r="N97" t="s">
        <v>188</v>
      </c>
      <c r="O97" t="s">
        <v>227</v>
      </c>
      <c r="P97">
        <v>2.2909571201892846E-2</v>
      </c>
      <c r="Q97" t="s">
        <v>161</v>
      </c>
      <c r="S97" t="s">
        <v>208</v>
      </c>
      <c r="T97" t="s">
        <v>227</v>
      </c>
      <c r="U97">
        <v>2.2474141521346417E-2</v>
      </c>
      <c r="V97" t="s">
        <v>161</v>
      </c>
      <c r="AK97">
        <v>2043</v>
      </c>
      <c r="AL97" t="s">
        <v>222</v>
      </c>
      <c r="AM97">
        <v>0.17396666666666669</v>
      </c>
      <c r="AN97" t="s">
        <v>218</v>
      </c>
    </row>
    <row r="98" spans="9:40" x14ac:dyDescent="0.45">
      <c r="I98" t="s">
        <v>168</v>
      </c>
      <c r="J98" t="s">
        <v>228</v>
      </c>
      <c r="K98">
        <v>0.33254590633469266</v>
      </c>
      <c r="L98" t="s">
        <v>161</v>
      </c>
      <c r="N98" t="s">
        <v>188</v>
      </c>
      <c r="O98" t="s">
        <v>228</v>
      </c>
      <c r="P98">
        <v>0.10262542910225293</v>
      </c>
      <c r="Q98" t="s">
        <v>161</v>
      </c>
      <c r="S98" t="s">
        <v>208</v>
      </c>
      <c r="T98" t="s">
        <v>228</v>
      </c>
      <c r="U98">
        <v>0.11251904487028977</v>
      </c>
      <c r="V98" t="s">
        <v>161</v>
      </c>
      <c r="AK98">
        <v>2043</v>
      </c>
      <c r="AL98" t="s">
        <v>224</v>
      </c>
      <c r="AM98">
        <v>0.26629999999999998</v>
      </c>
      <c r="AN98" t="s">
        <v>218</v>
      </c>
    </row>
    <row r="99" spans="9:40" x14ac:dyDescent="0.45">
      <c r="I99" t="s">
        <v>168</v>
      </c>
      <c r="J99" t="s">
        <v>229</v>
      </c>
      <c r="K99">
        <v>7.4482394608312852E-3</v>
      </c>
      <c r="L99" t="s">
        <v>161</v>
      </c>
      <c r="N99" t="s">
        <v>188</v>
      </c>
      <c r="O99" t="s">
        <v>229</v>
      </c>
      <c r="P99">
        <v>0.12462143346266699</v>
      </c>
      <c r="Q99" t="s">
        <v>161</v>
      </c>
      <c r="S99" t="s">
        <v>208</v>
      </c>
      <c r="T99" t="s">
        <v>229</v>
      </c>
      <c r="U99">
        <v>0.12357619677336053</v>
      </c>
      <c r="V99" t="s">
        <v>161</v>
      </c>
      <c r="AK99">
        <v>2044</v>
      </c>
      <c r="AL99" t="s">
        <v>219</v>
      </c>
      <c r="AM99">
        <v>0.19473333333333334</v>
      </c>
      <c r="AN99" t="s">
        <v>218</v>
      </c>
    </row>
    <row r="100" spans="9:40" x14ac:dyDescent="0.45">
      <c r="I100" t="s">
        <v>168</v>
      </c>
      <c r="J100" t="s">
        <v>230</v>
      </c>
      <c r="K100">
        <v>3.3071592253489622E-2</v>
      </c>
      <c r="L100" t="s">
        <v>161</v>
      </c>
      <c r="N100" t="s">
        <v>188</v>
      </c>
      <c r="O100" t="s">
        <v>230</v>
      </c>
      <c r="P100">
        <v>1.9652028075263415E-2</v>
      </c>
      <c r="Q100" t="s">
        <v>161</v>
      </c>
      <c r="S100" t="s">
        <v>208</v>
      </c>
      <c r="T100" t="s">
        <v>230</v>
      </c>
      <c r="U100">
        <v>2.225062496267334E-2</v>
      </c>
      <c r="V100" t="s">
        <v>161</v>
      </c>
      <c r="AK100">
        <v>2044</v>
      </c>
      <c r="AL100" t="s">
        <v>221</v>
      </c>
      <c r="AM100">
        <v>0.28893333333333332</v>
      </c>
      <c r="AN100" t="s">
        <v>218</v>
      </c>
    </row>
    <row r="101" spans="9:40" x14ac:dyDescent="0.45">
      <c r="I101" t="s">
        <v>168</v>
      </c>
      <c r="J101" t="s">
        <v>231</v>
      </c>
      <c r="K101">
        <v>0.340145355066793</v>
      </c>
      <c r="L101" t="s">
        <v>161</v>
      </c>
      <c r="N101" t="s">
        <v>188</v>
      </c>
      <c r="O101" t="s">
        <v>231</v>
      </c>
      <c r="P101">
        <v>6.3403509677820019E-2</v>
      </c>
      <c r="Q101" t="s">
        <v>161</v>
      </c>
      <c r="S101" t="s">
        <v>208</v>
      </c>
      <c r="T101" t="s">
        <v>231</v>
      </c>
      <c r="U101">
        <v>7.9499402055545926E-2</v>
      </c>
      <c r="V101" t="s">
        <v>161</v>
      </c>
      <c r="AK101">
        <v>2044</v>
      </c>
      <c r="AL101" t="s">
        <v>222</v>
      </c>
      <c r="AM101">
        <v>0.17733333333333334</v>
      </c>
      <c r="AN101" t="s">
        <v>218</v>
      </c>
    </row>
    <row r="102" spans="9:40" x14ac:dyDescent="0.45">
      <c r="I102" t="s">
        <v>168</v>
      </c>
      <c r="J102" t="s">
        <v>232</v>
      </c>
      <c r="K102">
        <v>2.1693016944948924E-2</v>
      </c>
      <c r="L102" t="s">
        <v>161</v>
      </c>
      <c r="N102" t="s">
        <v>188</v>
      </c>
      <c r="O102" t="s">
        <v>232</v>
      </c>
      <c r="P102">
        <v>6.96878496091934E-2</v>
      </c>
      <c r="Q102" t="s">
        <v>161</v>
      </c>
      <c r="S102" t="s">
        <v>208</v>
      </c>
      <c r="T102" t="s">
        <v>232</v>
      </c>
      <c r="U102">
        <v>8.9602894272889963E-2</v>
      </c>
      <c r="V102" t="s">
        <v>161</v>
      </c>
      <c r="AK102">
        <v>2044</v>
      </c>
      <c r="AL102" t="s">
        <v>224</v>
      </c>
      <c r="AM102">
        <v>0.26203333333333334</v>
      </c>
      <c r="AN102" t="s">
        <v>218</v>
      </c>
    </row>
    <row r="103" spans="9:40" x14ac:dyDescent="0.45">
      <c r="I103" t="s">
        <v>168</v>
      </c>
      <c r="J103" t="s">
        <v>233</v>
      </c>
      <c r="K103">
        <v>4.3196721735601941E-2</v>
      </c>
      <c r="L103" t="s">
        <v>161</v>
      </c>
      <c r="N103" t="s">
        <v>188</v>
      </c>
      <c r="O103" t="s">
        <v>233</v>
      </c>
      <c r="P103">
        <v>1.2809650150455352E-2</v>
      </c>
      <c r="Q103" t="s">
        <v>161</v>
      </c>
      <c r="S103" t="s">
        <v>208</v>
      </c>
      <c r="T103" t="s">
        <v>233</v>
      </c>
      <c r="U103">
        <v>1.6354871135072134E-2</v>
      </c>
      <c r="V103" t="s">
        <v>161</v>
      </c>
      <c r="AK103">
        <v>2045</v>
      </c>
      <c r="AL103" t="s">
        <v>219</v>
      </c>
      <c r="AM103">
        <v>0.13870000000000002</v>
      </c>
      <c r="AN103" t="s">
        <v>218</v>
      </c>
    </row>
    <row r="104" spans="9:40" x14ac:dyDescent="0.45">
      <c r="I104" t="s">
        <v>168</v>
      </c>
      <c r="J104" t="s">
        <v>234</v>
      </c>
      <c r="K104">
        <v>6.5372083222867014E-2</v>
      </c>
      <c r="L104" t="s">
        <v>161</v>
      </c>
      <c r="N104" t="s">
        <v>188</v>
      </c>
      <c r="O104" t="s">
        <v>234</v>
      </c>
      <c r="P104">
        <v>0.14885337491726194</v>
      </c>
      <c r="Q104" t="s">
        <v>161</v>
      </c>
      <c r="S104" t="s">
        <v>208</v>
      </c>
      <c r="T104" t="s">
        <v>234</v>
      </c>
      <c r="U104">
        <v>0.13445805852412235</v>
      </c>
      <c r="V104" t="s">
        <v>161</v>
      </c>
      <c r="AK104">
        <v>2045</v>
      </c>
      <c r="AL104" t="s">
        <v>221</v>
      </c>
      <c r="AM104">
        <v>0.20860000000000001</v>
      </c>
      <c r="AN104" t="s">
        <v>218</v>
      </c>
    </row>
    <row r="105" spans="9:40" x14ac:dyDescent="0.45">
      <c r="I105" t="s">
        <v>168</v>
      </c>
      <c r="J105" t="s">
        <v>235</v>
      </c>
      <c r="K105">
        <v>0</v>
      </c>
      <c r="L105" t="s">
        <v>161</v>
      </c>
      <c r="N105" t="s">
        <v>188</v>
      </c>
      <c r="O105" t="s">
        <v>235</v>
      </c>
      <c r="P105">
        <v>0.16277486001948011</v>
      </c>
      <c r="Q105" t="s">
        <v>161</v>
      </c>
      <c r="S105" t="s">
        <v>208</v>
      </c>
      <c r="T105" t="s">
        <v>235</v>
      </c>
      <c r="U105">
        <v>0.13391522503190095</v>
      </c>
      <c r="V105" t="s">
        <v>161</v>
      </c>
      <c r="AK105">
        <v>2045</v>
      </c>
      <c r="AL105" t="s">
        <v>222</v>
      </c>
      <c r="AM105">
        <v>0.12883333333333333</v>
      </c>
      <c r="AN105" t="s">
        <v>218</v>
      </c>
    </row>
    <row r="106" spans="9:40" x14ac:dyDescent="0.45">
      <c r="I106" t="s">
        <v>168</v>
      </c>
      <c r="J106" t="s">
        <v>236</v>
      </c>
      <c r="K106">
        <v>8.3539207164397711E-4</v>
      </c>
      <c r="L106" t="s">
        <v>161</v>
      </c>
      <c r="N106" t="s">
        <v>188</v>
      </c>
      <c r="O106" t="s">
        <v>236</v>
      </c>
      <c r="P106">
        <v>2.9157776793270942E-2</v>
      </c>
      <c r="Q106" t="s">
        <v>161</v>
      </c>
      <c r="S106" t="s">
        <v>208</v>
      </c>
      <c r="T106" t="s">
        <v>236</v>
      </c>
      <c r="U106">
        <v>2.6231565629303948E-2</v>
      </c>
      <c r="V106" t="s">
        <v>161</v>
      </c>
      <c r="AK106">
        <v>2045</v>
      </c>
      <c r="AL106" t="s">
        <v>224</v>
      </c>
      <c r="AM106">
        <v>0.19556666666666667</v>
      </c>
      <c r="AN106" t="s">
        <v>218</v>
      </c>
    </row>
    <row r="107" spans="9:40" x14ac:dyDescent="0.45">
      <c r="I107" t="s">
        <v>169</v>
      </c>
      <c r="J107" t="s">
        <v>225</v>
      </c>
      <c r="K107">
        <v>0.14748501693093147</v>
      </c>
      <c r="L107" t="s">
        <v>161</v>
      </c>
      <c r="N107" t="s">
        <v>189</v>
      </c>
      <c r="O107" t="s">
        <v>225</v>
      </c>
      <c r="P107">
        <v>0.11627367511283603</v>
      </c>
      <c r="Q107" t="s">
        <v>161</v>
      </c>
      <c r="S107" t="s">
        <v>209</v>
      </c>
      <c r="T107" t="s">
        <v>225</v>
      </c>
      <c r="U107">
        <v>0.11802845237758354</v>
      </c>
      <c r="V107" t="s">
        <v>161</v>
      </c>
      <c r="AK107">
        <v>2046</v>
      </c>
      <c r="AL107" t="s">
        <v>219</v>
      </c>
      <c r="AM107">
        <v>0.13133333333333333</v>
      </c>
      <c r="AN107" t="s">
        <v>218</v>
      </c>
    </row>
    <row r="108" spans="9:40" x14ac:dyDescent="0.45">
      <c r="I108" t="s">
        <v>169</v>
      </c>
      <c r="J108" t="s">
        <v>226</v>
      </c>
      <c r="K108">
        <v>0</v>
      </c>
      <c r="L108" t="s">
        <v>161</v>
      </c>
      <c r="N108" t="s">
        <v>189</v>
      </c>
      <c r="O108" t="s">
        <v>226</v>
      </c>
      <c r="P108">
        <v>0.12791680203017181</v>
      </c>
      <c r="Q108" t="s">
        <v>161</v>
      </c>
      <c r="S108" t="s">
        <v>209</v>
      </c>
      <c r="T108" t="s">
        <v>226</v>
      </c>
      <c r="U108">
        <v>0.12127021302951878</v>
      </c>
      <c r="V108" t="s">
        <v>161</v>
      </c>
      <c r="AK108">
        <v>2046</v>
      </c>
      <c r="AL108" t="s">
        <v>221</v>
      </c>
      <c r="AM108">
        <v>0.2114</v>
      </c>
      <c r="AN108" t="s">
        <v>218</v>
      </c>
    </row>
    <row r="109" spans="9:40" x14ac:dyDescent="0.45">
      <c r="I109" t="s">
        <v>169</v>
      </c>
      <c r="J109" t="s">
        <v>227</v>
      </c>
      <c r="K109">
        <v>5.8880549249184927E-3</v>
      </c>
      <c r="L109" t="s">
        <v>161</v>
      </c>
      <c r="N109" t="s">
        <v>189</v>
      </c>
      <c r="O109" t="s">
        <v>227</v>
      </c>
      <c r="P109">
        <v>2.3269566100731425E-2</v>
      </c>
      <c r="Q109" t="s">
        <v>161</v>
      </c>
      <c r="S109" t="s">
        <v>209</v>
      </c>
      <c r="T109" t="s">
        <v>227</v>
      </c>
      <c r="U109">
        <v>2.1679517855310779E-2</v>
      </c>
      <c r="V109" t="s">
        <v>161</v>
      </c>
      <c r="AK109">
        <v>2046</v>
      </c>
      <c r="AL109" t="s">
        <v>222</v>
      </c>
      <c r="AM109">
        <v>0.13186666666666666</v>
      </c>
      <c r="AN109" t="s">
        <v>218</v>
      </c>
    </row>
    <row r="110" spans="9:40" x14ac:dyDescent="0.45">
      <c r="I110" t="s">
        <v>169</v>
      </c>
      <c r="J110" t="s">
        <v>228</v>
      </c>
      <c r="K110">
        <v>0.31811672886050413</v>
      </c>
      <c r="L110" t="s">
        <v>161</v>
      </c>
      <c r="N110" t="s">
        <v>189</v>
      </c>
      <c r="O110" t="s">
        <v>228</v>
      </c>
      <c r="P110">
        <v>0.10308318477548947</v>
      </c>
      <c r="Q110" t="s">
        <v>161</v>
      </c>
      <c r="S110" t="s">
        <v>209</v>
      </c>
      <c r="T110" t="s">
        <v>228</v>
      </c>
      <c r="U110">
        <v>0.11667349465944182</v>
      </c>
      <c r="V110" t="s">
        <v>161</v>
      </c>
      <c r="AK110">
        <v>2046</v>
      </c>
      <c r="AL110" t="s">
        <v>224</v>
      </c>
      <c r="AM110">
        <v>0.19033333333333333</v>
      </c>
      <c r="AN110" t="s">
        <v>218</v>
      </c>
    </row>
    <row r="111" spans="9:40" x14ac:dyDescent="0.45">
      <c r="I111" t="s">
        <v>169</v>
      </c>
      <c r="J111" t="s">
        <v>229</v>
      </c>
      <c r="K111">
        <v>7.0770283696126252E-3</v>
      </c>
      <c r="L111" t="s">
        <v>161</v>
      </c>
      <c r="N111" t="s">
        <v>189</v>
      </c>
      <c r="O111" t="s">
        <v>229</v>
      </c>
      <c r="P111">
        <v>0.12557799310966328</v>
      </c>
      <c r="Q111" t="s">
        <v>161</v>
      </c>
      <c r="S111" t="s">
        <v>209</v>
      </c>
      <c r="T111" t="s">
        <v>229</v>
      </c>
      <c r="U111">
        <v>0.12707753502872207</v>
      </c>
      <c r="V111" t="s">
        <v>161</v>
      </c>
      <c r="AK111">
        <v>2047</v>
      </c>
      <c r="AL111" t="s">
        <v>219</v>
      </c>
      <c r="AM111">
        <v>0.16766666666666666</v>
      </c>
      <c r="AN111" t="s">
        <v>218</v>
      </c>
    </row>
    <row r="112" spans="9:40" x14ac:dyDescent="0.45">
      <c r="I112" t="s">
        <v>169</v>
      </c>
      <c r="J112" t="s">
        <v>230</v>
      </c>
      <c r="K112">
        <v>2.6211526858006123E-2</v>
      </c>
      <c r="L112" t="s">
        <v>161</v>
      </c>
      <c r="N112" t="s">
        <v>189</v>
      </c>
      <c r="O112" t="s">
        <v>230</v>
      </c>
      <c r="P112">
        <v>1.9724070334498123E-2</v>
      </c>
      <c r="Q112" t="s">
        <v>161</v>
      </c>
      <c r="S112" t="s">
        <v>209</v>
      </c>
      <c r="T112" t="s">
        <v>230</v>
      </c>
      <c r="U112">
        <v>2.2365865291345391E-2</v>
      </c>
      <c r="V112" t="s">
        <v>161</v>
      </c>
      <c r="AK112">
        <v>2047</v>
      </c>
      <c r="AL112" t="s">
        <v>221</v>
      </c>
      <c r="AM112">
        <v>0.25869999999999999</v>
      </c>
      <c r="AN112" t="s">
        <v>218</v>
      </c>
    </row>
    <row r="113" spans="9:40" x14ac:dyDescent="0.45">
      <c r="I113" t="s">
        <v>169</v>
      </c>
      <c r="J113" t="s">
        <v>231</v>
      </c>
      <c r="K113">
        <v>0.35646364253379442</v>
      </c>
      <c r="L113" t="s">
        <v>161</v>
      </c>
      <c r="N113" t="s">
        <v>189</v>
      </c>
      <c r="O113" t="s">
        <v>231</v>
      </c>
      <c r="P113">
        <v>6.7749864522577877E-2</v>
      </c>
      <c r="Q113" t="s">
        <v>161</v>
      </c>
      <c r="S113" t="s">
        <v>209</v>
      </c>
      <c r="T113" t="s">
        <v>231</v>
      </c>
      <c r="U113">
        <v>7.8245810754795489E-2</v>
      </c>
      <c r="V113" t="s">
        <v>161</v>
      </c>
      <c r="AK113">
        <v>2047</v>
      </c>
      <c r="AL113" t="s">
        <v>222</v>
      </c>
      <c r="AM113">
        <v>0.1474</v>
      </c>
      <c r="AN113" t="s">
        <v>218</v>
      </c>
    </row>
    <row r="114" spans="9:40" x14ac:dyDescent="0.45">
      <c r="I114" t="s">
        <v>169</v>
      </c>
      <c r="J114" t="s">
        <v>232</v>
      </c>
      <c r="K114">
        <v>2.0552655019045161E-2</v>
      </c>
      <c r="L114" t="s">
        <v>161</v>
      </c>
      <c r="N114" t="s">
        <v>189</v>
      </c>
      <c r="O114" t="s">
        <v>232</v>
      </c>
      <c r="P114">
        <v>7.3156489168983818E-2</v>
      </c>
      <c r="Q114" t="s">
        <v>161</v>
      </c>
      <c r="S114" t="s">
        <v>209</v>
      </c>
      <c r="T114" t="s">
        <v>232</v>
      </c>
      <c r="U114">
        <v>8.523372567169428E-2</v>
      </c>
      <c r="V114" t="s">
        <v>161</v>
      </c>
      <c r="AK114">
        <v>2047</v>
      </c>
      <c r="AL114" t="s">
        <v>224</v>
      </c>
      <c r="AM114">
        <v>0.2268</v>
      </c>
      <c r="AN114" t="s">
        <v>218</v>
      </c>
    </row>
    <row r="115" spans="9:40" x14ac:dyDescent="0.45">
      <c r="I115" t="s">
        <v>169</v>
      </c>
      <c r="J115" t="s">
        <v>233</v>
      </c>
      <c r="K115">
        <v>3.908130966457083E-2</v>
      </c>
      <c r="L115" t="s">
        <v>161</v>
      </c>
      <c r="N115" t="s">
        <v>189</v>
      </c>
      <c r="O115" t="s">
        <v>233</v>
      </c>
      <c r="P115">
        <v>1.3626137262716716E-2</v>
      </c>
      <c r="Q115" t="s">
        <v>161</v>
      </c>
      <c r="S115" t="s">
        <v>209</v>
      </c>
      <c r="T115" t="s">
        <v>233</v>
      </c>
      <c r="U115">
        <v>1.4904080547515762E-2</v>
      </c>
      <c r="V115" t="s">
        <v>161</v>
      </c>
      <c r="AK115">
        <v>2048</v>
      </c>
      <c r="AL115" t="s">
        <v>219</v>
      </c>
      <c r="AM115">
        <v>0.161</v>
      </c>
      <c r="AN115" t="s">
        <v>218</v>
      </c>
    </row>
    <row r="116" spans="9:40" x14ac:dyDescent="0.45">
      <c r="I116" t="s">
        <v>169</v>
      </c>
      <c r="J116" t="s">
        <v>234</v>
      </c>
      <c r="K116">
        <v>7.8463100102346167E-2</v>
      </c>
      <c r="L116" t="s">
        <v>161</v>
      </c>
      <c r="N116" t="s">
        <v>189</v>
      </c>
      <c r="O116" t="s">
        <v>234</v>
      </c>
      <c r="P116">
        <v>0.14718469225919933</v>
      </c>
      <c r="Q116" t="s">
        <v>161</v>
      </c>
      <c r="S116" t="s">
        <v>209</v>
      </c>
      <c r="T116" t="s">
        <v>234</v>
      </c>
      <c r="U116">
        <v>0.13545598643270512</v>
      </c>
      <c r="V116" t="s">
        <v>161</v>
      </c>
      <c r="AK116">
        <v>2048</v>
      </c>
      <c r="AL116" t="s">
        <v>221</v>
      </c>
      <c r="AM116">
        <v>0.25863333333333333</v>
      </c>
      <c r="AN116" t="s">
        <v>218</v>
      </c>
    </row>
    <row r="117" spans="9:40" x14ac:dyDescent="0.45">
      <c r="I117" t="s">
        <v>169</v>
      </c>
      <c r="J117" t="s">
        <v>235</v>
      </c>
      <c r="K117">
        <v>0</v>
      </c>
      <c r="L117" t="s">
        <v>161</v>
      </c>
      <c r="N117" t="s">
        <v>189</v>
      </c>
      <c r="O117" t="s">
        <v>235</v>
      </c>
      <c r="P117">
        <v>0.15414669934034034</v>
      </c>
      <c r="Q117" t="s">
        <v>161</v>
      </c>
      <c r="S117" t="s">
        <v>209</v>
      </c>
      <c r="T117" t="s">
        <v>235</v>
      </c>
      <c r="U117">
        <v>0.13314922664462783</v>
      </c>
      <c r="V117" t="s">
        <v>161</v>
      </c>
      <c r="AK117">
        <v>2048</v>
      </c>
      <c r="AL117" t="s">
        <v>222</v>
      </c>
      <c r="AM117">
        <v>0.15126666666666669</v>
      </c>
      <c r="AN117" t="s">
        <v>218</v>
      </c>
    </row>
    <row r="118" spans="9:40" x14ac:dyDescent="0.45">
      <c r="I118" t="s">
        <v>169</v>
      </c>
      <c r="J118" t="s">
        <v>236</v>
      </c>
      <c r="K118">
        <v>6.6093673627064676E-4</v>
      </c>
      <c r="L118" t="s">
        <v>161</v>
      </c>
      <c r="N118" t="s">
        <v>189</v>
      </c>
      <c r="O118" t="s">
        <v>236</v>
      </c>
      <c r="P118">
        <v>2.8290825982792867E-2</v>
      </c>
      <c r="Q118" t="s">
        <v>161</v>
      </c>
      <c r="S118" t="s">
        <v>209</v>
      </c>
      <c r="T118" t="s">
        <v>236</v>
      </c>
      <c r="U118">
        <v>2.5916091706739416E-2</v>
      </c>
      <c r="V118" t="s">
        <v>161</v>
      </c>
      <c r="AK118">
        <v>2048</v>
      </c>
      <c r="AL118" t="s">
        <v>224</v>
      </c>
      <c r="AM118">
        <v>0.22896666666666665</v>
      </c>
      <c r="AN118" t="s">
        <v>218</v>
      </c>
    </row>
    <row r="119" spans="9:40" x14ac:dyDescent="0.45">
      <c r="I119" t="s">
        <v>170</v>
      </c>
      <c r="J119" t="s">
        <v>225</v>
      </c>
      <c r="K119">
        <v>0.1311223068574501</v>
      </c>
      <c r="L119" t="s">
        <v>161</v>
      </c>
      <c r="N119" t="s">
        <v>190</v>
      </c>
      <c r="O119" t="s">
        <v>225</v>
      </c>
      <c r="P119">
        <v>0.12386705326102258</v>
      </c>
      <c r="Q119" t="s">
        <v>161</v>
      </c>
      <c r="S119" t="s">
        <v>210</v>
      </c>
      <c r="T119" t="s">
        <v>225</v>
      </c>
      <c r="U119">
        <v>0.11997954193614779</v>
      </c>
      <c r="V119" t="s">
        <v>161</v>
      </c>
      <c r="AK119">
        <v>2049</v>
      </c>
      <c r="AL119" t="s">
        <v>219</v>
      </c>
      <c r="AM119">
        <v>0.1527</v>
      </c>
      <c r="AN119" t="s">
        <v>218</v>
      </c>
    </row>
    <row r="120" spans="9:40" x14ac:dyDescent="0.45">
      <c r="I120" t="s">
        <v>170</v>
      </c>
      <c r="J120" t="s">
        <v>226</v>
      </c>
      <c r="K120">
        <v>0</v>
      </c>
      <c r="L120" t="s">
        <v>161</v>
      </c>
      <c r="N120" t="s">
        <v>190</v>
      </c>
      <c r="O120" t="s">
        <v>226</v>
      </c>
      <c r="P120">
        <v>0.13113718909657668</v>
      </c>
      <c r="Q120" t="s">
        <v>161</v>
      </c>
      <c r="S120" t="s">
        <v>210</v>
      </c>
      <c r="T120" t="s">
        <v>226</v>
      </c>
      <c r="U120">
        <v>0.12601201376789581</v>
      </c>
      <c r="V120" t="s">
        <v>161</v>
      </c>
      <c r="AK120">
        <v>2049</v>
      </c>
      <c r="AL120" t="s">
        <v>221</v>
      </c>
      <c r="AM120">
        <v>0.23553333333333334</v>
      </c>
      <c r="AN120" t="s">
        <v>218</v>
      </c>
    </row>
    <row r="121" spans="9:40" x14ac:dyDescent="0.45">
      <c r="I121" t="s">
        <v>170</v>
      </c>
      <c r="J121" t="s">
        <v>227</v>
      </c>
      <c r="K121">
        <v>5.8666465767972286E-3</v>
      </c>
      <c r="L121" t="s">
        <v>161</v>
      </c>
      <c r="N121" t="s">
        <v>190</v>
      </c>
      <c r="O121" t="s">
        <v>227</v>
      </c>
      <c r="P121">
        <v>2.370381604889743E-2</v>
      </c>
      <c r="Q121" t="s">
        <v>161</v>
      </c>
      <c r="S121" t="s">
        <v>210</v>
      </c>
      <c r="T121" t="s">
        <v>227</v>
      </c>
      <c r="U121">
        <v>2.2641199912306474E-2</v>
      </c>
      <c r="V121" t="s">
        <v>161</v>
      </c>
      <c r="AK121">
        <v>2049</v>
      </c>
      <c r="AL121" t="s">
        <v>222</v>
      </c>
      <c r="AM121">
        <v>0.15030000000000002</v>
      </c>
      <c r="AN121" t="s">
        <v>218</v>
      </c>
    </row>
    <row r="122" spans="9:40" x14ac:dyDescent="0.45">
      <c r="I122" t="s">
        <v>170</v>
      </c>
      <c r="J122" t="s">
        <v>228</v>
      </c>
      <c r="K122">
        <v>0.34278547830733974</v>
      </c>
      <c r="L122" t="s">
        <v>161</v>
      </c>
      <c r="N122" t="s">
        <v>190</v>
      </c>
      <c r="O122" t="s">
        <v>228</v>
      </c>
      <c r="P122">
        <v>0.10420238064621594</v>
      </c>
      <c r="Q122" t="s">
        <v>161</v>
      </c>
      <c r="S122" t="s">
        <v>210</v>
      </c>
      <c r="T122" t="s">
        <v>228</v>
      </c>
      <c r="U122">
        <v>0.11049988921113765</v>
      </c>
      <c r="V122" t="s">
        <v>161</v>
      </c>
      <c r="AK122">
        <v>2049</v>
      </c>
      <c r="AL122" t="s">
        <v>224</v>
      </c>
      <c r="AM122">
        <v>0.22430000000000003</v>
      </c>
      <c r="AN122" t="s">
        <v>218</v>
      </c>
    </row>
    <row r="123" spans="9:40" x14ac:dyDescent="0.45">
      <c r="I123" t="s">
        <v>170</v>
      </c>
      <c r="J123" t="s">
        <v>229</v>
      </c>
      <c r="K123">
        <v>8.0297647099174911E-3</v>
      </c>
      <c r="L123" t="s">
        <v>161</v>
      </c>
      <c r="N123" t="s">
        <v>190</v>
      </c>
      <c r="O123" t="s">
        <v>229</v>
      </c>
      <c r="P123">
        <v>0.12081579090460436</v>
      </c>
      <c r="Q123" t="s">
        <v>161</v>
      </c>
      <c r="S123" t="s">
        <v>210</v>
      </c>
      <c r="T123" t="s">
        <v>229</v>
      </c>
      <c r="U123">
        <v>0.12009541050423642</v>
      </c>
      <c r="V123" t="s">
        <v>161</v>
      </c>
      <c r="AK123">
        <v>2050</v>
      </c>
      <c r="AL123" t="s">
        <v>219</v>
      </c>
      <c r="AM123">
        <v>0.16236666666666666</v>
      </c>
      <c r="AN123" t="s">
        <v>218</v>
      </c>
    </row>
    <row r="124" spans="9:40" x14ac:dyDescent="0.45">
      <c r="I124" t="s">
        <v>170</v>
      </c>
      <c r="J124" t="s">
        <v>230</v>
      </c>
      <c r="K124">
        <v>2.902625441785096E-2</v>
      </c>
      <c r="L124" t="s">
        <v>161</v>
      </c>
      <c r="N124" t="s">
        <v>190</v>
      </c>
      <c r="O124" t="s">
        <v>230</v>
      </c>
      <c r="P124">
        <v>1.9444909445133808E-2</v>
      </c>
      <c r="Q124" t="s">
        <v>161</v>
      </c>
      <c r="S124" t="s">
        <v>210</v>
      </c>
      <c r="T124" t="s">
        <v>230</v>
      </c>
      <c r="U124">
        <v>2.1156203503485033E-2</v>
      </c>
      <c r="V124" t="s">
        <v>161</v>
      </c>
      <c r="AK124">
        <v>2050</v>
      </c>
      <c r="AL124" t="s">
        <v>221</v>
      </c>
      <c r="AM124">
        <v>0.24580000000000002</v>
      </c>
      <c r="AN124" t="s">
        <v>218</v>
      </c>
    </row>
    <row r="125" spans="9:40" x14ac:dyDescent="0.45">
      <c r="I125" t="s">
        <v>170</v>
      </c>
      <c r="J125" t="s">
        <v>231</v>
      </c>
      <c r="K125">
        <v>0.35114163866472548</v>
      </c>
      <c r="L125" t="s">
        <v>161</v>
      </c>
      <c r="N125" t="s">
        <v>190</v>
      </c>
      <c r="O125" t="s">
        <v>231</v>
      </c>
      <c r="P125">
        <v>7.6946812548772239E-2</v>
      </c>
      <c r="Q125" t="s">
        <v>161</v>
      </c>
      <c r="S125" t="s">
        <v>210</v>
      </c>
      <c r="T125" t="s">
        <v>231</v>
      </c>
      <c r="U125">
        <v>7.8636587386576015E-2</v>
      </c>
      <c r="V125" t="s">
        <v>161</v>
      </c>
      <c r="AK125">
        <v>2050</v>
      </c>
      <c r="AL125" t="s">
        <v>222</v>
      </c>
      <c r="AM125">
        <v>0.13863333333333333</v>
      </c>
      <c r="AN125" t="s">
        <v>218</v>
      </c>
    </row>
    <row r="126" spans="9:40" x14ac:dyDescent="0.45">
      <c r="I126" t="s">
        <v>170</v>
      </c>
      <c r="J126" t="s">
        <v>232</v>
      </c>
      <c r="K126">
        <v>2.278561642819929E-2</v>
      </c>
      <c r="L126" t="s">
        <v>161</v>
      </c>
      <c r="N126" t="s">
        <v>190</v>
      </c>
      <c r="O126" t="s">
        <v>232</v>
      </c>
      <c r="P126">
        <v>7.6411164283494648E-2</v>
      </c>
      <c r="Q126" t="s">
        <v>161</v>
      </c>
      <c r="S126" t="s">
        <v>210</v>
      </c>
      <c r="T126" t="s">
        <v>232</v>
      </c>
      <c r="U126">
        <v>8.2669025166627913E-2</v>
      </c>
      <c r="V126" t="s">
        <v>161</v>
      </c>
      <c r="AK126">
        <v>2050</v>
      </c>
      <c r="AL126" t="s">
        <v>224</v>
      </c>
      <c r="AM126">
        <v>0.22690000000000002</v>
      </c>
      <c r="AN126" t="s">
        <v>218</v>
      </c>
    </row>
    <row r="127" spans="9:40" x14ac:dyDescent="0.45">
      <c r="I127" t="s">
        <v>170</v>
      </c>
      <c r="J127" t="s">
        <v>233</v>
      </c>
      <c r="K127">
        <v>4.1316832892103424E-2</v>
      </c>
      <c r="L127" t="s">
        <v>161</v>
      </c>
      <c r="N127" t="s">
        <v>190</v>
      </c>
      <c r="O127" t="s">
        <v>233</v>
      </c>
      <c r="P127">
        <v>1.3810030158933617E-2</v>
      </c>
      <c r="Q127" t="s">
        <v>161</v>
      </c>
      <c r="S127" t="s">
        <v>210</v>
      </c>
      <c r="T127" t="s">
        <v>233</v>
      </c>
      <c r="U127">
        <v>1.463064399010533E-2</v>
      </c>
      <c r="V127" t="s">
        <v>161</v>
      </c>
    </row>
    <row r="128" spans="9:40" x14ac:dyDescent="0.45">
      <c r="I128" t="s">
        <v>170</v>
      </c>
      <c r="J128" t="s">
        <v>234</v>
      </c>
      <c r="K128">
        <v>6.7280370640921044E-2</v>
      </c>
      <c r="L128" t="s">
        <v>161</v>
      </c>
      <c r="N128" t="s">
        <v>190</v>
      </c>
      <c r="O128" t="s">
        <v>234</v>
      </c>
      <c r="P128">
        <v>0.1415238913396476</v>
      </c>
      <c r="Q128" t="s">
        <v>161</v>
      </c>
      <c r="S128" t="s">
        <v>210</v>
      </c>
      <c r="T128" t="s">
        <v>234</v>
      </c>
      <c r="U128">
        <v>0.14000318469266435</v>
      </c>
      <c r="V128" t="s">
        <v>161</v>
      </c>
    </row>
    <row r="129" spans="9:22" x14ac:dyDescent="0.45">
      <c r="I129" t="s">
        <v>170</v>
      </c>
      <c r="J129" t="s">
        <v>235</v>
      </c>
      <c r="K129">
        <v>0</v>
      </c>
      <c r="L129" t="s">
        <v>161</v>
      </c>
      <c r="N129" t="s">
        <v>190</v>
      </c>
      <c r="O129" t="s">
        <v>235</v>
      </c>
      <c r="P129">
        <v>0.14098339593626552</v>
      </c>
      <c r="Q129" t="s">
        <v>161</v>
      </c>
      <c r="S129" t="s">
        <v>210</v>
      </c>
      <c r="T129" t="s">
        <v>235</v>
      </c>
      <c r="U129">
        <v>0.13677922862293782</v>
      </c>
      <c r="V129" t="s">
        <v>161</v>
      </c>
    </row>
    <row r="130" spans="9:22" x14ac:dyDescent="0.45">
      <c r="I130" t="s">
        <v>170</v>
      </c>
      <c r="J130" t="s">
        <v>236</v>
      </c>
      <c r="K130">
        <v>6.450905046951229E-4</v>
      </c>
      <c r="L130" t="s">
        <v>161</v>
      </c>
      <c r="N130" t="s">
        <v>190</v>
      </c>
      <c r="O130" t="s">
        <v>236</v>
      </c>
      <c r="P130">
        <v>2.7153566330434652E-2</v>
      </c>
      <c r="Q130" t="s">
        <v>161</v>
      </c>
      <c r="S130" t="s">
        <v>210</v>
      </c>
      <c r="T130" t="s">
        <v>236</v>
      </c>
      <c r="U130">
        <v>2.6897071305879813E-2</v>
      </c>
      <c r="V130" t="s">
        <v>161</v>
      </c>
    </row>
    <row r="131" spans="9:22" x14ac:dyDescent="0.45">
      <c r="I131" t="s">
        <v>171</v>
      </c>
      <c r="J131" t="s">
        <v>225</v>
      </c>
      <c r="K131">
        <v>0.13741478842014485</v>
      </c>
      <c r="L131" t="s">
        <v>161</v>
      </c>
      <c r="N131" t="s">
        <v>191</v>
      </c>
      <c r="O131" t="s">
        <v>225</v>
      </c>
      <c r="P131">
        <v>0.13162280098779486</v>
      </c>
      <c r="Q131" t="s">
        <v>161</v>
      </c>
    </row>
    <row r="132" spans="9:22" x14ac:dyDescent="0.45">
      <c r="I132" t="s">
        <v>171</v>
      </c>
      <c r="J132" t="s">
        <v>226</v>
      </c>
      <c r="K132">
        <v>0</v>
      </c>
      <c r="L132" t="s">
        <v>161</v>
      </c>
      <c r="N132" t="s">
        <v>191</v>
      </c>
      <c r="O132" t="s">
        <v>226</v>
      </c>
      <c r="P132">
        <v>0.13866171026688773</v>
      </c>
      <c r="Q132" t="s">
        <v>161</v>
      </c>
    </row>
    <row r="133" spans="9:22" x14ac:dyDescent="0.45">
      <c r="I133" t="s">
        <v>171</v>
      </c>
      <c r="J133" t="s">
        <v>227</v>
      </c>
      <c r="K133">
        <v>5.9133799292727636E-3</v>
      </c>
      <c r="L133" t="s">
        <v>161</v>
      </c>
      <c r="N133" t="s">
        <v>191</v>
      </c>
      <c r="O133" t="s">
        <v>227</v>
      </c>
      <c r="P133">
        <v>2.3157491443153901E-2</v>
      </c>
      <c r="Q133" t="s">
        <v>161</v>
      </c>
    </row>
    <row r="134" spans="9:22" x14ac:dyDescent="0.45">
      <c r="I134" t="s">
        <v>171</v>
      </c>
      <c r="J134" t="s">
        <v>228</v>
      </c>
      <c r="K134">
        <v>0.33261502904320966</v>
      </c>
      <c r="L134" t="s">
        <v>161</v>
      </c>
      <c r="N134" t="s">
        <v>191</v>
      </c>
      <c r="O134" t="s">
        <v>228</v>
      </c>
      <c r="P134">
        <v>9.4793498858029693E-2</v>
      </c>
      <c r="Q134" t="s">
        <v>161</v>
      </c>
    </row>
    <row r="135" spans="9:22" x14ac:dyDescent="0.45">
      <c r="I135" t="s">
        <v>171</v>
      </c>
      <c r="J135" t="s">
        <v>229</v>
      </c>
      <c r="K135">
        <v>7.4557144868656602E-3</v>
      </c>
      <c r="L135" t="s">
        <v>161</v>
      </c>
      <c r="N135" t="s">
        <v>191</v>
      </c>
      <c r="O135" t="s">
        <v>229</v>
      </c>
      <c r="P135">
        <v>0.11093131118100444</v>
      </c>
      <c r="Q135" t="s">
        <v>161</v>
      </c>
    </row>
    <row r="136" spans="9:22" x14ac:dyDescent="0.45">
      <c r="I136" t="s">
        <v>171</v>
      </c>
      <c r="J136" t="s">
        <v>230</v>
      </c>
      <c r="K136">
        <v>2.6951678119677504E-2</v>
      </c>
      <c r="L136" t="s">
        <v>161</v>
      </c>
      <c r="N136" t="s">
        <v>191</v>
      </c>
      <c r="O136" t="s">
        <v>230</v>
      </c>
      <c r="P136">
        <v>1.7797662336433435E-2</v>
      </c>
      <c r="Q136" t="s">
        <v>161</v>
      </c>
    </row>
    <row r="137" spans="9:22" x14ac:dyDescent="0.45">
      <c r="I137" t="s">
        <v>171</v>
      </c>
      <c r="J137" t="s">
        <v>231</v>
      </c>
      <c r="K137">
        <v>0.35546138514709091</v>
      </c>
      <c r="L137" t="s">
        <v>161</v>
      </c>
      <c r="N137" t="s">
        <v>191</v>
      </c>
      <c r="O137" t="s">
        <v>231</v>
      </c>
      <c r="P137">
        <v>6.0966387397623618E-2</v>
      </c>
      <c r="Q137" t="s">
        <v>161</v>
      </c>
    </row>
    <row r="138" spans="9:22" x14ac:dyDescent="0.45">
      <c r="I138" t="s">
        <v>171</v>
      </c>
      <c r="J138" t="s">
        <v>232</v>
      </c>
      <c r="K138">
        <v>2.2251875249312093E-2</v>
      </c>
      <c r="L138" t="s">
        <v>161</v>
      </c>
      <c r="N138" t="s">
        <v>191</v>
      </c>
      <c r="O138" t="s">
        <v>232</v>
      </c>
      <c r="P138">
        <v>7.1814674663270378E-2</v>
      </c>
      <c r="Q138" t="s">
        <v>161</v>
      </c>
    </row>
    <row r="139" spans="9:22" x14ac:dyDescent="0.45">
      <c r="I139" t="s">
        <v>171</v>
      </c>
      <c r="J139" t="s">
        <v>233</v>
      </c>
      <c r="K139">
        <v>3.9875682746684758E-2</v>
      </c>
      <c r="L139" t="s">
        <v>161</v>
      </c>
      <c r="N139" t="s">
        <v>191</v>
      </c>
      <c r="O139" t="s">
        <v>233</v>
      </c>
      <c r="P139">
        <v>9.6598683377258805E-3</v>
      </c>
      <c r="Q139" t="s">
        <v>161</v>
      </c>
    </row>
    <row r="140" spans="9:22" x14ac:dyDescent="0.45">
      <c r="I140" t="s">
        <v>171</v>
      </c>
      <c r="J140" t="s">
        <v>234</v>
      </c>
      <c r="K140">
        <v>7.1347209267430434E-2</v>
      </c>
      <c r="L140" t="s">
        <v>161</v>
      </c>
      <c r="N140" t="s">
        <v>191</v>
      </c>
      <c r="O140" t="s">
        <v>234</v>
      </c>
      <c r="P140">
        <v>0.15622053381065229</v>
      </c>
      <c r="Q140" t="s">
        <v>161</v>
      </c>
    </row>
    <row r="141" spans="9:22" x14ac:dyDescent="0.45">
      <c r="I141" t="s">
        <v>171</v>
      </c>
      <c r="J141" t="s">
        <v>235</v>
      </c>
      <c r="K141">
        <v>0</v>
      </c>
      <c r="L141" t="s">
        <v>161</v>
      </c>
      <c r="N141" t="s">
        <v>191</v>
      </c>
      <c r="O141" t="s">
        <v>235</v>
      </c>
      <c r="P141">
        <v>0.15415419964662946</v>
      </c>
      <c r="Q141" t="s">
        <v>161</v>
      </c>
    </row>
    <row r="142" spans="9:22" x14ac:dyDescent="0.45">
      <c r="I142" t="s">
        <v>171</v>
      </c>
      <c r="J142" t="s">
        <v>236</v>
      </c>
      <c r="K142">
        <v>7.1325759030614014E-4</v>
      </c>
      <c r="L142" t="s">
        <v>161</v>
      </c>
      <c r="N142" t="s">
        <v>191</v>
      </c>
      <c r="O142" t="s">
        <v>236</v>
      </c>
      <c r="P142">
        <v>3.0219861070796598E-2</v>
      </c>
      <c r="Q142" t="s">
        <v>161</v>
      </c>
    </row>
    <row r="143" spans="9:22" x14ac:dyDescent="0.45">
      <c r="I143" t="s">
        <v>172</v>
      </c>
      <c r="J143" t="s">
        <v>225</v>
      </c>
      <c r="K143">
        <v>0.17676071799258217</v>
      </c>
      <c r="L143" t="s">
        <v>161</v>
      </c>
      <c r="N143" t="s">
        <v>192</v>
      </c>
      <c r="O143" t="s">
        <v>225</v>
      </c>
      <c r="P143">
        <v>0.12490441131667335</v>
      </c>
      <c r="Q143" t="s">
        <v>161</v>
      </c>
    </row>
    <row r="144" spans="9:22" x14ac:dyDescent="0.45">
      <c r="I144" t="s">
        <v>172</v>
      </c>
      <c r="J144" t="s">
        <v>226</v>
      </c>
      <c r="K144">
        <v>0</v>
      </c>
      <c r="L144" t="s">
        <v>161</v>
      </c>
      <c r="N144" t="s">
        <v>192</v>
      </c>
      <c r="O144" t="s">
        <v>226</v>
      </c>
      <c r="P144">
        <v>0.13725670908076715</v>
      </c>
      <c r="Q144" t="s">
        <v>161</v>
      </c>
    </row>
    <row r="145" spans="9:17" x14ac:dyDescent="0.45">
      <c r="I145" t="s">
        <v>172</v>
      </c>
      <c r="J145" t="s">
        <v>227</v>
      </c>
      <c r="K145">
        <v>6.790386229912476E-3</v>
      </c>
      <c r="L145" t="s">
        <v>161</v>
      </c>
      <c r="N145" t="s">
        <v>192</v>
      </c>
      <c r="O145" t="s">
        <v>227</v>
      </c>
      <c r="P145">
        <v>2.3972838251412363E-2</v>
      </c>
      <c r="Q145" t="s">
        <v>161</v>
      </c>
    </row>
    <row r="146" spans="9:17" x14ac:dyDescent="0.45">
      <c r="I146" t="s">
        <v>172</v>
      </c>
      <c r="J146" t="s">
        <v>228</v>
      </c>
      <c r="K146">
        <v>0.2906893139643178</v>
      </c>
      <c r="L146" t="s">
        <v>161</v>
      </c>
      <c r="N146" t="s">
        <v>192</v>
      </c>
      <c r="O146" t="s">
        <v>228</v>
      </c>
      <c r="P146">
        <v>9.2393855843589764E-2</v>
      </c>
      <c r="Q146" t="s">
        <v>161</v>
      </c>
    </row>
    <row r="147" spans="9:17" x14ac:dyDescent="0.45">
      <c r="I147" t="s">
        <v>172</v>
      </c>
      <c r="J147" t="s">
        <v>229</v>
      </c>
      <c r="K147">
        <v>4.5187600299922553E-3</v>
      </c>
      <c r="L147" t="s">
        <v>161</v>
      </c>
      <c r="N147" t="s">
        <v>192</v>
      </c>
      <c r="O147" t="s">
        <v>229</v>
      </c>
      <c r="P147">
        <v>0.12138218176088748</v>
      </c>
      <c r="Q147" t="s">
        <v>161</v>
      </c>
    </row>
    <row r="148" spans="9:17" x14ac:dyDescent="0.45">
      <c r="I148" t="s">
        <v>172</v>
      </c>
      <c r="J148" t="s">
        <v>230</v>
      </c>
      <c r="K148">
        <v>2.4172361347370216E-2</v>
      </c>
      <c r="L148" t="s">
        <v>161</v>
      </c>
      <c r="N148" t="s">
        <v>192</v>
      </c>
      <c r="O148" t="s">
        <v>230</v>
      </c>
      <c r="P148">
        <v>1.78856052897222E-2</v>
      </c>
      <c r="Q148" t="s">
        <v>161</v>
      </c>
    </row>
    <row r="149" spans="9:17" x14ac:dyDescent="0.45">
      <c r="I149" t="s">
        <v>172</v>
      </c>
      <c r="J149" t="s">
        <v>231</v>
      </c>
      <c r="K149">
        <v>0.34348985618042399</v>
      </c>
      <c r="L149" t="s">
        <v>161</v>
      </c>
      <c r="N149" t="s">
        <v>192</v>
      </c>
      <c r="O149" t="s">
        <v>231</v>
      </c>
      <c r="P149">
        <v>6.9637144121795808E-2</v>
      </c>
      <c r="Q149" t="s">
        <v>161</v>
      </c>
    </row>
    <row r="150" spans="9:17" x14ac:dyDescent="0.45">
      <c r="I150" t="s">
        <v>172</v>
      </c>
      <c r="J150" t="s">
        <v>232</v>
      </c>
      <c r="K150">
        <v>1.4161443553957159E-2</v>
      </c>
      <c r="L150" t="s">
        <v>161</v>
      </c>
      <c r="N150" t="s">
        <v>192</v>
      </c>
      <c r="O150" t="s">
        <v>232</v>
      </c>
      <c r="P150">
        <v>8.0378909910875901E-2</v>
      </c>
      <c r="Q150" t="s">
        <v>161</v>
      </c>
    </row>
    <row r="151" spans="9:17" x14ac:dyDescent="0.45">
      <c r="I151" t="s">
        <v>172</v>
      </c>
      <c r="J151" t="s">
        <v>233</v>
      </c>
      <c r="K151">
        <v>3.7019261964853681E-2</v>
      </c>
      <c r="L151" t="s">
        <v>161</v>
      </c>
      <c r="N151" t="s">
        <v>192</v>
      </c>
      <c r="O151" t="s">
        <v>233</v>
      </c>
      <c r="P151">
        <v>1.1707139258762246E-2</v>
      </c>
      <c r="Q151" t="s">
        <v>161</v>
      </c>
    </row>
    <row r="152" spans="9:17" x14ac:dyDescent="0.45">
      <c r="I152" t="s">
        <v>172</v>
      </c>
      <c r="J152" t="s">
        <v>234</v>
      </c>
      <c r="K152">
        <v>0.10132831174925523</v>
      </c>
      <c r="L152" t="s">
        <v>161</v>
      </c>
      <c r="N152" t="s">
        <v>192</v>
      </c>
      <c r="O152" t="s">
        <v>234</v>
      </c>
      <c r="P152">
        <v>0.14630639863755404</v>
      </c>
      <c r="Q152" t="s">
        <v>161</v>
      </c>
    </row>
    <row r="153" spans="9:17" x14ac:dyDescent="0.45">
      <c r="I153" t="s">
        <v>172</v>
      </c>
      <c r="J153" t="s">
        <v>235</v>
      </c>
      <c r="K153">
        <v>0</v>
      </c>
      <c r="L153" t="s">
        <v>161</v>
      </c>
      <c r="N153" t="s">
        <v>192</v>
      </c>
      <c r="O153" t="s">
        <v>235</v>
      </c>
      <c r="P153">
        <v>0.14639633913786029</v>
      </c>
      <c r="Q153" t="s">
        <v>161</v>
      </c>
    </row>
    <row r="154" spans="9:17" x14ac:dyDescent="0.45">
      <c r="I154" t="s">
        <v>172</v>
      </c>
      <c r="J154" t="s">
        <v>236</v>
      </c>
      <c r="K154">
        <v>1.0695869873361343E-3</v>
      </c>
      <c r="L154" t="s">
        <v>161</v>
      </c>
      <c r="N154" t="s">
        <v>192</v>
      </c>
      <c r="O154" t="s">
        <v>236</v>
      </c>
      <c r="P154">
        <v>2.7778467390096838E-2</v>
      </c>
      <c r="Q154" t="s">
        <v>161</v>
      </c>
    </row>
    <row r="155" spans="9:17" x14ac:dyDescent="0.45">
      <c r="I155" t="s">
        <v>173</v>
      </c>
      <c r="J155" t="s">
        <v>225</v>
      </c>
      <c r="K155">
        <v>0.1638301138912148</v>
      </c>
      <c r="L155" t="s">
        <v>161</v>
      </c>
      <c r="N155" t="s">
        <v>193</v>
      </c>
      <c r="O155" t="s">
        <v>225</v>
      </c>
      <c r="P155">
        <v>0.12271947782974865</v>
      </c>
      <c r="Q155" t="s">
        <v>161</v>
      </c>
    </row>
    <row r="156" spans="9:17" x14ac:dyDescent="0.45">
      <c r="I156" t="s">
        <v>173</v>
      </c>
      <c r="J156" t="s">
        <v>226</v>
      </c>
      <c r="K156">
        <v>0</v>
      </c>
      <c r="L156" t="s">
        <v>161</v>
      </c>
      <c r="N156" t="s">
        <v>193</v>
      </c>
      <c r="O156" t="s">
        <v>226</v>
      </c>
      <c r="P156">
        <v>0.13756292176929702</v>
      </c>
      <c r="Q156" t="s">
        <v>161</v>
      </c>
    </row>
    <row r="157" spans="9:17" x14ac:dyDescent="0.45">
      <c r="I157" t="s">
        <v>173</v>
      </c>
      <c r="J157" t="s">
        <v>227</v>
      </c>
      <c r="K157">
        <v>5.6305512510541889E-3</v>
      </c>
      <c r="L157" t="s">
        <v>161</v>
      </c>
      <c r="N157" t="s">
        <v>193</v>
      </c>
      <c r="O157" t="s">
        <v>227</v>
      </c>
      <c r="P157">
        <v>2.4129945854966698E-2</v>
      </c>
      <c r="Q157" t="s">
        <v>161</v>
      </c>
    </row>
    <row r="158" spans="9:17" x14ac:dyDescent="0.45">
      <c r="I158" t="s">
        <v>173</v>
      </c>
      <c r="J158" t="s">
        <v>228</v>
      </c>
      <c r="K158">
        <v>0.30614741398612705</v>
      </c>
      <c r="L158" t="s">
        <v>161</v>
      </c>
      <c r="N158" t="s">
        <v>193</v>
      </c>
      <c r="O158" t="s">
        <v>228</v>
      </c>
      <c r="P158">
        <v>9.9076740974980135E-2</v>
      </c>
      <c r="Q158" t="s">
        <v>161</v>
      </c>
    </row>
    <row r="159" spans="9:17" x14ac:dyDescent="0.45">
      <c r="I159" t="s">
        <v>173</v>
      </c>
      <c r="J159" t="s">
        <v>229</v>
      </c>
      <c r="K159">
        <v>5.5352491288523315E-3</v>
      </c>
      <c r="L159" t="s">
        <v>161</v>
      </c>
      <c r="N159" t="s">
        <v>193</v>
      </c>
      <c r="O159" t="s">
        <v>229</v>
      </c>
      <c r="P159">
        <v>0.12731385486100971</v>
      </c>
      <c r="Q159" t="s">
        <v>161</v>
      </c>
    </row>
    <row r="160" spans="9:17" x14ac:dyDescent="0.45">
      <c r="I160" t="s">
        <v>173</v>
      </c>
      <c r="J160" t="s">
        <v>230</v>
      </c>
      <c r="K160">
        <v>2.4906446475187031E-2</v>
      </c>
      <c r="L160" t="s">
        <v>161</v>
      </c>
      <c r="N160" t="s">
        <v>193</v>
      </c>
      <c r="O160" t="s">
        <v>230</v>
      </c>
      <c r="P160">
        <v>1.8857213535829344E-2</v>
      </c>
      <c r="Q160" t="s">
        <v>161</v>
      </c>
    </row>
    <row r="161" spans="9:17" x14ac:dyDescent="0.45">
      <c r="I161" t="s">
        <v>173</v>
      </c>
      <c r="J161" t="s">
        <v>231</v>
      </c>
      <c r="K161">
        <v>0.35364045100403874</v>
      </c>
      <c r="L161" t="s">
        <v>161</v>
      </c>
      <c r="N161" t="s">
        <v>193</v>
      </c>
      <c r="O161" t="s">
        <v>231</v>
      </c>
      <c r="P161">
        <v>6.4443452867874035E-2</v>
      </c>
      <c r="Q161" t="s">
        <v>161</v>
      </c>
    </row>
    <row r="162" spans="9:17" x14ac:dyDescent="0.45">
      <c r="I162" t="s">
        <v>173</v>
      </c>
      <c r="J162" t="s">
        <v>232</v>
      </c>
      <c r="K162">
        <v>1.6133848232990119E-2</v>
      </c>
      <c r="L162" t="s">
        <v>161</v>
      </c>
      <c r="N162" t="s">
        <v>193</v>
      </c>
      <c r="O162" t="s">
        <v>232</v>
      </c>
      <c r="P162">
        <v>8.0708018890960756E-2</v>
      </c>
      <c r="Q162" t="s">
        <v>161</v>
      </c>
    </row>
    <row r="163" spans="9:17" x14ac:dyDescent="0.45">
      <c r="I163" t="s">
        <v>173</v>
      </c>
      <c r="J163" t="s">
        <v>233</v>
      </c>
      <c r="K163">
        <v>3.6842264829476418E-2</v>
      </c>
      <c r="L163" t="s">
        <v>161</v>
      </c>
      <c r="N163" t="s">
        <v>193</v>
      </c>
      <c r="O163" t="s">
        <v>233</v>
      </c>
      <c r="P163">
        <v>1.1533095948930802E-2</v>
      </c>
      <c r="Q163" t="s">
        <v>161</v>
      </c>
    </row>
    <row r="164" spans="9:17" x14ac:dyDescent="0.45">
      <c r="I164" t="s">
        <v>173</v>
      </c>
      <c r="J164" t="s">
        <v>234</v>
      </c>
      <c r="K164">
        <v>8.6793003448975128E-2</v>
      </c>
      <c r="L164" t="s">
        <v>161</v>
      </c>
      <c r="N164" t="s">
        <v>193</v>
      </c>
      <c r="O164" t="s">
        <v>234</v>
      </c>
      <c r="P164">
        <v>0.1398259288173333</v>
      </c>
      <c r="Q164" t="s">
        <v>161</v>
      </c>
    </row>
    <row r="165" spans="9:17" x14ac:dyDescent="0.45">
      <c r="I165" t="s">
        <v>173</v>
      </c>
      <c r="J165" t="s">
        <v>235</v>
      </c>
      <c r="K165">
        <v>0</v>
      </c>
      <c r="L165" t="s">
        <v>161</v>
      </c>
      <c r="N165" t="s">
        <v>193</v>
      </c>
      <c r="O165" t="s">
        <v>235</v>
      </c>
      <c r="P165">
        <v>0.1464381641137979</v>
      </c>
      <c r="Q165" t="s">
        <v>161</v>
      </c>
    </row>
    <row r="166" spans="9:17" x14ac:dyDescent="0.45">
      <c r="I166" t="s">
        <v>173</v>
      </c>
      <c r="J166" t="s">
        <v>236</v>
      </c>
      <c r="K166">
        <v>5.4065775208311795E-4</v>
      </c>
      <c r="L166" t="s">
        <v>161</v>
      </c>
      <c r="N166" t="s">
        <v>193</v>
      </c>
      <c r="O166" t="s">
        <v>236</v>
      </c>
      <c r="P166">
        <v>2.7391184535267829E-2</v>
      </c>
      <c r="Q166" t="s">
        <v>161</v>
      </c>
    </row>
    <row r="167" spans="9:17" x14ac:dyDescent="0.45">
      <c r="I167" t="s">
        <v>174</v>
      </c>
      <c r="J167" t="s">
        <v>225</v>
      </c>
      <c r="K167">
        <v>0.17768231483382463</v>
      </c>
      <c r="L167" t="s">
        <v>161</v>
      </c>
      <c r="N167" t="s">
        <v>194</v>
      </c>
      <c r="O167" t="s">
        <v>225</v>
      </c>
      <c r="P167">
        <v>0.1213046823183483</v>
      </c>
      <c r="Q167" t="s">
        <v>161</v>
      </c>
    </row>
    <row r="168" spans="9:17" x14ac:dyDescent="0.45">
      <c r="I168" t="s">
        <v>174</v>
      </c>
      <c r="J168" t="s">
        <v>226</v>
      </c>
      <c r="K168">
        <v>0</v>
      </c>
      <c r="L168" t="s">
        <v>161</v>
      </c>
      <c r="N168" t="s">
        <v>194</v>
      </c>
      <c r="O168" t="s">
        <v>226</v>
      </c>
      <c r="P168">
        <v>0.13248889825280147</v>
      </c>
      <c r="Q168" t="s">
        <v>161</v>
      </c>
    </row>
    <row r="169" spans="9:17" x14ac:dyDescent="0.45">
      <c r="I169" t="s">
        <v>174</v>
      </c>
      <c r="J169" t="s">
        <v>227</v>
      </c>
      <c r="K169">
        <v>7.8547647344742108E-3</v>
      </c>
      <c r="L169" t="s">
        <v>161</v>
      </c>
      <c r="N169" t="s">
        <v>194</v>
      </c>
      <c r="O169" t="s">
        <v>227</v>
      </c>
      <c r="P169">
        <v>2.4863004782431138E-2</v>
      </c>
      <c r="Q169" t="s">
        <v>161</v>
      </c>
    </row>
    <row r="170" spans="9:17" x14ac:dyDescent="0.45">
      <c r="I170" t="s">
        <v>174</v>
      </c>
      <c r="J170" t="s">
        <v>228</v>
      </c>
      <c r="K170">
        <v>0.28440561578572049</v>
      </c>
      <c r="L170" t="s">
        <v>161</v>
      </c>
      <c r="N170" t="s">
        <v>194</v>
      </c>
      <c r="O170" t="s">
        <v>228</v>
      </c>
      <c r="P170">
        <v>9.998023910748087E-2</v>
      </c>
      <c r="Q170" t="s">
        <v>161</v>
      </c>
    </row>
    <row r="171" spans="9:17" x14ac:dyDescent="0.45">
      <c r="I171" t="s">
        <v>174</v>
      </c>
      <c r="J171" t="s">
        <v>229</v>
      </c>
      <c r="K171">
        <v>4.4839297236329229E-3</v>
      </c>
      <c r="L171" t="s">
        <v>161</v>
      </c>
      <c r="N171" t="s">
        <v>194</v>
      </c>
      <c r="O171" t="s">
        <v>229</v>
      </c>
      <c r="P171">
        <v>0.13024421292121979</v>
      </c>
      <c r="Q171" t="s">
        <v>161</v>
      </c>
    </row>
    <row r="172" spans="9:17" x14ac:dyDescent="0.45">
      <c r="I172" t="s">
        <v>174</v>
      </c>
      <c r="J172" t="s">
        <v>230</v>
      </c>
      <c r="K172">
        <v>2.6415597627693185E-2</v>
      </c>
      <c r="L172" t="s">
        <v>161</v>
      </c>
      <c r="N172" t="s">
        <v>194</v>
      </c>
      <c r="O172" t="s">
        <v>230</v>
      </c>
      <c r="P172">
        <v>1.8452652354476573E-2</v>
      </c>
      <c r="Q172" t="s">
        <v>161</v>
      </c>
    </row>
    <row r="173" spans="9:17" x14ac:dyDescent="0.45">
      <c r="I173" t="s">
        <v>174</v>
      </c>
      <c r="J173" t="s">
        <v>231</v>
      </c>
      <c r="K173">
        <v>0.34047817135939751</v>
      </c>
      <c r="L173" t="s">
        <v>161</v>
      </c>
      <c r="N173" t="s">
        <v>194</v>
      </c>
      <c r="O173" t="s">
        <v>231</v>
      </c>
      <c r="P173">
        <v>6.5736582451925971E-2</v>
      </c>
      <c r="Q173" t="s">
        <v>161</v>
      </c>
    </row>
    <row r="174" spans="9:17" x14ac:dyDescent="0.45">
      <c r="I174" t="s">
        <v>174</v>
      </c>
      <c r="J174" t="s">
        <v>232</v>
      </c>
      <c r="K174">
        <v>1.4887942936778878E-2</v>
      </c>
      <c r="L174" t="s">
        <v>161</v>
      </c>
      <c r="N174" t="s">
        <v>194</v>
      </c>
      <c r="O174" t="s">
        <v>232</v>
      </c>
      <c r="P174">
        <v>7.635477773776371E-2</v>
      </c>
      <c r="Q174" t="s">
        <v>161</v>
      </c>
    </row>
    <row r="175" spans="9:17" x14ac:dyDescent="0.45">
      <c r="I175" t="s">
        <v>174</v>
      </c>
      <c r="J175" t="s">
        <v>233</v>
      </c>
      <c r="K175">
        <v>3.766778293334494E-2</v>
      </c>
      <c r="L175" t="s">
        <v>161</v>
      </c>
      <c r="N175" t="s">
        <v>194</v>
      </c>
      <c r="O175" t="s">
        <v>233</v>
      </c>
      <c r="P175">
        <v>1.1892885895286332E-2</v>
      </c>
      <c r="Q175" t="s">
        <v>161</v>
      </c>
    </row>
    <row r="176" spans="9:17" x14ac:dyDescent="0.45">
      <c r="I176" t="s">
        <v>174</v>
      </c>
      <c r="J176" t="s">
        <v>234</v>
      </c>
      <c r="K176">
        <v>0.10474519817968331</v>
      </c>
      <c r="L176" t="s">
        <v>161</v>
      </c>
      <c r="N176" t="s">
        <v>194</v>
      </c>
      <c r="O176" t="s">
        <v>234</v>
      </c>
      <c r="P176">
        <v>0.14269633135479187</v>
      </c>
      <c r="Q176" t="s">
        <v>161</v>
      </c>
    </row>
    <row r="177" spans="9:17" x14ac:dyDescent="0.45">
      <c r="I177" t="s">
        <v>174</v>
      </c>
      <c r="J177" t="s">
        <v>235</v>
      </c>
      <c r="K177">
        <v>0</v>
      </c>
      <c r="L177" t="s">
        <v>161</v>
      </c>
      <c r="N177" t="s">
        <v>194</v>
      </c>
      <c r="O177" t="s">
        <v>235</v>
      </c>
      <c r="P177">
        <v>0.1480552714323676</v>
      </c>
      <c r="Q177" t="s">
        <v>161</v>
      </c>
    </row>
    <row r="178" spans="9:17" x14ac:dyDescent="0.45">
      <c r="I178" t="s">
        <v>174</v>
      </c>
      <c r="J178" t="s">
        <v>236</v>
      </c>
      <c r="K178">
        <v>1.378681885452667E-3</v>
      </c>
      <c r="L178" t="s">
        <v>161</v>
      </c>
      <c r="N178" t="s">
        <v>194</v>
      </c>
      <c r="O178" t="s">
        <v>236</v>
      </c>
      <c r="P178">
        <v>2.7930461391106214E-2</v>
      </c>
      <c r="Q178" t="s">
        <v>161</v>
      </c>
    </row>
    <row r="179" spans="9:17" x14ac:dyDescent="0.45">
      <c r="I179" t="s">
        <v>175</v>
      </c>
      <c r="J179" t="s">
        <v>225</v>
      </c>
      <c r="K179">
        <v>0.17462633295987517</v>
      </c>
      <c r="L179" t="s">
        <v>161</v>
      </c>
      <c r="N179" t="s">
        <v>195</v>
      </c>
      <c r="O179" t="s">
        <v>225</v>
      </c>
      <c r="P179">
        <v>0.12435981738363847</v>
      </c>
      <c r="Q179" t="s">
        <v>161</v>
      </c>
    </row>
    <row r="180" spans="9:17" x14ac:dyDescent="0.45">
      <c r="I180" t="s">
        <v>175</v>
      </c>
      <c r="J180" t="s">
        <v>226</v>
      </c>
      <c r="K180">
        <v>0</v>
      </c>
      <c r="L180" t="s">
        <v>161</v>
      </c>
      <c r="N180" t="s">
        <v>195</v>
      </c>
      <c r="O180" t="s">
        <v>226</v>
      </c>
      <c r="P180">
        <v>0.11600084260602897</v>
      </c>
      <c r="Q180" t="s">
        <v>161</v>
      </c>
    </row>
    <row r="181" spans="9:17" x14ac:dyDescent="0.45">
      <c r="I181" t="s">
        <v>175</v>
      </c>
      <c r="J181" t="s">
        <v>227</v>
      </c>
      <c r="K181">
        <v>8.0813317248831212E-3</v>
      </c>
      <c r="L181" t="s">
        <v>161</v>
      </c>
      <c r="N181" t="s">
        <v>195</v>
      </c>
      <c r="O181" t="s">
        <v>227</v>
      </c>
      <c r="P181">
        <v>2.6157529396756727E-2</v>
      </c>
      <c r="Q181" t="s">
        <v>161</v>
      </c>
    </row>
    <row r="182" spans="9:17" x14ac:dyDescent="0.45">
      <c r="I182" t="s">
        <v>175</v>
      </c>
      <c r="J182" t="s">
        <v>228</v>
      </c>
      <c r="K182">
        <v>0.28435205834353594</v>
      </c>
      <c r="L182" t="s">
        <v>161</v>
      </c>
      <c r="N182" t="s">
        <v>195</v>
      </c>
      <c r="O182" t="s">
        <v>228</v>
      </c>
      <c r="P182">
        <v>0.12126386167415086</v>
      </c>
      <c r="Q182" t="s">
        <v>161</v>
      </c>
    </row>
    <row r="183" spans="9:17" x14ac:dyDescent="0.45">
      <c r="I183" t="s">
        <v>175</v>
      </c>
      <c r="J183" t="s">
        <v>229</v>
      </c>
      <c r="K183">
        <v>5.2957833417648006E-3</v>
      </c>
      <c r="L183" t="s">
        <v>161</v>
      </c>
      <c r="N183" t="s">
        <v>195</v>
      </c>
      <c r="O183" t="s">
        <v>229</v>
      </c>
      <c r="P183">
        <v>0.10760369999013787</v>
      </c>
      <c r="Q183" t="s">
        <v>161</v>
      </c>
    </row>
    <row r="184" spans="9:17" x14ac:dyDescent="0.45">
      <c r="I184" t="s">
        <v>175</v>
      </c>
      <c r="J184" t="s">
        <v>230</v>
      </c>
      <c r="K184">
        <v>2.7421393908621455E-2</v>
      </c>
      <c r="L184" t="s">
        <v>161</v>
      </c>
      <c r="N184" t="s">
        <v>195</v>
      </c>
      <c r="O184" t="s">
        <v>230</v>
      </c>
      <c r="P184">
        <v>2.3183969046213022E-2</v>
      </c>
      <c r="Q184" t="s">
        <v>161</v>
      </c>
    </row>
    <row r="185" spans="9:17" x14ac:dyDescent="0.45">
      <c r="I185" t="s">
        <v>175</v>
      </c>
      <c r="J185" t="s">
        <v>231</v>
      </c>
      <c r="K185">
        <v>0.35200916260370696</v>
      </c>
      <c r="L185" t="s">
        <v>161</v>
      </c>
      <c r="N185" t="s">
        <v>195</v>
      </c>
      <c r="O185" t="s">
        <v>231</v>
      </c>
      <c r="P185">
        <v>5.6302172393367246E-2</v>
      </c>
      <c r="Q185" t="s">
        <v>161</v>
      </c>
    </row>
    <row r="186" spans="9:17" x14ac:dyDescent="0.45">
      <c r="I186" t="s">
        <v>175</v>
      </c>
      <c r="J186" t="s">
        <v>232</v>
      </c>
      <c r="K186">
        <v>1.7092300709790387E-2</v>
      </c>
      <c r="L186" t="s">
        <v>161</v>
      </c>
      <c r="N186" t="s">
        <v>195</v>
      </c>
      <c r="O186" t="s">
        <v>232</v>
      </c>
      <c r="P186">
        <v>3.6580059560344165E-2</v>
      </c>
      <c r="Q186" t="s">
        <v>161</v>
      </c>
    </row>
    <row r="187" spans="9:17" x14ac:dyDescent="0.45">
      <c r="I187" t="s">
        <v>175</v>
      </c>
      <c r="J187" t="s">
        <v>233</v>
      </c>
      <c r="K187">
        <v>4.1125232284389038E-2</v>
      </c>
      <c r="L187" t="s">
        <v>161</v>
      </c>
      <c r="N187" t="s">
        <v>195</v>
      </c>
      <c r="O187" t="s">
        <v>233</v>
      </c>
      <c r="P187">
        <v>1.1827301590906801E-2</v>
      </c>
      <c r="Q187" t="s">
        <v>161</v>
      </c>
    </row>
    <row r="188" spans="9:17" x14ac:dyDescent="0.45">
      <c r="I188" t="s">
        <v>175</v>
      </c>
      <c r="J188" t="s">
        <v>234</v>
      </c>
      <c r="K188">
        <v>8.8965275313366191E-2</v>
      </c>
      <c r="L188" t="s">
        <v>161</v>
      </c>
      <c r="N188" t="s">
        <v>195</v>
      </c>
      <c r="O188" t="s">
        <v>234</v>
      </c>
      <c r="P188">
        <v>0.17218055683289313</v>
      </c>
      <c r="Q188" t="s">
        <v>161</v>
      </c>
    </row>
    <row r="189" spans="9:17" x14ac:dyDescent="0.45">
      <c r="I189" t="s">
        <v>175</v>
      </c>
      <c r="J189" t="s">
        <v>235</v>
      </c>
      <c r="K189">
        <v>0</v>
      </c>
      <c r="L189" t="s">
        <v>161</v>
      </c>
      <c r="N189" t="s">
        <v>195</v>
      </c>
      <c r="O189" t="s">
        <v>235</v>
      </c>
      <c r="P189">
        <v>0.17164648331855289</v>
      </c>
      <c r="Q189" t="s">
        <v>161</v>
      </c>
    </row>
    <row r="190" spans="9:17" x14ac:dyDescent="0.45">
      <c r="I190" t="s">
        <v>175</v>
      </c>
      <c r="J190" t="s">
        <v>236</v>
      </c>
      <c r="K190">
        <v>1.0311288100668418E-3</v>
      </c>
      <c r="L190" t="s">
        <v>161</v>
      </c>
      <c r="N190" t="s">
        <v>195</v>
      </c>
      <c r="O190" t="s">
        <v>236</v>
      </c>
      <c r="P190">
        <v>3.2893706207016461E-2</v>
      </c>
      <c r="Q190" t="s">
        <v>161</v>
      </c>
    </row>
    <row r="191" spans="9:17" x14ac:dyDescent="0.45">
      <c r="I191" t="s">
        <v>176</v>
      </c>
      <c r="J191" t="s">
        <v>225</v>
      </c>
      <c r="K191">
        <v>0.16535050950154984</v>
      </c>
      <c r="L191" t="s">
        <v>161</v>
      </c>
      <c r="N191" t="s">
        <v>196</v>
      </c>
      <c r="O191" t="s">
        <v>225</v>
      </c>
      <c r="P191">
        <v>0.12598411568464496</v>
      </c>
      <c r="Q191" t="s">
        <v>161</v>
      </c>
    </row>
    <row r="192" spans="9:17" x14ac:dyDescent="0.45">
      <c r="I192" t="s">
        <v>176</v>
      </c>
      <c r="J192" t="s">
        <v>226</v>
      </c>
      <c r="K192">
        <v>0</v>
      </c>
      <c r="L192" t="s">
        <v>161</v>
      </c>
      <c r="N192" t="s">
        <v>196</v>
      </c>
      <c r="O192" t="s">
        <v>226</v>
      </c>
      <c r="P192">
        <v>0.13548404112043672</v>
      </c>
      <c r="Q192" t="s">
        <v>161</v>
      </c>
    </row>
    <row r="193" spans="9:17" x14ac:dyDescent="0.45">
      <c r="I193" t="s">
        <v>176</v>
      </c>
      <c r="J193" t="s">
        <v>227</v>
      </c>
      <c r="K193">
        <v>7.6028739033863289E-3</v>
      </c>
      <c r="L193" t="s">
        <v>161</v>
      </c>
      <c r="N193" t="s">
        <v>196</v>
      </c>
      <c r="O193" t="s">
        <v>227</v>
      </c>
      <c r="P193">
        <v>2.3891267948072226E-2</v>
      </c>
      <c r="Q193" t="s">
        <v>161</v>
      </c>
    </row>
    <row r="194" spans="9:17" x14ac:dyDescent="0.45">
      <c r="I194" t="s">
        <v>176</v>
      </c>
      <c r="J194" t="s">
        <v>228</v>
      </c>
      <c r="K194">
        <v>0.29820494813786341</v>
      </c>
      <c r="L194" t="s">
        <v>161</v>
      </c>
      <c r="N194" t="s">
        <v>196</v>
      </c>
      <c r="O194" t="s">
        <v>228</v>
      </c>
      <c r="P194">
        <v>0.10599905498595771</v>
      </c>
      <c r="Q194" t="s">
        <v>161</v>
      </c>
    </row>
    <row r="195" spans="9:17" x14ac:dyDescent="0.45">
      <c r="I195" t="s">
        <v>176</v>
      </c>
      <c r="J195" t="s">
        <v>229</v>
      </c>
      <c r="K195">
        <v>6.1292847500394911E-3</v>
      </c>
      <c r="L195" t="s">
        <v>161</v>
      </c>
      <c r="N195" t="s">
        <v>196</v>
      </c>
      <c r="O195" t="s">
        <v>229</v>
      </c>
      <c r="P195">
        <v>0.11330297601659965</v>
      </c>
      <c r="Q195" t="s">
        <v>161</v>
      </c>
    </row>
    <row r="196" spans="9:17" x14ac:dyDescent="0.45">
      <c r="I196" t="s">
        <v>176</v>
      </c>
      <c r="J196" t="s">
        <v>230</v>
      </c>
      <c r="K196">
        <v>2.7566362099425125E-2</v>
      </c>
      <c r="L196" t="s">
        <v>161</v>
      </c>
      <c r="N196" t="s">
        <v>196</v>
      </c>
      <c r="O196" t="s">
        <v>230</v>
      </c>
      <c r="P196">
        <v>2.0018946542823293E-2</v>
      </c>
      <c r="Q196" t="s">
        <v>161</v>
      </c>
    </row>
    <row r="197" spans="9:17" x14ac:dyDescent="0.45">
      <c r="I197" t="s">
        <v>176</v>
      </c>
      <c r="J197" t="s">
        <v>231</v>
      </c>
      <c r="K197">
        <v>0.35782597171881775</v>
      </c>
      <c r="L197" t="s">
        <v>161</v>
      </c>
      <c r="N197" t="s">
        <v>196</v>
      </c>
      <c r="O197" t="s">
        <v>231</v>
      </c>
      <c r="P197">
        <v>4.6962984433403E-2</v>
      </c>
      <c r="Q197" t="s">
        <v>161</v>
      </c>
    </row>
    <row r="198" spans="9:17" x14ac:dyDescent="0.45">
      <c r="I198" t="s">
        <v>176</v>
      </c>
      <c r="J198" t="s">
        <v>232</v>
      </c>
      <c r="K198">
        <v>1.9412565379257382E-2</v>
      </c>
      <c r="L198" t="s">
        <v>161</v>
      </c>
      <c r="N198" t="s">
        <v>196</v>
      </c>
      <c r="O198" t="s">
        <v>232</v>
      </c>
      <c r="P198">
        <v>5.2161714136209715E-2</v>
      </c>
      <c r="Q198" t="s">
        <v>161</v>
      </c>
    </row>
    <row r="199" spans="9:17" x14ac:dyDescent="0.45">
      <c r="I199" t="s">
        <v>176</v>
      </c>
      <c r="J199" t="s">
        <v>233</v>
      </c>
      <c r="K199">
        <v>4.2579504658444865E-2</v>
      </c>
      <c r="L199" t="s">
        <v>161</v>
      </c>
      <c r="N199" t="s">
        <v>196</v>
      </c>
      <c r="O199" t="s">
        <v>233</v>
      </c>
      <c r="P199">
        <v>8.6732498575071721E-3</v>
      </c>
      <c r="Q199" t="s">
        <v>161</v>
      </c>
    </row>
    <row r="200" spans="9:17" x14ac:dyDescent="0.45">
      <c r="I200" t="s">
        <v>176</v>
      </c>
      <c r="J200" t="s">
        <v>234</v>
      </c>
      <c r="K200">
        <v>7.4702840536854734E-2</v>
      </c>
      <c r="L200" t="s">
        <v>161</v>
      </c>
      <c r="N200" t="s">
        <v>196</v>
      </c>
      <c r="O200" t="s">
        <v>234</v>
      </c>
      <c r="P200">
        <v>0.16335731391424585</v>
      </c>
      <c r="Q200" t="s">
        <v>161</v>
      </c>
    </row>
    <row r="201" spans="9:17" x14ac:dyDescent="0.45">
      <c r="I201" t="s">
        <v>176</v>
      </c>
      <c r="J201" t="s">
        <v>235</v>
      </c>
      <c r="K201">
        <v>0</v>
      </c>
      <c r="L201" t="s">
        <v>161</v>
      </c>
      <c r="N201" t="s">
        <v>196</v>
      </c>
      <c r="O201" t="s">
        <v>235</v>
      </c>
      <c r="P201">
        <v>0.17184219609570309</v>
      </c>
      <c r="Q201" t="s">
        <v>161</v>
      </c>
    </row>
    <row r="202" spans="9:17" x14ac:dyDescent="0.45">
      <c r="I202" t="s">
        <v>176</v>
      </c>
      <c r="J202" t="s">
        <v>236</v>
      </c>
      <c r="K202">
        <v>6.2513931436027244E-4</v>
      </c>
      <c r="L202" t="s">
        <v>161</v>
      </c>
      <c r="N202" t="s">
        <v>196</v>
      </c>
      <c r="O202" t="s">
        <v>236</v>
      </c>
      <c r="P202">
        <v>3.2322139264399516E-2</v>
      </c>
      <c r="Q202" t="s">
        <v>161</v>
      </c>
    </row>
    <row r="203" spans="9:17" x14ac:dyDescent="0.45">
      <c r="I203" t="s">
        <v>177</v>
      </c>
      <c r="J203" t="s">
        <v>225</v>
      </c>
      <c r="K203">
        <v>0.15608795061906866</v>
      </c>
      <c r="L203" t="s">
        <v>161</v>
      </c>
      <c r="N203" t="s">
        <v>197</v>
      </c>
      <c r="O203" t="s">
        <v>225</v>
      </c>
      <c r="P203">
        <v>0.12123017759662333</v>
      </c>
      <c r="Q203" t="s">
        <v>161</v>
      </c>
    </row>
    <row r="204" spans="9:17" x14ac:dyDescent="0.45">
      <c r="I204" t="s">
        <v>177</v>
      </c>
      <c r="J204" t="s">
        <v>226</v>
      </c>
      <c r="K204">
        <v>0</v>
      </c>
      <c r="L204" t="s">
        <v>161</v>
      </c>
      <c r="N204" t="s">
        <v>197</v>
      </c>
      <c r="O204" t="s">
        <v>226</v>
      </c>
      <c r="P204">
        <v>0.13024871185083761</v>
      </c>
      <c r="Q204" t="s">
        <v>161</v>
      </c>
    </row>
    <row r="205" spans="9:17" x14ac:dyDescent="0.45">
      <c r="I205" t="s">
        <v>177</v>
      </c>
      <c r="J205" t="s">
        <v>227</v>
      </c>
      <c r="K205">
        <v>7.6006402443158181E-3</v>
      </c>
      <c r="L205" t="s">
        <v>161</v>
      </c>
      <c r="N205" t="s">
        <v>197</v>
      </c>
      <c r="O205" t="s">
        <v>227</v>
      </c>
      <c r="P205">
        <v>2.6390890948568804E-2</v>
      </c>
      <c r="Q205" t="s">
        <v>161</v>
      </c>
    </row>
    <row r="206" spans="9:17" x14ac:dyDescent="0.45">
      <c r="I206" t="s">
        <v>177</v>
      </c>
      <c r="J206" t="s">
        <v>228</v>
      </c>
      <c r="K206">
        <v>0.3126664984864278</v>
      </c>
      <c r="L206" t="s">
        <v>161</v>
      </c>
      <c r="N206" t="s">
        <v>197</v>
      </c>
      <c r="O206" t="s">
        <v>228</v>
      </c>
      <c r="P206">
        <v>0.11391332693124738</v>
      </c>
      <c r="Q206" t="s">
        <v>161</v>
      </c>
    </row>
    <row r="207" spans="9:17" x14ac:dyDescent="0.45">
      <c r="I207" t="s">
        <v>177</v>
      </c>
      <c r="J207" t="s">
        <v>229</v>
      </c>
      <c r="K207">
        <v>6.515140342429334E-3</v>
      </c>
      <c r="L207" t="s">
        <v>161</v>
      </c>
      <c r="N207" t="s">
        <v>197</v>
      </c>
      <c r="O207" t="s">
        <v>229</v>
      </c>
      <c r="P207">
        <v>0.11827639760924574</v>
      </c>
      <c r="Q207" t="s">
        <v>161</v>
      </c>
    </row>
    <row r="208" spans="9:17" x14ac:dyDescent="0.45">
      <c r="I208" t="s">
        <v>177</v>
      </c>
      <c r="J208" t="s">
        <v>230</v>
      </c>
      <c r="K208">
        <v>2.8756938685473233E-2</v>
      </c>
      <c r="L208" t="s">
        <v>161</v>
      </c>
      <c r="N208" t="s">
        <v>197</v>
      </c>
      <c r="O208" t="s">
        <v>230</v>
      </c>
      <c r="P208">
        <v>2.1101225428103488E-2</v>
      </c>
      <c r="Q208" t="s">
        <v>161</v>
      </c>
    </row>
    <row r="209" spans="9:17" x14ac:dyDescent="0.45">
      <c r="I209" t="s">
        <v>177</v>
      </c>
      <c r="J209" t="s">
        <v>231</v>
      </c>
      <c r="K209">
        <v>0.35468054339297161</v>
      </c>
      <c r="L209" t="s">
        <v>161</v>
      </c>
      <c r="N209" t="s">
        <v>197</v>
      </c>
      <c r="O209" t="s">
        <v>231</v>
      </c>
      <c r="P209">
        <v>5.6397514600846819E-2</v>
      </c>
      <c r="Q209" t="s">
        <v>161</v>
      </c>
    </row>
    <row r="210" spans="9:17" x14ac:dyDescent="0.45">
      <c r="I210" t="s">
        <v>177</v>
      </c>
      <c r="J210" t="s">
        <v>232</v>
      </c>
      <c r="K210">
        <v>2.0563016771355264E-2</v>
      </c>
      <c r="L210" t="s">
        <v>161</v>
      </c>
      <c r="N210" t="s">
        <v>197</v>
      </c>
      <c r="O210" t="s">
        <v>232</v>
      </c>
      <c r="P210">
        <v>5.7251497207763888E-2</v>
      </c>
      <c r="Q210" t="s">
        <v>161</v>
      </c>
    </row>
    <row r="211" spans="9:17" x14ac:dyDescent="0.45">
      <c r="I211" t="s">
        <v>177</v>
      </c>
      <c r="J211" t="s">
        <v>233</v>
      </c>
      <c r="K211">
        <v>4.2559454998078554E-2</v>
      </c>
      <c r="L211" t="s">
        <v>161</v>
      </c>
      <c r="N211" t="s">
        <v>197</v>
      </c>
      <c r="O211" t="s">
        <v>233</v>
      </c>
      <c r="P211">
        <v>1.1792351032209207E-2</v>
      </c>
      <c r="Q211" t="s">
        <v>161</v>
      </c>
    </row>
    <row r="212" spans="9:17" x14ac:dyDescent="0.45">
      <c r="I212" t="s">
        <v>177</v>
      </c>
      <c r="J212" t="s">
        <v>234</v>
      </c>
      <c r="K212">
        <v>6.9896980612889376E-2</v>
      </c>
      <c r="L212" t="s">
        <v>161</v>
      </c>
      <c r="N212" t="s">
        <v>197</v>
      </c>
      <c r="O212" t="s">
        <v>234</v>
      </c>
      <c r="P212">
        <v>0.15354524042948181</v>
      </c>
      <c r="Q212" t="s">
        <v>161</v>
      </c>
    </row>
    <row r="213" spans="9:17" x14ac:dyDescent="0.45">
      <c r="I213" t="s">
        <v>177</v>
      </c>
      <c r="J213" t="s">
        <v>235</v>
      </c>
      <c r="K213">
        <v>0</v>
      </c>
      <c r="L213" t="s">
        <v>161</v>
      </c>
      <c r="N213" t="s">
        <v>197</v>
      </c>
      <c r="O213" t="s">
        <v>235</v>
      </c>
      <c r="P213">
        <v>0.15957690638823219</v>
      </c>
      <c r="Q213" t="s">
        <v>161</v>
      </c>
    </row>
    <row r="214" spans="9:17" x14ac:dyDescent="0.45">
      <c r="I214" t="s">
        <v>177</v>
      </c>
      <c r="J214" t="s">
        <v>236</v>
      </c>
      <c r="K214">
        <v>6.7283584699035144E-4</v>
      </c>
      <c r="L214" t="s">
        <v>161</v>
      </c>
      <c r="N214" t="s">
        <v>197</v>
      </c>
      <c r="O214" t="s">
        <v>236</v>
      </c>
      <c r="P214">
        <v>3.0275759976838974E-2</v>
      </c>
      <c r="Q214" t="s">
        <v>161</v>
      </c>
    </row>
    <row r="215" spans="9:17" x14ac:dyDescent="0.45">
      <c r="I215" t="s">
        <v>178</v>
      </c>
      <c r="J215" t="s">
        <v>225</v>
      </c>
      <c r="K215">
        <v>0.15464481366483115</v>
      </c>
      <c r="L215" t="s">
        <v>161</v>
      </c>
      <c r="N215" t="s">
        <v>198</v>
      </c>
      <c r="O215" t="s">
        <v>225</v>
      </c>
      <c r="P215">
        <v>0.13239289026852008</v>
      </c>
      <c r="Q215" t="s">
        <v>161</v>
      </c>
    </row>
    <row r="216" spans="9:17" x14ac:dyDescent="0.45">
      <c r="I216" t="s">
        <v>178</v>
      </c>
      <c r="J216" t="s">
        <v>226</v>
      </c>
      <c r="K216">
        <v>0</v>
      </c>
      <c r="L216" t="s">
        <v>161</v>
      </c>
      <c r="N216" t="s">
        <v>198</v>
      </c>
      <c r="O216" t="s">
        <v>226</v>
      </c>
      <c r="P216">
        <v>0.1300242629252357</v>
      </c>
      <c r="Q216" t="s">
        <v>161</v>
      </c>
    </row>
    <row r="217" spans="9:17" x14ac:dyDescent="0.45">
      <c r="I217" t="s">
        <v>178</v>
      </c>
      <c r="J217" t="s">
        <v>227</v>
      </c>
      <c r="K217">
        <v>6.5238696918299881E-3</v>
      </c>
      <c r="L217" t="s">
        <v>161</v>
      </c>
      <c r="N217" t="s">
        <v>198</v>
      </c>
      <c r="O217" t="s">
        <v>227</v>
      </c>
      <c r="P217">
        <v>2.4536627810902323E-2</v>
      </c>
      <c r="Q217" t="s">
        <v>161</v>
      </c>
    </row>
    <row r="218" spans="9:17" x14ac:dyDescent="0.45">
      <c r="I218" t="s">
        <v>178</v>
      </c>
      <c r="J218" t="s">
        <v>228</v>
      </c>
      <c r="K218">
        <v>0.30402754747418442</v>
      </c>
      <c r="L218" t="s">
        <v>161</v>
      </c>
      <c r="N218" t="s">
        <v>198</v>
      </c>
      <c r="O218" t="s">
        <v>228</v>
      </c>
      <c r="P218">
        <v>0.11270969829927263</v>
      </c>
      <c r="Q218" t="s">
        <v>161</v>
      </c>
    </row>
    <row r="219" spans="9:17" x14ac:dyDescent="0.45">
      <c r="I219" t="s">
        <v>178</v>
      </c>
      <c r="J219" t="s">
        <v>229</v>
      </c>
      <c r="K219">
        <v>6.128828611785586E-3</v>
      </c>
      <c r="L219" t="s">
        <v>161</v>
      </c>
      <c r="N219" t="s">
        <v>198</v>
      </c>
      <c r="O219" t="s">
        <v>229</v>
      </c>
      <c r="P219">
        <v>0.11435029329950268</v>
      </c>
      <c r="Q219" t="s">
        <v>161</v>
      </c>
    </row>
    <row r="220" spans="9:17" x14ac:dyDescent="0.45">
      <c r="I220" t="s">
        <v>178</v>
      </c>
      <c r="J220" t="s">
        <v>230</v>
      </c>
      <c r="K220">
        <v>2.6395626080338623E-2</v>
      </c>
      <c r="L220" t="s">
        <v>161</v>
      </c>
      <c r="N220" t="s">
        <v>198</v>
      </c>
      <c r="O220" t="s">
        <v>230</v>
      </c>
      <c r="P220">
        <v>2.1179748514660108E-2</v>
      </c>
      <c r="Q220" t="s">
        <v>161</v>
      </c>
    </row>
    <row r="221" spans="9:17" x14ac:dyDescent="0.45">
      <c r="I221" t="s">
        <v>178</v>
      </c>
      <c r="J221" t="s">
        <v>231</v>
      </c>
      <c r="K221">
        <v>0.36647745307994395</v>
      </c>
      <c r="L221" t="s">
        <v>161</v>
      </c>
      <c r="N221" t="s">
        <v>198</v>
      </c>
      <c r="O221" t="s">
        <v>231</v>
      </c>
      <c r="P221">
        <v>6.2854256696872529E-2</v>
      </c>
      <c r="Q221" t="s">
        <v>161</v>
      </c>
    </row>
    <row r="222" spans="9:17" x14ac:dyDescent="0.45">
      <c r="I222" t="s">
        <v>178</v>
      </c>
      <c r="J222" t="s">
        <v>232</v>
      </c>
      <c r="K222">
        <v>1.9784318666550584E-2</v>
      </c>
      <c r="L222" t="s">
        <v>161</v>
      </c>
      <c r="N222" t="s">
        <v>198</v>
      </c>
      <c r="O222" t="s">
        <v>232</v>
      </c>
      <c r="P222">
        <v>6.6227968366499038E-2</v>
      </c>
      <c r="Q222" t="s">
        <v>161</v>
      </c>
    </row>
    <row r="223" spans="9:17" x14ac:dyDescent="0.45">
      <c r="I223" t="s">
        <v>178</v>
      </c>
      <c r="J223" t="s">
        <v>233</v>
      </c>
      <c r="K223">
        <v>4.1768620172015991E-2</v>
      </c>
      <c r="L223" t="s">
        <v>161</v>
      </c>
      <c r="N223" t="s">
        <v>198</v>
      </c>
      <c r="O223" t="s">
        <v>233</v>
      </c>
      <c r="P223">
        <v>1.1243888686688222E-2</v>
      </c>
      <c r="Q223" t="s">
        <v>161</v>
      </c>
    </row>
    <row r="224" spans="9:17" x14ac:dyDescent="0.45">
      <c r="I224" t="s">
        <v>178</v>
      </c>
      <c r="J224" t="s">
        <v>234</v>
      </c>
      <c r="K224">
        <v>7.3708876932451151E-2</v>
      </c>
      <c r="L224" t="s">
        <v>161</v>
      </c>
      <c r="N224" t="s">
        <v>198</v>
      </c>
      <c r="O224" t="s">
        <v>234</v>
      </c>
      <c r="P224">
        <v>0.14609514388414002</v>
      </c>
      <c r="Q224" t="s">
        <v>161</v>
      </c>
    </row>
    <row r="225" spans="9:17" x14ac:dyDescent="0.45">
      <c r="I225" t="s">
        <v>178</v>
      </c>
      <c r="J225" t="s">
        <v>235</v>
      </c>
      <c r="K225">
        <v>0</v>
      </c>
      <c r="L225" t="s">
        <v>161</v>
      </c>
      <c r="N225" t="s">
        <v>198</v>
      </c>
      <c r="O225" t="s">
        <v>235</v>
      </c>
      <c r="P225">
        <v>0.14908803832105674</v>
      </c>
      <c r="Q225" t="s">
        <v>161</v>
      </c>
    </row>
    <row r="226" spans="9:17" x14ac:dyDescent="0.45">
      <c r="I226" t="s">
        <v>178</v>
      </c>
      <c r="J226" t="s">
        <v>236</v>
      </c>
      <c r="K226">
        <v>5.4004562606586783E-4</v>
      </c>
      <c r="L226" t="s">
        <v>161</v>
      </c>
      <c r="N226" t="s">
        <v>198</v>
      </c>
      <c r="O226" t="s">
        <v>236</v>
      </c>
      <c r="P226">
        <v>2.9297182926649644E-2</v>
      </c>
      <c r="Q226" t="s">
        <v>161</v>
      </c>
    </row>
    <row r="227" spans="9:17" x14ac:dyDescent="0.45">
      <c r="I227" t="s">
        <v>179</v>
      </c>
      <c r="J227" t="s">
        <v>225</v>
      </c>
      <c r="K227">
        <v>0.1631328985866293</v>
      </c>
      <c r="L227" t="s">
        <v>161</v>
      </c>
      <c r="N227" t="s">
        <v>199</v>
      </c>
      <c r="O227" t="s">
        <v>225</v>
      </c>
      <c r="P227">
        <v>0.11339572242208756</v>
      </c>
      <c r="Q227" t="s">
        <v>161</v>
      </c>
    </row>
    <row r="228" spans="9:17" x14ac:dyDescent="0.45">
      <c r="I228" t="s">
        <v>179</v>
      </c>
      <c r="J228" t="s">
        <v>226</v>
      </c>
      <c r="K228">
        <v>0</v>
      </c>
      <c r="L228" t="s">
        <v>161</v>
      </c>
      <c r="N228" t="s">
        <v>199</v>
      </c>
      <c r="O228" t="s">
        <v>226</v>
      </c>
      <c r="P228">
        <v>0.12917244552668652</v>
      </c>
      <c r="Q228" t="s">
        <v>161</v>
      </c>
    </row>
    <row r="229" spans="9:17" x14ac:dyDescent="0.45">
      <c r="I229" t="s">
        <v>179</v>
      </c>
      <c r="J229" t="s">
        <v>227</v>
      </c>
      <c r="K229">
        <v>6.8661964429470868E-3</v>
      </c>
      <c r="L229" t="s">
        <v>161</v>
      </c>
      <c r="N229" t="s">
        <v>199</v>
      </c>
      <c r="O229" t="s">
        <v>227</v>
      </c>
      <c r="P229">
        <v>2.5673268929690952E-2</v>
      </c>
      <c r="Q229" t="s">
        <v>161</v>
      </c>
    </row>
    <row r="230" spans="9:17" x14ac:dyDescent="0.45">
      <c r="I230" t="s">
        <v>179</v>
      </c>
      <c r="J230" t="s">
        <v>228</v>
      </c>
      <c r="K230">
        <v>0.29464726707087108</v>
      </c>
      <c r="L230" t="s">
        <v>161</v>
      </c>
      <c r="N230" t="s">
        <v>199</v>
      </c>
      <c r="O230" t="s">
        <v>228</v>
      </c>
      <c r="P230">
        <v>9.7705456262231052E-2</v>
      </c>
      <c r="Q230" t="s">
        <v>161</v>
      </c>
    </row>
    <row r="231" spans="9:17" x14ac:dyDescent="0.45">
      <c r="I231" t="s">
        <v>179</v>
      </c>
      <c r="J231" t="s">
        <v>229</v>
      </c>
      <c r="K231">
        <v>5.1694602219128222E-3</v>
      </c>
      <c r="L231" t="s">
        <v>161</v>
      </c>
      <c r="N231" t="s">
        <v>199</v>
      </c>
      <c r="O231" t="s">
        <v>229</v>
      </c>
      <c r="P231">
        <v>0.12589120043493884</v>
      </c>
      <c r="Q231" t="s">
        <v>161</v>
      </c>
    </row>
    <row r="232" spans="9:17" x14ac:dyDescent="0.45">
      <c r="I232" t="s">
        <v>179</v>
      </c>
      <c r="J232" t="s">
        <v>230</v>
      </c>
      <c r="K232">
        <v>2.5026081658708711E-2</v>
      </c>
      <c r="L232" t="s">
        <v>161</v>
      </c>
      <c r="N232" t="s">
        <v>199</v>
      </c>
      <c r="O232" t="s">
        <v>230</v>
      </c>
      <c r="P232">
        <v>2.0013893581680563E-2</v>
      </c>
      <c r="Q232" t="s">
        <v>161</v>
      </c>
    </row>
    <row r="233" spans="9:17" x14ac:dyDescent="0.45">
      <c r="I233" t="s">
        <v>179</v>
      </c>
      <c r="J233" t="s">
        <v>231</v>
      </c>
      <c r="K233">
        <v>0.36243114341359489</v>
      </c>
      <c r="L233" t="s">
        <v>161</v>
      </c>
      <c r="N233" t="s">
        <v>199</v>
      </c>
      <c r="O233" t="s">
        <v>231</v>
      </c>
      <c r="P233">
        <v>5.3705694395369825E-2</v>
      </c>
      <c r="Q233" t="s">
        <v>161</v>
      </c>
    </row>
    <row r="234" spans="9:17" x14ac:dyDescent="0.45">
      <c r="I234" t="s">
        <v>179</v>
      </c>
      <c r="J234" t="s">
        <v>232</v>
      </c>
      <c r="K234">
        <v>1.7732040318542825E-2</v>
      </c>
      <c r="L234" t="s">
        <v>161</v>
      </c>
      <c r="N234" t="s">
        <v>199</v>
      </c>
      <c r="O234" t="s">
        <v>232</v>
      </c>
      <c r="P234">
        <v>6.5947661872648292E-2</v>
      </c>
      <c r="Q234" t="s">
        <v>161</v>
      </c>
    </row>
    <row r="235" spans="9:17" x14ac:dyDescent="0.45">
      <c r="I235" t="s">
        <v>179</v>
      </c>
      <c r="J235" t="s">
        <v>233</v>
      </c>
      <c r="K235">
        <v>3.955411354053974E-2</v>
      </c>
      <c r="L235" t="s">
        <v>161</v>
      </c>
      <c r="N235" t="s">
        <v>199</v>
      </c>
      <c r="O235" t="s">
        <v>233</v>
      </c>
      <c r="P235">
        <v>1.0346325653968529E-2</v>
      </c>
      <c r="Q235" t="s">
        <v>161</v>
      </c>
    </row>
    <row r="236" spans="9:17" x14ac:dyDescent="0.45">
      <c r="I236" t="s">
        <v>179</v>
      </c>
      <c r="J236" t="s">
        <v>234</v>
      </c>
      <c r="K236">
        <v>8.4745112537106607E-2</v>
      </c>
      <c r="L236" t="s">
        <v>161</v>
      </c>
      <c r="N236" t="s">
        <v>199</v>
      </c>
      <c r="O236" t="s">
        <v>234</v>
      </c>
      <c r="P236">
        <v>0.16035041380106335</v>
      </c>
      <c r="Q236" t="s">
        <v>161</v>
      </c>
    </row>
    <row r="237" spans="9:17" x14ac:dyDescent="0.45">
      <c r="I237" t="s">
        <v>179</v>
      </c>
      <c r="J237" t="s">
        <v>235</v>
      </c>
      <c r="K237">
        <v>0</v>
      </c>
      <c r="L237" t="s">
        <v>161</v>
      </c>
      <c r="N237" t="s">
        <v>199</v>
      </c>
      <c r="O237" t="s">
        <v>235</v>
      </c>
      <c r="P237">
        <v>0.16528964874167537</v>
      </c>
      <c r="Q237" t="s">
        <v>161</v>
      </c>
    </row>
    <row r="238" spans="9:17" x14ac:dyDescent="0.45">
      <c r="I238" t="s">
        <v>179</v>
      </c>
      <c r="J238" t="s">
        <v>236</v>
      </c>
      <c r="K238">
        <v>6.9568620914811164E-4</v>
      </c>
      <c r="L238" t="s">
        <v>161</v>
      </c>
      <c r="N238" t="s">
        <v>199</v>
      </c>
      <c r="O238" t="s">
        <v>236</v>
      </c>
      <c r="P238">
        <v>3.2508268377960572E-2</v>
      </c>
      <c r="Q238" t="s">
        <v>161</v>
      </c>
    </row>
    <row r="239" spans="9:17" x14ac:dyDescent="0.45">
      <c r="I239" t="s">
        <v>180</v>
      </c>
      <c r="J239" t="s">
        <v>225</v>
      </c>
      <c r="K239">
        <v>0.15986748573030635</v>
      </c>
      <c r="L239" t="s">
        <v>161</v>
      </c>
      <c r="N239" t="s">
        <v>200</v>
      </c>
      <c r="O239" t="s">
        <v>225</v>
      </c>
      <c r="P239">
        <v>0.11776647773773191</v>
      </c>
      <c r="Q239" t="s">
        <v>161</v>
      </c>
    </row>
    <row r="240" spans="9:17" x14ac:dyDescent="0.45">
      <c r="I240" t="s">
        <v>180</v>
      </c>
      <c r="J240" t="s">
        <v>226</v>
      </c>
      <c r="K240">
        <v>0</v>
      </c>
      <c r="L240" t="s">
        <v>161</v>
      </c>
      <c r="N240" t="s">
        <v>200</v>
      </c>
      <c r="O240" t="s">
        <v>226</v>
      </c>
      <c r="P240">
        <v>0.13064870170854589</v>
      </c>
      <c r="Q240" t="s">
        <v>161</v>
      </c>
    </row>
    <row r="241" spans="9:17" x14ac:dyDescent="0.45">
      <c r="I241" t="s">
        <v>180</v>
      </c>
      <c r="J241" t="s">
        <v>227</v>
      </c>
      <c r="K241">
        <v>6.145219881092844E-3</v>
      </c>
      <c r="L241" t="s">
        <v>161</v>
      </c>
      <c r="N241" t="s">
        <v>200</v>
      </c>
      <c r="O241" t="s">
        <v>227</v>
      </c>
      <c r="P241">
        <v>2.3617261745249432E-2</v>
      </c>
      <c r="Q241" t="s">
        <v>161</v>
      </c>
    </row>
    <row r="242" spans="9:17" x14ac:dyDescent="0.45">
      <c r="I242" t="s">
        <v>180</v>
      </c>
      <c r="J242" t="s">
        <v>228</v>
      </c>
      <c r="K242">
        <v>0.30124685927215222</v>
      </c>
      <c r="L242" t="s">
        <v>161</v>
      </c>
      <c r="N242" t="s">
        <v>200</v>
      </c>
      <c r="O242" t="s">
        <v>228</v>
      </c>
      <c r="P242">
        <v>0.10300255108068275</v>
      </c>
      <c r="Q242" t="s">
        <v>161</v>
      </c>
    </row>
    <row r="243" spans="9:17" x14ac:dyDescent="0.45">
      <c r="I243" t="s">
        <v>180</v>
      </c>
      <c r="J243" t="s">
        <v>229</v>
      </c>
      <c r="K243">
        <v>5.5725330442210853E-3</v>
      </c>
      <c r="L243" t="s">
        <v>161</v>
      </c>
      <c r="N243" t="s">
        <v>200</v>
      </c>
      <c r="O243" t="s">
        <v>229</v>
      </c>
      <c r="P243">
        <v>0.12786275191482502</v>
      </c>
      <c r="Q243" t="s">
        <v>161</v>
      </c>
    </row>
    <row r="244" spans="9:17" x14ac:dyDescent="0.45">
      <c r="I244" t="s">
        <v>180</v>
      </c>
      <c r="J244" t="s">
        <v>230</v>
      </c>
      <c r="K244">
        <v>2.5743361936452845E-2</v>
      </c>
      <c r="L244" t="s">
        <v>161</v>
      </c>
      <c r="N244" t="s">
        <v>200</v>
      </c>
      <c r="O244" t="s">
        <v>230</v>
      </c>
      <c r="P244">
        <v>1.9142255365904616E-2</v>
      </c>
      <c r="Q244" t="s">
        <v>161</v>
      </c>
    </row>
    <row r="245" spans="9:17" x14ac:dyDescent="0.45">
      <c r="I245" t="s">
        <v>180</v>
      </c>
      <c r="J245" t="s">
        <v>231</v>
      </c>
      <c r="K245">
        <v>0.36255423828976124</v>
      </c>
      <c r="L245" t="s">
        <v>161</v>
      </c>
      <c r="N245" t="s">
        <v>200</v>
      </c>
      <c r="O245" t="s">
        <v>231</v>
      </c>
      <c r="P245">
        <v>5.5477416272517045E-2</v>
      </c>
      <c r="Q245" t="s">
        <v>161</v>
      </c>
    </row>
    <row r="246" spans="9:17" x14ac:dyDescent="0.45">
      <c r="I246" t="s">
        <v>180</v>
      </c>
      <c r="J246" t="s">
        <v>232</v>
      </c>
      <c r="K246">
        <v>1.7930603888623324E-2</v>
      </c>
      <c r="L246" t="s">
        <v>161</v>
      </c>
      <c r="N246" t="s">
        <v>200</v>
      </c>
      <c r="O246" t="s">
        <v>232</v>
      </c>
      <c r="P246">
        <v>7.0356292279453989E-2</v>
      </c>
      <c r="Q246" t="s">
        <v>161</v>
      </c>
    </row>
    <row r="247" spans="9:17" x14ac:dyDescent="0.45">
      <c r="I247" t="s">
        <v>180</v>
      </c>
      <c r="J247" t="s">
        <v>233</v>
      </c>
      <c r="K247">
        <v>4.0249185852881182E-2</v>
      </c>
      <c r="L247" t="s">
        <v>161</v>
      </c>
      <c r="N247" t="s">
        <v>200</v>
      </c>
      <c r="O247" t="s">
        <v>233</v>
      </c>
      <c r="P247">
        <v>9.916810220771911E-3</v>
      </c>
      <c r="Q247" t="s">
        <v>161</v>
      </c>
    </row>
    <row r="248" spans="9:17" x14ac:dyDescent="0.45">
      <c r="I248" t="s">
        <v>180</v>
      </c>
      <c r="J248" t="s">
        <v>234</v>
      </c>
      <c r="K248">
        <v>8.018166047995505E-2</v>
      </c>
      <c r="L248" t="s">
        <v>161</v>
      </c>
      <c r="N248" t="s">
        <v>200</v>
      </c>
      <c r="O248" t="s">
        <v>234</v>
      </c>
      <c r="P248">
        <v>0.15195709471197072</v>
      </c>
      <c r="Q248" t="s">
        <v>161</v>
      </c>
    </row>
    <row r="249" spans="9:17" x14ac:dyDescent="0.45">
      <c r="I249" t="s">
        <v>180</v>
      </c>
      <c r="J249" t="s">
        <v>235</v>
      </c>
      <c r="K249">
        <v>0</v>
      </c>
      <c r="L249" t="s">
        <v>161</v>
      </c>
      <c r="N249" t="s">
        <v>200</v>
      </c>
      <c r="O249" t="s">
        <v>235</v>
      </c>
      <c r="P249">
        <v>0.15998726470065508</v>
      </c>
      <c r="Q249" t="s">
        <v>161</v>
      </c>
    </row>
    <row r="250" spans="9:17" x14ac:dyDescent="0.45">
      <c r="I250" t="s">
        <v>180</v>
      </c>
      <c r="J250" t="s">
        <v>236</v>
      </c>
      <c r="K250">
        <v>5.0885162455359867E-4</v>
      </c>
      <c r="L250" t="s">
        <v>161</v>
      </c>
      <c r="N250" t="s">
        <v>200</v>
      </c>
      <c r="O250" t="s">
        <v>236</v>
      </c>
      <c r="P250">
        <v>3.0265122261687968E-2</v>
      </c>
      <c r="Q250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Veda</vt:lpstr>
      <vt:lpstr>fuel_prices</vt:lpstr>
      <vt:lpstr>iea_data</vt:lpstr>
      <vt:lpstr>ar6_r10</vt:lpstr>
      <vt:lpstr>ev_charging_uc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2025-11-19T07:55:56Z</dcterms:modified>
</cp:coreProperties>
</file>