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T\SuppXLS\"/>
    </mc:Choice>
  </mc:AlternateContent>
  <xr:revisionPtr revIDLastSave="0" documentId="8_{39DF92DF-8374-44A2-B2D2-79791B7F219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<sst xmlns="http://schemas.openxmlformats.org/spreadsheetml/2006/main" count="58781" uniqueCount="95">
  <si>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</si>
  <si>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</si>
  <si>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</si>
  <si>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</si>
  <si>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</si>
  <si>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</si>
  <si>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</si>
  <si>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</si>
  <si>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</si>
  <si>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</si>
  <si>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</si>
  <si>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</si>
  <si>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</si>
  <si>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</si>
  <si>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</si>
  <si>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</si>
  <si>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</si>
  <si>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</si>
  <si>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</si>
  <si>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</si>
  <si>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</si>
  <si>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</si>
  <si>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</si>
  <si>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</si>
  <si>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</si>
  <si>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</si>
  <si>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</si>
  <si>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</si>
  <si>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</si>
  <si>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</si>
  <si>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</si>
  <si>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</si>
  <si>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</si>
  <si>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</si>
  <si>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</si>
  <si>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</si>
  <si>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</si>
  <si>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</si>
  <si>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</si>
  <si>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</si>
  <si>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</si>
  <si>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</si>
  <si>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</si>
  <si>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</si>
  <si>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</si>
  <si>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</si>
  <si>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</si>
  <si>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</si>
  <si>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</si>
  <si>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</si>
  <si>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</si>
  <si>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</si>
  <si>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</si>
  <si>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</si>
  <si>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</si>
  <si>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</si>
  <si>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</si>
  <si>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</si>
  <si>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</si>
  <si>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</si>
  <si>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</si>
  <si>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</si>
  <si>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</si>
  <si>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</si>
  <si>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</si>
  <si>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</si>
  <si>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</si>
  <si>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</si>
  <si>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</si>
  <si>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</si>
  <si>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</si>
  <si>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</si>
  <si>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</si>
  <si>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</si>
  <si>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</si>
  <si>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</si>
  <si>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</si>
  <si>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</si>
  <si>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</si>
  <si>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</si>
  <si>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</si>
  <si>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</si>
  <si>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</si>
  <si>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</si>
  <si>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EST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</si>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</sst>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21.299999999999997</c:v>
                </c:pt>
                <c:pt idx="1">
                  <c:v>24.115778251599146</c:v>
                </c:pt>
                <c:pt idx="2">
                  <c:v>26.522814498933897</c:v>
                </c:pt>
                <c:pt idx="3">
                  <c:v>29.42942430703625</c:v>
                </c:pt>
                <c:pt idx="4">
                  <c:v>31.563965884861407</c:v>
                </c:pt>
                <c:pt idx="5">
                  <c:v>32.108955223880599</c:v>
                </c:pt>
                <c:pt idx="6">
                  <c:v>32.290618336886993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2.4599999999999995</c:v>
                </c:pt>
                <c:pt idx="1">
                  <c:v>2.7815470249520144</c:v>
                </c:pt>
                <c:pt idx="2">
                  <c:v>2.2867140115163145</c:v>
                </c:pt>
                <c:pt idx="3">
                  <c:v>5.683969289827254</c:v>
                </c:pt>
                <c:pt idx="4">
                  <c:v>7.1949097888675606</c:v>
                </c:pt>
                <c:pt idx="5">
                  <c:v>9.1997389635316669</c:v>
                </c:pt>
                <c:pt idx="6">
                  <c:v>14.039942418426099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21.3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21.299999999999997</v>
      </c>
      <c r="S12" s="8">
        <f t="shared" ref="S12:X12" si="0">SUM(S17:S20)</f>
        <v>24.115778251599146</v>
      </c>
      <c r="T12" s="8">
        <f t="shared" si="0"/>
        <v>26.522814498933897</v>
      </c>
      <c r="U12" s="8">
        <f t="shared" si="0"/>
        <v>29.42942430703625</v>
      </c>
      <c r="V12" s="8">
        <f t="shared" si="0"/>
        <v>31.563965884861407</v>
      </c>
      <c r="W12" s="8">
        <f t="shared" si="0"/>
        <v>32.108955223880599</v>
      </c>
      <c r="X12" s="8">
        <f t="shared" si="0"/>
        <v>32.290618336886993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2.0000000000000001E-4</v>
      </c>
      <c r="H16" s="10">
        <f>SUMIFS(ngfs_median!$J$2:$J$17119,ngfs_median!$B$2:$B$17119,Veda!$C$5,ngfs_median!$H$2:$H$17119,Veda!$Q16,ngfs_median!$I$2:$I$17119,Veda!H$15)</f>
        <v>5.9999999999999995E-4</v>
      </c>
      <c r="I16" s="10">
        <f>SUMIFS(ngfs_median!$J$2:$J$17119,ngfs_median!$B$2:$B$17119,Veda!$C$5,ngfs_median!$H$2:$H$17119,Veda!$Q16,ngfs_median!$I$2:$I$17119,Veda!I$15)</f>
        <v>1E-3</v>
      </c>
      <c r="J16" s="10">
        <f>SUMIFS(ngfs_median!$J$2:$J$17119,ngfs_median!$B$2:$B$17119,Veda!$C$5,ngfs_median!$H$2:$H$17119,Veda!$Q16,ngfs_median!$I$2:$I$17119,Veda!J$15)</f>
        <v>1.1999999999999999E-3</v>
      </c>
      <c r="K16" s="10">
        <f>SUMIFS(ngfs_median!$J$2:$J$17119,ngfs_median!$B$2:$B$17119,Veda!$C$5,ngfs_median!$H$2:$H$17119,Veda!$Q16,ngfs_median!$I$2:$I$17119,Veda!K$15)</f>
        <v>1.1999999999999999E-3</v>
      </c>
      <c r="L16" s="10">
        <f>SUMIFS(ngfs_median!$J$2:$J$17119,ngfs_median!$B$2:$B$17119,Veda!$C$5,ngfs_median!$H$2:$H$17119,Veda!$Q16,ngfs_median!$I$2:$I$17119,Veda!L$15)</f>
        <v>1.2999999999999999E-3</v>
      </c>
      <c r="M16" s="10">
        <f>SUMIFS(ngfs_median!$J$2:$J$17119,ngfs_median!$B$2:$B$17119,Veda!$C$5,ngfs_median!$H$2:$H$17119,Veda!$Q16,ngfs_median!$I$2:$I$17119,Veda!M$15)</f>
        <v>1.6000000000000001E-3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0.11111111111111113</v>
      </c>
      <c r="U16" s="6">
        <f t="shared" si="2"/>
        <v>0.16666666666666666</v>
      </c>
      <c r="V16" s="6">
        <f t="shared" si="2"/>
        <v>0.16666666666666666</v>
      </c>
      <c r="W16" s="6">
        <f t="shared" si="2"/>
        <v>0.19444444444444445</v>
      </c>
      <c r="X16" s="6">
        <f t="shared" si="2"/>
        <v>0.27777777777777779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4.0000000000000002E-4</v>
      </c>
      <c r="H17" s="10">
        <f>SUMIFS(ngfs_median!$J$2:$J$17119,ngfs_median!$B$2:$B$17119,Veda!$C$5,ngfs_median!$H$2:$H$17119,Veda!$Q17,ngfs_median!$I$2:$I$17119,Veda!H$15)</f>
        <v>1.0500000000000002E-3</v>
      </c>
      <c r="I17" s="10">
        <f>SUMIFS(ngfs_median!$J$2:$J$17119,ngfs_median!$B$2:$B$17119,Veda!$C$5,ngfs_median!$H$2:$H$17119,Veda!$Q17,ngfs_median!$I$2:$I$17119,Veda!I$15)</f>
        <v>2.15E-3</v>
      </c>
      <c r="J17" s="10">
        <f>SUMIFS(ngfs_median!$J$2:$J$17119,ngfs_median!$B$2:$B$17119,Veda!$C$5,ngfs_median!$H$2:$H$17119,Veda!$Q17,ngfs_median!$I$2:$I$17119,Veda!J$15)</f>
        <v>3.5000000000000001E-3</v>
      </c>
      <c r="K17" s="10">
        <f>SUMIFS(ngfs_median!$J$2:$J$17119,ngfs_median!$B$2:$B$17119,Veda!$C$5,ngfs_median!$H$2:$H$17119,Veda!$Q17,ngfs_median!$I$2:$I$17119,Veda!K$15)</f>
        <v>4.7499999999999999E-3</v>
      </c>
      <c r="L17" s="10">
        <f>SUMIFS(ngfs_median!$J$2:$J$17119,ngfs_median!$B$2:$B$17119,Veda!$C$5,ngfs_median!$H$2:$H$17119,Veda!$Q17,ngfs_median!$I$2:$I$17119,Veda!L$15)</f>
        <v>5.4000000000000003E-3</v>
      </c>
      <c r="M17" s="10">
        <f>SUMIFS(ngfs_median!$J$2:$J$17119,ngfs_median!$B$2:$B$17119,Veda!$C$5,ngfs_median!$H$2:$H$17119,Veda!$Q17,ngfs_median!$I$2:$I$17119,Veda!M$15)</f>
        <v>5.8499999999999993E-3</v>
      </c>
      <c r="Q17" s="12" t="s">
        <v>10</v>
      </c>
      <c r="R17" s="6">
        <f>$Q$10*G17/SUM($G$17:$G$19)</f>
        <v>0.36332622601279319</v>
      </c>
      <c r="S17" s="6">
        <f>R17</f>
        <v>0.36332622601279319</v>
      </c>
      <c r="T17" s="6">
        <f t="shared" ref="T17:X17" si="3">S17</f>
        <v>0.36332622601279319</v>
      </c>
      <c r="U17" s="6">
        <f t="shared" si="3"/>
        <v>0.36332622601279319</v>
      </c>
      <c r="V17" s="6">
        <f t="shared" si="3"/>
        <v>0.36332622601279319</v>
      </c>
      <c r="W17" s="6">
        <f t="shared" si="3"/>
        <v>0.36332622601279319</v>
      </c>
      <c r="X17" s="6">
        <f t="shared" si="3"/>
        <v>0.36332622601279319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1.6250000000000001E-2</v>
      </c>
      <c r="H18" s="10">
        <f>SUMIFS(ngfs_median!$J$2:$J$17119,ngfs_median!$B$2:$B$17119,Veda!$C$5,ngfs_median!$H$2:$H$17119,Veda!$Q18,ngfs_median!$I$2:$I$17119,Veda!H$15)</f>
        <v>1.7950000000000001E-2</v>
      </c>
      <c r="I18" s="10">
        <f>SUMIFS(ngfs_median!$J$2:$J$17119,ngfs_median!$B$2:$B$17119,Veda!$C$5,ngfs_median!$H$2:$H$17119,Veda!$Q18,ngfs_median!$I$2:$I$17119,Veda!I$15)</f>
        <v>1.9349999999999999E-2</v>
      </c>
      <c r="J18" s="10">
        <f>SUMIFS(ngfs_median!$J$2:$J$17119,ngfs_median!$B$2:$B$17119,Veda!$C$5,ngfs_median!$H$2:$H$17119,Veda!$Q18,ngfs_median!$I$2:$I$17119,Veda!J$15)</f>
        <v>2.0799999999999999E-2</v>
      </c>
      <c r="K18" s="10">
        <f>SUMIFS(ngfs_median!$J$2:$J$17119,ngfs_median!$B$2:$B$17119,Veda!$C$5,ngfs_median!$H$2:$H$17119,Veda!$Q18,ngfs_median!$I$2:$I$17119,Veda!K$15)</f>
        <v>2.1499999999999998E-2</v>
      </c>
      <c r="L18" s="10">
        <f>SUMIFS(ngfs_median!$J$2:$J$17119,ngfs_median!$B$2:$B$17119,Veda!$C$5,ngfs_median!$H$2:$H$17119,Veda!$Q18,ngfs_median!$I$2:$I$17119,Veda!L$15)</f>
        <v>2.1299999999999999E-2</v>
      </c>
      <c r="M18" s="10">
        <f>SUMIFS(ngfs_median!$J$2:$J$17119,ngfs_median!$B$2:$B$17119,Veda!$C$5,ngfs_median!$H$2:$H$17119,Veda!$Q18,ngfs_median!$I$2:$I$17119,Veda!M$15)</f>
        <v>2.085E-2</v>
      </c>
      <c r="Q18" s="12" t="s">
        <v>12</v>
      </c>
      <c r="R18" s="6">
        <f>$Q$10*G18/SUM($G$17:$G$19)</f>
        <v>14.760127931769722</v>
      </c>
      <c r="S18" s="6">
        <f t="shared" ref="S18:X19" si="4">R18*H18/G18</f>
        <v>16.304264392324093</v>
      </c>
      <c r="T18" s="6">
        <f t="shared" si="4"/>
        <v>17.575906183368868</v>
      </c>
      <c r="U18" s="6">
        <f t="shared" si="4"/>
        <v>18.892963752665246</v>
      </c>
      <c r="V18" s="6">
        <f t="shared" si="4"/>
        <v>19.528784648187631</v>
      </c>
      <c r="W18" s="6">
        <f t="shared" si="4"/>
        <v>19.347121535181238</v>
      </c>
      <c r="X18" s="6">
        <f t="shared" si="4"/>
        <v>18.938379530916844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6.8000000000000005E-3</v>
      </c>
      <c r="H19" s="10">
        <f>SUMIFS(ngfs_median!$J$2:$J$17119,ngfs_median!$B$2:$B$17119,Veda!$C$5,ngfs_median!$H$2:$H$17119,Veda!$Q19,ngfs_median!$I$2:$I$17119,Veda!H$15)</f>
        <v>7.5500000000000003E-3</v>
      </c>
      <c r="I19" s="10">
        <f>SUMIFS(ngfs_median!$J$2:$J$17119,ngfs_median!$B$2:$B$17119,Veda!$C$5,ngfs_median!$H$2:$H$17119,Veda!$Q19,ngfs_median!$I$2:$I$17119,Veda!I$15)</f>
        <v>7.7000000000000002E-3</v>
      </c>
      <c r="J19" s="10">
        <f>SUMIFS(ngfs_median!$J$2:$J$17119,ngfs_median!$B$2:$B$17119,Veda!$C$5,ngfs_median!$H$2:$H$17119,Veda!$Q19,ngfs_median!$I$2:$I$17119,Veda!J$15)</f>
        <v>8.0999999999999996E-3</v>
      </c>
      <c r="K19" s="10">
        <f>SUMIFS(ngfs_median!$J$2:$J$17119,ngfs_median!$B$2:$B$17119,Veda!$C$5,ngfs_median!$H$2:$H$17119,Veda!$Q19,ngfs_median!$I$2:$I$17119,Veda!K$15)</f>
        <v>8.5000000000000006E-3</v>
      </c>
      <c r="L19" s="10">
        <f>SUMIFS(ngfs_median!$J$2:$J$17119,ngfs_median!$B$2:$B$17119,Veda!$C$5,ngfs_median!$H$2:$H$17119,Veda!$Q19,ngfs_median!$I$2:$I$17119,Veda!L$15)</f>
        <v>8.6499999999999997E-3</v>
      </c>
      <c r="M19" s="10">
        <f>SUMIFS(ngfs_median!$J$2:$J$17119,ngfs_median!$B$2:$B$17119,Veda!$C$5,ngfs_median!$H$2:$H$17119,Veda!$Q19,ngfs_median!$I$2:$I$17119,Veda!M$15)</f>
        <v>8.8500000000000002E-3</v>
      </c>
      <c r="Q19" s="12" t="s">
        <v>13</v>
      </c>
      <c r="R19" s="6">
        <f>$Q$10*G19/SUM($G$17:$G$19)</f>
        <v>6.1765458422174842</v>
      </c>
      <c r="S19" s="6">
        <f t="shared" si="4"/>
        <v>6.8577825159914712</v>
      </c>
      <c r="T19" s="6">
        <f t="shared" si="4"/>
        <v>6.9940298507462684</v>
      </c>
      <c r="U19" s="6">
        <f t="shared" si="4"/>
        <v>7.3573560767590616</v>
      </c>
      <c r="V19" s="6">
        <f t="shared" si="4"/>
        <v>7.7206823027718565</v>
      </c>
      <c r="W19" s="6">
        <f t="shared" si="4"/>
        <v>7.8569296375266529</v>
      </c>
      <c r="X19" s="6">
        <f t="shared" si="4"/>
        <v>8.0385927505330503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0.59040511727078893</v>
      </c>
      <c r="T20" s="6">
        <f t="shared" si="5"/>
        <v>1.58955223880597</v>
      </c>
      <c r="U20" s="6">
        <f t="shared" si="5"/>
        <v>2.8157782515991472</v>
      </c>
      <c r="V20" s="6">
        <f t="shared" si="5"/>
        <v>3.9511727078891257</v>
      </c>
      <c r="W20" s="6">
        <f t="shared" si="5"/>
        <v>4.5415778251599148</v>
      </c>
      <c r="X20" s="6">
        <f t="shared" si="5"/>
        <v>4.9503198294243065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2.4599999999999995</v>
      </c>
      <c r="D22" s="12" t="s">
        <v>79</v>
      </c>
      <c r="G22" s="8">
        <f>G35/$G$35*$B22</f>
        <v>2.4599999999999995</v>
      </c>
      <c r="H22" s="8">
        <f t="shared" ref="H22:M22" si="6">H35/$G$35*$B22</f>
        <v>2.7815470249520144</v>
      </c>
      <c r="I22" s="8">
        <f t="shared" si="6"/>
        <v>2.2867140115163145</v>
      </c>
      <c r="J22" s="8">
        <f t="shared" si="6"/>
        <v>5.683969289827254</v>
      </c>
      <c r="K22" s="8">
        <f t="shared" si="6"/>
        <v>7.1949097888675606</v>
      </c>
      <c r="L22" s="8">
        <f t="shared" si="6"/>
        <v>9.1997389635316669</v>
      </c>
      <c r="M22" s="8">
        <f t="shared" si="6"/>
        <v>14.039942418426099</v>
      </c>
      <c r="Q22" t="s">
        <v>64</v>
      </c>
      <c r="T22" s="8">
        <f>I35*1000</f>
        <v>484.3</v>
      </c>
      <c r="U22" s="8">
        <f>J35*1000</f>
        <v>1203.8</v>
      </c>
      <c r="V22" s="8">
        <f>K35*1000</f>
        <v>1523.8</v>
      </c>
      <c r="W22" s="8">
        <f>L35*1000</f>
        <v>1948.3999999999999</v>
      </c>
      <c r="X22" s="8">
        <f>M35*1000</f>
        <v>2973.5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7.2</v>
      </c>
      <c r="S26" s="3">
        <f>AVERAGEIFS(historical_data_long!$D$3:$D$9999,historical_data_long!$B$3:$B$9999,"&gt;2017",historical_data_long!$A$3:$A$9999,$O26)</f>
        <v>6.2666666666666666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6.2</v>
      </c>
      <c r="S27" s="3">
        <f>AVERAGEIFS(historical_data_long!$D$3:$D$9999,historical_data_long!$B$3:$B$9999,"&gt;2017",historical_data_long!$A$3:$A$9999,$O27)</f>
        <v>4.45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0.52100000000000002</v>
      </c>
      <c r="H35" s="11">
        <f>SUMIFS(ngfs_median!$J$2:$J$17119,ngfs_median!$B$2:$B$17119,Veda!$C$5,ngfs_median!$D$2:$D$17119,Veda!$D22,ngfs_median!$I$2:$I$17119,Veda!H$15)</f>
        <v>0.58909999999999996</v>
      </c>
      <c r="I35" s="11">
        <f>SUMIFS(ngfs_median!$J$2:$J$17119,ngfs_median!$B$2:$B$17119,Veda!$C$5,ngfs_median!$D$2:$D$17119,Veda!$D22,ngfs_median!$I$2:$I$17119,Veda!I$15)</f>
        <v>0.48430000000000001</v>
      </c>
      <c r="J35" s="11">
        <f>SUMIFS(ngfs_median!$J$2:$J$17119,ngfs_median!$B$2:$B$17119,Veda!$C$5,ngfs_median!$D$2:$D$17119,Veda!$D22,ngfs_median!$I$2:$I$17119,Veda!J$15)</f>
        <v>1.2038</v>
      </c>
      <c r="K35" s="11">
        <f>SUMIFS(ngfs_median!$J$2:$J$17119,ngfs_median!$B$2:$B$17119,Veda!$C$5,ngfs_median!$D$2:$D$17119,Veda!$D22,ngfs_median!$I$2:$I$17119,Veda!K$15)</f>
        <v>1.5238</v>
      </c>
      <c r="L35" s="11">
        <f>SUMIFS(ngfs_median!$J$2:$J$17119,ngfs_median!$B$2:$B$17119,Veda!$C$5,ngfs_median!$D$2:$D$17119,Veda!$D22,ngfs_median!$I$2:$I$17119,Veda!L$15)</f>
        <v>1.9483999999999999</v>
      </c>
      <c r="M35" s="11">
        <f>SUMIFS(ngfs_median!$J$2:$J$17119,ngfs_median!$B$2:$B$17119,Veda!$C$5,ngfs_median!$D$2:$D$17119,Veda!$D22,ngfs_median!$I$2:$I$17119,Veda!M$15)</f>
        <v>2.9735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2.5760000000000001</v>
      </c>
      <c r="T41">
        <v>1.966</v>
      </c>
      <c r="U41">
        <v>2.6659999999999999</v>
      </c>
      <c r="V41" t="s">
        <v>94</v>
      </c>
    </row>
    <row r="42" spans="7:22" x14ac:dyDescent="0.45">
      <c r="Q42" t="s">
        <v>39</v>
      </c>
      <c r="R42" t="s">
        <v>93</v>
      </c>
      <c r="S42">
        <v>0</v>
      </c>
      <c r="T42">
        <v>0</v>
      </c>
      <c r="U42">
        <v>3.5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0.01</v>
      </c>
    </row>
    <row r="3" spans="1:4" x14ac:dyDescent="0.45">
      <c r="A3" t="s">
        <v>34</v>
      </c>
      <c r="B3">
        <v>2000</v>
      </c>
      <c r="C3" t="s">
        <v>74</v>
      </c>
      <c r="D3">
        <v>0</v>
      </c>
    </row>
    <row r="4" spans="1:4" x14ac:dyDescent="0.45">
      <c r="A4" t="s">
        <v>36</v>
      </c>
      <c r="B4">
        <v>2000</v>
      </c>
      <c r="C4" t="s">
        <v>74</v>
      </c>
      <c r="D4">
        <v>0.6</v>
      </c>
    </row>
    <row r="5" spans="1:4" x14ac:dyDescent="0.45">
      <c r="A5" t="s">
        <v>56</v>
      </c>
      <c r="B5">
        <v>2000</v>
      </c>
      <c r="C5" t="s">
        <v>74</v>
      </c>
      <c r="D5">
        <v>0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7.9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0.01</v>
      </c>
    </row>
    <row r="12" spans="1:4" x14ac:dyDescent="0.45">
      <c r="A12" t="s">
        <v>34</v>
      </c>
      <c r="B12">
        <v>2001</v>
      </c>
      <c r="C12" t="s">
        <v>74</v>
      </c>
      <c r="D12">
        <v>0</v>
      </c>
    </row>
    <row r="13" spans="1:4" x14ac:dyDescent="0.45">
      <c r="A13" t="s">
        <v>36</v>
      </c>
      <c r="B13">
        <v>2001</v>
      </c>
      <c r="C13" t="s">
        <v>74</v>
      </c>
      <c r="D13">
        <v>0.6</v>
      </c>
    </row>
    <row r="14" spans="1:4" x14ac:dyDescent="0.45">
      <c r="A14" t="s">
        <v>56</v>
      </c>
      <c r="B14">
        <v>2001</v>
      </c>
      <c r="C14" t="s">
        <v>74</v>
      </c>
      <c r="D14">
        <v>0.01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7.87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0.02</v>
      </c>
    </row>
    <row r="21" spans="1:4" x14ac:dyDescent="0.45">
      <c r="A21" t="s">
        <v>34</v>
      </c>
      <c r="B21">
        <v>2002</v>
      </c>
      <c r="C21" t="s">
        <v>74</v>
      </c>
      <c r="D21">
        <v>0</v>
      </c>
    </row>
    <row r="22" spans="1:4" x14ac:dyDescent="0.45">
      <c r="A22" t="s">
        <v>36</v>
      </c>
      <c r="B22">
        <v>2002</v>
      </c>
      <c r="C22" t="s">
        <v>74</v>
      </c>
      <c r="D22">
        <v>0.53</v>
      </c>
    </row>
    <row r="23" spans="1:4" x14ac:dyDescent="0.45">
      <c r="A23" t="s">
        <v>56</v>
      </c>
      <c r="B23">
        <v>2002</v>
      </c>
      <c r="C23" t="s">
        <v>74</v>
      </c>
      <c r="D23">
        <v>0.01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7.97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0.03</v>
      </c>
    </row>
    <row r="30" spans="1:4" x14ac:dyDescent="0.45">
      <c r="A30" t="s">
        <v>34</v>
      </c>
      <c r="B30">
        <v>2003</v>
      </c>
      <c r="C30" t="s">
        <v>74</v>
      </c>
      <c r="D30">
        <v>0</v>
      </c>
    </row>
    <row r="31" spans="1:4" x14ac:dyDescent="0.45">
      <c r="A31" t="s">
        <v>36</v>
      </c>
      <c r="B31">
        <v>2003</v>
      </c>
      <c r="C31" t="s">
        <v>74</v>
      </c>
      <c r="D31">
        <v>0.5</v>
      </c>
    </row>
    <row r="32" spans="1:4" x14ac:dyDescent="0.45">
      <c r="A32" t="s">
        <v>56</v>
      </c>
      <c r="B32">
        <v>2003</v>
      </c>
      <c r="C32" t="s">
        <v>74</v>
      </c>
      <c r="D32">
        <v>0.01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9.61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0.01</v>
      </c>
    </row>
    <row r="38" spans="1:4" x14ac:dyDescent="0.45">
      <c r="A38" t="s">
        <v>32</v>
      </c>
      <c r="B38">
        <v>2004</v>
      </c>
      <c r="C38" t="s">
        <v>74</v>
      </c>
      <c r="D38">
        <v>0.03</v>
      </c>
    </row>
    <row r="39" spans="1:4" x14ac:dyDescent="0.45">
      <c r="A39" t="s">
        <v>34</v>
      </c>
      <c r="B39">
        <v>2004</v>
      </c>
      <c r="C39" t="s">
        <v>74</v>
      </c>
      <c r="D39">
        <v>0</v>
      </c>
    </row>
    <row r="40" spans="1:4" x14ac:dyDescent="0.45">
      <c r="A40" t="s">
        <v>36</v>
      </c>
      <c r="B40">
        <v>2004</v>
      </c>
      <c r="C40" t="s">
        <v>74</v>
      </c>
      <c r="D40">
        <v>0.49</v>
      </c>
    </row>
    <row r="41" spans="1:4" x14ac:dyDescent="0.45">
      <c r="A41" t="s">
        <v>56</v>
      </c>
      <c r="B41">
        <v>2004</v>
      </c>
      <c r="C41" t="s">
        <v>74</v>
      </c>
      <c r="D41">
        <v>0.02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9.76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0.01</v>
      </c>
    </row>
    <row r="47" spans="1:4" x14ac:dyDescent="0.45">
      <c r="A47" t="s">
        <v>32</v>
      </c>
      <c r="B47">
        <v>2005</v>
      </c>
      <c r="C47" t="s">
        <v>74</v>
      </c>
      <c r="D47">
        <v>0.04</v>
      </c>
    </row>
    <row r="48" spans="1:4" x14ac:dyDescent="0.45">
      <c r="A48" t="s">
        <v>34</v>
      </c>
      <c r="B48">
        <v>2005</v>
      </c>
      <c r="C48" t="s">
        <v>74</v>
      </c>
      <c r="D48">
        <v>0</v>
      </c>
    </row>
    <row r="49" spans="1:4" x14ac:dyDescent="0.45">
      <c r="A49" t="s">
        <v>36</v>
      </c>
      <c r="B49">
        <v>2005</v>
      </c>
      <c r="C49" t="s">
        <v>74</v>
      </c>
      <c r="D49">
        <v>0.54</v>
      </c>
    </row>
    <row r="50" spans="1:4" x14ac:dyDescent="0.45">
      <c r="A50" t="s">
        <v>56</v>
      </c>
      <c r="B50">
        <v>2005</v>
      </c>
      <c r="C50" t="s">
        <v>74</v>
      </c>
      <c r="D50">
        <v>0.02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9.5500000000000007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0.05</v>
      </c>
    </row>
    <row r="56" spans="1:4" x14ac:dyDescent="0.45">
      <c r="A56" t="s">
        <v>32</v>
      </c>
      <c r="B56">
        <v>2006</v>
      </c>
      <c r="C56" t="s">
        <v>74</v>
      </c>
      <c r="D56">
        <v>0.04</v>
      </c>
    </row>
    <row r="57" spans="1:4" x14ac:dyDescent="0.45">
      <c r="A57" t="s">
        <v>34</v>
      </c>
      <c r="B57">
        <v>2006</v>
      </c>
      <c r="C57" t="s">
        <v>74</v>
      </c>
      <c r="D57">
        <v>0</v>
      </c>
    </row>
    <row r="58" spans="1:4" x14ac:dyDescent="0.45">
      <c r="A58" t="s">
        <v>36</v>
      </c>
      <c r="B58">
        <v>2006</v>
      </c>
      <c r="C58" t="s">
        <v>74</v>
      </c>
      <c r="D58">
        <v>0.54</v>
      </c>
    </row>
    <row r="59" spans="1:4" x14ac:dyDescent="0.45">
      <c r="A59" t="s">
        <v>56</v>
      </c>
      <c r="B59">
        <v>2006</v>
      </c>
      <c r="C59" t="s">
        <v>74</v>
      </c>
      <c r="D59">
        <v>0.01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9.06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0.08</v>
      </c>
    </row>
    <row r="65" spans="1:4" x14ac:dyDescent="0.45">
      <c r="A65" t="s">
        <v>32</v>
      </c>
      <c r="B65">
        <v>2007</v>
      </c>
      <c r="C65" t="s">
        <v>74</v>
      </c>
      <c r="D65">
        <v>0.03</v>
      </c>
    </row>
    <row r="66" spans="1:4" x14ac:dyDescent="0.45">
      <c r="A66" t="s">
        <v>34</v>
      </c>
      <c r="B66">
        <v>2007</v>
      </c>
      <c r="C66" t="s">
        <v>74</v>
      </c>
      <c r="D66">
        <v>0</v>
      </c>
    </row>
    <row r="67" spans="1:4" x14ac:dyDescent="0.45">
      <c r="A67" t="s">
        <v>36</v>
      </c>
      <c r="B67">
        <v>2007</v>
      </c>
      <c r="C67" t="s">
        <v>74</v>
      </c>
      <c r="D67">
        <v>0.34</v>
      </c>
    </row>
    <row r="68" spans="1:4" x14ac:dyDescent="0.45">
      <c r="A68" t="s">
        <v>56</v>
      </c>
      <c r="B68">
        <v>2007</v>
      </c>
      <c r="C68" t="s">
        <v>74</v>
      </c>
      <c r="D68">
        <v>0.02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11.7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0.09</v>
      </c>
    </row>
    <row r="74" spans="1:4" x14ac:dyDescent="0.45">
      <c r="A74" t="s">
        <v>32</v>
      </c>
      <c r="B74">
        <v>2008</v>
      </c>
      <c r="C74" t="s">
        <v>74</v>
      </c>
      <c r="D74">
        <v>0.04</v>
      </c>
    </row>
    <row r="75" spans="1:4" x14ac:dyDescent="0.45">
      <c r="A75" t="s">
        <v>34</v>
      </c>
      <c r="B75">
        <v>2008</v>
      </c>
      <c r="C75" t="s">
        <v>74</v>
      </c>
      <c r="D75">
        <v>0</v>
      </c>
    </row>
    <row r="76" spans="1:4" x14ac:dyDescent="0.45">
      <c r="A76" t="s">
        <v>36</v>
      </c>
      <c r="B76">
        <v>2008</v>
      </c>
      <c r="C76" t="s">
        <v>74</v>
      </c>
      <c r="D76">
        <v>0.42</v>
      </c>
    </row>
    <row r="77" spans="1:4" x14ac:dyDescent="0.45">
      <c r="A77" t="s">
        <v>56</v>
      </c>
      <c r="B77">
        <v>2008</v>
      </c>
      <c r="C77" t="s">
        <v>74</v>
      </c>
      <c r="D77">
        <v>0.03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9.9600000000000009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0.13</v>
      </c>
    </row>
    <row r="83" spans="1:4" x14ac:dyDescent="0.45">
      <c r="A83" t="s">
        <v>32</v>
      </c>
      <c r="B83">
        <v>2009</v>
      </c>
      <c r="C83" t="s">
        <v>74</v>
      </c>
      <c r="D83">
        <v>0.31</v>
      </c>
    </row>
    <row r="84" spans="1:4" x14ac:dyDescent="0.45">
      <c r="A84" t="s">
        <v>34</v>
      </c>
      <c r="B84">
        <v>2009</v>
      </c>
      <c r="C84" t="s">
        <v>74</v>
      </c>
      <c r="D84">
        <v>0</v>
      </c>
    </row>
    <row r="85" spans="1:4" x14ac:dyDescent="0.45">
      <c r="A85" t="s">
        <v>36</v>
      </c>
      <c r="B85">
        <v>2009</v>
      </c>
      <c r="C85" t="s">
        <v>74</v>
      </c>
      <c r="D85">
        <v>0.11</v>
      </c>
    </row>
    <row r="86" spans="1:4" x14ac:dyDescent="0.45">
      <c r="A86" t="s">
        <v>56</v>
      </c>
      <c r="B86">
        <v>2009</v>
      </c>
      <c r="C86" t="s">
        <v>74</v>
      </c>
      <c r="D86">
        <v>0.03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8.1300000000000008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0.2</v>
      </c>
    </row>
    <row r="92" spans="1:4" x14ac:dyDescent="0.45">
      <c r="A92" t="s">
        <v>32</v>
      </c>
      <c r="B92">
        <v>2010</v>
      </c>
      <c r="C92" t="s">
        <v>74</v>
      </c>
      <c r="D92">
        <v>0.74</v>
      </c>
    </row>
    <row r="93" spans="1:4" x14ac:dyDescent="0.45">
      <c r="A93" t="s">
        <v>34</v>
      </c>
      <c r="B93">
        <v>2010</v>
      </c>
      <c r="C93" t="s">
        <v>74</v>
      </c>
      <c r="D93">
        <v>0</v>
      </c>
    </row>
    <row r="94" spans="1:4" x14ac:dyDescent="0.45">
      <c r="A94" t="s">
        <v>36</v>
      </c>
      <c r="B94">
        <v>2010</v>
      </c>
      <c r="C94" t="s">
        <v>74</v>
      </c>
      <c r="D94">
        <v>0.3</v>
      </c>
    </row>
    <row r="95" spans="1:4" x14ac:dyDescent="0.45">
      <c r="A95" t="s">
        <v>56</v>
      </c>
      <c r="B95">
        <v>2010</v>
      </c>
      <c r="C95" t="s">
        <v>74</v>
      </c>
      <c r="D95">
        <v>0.03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11.62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0.28000000000000003</v>
      </c>
    </row>
    <row r="101" spans="1:4" x14ac:dyDescent="0.45">
      <c r="A101" t="s">
        <v>32</v>
      </c>
      <c r="B101">
        <v>2011</v>
      </c>
      <c r="C101" t="s">
        <v>74</v>
      </c>
      <c r="D101">
        <v>0.78</v>
      </c>
    </row>
    <row r="102" spans="1:4" x14ac:dyDescent="0.45">
      <c r="A102" t="s">
        <v>34</v>
      </c>
      <c r="B102">
        <v>2011</v>
      </c>
      <c r="C102" t="s">
        <v>74</v>
      </c>
      <c r="D102">
        <v>0</v>
      </c>
    </row>
    <row r="103" spans="1:4" x14ac:dyDescent="0.45">
      <c r="A103" t="s">
        <v>36</v>
      </c>
      <c r="B103">
        <v>2011</v>
      </c>
      <c r="C103" t="s">
        <v>74</v>
      </c>
      <c r="D103">
        <v>0.25</v>
      </c>
    </row>
    <row r="104" spans="1:4" x14ac:dyDescent="0.45">
      <c r="A104" t="s">
        <v>56</v>
      </c>
      <c r="B104">
        <v>2011</v>
      </c>
      <c r="C104" t="s">
        <v>74</v>
      </c>
      <c r="D104">
        <v>0.03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11.46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0.37</v>
      </c>
    </row>
    <row r="110" spans="1:4" x14ac:dyDescent="0.45">
      <c r="A110" t="s">
        <v>32</v>
      </c>
      <c r="B110">
        <v>2012</v>
      </c>
      <c r="C110" t="s">
        <v>74</v>
      </c>
      <c r="D110">
        <v>1</v>
      </c>
    </row>
    <row r="111" spans="1:4" x14ac:dyDescent="0.45">
      <c r="A111" t="s">
        <v>34</v>
      </c>
      <c r="B111">
        <v>2012</v>
      </c>
      <c r="C111" t="s">
        <v>74</v>
      </c>
      <c r="D111">
        <v>0</v>
      </c>
    </row>
    <row r="112" spans="1:4" x14ac:dyDescent="0.45">
      <c r="A112" t="s">
        <v>36</v>
      </c>
      <c r="B112">
        <v>2012</v>
      </c>
      <c r="C112" t="s">
        <v>74</v>
      </c>
      <c r="D112">
        <v>0.13</v>
      </c>
    </row>
    <row r="113" spans="1:4" x14ac:dyDescent="0.45">
      <c r="A113" t="s">
        <v>56</v>
      </c>
      <c r="B113">
        <v>2012</v>
      </c>
      <c r="C113" t="s">
        <v>74</v>
      </c>
      <c r="D113">
        <v>0.04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10.36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0.43</v>
      </c>
    </row>
    <row r="119" spans="1:4" x14ac:dyDescent="0.45">
      <c r="A119" t="s">
        <v>32</v>
      </c>
      <c r="B119">
        <v>2013</v>
      </c>
      <c r="C119" t="s">
        <v>74</v>
      </c>
      <c r="D119">
        <v>0.67</v>
      </c>
    </row>
    <row r="120" spans="1:4" x14ac:dyDescent="0.45">
      <c r="A120" t="s">
        <v>34</v>
      </c>
      <c r="B120">
        <v>2013</v>
      </c>
      <c r="C120" t="s">
        <v>74</v>
      </c>
      <c r="D120">
        <v>0.01</v>
      </c>
    </row>
    <row r="121" spans="1:4" x14ac:dyDescent="0.45">
      <c r="A121" t="s">
        <v>36</v>
      </c>
      <c r="B121">
        <v>2013</v>
      </c>
      <c r="C121" t="s">
        <v>74</v>
      </c>
      <c r="D121">
        <v>0.09</v>
      </c>
    </row>
    <row r="122" spans="1:4" x14ac:dyDescent="0.45">
      <c r="A122" t="s">
        <v>56</v>
      </c>
      <c r="B122">
        <v>2013</v>
      </c>
      <c r="C122" t="s">
        <v>74</v>
      </c>
      <c r="D122">
        <v>0.03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11.95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0.53</v>
      </c>
    </row>
    <row r="128" spans="1:4" x14ac:dyDescent="0.45">
      <c r="A128" t="s">
        <v>32</v>
      </c>
      <c r="B128">
        <v>2014</v>
      </c>
      <c r="C128" t="s">
        <v>74</v>
      </c>
      <c r="D128">
        <v>0.76</v>
      </c>
    </row>
    <row r="129" spans="1:4" x14ac:dyDescent="0.45">
      <c r="A129" t="s">
        <v>34</v>
      </c>
      <c r="B129">
        <v>2014</v>
      </c>
      <c r="C129" t="s">
        <v>74</v>
      </c>
      <c r="D129">
        <v>0.01</v>
      </c>
    </row>
    <row r="130" spans="1:4" x14ac:dyDescent="0.45">
      <c r="A130" t="s">
        <v>36</v>
      </c>
      <c r="B130">
        <v>2014</v>
      </c>
      <c r="C130" t="s">
        <v>74</v>
      </c>
      <c r="D130">
        <v>7.0000000000000007E-2</v>
      </c>
    </row>
    <row r="131" spans="1:4" x14ac:dyDescent="0.45">
      <c r="A131" t="s">
        <v>56</v>
      </c>
      <c r="B131">
        <v>2014</v>
      </c>
      <c r="C131" t="s">
        <v>74</v>
      </c>
      <c r="D131">
        <v>0.03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10.98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0.6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0</v>
      </c>
    </row>
    <row r="139" spans="1:4" x14ac:dyDescent="0.45">
      <c r="A139" t="s">
        <v>36</v>
      </c>
      <c r="B139">
        <v>2015</v>
      </c>
      <c r="C139" t="s">
        <v>74</v>
      </c>
      <c r="D139">
        <v>0.06</v>
      </c>
    </row>
    <row r="140" spans="1:4" x14ac:dyDescent="0.45">
      <c r="A140" t="s">
        <v>56</v>
      </c>
      <c r="B140">
        <v>2015</v>
      </c>
      <c r="C140" t="s">
        <v>74</v>
      </c>
      <c r="D140">
        <v>0.03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8.5299999999999994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</v>
      </c>
    </row>
    <row r="145" spans="1:4" x14ac:dyDescent="0.45">
      <c r="A145" t="s">
        <v>91</v>
      </c>
      <c r="B145">
        <v>2015</v>
      </c>
      <c r="C145" t="s">
        <v>74</v>
      </c>
      <c r="D145">
        <v>0.71</v>
      </c>
    </row>
    <row r="146" spans="1:4" x14ac:dyDescent="0.45">
      <c r="A146" t="s">
        <v>32</v>
      </c>
      <c r="B146">
        <v>2016</v>
      </c>
      <c r="C146" t="s">
        <v>74</v>
      </c>
      <c r="D146">
        <v>0.95</v>
      </c>
    </row>
    <row r="147" spans="1:4" x14ac:dyDescent="0.45">
      <c r="A147" t="s">
        <v>34</v>
      </c>
      <c r="B147">
        <v>2016</v>
      </c>
      <c r="C147" t="s">
        <v>74</v>
      </c>
      <c r="D147">
        <v>0</v>
      </c>
    </row>
    <row r="148" spans="1:4" x14ac:dyDescent="0.45">
      <c r="A148" t="s">
        <v>36</v>
      </c>
      <c r="B148">
        <v>2016</v>
      </c>
      <c r="C148" t="s">
        <v>74</v>
      </c>
      <c r="D148">
        <v>7.0000000000000007E-2</v>
      </c>
    </row>
    <row r="149" spans="1:4" x14ac:dyDescent="0.45">
      <c r="A149" t="s">
        <v>56</v>
      </c>
      <c r="B149">
        <v>2016</v>
      </c>
      <c r="C149" t="s">
        <v>74</v>
      </c>
      <c r="D149">
        <v>0.04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10.51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0.01</v>
      </c>
    </row>
    <row r="154" spans="1:4" x14ac:dyDescent="0.45">
      <c r="A154" t="s">
        <v>91</v>
      </c>
      <c r="B154">
        <v>2016</v>
      </c>
      <c r="C154" t="s">
        <v>74</v>
      </c>
      <c r="D154">
        <v>0.59</v>
      </c>
    </row>
    <row r="155" spans="1:4" x14ac:dyDescent="0.45">
      <c r="A155" t="s">
        <v>32</v>
      </c>
      <c r="B155">
        <v>2017</v>
      </c>
      <c r="C155" t="s">
        <v>74</v>
      </c>
      <c r="D155">
        <v>1.1000000000000001</v>
      </c>
    </row>
    <row r="156" spans="1:4" x14ac:dyDescent="0.45">
      <c r="A156" t="s">
        <v>34</v>
      </c>
      <c r="B156">
        <v>2017</v>
      </c>
      <c r="C156" t="s">
        <v>74</v>
      </c>
      <c r="D156">
        <v>0.02</v>
      </c>
    </row>
    <row r="157" spans="1:4" x14ac:dyDescent="0.45">
      <c r="A157" t="s">
        <v>36</v>
      </c>
      <c r="B157">
        <v>2017</v>
      </c>
      <c r="C157" t="s">
        <v>74</v>
      </c>
      <c r="D157">
        <v>0.06</v>
      </c>
    </row>
    <row r="158" spans="1:4" x14ac:dyDescent="0.45">
      <c r="A158" t="s">
        <v>56</v>
      </c>
      <c r="B158">
        <v>2017</v>
      </c>
      <c r="C158" t="s">
        <v>74</v>
      </c>
      <c r="D158">
        <v>0.03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11.22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0.01</v>
      </c>
    </row>
    <row r="163" spans="1:4" x14ac:dyDescent="0.45">
      <c r="A163" t="s">
        <v>91</v>
      </c>
      <c r="B163">
        <v>2017</v>
      </c>
      <c r="C163" t="s">
        <v>74</v>
      </c>
      <c r="D163">
        <v>0.72</v>
      </c>
    </row>
    <row r="164" spans="1:4" x14ac:dyDescent="0.45">
      <c r="A164" t="s">
        <v>32</v>
      </c>
      <c r="B164">
        <v>2018</v>
      </c>
      <c r="C164" t="s">
        <v>74</v>
      </c>
      <c r="D164">
        <v>1.31</v>
      </c>
    </row>
    <row r="165" spans="1:4" x14ac:dyDescent="0.45">
      <c r="A165" t="s">
        <v>34</v>
      </c>
      <c r="B165">
        <v>2018</v>
      </c>
      <c r="C165" t="s">
        <v>74</v>
      </c>
      <c r="D165">
        <v>0</v>
      </c>
    </row>
    <row r="166" spans="1:4" x14ac:dyDescent="0.45">
      <c r="A166" t="s">
        <v>36</v>
      </c>
      <c r="B166">
        <v>2018</v>
      </c>
      <c r="C166" t="s">
        <v>74</v>
      </c>
      <c r="D166">
        <v>0.06</v>
      </c>
    </row>
    <row r="167" spans="1:4" x14ac:dyDescent="0.45">
      <c r="A167" t="s">
        <v>56</v>
      </c>
      <c r="B167">
        <v>2018</v>
      </c>
      <c r="C167" t="s">
        <v>74</v>
      </c>
      <c r="D167">
        <v>0.01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10.32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0.03</v>
      </c>
    </row>
    <row r="172" spans="1:4" x14ac:dyDescent="0.45">
      <c r="A172" t="s">
        <v>91</v>
      </c>
      <c r="B172">
        <v>2018</v>
      </c>
      <c r="C172" t="s">
        <v>74</v>
      </c>
      <c r="D172">
        <v>0.64</v>
      </c>
    </row>
    <row r="173" spans="1:4" x14ac:dyDescent="0.45">
      <c r="A173" t="s">
        <v>32</v>
      </c>
      <c r="B173">
        <v>2019</v>
      </c>
      <c r="C173" t="s">
        <v>74</v>
      </c>
      <c r="D173">
        <v>1.36</v>
      </c>
    </row>
    <row r="174" spans="1:4" x14ac:dyDescent="0.45">
      <c r="A174" t="s">
        <v>34</v>
      </c>
      <c r="B174">
        <v>2019</v>
      </c>
      <c r="C174" t="s">
        <v>74</v>
      </c>
      <c r="D174">
        <v>0</v>
      </c>
    </row>
    <row r="175" spans="1:4" x14ac:dyDescent="0.45">
      <c r="A175" t="s">
        <v>36</v>
      </c>
      <c r="B175">
        <v>2019</v>
      </c>
      <c r="C175" t="s">
        <v>74</v>
      </c>
      <c r="D175">
        <v>0.04</v>
      </c>
    </row>
    <row r="176" spans="1:4" x14ac:dyDescent="0.45">
      <c r="A176" t="s">
        <v>56</v>
      </c>
      <c r="B176">
        <v>2019</v>
      </c>
      <c r="C176" t="s">
        <v>74</v>
      </c>
      <c r="D176">
        <v>0.02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5.43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7.0000000000000007E-2</v>
      </c>
    </row>
    <row r="181" spans="1:4" x14ac:dyDescent="0.45">
      <c r="A181" t="s">
        <v>91</v>
      </c>
      <c r="B181">
        <v>2019</v>
      </c>
      <c r="C181" t="s">
        <v>74</v>
      </c>
      <c r="D181">
        <v>0.69</v>
      </c>
    </row>
    <row r="182" spans="1:4" x14ac:dyDescent="0.45">
      <c r="A182" t="s">
        <v>32</v>
      </c>
      <c r="B182">
        <v>2020</v>
      </c>
      <c r="C182" t="s">
        <v>74</v>
      </c>
      <c r="D182">
        <v>1.85</v>
      </c>
    </row>
    <row r="183" spans="1:4" x14ac:dyDescent="0.45">
      <c r="A183" t="s">
        <v>34</v>
      </c>
      <c r="B183">
        <v>2020</v>
      </c>
      <c r="C183" t="s">
        <v>74</v>
      </c>
      <c r="D183">
        <v>0</v>
      </c>
    </row>
    <row r="184" spans="1:4" x14ac:dyDescent="0.45">
      <c r="A184" t="s">
        <v>36</v>
      </c>
      <c r="B184">
        <v>2020</v>
      </c>
      <c r="C184" t="s">
        <v>74</v>
      </c>
      <c r="D184">
        <v>0.03</v>
      </c>
    </row>
    <row r="185" spans="1:4" x14ac:dyDescent="0.45">
      <c r="A185" t="s">
        <v>56</v>
      </c>
      <c r="B185">
        <v>2020</v>
      </c>
      <c r="C185" t="s">
        <v>74</v>
      </c>
      <c r="D185">
        <v>0.03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3.08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0.25</v>
      </c>
    </row>
    <row r="190" spans="1:4" x14ac:dyDescent="0.45">
      <c r="A190" t="s">
        <v>91</v>
      </c>
      <c r="B190">
        <v>2020</v>
      </c>
      <c r="C190" t="s">
        <v>74</v>
      </c>
      <c r="D190">
        <v>0.84</v>
      </c>
    </row>
    <row r="191" spans="1:4" x14ac:dyDescent="0.45">
      <c r="A191" t="s">
        <v>32</v>
      </c>
      <c r="B191">
        <v>2021</v>
      </c>
      <c r="C191" t="s">
        <v>74</v>
      </c>
      <c r="D191">
        <v>1.77</v>
      </c>
    </row>
    <row r="192" spans="1:4" x14ac:dyDescent="0.45">
      <c r="A192" t="s">
        <v>34</v>
      </c>
      <c r="B192">
        <v>2021</v>
      </c>
      <c r="C192" t="s">
        <v>74</v>
      </c>
      <c r="D192">
        <v>0</v>
      </c>
    </row>
    <row r="193" spans="1:4" x14ac:dyDescent="0.45">
      <c r="A193" t="s">
        <v>36</v>
      </c>
      <c r="B193">
        <v>2021</v>
      </c>
      <c r="C193" t="s">
        <v>74</v>
      </c>
      <c r="D193">
        <v>0.04</v>
      </c>
    </row>
    <row r="194" spans="1:4" x14ac:dyDescent="0.45">
      <c r="A194" t="s">
        <v>56</v>
      </c>
      <c r="B194">
        <v>2021</v>
      </c>
      <c r="C194" t="s">
        <v>74</v>
      </c>
      <c r="D194">
        <v>0.02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4.28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0.35</v>
      </c>
    </row>
    <row r="199" spans="1:4" x14ac:dyDescent="0.45">
      <c r="A199" t="s">
        <v>91</v>
      </c>
      <c r="B199">
        <v>2021</v>
      </c>
      <c r="C199" t="s">
        <v>74</v>
      </c>
      <c r="D199">
        <v>0.73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0</v>
      </c>
    </row>
    <row r="202" spans="1:4" x14ac:dyDescent="0.45">
      <c r="A202" t="s">
        <v>36</v>
      </c>
      <c r="B202">
        <v>2022</v>
      </c>
      <c r="C202" t="s">
        <v>74</v>
      </c>
      <c r="D202">
        <v>0.06</v>
      </c>
    </row>
    <row r="203" spans="1:4" x14ac:dyDescent="0.45">
      <c r="A203" t="s">
        <v>56</v>
      </c>
      <c r="B203">
        <v>2022</v>
      </c>
      <c r="C203" t="s">
        <v>74</v>
      </c>
      <c r="D203">
        <v>0.02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6.02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0.6</v>
      </c>
    </row>
    <row r="208" spans="1:4" x14ac:dyDescent="0.45">
      <c r="A208" t="s">
        <v>91</v>
      </c>
      <c r="B208">
        <v>2022</v>
      </c>
      <c r="C208" t="s">
        <v>74</v>
      </c>
      <c r="D208">
        <v>0.63</v>
      </c>
    </row>
    <row r="209" spans="1:4" x14ac:dyDescent="0.45">
      <c r="A209" t="s">
        <v>32</v>
      </c>
      <c r="B209">
        <v>2023</v>
      </c>
      <c r="C209" t="s">
        <v>74</v>
      </c>
      <c r="D209">
        <v>1.33</v>
      </c>
    </row>
    <row r="210" spans="1:4" x14ac:dyDescent="0.45">
      <c r="A210" t="s">
        <v>34</v>
      </c>
      <c r="B210">
        <v>2023</v>
      </c>
      <c r="C210" t="s">
        <v>74</v>
      </c>
      <c r="D210">
        <v>0</v>
      </c>
    </row>
    <row r="211" spans="1:4" x14ac:dyDescent="0.45">
      <c r="A211" t="s">
        <v>36</v>
      </c>
      <c r="B211">
        <v>2023</v>
      </c>
      <c r="C211" t="s">
        <v>74</v>
      </c>
      <c r="D211">
        <v>0.05</v>
      </c>
    </row>
    <row r="212" spans="1:4" x14ac:dyDescent="0.45">
      <c r="A212" t="s">
        <v>56</v>
      </c>
      <c r="B212">
        <v>2023</v>
      </c>
      <c r="C212" t="s">
        <v>74</v>
      </c>
      <c r="D212">
        <v>0.02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3.56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0.77</v>
      </c>
    </row>
    <row r="217" spans="1:4" x14ac:dyDescent="0.45">
      <c r="A217" t="s">
        <v>91</v>
      </c>
      <c r="B217">
        <v>2023</v>
      </c>
      <c r="C217" t="s">
        <v>74</v>
      </c>
      <c r="D217">
        <v>0.75</v>
      </c>
    </row>
    <row r="218" spans="1:4" x14ac:dyDescent="0.45">
      <c r="A218" t="s">
        <v>32</v>
      </c>
      <c r="B218">
        <v>2000</v>
      </c>
      <c r="C218" t="s">
        <v>75</v>
      </c>
      <c r="D218">
        <v>0</v>
      </c>
    </row>
    <row r="219" spans="1:4" x14ac:dyDescent="0.45">
      <c r="A219" t="s">
        <v>34</v>
      </c>
      <c r="B219">
        <v>2000</v>
      </c>
      <c r="C219" t="s">
        <v>75</v>
      </c>
    </row>
    <row r="220" spans="1:4" x14ac:dyDescent="0.45">
      <c r="A220" t="s">
        <v>36</v>
      </c>
      <c r="B220">
        <v>2000</v>
      </c>
      <c r="C220" t="s">
        <v>75</v>
      </c>
      <c r="D220">
        <v>0.21</v>
      </c>
    </row>
    <row r="221" spans="1:4" x14ac:dyDescent="0.45">
      <c r="A221" t="s">
        <v>56</v>
      </c>
      <c r="B221">
        <v>2000</v>
      </c>
      <c r="C221" t="s">
        <v>75</v>
      </c>
      <c r="D221">
        <v>0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  <c r="D223">
        <v>2.8</v>
      </c>
    </row>
    <row r="224" spans="1:4" x14ac:dyDescent="0.45">
      <c r="A224" t="s">
        <v>32</v>
      </c>
      <c r="B224">
        <v>2000</v>
      </c>
      <c r="C224" t="s">
        <v>75</v>
      </c>
      <c r="D224">
        <v>0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</v>
      </c>
    </row>
    <row r="227" spans="1:4" x14ac:dyDescent="0.45">
      <c r="A227" t="s">
        <v>32</v>
      </c>
      <c r="B227">
        <v>2001</v>
      </c>
      <c r="C227" t="s">
        <v>75</v>
      </c>
      <c r="D227">
        <v>0</v>
      </c>
    </row>
    <row r="228" spans="1:4" x14ac:dyDescent="0.45">
      <c r="A228" t="s">
        <v>34</v>
      </c>
      <c r="B228">
        <v>2001</v>
      </c>
      <c r="C228" t="s">
        <v>75</v>
      </c>
    </row>
    <row r="229" spans="1:4" x14ac:dyDescent="0.45">
      <c r="A229" t="s">
        <v>36</v>
      </c>
      <c r="B229">
        <v>2001</v>
      </c>
      <c r="C229" t="s">
        <v>75</v>
      </c>
      <c r="D229">
        <v>0.21</v>
      </c>
    </row>
    <row r="230" spans="1:4" x14ac:dyDescent="0.45">
      <c r="A230" t="s">
        <v>56</v>
      </c>
      <c r="B230">
        <v>2001</v>
      </c>
      <c r="C230" t="s">
        <v>75</v>
      </c>
      <c r="D230">
        <v>0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  <c r="D232">
        <v>2.44</v>
      </c>
    </row>
    <row r="233" spans="1:4" x14ac:dyDescent="0.45">
      <c r="A233" t="s">
        <v>32</v>
      </c>
      <c r="B233">
        <v>2001</v>
      </c>
      <c r="C233" t="s">
        <v>75</v>
      </c>
      <c r="D233">
        <v>0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</v>
      </c>
    </row>
    <row r="236" spans="1:4" x14ac:dyDescent="0.45">
      <c r="A236" t="s">
        <v>32</v>
      </c>
      <c r="B236">
        <v>2002</v>
      </c>
      <c r="C236" t="s">
        <v>75</v>
      </c>
      <c r="D236">
        <v>0.01</v>
      </c>
    </row>
    <row r="237" spans="1:4" x14ac:dyDescent="0.45">
      <c r="A237" t="s">
        <v>34</v>
      </c>
      <c r="B237">
        <v>2002</v>
      </c>
      <c r="C237" t="s">
        <v>75</v>
      </c>
    </row>
    <row r="238" spans="1:4" x14ac:dyDescent="0.45">
      <c r="A238" t="s">
        <v>36</v>
      </c>
      <c r="B238">
        <v>2002</v>
      </c>
      <c r="C238" t="s">
        <v>75</v>
      </c>
      <c r="D238">
        <v>0.21</v>
      </c>
    </row>
    <row r="239" spans="1:4" x14ac:dyDescent="0.45">
      <c r="A239" t="s">
        <v>56</v>
      </c>
      <c r="B239">
        <v>2002</v>
      </c>
      <c r="C239" t="s">
        <v>75</v>
      </c>
      <c r="D239">
        <v>0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  <c r="D241">
        <v>2.4</v>
      </c>
    </row>
    <row r="242" spans="1:4" x14ac:dyDescent="0.45">
      <c r="A242" t="s">
        <v>32</v>
      </c>
      <c r="B242">
        <v>2002</v>
      </c>
      <c r="C242" t="s">
        <v>75</v>
      </c>
      <c r="D242">
        <v>0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</v>
      </c>
    </row>
    <row r="245" spans="1:4" x14ac:dyDescent="0.45">
      <c r="A245" t="s">
        <v>32</v>
      </c>
      <c r="B245">
        <v>2003</v>
      </c>
      <c r="C245" t="s">
        <v>75</v>
      </c>
      <c r="D245">
        <v>0.01</v>
      </c>
    </row>
    <row r="246" spans="1:4" x14ac:dyDescent="0.45">
      <c r="A246" t="s">
        <v>34</v>
      </c>
      <c r="B246">
        <v>2003</v>
      </c>
      <c r="C246" t="s">
        <v>75</v>
      </c>
    </row>
    <row r="247" spans="1:4" x14ac:dyDescent="0.45">
      <c r="A247" t="s">
        <v>36</v>
      </c>
      <c r="B247">
        <v>2003</v>
      </c>
      <c r="C247" t="s">
        <v>75</v>
      </c>
      <c r="D247">
        <v>0.21</v>
      </c>
    </row>
    <row r="248" spans="1:4" x14ac:dyDescent="0.45">
      <c r="A248" t="s">
        <v>56</v>
      </c>
      <c r="B248">
        <v>2003</v>
      </c>
      <c r="C248" t="s">
        <v>75</v>
      </c>
      <c r="D248">
        <v>0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  <c r="D250">
        <v>2.4</v>
      </c>
    </row>
    <row r="251" spans="1:4" x14ac:dyDescent="0.45">
      <c r="A251" t="s">
        <v>32</v>
      </c>
      <c r="B251">
        <v>2003</v>
      </c>
      <c r="C251" t="s">
        <v>75</v>
      </c>
      <c r="D251">
        <v>0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0</v>
      </c>
    </row>
    <row r="254" spans="1:4" x14ac:dyDescent="0.45">
      <c r="A254" t="s">
        <v>32</v>
      </c>
      <c r="B254">
        <v>2004</v>
      </c>
      <c r="C254" t="s">
        <v>75</v>
      </c>
      <c r="D254">
        <v>0.01</v>
      </c>
    </row>
    <row r="255" spans="1:4" x14ac:dyDescent="0.45">
      <c r="A255" t="s">
        <v>34</v>
      </c>
      <c r="B255">
        <v>2004</v>
      </c>
      <c r="C255" t="s">
        <v>75</v>
      </c>
    </row>
    <row r="256" spans="1:4" x14ac:dyDescent="0.45">
      <c r="A256" t="s">
        <v>36</v>
      </c>
      <c r="B256">
        <v>2004</v>
      </c>
      <c r="C256" t="s">
        <v>75</v>
      </c>
      <c r="D256">
        <v>0.21</v>
      </c>
    </row>
    <row r="257" spans="1:4" x14ac:dyDescent="0.45">
      <c r="A257" t="s">
        <v>56</v>
      </c>
      <c r="B257">
        <v>2004</v>
      </c>
      <c r="C257" t="s">
        <v>75</v>
      </c>
      <c r="D257">
        <v>0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  <c r="D259">
        <v>2.67</v>
      </c>
    </row>
    <row r="260" spans="1:4" x14ac:dyDescent="0.45">
      <c r="A260" t="s">
        <v>32</v>
      </c>
      <c r="B260">
        <v>2004</v>
      </c>
      <c r="C260" t="s">
        <v>75</v>
      </c>
      <c r="D260">
        <v>0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0.01</v>
      </c>
    </row>
    <row r="263" spans="1:4" x14ac:dyDescent="0.45">
      <c r="A263" t="s">
        <v>32</v>
      </c>
      <c r="B263">
        <v>2005</v>
      </c>
      <c r="C263" t="s">
        <v>75</v>
      </c>
      <c r="D263">
        <v>0.01</v>
      </c>
    </row>
    <row r="264" spans="1:4" x14ac:dyDescent="0.45">
      <c r="A264" t="s">
        <v>34</v>
      </c>
      <c r="B264">
        <v>2005</v>
      </c>
      <c r="C264" t="s">
        <v>75</v>
      </c>
    </row>
    <row r="265" spans="1:4" x14ac:dyDescent="0.45">
      <c r="A265" t="s">
        <v>36</v>
      </c>
      <c r="B265">
        <v>2005</v>
      </c>
      <c r="C265" t="s">
        <v>75</v>
      </c>
      <c r="D265">
        <v>0.21</v>
      </c>
    </row>
    <row r="266" spans="1:4" x14ac:dyDescent="0.45">
      <c r="A266" t="s">
        <v>56</v>
      </c>
      <c r="B266">
        <v>2005</v>
      </c>
      <c r="C266" t="s">
        <v>75</v>
      </c>
      <c r="D266">
        <v>0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  <c r="D268">
        <v>2.5099999999999998</v>
      </c>
    </row>
    <row r="269" spans="1:4" x14ac:dyDescent="0.45">
      <c r="A269" t="s">
        <v>32</v>
      </c>
      <c r="B269">
        <v>2005</v>
      </c>
      <c r="C269" t="s">
        <v>75</v>
      </c>
      <c r="D269">
        <v>0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0.03</v>
      </c>
    </row>
    <row r="272" spans="1:4" x14ac:dyDescent="0.45">
      <c r="A272" t="s">
        <v>32</v>
      </c>
      <c r="B272">
        <v>2006</v>
      </c>
      <c r="C272" t="s">
        <v>75</v>
      </c>
      <c r="D272">
        <v>0.01</v>
      </c>
    </row>
    <row r="273" spans="1:4" x14ac:dyDescent="0.45">
      <c r="A273" t="s">
        <v>34</v>
      </c>
      <c r="B273">
        <v>2006</v>
      </c>
      <c r="C273" t="s">
        <v>75</v>
      </c>
    </row>
    <row r="274" spans="1:4" x14ac:dyDescent="0.45">
      <c r="A274" t="s">
        <v>36</v>
      </c>
      <c r="B274">
        <v>2006</v>
      </c>
      <c r="C274" t="s">
        <v>75</v>
      </c>
      <c r="D274">
        <v>0.21</v>
      </c>
    </row>
    <row r="275" spans="1:4" x14ac:dyDescent="0.45">
      <c r="A275" t="s">
        <v>56</v>
      </c>
      <c r="B275">
        <v>2006</v>
      </c>
      <c r="C275" t="s">
        <v>75</v>
      </c>
      <c r="D275">
        <v>0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  <c r="D277">
        <v>2.5099999999999998</v>
      </c>
    </row>
    <row r="278" spans="1:4" x14ac:dyDescent="0.45">
      <c r="A278" t="s">
        <v>32</v>
      </c>
      <c r="B278">
        <v>2006</v>
      </c>
      <c r="C278" t="s">
        <v>75</v>
      </c>
      <c r="D278">
        <v>0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0.03</v>
      </c>
    </row>
    <row r="281" spans="1:4" x14ac:dyDescent="0.45">
      <c r="A281" t="s">
        <v>32</v>
      </c>
      <c r="B281">
        <v>2007</v>
      </c>
      <c r="C281" t="s">
        <v>75</v>
      </c>
      <c r="D281">
        <v>0.01</v>
      </c>
    </row>
    <row r="282" spans="1:4" x14ac:dyDescent="0.45">
      <c r="A282" t="s">
        <v>34</v>
      </c>
      <c r="B282">
        <v>2007</v>
      </c>
      <c r="C282" t="s">
        <v>75</v>
      </c>
    </row>
    <row r="283" spans="1:4" x14ac:dyDescent="0.45">
      <c r="A283" t="s">
        <v>36</v>
      </c>
      <c r="B283">
        <v>2007</v>
      </c>
      <c r="C283" t="s">
        <v>75</v>
      </c>
      <c r="D283">
        <v>0.21</v>
      </c>
    </row>
    <row r="284" spans="1:4" x14ac:dyDescent="0.45">
      <c r="A284" t="s">
        <v>56</v>
      </c>
      <c r="B284">
        <v>2007</v>
      </c>
      <c r="C284" t="s">
        <v>75</v>
      </c>
      <c r="D284">
        <v>0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  <c r="D286">
        <v>2.56</v>
      </c>
    </row>
    <row r="287" spans="1:4" x14ac:dyDescent="0.45">
      <c r="A287" t="s">
        <v>32</v>
      </c>
      <c r="B287">
        <v>2007</v>
      </c>
      <c r="C287" t="s">
        <v>75</v>
      </c>
      <c r="D287">
        <v>0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0.05</v>
      </c>
    </row>
    <row r="290" spans="1:4" x14ac:dyDescent="0.45">
      <c r="A290" t="s">
        <v>32</v>
      </c>
      <c r="B290">
        <v>2008</v>
      </c>
      <c r="C290" t="s">
        <v>75</v>
      </c>
      <c r="D290">
        <v>0.01</v>
      </c>
    </row>
    <row r="291" spans="1:4" x14ac:dyDescent="0.45">
      <c r="A291" t="s">
        <v>34</v>
      </c>
      <c r="B291">
        <v>2008</v>
      </c>
      <c r="C291" t="s">
        <v>75</v>
      </c>
    </row>
    <row r="292" spans="1:4" x14ac:dyDescent="0.45">
      <c r="A292" t="s">
        <v>36</v>
      </c>
      <c r="B292">
        <v>2008</v>
      </c>
      <c r="C292" t="s">
        <v>75</v>
      </c>
      <c r="D292">
        <v>0.21</v>
      </c>
    </row>
    <row r="293" spans="1:4" x14ac:dyDescent="0.45">
      <c r="A293" t="s">
        <v>56</v>
      </c>
      <c r="B293">
        <v>2008</v>
      </c>
      <c r="C293" t="s">
        <v>75</v>
      </c>
      <c r="D293">
        <v>0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  <c r="D295">
        <v>2.6</v>
      </c>
    </row>
    <row r="296" spans="1:4" x14ac:dyDescent="0.45">
      <c r="A296" t="s">
        <v>32</v>
      </c>
      <c r="B296">
        <v>2008</v>
      </c>
      <c r="C296" t="s">
        <v>75</v>
      </c>
      <c r="D296">
        <v>0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0.08</v>
      </c>
    </row>
    <row r="299" spans="1:4" x14ac:dyDescent="0.45">
      <c r="A299" t="s">
        <v>32</v>
      </c>
      <c r="B299">
        <v>2009</v>
      </c>
      <c r="C299" t="s">
        <v>75</v>
      </c>
      <c r="D299">
        <v>0.06</v>
      </c>
    </row>
    <row r="300" spans="1:4" x14ac:dyDescent="0.45">
      <c r="A300" t="s">
        <v>34</v>
      </c>
      <c r="B300">
        <v>2009</v>
      </c>
      <c r="C300" t="s">
        <v>75</v>
      </c>
    </row>
    <row r="301" spans="1:4" x14ac:dyDescent="0.45">
      <c r="A301" t="s">
        <v>36</v>
      </c>
      <c r="B301">
        <v>2009</v>
      </c>
      <c r="C301" t="s">
        <v>75</v>
      </c>
      <c r="D301">
        <v>0.21</v>
      </c>
    </row>
    <row r="302" spans="1:4" x14ac:dyDescent="0.45">
      <c r="A302" t="s">
        <v>56</v>
      </c>
      <c r="B302">
        <v>2009</v>
      </c>
      <c r="C302" t="s">
        <v>75</v>
      </c>
      <c r="D302">
        <v>0.01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  <c r="D304">
        <v>2.4900000000000002</v>
      </c>
    </row>
    <row r="305" spans="1:4" x14ac:dyDescent="0.45">
      <c r="A305" t="s">
        <v>32</v>
      </c>
      <c r="B305">
        <v>2009</v>
      </c>
      <c r="C305" t="s">
        <v>75</v>
      </c>
      <c r="D305">
        <v>0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</row>
    <row r="310" spans="1:4" x14ac:dyDescent="0.45">
      <c r="A310" t="s">
        <v>36</v>
      </c>
      <c r="B310">
        <v>2010</v>
      </c>
      <c r="C310" t="s">
        <v>75</v>
      </c>
      <c r="D310">
        <v>0.21</v>
      </c>
    </row>
    <row r="311" spans="1:4" x14ac:dyDescent="0.45">
      <c r="A311" t="s">
        <v>56</v>
      </c>
      <c r="B311">
        <v>2010</v>
      </c>
      <c r="C311" t="s">
        <v>75</v>
      </c>
      <c r="D311">
        <v>0.01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  <c r="D313">
        <v>2.4900000000000002</v>
      </c>
    </row>
    <row r="314" spans="1:4" x14ac:dyDescent="0.45">
      <c r="A314" t="s">
        <v>32</v>
      </c>
      <c r="B314">
        <v>2010</v>
      </c>
      <c r="C314" t="s">
        <v>75</v>
      </c>
      <c r="D314">
        <v>0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0.11</v>
      </c>
    </row>
    <row r="317" spans="1:4" x14ac:dyDescent="0.45">
      <c r="A317" t="s">
        <v>32</v>
      </c>
      <c r="B317">
        <v>2011</v>
      </c>
      <c r="C317" t="s">
        <v>75</v>
      </c>
      <c r="D317">
        <v>0.15</v>
      </c>
    </row>
    <row r="318" spans="1:4" x14ac:dyDescent="0.45">
      <c r="A318" t="s">
        <v>34</v>
      </c>
      <c r="B318">
        <v>2011</v>
      </c>
      <c r="C318" t="s">
        <v>75</v>
      </c>
    </row>
    <row r="319" spans="1:4" x14ac:dyDescent="0.45">
      <c r="A319" t="s">
        <v>36</v>
      </c>
      <c r="B319">
        <v>2011</v>
      </c>
      <c r="C319" t="s">
        <v>75</v>
      </c>
      <c r="D319">
        <v>0.21</v>
      </c>
    </row>
    <row r="320" spans="1:4" x14ac:dyDescent="0.45">
      <c r="A320" t="s">
        <v>56</v>
      </c>
      <c r="B320">
        <v>2011</v>
      </c>
      <c r="C320" t="s">
        <v>75</v>
      </c>
      <c r="D320">
        <v>0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  <c r="D322">
        <v>2.4900000000000002</v>
      </c>
    </row>
    <row r="323" spans="1:4" x14ac:dyDescent="0.45">
      <c r="A323" t="s">
        <v>32</v>
      </c>
      <c r="B323">
        <v>2011</v>
      </c>
      <c r="C323" t="s">
        <v>75</v>
      </c>
      <c r="D323">
        <v>0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0.18</v>
      </c>
    </row>
    <row r="326" spans="1:4" x14ac:dyDescent="0.45">
      <c r="A326" t="s">
        <v>32</v>
      </c>
      <c r="B326">
        <v>2012</v>
      </c>
      <c r="C326" t="s">
        <v>75</v>
      </c>
      <c r="D326">
        <v>0.17</v>
      </c>
    </row>
    <row r="327" spans="1:4" x14ac:dyDescent="0.45">
      <c r="A327" t="s">
        <v>34</v>
      </c>
      <c r="B327">
        <v>2012</v>
      </c>
      <c r="C327" t="s">
        <v>75</v>
      </c>
    </row>
    <row r="328" spans="1:4" x14ac:dyDescent="0.45">
      <c r="A328" t="s">
        <v>36</v>
      </c>
      <c r="B328">
        <v>2012</v>
      </c>
      <c r="C328" t="s">
        <v>75</v>
      </c>
      <c r="D328">
        <v>0.21</v>
      </c>
    </row>
    <row r="329" spans="1:4" x14ac:dyDescent="0.45">
      <c r="A329" t="s">
        <v>56</v>
      </c>
      <c r="B329">
        <v>2012</v>
      </c>
      <c r="C329" t="s">
        <v>75</v>
      </c>
      <c r="D329">
        <v>0.01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  <c r="D331">
        <v>2.48</v>
      </c>
    </row>
    <row r="332" spans="1:4" x14ac:dyDescent="0.45">
      <c r="A332" t="s">
        <v>32</v>
      </c>
      <c r="B332">
        <v>2012</v>
      </c>
      <c r="C332" t="s">
        <v>75</v>
      </c>
      <c r="D332">
        <v>0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0.27</v>
      </c>
    </row>
    <row r="335" spans="1:4" x14ac:dyDescent="0.45">
      <c r="A335" t="s">
        <v>32</v>
      </c>
      <c r="B335">
        <v>2013</v>
      </c>
      <c r="C335" t="s">
        <v>75</v>
      </c>
      <c r="D335">
        <v>0.16</v>
      </c>
    </row>
    <row r="336" spans="1:4" x14ac:dyDescent="0.45">
      <c r="A336" t="s">
        <v>34</v>
      </c>
      <c r="B336">
        <v>2013</v>
      </c>
      <c r="C336" t="s">
        <v>75</v>
      </c>
    </row>
    <row r="337" spans="1:4" x14ac:dyDescent="0.45">
      <c r="A337" t="s">
        <v>36</v>
      </c>
      <c r="B337">
        <v>2013</v>
      </c>
      <c r="C337" t="s">
        <v>75</v>
      </c>
      <c r="D337">
        <v>0.42</v>
      </c>
    </row>
    <row r="338" spans="1:4" x14ac:dyDescent="0.45">
      <c r="A338" t="s">
        <v>56</v>
      </c>
      <c r="B338">
        <v>2013</v>
      </c>
      <c r="C338" t="s">
        <v>75</v>
      </c>
      <c r="D338">
        <v>0.01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  <c r="D340">
        <v>2.39</v>
      </c>
    </row>
    <row r="341" spans="1:4" x14ac:dyDescent="0.45">
      <c r="A341" t="s">
        <v>32</v>
      </c>
      <c r="B341">
        <v>2013</v>
      </c>
      <c r="C341" t="s">
        <v>75</v>
      </c>
      <c r="D341">
        <v>0.1</v>
      </c>
    </row>
    <row r="342" spans="1:4" x14ac:dyDescent="0.45">
      <c r="A342" t="s">
        <v>58</v>
      </c>
      <c r="B342">
        <v>2013</v>
      </c>
      <c r="C342" t="s">
        <v>75</v>
      </c>
      <c r="D342">
        <v>0</v>
      </c>
    </row>
    <row r="343" spans="1:4" x14ac:dyDescent="0.45">
      <c r="A343" t="s">
        <v>91</v>
      </c>
      <c r="B343">
        <v>2013</v>
      </c>
      <c r="C343" t="s">
        <v>75</v>
      </c>
      <c r="D343">
        <v>0.25</v>
      </c>
    </row>
    <row r="344" spans="1:4" x14ac:dyDescent="0.45">
      <c r="A344" t="s">
        <v>32</v>
      </c>
      <c r="B344">
        <v>2014</v>
      </c>
      <c r="C344" t="s">
        <v>75</v>
      </c>
      <c r="D344">
        <v>0.17</v>
      </c>
    </row>
    <row r="345" spans="1:4" x14ac:dyDescent="0.45">
      <c r="A345" t="s">
        <v>34</v>
      </c>
      <c r="B345">
        <v>2014</v>
      </c>
      <c r="C345" t="s">
        <v>75</v>
      </c>
    </row>
    <row r="346" spans="1:4" x14ac:dyDescent="0.45">
      <c r="A346" t="s">
        <v>36</v>
      </c>
      <c r="B346">
        <v>2014</v>
      </c>
      <c r="C346" t="s">
        <v>75</v>
      </c>
      <c r="D346">
        <v>0.42</v>
      </c>
    </row>
    <row r="347" spans="1:4" x14ac:dyDescent="0.45">
      <c r="A347" t="s">
        <v>56</v>
      </c>
      <c r="B347">
        <v>2014</v>
      </c>
      <c r="C347" t="s">
        <v>75</v>
      </c>
      <c r="D347">
        <v>0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  <c r="D349">
        <v>2.4700000000000002</v>
      </c>
    </row>
    <row r="350" spans="1:4" x14ac:dyDescent="0.45">
      <c r="A350" t="s">
        <v>32</v>
      </c>
      <c r="B350">
        <v>2014</v>
      </c>
      <c r="C350" t="s">
        <v>75</v>
      </c>
      <c r="D350">
        <v>0.1</v>
      </c>
    </row>
    <row r="351" spans="1:4" x14ac:dyDescent="0.45">
      <c r="A351" t="s">
        <v>58</v>
      </c>
      <c r="B351">
        <v>2014</v>
      </c>
      <c r="C351" t="s">
        <v>75</v>
      </c>
      <c r="D351">
        <v>0</v>
      </c>
    </row>
    <row r="352" spans="1:4" x14ac:dyDescent="0.45">
      <c r="A352" t="s">
        <v>91</v>
      </c>
      <c r="B352">
        <v>2014</v>
      </c>
      <c r="C352" t="s">
        <v>75</v>
      </c>
      <c r="D352">
        <v>0.28000000000000003</v>
      </c>
    </row>
    <row r="353" spans="1:4" x14ac:dyDescent="0.45">
      <c r="A353" t="s">
        <v>32</v>
      </c>
      <c r="B353">
        <v>2015</v>
      </c>
      <c r="C353" t="s">
        <v>75</v>
      </c>
      <c r="D353">
        <v>0.18</v>
      </c>
    </row>
    <row r="354" spans="1:4" x14ac:dyDescent="0.45">
      <c r="A354" t="s">
        <v>34</v>
      </c>
      <c r="B354">
        <v>2015</v>
      </c>
      <c r="C354" t="s">
        <v>75</v>
      </c>
    </row>
    <row r="355" spans="1:4" x14ac:dyDescent="0.45">
      <c r="A355" t="s">
        <v>36</v>
      </c>
      <c r="B355">
        <v>2015</v>
      </c>
      <c r="C355" t="s">
        <v>75</v>
      </c>
      <c r="D355">
        <v>0.42</v>
      </c>
    </row>
    <row r="356" spans="1:4" x14ac:dyDescent="0.45">
      <c r="A356" t="s">
        <v>56</v>
      </c>
      <c r="B356">
        <v>2015</v>
      </c>
      <c r="C356" t="s">
        <v>75</v>
      </c>
      <c r="D356">
        <v>0.01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  <c r="D358">
        <v>2.27</v>
      </c>
    </row>
    <row r="359" spans="1:4" x14ac:dyDescent="0.45">
      <c r="A359" t="s">
        <v>32</v>
      </c>
      <c r="B359">
        <v>2015</v>
      </c>
      <c r="C359" t="s">
        <v>75</v>
      </c>
      <c r="D359">
        <v>0.1</v>
      </c>
    </row>
    <row r="360" spans="1:4" x14ac:dyDescent="0.45">
      <c r="A360" t="s">
        <v>58</v>
      </c>
      <c r="B360">
        <v>2015</v>
      </c>
      <c r="C360" t="s">
        <v>75</v>
      </c>
      <c r="D360">
        <v>0.01</v>
      </c>
    </row>
    <row r="361" spans="1:4" x14ac:dyDescent="0.45">
      <c r="A361" t="s">
        <v>91</v>
      </c>
      <c r="B361">
        <v>2015</v>
      </c>
      <c r="C361" t="s">
        <v>75</v>
      </c>
      <c r="D361">
        <v>0.3</v>
      </c>
    </row>
    <row r="362" spans="1:4" x14ac:dyDescent="0.45">
      <c r="A362" t="s">
        <v>32</v>
      </c>
      <c r="B362">
        <v>2016</v>
      </c>
      <c r="C362" t="s">
        <v>75</v>
      </c>
      <c r="D362">
        <v>0.18</v>
      </c>
    </row>
    <row r="363" spans="1:4" x14ac:dyDescent="0.45">
      <c r="A363" t="s">
        <v>34</v>
      </c>
      <c r="B363">
        <v>2016</v>
      </c>
      <c r="C363" t="s">
        <v>75</v>
      </c>
    </row>
    <row r="364" spans="1:4" x14ac:dyDescent="0.45">
      <c r="A364" t="s">
        <v>36</v>
      </c>
      <c r="B364">
        <v>2016</v>
      </c>
      <c r="C364" t="s">
        <v>75</v>
      </c>
      <c r="D364">
        <v>0.42</v>
      </c>
    </row>
    <row r="365" spans="1:4" x14ac:dyDescent="0.45">
      <c r="A365" t="s">
        <v>56</v>
      </c>
      <c r="B365">
        <v>2016</v>
      </c>
      <c r="C365" t="s">
        <v>75</v>
      </c>
      <c r="D365">
        <v>0.01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  <c r="D367">
        <v>1.97</v>
      </c>
    </row>
    <row r="368" spans="1:4" x14ac:dyDescent="0.45">
      <c r="A368" t="s">
        <v>32</v>
      </c>
      <c r="B368">
        <v>2016</v>
      </c>
      <c r="C368" t="s">
        <v>75</v>
      </c>
      <c r="D368">
        <v>0.1</v>
      </c>
    </row>
    <row r="369" spans="1:4" x14ac:dyDescent="0.45">
      <c r="A369" t="s">
        <v>58</v>
      </c>
      <c r="B369">
        <v>2016</v>
      </c>
      <c r="C369" t="s">
        <v>75</v>
      </c>
      <c r="D369">
        <v>0.01</v>
      </c>
    </row>
    <row r="370" spans="1:4" x14ac:dyDescent="0.45">
      <c r="A370" t="s">
        <v>91</v>
      </c>
      <c r="B370">
        <v>2016</v>
      </c>
      <c r="C370" t="s">
        <v>75</v>
      </c>
      <c r="D370">
        <v>0.31</v>
      </c>
    </row>
    <row r="371" spans="1:4" x14ac:dyDescent="0.45">
      <c r="A371" t="s">
        <v>32</v>
      </c>
      <c r="B371">
        <v>2017</v>
      </c>
      <c r="C371" t="s">
        <v>75</v>
      </c>
      <c r="D371">
        <v>0.18</v>
      </c>
    </row>
    <row r="372" spans="1:4" x14ac:dyDescent="0.45">
      <c r="A372" t="s">
        <v>34</v>
      </c>
      <c r="B372">
        <v>2017</v>
      </c>
      <c r="C372" t="s">
        <v>75</v>
      </c>
    </row>
    <row r="373" spans="1:4" x14ac:dyDescent="0.45">
      <c r="A373" t="s">
        <v>36</v>
      </c>
      <c r="B373">
        <v>2017</v>
      </c>
      <c r="C373" t="s">
        <v>75</v>
      </c>
      <c r="D373">
        <v>0.42</v>
      </c>
    </row>
    <row r="374" spans="1:4" x14ac:dyDescent="0.45">
      <c r="A374" t="s">
        <v>56</v>
      </c>
      <c r="B374">
        <v>2017</v>
      </c>
      <c r="C374" t="s">
        <v>75</v>
      </c>
      <c r="D374">
        <v>0.01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  <c r="D376">
        <v>1.93</v>
      </c>
    </row>
    <row r="377" spans="1:4" x14ac:dyDescent="0.45">
      <c r="A377" t="s">
        <v>32</v>
      </c>
      <c r="B377">
        <v>2017</v>
      </c>
      <c r="C377" t="s">
        <v>75</v>
      </c>
      <c r="D377">
        <v>0.1</v>
      </c>
    </row>
    <row r="378" spans="1:4" x14ac:dyDescent="0.45">
      <c r="A378" t="s">
        <v>58</v>
      </c>
      <c r="B378">
        <v>2017</v>
      </c>
      <c r="C378" t="s">
        <v>75</v>
      </c>
      <c r="D378">
        <v>0.01</v>
      </c>
    </row>
    <row r="379" spans="1:4" x14ac:dyDescent="0.45">
      <c r="A379" t="s">
        <v>91</v>
      </c>
      <c r="B379">
        <v>2017</v>
      </c>
      <c r="C379" t="s">
        <v>75</v>
      </c>
      <c r="D379">
        <v>0.31</v>
      </c>
    </row>
    <row r="380" spans="1:4" x14ac:dyDescent="0.45">
      <c r="A380" t="s">
        <v>32</v>
      </c>
      <c r="B380">
        <v>2018</v>
      </c>
      <c r="C380" t="s">
        <v>75</v>
      </c>
      <c r="D380">
        <v>0.17</v>
      </c>
    </row>
    <row r="381" spans="1:4" x14ac:dyDescent="0.45">
      <c r="A381" t="s">
        <v>34</v>
      </c>
      <c r="B381">
        <v>2018</v>
      </c>
      <c r="C381" t="s">
        <v>75</v>
      </c>
    </row>
    <row r="382" spans="1:4" x14ac:dyDescent="0.45">
      <c r="A382" t="s">
        <v>36</v>
      </c>
      <c r="B382">
        <v>2018</v>
      </c>
      <c r="C382" t="s">
        <v>75</v>
      </c>
      <c r="D382">
        <v>0.42</v>
      </c>
    </row>
    <row r="383" spans="1:4" x14ac:dyDescent="0.45">
      <c r="A383" t="s">
        <v>56</v>
      </c>
      <c r="B383">
        <v>2018</v>
      </c>
      <c r="C383" t="s">
        <v>75</v>
      </c>
      <c r="D383">
        <v>0.01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  <c r="D385">
        <v>2.21</v>
      </c>
    </row>
    <row r="386" spans="1:4" x14ac:dyDescent="0.45">
      <c r="A386" t="s">
        <v>32</v>
      </c>
      <c r="B386">
        <v>2018</v>
      </c>
      <c r="C386" t="s">
        <v>75</v>
      </c>
      <c r="D386">
        <v>0.09</v>
      </c>
    </row>
    <row r="387" spans="1:4" x14ac:dyDescent="0.45">
      <c r="A387" t="s">
        <v>58</v>
      </c>
      <c r="B387">
        <v>2018</v>
      </c>
      <c r="C387" t="s">
        <v>75</v>
      </c>
      <c r="D387">
        <v>0.03</v>
      </c>
    </row>
    <row r="388" spans="1:4" x14ac:dyDescent="0.45">
      <c r="A388" t="s">
        <v>91</v>
      </c>
      <c r="B388">
        <v>2018</v>
      </c>
      <c r="C388" t="s">
        <v>75</v>
      </c>
      <c r="D388">
        <v>0.31</v>
      </c>
    </row>
    <row r="389" spans="1:4" x14ac:dyDescent="0.45">
      <c r="A389" t="s">
        <v>32</v>
      </c>
      <c r="B389">
        <v>2019</v>
      </c>
      <c r="C389" t="s">
        <v>75</v>
      </c>
      <c r="D389">
        <v>0.19</v>
      </c>
    </row>
    <row r="390" spans="1:4" x14ac:dyDescent="0.45">
      <c r="A390" t="s">
        <v>34</v>
      </c>
      <c r="B390">
        <v>2019</v>
      </c>
      <c r="C390" t="s">
        <v>75</v>
      </c>
    </row>
    <row r="391" spans="1:4" x14ac:dyDescent="0.45">
      <c r="A391" t="s">
        <v>36</v>
      </c>
      <c r="B391">
        <v>2019</v>
      </c>
      <c r="C391" t="s">
        <v>75</v>
      </c>
      <c r="D391">
        <v>0.42</v>
      </c>
    </row>
    <row r="392" spans="1:4" x14ac:dyDescent="0.45">
      <c r="A392" t="s">
        <v>56</v>
      </c>
      <c r="B392">
        <v>2019</v>
      </c>
      <c r="C392" t="s">
        <v>75</v>
      </c>
      <c r="D392">
        <v>0.01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  <c r="D394">
        <v>2.0299999999999998</v>
      </c>
    </row>
    <row r="395" spans="1:4" x14ac:dyDescent="0.45">
      <c r="A395" t="s">
        <v>32</v>
      </c>
      <c r="B395">
        <v>2019</v>
      </c>
      <c r="C395" t="s">
        <v>75</v>
      </c>
      <c r="D395">
        <v>0.09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0.32</v>
      </c>
    </row>
    <row r="398" spans="1:4" x14ac:dyDescent="0.45">
      <c r="A398" t="s">
        <v>32</v>
      </c>
      <c r="B398">
        <v>2020</v>
      </c>
      <c r="C398" t="s">
        <v>75</v>
      </c>
      <c r="D398">
        <v>0.21</v>
      </c>
    </row>
    <row r="399" spans="1:4" x14ac:dyDescent="0.45">
      <c r="A399" t="s">
        <v>34</v>
      </c>
      <c r="B399">
        <v>2020</v>
      </c>
      <c r="C399" t="s">
        <v>75</v>
      </c>
    </row>
    <row r="400" spans="1:4" x14ac:dyDescent="0.45">
      <c r="A400" t="s">
        <v>36</v>
      </c>
      <c r="B400">
        <v>2020</v>
      </c>
      <c r="C400" t="s">
        <v>75</v>
      </c>
      <c r="D400">
        <v>0.42</v>
      </c>
    </row>
    <row r="401" spans="1:4" x14ac:dyDescent="0.45">
      <c r="A401" t="s">
        <v>56</v>
      </c>
      <c r="B401">
        <v>2020</v>
      </c>
      <c r="C401" t="s">
        <v>75</v>
      </c>
      <c r="D401">
        <v>0.01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  <c r="D403">
        <v>1.91</v>
      </c>
    </row>
    <row r="404" spans="1:4" x14ac:dyDescent="0.45">
      <c r="A404" t="s">
        <v>32</v>
      </c>
      <c r="B404">
        <v>2020</v>
      </c>
      <c r="C404" t="s">
        <v>75</v>
      </c>
      <c r="D404">
        <v>0.09</v>
      </c>
    </row>
    <row r="405" spans="1:4" x14ac:dyDescent="0.45">
      <c r="A405" t="s">
        <v>58</v>
      </c>
      <c r="B405">
        <v>2020</v>
      </c>
      <c r="C405" t="s">
        <v>75</v>
      </c>
      <c r="D405">
        <v>0.21</v>
      </c>
    </row>
    <row r="406" spans="1:4" x14ac:dyDescent="0.45">
      <c r="A406" t="s">
        <v>91</v>
      </c>
      <c r="B406">
        <v>2020</v>
      </c>
      <c r="C406" t="s">
        <v>75</v>
      </c>
      <c r="D406">
        <v>0.32</v>
      </c>
    </row>
    <row r="407" spans="1:4" x14ac:dyDescent="0.45">
      <c r="A407" t="s">
        <v>32</v>
      </c>
      <c r="B407">
        <v>2021</v>
      </c>
      <c r="C407" t="s">
        <v>75</v>
      </c>
      <c r="D407">
        <v>0.21</v>
      </c>
    </row>
    <row r="408" spans="1:4" x14ac:dyDescent="0.45">
      <c r="A408" t="s">
        <v>34</v>
      </c>
      <c r="B408">
        <v>2021</v>
      </c>
      <c r="C408" t="s">
        <v>75</v>
      </c>
    </row>
    <row r="409" spans="1:4" x14ac:dyDescent="0.45">
      <c r="A409" t="s">
        <v>36</v>
      </c>
      <c r="B409">
        <v>2021</v>
      </c>
      <c r="C409" t="s">
        <v>75</v>
      </c>
      <c r="D409">
        <v>0.42</v>
      </c>
    </row>
    <row r="410" spans="1:4" x14ac:dyDescent="0.45">
      <c r="A410" t="s">
        <v>56</v>
      </c>
      <c r="B410">
        <v>2021</v>
      </c>
      <c r="C410" t="s">
        <v>75</v>
      </c>
      <c r="D410">
        <v>0.01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  <c r="D412">
        <v>1.4</v>
      </c>
    </row>
    <row r="413" spans="1:4" x14ac:dyDescent="0.45">
      <c r="A413" t="s">
        <v>32</v>
      </c>
      <c r="B413">
        <v>2021</v>
      </c>
      <c r="C413" t="s">
        <v>75</v>
      </c>
      <c r="D413">
        <v>0.09</v>
      </c>
    </row>
    <row r="414" spans="1:4" x14ac:dyDescent="0.45">
      <c r="A414" t="s">
        <v>58</v>
      </c>
      <c r="B414">
        <v>2021</v>
      </c>
      <c r="C414" t="s">
        <v>75</v>
      </c>
      <c r="D414">
        <v>0.39</v>
      </c>
    </row>
    <row r="415" spans="1:4" x14ac:dyDescent="0.45">
      <c r="A415" t="s">
        <v>91</v>
      </c>
      <c r="B415">
        <v>2021</v>
      </c>
      <c r="C415" t="s">
        <v>75</v>
      </c>
      <c r="D415">
        <v>0.31</v>
      </c>
    </row>
    <row r="416" spans="1:4" x14ac:dyDescent="0.45">
      <c r="A416" t="s">
        <v>32</v>
      </c>
      <c r="B416">
        <v>2022</v>
      </c>
      <c r="C416" t="s">
        <v>75</v>
      </c>
      <c r="D416">
        <v>0.21</v>
      </c>
    </row>
    <row r="417" spans="1:4" x14ac:dyDescent="0.45">
      <c r="A417" t="s">
        <v>34</v>
      </c>
      <c r="B417">
        <v>2022</v>
      </c>
      <c r="C417" t="s">
        <v>75</v>
      </c>
    </row>
    <row r="418" spans="1:4" x14ac:dyDescent="0.45">
      <c r="A418" t="s">
        <v>36</v>
      </c>
      <c r="B418">
        <v>2022</v>
      </c>
      <c r="C418" t="s">
        <v>75</v>
      </c>
      <c r="D418">
        <v>0.42</v>
      </c>
    </row>
    <row r="419" spans="1:4" x14ac:dyDescent="0.45">
      <c r="A419" t="s">
        <v>56</v>
      </c>
      <c r="B419">
        <v>2022</v>
      </c>
      <c r="C419" t="s">
        <v>75</v>
      </c>
      <c r="D419">
        <v>0.01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  <c r="D421">
        <v>1.4</v>
      </c>
    </row>
    <row r="422" spans="1:4" x14ac:dyDescent="0.45">
      <c r="A422" t="s">
        <v>32</v>
      </c>
      <c r="B422">
        <v>2022</v>
      </c>
      <c r="C422" t="s">
        <v>75</v>
      </c>
      <c r="D422">
        <v>0.09</v>
      </c>
    </row>
    <row r="423" spans="1:4" x14ac:dyDescent="0.45">
      <c r="A423" t="s">
        <v>58</v>
      </c>
      <c r="B423">
        <v>2022</v>
      </c>
      <c r="C423" t="s">
        <v>75</v>
      </c>
      <c r="D423">
        <v>0.52</v>
      </c>
    </row>
    <row r="424" spans="1:4" x14ac:dyDescent="0.45">
      <c r="A424" t="s">
        <v>91</v>
      </c>
      <c r="B424">
        <v>2022</v>
      </c>
      <c r="C424" t="s">
        <v>75</v>
      </c>
      <c r="D424">
        <v>0.32</v>
      </c>
    </row>
    <row r="425" spans="1:4" x14ac:dyDescent="0.45">
      <c r="A425" t="s">
        <v>32</v>
      </c>
      <c r="B425">
        <v>2023</v>
      </c>
      <c r="C425" t="s">
        <v>75</v>
      </c>
      <c r="D425">
        <v>0.21</v>
      </c>
    </row>
    <row r="426" spans="1:4" x14ac:dyDescent="0.45">
      <c r="A426" t="s">
        <v>34</v>
      </c>
      <c r="B426">
        <v>2023</v>
      </c>
      <c r="C426" t="s">
        <v>75</v>
      </c>
    </row>
    <row r="427" spans="1:4" x14ac:dyDescent="0.45">
      <c r="A427" t="s">
        <v>36</v>
      </c>
      <c r="B427">
        <v>2023</v>
      </c>
      <c r="C427" t="s">
        <v>75</v>
      </c>
      <c r="D427">
        <v>0.42</v>
      </c>
    </row>
    <row r="428" spans="1:4" x14ac:dyDescent="0.45">
      <c r="A428" t="s">
        <v>56</v>
      </c>
      <c r="B428">
        <v>2023</v>
      </c>
      <c r="C428" t="s">
        <v>75</v>
      </c>
      <c r="D428">
        <v>0.01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  <c r="D430">
        <v>1.31</v>
      </c>
    </row>
    <row r="431" spans="1:4" x14ac:dyDescent="0.45">
      <c r="A431" t="s">
        <v>32</v>
      </c>
      <c r="B431">
        <v>2023</v>
      </c>
      <c r="C431" t="s">
        <v>75</v>
      </c>
      <c r="D431">
        <v>0.09</v>
      </c>
    </row>
    <row r="432" spans="1:4" x14ac:dyDescent="0.45">
      <c r="A432" t="s">
        <v>58</v>
      </c>
      <c r="B432">
        <v>2023</v>
      </c>
      <c r="C432" t="s">
        <v>75</v>
      </c>
      <c r="D432">
        <v>0.69</v>
      </c>
    </row>
    <row r="433" spans="1:4" x14ac:dyDescent="0.45">
      <c r="A433" t="s">
        <v>91</v>
      </c>
      <c r="B433">
        <v>2023</v>
      </c>
      <c r="C433" t="s">
        <v>75</v>
      </c>
      <c r="D433">
        <v>0.41</v>
      </c>
    </row>
    <row r="434" spans="1:4" x14ac:dyDescent="0.45">
      <c r="A434" t="s">
        <v>32</v>
      </c>
      <c r="B434">
        <v>2000</v>
      </c>
      <c r="C434" t="s">
        <v>76</v>
      </c>
      <c r="D434">
        <v>0</v>
      </c>
    </row>
    <row r="435" spans="1:4" x14ac:dyDescent="0.45">
      <c r="A435" t="s">
        <v>34</v>
      </c>
      <c r="B435">
        <v>2000</v>
      </c>
      <c r="C435" t="s">
        <v>76</v>
      </c>
      <c r="D435">
        <v>0</v>
      </c>
    </row>
    <row r="436" spans="1:4" x14ac:dyDescent="0.45">
      <c r="A436" t="s">
        <v>36</v>
      </c>
      <c r="B436">
        <v>2000</v>
      </c>
      <c r="C436" t="s">
        <v>76</v>
      </c>
      <c r="D436">
        <v>0.2</v>
      </c>
    </row>
    <row r="437" spans="1:4" x14ac:dyDescent="0.45">
      <c r="A437" t="s">
        <v>56</v>
      </c>
      <c r="B437">
        <v>2000</v>
      </c>
      <c r="C437" t="s">
        <v>76</v>
      </c>
      <c r="D437">
        <v>0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5.2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</v>
      </c>
    </row>
    <row r="444" spans="1:4" x14ac:dyDescent="0.45">
      <c r="A444" t="s">
        <v>34</v>
      </c>
      <c r="B444">
        <v>2001</v>
      </c>
      <c r="C444" t="s">
        <v>76</v>
      </c>
      <c r="D444">
        <v>0</v>
      </c>
    </row>
    <row r="445" spans="1:4" x14ac:dyDescent="0.45">
      <c r="A445" t="s">
        <v>36</v>
      </c>
      <c r="B445">
        <v>2001</v>
      </c>
      <c r="C445" t="s">
        <v>76</v>
      </c>
      <c r="D445">
        <v>0.2</v>
      </c>
    </row>
    <row r="446" spans="1:4" x14ac:dyDescent="0.45">
      <c r="A446" t="s">
        <v>56</v>
      </c>
      <c r="B446">
        <v>2001</v>
      </c>
      <c r="C446" t="s">
        <v>76</v>
      </c>
      <c r="D446">
        <v>0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5.18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</v>
      </c>
    </row>
    <row r="453" spans="1:4" x14ac:dyDescent="0.45">
      <c r="A453" t="s">
        <v>34</v>
      </c>
      <c r="B453">
        <v>2002</v>
      </c>
      <c r="C453" t="s">
        <v>76</v>
      </c>
      <c r="D453">
        <v>0</v>
      </c>
    </row>
    <row r="454" spans="1:4" x14ac:dyDescent="0.45">
      <c r="A454" t="s">
        <v>36</v>
      </c>
      <c r="B454">
        <v>2002</v>
      </c>
      <c r="C454" t="s">
        <v>76</v>
      </c>
      <c r="D454">
        <v>0.17</v>
      </c>
    </row>
    <row r="455" spans="1:4" x14ac:dyDescent="0.45">
      <c r="A455" t="s">
        <v>56</v>
      </c>
      <c r="B455">
        <v>2002</v>
      </c>
      <c r="C455" t="s">
        <v>76</v>
      </c>
      <c r="D455">
        <v>0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5.24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0.01</v>
      </c>
    </row>
    <row r="462" spans="1:4" x14ac:dyDescent="0.45">
      <c r="A462" t="s">
        <v>34</v>
      </c>
      <c r="B462">
        <v>2003</v>
      </c>
      <c r="C462" t="s">
        <v>76</v>
      </c>
      <c r="D462">
        <v>0</v>
      </c>
    </row>
    <row r="463" spans="1:4" x14ac:dyDescent="0.45">
      <c r="A463" t="s">
        <v>36</v>
      </c>
      <c r="B463">
        <v>2003</v>
      </c>
      <c r="C463" t="s">
        <v>76</v>
      </c>
      <c r="D463">
        <v>0.16</v>
      </c>
    </row>
    <row r="464" spans="1:4" x14ac:dyDescent="0.45">
      <c r="A464" t="s">
        <v>56</v>
      </c>
      <c r="B464">
        <v>2003</v>
      </c>
      <c r="C464" t="s">
        <v>76</v>
      </c>
      <c r="D464">
        <v>0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6.32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0.01</v>
      </c>
    </row>
    <row r="471" spans="1:4" x14ac:dyDescent="0.45">
      <c r="A471" t="s">
        <v>34</v>
      </c>
      <c r="B471">
        <v>2004</v>
      </c>
      <c r="C471" t="s">
        <v>76</v>
      </c>
      <c r="D471">
        <v>0</v>
      </c>
    </row>
    <row r="472" spans="1:4" x14ac:dyDescent="0.45">
      <c r="A472" t="s">
        <v>36</v>
      </c>
      <c r="B472">
        <v>2004</v>
      </c>
      <c r="C472" t="s">
        <v>76</v>
      </c>
      <c r="D472">
        <v>0.16</v>
      </c>
    </row>
    <row r="473" spans="1:4" x14ac:dyDescent="0.45">
      <c r="A473" t="s">
        <v>56</v>
      </c>
      <c r="B473">
        <v>2004</v>
      </c>
      <c r="C473" t="s">
        <v>76</v>
      </c>
      <c r="D473">
        <v>0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6.42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0.01</v>
      </c>
    </row>
    <row r="480" spans="1:4" x14ac:dyDescent="0.45">
      <c r="A480" t="s">
        <v>34</v>
      </c>
      <c r="B480">
        <v>2005</v>
      </c>
      <c r="C480" t="s">
        <v>76</v>
      </c>
      <c r="D480">
        <v>0</v>
      </c>
    </row>
    <row r="481" spans="1:4" x14ac:dyDescent="0.45">
      <c r="A481" t="s">
        <v>36</v>
      </c>
      <c r="B481">
        <v>2005</v>
      </c>
      <c r="C481" t="s">
        <v>76</v>
      </c>
      <c r="D481">
        <v>0.18</v>
      </c>
    </row>
    <row r="482" spans="1:4" x14ac:dyDescent="0.45">
      <c r="A482" t="s">
        <v>56</v>
      </c>
      <c r="B482">
        <v>2005</v>
      </c>
      <c r="C482" t="s">
        <v>76</v>
      </c>
      <c r="D482">
        <v>0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6.28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</v>
      </c>
    </row>
    <row r="488" spans="1:4" x14ac:dyDescent="0.45">
      <c r="A488" t="s">
        <v>32</v>
      </c>
      <c r="B488">
        <v>2006</v>
      </c>
      <c r="C488" t="s">
        <v>76</v>
      </c>
      <c r="D488">
        <v>0.01</v>
      </c>
    </row>
    <row r="489" spans="1:4" x14ac:dyDescent="0.45">
      <c r="A489" t="s">
        <v>34</v>
      </c>
      <c r="B489">
        <v>2006</v>
      </c>
      <c r="C489" t="s">
        <v>76</v>
      </c>
      <c r="D489">
        <v>0</v>
      </c>
    </row>
    <row r="490" spans="1:4" x14ac:dyDescent="0.45">
      <c r="A490" t="s">
        <v>36</v>
      </c>
      <c r="B490">
        <v>2006</v>
      </c>
      <c r="C490" t="s">
        <v>76</v>
      </c>
      <c r="D490">
        <v>0.18</v>
      </c>
    </row>
    <row r="491" spans="1:4" x14ac:dyDescent="0.45">
      <c r="A491" t="s">
        <v>56</v>
      </c>
      <c r="B491">
        <v>2006</v>
      </c>
      <c r="C491" t="s">
        <v>76</v>
      </c>
      <c r="D491">
        <v>0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5.96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</v>
      </c>
    </row>
    <row r="497" spans="1:4" x14ac:dyDescent="0.45">
      <c r="A497" t="s">
        <v>32</v>
      </c>
      <c r="B497">
        <v>2007</v>
      </c>
      <c r="C497" t="s">
        <v>76</v>
      </c>
      <c r="D497">
        <v>0.01</v>
      </c>
    </row>
    <row r="498" spans="1:4" x14ac:dyDescent="0.45">
      <c r="A498" t="s">
        <v>34</v>
      </c>
      <c r="B498">
        <v>2007</v>
      </c>
      <c r="C498" t="s">
        <v>76</v>
      </c>
      <c r="D498">
        <v>0</v>
      </c>
    </row>
    <row r="499" spans="1:4" x14ac:dyDescent="0.45">
      <c r="A499" t="s">
        <v>36</v>
      </c>
      <c r="B499">
        <v>2007</v>
      </c>
      <c r="C499" t="s">
        <v>76</v>
      </c>
      <c r="D499">
        <v>0.11</v>
      </c>
    </row>
    <row r="500" spans="1:4" x14ac:dyDescent="0.45">
      <c r="A500" t="s">
        <v>56</v>
      </c>
      <c r="B500">
        <v>2007</v>
      </c>
      <c r="C500" t="s">
        <v>76</v>
      </c>
      <c r="D500">
        <v>0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7.7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</v>
      </c>
    </row>
    <row r="506" spans="1:4" x14ac:dyDescent="0.45">
      <c r="A506" t="s">
        <v>32</v>
      </c>
      <c r="B506">
        <v>2008</v>
      </c>
      <c r="C506" t="s">
        <v>76</v>
      </c>
      <c r="D506">
        <v>0.01</v>
      </c>
    </row>
    <row r="507" spans="1:4" x14ac:dyDescent="0.45">
      <c r="A507" t="s">
        <v>34</v>
      </c>
      <c r="B507">
        <v>2008</v>
      </c>
      <c r="C507" t="s">
        <v>76</v>
      </c>
      <c r="D507">
        <v>0</v>
      </c>
    </row>
    <row r="508" spans="1:4" x14ac:dyDescent="0.45">
      <c r="A508" t="s">
        <v>36</v>
      </c>
      <c r="B508">
        <v>2008</v>
      </c>
      <c r="C508" t="s">
        <v>76</v>
      </c>
      <c r="D508">
        <v>0.14000000000000001</v>
      </c>
    </row>
    <row r="509" spans="1:4" x14ac:dyDescent="0.45">
      <c r="A509" t="s">
        <v>56</v>
      </c>
      <c r="B509">
        <v>2008</v>
      </c>
      <c r="C509" t="s">
        <v>76</v>
      </c>
      <c r="D509">
        <v>0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6.55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</v>
      </c>
    </row>
    <row r="515" spans="1:4" x14ac:dyDescent="0.45">
      <c r="A515" t="s">
        <v>32</v>
      </c>
      <c r="B515">
        <v>2009</v>
      </c>
      <c r="C515" t="s">
        <v>76</v>
      </c>
      <c r="D515">
        <v>7.0000000000000007E-2</v>
      </c>
    </row>
    <row r="516" spans="1:4" x14ac:dyDescent="0.45">
      <c r="A516" t="s">
        <v>34</v>
      </c>
      <c r="B516">
        <v>2009</v>
      </c>
      <c r="C516" t="s">
        <v>76</v>
      </c>
      <c r="D516">
        <v>0</v>
      </c>
    </row>
    <row r="517" spans="1:4" x14ac:dyDescent="0.45">
      <c r="A517" t="s">
        <v>36</v>
      </c>
      <c r="B517">
        <v>2009</v>
      </c>
      <c r="C517" t="s">
        <v>76</v>
      </c>
      <c r="D517">
        <v>0.04</v>
      </c>
    </row>
    <row r="518" spans="1:4" x14ac:dyDescent="0.45">
      <c r="A518" t="s">
        <v>56</v>
      </c>
      <c r="B518">
        <v>2009</v>
      </c>
      <c r="C518" t="s">
        <v>76</v>
      </c>
      <c r="D518">
        <v>0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5.35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</v>
      </c>
    </row>
    <row r="524" spans="1:4" x14ac:dyDescent="0.45">
      <c r="A524" t="s">
        <v>32</v>
      </c>
      <c r="B524">
        <v>2010</v>
      </c>
      <c r="C524" t="s">
        <v>76</v>
      </c>
      <c r="D524">
        <v>0.16</v>
      </c>
    </row>
    <row r="525" spans="1:4" x14ac:dyDescent="0.45">
      <c r="A525" t="s">
        <v>34</v>
      </c>
      <c r="B525">
        <v>2010</v>
      </c>
      <c r="C525" t="s">
        <v>76</v>
      </c>
      <c r="D525">
        <v>0</v>
      </c>
    </row>
    <row r="526" spans="1:4" x14ac:dyDescent="0.45">
      <c r="A526" t="s">
        <v>36</v>
      </c>
      <c r="B526">
        <v>2010</v>
      </c>
      <c r="C526" t="s">
        <v>76</v>
      </c>
      <c r="D526">
        <v>0.1</v>
      </c>
    </row>
    <row r="527" spans="1:4" x14ac:dyDescent="0.45">
      <c r="A527" t="s">
        <v>56</v>
      </c>
      <c r="B527">
        <v>2010</v>
      </c>
      <c r="C527" t="s">
        <v>76</v>
      </c>
      <c r="D527">
        <v>0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7.65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</v>
      </c>
    </row>
    <row r="533" spans="1:4" x14ac:dyDescent="0.45">
      <c r="A533" t="s">
        <v>32</v>
      </c>
      <c r="B533">
        <v>2011</v>
      </c>
      <c r="C533" t="s">
        <v>76</v>
      </c>
      <c r="D533">
        <v>0.17</v>
      </c>
    </row>
    <row r="534" spans="1:4" x14ac:dyDescent="0.45">
      <c r="A534" t="s">
        <v>34</v>
      </c>
      <c r="B534">
        <v>2011</v>
      </c>
      <c r="C534" t="s">
        <v>76</v>
      </c>
      <c r="D534">
        <v>0</v>
      </c>
    </row>
    <row r="535" spans="1:4" x14ac:dyDescent="0.45">
      <c r="A535" t="s">
        <v>36</v>
      </c>
      <c r="B535">
        <v>2011</v>
      </c>
      <c r="C535" t="s">
        <v>76</v>
      </c>
      <c r="D535">
        <v>0.08</v>
      </c>
    </row>
    <row r="536" spans="1:4" x14ac:dyDescent="0.45">
      <c r="A536" t="s">
        <v>56</v>
      </c>
      <c r="B536">
        <v>2011</v>
      </c>
      <c r="C536" t="s">
        <v>76</v>
      </c>
      <c r="D536">
        <v>0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7.54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</v>
      </c>
    </row>
    <row r="542" spans="1:4" x14ac:dyDescent="0.45">
      <c r="A542" t="s">
        <v>32</v>
      </c>
      <c r="B542">
        <v>2012</v>
      </c>
      <c r="C542" t="s">
        <v>76</v>
      </c>
      <c r="D542">
        <v>0.22</v>
      </c>
    </row>
    <row r="543" spans="1:4" x14ac:dyDescent="0.45">
      <c r="A543" t="s">
        <v>34</v>
      </c>
      <c r="B543">
        <v>2012</v>
      </c>
      <c r="C543" t="s">
        <v>76</v>
      </c>
      <c r="D543">
        <v>0</v>
      </c>
    </row>
    <row r="544" spans="1:4" x14ac:dyDescent="0.45">
      <c r="A544" t="s">
        <v>36</v>
      </c>
      <c r="B544">
        <v>2012</v>
      </c>
      <c r="C544" t="s">
        <v>76</v>
      </c>
      <c r="D544">
        <v>0.04</v>
      </c>
    </row>
    <row r="545" spans="1:4" x14ac:dyDescent="0.45">
      <c r="A545" t="s">
        <v>56</v>
      </c>
      <c r="B545">
        <v>2012</v>
      </c>
      <c r="C545" t="s">
        <v>76</v>
      </c>
      <c r="D545">
        <v>0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6.82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0.01</v>
      </c>
    </row>
    <row r="551" spans="1:4" x14ac:dyDescent="0.45">
      <c r="A551" t="s">
        <v>32</v>
      </c>
      <c r="B551">
        <v>2013</v>
      </c>
      <c r="C551" t="s">
        <v>76</v>
      </c>
      <c r="D551">
        <v>0.14000000000000001</v>
      </c>
    </row>
    <row r="552" spans="1:4" x14ac:dyDescent="0.45">
      <c r="A552" t="s">
        <v>34</v>
      </c>
      <c r="B552">
        <v>2013</v>
      </c>
      <c r="C552" t="s">
        <v>76</v>
      </c>
      <c r="D552">
        <v>0.01</v>
      </c>
    </row>
    <row r="553" spans="1:4" x14ac:dyDescent="0.45">
      <c r="A553" t="s">
        <v>36</v>
      </c>
      <c r="B553">
        <v>2013</v>
      </c>
      <c r="C553" t="s">
        <v>76</v>
      </c>
      <c r="D553">
        <v>0.03</v>
      </c>
    </row>
    <row r="554" spans="1:4" x14ac:dyDescent="0.45">
      <c r="A554" t="s">
        <v>56</v>
      </c>
      <c r="B554">
        <v>2013</v>
      </c>
      <c r="C554" t="s">
        <v>76</v>
      </c>
      <c r="D554">
        <v>0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7.86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0.01</v>
      </c>
    </row>
    <row r="560" spans="1:4" x14ac:dyDescent="0.45">
      <c r="A560" t="s">
        <v>32</v>
      </c>
      <c r="B560">
        <v>2014</v>
      </c>
      <c r="C560" t="s">
        <v>76</v>
      </c>
      <c r="D560">
        <v>0.16</v>
      </c>
    </row>
    <row r="561" spans="1:4" x14ac:dyDescent="0.45">
      <c r="A561" t="s">
        <v>34</v>
      </c>
      <c r="B561">
        <v>2014</v>
      </c>
      <c r="C561" t="s">
        <v>76</v>
      </c>
      <c r="D561">
        <v>0.01</v>
      </c>
    </row>
    <row r="562" spans="1:4" x14ac:dyDescent="0.45">
      <c r="A562" t="s">
        <v>36</v>
      </c>
      <c r="B562">
        <v>2014</v>
      </c>
      <c r="C562" t="s">
        <v>76</v>
      </c>
      <c r="D562">
        <v>0.02</v>
      </c>
    </row>
    <row r="563" spans="1:4" x14ac:dyDescent="0.45">
      <c r="A563" t="s">
        <v>56</v>
      </c>
      <c r="B563">
        <v>2014</v>
      </c>
      <c r="C563" t="s">
        <v>76</v>
      </c>
      <c r="D563">
        <v>0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7.22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0.01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0</v>
      </c>
    </row>
    <row r="571" spans="1:4" x14ac:dyDescent="0.45">
      <c r="A571" t="s">
        <v>36</v>
      </c>
      <c r="B571">
        <v>2015</v>
      </c>
      <c r="C571" t="s">
        <v>76</v>
      </c>
      <c r="D571">
        <v>0.02</v>
      </c>
    </row>
    <row r="572" spans="1:4" x14ac:dyDescent="0.45">
      <c r="A572" t="s">
        <v>56</v>
      </c>
      <c r="B572">
        <v>2015</v>
      </c>
      <c r="C572" t="s">
        <v>76</v>
      </c>
      <c r="D572">
        <v>0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5.61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0.01</v>
      </c>
    </row>
    <row r="578" spans="1:4" x14ac:dyDescent="0.45">
      <c r="A578" t="s">
        <v>32</v>
      </c>
      <c r="B578">
        <v>2016</v>
      </c>
      <c r="C578" t="s">
        <v>76</v>
      </c>
      <c r="D578">
        <v>0.21</v>
      </c>
    </row>
    <row r="579" spans="1:4" x14ac:dyDescent="0.45">
      <c r="A579" t="s">
        <v>34</v>
      </c>
      <c r="B579">
        <v>2016</v>
      </c>
      <c r="C579" t="s">
        <v>76</v>
      </c>
      <c r="D579">
        <v>0</v>
      </c>
    </row>
    <row r="580" spans="1:4" x14ac:dyDescent="0.45">
      <c r="A580" t="s">
        <v>36</v>
      </c>
      <c r="B580">
        <v>2016</v>
      </c>
      <c r="C580" t="s">
        <v>76</v>
      </c>
      <c r="D580">
        <v>0.02</v>
      </c>
    </row>
    <row r="581" spans="1:4" x14ac:dyDescent="0.45">
      <c r="A581" t="s">
        <v>56</v>
      </c>
      <c r="B581">
        <v>2016</v>
      </c>
      <c r="C581" t="s">
        <v>76</v>
      </c>
      <c r="D581">
        <v>0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6.92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0.01</v>
      </c>
    </row>
    <row r="587" spans="1:4" x14ac:dyDescent="0.45">
      <c r="A587" t="s">
        <v>32</v>
      </c>
      <c r="B587">
        <v>2017</v>
      </c>
      <c r="C587" t="s">
        <v>76</v>
      </c>
      <c r="D587">
        <v>0.24</v>
      </c>
    </row>
    <row r="588" spans="1:4" x14ac:dyDescent="0.45">
      <c r="A588" t="s">
        <v>34</v>
      </c>
      <c r="B588">
        <v>2017</v>
      </c>
      <c r="C588" t="s">
        <v>76</v>
      </c>
      <c r="D588">
        <v>0.02</v>
      </c>
    </row>
    <row r="589" spans="1:4" x14ac:dyDescent="0.45">
      <c r="A589" t="s">
        <v>36</v>
      </c>
      <c r="B589">
        <v>2017</v>
      </c>
      <c r="C589" t="s">
        <v>76</v>
      </c>
      <c r="D589">
        <v>0.02</v>
      </c>
    </row>
    <row r="590" spans="1:4" x14ac:dyDescent="0.45">
      <c r="A590" t="s">
        <v>56</v>
      </c>
      <c r="B590">
        <v>2017</v>
      </c>
      <c r="C590" t="s">
        <v>76</v>
      </c>
      <c r="D590">
        <v>0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7.38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0.01</v>
      </c>
    </row>
    <row r="596" spans="1:4" x14ac:dyDescent="0.45">
      <c r="A596" t="s">
        <v>32</v>
      </c>
      <c r="B596">
        <v>2018</v>
      </c>
      <c r="C596" t="s">
        <v>76</v>
      </c>
      <c r="D596">
        <v>0.28000000000000003</v>
      </c>
    </row>
    <row r="597" spans="1:4" x14ac:dyDescent="0.45">
      <c r="A597" t="s">
        <v>34</v>
      </c>
      <c r="B597">
        <v>2018</v>
      </c>
      <c r="C597" t="s">
        <v>76</v>
      </c>
      <c r="D597">
        <v>0</v>
      </c>
    </row>
    <row r="598" spans="1:4" x14ac:dyDescent="0.45">
      <c r="A598" t="s">
        <v>36</v>
      </c>
      <c r="B598">
        <v>2018</v>
      </c>
      <c r="C598" t="s">
        <v>76</v>
      </c>
      <c r="D598">
        <v>0.02</v>
      </c>
    </row>
    <row r="599" spans="1:4" x14ac:dyDescent="0.45">
      <c r="A599" t="s">
        <v>56</v>
      </c>
      <c r="B599">
        <v>2018</v>
      </c>
      <c r="C599" t="s">
        <v>76</v>
      </c>
      <c r="D599">
        <v>0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6.79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0.01</v>
      </c>
    </row>
    <row r="605" spans="1:4" x14ac:dyDescent="0.45">
      <c r="A605" t="s">
        <v>32</v>
      </c>
      <c r="B605">
        <v>2019</v>
      </c>
      <c r="C605" t="s">
        <v>76</v>
      </c>
      <c r="D605">
        <v>0.28999999999999998</v>
      </c>
    </row>
    <row r="606" spans="1:4" x14ac:dyDescent="0.45">
      <c r="A606" t="s">
        <v>34</v>
      </c>
      <c r="B606">
        <v>2019</v>
      </c>
      <c r="C606" t="s">
        <v>76</v>
      </c>
      <c r="D606">
        <v>0</v>
      </c>
    </row>
    <row r="607" spans="1:4" x14ac:dyDescent="0.45">
      <c r="A607" t="s">
        <v>36</v>
      </c>
      <c r="B607">
        <v>2019</v>
      </c>
      <c r="C607" t="s">
        <v>76</v>
      </c>
      <c r="D607">
        <v>0.01</v>
      </c>
    </row>
    <row r="608" spans="1:4" x14ac:dyDescent="0.45">
      <c r="A608" t="s">
        <v>56</v>
      </c>
      <c r="B608">
        <v>2019</v>
      </c>
      <c r="C608" t="s">
        <v>76</v>
      </c>
      <c r="D608">
        <v>0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3.57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</v>
      </c>
    </row>
    <row r="613" spans="1:4" x14ac:dyDescent="0.45">
      <c r="A613" t="s">
        <v>91</v>
      </c>
      <c r="B613">
        <v>2019</v>
      </c>
      <c r="C613" t="s">
        <v>76</v>
      </c>
      <c r="D613">
        <v>0.01</v>
      </c>
    </row>
    <row r="614" spans="1:4" x14ac:dyDescent="0.45">
      <c r="A614" t="s">
        <v>32</v>
      </c>
      <c r="B614">
        <v>2020</v>
      </c>
      <c r="C614" t="s">
        <v>76</v>
      </c>
      <c r="D614">
        <v>0.4</v>
      </c>
    </row>
    <row r="615" spans="1:4" x14ac:dyDescent="0.45">
      <c r="A615" t="s">
        <v>34</v>
      </c>
      <c r="B615">
        <v>2020</v>
      </c>
      <c r="C615" t="s">
        <v>76</v>
      </c>
      <c r="D615">
        <v>0</v>
      </c>
    </row>
    <row r="616" spans="1:4" x14ac:dyDescent="0.45">
      <c r="A616" t="s">
        <v>36</v>
      </c>
      <c r="B616">
        <v>2020</v>
      </c>
      <c r="C616" t="s">
        <v>76</v>
      </c>
      <c r="D616">
        <v>0.01</v>
      </c>
    </row>
    <row r="617" spans="1:4" x14ac:dyDescent="0.45">
      <c r="A617" t="s">
        <v>56</v>
      </c>
      <c r="B617">
        <v>2020</v>
      </c>
      <c r="C617" t="s">
        <v>76</v>
      </c>
      <c r="D617">
        <v>0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2.0299999999999998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0.01</v>
      </c>
    </row>
    <row r="623" spans="1:4" x14ac:dyDescent="0.45">
      <c r="A623" t="s">
        <v>32</v>
      </c>
      <c r="B623">
        <v>2021</v>
      </c>
      <c r="C623" t="s">
        <v>76</v>
      </c>
      <c r="D623">
        <v>0.38</v>
      </c>
    </row>
    <row r="624" spans="1:4" x14ac:dyDescent="0.45">
      <c r="A624" t="s">
        <v>34</v>
      </c>
      <c r="B624">
        <v>2021</v>
      </c>
      <c r="C624" t="s">
        <v>76</v>
      </c>
      <c r="D624">
        <v>0</v>
      </c>
    </row>
    <row r="625" spans="1:4" x14ac:dyDescent="0.45">
      <c r="A625" t="s">
        <v>36</v>
      </c>
      <c r="B625">
        <v>2021</v>
      </c>
      <c r="C625" t="s">
        <v>76</v>
      </c>
      <c r="D625">
        <v>0.01</v>
      </c>
    </row>
    <row r="626" spans="1:4" x14ac:dyDescent="0.45">
      <c r="A626" t="s">
        <v>56</v>
      </c>
      <c r="B626">
        <v>2021</v>
      </c>
      <c r="C626" t="s">
        <v>76</v>
      </c>
      <c r="D626">
        <v>0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2.82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0.02</v>
      </c>
    </row>
    <row r="631" spans="1:4" x14ac:dyDescent="0.45">
      <c r="A631" t="s">
        <v>91</v>
      </c>
      <c r="B631">
        <v>2021</v>
      </c>
      <c r="C631" t="s">
        <v>76</v>
      </c>
      <c r="D631">
        <v>0.01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0</v>
      </c>
    </row>
    <row r="634" spans="1:4" x14ac:dyDescent="0.45">
      <c r="A634" t="s">
        <v>36</v>
      </c>
      <c r="B634">
        <v>2022</v>
      </c>
      <c r="C634" t="s">
        <v>76</v>
      </c>
      <c r="D634">
        <v>0.02</v>
      </c>
    </row>
    <row r="635" spans="1:4" x14ac:dyDescent="0.45">
      <c r="A635" t="s">
        <v>56</v>
      </c>
      <c r="B635">
        <v>2022</v>
      </c>
      <c r="C635" t="s">
        <v>76</v>
      </c>
      <c r="D635">
        <v>0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3.96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0.03</v>
      </c>
    </row>
    <row r="640" spans="1:4" x14ac:dyDescent="0.45">
      <c r="A640" t="s">
        <v>91</v>
      </c>
      <c r="B640">
        <v>2022</v>
      </c>
      <c r="C640" t="s">
        <v>76</v>
      </c>
      <c r="D640">
        <v>0.01</v>
      </c>
    </row>
    <row r="641" spans="1:4" x14ac:dyDescent="0.45">
      <c r="A641" t="s">
        <v>32</v>
      </c>
      <c r="B641">
        <v>2023</v>
      </c>
      <c r="C641" t="s">
        <v>76</v>
      </c>
      <c r="D641">
        <v>0.28999999999999998</v>
      </c>
    </row>
    <row r="642" spans="1:4" x14ac:dyDescent="0.45">
      <c r="A642" t="s">
        <v>34</v>
      </c>
      <c r="B642">
        <v>2023</v>
      </c>
      <c r="C642" t="s">
        <v>76</v>
      </c>
      <c r="D642">
        <v>0</v>
      </c>
    </row>
    <row r="643" spans="1:4" x14ac:dyDescent="0.45">
      <c r="A643" t="s">
        <v>36</v>
      </c>
      <c r="B643">
        <v>2023</v>
      </c>
      <c r="C643" t="s">
        <v>76</v>
      </c>
      <c r="D643">
        <v>0.02</v>
      </c>
    </row>
    <row r="644" spans="1:4" x14ac:dyDescent="0.45">
      <c r="A644" t="s">
        <v>56</v>
      </c>
      <c r="B644">
        <v>2023</v>
      </c>
      <c r="C644" t="s">
        <v>76</v>
      </c>
      <c r="D644">
        <v>0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2.34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0.04</v>
      </c>
    </row>
    <row r="649" spans="1:4" x14ac:dyDescent="0.45">
      <c r="A649" t="s">
        <v>91</v>
      </c>
      <c r="B649">
        <v>2023</v>
      </c>
      <c r="C649" t="s">
        <v>76</v>
      </c>
      <c r="D649">
        <v>0.01</v>
      </c>
    </row>
    <row r="650" spans="1:4" x14ac:dyDescent="0.45">
      <c r="A650" t="s">
        <v>59</v>
      </c>
      <c r="B650">
        <v>2000</v>
      </c>
      <c r="C650" t="s">
        <v>74</v>
      </c>
      <c r="D650">
        <v>1.3</v>
      </c>
    </row>
    <row r="651" spans="1:4" x14ac:dyDescent="0.45">
      <c r="A651" t="s">
        <v>60</v>
      </c>
      <c r="B651">
        <v>2000</v>
      </c>
      <c r="C651" t="s">
        <v>74</v>
      </c>
      <c r="D651">
        <v>0.4</v>
      </c>
    </row>
    <row r="652" spans="1:4" x14ac:dyDescent="0.45">
      <c r="A652" t="s">
        <v>59</v>
      </c>
      <c r="B652">
        <v>2001</v>
      </c>
      <c r="C652" t="s">
        <v>74</v>
      </c>
      <c r="D652">
        <v>1.1000000000000001</v>
      </c>
    </row>
    <row r="653" spans="1:4" x14ac:dyDescent="0.45">
      <c r="A653" t="s">
        <v>60</v>
      </c>
      <c r="B653">
        <v>2001</v>
      </c>
      <c r="C653" t="s">
        <v>74</v>
      </c>
      <c r="D653">
        <v>0.5</v>
      </c>
    </row>
    <row r="654" spans="1:4" x14ac:dyDescent="0.45">
      <c r="A654" t="s">
        <v>59</v>
      </c>
      <c r="B654">
        <v>2002</v>
      </c>
      <c r="C654" t="s">
        <v>74</v>
      </c>
      <c r="D654">
        <v>1.1000000000000001</v>
      </c>
    </row>
    <row r="655" spans="1:4" x14ac:dyDescent="0.45">
      <c r="A655" t="s">
        <v>60</v>
      </c>
      <c r="B655">
        <v>2002</v>
      </c>
      <c r="C655" t="s">
        <v>74</v>
      </c>
      <c r="D655">
        <v>0.4</v>
      </c>
    </row>
    <row r="656" spans="1:4" x14ac:dyDescent="0.45">
      <c r="A656" t="s">
        <v>59</v>
      </c>
      <c r="B656">
        <v>2003</v>
      </c>
      <c r="C656" t="s">
        <v>74</v>
      </c>
      <c r="D656">
        <v>2</v>
      </c>
    </row>
    <row r="657" spans="1:4" x14ac:dyDescent="0.45">
      <c r="A657" t="s">
        <v>60</v>
      </c>
      <c r="B657">
        <v>2003</v>
      </c>
      <c r="C657" t="s">
        <v>74</v>
      </c>
      <c r="D657">
        <v>0.1</v>
      </c>
    </row>
    <row r="658" spans="1:4" x14ac:dyDescent="0.45">
      <c r="A658" t="s">
        <v>59</v>
      </c>
      <c r="B658">
        <v>2004</v>
      </c>
      <c r="C658" t="s">
        <v>74</v>
      </c>
      <c r="D658">
        <v>2.1</v>
      </c>
    </row>
    <row r="659" spans="1:4" x14ac:dyDescent="0.45">
      <c r="A659" t="s">
        <v>60</v>
      </c>
      <c r="B659">
        <v>2004</v>
      </c>
      <c r="C659" t="s">
        <v>74</v>
      </c>
      <c r="D659">
        <v>0.3</v>
      </c>
    </row>
    <row r="660" spans="1:4" x14ac:dyDescent="0.45">
      <c r="A660" t="s">
        <v>59</v>
      </c>
      <c r="B660">
        <v>2005</v>
      </c>
      <c r="C660" t="s">
        <v>74</v>
      </c>
      <c r="D660">
        <v>2</v>
      </c>
    </row>
    <row r="661" spans="1:4" x14ac:dyDescent="0.45">
      <c r="A661" t="s">
        <v>60</v>
      </c>
      <c r="B661">
        <v>2005</v>
      </c>
      <c r="C661" t="s">
        <v>74</v>
      </c>
      <c r="D661">
        <v>0.3</v>
      </c>
    </row>
    <row r="662" spans="1:4" x14ac:dyDescent="0.45">
      <c r="A662" t="s">
        <v>59</v>
      </c>
      <c r="B662">
        <v>2006</v>
      </c>
      <c r="C662" t="s">
        <v>74</v>
      </c>
      <c r="D662">
        <v>1</v>
      </c>
    </row>
    <row r="663" spans="1:4" x14ac:dyDescent="0.45">
      <c r="A663" t="s">
        <v>60</v>
      </c>
      <c r="B663">
        <v>2006</v>
      </c>
      <c r="C663" t="s">
        <v>74</v>
      </c>
      <c r="D663">
        <v>0.3</v>
      </c>
    </row>
    <row r="664" spans="1:4" x14ac:dyDescent="0.45">
      <c r="A664" t="s">
        <v>59</v>
      </c>
      <c r="B664">
        <v>2007</v>
      </c>
      <c r="C664" t="s">
        <v>74</v>
      </c>
      <c r="D664">
        <v>2.8</v>
      </c>
    </row>
    <row r="665" spans="1:4" x14ac:dyDescent="0.45">
      <c r="A665" t="s">
        <v>60</v>
      </c>
      <c r="B665">
        <v>2007</v>
      </c>
      <c r="C665" t="s">
        <v>74</v>
      </c>
      <c r="D665">
        <v>0.3</v>
      </c>
    </row>
    <row r="666" spans="1:4" x14ac:dyDescent="0.45">
      <c r="A666" t="s">
        <v>59</v>
      </c>
      <c r="B666">
        <v>2008</v>
      </c>
      <c r="C666" t="s">
        <v>74</v>
      </c>
      <c r="D666">
        <v>2.2999999999999998</v>
      </c>
    </row>
    <row r="667" spans="1:4" x14ac:dyDescent="0.45">
      <c r="A667" t="s">
        <v>60</v>
      </c>
      <c r="B667">
        <v>2008</v>
      </c>
      <c r="C667" t="s">
        <v>74</v>
      </c>
      <c r="D667">
        <v>1.4</v>
      </c>
    </row>
    <row r="668" spans="1:4" x14ac:dyDescent="0.45">
      <c r="A668" t="s">
        <v>59</v>
      </c>
      <c r="B668">
        <v>2009</v>
      </c>
      <c r="C668" t="s">
        <v>74</v>
      </c>
      <c r="D668">
        <v>2.9</v>
      </c>
    </row>
    <row r="669" spans="1:4" x14ac:dyDescent="0.45">
      <c r="A669" t="s">
        <v>60</v>
      </c>
      <c r="B669">
        <v>2009</v>
      </c>
      <c r="C669" t="s">
        <v>74</v>
      </c>
      <c r="D669">
        <v>3</v>
      </c>
    </row>
    <row r="670" spans="1:4" x14ac:dyDescent="0.45">
      <c r="A670" t="s">
        <v>59</v>
      </c>
      <c r="B670">
        <v>2010</v>
      </c>
      <c r="C670" t="s">
        <v>74</v>
      </c>
      <c r="D670">
        <v>4.4000000000000004</v>
      </c>
    </row>
    <row r="671" spans="1:4" x14ac:dyDescent="0.45">
      <c r="A671" t="s">
        <v>60</v>
      </c>
      <c r="B671">
        <v>2010</v>
      </c>
      <c r="C671" t="s">
        <v>74</v>
      </c>
      <c r="D671">
        <v>1.1000000000000001</v>
      </c>
    </row>
    <row r="672" spans="1:4" x14ac:dyDescent="0.45">
      <c r="A672" t="s">
        <v>59</v>
      </c>
      <c r="B672">
        <v>2011</v>
      </c>
      <c r="C672" t="s">
        <v>74</v>
      </c>
      <c r="D672">
        <v>5.3</v>
      </c>
    </row>
    <row r="673" spans="1:4" x14ac:dyDescent="0.45">
      <c r="A673" t="s">
        <v>60</v>
      </c>
      <c r="B673">
        <v>2011</v>
      </c>
      <c r="C673" t="s">
        <v>74</v>
      </c>
      <c r="D673">
        <v>1.7</v>
      </c>
    </row>
    <row r="674" spans="1:4" x14ac:dyDescent="0.45">
      <c r="A674" t="s">
        <v>59</v>
      </c>
      <c r="B674">
        <v>2012</v>
      </c>
      <c r="C674" t="s">
        <v>74</v>
      </c>
      <c r="D674">
        <v>5</v>
      </c>
    </row>
    <row r="675" spans="1:4" x14ac:dyDescent="0.45">
      <c r="A675" t="s">
        <v>60</v>
      </c>
      <c r="B675">
        <v>2012</v>
      </c>
      <c r="C675" t="s">
        <v>74</v>
      </c>
      <c r="D675">
        <v>2.7</v>
      </c>
    </row>
    <row r="676" spans="1:4" x14ac:dyDescent="0.45">
      <c r="A676" t="s">
        <v>59</v>
      </c>
      <c r="B676">
        <v>2013</v>
      </c>
      <c r="C676" t="s">
        <v>74</v>
      </c>
      <c r="D676">
        <v>6.3</v>
      </c>
    </row>
    <row r="677" spans="1:4" x14ac:dyDescent="0.45">
      <c r="A677" t="s">
        <v>60</v>
      </c>
      <c r="B677">
        <v>2013</v>
      </c>
      <c r="C677" t="s">
        <v>74</v>
      </c>
      <c r="D677">
        <v>2.7</v>
      </c>
    </row>
    <row r="678" spans="1:4" x14ac:dyDescent="0.45">
      <c r="A678" t="s">
        <v>59</v>
      </c>
      <c r="B678">
        <v>2014</v>
      </c>
      <c r="C678" t="s">
        <v>74</v>
      </c>
      <c r="D678">
        <v>6.5</v>
      </c>
    </row>
    <row r="679" spans="1:4" x14ac:dyDescent="0.45">
      <c r="A679" t="s">
        <v>60</v>
      </c>
      <c r="B679">
        <v>2014</v>
      </c>
      <c r="C679" t="s">
        <v>74</v>
      </c>
      <c r="D679">
        <v>3.7</v>
      </c>
    </row>
    <row r="680" spans="1:4" x14ac:dyDescent="0.45">
      <c r="A680" t="s">
        <v>59</v>
      </c>
      <c r="B680">
        <v>2015</v>
      </c>
      <c r="C680" t="s">
        <v>74</v>
      </c>
      <c r="D680">
        <v>6.4</v>
      </c>
    </row>
    <row r="681" spans="1:4" x14ac:dyDescent="0.45">
      <c r="A681" t="s">
        <v>60</v>
      </c>
      <c r="B681">
        <v>2015</v>
      </c>
      <c r="C681" t="s">
        <v>74</v>
      </c>
      <c r="D681">
        <v>5.5</v>
      </c>
    </row>
    <row r="682" spans="1:4" x14ac:dyDescent="0.45">
      <c r="A682" t="s">
        <v>59</v>
      </c>
      <c r="B682">
        <v>2016</v>
      </c>
      <c r="C682" t="s">
        <v>74</v>
      </c>
      <c r="D682">
        <v>5.6</v>
      </c>
    </row>
    <row r="683" spans="1:4" x14ac:dyDescent="0.45">
      <c r="A683" t="s">
        <v>60</v>
      </c>
      <c r="B683">
        <v>2016</v>
      </c>
      <c r="C683" t="s">
        <v>74</v>
      </c>
      <c r="D683">
        <v>3.6</v>
      </c>
    </row>
    <row r="684" spans="1:4" x14ac:dyDescent="0.45">
      <c r="A684" t="s">
        <v>59</v>
      </c>
      <c r="B684">
        <v>2017</v>
      </c>
      <c r="C684" t="s">
        <v>74</v>
      </c>
      <c r="D684">
        <v>5</v>
      </c>
    </row>
    <row r="685" spans="1:4" x14ac:dyDescent="0.45">
      <c r="A685" t="s">
        <v>60</v>
      </c>
      <c r="B685">
        <v>2017</v>
      </c>
      <c r="C685" t="s">
        <v>74</v>
      </c>
      <c r="D685">
        <v>2.2999999999999998</v>
      </c>
    </row>
    <row r="686" spans="1:4" x14ac:dyDescent="0.45">
      <c r="A686" t="s">
        <v>59</v>
      </c>
      <c r="B686">
        <v>2018</v>
      </c>
      <c r="C686" t="s">
        <v>74</v>
      </c>
      <c r="D686">
        <v>5</v>
      </c>
    </row>
    <row r="687" spans="1:4" x14ac:dyDescent="0.45">
      <c r="A687" t="s">
        <v>60</v>
      </c>
      <c r="B687">
        <v>2018</v>
      </c>
      <c r="C687" t="s">
        <v>74</v>
      </c>
      <c r="D687">
        <v>3.1</v>
      </c>
    </row>
    <row r="688" spans="1:4" x14ac:dyDescent="0.45">
      <c r="A688" t="s">
        <v>59</v>
      </c>
      <c r="B688">
        <v>2019</v>
      </c>
      <c r="C688" t="s">
        <v>74</v>
      </c>
      <c r="D688">
        <v>2.7</v>
      </c>
    </row>
    <row r="689" spans="1:4" x14ac:dyDescent="0.45">
      <c r="A689" t="s">
        <v>60</v>
      </c>
      <c r="B689">
        <v>2019</v>
      </c>
      <c r="C689" t="s">
        <v>74</v>
      </c>
      <c r="D689">
        <v>4.9000000000000004</v>
      </c>
    </row>
    <row r="690" spans="1:4" x14ac:dyDescent="0.45">
      <c r="A690" t="s">
        <v>59</v>
      </c>
      <c r="B690">
        <v>2020</v>
      </c>
      <c r="C690" t="s">
        <v>74</v>
      </c>
      <c r="D690">
        <v>3.7</v>
      </c>
    </row>
    <row r="691" spans="1:4" x14ac:dyDescent="0.45">
      <c r="A691" t="s">
        <v>60</v>
      </c>
      <c r="B691">
        <v>2020</v>
      </c>
      <c r="C691" t="s">
        <v>74</v>
      </c>
      <c r="D691">
        <v>7.4</v>
      </c>
    </row>
    <row r="692" spans="1:4" x14ac:dyDescent="0.45">
      <c r="A692" t="s">
        <v>59</v>
      </c>
      <c r="B692">
        <v>2021</v>
      </c>
      <c r="C692" t="s">
        <v>74</v>
      </c>
      <c r="D692">
        <v>4.7</v>
      </c>
    </row>
    <row r="693" spans="1:4" x14ac:dyDescent="0.45">
      <c r="A693" t="s">
        <v>60</v>
      </c>
      <c r="B693">
        <v>2021</v>
      </c>
      <c r="C693" t="s">
        <v>74</v>
      </c>
      <c r="D693">
        <v>7.3</v>
      </c>
    </row>
    <row r="694" spans="1:4" x14ac:dyDescent="0.45">
      <c r="A694" t="s">
        <v>59</v>
      </c>
      <c r="B694">
        <v>2022</v>
      </c>
      <c r="C694" t="s">
        <v>74</v>
      </c>
      <c r="D694">
        <v>6.2</v>
      </c>
    </row>
    <row r="695" spans="1:4" x14ac:dyDescent="0.45">
      <c r="A695" t="s">
        <v>60</v>
      </c>
      <c r="B695">
        <v>2022</v>
      </c>
      <c r="C695" t="s">
        <v>74</v>
      </c>
      <c r="D695">
        <v>7.2</v>
      </c>
    </row>
    <row r="696" spans="1:4" x14ac:dyDescent="0.45">
      <c r="A696" t="s">
        <v>59</v>
      </c>
      <c r="B696">
        <v>2023</v>
      </c>
      <c r="C696" t="s">
        <v>74</v>
      </c>
      <c r="D696">
        <v>4.4000000000000004</v>
      </c>
    </row>
    <row r="697" spans="1:4" x14ac:dyDescent="0.45">
      <c r="A697" t="s">
        <v>60</v>
      </c>
      <c r="B697">
        <v>2023</v>
      </c>
      <c r="C697" t="s">
        <v>74</v>
      </c>
      <c r="D697">
        <v>7.7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0.23500000000000001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0.28599999999999998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0.2162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0.47299999999999998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0.1598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0.85799999999999998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0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0.75350000000000006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0.74249999999999994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0.80300000000000005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0.81400000000000006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0.23500000000000001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0.28599999999999998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0.3196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0.26950000000000002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0.1598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0.32450000000000001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0.48879999999999996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0.71499999999999997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0.67679999999999996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0.84699999999999998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1.0903999999999998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0.85799999999999998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2.2090000000000001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0.76449999999999996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0.23500000000000001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0.29700000000000004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0.3196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0.27500000000000002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0.1598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0.32450000000000001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4.7E-2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0.62149999999999994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0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0.46750000000000003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0.36849999999999999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0.34650000000000003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0.25380000000000003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0.29149999999999998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0.3196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0.26950000000000002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0.1598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0.33550000000000002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4.7E-2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0.60499999999999998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0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0.70950000000000002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0.41249999999999998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0.374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0.25380000000000003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0.28050000000000003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0.2162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0.45650000000000002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0.44549999999999995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0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0.28050000000000003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0.46199999999999997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0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0.56100000000000005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0.62149999999999994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0.25380000000000003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0.28599999999999998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0.2162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0.46750000000000003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0.24439999999999998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0.92949999999999988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1.1495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0.84699999999999998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0.72050000000000003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0.74249999999999994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0.23500000000000001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0.27500000000000002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0.2162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0.45100000000000001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0.16919999999999999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0.34650000000000003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9.4000000000000004E-3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0.11549999999999999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1.8800000000000001E-2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0.13199999999999998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9.8999999999999991E-2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4.9499999999999995E-2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2.899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1.4371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4.9449999999999994E-2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-1.1568000000000001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-2.0251999999999999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-2.16235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-1.88815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-1.57965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-1.30155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-1.2233499999999999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-1.1585000000000001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-1.0327500000000001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-0.90905000000000002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-0.94429999999999992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-0.98029999999999995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-0.35020000000000001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0.28129999999999999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2.9734500000000001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1.8169999999999999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0.28125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-0.44979999999999998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-0.98334999999999995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-1.3532999999999999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-0.32630000000000003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-0.46235000000000004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-0.51424999999999998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-0.49229999999999996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-0.45674999999999999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-0.77839999999999998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-1.0804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-0.91800000000000004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-0.75019999999999998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0.14765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1.0471999999999999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2.9405999999999999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2.12195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1.0043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-1.9969000000000001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-4.3788999999999998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-5.24315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-5.1555999999999997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-4.8073499999999996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-4.04495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-3.7740499999999999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-3.5545499999999999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-3.2029999999999998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-2.8493000000000004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-2.71495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-2.5789999999999997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-1.8559000000000001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-1.12415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2.9771000000000001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2.01485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0.64990000000000003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-1.8448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-3.6440999999999999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-4.23325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-4.0413500000000004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-3.6095000000000002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-3.1318000000000001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-2.8434999999999997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-2.5594000000000001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-2.8182999999999998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-3.08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-3.0358999999999998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-2.9927999999999999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-1.9944999999999999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-1.0000499999999999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2.88205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1.0933999999999999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-1.5034000000000001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-3.3181500000000002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-4.0620500000000002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-4.52515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-4.44095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-4.6417000000000002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-4.3309999999999995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-3.2790499999999998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-2.2484000000000002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-2.9990000000000001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-3.7542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-3.2521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-2.7536499999999999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-3.2373000000000003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-3.7231499999999995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3.0396000000000001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1.3281000000000001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-0.41715000000000002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-1.4879500000000001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-2.2884500000000001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-2.56345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-2.2943499999999997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-1.9754499999999999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-1.6194500000000001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-1.35195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-1.0978000000000001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-1.2902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-1.4817499999999999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-1.3374999999999999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-1.2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-0.20965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0.77800000000000002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2.98305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1.26115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-1.2657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-3.6148499999999997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-4.266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-3.7458999999999998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-2.9933000000000001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-2.6509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-2.2812999999999999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-1.2885500000000001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-0.32694999999999996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-1.1565000000000001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-2.0175999999999998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-1.5049000000000001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-0.99244999999999994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-1.4123000000000001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-1.8308499999999999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5.29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3.53965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2.4981999999999998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1.6135999999999999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0.90375000000000005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0.47194999999999998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0.63500000000000001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0.42154999999999998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0.13819999999999999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4.4499999999999998E-2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-6.275E-2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-0.11874999999999999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-0.1774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-0.19805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-0.21955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-0.22950000000000001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-0.23830000000000001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5.3643999999999998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3.6503999999999999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2.75345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2.1418499999999998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1.74065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1.5425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2.7790499999999998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2.4960500000000003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2.2719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2.1041499999999997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1.9496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1.7842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1.6378999999999999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1.4434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1.2541500000000001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1.1132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0.97375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5.3326000000000002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3.6009500000000001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2.7681499999999999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2.0846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0.28010000000000002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-0.18030000000000002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-8.3799999999999986E-2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-0.19159999999999999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-0.38514999999999999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-0.50639999999999996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-0.67910000000000004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-0.63824999999999998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-0.59549999999999992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-0.51255000000000006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-0.42800000000000005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-0.42094999999999999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-0.40529999999999999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5.3679000000000006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3.6707000000000001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2.7679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2.04915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0.87839999999999996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0.44830000000000003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0.6815500000000001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0.52010000000000001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0.34640000000000004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0.24735000000000001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0.1439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9.0950000000000003E-2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3.4750000000000003E-2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-2.0899999999999998E-2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-7.7699999999999991E-2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-9.715E-2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-0.12045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5.2708999999999993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3.4189999999999996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1.6128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0.56135000000000002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5.8450000000000002E-2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-0.10544999999999999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2.6450000000000001E-2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-4.8500000000000001E-3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-3.73E-2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-7.9250000000000001E-2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-0.1424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-0.19269999999999998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-0.24790000000000001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-0.27429999999999999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-0.30435000000000001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-0.33945000000000003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-0.37655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5.43025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3.5868500000000001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2.35955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1.4497499999999999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0.80840000000000001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0.54004999999999992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0.83349999999999991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0.63724999999999998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0.4047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0.27725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0.13640000000000002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0.10539999999999999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7.4249999999999997E-2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6.9550000000000001E-2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5.7700000000000001E-2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2.9650000000000003E-2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-1.15E-3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5.3746499999999999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3.5451999999999999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1.70905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0.14119999999999999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-0.51834999999999998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-0.43215000000000003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-0.28449999999999998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-0.34584999999999999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-0.42659999999999998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-0.43274999999999997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-0.47020000000000001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-0.46335000000000004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-0.4884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-0.51265000000000005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-0.5371999999999999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-0.55800000000000005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-0.57765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6.6292499999999999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9.1586999999999996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6.6602499999999996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7.7720500000000001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5.6480999999999995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2.1979500000000001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1.71675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1.54745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1.4253499999999999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1.52275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2.2640500000000001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2.3628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2.2640500000000001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2.29975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1.87825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2.2640500000000001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1.94885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1.8105500000000001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1.62375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1.2301500000000001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2.1265499999999999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1.9272499999999999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1.8179000000000001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1.8801999999999999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1.6149999999999998E-2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1.7849999999999998E-2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1.9800000000000002E-2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2.265E-2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2.3649999999999997E-2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2.4250000000000001E-2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2.3400000000000001E-2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2.1249999999999998E-2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2.0400000000000001E-2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1.9549999999999998E-2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1.8849999999999999E-2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1.89E-2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1.9E-2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1.9099999999999999E-2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1.9299999999999998E-2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1.9650000000000001E-2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1.9999999999999997E-2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1.6250000000000001E-2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1.7950000000000001E-2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1.9349999999999999E-2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2.0799999999999999E-2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2.1499999999999998E-2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2.1299999999999999E-2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2.085E-2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1.9650000000000001E-2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1.915E-2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1.8749999999999999E-2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1.84E-2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1.865E-2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1.8849999999999999E-2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1.8950000000000002E-2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1.9099999999999999E-2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1.9400000000000001E-2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1.9799999999999998E-2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1.6399999999999998E-2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1.805E-2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1.925E-2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2.1400000000000002E-2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2.4399999999999998E-2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2.5350000000000001E-2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2.385E-2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2.1150000000000002E-2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1.975E-2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1.8849999999999999E-2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1.8200000000000001E-2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1.8250000000000002E-2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1.8349999999999998E-2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1.84E-2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1.8450000000000001E-2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1.8849999999999999E-2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1.925E-2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1.6199999999999999E-2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1.7750000000000002E-2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1.9349999999999999E-2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2.1499999999999998E-2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2.3850000000000003E-2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2.4050000000000002E-2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2.2800000000000001E-2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2.0749999999999998E-2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1.9900000000000001E-2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1.915E-2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1.8550000000000001E-2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1.8599999999999998E-2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1.865E-2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1.8799999999999997E-2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1.9E-2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1.9299999999999998E-2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1.9650000000000001E-2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1.6299999999999999E-2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1.8450000000000001E-2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2.1100000000000001E-2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2.3050000000000001E-2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2.3600000000000003E-2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2.2699999999999998E-2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2.155E-2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1.8549999999999997E-2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1.78E-2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1.7049999999999999E-2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1.7049999999999999E-2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1.7149999999999999E-2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1.7149999999999999E-2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1.7250000000000001E-2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1.7399999999999999E-2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1.755E-2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1.5900000000000001E-2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1.77E-2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1.9650000000000001E-2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2.265E-2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2.41E-2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2.385E-2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2.2749999999999999E-2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2.0799999999999999E-2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2.01E-2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1.9400000000000001E-2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1.8799999999999997E-2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1.8849999999999999E-2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1.8849999999999999E-2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1.89E-2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1.9050000000000001E-2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1.9299999999999998E-2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1.9700000000000002E-2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1.6149999999999998E-2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1.7999999999999999E-2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2.0400000000000001E-2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2.4850000000000001E-2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2.6249999999999999E-2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2.4800000000000003E-2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2.265E-2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2.0400000000000001E-2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1.9700000000000002E-2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1.8749999999999999E-2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1.8000000000000002E-2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1.8099999999999998E-2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1.8250000000000002E-2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1.8549999999999997E-2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1.8849999999999999E-2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1.9299999999999998E-2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1.9799999999999998E-2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6.7999999999999996E-3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7.6500000000000005E-3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7.8000000000000005E-3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8.9499999999999996E-3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9.7999999999999997E-3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1.0500000000000001E-2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1.055E-2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0.01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8.7500000000000008E-3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8.150000000000001E-3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7.6E-3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7.1999999999999998E-3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6.8000000000000005E-3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6.45E-3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6.0999999999999995E-3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5.7000000000000002E-3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5.3E-3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6.8000000000000005E-3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7.5500000000000003E-3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7.7000000000000002E-3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8.0999999999999996E-3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8.5000000000000006E-3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8.6499999999999997E-3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8.8500000000000002E-3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8.7500000000000008E-3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8.0999999999999996E-3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7.7499999999999999E-3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7.45E-3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7.0000000000000001E-3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6.6499999999999997E-3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6.2500000000000003E-3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5.8500000000000002E-3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5.4999999999999997E-3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5.1500000000000001E-3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6.8999999999999999E-3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7.5499999999999994E-3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7.7000000000000002E-3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8.3499999999999998E-3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1.0800000000000001E-2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1.1699999999999999E-2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1.09E-2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1.0100000000000001E-2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8.6999999999999994E-3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8.0999999999999996E-3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7.5499999999999994E-3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7.1500000000000001E-3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6.8000000000000005E-3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6.3999999999999994E-3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6.0499999999999998E-3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5.6500000000000005E-3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5.2499999999999995E-3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6.7499999999999999E-3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7.45E-3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7.7499999999999999E-3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8.0499999999999999E-3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9.049999999999999E-3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9.5499999999999995E-3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9.8500000000000011E-3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9.4999999999999998E-3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8.5000000000000006E-3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8.0500000000000016E-3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7.6E-3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7.1999999999999998E-3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6.8000000000000005E-3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6.3499999999999997E-3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6.0000000000000001E-3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5.5999999999999999E-3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5.2499999999999995E-3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7.0499999999999998E-3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6.9499999999999996E-3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6.45E-3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6.2500000000000003E-3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5.8999999999999999E-3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5.4000000000000003E-3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5.1000000000000004E-3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4.6499999999999996E-3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4.0000000000000001E-3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3.7000000000000002E-3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3.4499999999999999E-3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3.2000000000000002E-3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3.0499999999999998E-3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2.9499999999999999E-3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2.8500000000000001E-3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2.7499999999999998E-3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2.7000000000000001E-3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6.7000000000000002E-3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7.6E-3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7.8499999999999993E-3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8.9499999999999996E-3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1.0100000000000001E-2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1.03E-2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1.005E-2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9.5499999999999995E-3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8.5000000000000006E-3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8.0499999999999999E-3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7.6500000000000005E-3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7.1500000000000001E-3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6.6999999999999994E-3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6.2500000000000003E-3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5.8499999999999993E-3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5.4999999999999997E-3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5.1500000000000001E-3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7.0000000000000001E-3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8.0000000000000002E-3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8.3999999999999995E-3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1.0500000000000001E-2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1.21E-2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1.175E-2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1.085E-2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1.0100000000000001E-2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9.1000000000000004E-3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8.5500000000000003E-3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8.0999999999999996E-3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7.6E-3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7.1999999999999998E-3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6.8999999999999999E-3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6.5500000000000003E-3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6.1500000000000001E-3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5.7499999999999999E-3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4.0000000000000002E-4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1.0500000000000002E-3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2.3999999999999998E-3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4.3E-3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6.3E-3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7.3500000000000006E-3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7.7999999999999996E-3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7.7499999999999999E-3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7.7000000000000002E-3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7.6500000000000005E-3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7.6E-3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7.6E-3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7.7000000000000002E-3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7.8000000000000005E-3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7.9000000000000008E-3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8.0500000000000016E-3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8.150000000000001E-3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4.0000000000000002E-4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1.0500000000000002E-3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2.15E-3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3.5000000000000001E-3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4.7499999999999999E-3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5.4000000000000003E-3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5.8499999999999993E-3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6.3E-3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6.5500000000000003E-3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6.7000000000000002E-3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6.8500000000000002E-3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6.8999999999999999E-3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7.0000000000000001E-3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7.0000000000000001E-3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7.1000000000000004E-3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7.1500000000000001E-3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7.2500000000000004E-3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4.0000000000000002E-4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1.0500000000000002E-3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2.15E-3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3.7000000000000002E-3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5.5999999999999999E-3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6.7000000000000002E-3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6.7999999999999996E-3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6.6499999999999997E-3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6.5500000000000003E-3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6.4999999999999997E-3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6.45E-3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6.4999999999999997E-3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6.5500000000000003E-3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6.6499999999999997E-3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6.7499999999999999E-3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6.8500000000000002E-3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6.9499999999999996E-3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4.0000000000000002E-4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1E-3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2.15E-3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3.5000000000000001E-3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5.0500000000000007E-3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5.8499999999999993E-3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6.3499999999999997E-3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6.3499999999999997E-3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6.3999999999999994E-3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6.5000000000000006E-3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6.5000000000000006E-3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6.6E-3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6.6499999999999997E-3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6.7499999999999999E-3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6.8000000000000005E-3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6.8999999999999999E-3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7.0000000000000001E-3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4.0000000000000002E-4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1.1999999999999999E-3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2.8E-3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4.7499999999999999E-3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5.9500000000000004E-3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6.1999999999999998E-3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6.2000000000000006E-3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6.7499999999999999E-3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6.7499999999999999E-3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6.6499999999999997E-3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6.4999999999999997E-3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6.3499999999999997E-3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6.2500000000000003E-3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6.1999999999999998E-3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6.1999999999999998E-3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6.1500000000000001E-3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6.1500000000000001E-3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4.0000000000000002E-4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1.1000000000000001E-3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2.3E-3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3.8E-3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5.1999999999999998E-3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5.8499999999999993E-3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6.2500000000000003E-3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6.4000000000000003E-3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6.4999999999999997E-3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6.5500000000000003E-3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6.6499999999999997E-3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6.7000000000000002E-3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6.7499999999999999E-3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6.8000000000000005E-3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6.8500000000000002E-3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6.9499999999999996E-3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7.1000000000000004E-3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4.0000000000000002E-4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1.15E-3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2.5999999999999999E-3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5.2499999999999995E-3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7.6E-3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8.0000000000000002E-3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7.9500000000000005E-3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7.8499999999999993E-3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7.8000000000000005E-3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7.7499999999999999E-3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7.7499999999999999E-3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7.7999999999999996E-3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7.8499999999999993E-3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7.9500000000000005E-3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8.0999999999999996E-3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8.2000000000000007E-3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8.3000000000000001E-3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5.2576499999999999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5.1192500000000001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4.8432000000000004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4.78505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4.6227999999999998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5.7725000000000009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5.3309499999999996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4.7379999999999995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4.6227999999999998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5.0714500000000005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5.0700500000000002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5.0553999999999997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4.1289999999999996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4.3072499999999998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5.0500000000000007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5.7446000000000002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2.0000000000000001E-4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5.9999999999999995E-4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1.0500000000000002E-3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1.4499999999999999E-3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1.7499999999999998E-3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2.3E-3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2.8E-3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3.3E-3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3.5999999999999999E-3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3.3999999999999998E-3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3.3999999999999998E-3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3.3999999999999998E-3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3.7000000000000002E-3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3.7000000000000002E-3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3.7000000000000002E-3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3.7000000000000002E-3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3.7000000000000002E-3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2.0000000000000001E-4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5.9999999999999995E-4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1E-3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1.1999999999999999E-3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1.1999999999999999E-3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1.2999999999999999E-3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1.6000000000000001E-3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1.5E-3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2.3E-3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2.7499999999999998E-3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3.0999999999999999E-3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3.5999999999999999E-3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4.0499999999999998E-3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4.45E-3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4.8000000000000004E-3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4.9499999999999995E-3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5.1500000000000001E-3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2.0000000000000001E-4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5.9999999999999995E-4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1E-3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1.1999999999999999E-3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1.4499999999999999E-3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2.3E-3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3.2000000000000002E-3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3.7499999999999999E-3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4.4000000000000003E-3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4.6499999999999996E-3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5.5500000000000002E-3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5.45E-3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5.3500000000000006E-3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5.2499999999999995E-3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5.1000000000000004E-3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5.0000000000000001E-3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5.0000000000000001E-3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2.0000000000000001E-4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5.9999999999999995E-4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1E-3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1.1999999999999999E-3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1.2999999999999999E-3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1.9E-3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2.7000000000000001E-3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3.2500000000000003E-3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3.7499999999999999E-3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3.5999999999999999E-3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3.4499999999999999E-3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3.3499999999999997E-3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3.4999999999999996E-3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3.8E-3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4.3499999999999997E-3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4.2500000000000003E-3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4.2500000000000003E-3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2.0000000000000001E-4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5.0000000000000001E-4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8.0000000000000004E-4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8.9999999999999998E-4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1E-3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8.9999999999999998E-4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8.5000000000000006E-4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8.9999999999999998E-4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1.15E-3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1.2000000000000001E-3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1.25E-3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1.2999999999999999E-3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1.2999999999999999E-3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1.3500000000000001E-3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1.4E-3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1.5E-3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1.6000000000000001E-3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2.0000000000000001E-4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5.9999999999999995E-4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1E-3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1.4E-3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1.9E-3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2.8E-3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3.5000000000000001E-3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3.9500000000000004E-3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4.2500000000000003E-3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4.0499999999999998E-3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4.0499999999999998E-3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4.15E-3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4.6499999999999996E-3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4.7499999999999999E-3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4.8500000000000001E-3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4.8000000000000004E-3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4.7499999999999999E-3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2.0000000000000001E-4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5.9999999999999995E-4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1.4E-3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2.3999999999999998E-3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2.8E-3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3.2000000000000002E-3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3.3E-3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3.3499999999999997E-3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3.5000000000000001E-3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3.3E-3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3.4999999999999996E-3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3.7000000000000002E-3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4.3499999999999997E-3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4.4999999999999997E-3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4.6499999999999996E-3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4.7000000000000002E-3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4.7499999999999999E-3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0.01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6.0850000000000001E-2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0.1208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0.15605000000000002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0.17244999999999999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0.17075000000000001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0.17685000000000001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0.17825000000000002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0.17715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0.18985000000000002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0.20319999999999999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0.2273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0.24475000000000002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0.26180000000000003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0.26305000000000001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0.2631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6.7000000000000002E-3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5.4999999999999997E-3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4.15E-3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2.8999999999999998E-3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2.1999999999999997E-3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1.5E-3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1.2000000000000001E-3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1.0999999999999998E-3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8.5000000000000006E-4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5.0000000000000001E-4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2.5000000000000001E-4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6.8999999999999999E-3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5.7499999999999999E-3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2.215E-2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0.19775000000000001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0.37955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0.39055000000000001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0.43845000000000001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0.51924999999999999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0.57055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0.70255000000000001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0.65839999999999999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0.61495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0.52790000000000004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0.43945000000000001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0.42625000000000002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0.41290000000000004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6.7499999999999999E-3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5.6500000000000005E-3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1.2650000000000002E-2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4.1099999999999998E-2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8.1499999999999989E-2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0.10325000000000001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0.11545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0.11890000000000001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0.11779999999999999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0.12154999999999999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0.11144999999999999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0.1065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0.12105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0.14305000000000001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0.15005000000000002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0.15739999999999998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1.3899999999999999E-2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0.16880000000000001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0.25729999999999997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0.27590000000000003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0.27839999999999998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0.25600000000000001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0.25735000000000002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0.25895000000000001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0.27290000000000003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0.30259999999999998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0.32555000000000001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0.35539999999999999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0.37419999999999998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0.39419999999999999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0.41265000000000002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0.43530000000000002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1.23E-2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7.5749999999999998E-2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0.1396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0.1658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0.15339999999999998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0.14465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0.14429999999999998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0.14600000000000002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0.14305000000000001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0.15110000000000001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0.12895000000000001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0.10780000000000001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0.1081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0.10865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0.12745000000000001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0.14695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1.2999999999999999E-2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0.33374999999999999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0.58935000000000004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0.64064999999999994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0.55499999999999994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0.48709999999999998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0.48565000000000003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0.48229999999999995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0.45899999999999996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0.47804999999999997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0.46870000000000001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0.49495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0.51690000000000003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0.5393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0.55814999999999992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0.57545000000000002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2.5999999999999999E-3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5.9999999999999995E-4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2.5999999999999999E-3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6.9999999999999999E-4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2.9999999999999997E-4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5.0000000000000002E-5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1.5000000000000001E-4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2.5000000000000001E-4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3.0000000000000003E-4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3.9999999999999996E-4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5.0000000000000001E-4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5.0000000000000001E-4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5.0000000000000001E-4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2.5999999999999999E-3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6.9999999999999999E-4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2.9999999999999997E-4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2.5999999999999999E-3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6.9999999999999999E-4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2.9999999999999997E-4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2.5999999999999999E-3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5.9999999999999995E-4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2.5999999999999999E-3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4.0000000000000002E-4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2.5999999999999999E-3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4.0000000000000002E-4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6.9999999999999999E-4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5.9999999999999995E-4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2.9999999999999997E-4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2.0000000000000001E-4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0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0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5.9999999999999995E-4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5.9999999999999995E-4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5.0000000000000001E-4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2.9999999999999997E-4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2.0000000000000001E-4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0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1E-4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1E-4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1E-4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1E-4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1E-4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1E-4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1E-4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1E-4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1E-4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1E-4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1E-4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6.9999999999999999E-4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5.9999999999999995E-4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5.0000000000000001E-4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2.9999999999999997E-4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0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6.9999999999999999E-4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5.9999999999999995E-4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2.9999999999999997E-4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5.0000000000000002E-5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5.9999999999999995E-4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5.0000000000000001E-4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5.9999999999999995E-4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5.0000000000000001E-4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2.0000000000000001E-4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1E-4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6.9999999999999999E-4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5.0000000000000001E-4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2.0000000000000001E-4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0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2.9999999999999997E-4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2.9999999999999997E-4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1E-4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2.9999999999999997E-4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1E-4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2.9999999999999997E-4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1E-4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2.9999999999999997E-4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1E-4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2.9999999999999997E-4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1E-4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2.9999999999999997E-4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1E-4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0.14699999999999999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0.33079999999999998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0.62250000000000005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1.1375999999999999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1.7383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9.4000000000000004E-3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1.06E-2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1.18E-2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1.03E-2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9.7000000000000003E-3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9.1000000000000004E-3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7.4999999999999997E-3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1.8100000000000002E-2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2.0899999999999998E-2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2.2700000000000001E-2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2.3599999999999999E-2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2.3599999999999999E-2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2.47E-2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2.5000000000000001E-2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8.0000000000000004E-4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2.2000000000000001E-3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2.8999999999999998E-3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6.4000000000000003E-3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1.0699999999999999E-2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1.43E-2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0.23500000000000001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0.2162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0.1598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0.28599999999999998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0.47299999999999998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0.85799999999999998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0.75350000000000006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0.74249999999999994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0.80300000000000005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0.81400000000000006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5.6798999999999999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4.6719999999999997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7.1379999999999999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8.7202999999999999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7.8779000000000003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2.1709000000000001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1.7063999999999999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2.1709999999999998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1.9769000000000001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1.0552999999999999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12.219799999999999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3.7282000000000002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5.7946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4.6173000000000002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10.9808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4.1311999999999998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4.3116000000000003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4.7229000000000001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4.7931999999999997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6.1635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4.4867999999999997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4.8602999999999996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5.3547000000000002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2.6850999999999998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0.82020000000000004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-0.187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-0.95720000000000005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-1.9791000000000001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6.8239000000000001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7.1230000000000002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5.7328999999999999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4.4747000000000003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3.9384000000000001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3.1783999999999999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2.1577000000000002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9.1000000000000004E-3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1.0200000000000001E-2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1.06E-2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1.17E-2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1.18E-2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1.2200000000000001E-2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1.03E-2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1.8100000000000002E-2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2.07E-2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2.3300000000000001E-2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2.52E-2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2.63E-2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2.86E-2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3.0099999999999998E-2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6.9999999999999999E-4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6.9999999999999999E-4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1.6000000000000001E-3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1.6000000000000001E-3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1.6999999999999999E-3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1.5E-3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2.8999999999999998E-3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0.23500000000000001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0.3196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0.1598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0.48879999999999996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0.67679999999999996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1.0903999999999998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2.2090000000000001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0.28599999999999998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0.26950000000000002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0.32450000000000001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0.71499999999999997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0.84699999999999998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0.85799999999999998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0.76449999999999996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5.6798999999999999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2.1896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4.9040999999999997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2.1084999999999998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3.7646000000000002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2.7120000000000002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7.8779000000000003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2.5169000000000001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6.4005999999999998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2.4849999999999999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1.9182999999999999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1.4338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2.3031000000000001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12.219799999999999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3.5950000000000002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10.553900000000001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4.609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4.4168000000000003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4.7584999999999997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4.2888000000000002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10.9808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4.2763999999999998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10.7896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6.0525000000000002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5.2763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6.6349999999999998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6.2908999999999997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4.7564000000000002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4.3292999999999999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2.1118999999999999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2.1461999999999999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1.9238999999999999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2.1892999999999998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6.7289000000000003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6.7085999999999997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6.1161000000000003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5.1044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5.7240000000000002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6.1410999999999998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6.9535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11.9787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0.15140000000000001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0.378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0.88949999999999996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1.1555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9.1000000000000004E-3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1.03E-2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1.06E-2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1.06E-2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9.7000000000000003E-3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9.4999999999999998E-3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7.7999999999999996E-3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1.8200000000000001E-2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2.0899999999999998E-2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2.35E-2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2.3800000000000002E-2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2.5100000000000001E-2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2.63E-2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2.7199999999999998E-2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6.9999999999999999E-4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6.9999999999999999E-4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1.6000000000000001E-3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2.5999999999999999E-3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5.1999999999999998E-3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9.1999999999999998E-3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1.2500000000000001E-2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1.5E-3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0.23500000000000001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0.3196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0.1598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4.7E-2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0.29700000000000004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0.27500000000000002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0.32450000000000001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0.62149999999999994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0.46750000000000003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0.36849999999999999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0.34650000000000003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5.6798999999999999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2.1896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4.9040999999999997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7.2225000000000001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7.8586999999999998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11.3034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7.8779000000000003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2.5169000000000001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6.4005999999999998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3.6255999999999999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2.6890999999999998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2.5642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12.219799999999999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3.5950000000000002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10.553900000000001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6.1544999999999996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5.6174999999999997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4.8705999999999996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4.7060000000000004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10.9808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4.2763999999999998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10.7896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4.8766999999999996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5.0852000000000004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5.5401999999999996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5.1143999999999998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4.7560000000000002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4.6851000000000003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2.8144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1.3557999999999999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-0.15690000000000001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-1.2490000000000001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-2.1415000000000002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6.7085999999999997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6.1157000000000004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5.0937999999999999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4.3647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3.4361000000000002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2.4565999999999999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1.6415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0.17169999999999999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0.4345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0.86060000000000003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1.1204000000000001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9.1000000000000004E-3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1.0200000000000001E-2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1.06E-2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1.0699999999999999E-2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9.9000000000000008E-3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9.4999999999999998E-3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7.9000000000000008E-3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1.7999999999999999E-2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2.06E-2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2.3099999999999999E-2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2.3599999999999999E-2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2.3900000000000001E-2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2.4400000000000002E-2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2.46E-2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8.0000000000000004E-4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6.9999999999999999E-4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1.6000000000000001E-3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3.0000000000000001E-3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0.01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1.4500000000000001E-2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5.0000000000000001E-4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0.25380000000000003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0.3196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0.1598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4.7E-2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0.29149999999999998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0.26950000000000002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0.33550000000000002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0.60499999999999998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0.70950000000000002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0.41249999999999998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0.374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5.6798999999999999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2.1896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4.9040999999999997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6.1734999999999998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7.8779000000000003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2.5169000000000001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6.4005999999999998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2.9220000000000002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2.5276000000000001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2.0146000000000002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12.219799999999999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3.5950000000000002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10.553900000000001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4.9850000000000003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4.9595000000000002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4.9358000000000004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2.8281000000000001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10.9808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4.2763999999999998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10.7896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5.1483999999999996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5.6142000000000003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5.8137999999999996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4.9897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4.8158000000000003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4.5701999999999998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2.4603999999999999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1.2242999999999999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-0.29459999999999997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-1.946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-3.0707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6.7721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6.1889000000000003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5.1040000000000001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4.7013999999999996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3.996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2.8161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2.1029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0.45960000000000001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0.95209999999999995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1.7264999999999999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2.1324999999999998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2.2725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9.2999999999999992E-3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1.04E-2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8.3999999999999995E-3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8.9999999999999993E-3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9.4000000000000004E-3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8.8000000000000005E-3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7.3000000000000001E-3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1.78E-2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0.02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2.0299999999999999E-2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2.2100000000000002E-2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2.1100000000000001E-2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1.9599999999999999E-2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1.78E-2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8.0000000000000004E-4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8.0000000000000004E-4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1.6999999999999999E-3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4.4000000000000003E-3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9.1000000000000004E-3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1.46E-2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1.89E-2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8.9999999999999998E-4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2.3E-3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4.4999999999999997E-3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5.8999999999999999E-3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5.4999999999999997E-3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0.25380000000000003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0.2162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0.28050000000000003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0.45650000000000002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0.44549999999999995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0.28050000000000003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0.46199999999999997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0.56100000000000005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0.62149999999999994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5.6798999999999999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6.9223999999999997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17.773700000000002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7.8779000000000003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2.1709000000000001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4.2545000000000002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2.6074999999999999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4.9931999999999999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4.0999999999999996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12.219799999999999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3.7282000000000002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1.1920999999999999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1.9091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2.6674000000000002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5.6451000000000002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4.0972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10.9808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4.1311999999999998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4.077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4.4991000000000003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4.9038000000000004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8.1531000000000002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3.7004000000000001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4.8285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5.2460000000000004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0.3357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-1.6666000000000001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-2.5451000000000001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-2.93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-3.1057999999999999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6.7839999999999998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7.0163000000000002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3.5491000000000001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1.6904999999999999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0.90310000000000001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0.3659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-8.4400000000000003E-2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0.20169999999999999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0.2631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0.59130000000000005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1.0455000000000001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9.1000000000000004E-3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1.03E-2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1.1599999999999999E-2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1.04E-2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1.0200000000000001E-2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1.03E-2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8.3000000000000001E-3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1.7899999999999999E-2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2.06E-2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2.4E-2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2.6100000000000002E-2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2.6100000000000002E-2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2.64E-2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2.75E-2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8.0000000000000004E-4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6.9999999999999999E-4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4.3E-3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7.4000000000000003E-3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1.2E-2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0.25380000000000003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0.2162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0.24439999999999998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0.28599999999999998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0.46750000000000003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0.92949999999999988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1.1495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0.84699999999999998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0.72050000000000003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0.74249999999999994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5.6798999999999999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3.6280000000000001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3.7856999999999998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5.6589999999999998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6.1288999999999998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7.8779000000000003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2.1709000000000001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0.51160000000000005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2.5145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1.9249000000000001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3.9699999999999999E-2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12.219799999999999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3.7282000000000002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4.3112000000000004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4.7069999999999999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5.2408000000000001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4.4836999999999998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10.9808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4.1311999999999998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4.6082000000000001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5.1619999999999999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5.0396999999999998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5.9504999999999999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6.2306999999999997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4.8422999999999998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5.2446999999999999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3.6128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1.3075000000000001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0.29980000000000001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-0.83189999999999997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-1.5535000000000001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6.7987000000000002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7.1807999999999996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6.8141999999999996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5.3079000000000001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5.0427999999999997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4.2892999999999999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3.9224000000000001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2.3231999999999999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1.4145000000000001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2.7688000000000001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1.6886000000000001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1.7199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9.2999999999999992E-3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1.0500000000000001E-2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1.09E-2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1.11E-2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1.14E-2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1.2999999999999999E-2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1.37E-2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1.7999999999999999E-2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2.06E-2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2.1999999999999999E-2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2.5700000000000001E-2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3.0099999999999998E-2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3.2199999999999999E-2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3.5200000000000002E-2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8.0000000000000004E-4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1.6000000000000001E-3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7.4999999999999997E-3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1.1599999999999999E-2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1.3599999999999999E-2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2.2000000000000001E-3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4.4000000000000003E-3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9.1000000000000004E-3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7.1999999999999998E-3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9.2999999999999992E-3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0.23500000000000001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0.2162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0.16919999999999999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9.4000000000000004E-3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1.8800000000000001E-2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0.27500000000000002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0.45100000000000001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0.34650000000000003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0.11549999999999999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0.13199999999999998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9.8999999999999991E-2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4.9499999999999995E-2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5.6798999999999999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38.365099999999998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34.820300000000003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40.377200000000002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41.471299999999999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7.8779000000000003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2.1709000000000001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5.96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5.4842000000000004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7.5194000000000001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8.1403999999999996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8.1904000000000003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12.219799999999999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3.7282000000000002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1.6942999999999999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5.1760999999999999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6.4951999999999996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7.1673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10.9808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4.1311999999999998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6.4311999999999996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6.0521000000000003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9.98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3.1880999999999999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5.0053999999999998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4.8540000000000001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5.3846999999999996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1.3815999999999999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-1.1295999999999999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-2.113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-2.488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-2.5546000000000002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6.8089000000000004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7.1448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4.5987999999999998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2.2410999999999999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1.3916999999999999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0.6946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0.23980000000000001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7.3000000000000001E-3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5.9799999999999999E-2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0.1133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0.14530000000000001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0.1661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0.16439999999999999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0.1767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0.17730000000000001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0.17649999999999999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0.1885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0.20180000000000001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0.2266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0.24660000000000001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0.2656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0.26600000000000001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0.26519999999999999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6.7999999999999996E-3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7.7000000000000002E-3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7.9000000000000008E-3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8.9999999999999993E-3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9.7999999999999997E-3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1.0500000000000001E-2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1.0500000000000001E-2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9.9000000000000008E-3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8.6999999999999994E-3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8.0999999999999996E-3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7.4999999999999997E-3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7.1000000000000004E-3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6.7000000000000002E-3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6.4000000000000003E-3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6.0000000000000001E-3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5.5999999999999999E-3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5.1999999999999998E-3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1.6199999999999999E-2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1.7899999999999999E-2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1.9800000000000002E-2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2.2700000000000001E-2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2.3699999999999999E-2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2.4E-2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2.3099999999999999E-2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2.1100000000000001E-2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2.0299999999999999E-2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1.9400000000000001E-2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1.8700000000000001E-2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1.8700000000000001E-2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1.8800000000000001E-2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1.89E-2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1.9099999999999999E-2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1.9400000000000001E-2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1.9699999999999999E-2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4.0000000000000002E-4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1.1000000000000001E-3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2.3999999999999998E-3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4.3E-3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6.1999999999999998E-3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7.1999999999999998E-3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7.6E-3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7.7000000000000002E-3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7.6E-3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7.6E-3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7.4999999999999997E-3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7.4999999999999997E-3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7.6E-3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7.7000000000000002E-3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7.7999999999999996E-3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7.9000000000000008E-3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8.0000000000000002E-3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2.0000000000000001E-4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5.9999999999999995E-4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1.1000000000000001E-3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1.8E-3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2.3E-3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2.8E-3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3.3E-3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3.5999999999999999E-3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3.3999999999999998E-3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3.3999999999999998E-3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3.3999999999999998E-3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3.7000000000000002E-3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3.7000000000000002E-3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3.7000000000000002E-3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3.7000000000000002E-3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3.7000000000000002E-3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4.0000000000000002E-4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6.9999999999999999E-4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5.0000000000000001E-4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2.0000000000000001E-4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2.9999999999999997E-4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1E-4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2.8988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1.5036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0.10929999999999999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-1.1158999999999999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-2.0901000000000001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-2.2235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-1.8165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-1.4901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-1.2325999999999999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-1.1454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-1.0738000000000001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-0.97099999999999997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-0.87250000000000005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-0.92789999999999995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-0.98460000000000003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-0.35120000000000001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0.28339999999999999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5.29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3.4981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2.4659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1.5505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0.86499999999999999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0.46460000000000001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0.61109999999999998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0.44519999999999998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0.155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6.3600000000000004E-2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-4.3499999999999997E-2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-0.10440000000000001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-0.17030000000000001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-0.1948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-0.2208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-0.23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-0.23830000000000001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6.4000000000000003E-3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5.1000000000000004E-3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3.8E-3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2.7000000000000001E-3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1.4E-3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1.1000000000000001E-3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6.9999999999999999E-4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4.0000000000000002E-4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2.0000000000000001E-4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6.7000000000000002E-3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7.4000000000000003E-3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7.7000000000000002E-3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8.0999999999999996E-3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8.5000000000000006E-3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8.6E-3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8.8000000000000005E-3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8.6999999999999994E-3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8.0000000000000002E-3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7.7000000000000002E-3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7.4000000000000003E-3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6.8999999999999999E-3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6.4999999999999997E-3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6.1000000000000004E-3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5.7000000000000002E-3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5.4000000000000003E-3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5.0000000000000001E-3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1.6E-2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1.7600000000000001E-2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1.9199999999999998E-2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2.07E-2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2.1299999999999999E-2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2.1100000000000001E-2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2.06E-2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1.95E-2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1.9E-2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1.8599999999999998E-2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1.8200000000000001E-2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1.84E-2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1.8499999999999999E-2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1.8599999999999998E-2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1.8700000000000001E-2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1.9E-2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1.9400000000000001E-2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4.0000000000000002E-4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1.1000000000000001E-3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2.2000000000000001E-3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3.5000000000000001E-3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4.7999999999999996E-3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5.4000000000000003E-3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5.8999999999999999E-3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6.3E-3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6.4999999999999997E-3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6.7000000000000002E-3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6.7999999999999996E-3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6.7999999999999996E-3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6.8999999999999999E-3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6.8999999999999999E-3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7.0000000000000001E-3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7.0000000000000001E-3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7.1000000000000004E-3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2.0000000000000001E-4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5.9999999999999995E-4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1.1999999999999999E-3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1.1999999999999999E-3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1.2999999999999999E-3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1.6000000000000001E-3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1.5E-3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2.2000000000000001E-3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2.5999999999999999E-3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2.8999999999999998E-3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3.3999999999999998E-3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3.8E-3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4.1999999999999997E-3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4.5999999999999999E-3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4.7000000000000002E-3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4.8999999999999998E-3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2.5999999999999999E-3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6.9999999999999999E-4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2.9999999999999997E-4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2.0000000000000001E-4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2.0000000000000001E-4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4.0000000000000002E-4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4.0000000000000002E-4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4.0000000000000002E-4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5.9999999999999995E-4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5.9999999999999995E-4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4.0000000000000002E-4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2.9999999999999997E-4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2.0000000000000001E-4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1E-4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1E-4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1E-4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1E-4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1E-4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2.9999999999999997E-4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2.9588000000000001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1.8044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0.28039999999999998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-0.45760000000000001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-1.0195000000000001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-1.3791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-0.40589999999999998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-0.52090000000000003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-0.58809999999999996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-0.55349999999999999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-0.50749999999999995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-0.80649999999999999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-1.0862000000000001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-0.91100000000000003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-0.72840000000000005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0.155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1.0533999999999999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5.3497000000000003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3.6408999999999998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2.7541000000000002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2.1339999999999999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1.7092000000000001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1.5262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2.7166000000000001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2.4445000000000001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2.2025999999999999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2.0474000000000001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1.9034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1.7583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1.6319999999999999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1.4471000000000001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1.2694000000000001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1.1137999999999999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0.97289999999999999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6.6E-3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5.3E-3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2.1700000000000001E-2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0.20430000000000001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0.38300000000000001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0.39500000000000002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0.44390000000000002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0.52429999999999999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0.58420000000000005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0.73429999999999995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0.68569999999999998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0.63880000000000003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0.54459999999999997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0.44750000000000001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0.43369999999999997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0.41970000000000002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6.8999999999999999E-3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7.4999999999999997E-3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7.7000000000000002E-3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8.3000000000000001E-3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1.0800000000000001E-2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1.1599999999999999E-2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1.0800000000000001E-2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8.6E-3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8.0000000000000002E-3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7.4999999999999997E-3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7.1000000000000004E-3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6.7000000000000002E-3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6.3E-3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6.0000000000000001E-3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5.5999999999999999E-3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5.1999999999999998E-3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1.6299999999999999E-2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1.77E-2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1.9E-2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2.12E-2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2.4199999999999999E-2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2.4899999999999999E-2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2.3400000000000001E-2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2.1000000000000001E-2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1.9599999999999999E-2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1.8700000000000001E-2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1.7999999999999999E-2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1.8100000000000002E-2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1.8200000000000001E-2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1.8200000000000001E-2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1.8200000000000001E-2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1.8599999999999998E-2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1.9E-2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4.0000000000000002E-4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1.1000000000000001E-3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2.2000000000000001E-3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3.7000000000000002E-3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5.5999999999999999E-3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6.6E-3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6.7000000000000002E-3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6.6E-3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6.4999999999999997E-3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6.4999999999999997E-3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6.4000000000000003E-3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6.4999999999999997E-3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6.4999999999999997E-3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6.6E-3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6.7000000000000002E-3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6.7999999999999996E-3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6.8999999999999999E-3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2.0000000000000001E-4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5.9999999999999995E-4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1E-3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1.1999999999999999E-3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1.4E-3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2.3E-3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3.2000000000000002E-3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3.7000000000000002E-3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4.4000000000000003E-3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4.7000000000000002E-3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5.7000000000000002E-3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5.5999999999999999E-3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5.4000000000000003E-3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5.3E-3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5.1000000000000004E-3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5.0000000000000001E-3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5.0000000000000001E-3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2.5999999999999999E-3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5.9999999999999995E-4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6.9999999999999999E-4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5.9999999999999995E-4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5.0000000000000001E-4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2.9999999999999997E-4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2.9999999999999997E-4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1E-4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2.9304000000000001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2.1093000000000002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1.0003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-2.0550999999999999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-4.4939999999999998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-5.4748000000000001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-5.5198999999999998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-5.0445000000000002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-4.2903000000000002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-4.0050999999999997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-3.7749000000000001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-3.3940999999999999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-3.0066000000000002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-2.8521000000000001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-2.6945999999999999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-1.9591000000000001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-1.2143999999999999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5.3223000000000003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3.5912999999999999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2.7652999999999999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2.0409000000000002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0.23530000000000001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-0.2064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-3.2399999999999998E-2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-0.1691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-0.39029999999999998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-0.52170000000000005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-0.70809999999999995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-0.66649999999999998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-0.61839999999999995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-0.52910000000000001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-0.43680000000000002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-0.42959999999999998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-0.41339999999999999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6.4999999999999997E-3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5.3E-3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2.93E-2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8.5199999999999998E-2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0.1094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0.12479999999999999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0.1278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0.12659999999999999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0.1308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0.1249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0.127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0.13900000000000001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0.158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0.16200000000000001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0.1668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6.7999999999999996E-3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7.4999999999999997E-3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7.7999999999999996E-3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8.0999999999999996E-3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9.1000000000000004E-3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9.4000000000000004E-3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9.7000000000000003E-3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9.4000000000000004E-3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8.3999999999999995E-3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7.9000000000000008E-3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7.4999999999999997E-3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7.1000000000000004E-3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6.7000000000000002E-3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6.3E-3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6.0000000000000001E-3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5.5999999999999999E-3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5.1999999999999998E-3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1.77E-2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1.9300000000000001E-2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2.1399999999999999E-2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2.3800000000000002E-2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2.35E-2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2.2499999999999999E-2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2.07E-2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1.9800000000000002E-2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1.9E-2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1.84E-2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1.84E-2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1.84E-2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1.8599999999999998E-2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1.8800000000000001E-2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1.9099999999999999E-2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1.9400000000000001E-2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4.0000000000000002E-4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2.2000000000000001E-3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3.5000000000000001E-3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5.0000000000000001E-3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5.4999999999999997E-3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6.0000000000000001E-3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6.3E-3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6.3E-3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6.4000000000000003E-3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6.4000000000000003E-3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6.4999999999999997E-3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6.4999999999999997E-3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6.6E-3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6.7000000000000002E-3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6.7999999999999996E-3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6.8999999999999999E-3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2.0000000000000001E-4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5.9999999999999995E-4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1E-3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1.1999999999999999E-3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1.4E-3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2.0999999999999999E-3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2.8E-3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3.3E-3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3.8E-3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3.5999999999999999E-3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3.3999999999999998E-3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3.3E-3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3.3999999999999998E-3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3.7000000000000002E-3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4.1999999999999997E-3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4.1000000000000003E-3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4.1000000000000003E-3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6.9999999999999999E-4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2.9999999999999997E-4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5.9999999999999995E-4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5.0000000000000001E-4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2.9999999999999997E-4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2.9999999999999997E-4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2.8990999999999998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1.9590000000000001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0.61460000000000004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-2.2732999999999999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-3.8668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-4.1973000000000003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-3.9133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-3.4744000000000002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-3.0185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-2.7645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-2.5127000000000002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-2.8401000000000001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-3.1707000000000001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-3.1966000000000001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-3.2208999999999999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-2.2429000000000001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-1.2658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5.2896000000000001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3.6177999999999999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2.7336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2.0085000000000002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0.70589999999999997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0.40789999999999998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0.65780000000000005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0.4879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0.31380000000000002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0.2114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0.10639999999999999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3.8199999999999998E-2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-3.3799999999999997E-2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-7.9399999999999998E-2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-0.1234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-0.13980000000000001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-0.15709999999999999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1.3899999999999999E-2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0.1643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0.25209999999999999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0.2702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0.27360000000000001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0.253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0.26950000000000002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0.2777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0.28920000000000001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0.307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0.3246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0.34820000000000001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0.36480000000000001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0.38379999999999997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0.39750000000000002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0.41949999999999998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6.8999999999999999E-3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6.7999999999999996E-3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6.4000000000000003E-3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6.1999999999999998E-3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5.7999999999999996E-3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5.3E-3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5.0000000000000001E-3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4.5999999999999999E-3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4.0000000000000001E-3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3.7000000000000002E-3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3.3999999999999998E-3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3.2000000000000002E-3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3.0000000000000001E-3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2.8999999999999998E-3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2.8E-3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2.7000000000000001E-3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2.5999999999999999E-3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1.6299999999999999E-2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1.84E-2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2.12E-2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2.3300000000000001E-2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2.3900000000000001E-2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2.3E-2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2.1899999999999999E-2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1.9900000000000001E-2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1.8499999999999999E-2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1.77E-2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1.6899999999999998E-2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1.6899999999999998E-2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1.7000000000000001E-2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1.7000000000000001E-2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1.7100000000000001E-2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1.72E-2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1.7299999999999999E-2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4.0000000000000002E-4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1.1999999999999999E-3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4.7999999999999996E-3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5.8999999999999999E-3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6.1999999999999998E-3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6.3E-3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6.7999999999999996E-3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6.7999999999999996E-3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6.7000000000000002E-3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6.4999999999999997E-3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6.4000000000000003E-3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6.3E-3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6.1999999999999998E-3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6.1999999999999998E-3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6.1000000000000004E-3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6.1000000000000004E-3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2.0000000000000001E-4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5.0000000000000001E-4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8.0000000000000004E-4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8.9999999999999998E-4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8.9999999999999998E-4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8.0000000000000004E-4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8.0000000000000004E-4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1.1000000000000001E-3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1.1000000000000001E-3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1.1000000000000001E-3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1.1000000000000001E-3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1.1000000000000001E-3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1.1999999999999999E-3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1.4E-3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1.6000000000000001E-3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2.5999999999999999E-3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5.9999999999999995E-4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5.9999999999999995E-4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4.0000000000000002E-4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1E-4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2.9999999999999997E-4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2.863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1.0898000000000001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-1.4669000000000001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-3.2964000000000002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-4.1631999999999998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-4.7183000000000002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-4.5669000000000004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-4.5875000000000004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-4.2880000000000003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-3.2825000000000002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-2.2885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-3.1126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-3.9413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-3.5282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-3.1202999999999999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-3.5790999999999999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-4.0412999999999997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5.2527999999999997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3.3969999999999998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1.6084000000000001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0.56069999999999998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5.91E-2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-0.104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4.6100000000000002E-2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1.7999999999999999E-2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-1.5800000000000002E-2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-5.1499999999999997E-2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-9.8599999999999993E-2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-0.15479999999999999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-0.216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-0.24160000000000001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-0.27229999999999999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-0.3135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-0.35780000000000001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1.24E-2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7.5399999999999995E-2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0.12709999999999999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0.15310000000000001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0.14269999999999999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0.13750000000000001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0.14349999999999999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0.1454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0.1426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0.15129999999999999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0.13200000000000001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0.1144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0.1171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0.1198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0.1399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0.1608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6.7000000000000002E-3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7.6E-3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7.7999999999999996E-3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8.8999999999999999E-3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0.01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9.4999999999999998E-3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8.3999999999999995E-3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8.0000000000000002E-3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7.6E-3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7.1000000000000004E-3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6.6E-3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6.1999999999999998E-3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5.7999999999999996E-3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5.4000000000000003E-3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5.1000000000000004E-3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1.5900000000000001E-2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1.77E-2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1.9599999999999999E-2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2.2499999999999999E-2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2.3900000000000001E-2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2.3599999999999999E-2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2.2499999999999999E-2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2.07E-2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0.02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1.9199999999999998E-2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1.8599999999999998E-2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1.8599999999999998E-2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1.8599999999999998E-2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1.8599999999999998E-2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1.8800000000000001E-2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1.9E-2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1.9300000000000001E-2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4.0000000000000002E-4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1.1000000000000001E-3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2.3E-3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3.8E-3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5.1999999999999998E-3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5.7999999999999996E-3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6.1999999999999998E-3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6.4000000000000003E-3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6.4999999999999997E-3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6.4999999999999997E-3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6.6E-3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6.7000000000000002E-3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6.7000000000000002E-3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6.7000000000000002E-3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6.7999999999999996E-3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6.8999999999999999E-3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7.0000000000000001E-3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2.0000000000000001E-4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5.9999999999999995E-4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1.9E-3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3.5000000000000001E-3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3.8999999999999998E-3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4.1999999999999997E-3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4.0000000000000001E-3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4.0000000000000001E-3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4.1000000000000003E-3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4.5999999999999999E-3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4.7000000000000002E-3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4.7999999999999996E-3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4.7000000000000002E-3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4.7000000000000002E-3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2.5999999999999999E-3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4.0000000000000002E-4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5.9999999999999995E-4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5.0000000000000001E-4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2.0000000000000001E-4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2.9999999999999997E-4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3.0396000000000001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1.2299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-0.50790000000000002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-1.57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-2.3641000000000001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-2.6392000000000002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-2.3791000000000002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-2.0888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-1.7339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-1.4596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-1.1969000000000001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-1.3832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-1.5645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-1.4168000000000001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-1.2781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-0.29170000000000001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0.69399999999999995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5.4302999999999999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3.5764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2.3582000000000001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1.4483999999999999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0.80500000000000005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0.53659999999999997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0.83699999999999997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0.60499999999999998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0.37659999999999999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0.25359999999999999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0.11890000000000001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8.7900000000000006E-2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6.08E-2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5.6099999999999997E-2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4.19E-2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1.2500000000000001E-2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-1.77E-2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1.2999999999999999E-2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0.32590000000000002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0.56530000000000002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0.6139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0.5403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0.46810000000000002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0.48559999999999998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0.48709999999999998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0.46779999999999999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0.50629999999999997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0.48609999999999998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0.49399999999999999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0.51670000000000005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0.53990000000000005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0.55940000000000001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0.57579999999999998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6.8999999999999999E-3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7.7000000000000002E-3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8.0999999999999996E-3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1.01E-2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1.2E-2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1.1599999999999999E-2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1.0699999999999999E-2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8.9999999999999993E-3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8.5000000000000006E-3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8.0000000000000002E-3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7.4999999999999997E-3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7.1000000000000004E-3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6.7999999999999996E-3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6.4000000000000003E-3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6.0000000000000001E-3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5.5999999999999999E-3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1.6199999999999999E-2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1.7999999999999999E-2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2.0500000000000001E-2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2.5000000000000001E-2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2.6499999999999999E-2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2.52E-2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2.3E-2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2.07E-2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1.9E-2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1.8200000000000001E-2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1.8200000000000001E-2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1.83E-2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1.8499999999999999E-2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1.8700000000000001E-2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1.9E-2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1.9400000000000001E-2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4.0000000000000002E-4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1.1000000000000001E-3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2.5999999999999999E-3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5.1999999999999998E-3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7.6E-3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8.0000000000000002E-3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7.9000000000000008E-3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7.7999999999999996E-3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7.7000000000000002E-3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7.6E-3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7.6E-3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7.6E-3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7.6E-3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7.7000000000000002E-3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7.7999999999999996E-3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7.9000000000000008E-3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8.0000000000000002E-3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2.0000000000000001E-4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5.9999999999999995E-4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1.4E-3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2.3999999999999998E-3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2.7000000000000001E-3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3.0999999999999999E-3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3.0999999999999999E-3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3.3E-3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3.5000000000000001E-3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3.3E-3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3.5999999999999999E-3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3.8E-3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4.3E-3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4.4999999999999997E-3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4.5999999999999999E-3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4.7000000000000002E-3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4.7000000000000002E-3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2.5999999999999999E-3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4.0000000000000002E-4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6.9999999999999999E-4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5.0000000000000001E-4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1E-4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2.9999999999999997E-4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1E-4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2.9289000000000001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1.3347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-1.1387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-3.6709999999999998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-4.2182000000000004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-3.7056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-2.9137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-2.6034000000000002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-2.29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-1.3017000000000001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-0.35709999999999997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-1.1664000000000001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-2.0051000000000001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-1.4894000000000001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-0.97409999999999997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-1.3861000000000001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-1.8059000000000001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5.3219000000000003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3.4922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1.7331000000000001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0.161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-0.50019999999999998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-0.42830000000000001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-0.25600000000000001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-0.30659999999999998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-0.4325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-0.44469999999999998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-0.50070000000000003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-0.4803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-0.48959999999999998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-0.51449999999999996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-0.53979999999999995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-0.55610000000000004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-0.58030000000000004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1.2699999999999999E-2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5.6399999999999999E-2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0.1137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0.14860000000000001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0.16589999999999999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0.1656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0.17699999999999999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0.1792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0.17780000000000001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0.19120000000000001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0.2046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0.22800000000000001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0.2429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0.25800000000000001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0.2601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0.26100000000000001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6.7999999999999996E-3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7.6E-3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7.7000000000000002E-3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8.8000000000000005E-3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9.7999999999999997E-3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1.0500000000000001E-2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1.06E-2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8.8000000000000005E-3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8.2000000000000007E-3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7.7000000000000002E-3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7.3000000000000001E-3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6.8999999999999999E-3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6.4999999999999997E-3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6.1999999999999998E-3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5.7999999999999996E-3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5.4000000000000003E-3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1.61E-2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1.78E-2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1.9699999999999999E-2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2.2499999999999999E-2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2.35E-2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2.41E-2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2.3300000000000001E-2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2.1399999999999999E-2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2.0500000000000001E-2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1.9699999999999999E-2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1.9E-2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1.9099999999999999E-2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1.9199999999999998E-2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1.9300000000000001E-2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1.95E-2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1.9900000000000001E-2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2.0299999999999999E-2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4.0000000000000002E-4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2.3999999999999998E-3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4.3E-3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6.3E-3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7.3000000000000001E-3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7.7999999999999996E-3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7.7999999999999996E-3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7.7999999999999996E-3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7.7000000000000002E-3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7.7000000000000002E-3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7.7000000000000002E-3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7.7999999999999996E-3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7.9000000000000008E-3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8.0000000000000002E-3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8.2000000000000007E-3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8.3000000000000001E-3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2.0000000000000001E-4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5.9999999999999995E-4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1E-3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1.4E-3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1.6999999999999999E-3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2.3E-3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2.8E-3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3.3E-3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3.5999999999999999E-3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3.3999999999999998E-3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3.3999999999999998E-3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3.3999999999999998E-3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3.7000000000000002E-3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3.7000000000000002E-3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3.7000000000000002E-3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3.7000000000000002E-3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3.7000000000000002E-3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2.5999999999999999E-3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5.9999999999999995E-4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6.9999999999999999E-4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5.9999999999999995E-4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2.9999999999999997E-4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2.9999999999999997E-4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1E-4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2.8992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1.3219000000000001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-7.9000000000000001E-2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-1.4751000000000001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-2.2654999999999998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-2.4325999999999999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-1.9598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-1.6692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-1.3705000000000001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-1.3012999999999999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-1.2432000000000001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-1.0945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-0.9456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-0.9607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-0.97599999999999998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-0.34920000000000001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0.2792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5.29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3.5226000000000002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2.4851000000000001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1.6022000000000001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0.9093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0.4793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0.65010000000000001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0.39789999999999998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0.12139999999999999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2.5399999999999999E-2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-8.2000000000000003E-2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-0.1331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-0.1845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-0.20130000000000001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-0.21829999999999999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-0.22900000000000001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-0.23830000000000001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7.0000000000000001E-3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5.8999999999999999E-3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4.4999999999999997E-3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3.0999999999999999E-3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2.3999999999999998E-3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1.6000000000000001E-3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1.2999999999999999E-3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1.1999999999999999E-3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1E-3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5.9999999999999995E-4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2.9999999999999997E-4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6.7000000000000002E-3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7.4000000000000003E-3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7.7000000000000002E-3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8.0999999999999996E-3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8.5000000000000006E-3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8.6999999999999994E-3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8.8999999999999999E-3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8.8000000000000005E-3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8.2000000000000007E-3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7.7999999999999996E-3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7.4999999999999997E-3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7.1000000000000004E-3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6.7999999999999996E-3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6.4000000000000003E-3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6.0000000000000001E-3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5.5999999999999999E-3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5.3E-3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1.5900000000000001E-2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1.7600000000000001E-2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1.9300000000000001E-2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2.0799999999999999E-2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2.1499999999999998E-2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2.1399999999999999E-2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2.0899999999999998E-2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1.9800000000000002E-2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1.9300000000000001E-2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1.89E-2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1.8599999999999998E-2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1.89E-2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1.9199999999999998E-2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1.9300000000000001E-2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1.95E-2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1.9800000000000002E-2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2.0199999999999999E-2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4.0000000000000002E-4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1.1000000000000001E-3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2.2000000000000001E-3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3.5000000000000001E-3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4.7999999999999996E-3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5.4999999999999997E-3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5.8999999999999999E-3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6.3E-3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6.6E-3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6.7000000000000002E-3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6.8999999999999999E-3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7.0000000000000001E-3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7.1000000000000004E-3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7.1000000000000004E-3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7.1999999999999998E-3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7.3000000000000001E-3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7.4000000000000003E-3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2.0000000000000001E-4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5.9999999999999995E-4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1E-3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1.1999999999999999E-3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1.2999999999999999E-3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1.6000000000000001E-3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1.5E-3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2.3999999999999998E-3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2.8999999999999998E-3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3.3E-3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3.8E-3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4.3E-3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4.7000000000000002E-3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5.0000000000000001E-3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5.1999999999999998E-3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5.4000000000000003E-3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2.5999999999999999E-3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6.9999999999999999E-4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2.9999999999999997E-4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2.0000000000000001E-4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2.9999999999999997E-4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4.0000000000000002E-4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5.0000000000000001E-4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5.9999999999999995E-4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5.9999999999999995E-4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5.9999999999999995E-4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5.9999999999999995E-4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5.9999999999999995E-4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5.0000000000000001E-4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2.9999999999999997E-4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2.0000000000000001E-4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1E-4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1E-4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1E-4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1E-4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1E-4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2.9999999999999997E-4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2.9881000000000002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1.8295999999999999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0.28210000000000002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-0.442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-0.99339999999999995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-1.3633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-0.33410000000000001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-0.40379999999999999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-0.44040000000000001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-0.43109999999999998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-0.40600000000000003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-0.75029999999999997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-1.0746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-0.92500000000000004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-0.77200000000000002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0.14030000000000001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1.0409999999999999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5.3791000000000002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3.6598999999999999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2.7528000000000001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2.1497000000000002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1.7310000000000001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1.5343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2.7768000000000002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2.5476000000000001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2.3412000000000002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2.1608999999999998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1.9958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1.8101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1.6437999999999999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1.4397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1.2388999999999999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1.1126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0.97460000000000002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7.1999999999999998E-3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6.1999999999999998E-3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2.2599999999999999E-2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0.19120000000000001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0.37609999999999999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0.3861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0.433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0.51419999999999999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0.55689999999999995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0.67079999999999995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0.63109999999999999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0.59109999999999996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0.51119999999999999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0.43140000000000001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0.41880000000000001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0.40610000000000002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6.8999999999999999E-3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7.4999999999999997E-3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7.7000000000000002E-3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8.3999999999999995E-3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1.0800000000000001E-2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1.18E-2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1.0999999999999999E-2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8.8000000000000005E-3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8.2000000000000007E-3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7.6E-3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7.1999999999999998E-3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6.8999999999999999E-3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6.4999999999999997E-3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6.1000000000000004E-3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5.7000000000000002E-3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5.3E-3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1.6299999999999999E-2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1.77E-2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1.9E-2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2.12E-2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2.4199999999999999E-2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2.5100000000000001E-2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2.3599999999999999E-2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2.1299999999999999E-2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1.9900000000000001E-2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1.9E-2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1.84E-2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1.84E-2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1.8499999999999999E-2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1.8599999999999998E-2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1.8700000000000001E-2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1.9099999999999999E-2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1.95E-2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4.0000000000000002E-4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1.1000000000000001E-3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2.2000000000000001E-3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3.7000000000000002E-3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5.5999999999999999E-3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6.7000000000000002E-3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6.7999999999999996E-3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6.7000000000000002E-3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6.6E-3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6.4999999999999997E-3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6.4999999999999997E-3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6.4999999999999997E-3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6.6E-3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6.7000000000000002E-3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6.7999999999999996E-3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6.8999999999999999E-3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7.0000000000000001E-3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2.0000000000000001E-4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5.9999999999999995E-4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1E-3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1.1999999999999999E-3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1.5E-3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2.3E-3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3.2000000000000002E-3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3.8E-3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4.4000000000000003E-3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4.5999999999999999E-3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5.4000000000000003E-3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5.3E-3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5.3E-3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5.1999999999999998E-3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5.1000000000000004E-3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5.0000000000000001E-3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5.0000000000000001E-3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2.5999999999999999E-3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6.9999999999999999E-4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2.9999999999999997E-4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6.9999999999999999E-4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6.9999999999999999E-4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5.0000000000000001E-4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2.9999999999999997E-4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2.9999999999999997E-4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1E-4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2.9508000000000001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2.1345999999999998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1.0083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-2.1076999999999999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-4.4569000000000001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-5.3053999999999997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-5.1830999999999996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-4.5701999999999998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-3.7995999999999999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-3.5430000000000001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-3.3342000000000001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-3.0118999999999998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-2.6920000000000002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-2.5777999999999999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-2.4634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-1.7526999999999999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-1.0339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5.3429000000000002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3.6105999999999998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2.7709999999999999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2.0661999999999998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0.25740000000000002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-0.1978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-0.13519999999999999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-0.21410000000000001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-0.38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-0.49109999999999998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-0.65010000000000001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-0.61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-0.5726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-0.496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-0.41920000000000002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-0.4123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-0.3972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7.0000000000000001E-3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6.0000000000000001E-3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1.1900000000000001E-2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3.3399999999999999E-2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7.7799999999999994E-2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9.7100000000000006E-2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0.1061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0.109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0.1123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9.8000000000000004E-2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8.5999999999999993E-2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0.1031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0.12809999999999999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0.1381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0.14799999999999999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6.7000000000000002E-3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7.4000000000000003E-3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7.7000000000000002E-3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8.0000000000000002E-3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8.9999999999999993E-3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9.5999999999999992E-3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9.5999999999999992E-3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8.6E-3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8.2000000000000007E-3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7.7000000000000002E-3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7.3000000000000001E-3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6.8999999999999999E-3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6.4000000000000003E-3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6.0000000000000001E-3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5.5999999999999999E-3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5.3E-3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1.5900000000000001E-2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1.7399999999999999E-2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1.9E-2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2.1100000000000001E-2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2.35E-2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2.3699999999999999E-2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2.2599999999999999E-2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2.0799999999999999E-2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0.02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1.9300000000000001E-2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1.8700000000000001E-2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1.8800000000000001E-2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1.89E-2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1.9E-2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1.9199999999999998E-2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1.95E-2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1.9900000000000001E-2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4.0000000000000002E-4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1.1000000000000001E-3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2.2000000000000001E-3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3.5999999999999999E-3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5.0000000000000001E-3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5.7999999999999996E-3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6.3E-3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6.4000000000000003E-3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6.4999999999999997E-3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6.6E-3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6.6E-3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6.7000000000000002E-3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6.7999999999999996E-3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6.8999999999999999E-3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6.8999999999999999E-3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7.0000000000000001E-3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7.1000000000000004E-3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2.0000000000000001E-4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5.9999999999999995E-4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1.1999999999999999E-3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1.2999999999999999E-3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1.8E-3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2.5999999999999999E-3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3.2000000000000002E-3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3.7000000000000002E-3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3.5999999999999999E-3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3.5000000000000001E-3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3.3999999999999998E-3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3.5999999999999999E-3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3.8999999999999998E-3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4.4999999999999997E-3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4.4000000000000003E-3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4.4000000000000003E-3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6.9999999999999999E-4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2.9999999999999997E-4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5.9999999999999995E-4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5.9999999999999995E-4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5.0000000000000001E-4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2.9999999999999997E-4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2.9999999999999997E-4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3.0550999999999999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2.0707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0.68520000000000003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-1.7747999999999999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-3.4979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-4.2691999999999997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-4.1694000000000004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-3.7446000000000002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-3.2450999999999999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-2.9224999999999999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-2.6061000000000001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-2.7965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-2.9893000000000001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-2.8752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-2.7646999999999999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-1.7461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-0.73429999999999995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5.4462000000000002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3.7235999999999998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2.8022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2.0476999999999999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0.85429999999999995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0.46400000000000002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0.70530000000000004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0.55230000000000001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0.379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0.2833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0.18140000000000001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0.14369999999999999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0.1033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3.7600000000000001E-2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-3.2000000000000001E-2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-5.45E-2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-8.3799999999999999E-2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1.3899999999999999E-2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0.16819999999999999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0.25609999999999999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0.2712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0.26979999999999998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0.2429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0.2452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0.2402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0.25659999999999999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0.29820000000000002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0.32650000000000001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0.36259999999999998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0.3836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0.40460000000000002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0.42780000000000001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0.4511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6.8999999999999999E-3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6.7999999999999996E-3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6.4000000000000003E-3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6.1999999999999998E-3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5.8999999999999999E-3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5.4999999999999997E-3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5.1999999999999998E-3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4.7000000000000002E-3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4.0000000000000001E-3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3.7000000000000002E-3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3.5000000000000001E-3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3.2000000000000002E-3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3.0999999999999999E-3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3.0000000000000001E-3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2.8999999999999998E-3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2.8E-3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2.8E-3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1.6299999999999999E-2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1.84E-2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2.12E-2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2.3300000000000001E-2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2.41E-2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2.3400000000000001E-2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2.24E-2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2.01E-2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1.8599999999999998E-2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1.7899999999999999E-2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1.72E-2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1.72E-2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1.7299999999999999E-2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1.7299999999999999E-2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1.7399999999999999E-2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1.7600000000000001E-2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1.78E-2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4.0000000000000002E-4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1.1999999999999999E-3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2.8E-3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4.7000000000000002E-3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5.8999999999999999E-3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6.1999999999999998E-3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6.1000000000000004E-3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6.7000000000000002E-3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6.7000000000000002E-3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6.6E-3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6.4999999999999997E-3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6.3E-3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6.1999999999999998E-3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6.1999999999999998E-3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6.1999999999999998E-3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6.1999999999999998E-3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6.1999999999999998E-3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2.0000000000000001E-4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5.0000000000000001E-4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8.0000000000000004E-4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8.9999999999999998E-4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8.9999999999999998E-4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8.0000000000000004E-4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1E-3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1.2999999999999999E-3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1.2999999999999999E-3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1.4E-3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1.5E-3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1.5E-3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1.6000000000000001E-3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1.6000000000000001E-3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1.6000000000000001E-3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1.6000000000000001E-3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2.5999999999999999E-3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5.9999999999999995E-4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5.9999999999999995E-4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5.0000000000000001E-4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1E-4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2.9999999999999997E-4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2.8622999999999998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0.84799999999999998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-1.7406999999999999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-3.4157000000000002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-4.0156000000000001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-4.4622000000000002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-4.5441000000000003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-4.6959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-4.3739999999999997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-3.2755999999999998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-2.2082999999999999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-2.8854000000000002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-3.5670999999999999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-2.976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-2.387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-2.8955000000000002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-3.4049999999999998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5.2521000000000004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3.3925999999999998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1.6172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0.56200000000000006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5.7799999999999997E-2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-0.1069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4.6300000000000001E-2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-2.7699999999999999E-2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-5.8799999999999998E-2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-0.107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-0.1862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-0.2306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-0.27979999999999999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-0.307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-0.33639999999999998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-0.3654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-0.39529999999999998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1.2200000000000001E-2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7.6100000000000001E-2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0.1293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0.15509999999999999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0.14549999999999999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0.13750000000000001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0.14510000000000001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0.14660000000000001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0.14349999999999999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0.15090000000000001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0.12590000000000001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0.1012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9.9099999999999994E-2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9.7500000000000003E-2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0.115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0.1331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6.7000000000000002E-3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7.6E-3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7.7999999999999996E-3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8.8999999999999999E-3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1.03E-2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9.5999999999999992E-3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8.6E-3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8.0999999999999996E-3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7.7000000000000002E-3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7.1999999999999998E-3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6.7999999999999996E-3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6.3E-3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5.8999999999999999E-3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5.5999999999999999E-3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5.1999999999999998E-3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1.5900000000000001E-2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1.77E-2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1.9599999999999999E-2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2.2499999999999999E-2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2.3900000000000001E-2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2.3699999999999999E-2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2.2700000000000001E-2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2.0899999999999998E-2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2.0199999999999999E-2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1.9599999999999999E-2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1.9E-2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1.9099999999999999E-2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1.9099999999999999E-2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1.9199999999999998E-2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1.9300000000000001E-2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1.9599999999999999E-2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2.01E-2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4.0000000000000002E-4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1.1000000000000001E-3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2.3E-3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3.8E-3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5.1999999999999998E-3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5.7999999999999996E-3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6.1999999999999998E-3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6.4000000000000003E-3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6.4999999999999997E-3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6.6E-3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6.7000000000000002E-3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6.7000000000000002E-3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6.7999999999999996E-3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6.8999999999999999E-3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6.8999999999999999E-3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7.0000000000000001E-3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7.1999999999999998E-3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2.0000000000000001E-4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5.9999999999999995E-4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1.4E-3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1.9E-3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3.5000000000000001E-3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4.0000000000000001E-3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4.3E-3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4.1000000000000003E-3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4.1000000000000003E-3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4.1999999999999997E-3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4.7000000000000002E-3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4.7999999999999996E-3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4.8999999999999998E-3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4.8999999999999998E-3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4.7999999999999996E-3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2.5999999999999999E-3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4.0000000000000002E-4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5.9999999999999995E-4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5.0000000000000001E-4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2.0000000000000001E-4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2.9999999999999997E-4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3.0396000000000001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1.3826000000000001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-0.34589999999999999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-1.4058999999999999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-2.2128000000000001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-2.4876999999999998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-2.2374999999999998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-1.8621000000000001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-1.5049999999999999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-1.2443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-0.99870000000000003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-1.1972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-1.399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-1.2582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-1.1218999999999999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-0.12759999999999999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0.86199999999999999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5.4302000000000001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3.57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2.3574999999999999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1.4511000000000001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0.81179999999999997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0.54349999999999998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0.82709999999999995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0.66949999999999998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0.43280000000000002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0.3009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0.15390000000000001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0.1229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8.77E-2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8.3000000000000004E-2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7.3499999999999996E-2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4.6800000000000001E-2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1.54E-2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1.3100000000000001E-2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0.33179999999999998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0.58050000000000002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0.63080000000000003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0.54269999999999996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0.4738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0.48570000000000002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0.47749999999999998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0.45019999999999999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0.44979999999999998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0.45129999999999998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0.49590000000000001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0.5171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0.53869999999999996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0.55689999999999995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0.57509999999999994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7.0000000000000001E-3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8.0000000000000002E-3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8.3999999999999995E-3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1.0500000000000001E-2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1.23E-2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1.17E-2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1.0800000000000001E-2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1.0200000000000001E-2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9.1999999999999998E-3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8.6E-3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8.2000000000000007E-3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7.7000000000000002E-3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7.3000000000000001E-3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7.0000000000000001E-3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6.7000000000000002E-3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6.3E-3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5.8999999999999999E-3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1.61E-2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1.7899999999999999E-2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2.0299999999999999E-2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2.47E-2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2.5999999999999999E-2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2.4299999999999999E-2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2.23E-2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2.01E-2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1.9400000000000001E-2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1.8499999999999999E-2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1.78E-2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1.7999999999999999E-2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1.8200000000000001E-2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1.8599999999999998E-2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1.9E-2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1.9599999999999999E-2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2.0199999999999999E-2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4.0000000000000002E-4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1.1999999999999999E-3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2.5999999999999999E-3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5.3E-3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7.6E-3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8.0000000000000002E-3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7.9000000000000008E-3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7.9000000000000008E-3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7.9000000000000008E-3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7.9000000000000008E-3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7.9000000000000008E-3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8.0000000000000002E-3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8.0999999999999996E-3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8.2000000000000007E-3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8.3999999999999995E-3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8.5000000000000006E-3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8.6E-3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2.0000000000000001E-4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5.9999999999999995E-4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2.3999999999999998E-3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2.8E-3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3.2000000000000002E-3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3.3E-3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3.3999999999999998E-3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3.5000000000000001E-3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3.3E-3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3.3999999999999998E-3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3.5999999999999999E-3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4.4000000000000003E-3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4.4999999999999997E-3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4.7000000000000002E-3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4.7000000000000002E-3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4.7999999999999996E-3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2.5999999999999999E-3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4.0000000000000002E-4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6.9999999999999999E-4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5.0000000000000001E-4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2.0000000000000001E-4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2.9999999999999997E-4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2.9830999999999999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1.1694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-1.3927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-3.5587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-4.3137999999999996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-3.7862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-3.0729000000000002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-2.6983999999999999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-2.2726000000000002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-1.2754000000000001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-0.29680000000000001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-1.1466000000000001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-2.0301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-1.5204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-1.0107999999999999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-1.4384999999999999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-1.8557999999999999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5.3746999999999998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3.53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1.6850000000000001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0.12139999999999999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-0.53649999999999998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-0.436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-0.34889999999999999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-0.3851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-0.42070000000000002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-0.42080000000000001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-0.43969999999999998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-0.44640000000000002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-0.48720000000000002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-0.51080000000000003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-0.53459999999999996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-0.55989999999999995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-0.57499999999999996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1.2800000000000001E-2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6.1899999999999997E-2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0.12790000000000001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0.16350000000000001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0.17879999999999999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0.1759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6.7999999999999996E-3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7.6E-3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7.7000000000000002E-3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8.8999999999999999E-3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9.7999999999999997E-3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1.06E-2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1.0699999999999999E-2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1.61E-2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1.78E-2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1.9800000000000002E-2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2.2599999999999999E-2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2.3800000000000002E-2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2.4400000000000002E-2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2.35E-2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4.0000000000000002E-4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1.1000000000000001E-3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2.3999999999999998E-3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4.4000000000000003E-3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6.3E-3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7.4000000000000003E-3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7.7999999999999996E-3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2.0000000000000001E-4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5.9999999999999995E-4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1.1000000000000001E-3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1.5E-3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1.8E-3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2.3E-3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2.8E-3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2.5999999999999999E-3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5.9999999999999995E-4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6.9999999999999999E-4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5.9999999999999995E-4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2.9999999999999997E-4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2.9999999999999997E-4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1E-4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2.8980000000000001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1.3706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-1.04E-2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-1.1977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-1.9602999999999999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-2.1012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-1.6201000000000001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5.2892999999999999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3.5567000000000002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2.5112999999999999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1.625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0.8982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0.44869999999999999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0.61990000000000001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8.3999999999999995E-3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7.1999999999999998E-3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5.4000000000000003E-3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3.5000000000000001E-3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2.8E-3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1.9E-3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6.8999999999999999E-3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7.7000000000000002E-3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7.7000000000000002E-3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8.0000000000000002E-3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8.3999999999999995E-3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8.5000000000000006E-3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8.6999999999999994E-3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1.6500000000000001E-2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1.83E-2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1.9400000000000001E-2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2.0799999999999999E-2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2.1499999999999998E-2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2.12E-2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2.0799999999999999E-2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4.0000000000000002E-4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2.0999999999999999E-3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3.5000000000000001E-3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4.7000000000000002E-3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5.4000000000000003E-3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5.7999999999999996E-3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2.0000000000000001E-4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5.9999999999999995E-4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1E-3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1.2999999999999999E-3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1.4E-3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1.6999999999999999E-3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2.7000000000000001E-3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6.9999999999999999E-4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2.9999999999999997E-4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6.9999999999999999E-4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6.9999999999999999E-4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5.0000000000000001E-4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2.9999999999999997E-4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2.0000000000000001E-4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2.9999999999999997E-4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1E-4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2.7593999999999999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1.6375999999999999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0.1492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-0.49680000000000002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-0.97330000000000005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-1.3432999999999999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-0.31850000000000001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5.1497000000000002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3.4765999999999999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2.6255000000000002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2.0924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1.7503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1.5507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2.7812999999999999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8.3999999999999995E-3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7.1999999999999998E-3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2.1600000000000001E-2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0.17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0.3397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0.34610000000000002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6.8999999999999999E-3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7.6E-3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7.4999999999999997E-3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8.0999999999999996E-3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1.0999999999999999E-2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1.2E-2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1.11E-2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1.6500000000000001E-2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1.84E-2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1.95E-2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2.1600000000000001E-2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2.46E-2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2.5600000000000001E-2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2.41E-2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4.0000000000000002E-4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2.0999999999999999E-3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3.7000000000000002E-3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5.7000000000000002E-3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6.7000000000000002E-3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6.7999999999999996E-3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2.0000000000000001E-4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5.9999999999999995E-4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1E-3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1.1999999999999999E-3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1.5E-3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2.3E-3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3.2000000000000002E-3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2.7000000000000001E-3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6.9999999999999999E-4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2.9999999999999997E-4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6.9999999999999999E-4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5.9999999999999995E-4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4.0000000000000002E-4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2.0000000000000001E-4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2.9999999999999997E-4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1E-4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2.7410000000000001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1.9541999999999999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0.83979999999999999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-1.9387000000000001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-4.3009000000000004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-5.1809000000000003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-5.1280999999999999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5.1319999999999997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3.4384000000000001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2.6055000000000001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2.1030000000000002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0.30280000000000001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-0.1628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-0.14399999999999999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8.3999999999999995E-3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7.1000000000000004E-3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1.34E-2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4.8800000000000003E-2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6.3E-2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7.5200000000000003E-2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6.7000000000000002E-3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7.4000000000000003E-3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7.6E-3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7.9000000000000008E-3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8.9999999999999993E-3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9.9000000000000008E-3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1.6199999999999999E-2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1.78E-2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1.9400000000000001E-2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2.1600000000000001E-2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2.4199999999999999E-2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2.4400000000000002E-2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2.3E-2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4.0000000000000002E-4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2.0999999999999999E-3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3.5000000000000001E-3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5.1000000000000004E-3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5.8999999999999999E-3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6.4000000000000003E-3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2.0000000000000001E-4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5.9999999999999995E-4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1.1999999999999999E-3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1.2999999999999999E-3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2.8999999999999998E-3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2.5999999999999999E-3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6.9999999999999999E-4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2.9999999999999997E-4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6.9999999999999999E-4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5.9999999999999995E-4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4.0000000000000002E-4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2.9999999999999997E-4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2.9999999999999997E-4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1E-4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2.8805000000000001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1.8992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0.57789999999999997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-1.9148000000000001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-3.7902999999999998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-4.6292999999999997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-4.6520000000000001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5.2717999999999998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3.5630000000000002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2.7040000000000002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2.0506000000000002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0.90249999999999997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0.43259999999999998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0.54349999999999998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1.3899999999999999E-2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0.1694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0.25850000000000001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0.28060000000000002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0.28320000000000001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0.25900000000000001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7.1999999999999998E-3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7.1000000000000004E-3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6.4999999999999997E-3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6.3E-3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5.8999999999999999E-3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5.3E-3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5.0000000000000001E-3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1.6299999999999999E-2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1.8499999999999999E-2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2.1000000000000001E-2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2.2800000000000001E-2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2.3300000000000001E-2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2.24E-2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2.12E-2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4.0000000000000002E-4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1.1999999999999999E-3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4.7999999999999996E-3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6.0000000000000001E-3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6.1999999999999998E-3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6.1000000000000004E-3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2.0000000000000001E-4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5.0000000000000001E-4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8.0000000000000004E-4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8.9999999999999998E-4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8.9999999999999998E-4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8.9999999999999998E-4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2.5999999999999999E-3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5.9999999999999995E-4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5.9999999999999995E-4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5.0000000000000001E-4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1E-4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2.9999999999999997E-4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2.9011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1.097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-1.5399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-3.3399000000000001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-4.1085000000000003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-4.5880999999999998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-4.3377999999999997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5.2889999999999997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3.4409999999999998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1.5765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0.54039999999999999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3.6600000000000001E-2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-0.13389999999999999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6.7999999999999996E-3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1.24E-2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9.1300000000000006E-2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0.14990000000000001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0.17649999999999999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0.1613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0.15179999999999999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6.7000000000000002E-3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7.6E-3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7.9000000000000008E-3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8.9999999999999993E-3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1.0200000000000001E-2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1.0500000000000001E-2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1.0200000000000001E-2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1.5900000000000001E-2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1.77E-2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1.9699999999999999E-2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2.2800000000000001E-2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2.4299999999999999E-2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2.4E-2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2.2800000000000001E-2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4.0000000000000002E-4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1.1000000000000001E-3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2.3E-3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3.8E-3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5.3E-3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5.8999999999999999E-3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6.3E-3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2.0000000000000001E-4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5.9999999999999995E-4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1.4E-3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2.8E-3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3.5000000000000001E-3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2.5999999999999999E-3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4.0000000000000002E-4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5.9999999999999995E-4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5.9999999999999995E-4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2.0000000000000001E-4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2.9999999999999997E-4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3.0390000000000001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1.2736000000000001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-0.4884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-1.5871999999999999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-2.4014000000000002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-2.6425999999999998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-2.3512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5.4297000000000004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3.5973000000000002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2.3609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1.4233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0.75309999999999999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0.51170000000000004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0.83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1.2999999999999999E-2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0.3357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0.59819999999999995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0.65049999999999997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0.56730000000000003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0.50039999999999996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7.0000000000000001E-3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8.0000000000000002E-3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8.3999999999999995E-3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1.0500000000000001E-2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1.2200000000000001E-2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1.18E-2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1.09E-2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1.61E-2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1.7999999999999999E-2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2.0299999999999999E-2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2.47E-2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2.5999999999999999E-2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2.4400000000000002E-2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2.23E-2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4.0000000000000002E-4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1.1999999999999999E-3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2.7000000000000001E-3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5.4000000000000003E-3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7.6E-3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8.0000000000000002E-3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8.0000000000000002E-3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2.0000000000000001E-4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5.9999999999999995E-4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2.3999999999999998E-3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2.8E-3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3.2000000000000002E-3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3.3E-3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2.5999999999999999E-3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4.0000000000000002E-4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6.9999999999999999E-4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5.0000000000000001E-4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2.0000000000000001E-4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2.9999999999999997E-4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2.9830000000000001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1.1876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-1.4787999999999999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-3.7513000000000001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-4.4474999999999998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-3.9641000000000002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-3.198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5.3746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3.5604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1.6794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8.3299999999999999E-2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-0.55369999999999997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-0.46610000000000001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-0.313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2025-09-25T11:16:18Z</dcterms:modified>
</cp:coreProperties>
</file>