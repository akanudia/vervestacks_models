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13_ncr:1_{072322E3-A1DC-4A0C-93E6-D997B338DE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J15" i="1"/>
  <c r="U23" i="1" s="1"/>
  <c r="L15" i="1"/>
  <c r="W23" i="1" s="1"/>
  <c r="N15" i="1"/>
  <c r="Y23" i="1" s="1"/>
  <c r="M15" i="1"/>
  <c r="X23" i="1" s="1"/>
  <c r="K15" i="1"/>
  <c r="V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<sst xmlns="http://schemas.openxmlformats.org/spreadsheetml/2006/main" count="1727" uniqueCount="126">
  <si>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</si>
  <si>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</si>
  <si>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</si>
  <si>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</si>
  <si>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</si>
  <si>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</si>
  <si>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</si>
  <si>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</si>
  <si>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</si>
  <si>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</si>
  <si>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</si>
  <si>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</si>
  <si>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</si>
  <si>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</si>
  <si>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</si>
  <si>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</si>
  <si>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</si>
  <si>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</si>
  <si>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</si>
  <si>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</si>
  <si>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</si>
  <si>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</si>
  <si>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</si>
  <si>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</si>
  <si>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</si>
  <si>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</si>
  <si>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</si>
  <si>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</si>
  <si>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</si>
  <si>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</si>
  <si>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</si>
  <si>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</si>
  <si>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</si>
  <si>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</si>
  <si>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</si>
  <si>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</si>
  <si>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</si>
  <si>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</si>
  <si>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</si>
  <si>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</si>
  <si>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</si>
  <si>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</si>
  <si>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</si>
  <si>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</si>
  <si>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</si>
  <si>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</si>
  <si>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</si>
  <si>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</si>
  <si>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</si>
  <si>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</si>
  <si>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</si>
  <si>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</si>
  <si>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</si>
  <si>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</si>
  <si>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</si>
  <si>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</si>
  <si>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</si>
  <si>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</si>
  <si>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</si>
  <si>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</si>
  <si>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</si>
  <si>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</si>
  <si>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</si>
  <si>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</si>
  <si>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</si>
  <si>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</si>
  <si>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</si>
  <si>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</si>
  <si>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</si>
  <si>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</si>
  <si>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</si>
  <si>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</si>
  <si>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</si>
  <si>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</si>
  <si>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</si>
  <si>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</si>
  <si>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</si>
  <si>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</si>
  <si>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</si>
  <si>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</si>
  <si>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</si>
  <si>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</si>
  <si>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</si>
  <si>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</si>
  <si>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</si>
  <si>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</si>
  <si>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</si>
  <si>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</si>
  <si>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</si>
  <si>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</si>
  <si>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</si>
  <si>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</si>
  <si>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</si>
  <si>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</si>
  <si>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</si>
  <si>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</si>
  <si>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</si>
  <si>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</si>
  <si>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</si>
  <si>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</si>
  <si>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</si>
  <si>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</si>
  <si>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</si>
  <si>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</si>
  <si>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</si>
  <si>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</si>
  <si>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</si>
  <si>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</si>
  <si>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</si>
  <si>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</si>
  <si>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</si>
  <si>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</si>
  <si>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</si>
  <si>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</si>
  <si>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</si>
  <si>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</si>
  <si>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</si>
  <si>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</si>
  <si>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</si>
  <si>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</si>
  <si>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</si>
  <si>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</si>
  <si>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</si>
  <si>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MAR</t>
  </si>
  <si>
    <t>R10AFRICA</t>
  </si>
  <si>
    <t>LNG imports, olive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</si>
</sst>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43.79</c:v>
                </c:pt>
                <c:pt idx="1">
                  <c:v>55.175399999999996</c:v>
                </c:pt>
                <c:pt idx="2">
                  <c:v>66.122900000000001</c:v>
                </c:pt>
                <c:pt idx="3">
                  <c:v>79.697800000000001</c:v>
                </c:pt>
                <c:pt idx="4">
                  <c:v>95.900099999999995</c:v>
                </c:pt>
                <c:pt idx="5">
                  <c:v>113.41609999999999</c:v>
                </c:pt>
                <c:pt idx="6">
                  <c:v>145.3828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43.79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43.79</v>
      </c>
      <c r="U14" s="8">
        <f t="shared" ref="U14:Z14" si="4">$S$11*J14</f>
        <v>55.175399999999996</v>
      </c>
      <c r="V14" s="8">
        <f t="shared" si="4"/>
        <v>66.122900000000001</v>
      </c>
      <c r="W14" s="8">
        <f t="shared" si="4"/>
        <v>79.697800000000001</v>
      </c>
      <c r="X14" s="8">
        <f t="shared" si="4"/>
        <v>95.900099999999995</v>
      </c>
      <c r="Y14" s="8">
        <f t="shared" si="4"/>
        <v>113.41609999999999</v>
      </c>
      <c r="Z14" s="8">
        <f t="shared" si="4"/>
        <v>145.3828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1.4538280000000001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19.705500000000001</v>
      </c>
      <c r="U19" s="6">
        <f t="shared" si="7"/>
        <v>24.277175999999997</v>
      </c>
      <c r="V19" s="6">
        <f t="shared" si="7"/>
        <v>22.481786000000003</v>
      </c>
      <c r="W19" s="6">
        <f t="shared" si="7"/>
        <v>27.89423</v>
      </c>
      <c r="X19" s="6">
        <f t="shared" si="7"/>
        <v>31.647033</v>
      </c>
      <c r="Y19" s="6">
        <f t="shared" si="7"/>
        <v>43.098117999999992</v>
      </c>
      <c r="Z19" s="6">
        <f t="shared" si="7"/>
        <v>52.337808000000003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23.646599999999999</v>
      </c>
      <c r="U20" s="6">
        <f t="shared" si="7"/>
        <v>29.794716000000001</v>
      </c>
      <c r="V20" s="6">
        <f t="shared" si="7"/>
        <v>37.690052999999999</v>
      </c>
      <c r="W20" s="6">
        <f t="shared" si="7"/>
        <v>48.615657999999996</v>
      </c>
      <c r="X20" s="6">
        <f t="shared" si="7"/>
        <v>58.499060999999998</v>
      </c>
      <c r="Y20" s="6">
        <f t="shared" si="7"/>
        <v>61.244693999999996</v>
      </c>
      <c r="Z20" s="6">
        <f t="shared" si="7"/>
        <v>77.052884000000006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0.43790000000000001</v>
      </c>
      <c r="U21" s="6">
        <f t="shared" ref="U21:Z21" si="8">T21</f>
        <v>0.43790000000000001</v>
      </c>
      <c r="V21" s="6">
        <f t="shared" si="8"/>
        <v>0.43790000000000001</v>
      </c>
      <c r="W21" s="6">
        <f t="shared" si="8"/>
        <v>0.43790000000000001</v>
      </c>
      <c r="X21" s="6">
        <f t="shared" si="8"/>
        <v>0.43790000000000001</v>
      </c>
      <c r="Y21" s="6">
        <f t="shared" si="8"/>
        <v>0.43790000000000001</v>
      </c>
      <c r="Z21" s="6">
        <f t="shared" si="8"/>
        <v>0.43790000000000001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0.66560799999999887</v>
      </c>
      <c r="V22" s="6">
        <f t="shared" si="9"/>
        <v>5.5131609999999966</v>
      </c>
      <c r="W22" s="6">
        <f t="shared" si="9"/>
        <v>2.7500120000000123</v>
      </c>
      <c r="X22" s="6">
        <f t="shared" si="9"/>
        <v>5.3161059999999907</v>
      </c>
      <c r="Y22" s="6">
        <f t="shared" si="9"/>
        <v>8.6353880000000061</v>
      </c>
      <c r="Z22" s="6">
        <f t="shared" si="9"/>
        <v>15.554207999999988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1.87</v>
      </c>
      <c r="S28" t="s">
        <v>31</v>
      </c>
      <c r="T28" s="3">
        <f>Q28</f>
        <v>1.87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-0.47</v>
      </c>
      <c r="S29" t="s">
        <v>34</v>
      </c>
      <c r="T29" s="3">
        <f>-1*Q29</f>
        <v>0.47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34.735999999999997</v>
      </c>
      <c r="K45">
        <f t="shared" si="13"/>
        <v>45.758000000000003</v>
      </c>
      <c r="L45">
        <f t="shared" si="13"/>
        <v>43.42</v>
      </c>
      <c r="M45">
        <f t="shared" si="13"/>
        <v>51.769999999999996</v>
      </c>
      <c r="N45">
        <f t="shared" si="13"/>
        <v>54.441999999999993</v>
      </c>
      <c r="O45">
        <f t="shared" si="13"/>
        <v>57.113999999999997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17.5</v>
      </c>
      <c r="J46">
        <f t="shared" si="13"/>
        <v>18.900000000000002</v>
      </c>
      <c r="K46">
        <f t="shared" si="13"/>
        <v>21</v>
      </c>
      <c r="L46">
        <f t="shared" si="13"/>
        <v>23.450000000000003</v>
      </c>
      <c r="M46">
        <f t="shared" si="13"/>
        <v>26.6</v>
      </c>
      <c r="N46">
        <f t="shared" si="13"/>
        <v>25.55</v>
      </c>
      <c r="O46">
        <f t="shared" si="13"/>
        <v>27.475000000000001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60.949999999999996</v>
      </c>
      <c r="K47">
        <f t="shared" si="13"/>
        <v>84.800000000000011</v>
      </c>
      <c r="L47">
        <f t="shared" si="13"/>
        <v>70.490000000000009</v>
      </c>
      <c r="M47">
        <f t="shared" si="13"/>
        <v>77.91</v>
      </c>
      <c r="N47">
        <f t="shared" si="13"/>
        <v>85.33</v>
      </c>
      <c r="O47">
        <f t="shared" si="13"/>
        <v>93.81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22</v>
      </c>
      <c r="O48">
        <f>VLOOKUP($H$14,$AK$9:$AM$15,3,FALSE)*I48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  <row r="89" spans="1:6" x14ac:dyDescent="0.45">
      <c r="A89" t="s">
        <v>117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118</v>
      </c>
      <c r="C91">
        <v>0</v>
      </c>
      <c r="D91">
        <v>0</v>
      </c>
      <c r="E91">
        <v>0</v>
      </c>
      <c r="F91" t="s">
        <v>119</v>
      </c>
    </row>
    <row r="92" spans="1:6" x14ac:dyDescent="0.45">
      <c r="A92" t="s">
        <v>31</v>
      </c>
      <c r="B92" t="s">
        <v>118</v>
      </c>
      <c r="C92">
        <v>0.38</v>
      </c>
      <c r="D92">
        <v>1.9</v>
      </c>
      <c r="E92">
        <v>2.5499999999999998</v>
      </c>
      <c r="F92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27.4</v>
      </c>
      <c r="C11">
        <v>39.4</v>
      </c>
      <c r="D11">
        <v>15.2</v>
      </c>
      <c r="E11">
        <v>19.8</v>
      </c>
      <c r="F11">
        <v>48</v>
      </c>
      <c r="G11">
        <v>58</v>
      </c>
      <c r="H11">
        <v>18</v>
      </c>
      <c r="I11">
        <v>26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8.41</v>
      </c>
      <c r="D11">
        <v>6.58</v>
      </c>
      <c r="E11">
        <v>0.21</v>
      </c>
      <c r="F11">
        <v>0</v>
      </c>
      <c r="G11">
        <v>2.33</v>
      </c>
      <c r="H11">
        <v>0</v>
      </c>
      <c r="I11">
        <v>12.86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8.6999999999999993</v>
      </c>
      <c r="D12">
        <v>7.45</v>
      </c>
      <c r="E12">
        <v>0.44</v>
      </c>
      <c r="F12">
        <v>0</v>
      </c>
      <c r="G12">
        <v>1.54</v>
      </c>
      <c r="H12">
        <v>0</v>
      </c>
      <c r="I12">
        <v>15.05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8.4</v>
      </c>
      <c r="D13">
        <v>7.73</v>
      </c>
      <c r="E13">
        <v>0.47</v>
      </c>
      <c r="F13">
        <v>0</v>
      </c>
      <c r="G13">
        <v>1.37</v>
      </c>
      <c r="H13">
        <v>0</v>
      </c>
      <c r="I13">
        <v>15.24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9.01</v>
      </c>
      <c r="D14">
        <v>8.5</v>
      </c>
      <c r="E14">
        <v>0.49</v>
      </c>
      <c r="F14">
        <v>0</v>
      </c>
      <c r="G14">
        <v>1.42</v>
      </c>
      <c r="H14">
        <v>0</v>
      </c>
      <c r="I14">
        <v>16.579999999999998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9.0399999999999991</v>
      </c>
      <c r="D15">
        <v>10.06</v>
      </c>
      <c r="E15">
        <v>0.2</v>
      </c>
      <c r="F15">
        <v>0</v>
      </c>
      <c r="G15">
        <v>1.54</v>
      </c>
      <c r="H15">
        <v>0</v>
      </c>
      <c r="I15">
        <v>17.66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9.81</v>
      </c>
      <c r="D16">
        <v>10.86</v>
      </c>
      <c r="E16">
        <v>0.21</v>
      </c>
      <c r="F16">
        <v>0</v>
      </c>
      <c r="G16">
        <v>0.81</v>
      </c>
      <c r="H16">
        <v>0</v>
      </c>
      <c r="I16">
        <v>19.38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10.44</v>
      </c>
      <c r="D17">
        <v>11.81</v>
      </c>
      <c r="E17">
        <v>0.23</v>
      </c>
      <c r="F17">
        <v>0</v>
      </c>
      <c r="G17">
        <v>2.0299999999999998</v>
      </c>
      <c r="H17">
        <v>0</v>
      </c>
      <c r="I17">
        <v>19.899999999999999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11.22</v>
      </c>
      <c r="D18">
        <v>12.5</v>
      </c>
      <c r="E18">
        <v>0.24</v>
      </c>
      <c r="F18">
        <v>0</v>
      </c>
      <c r="G18">
        <v>3.51</v>
      </c>
      <c r="H18">
        <v>0</v>
      </c>
      <c r="I18">
        <v>19.93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11.84</v>
      </c>
      <c r="D19">
        <v>13.25</v>
      </c>
      <c r="E19">
        <v>0.25</v>
      </c>
      <c r="F19">
        <v>0</v>
      </c>
      <c r="G19">
        <v>4.26</v>
      </c>
      <c r="H19">
        <v>0</v>
      </c>
      <c r="I19">
        <v>20.6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12.44</v>
      </c>
      <c r="D20">
        <v>13.7</v>
      </c>
      <c r="E20">
        <v>0.27</v>
      </c>
      <c r="F20">
        <v>0</v>
      </c>
      <c r="G20">
        <v>4.62</v>
      </c>
      <c r="H20">
        <v>0</v>
      </c>
      <c r="I20">
        <v>21.32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13.1</v>
      </c>
      <c r="D21">
        <v>14.5</v>
      </c>
      <c r="E21">
        <v>0.28000000000000003</v>
      </c>
      <c r="F21">
        <v>0</v>
      </c>
      <c r="G21">
        <v>4.58</v>
      </c>
      <c r="H21">
        <v>-0.64</v>
      </c>
      <c r="I21">
        <v>23.52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14.14</v>
      </c>
      <c r="D22">
        <v>15.65</v>
      </c>
      <c r="E22">
        <v>0.3</v>
      </c>
      <c r="F22">
        <v>0</v>
      </c>
      <c r="G22">
        <v>5.13</v>
      </c>
      <c r="H22">
        <v>-0.52</v>
      </c>
      <c r="I22">
        <v>25.22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15.29</v>
      </c>
      <c r="D23">
        <v>16.78</v>
      </c>
      <c r="E23">
        <v>0.32</v>
      </c>
      <c r="F23">
        <v>0</v>
      </c>
      <c r="G23">
        <v>5.66</v>
      </c>
      <c r="H23">
        <v>-0.82</v>
      </c>
      <c r="I23">
        <v>27.47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15.64</v>
      </c>
      <c r="D24">
        <v>17.39</v>
      </c>
      <c r="E24">
        <v>0.34</v>
      </c>
      <c r="F24">
        <v>0</v>
      </c>
      <c r="G24">
        <v>5.55</v>
      </c>
      <c r="H24">
        <v>-0.15</v>
      </c>
      <c r="I24">
        <v>28.04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16.28</v>
      </c>
      <c r="D25">
        <v>18.34</v>
      </c>
      <c r="E25">
        <v>0.26</v>
      </c>
      <c r="F25">
        <v>0</v>
      </c>
      <c r="G25">
        <v>6.14</v>
      </c>
      <c r="H25">
        <v>-0.13</v>
      </c>
      <c r="I25">
        <v>28.99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16.690000000000001</v>
      </c>
      <c r="D26">
        <v>18.739999999999998</v>
      </c>
      <c r="E26">
        <v>0.34</v>
      </c>
      <c r="F26">
        <v>0</v>
      </c>
      <c r="G26">
        <v>5.14</v>
      </c>
      <c r="H26">
        <v>-0.16</v>
      </c>
      <c r="I26">
        <v>30.82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16.89</v>
      </c>
      <c r="D27">
        <v>19.55</v>
      </c>
      <c r="E27">
        <v>0.33</v>
      </c>
      <c r="F27">
        <v>0</v>
      </c>
      <c r="G27">
        <v>5.29</v>
      </c>
      <c r="H27">
        <v>-0.14000000000000001</v>
      </c>
      <c r="I27">
        <v>31.73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17.95</v>
      </c>
      <c r="D28">
        <v>20.329999999999998</v>
      </c>
      <c r="E28">
        <v>0.3</v>
      </c>
      <c r="F28">
        <v>0</v>
      </c>
      <c r="G28">
        <v>6.06</v>
      </c>
      <c r="H28">
        <v>-0.16</v>
      </c>
      <c r="I28">
        <v>32.81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18.22</v>
      </c>
      <c r="D29">
        <v>20.260000000000002</v>
      </c>
      <c r="E29">
        <v>0.31</v>
      </c>
      <c r="F29">
        <v>0</v>
      </c>
      <c r="G29">
        <v>3.72</v>
      </c>
      <c r="H29">
        <v>-0.35</v>
      </c>
      <c r="I29">
        <v>35.520000000000003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19.149999999999999</v>
      </c>
      <c r="D30">
        <v>20.72</v>
      </c>
      <c r="E30">
        <v>0.33</v>
      </c>
      <c r="F30">
        <v>0</v>
      </c>
      <c r="G30">
        <v>0.53</v>
      </c>
      <c r="H30">
        <v>-1.45</v>
      </c>
      <c r="I30">
        <v>41.26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18.63</v>
      </c>
      <c r="D31">
        <v>20.86</v>
      </c>
      <c r="E31">
        <v>0.21</v>
      </c>
      <c r="F31">
        <v>0</v>
      </c>
      <c r="G31">
        <v>0.86</v>
      </c>
      <c r="H31">
        <v>-0.62</v>
      </c>
      <c r="I31">
        <v>39.630000000000003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20.16</v>
      </c>
      <c r="D32">
        <v>21.39</v>
      </c>
      <c r="E32">
        <v>0.31</v>
      </c>
      <c r="F32">
        <v>0</v>
      </c>
      <c r="G32">
        <v>0.69</v>
      </c>
      <c r="H32">
        <v>-0.85</v>
      </c>
      <c r="I32">
        <v>42.17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20.76</v>
      </c>
      <c r="D33">
        <v>22.58</v>
      </c>
      <c r="E33">
        <v>0.32</v>
      </c>
      <c r="F33">
        <v>0</v>
      </c>
      <c r="G33">
        <v>1.87</v>
      </c>
      <c r="H33">
        <v>-0.47</v>
      </c>
      <c r="I33">
        <v>42.39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2026-06-17T16:54:14Z</dcterms:modified>
</cp:coreProperties>
</file>