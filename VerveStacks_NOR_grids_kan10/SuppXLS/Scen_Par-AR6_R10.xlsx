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13_ncr:1_{3B8A8834-9402-4107-AAB2-F1E9AB6F657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L15" i="1"/>
  <c r="W23" i="1" s="1"/>
  <c r="K15" i="1"/>
  <c r="V23" i="1" s="1"/>
  <c r="J15" i="1"/>
  <c r="U23" i="1" s="1"/>
  <c r="M15" i="1"/>
  <c r="X23" i="1" s="1"/>
  <c r="N15" i="1"/>
  <c r="Y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Y18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X22" i="1"/>
  <c r="Y22" i="1"/>
  <c r="Z22" i="1"/>
  <c r="AJ69" i="1"/>
  <c r="AJ65" i="1"/>
  <c r="V22" i="1" l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<sst xmlns="http://schemas.openxmlformats.org/spreadsheetml/2006/main" count="1725" uniqueCount="125">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</sst>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132.31000000000003</c:v>
                </c:pt>
                <c:pt idx="1">
                  <c:v>138.92550000000003</c:v>
                </c:pt>
                <c:pt idx="2">
                  <c:v>154.80270000000002</c:v>
                </c:pt>
                <c:pt idx="3">
                  <c:v>170.67990000000003</c:v>
                </c:pt>
                <c:pt idx="4">
                  <c:v>187.88020000000003</c:v>
                </c:pt>
                <c:pt idx="5">
                  <c:v>210.37290000000007</c:v>
                </c:pt>
                <c:pt idx="6">
                  <c:v>228.89630000000005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122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132.31000000000003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2.1419999999999999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132.31000000000003</v>
      </c>
      <c r="U14" s="8">
        <f t="shared" ref="U14:Z14" si="4">$S$11*J14</f>
        <v>138.92550000000003</v>
      </c>
      <c r="V14" s="8">
        <f t="shared" si="4"/>
        <v>154.80270000000002</v>
      </c>
      <c r="W14" s="8">
        <f t="shared" si="4"/>
        <v>170.67990000000003</v>
      </c>
      <c r="X14" s="8">
        <f t="shared" si="4"/>
        <v>187.88020000000003</v>
      </c>
      <c r="Y14" s="8">
        <f t="shared" si="4"/>
        <v>210.37290000000007</v>
      </c>
      <c r="Z14" s="8">
        <f t="shared" si="4"/>
        <v>228.89630000000005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48.95470000000001</v>
      </c>
      <c r="U19" s="6">
        <f t="shared" si="7"/>
        <v>48.623925000000007</v>
      </c>
      <c r="V19" s="6">
        <f t="shared" si="7"/>
        <v>52.632918000000011</v>
      </c>
      <c r="W19" s="6">
        <f t="shared" si="7"/>
        <v>56.324367000000017</v>
      </c>
      <c r="X19" s="6">
        <f t="shared" si="7"/>
        <v>56.364060000000009</v>
      </c>
      <c r="Y19" s="6">
        <f t="shared" si="7"/>
        <v>61.008141000000016</v>
      </c>
      <c r="Z19" s="6">
        <f t="shared" si="7"/>
        <v>68.668890000000019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78.062900000000013</v>
      </c>
      <c r="U20" s="6">
        <f t="shared" si="7"/>
        <v>81.966045000000008</v>
      </c>
      <c r="V20" s="6">
        <f t="shared" si="7"/>
        <v>91.333593000000008</v>
      </c>
      <c r="W20" s="6">
        <f t="shared" si="7"/>
        <v>98.994342000000017</v>
      </c>
      <c r="X20" s="6">
        <f t="shared" si="7"/>
        <v>108.970516</v>
      </c>
      <c r="Y20" s="6">
        <f t="shared" si="7"/>
        <v>117.80882400000006</v>
      </c>
      <c r="Z20" s="6">
        <f t="shared" si="7"/>
        <v>123.60400200000004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3.9693000000000009</v>
      </c>
      <c r="U21" s="6">
        <f t="shared" ref="U21:Z21" si="8">T21</f>
        <v>3.9693000000000009</v>
      </c>
      <c r="V21" s="6">
        <f t="shared" si="8"/>
        <v>3.9693000000000009</v>
      </c>
      <c r="W21" s="6">
        <f t="shared" si="8"/>
        <v>3.9693000000000009</v>
      </c>
      <c r="X21" s="6">
        <f t="shared" si="8"/>
        <v>3.9693000000000009</v>
      </c>
      <c r="Y21" s="6">
        <f t="shared" si="8"/>
        <v>3.9693000000000009</v>
      </c>
      <c r="Z21" s="6">
        <f t="shared" si="8"/>
        <v>3.9693000000000009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1.3231000000000108</v>
      </c>
      <c r="U22" s="6">
        <f t="shared" si="9"/>
        <v>4.3662300000000016</v>
      </c>
      <c r="V22" s="6">
        <f t="shared" si="9"/>
        <v>6.8668889999999863</v>
      </c>
      <c r="W22" s="6">
        <f t="shared" si="9"/>
        <v>11.391890999999987</v>
      </c>
      <c r="X22" s="6">
        <f t="shared" si="9"/>
        <v>18.576324</v>
      </c>
      <c r="Y22" s="6">
        <f t="shared" si="9"/>
        <v>27.586635000000001</v>
      </c>
      <c r="Z22" s="6">
        <f t="shared" si="9"/>
        <v>32.654107999999979</v>
      </c>
      <c r="AA22" t="s">
        <v>17</v>
      </c>
      <c r="AJ22" s="10">
        <f t="shared" si="5"/>
        <v>3</v>
      </c>
    </row>
    <row r="23" spans="1:36" x14ac:dyDescent="0.45">
      <c r="S23" s="23" t="s">
        <v>121</v>
      </c>
      <c r="T23" s="24">
        <f>S12</f>
        <v>2.1419999999999999</v>
      </c>
      <c r="U23" s="25">
        <f>$S$12*J15</f>
        <v>2.0991599999999999</v>
      </c>
      <c r="V23" s="25">
        <f>$S$12*K15</f>
        <v>2.0563199999999999</v>
      </c>
      <c r="W23" s="25">
        <f t="shared" ref="W23:Z23" si="10">$S$12*L15</f>
        <v>1.9706399999999999</v>
      </c>
      <c r="X23" s="25">
        <f t="shared" si="10"/>
        <v>1.7992799999999998</v>
      </c>
      <c r="Y23" s="25">
        <f t="shared" si="10"/>
        <v>1.7778599999999998</v>
      </c>
      <c r="Z23" s="25">
        <f t="shared" si="10"/>
        <v>1.7136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13.27</v>
      </c>
      <c r="S28" t="s">
        <v>31</v>
      </c>
      <c r="T28" s="3">
        <f>Q28</f>
        <v>13.27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-25.79</v>
      </c>
      <c r="S29" t="s">
        <v>34</v>
      </c>
      <c r="T29" s="3">
        <f>-1*Q29</f>
        <v>25.79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0</v>
      </c>
      <c r="J45">
        <f t="shared" si="13"/>
        <v>0</v>
      </c>
      <c r="K45">
        <f t="shared" si="13"/>
        <v>0</v>
      </c>
      <c r="L45">
        <f t="shared" si="13"/>
        <v>0</v>
      </c>
      <c r="M45">
        <f t="shared" si="13"/>
        <v>0</v>
      </c>
      <c r="N45">
        <f t="shared" si="13"/>
        <v>0</v>
      </c>
      <c r="O45">
        <f t="shared" si="13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0</v>
      </c>
      <c r="J46">
        <f t="shared" si="13"/>
        <v>0</v>
      </c>
      <c r="K46">
        <f t="shared" si="13"/>
        <v>0</v>
      </c>
      <c r="L46">
        <f t="shared" si="13"/>
        <v>0</v>
      </c>
      <c r="M46">
        <f t="shared" si="13"/>
        <v>0</v>
      </c>
      <c r="N46">
        <f t="shared" si="13"/>
        <v>0</v>
      </c>
      <c r="O46">
        <f t="shared" si="13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0</v>
      </c>
      <c r="J47">
        <f t="shared" si="13"/>
        <v>0</v>
      </c>
      <c r="K47">
        <f t="shared" si="13"/>
        <v>0</v>
      </c>
      <c r="L47">
        <f t="shared" si="13"/>
        <v>0</v>
      </c>
      <c r="M47">
        <f t="shared" si="13"/>
        <v>0</v>
      </c>
      <c r="N47">
        <f t="shared" si="13"/>
        <v>0</v>
      </c>
      <c r="O47">
        <f t="shared" si="13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0</v>
      </c>
      <c r="O48">
        <f>VLOOKUP($H$14,$AK$9:$AM$15,3,FALSE)*I48</f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118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119</v>
      </c>
      <c r="C84" s="18">
        <v>1.4550000000000001</v>
      </c>
      <c r="D84" s="18">
        <v>1.881</v>
      </c>
      <c r="E84" s="18">
        <v>1.881</v>
      </c>
      <c r="F84" s="17" t="s">
        <v>120</v>
      </c>
    </row>
    <row r="85" spans="1:6" x14ac:dyDescent="0.45">
      <c r="A85" s="19" t="s">
        <v>31</v>
      </c>
      <c r="B85" s="19" t="s">
        <v>119</v>
      </c>
      <c r="C85" s="20">
        <v>1.8</v>
      </c>
      <c r="D85" s="20">
        <v>3.3</v>
      </c>
      <c r="E85" s="20">
        <v>3.3</v>
      </c>
      <c r="F85" s="19" t="s">
        <v>120</v>
      </c>
    </row>
    <row r="89" spans="1:6" x14ac:dyDescent="0.45">
      <c r="A89" t="s">
        <v>118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119</v>
      </c>
      <c r="C91">
        <v>5.0449999999999999</v>
      </c>
      <c r="D91">
        <v>5.0949999999999998</v>
      </c>
      <c r="E91">
        <v>5.0949999999999998</v>
      </c>
      <c r="F91" t="s">
        <v>120</v>
      </c>
    </row>
    <row r="92" spans="1:6" x14ac:dyDescent="0.45">
      <c r="A92" t="s">
        <v>31</v>
      </c>
      <c r="B92" t="s">
        <v>119</v>
      </c>
      <c r="C92">
        <v>3.7519999999999998</v>
      </c>
      <c r="D92">
        <v>3.7320000000000002</v>
      </c>
      <c r="E92">
        <v>3.7320000000000002</v>
      </c>
      <c r="F92" t="s">
        <v>120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123</v>
      </c>
      <c r="K10" t="s">
        <v>117</v>
      </c>
    </row>
    <row r="11" spans="1:11" x14ac:dyDescent="0.45">
      <c r="A11" t="s">
        <v>124</v>
      </c>
      <c r="B11">
        <v>2000</v>
      </c>
      <c r="C11">
        <v>64.849999999999994</v>
      </c>
      <c r="D11">
        <v>57.34</v>
      </c>
      <c r="E11">
        <v>0.62</v>
      </c>
      <c r="F11">
        <v>0</v>
      </c>
      <c r="G11">
        <v>1.47</v>
      </c>
      <c r="H11">
        <v>-20.53</v>
      </c>
      <c r="I11">
        <v>142.09</v>
      </c>
      <c r="J11">
        <v>0.62</v>
      </c>
      <c r="K11">
        <v>1.4930000000000001</v>
      </c>
    </row>
    <row r="12" spans="1:11" x14ac:dyDescent="0.45">
      <c r="A12" t="s">
        <v>124</v>
      </c>
      <c r="B12">
        <v>2001</v>
      </c>
      <c r="C12">
        <v>61.16</v>
      </c>
      <c r="D12">
        <v>62.23</v>
      </c>
      <c r="E12">
        <v>0.64</v>
      </c>
      <c r="F12">
        <v>0</v>
      </c>
      <c r="G12">
        <v>10.74</v>
      </c>
      <c r="H12">
        <v>-7.17</v>
      </c>
      <c r="I12">
        <v>120.73</v>
      </c>
      <c r="J12">
        <v>0.61399999999999999</v>
      </c>
      <c r="K12">
        <v>1.8480000000000001</v>
      </c>
    </row>
    <row r="13" spans="1:11" x14ac:dyDescent="0.45">
      <c r="A13" t="s">
        <v>124</v>
      </c>
      <c r="B13">
        <v>2002</v>
      </c>
      <c r="C13">
        <v>58.12</v>
      </c>
      <c r="D13">
        <v>61.09</v>
      </c>
      <c r="E13">
        <v>0.63</v>
      </c>
      <c r="F13">
        <v>0</v>
      </c>
      <c r="G13">
        <v>5.34</v>
      </c>
      <c r="H13">
        <v>-15.05</v>
      </c>
      <c r="I13">
        <v>129.76</v>
      </c>
      <c r="J13">
        <v>0.70299999999999996</v>
      </c>
      <c r="K13">
        <v>1.994</v>
      </c>
    </row>
    <row r="14" spans="1:11" x14ac:dyDescent="0.45">
      <c r="A14" t="s">
        <v>124</v>
      </c>
      <c r="B14">
        <v>2003</v>
      </c>
      <c r="C14">
        <v>58.62</v>
      </c>
      <c r="D14">
        <v>54.64</v>
      </c>
      <c r="E14">
        <v>0.62</v>
      </c>
      <c r="F14">
        <v>0</v>
      </c>
      <c r="G14">
        <v>13.42</v>
      </c>
      <c r="H14">
        <v>-5.55</v>
      </c>
      <c r="I14">
        <v>106.42</v>
      </c>
      <c r="J14">
        <v>0.98</v>
      </c>
      <c r="K14">
        <v>2.2050000000000001</v>
      </c>
    </row>
    <row r="15" spans="1:11" x14ac:dyDescent="0.45">
      <c r="A15" t="s">
        <v>124</v>
      </c>
      <c r="B15">
        <v>2004</v>
      </c>
      <c r="C15">
        <v>64.040000000000006</v>
      </c>
      <c r="D15">
        <v>55.95</v>
      </c>
      <c r="E15">
        <v>0.59</v>
      </c>
      <c r="F15">
        <v>0</v>
      </c>
      <c r="G15">
        <v>15.31</v>
      </c>
      <c r="H15">
        <v>-3.85</v>
      </c>
      <c r="I15">
        <v>109.5</v>
      </c>
      <c r="J15">
        <v>1.018</v>
      </c>
      <c r="K15">
        <v>2.31</v>
      </c>
    </row>
    <row r="16" spans="1:11" x14ac:dyDescent="0.45">
      <c r="A16" t="s">
        <v>124</v>
      </c>
      <c r="B16">
        <v>2005</v>
      </c>
      <c r="C16">
        <v>65.45</v>
      </c>
      <c r="D16">
        <v>57.94</v>
      </c>
      <c r="E16">
        <v>0.6</v>
      </c>
      <c r="F16">
        <v>0</v>
      </c>
      <c r="G16">
        <v>3.65</v>
      </c>
      <c r="H16">
        <v>-15.7</v>
      </c>
      <c r="I16">
        <v>136.54</v>
      </c>
      <c r="J16">
        <v>0.96799999999999997</v>
      </c>
      <c r="K16">
        <v>2.4249999999999998</v>
      </c>
    </row>
    <row r="17" spans="1:11" x14ac:dyDescent="0.45">
      <c r="A17" t="s">
        <v>124</v>
      </c>
      <c r="B17">
        <v>2006</v>
      </c>
      <c r="C17">
        <v>63.77</v>
      </c>
      <c r="D17">
        <v>56.71</v>
      </c>
      <c r="E17">
        <v>0.65</v>
      </c>
      <c r="F17">
        <v>0</v>
      </c>
      <c r="G17">
        <v>9.8000000000000007</v>
      </c>
      <c r="H17">
        <v>-8.9499999999999993</v>
      </c>
      <c r="I17">
        <v>120.6</v>
      </c>
      <c r="J17">
        <v>0.96099999999999997</v>
      </c>
      <c r="K17">
        <v>2.6179999999999999</v>
      </c>
    </row>
    <row r="18" spans="1:11" x14ac:dyDescent="0.45">
      <c r="A18" t="s">
        <v>124</v>
      </c>
      <c r="B18">
        <v>2007</v>
      </c>
      <c r="C18">
        <v>63.87</v>
      </c>
      <c r="D18">
        <v>60.21</v>
      </c>
      <c r="E18">
        <v>0.64</v>
      </c>
      <c r="F18">
        <v>0</v>
      </c>
      <c r="G18">
        <v>5.28</v>
      </c>
      <c r="H18">
        <v>-15.32</v>
      </c>
      <c r="I18">
        <v>135.38</v>
      </c>
      <c r="J18">
        <v>0.93300000000000005</v>
      </c>
      <c r="K18">
        <v>2.8860000000000001</v>
      </c>
    </row>
    <row r="19" spans="1:11" x14ac:dyDescent="0.45">
      <c r="A19" t="s">
        <v>124</v>
      </c>
      <c r="B19">
        <v>2008</v>
      </c>
      <c r="C19">
        <v>64.819999999999993</v>
      </c>
      <c r="D19">
        <v>60.5</v>
      </c>
      <c r="E19">
        <v>0.68</v>
      </c>
      <c r="F19">
        <v>0</v>
      </c>
      <c r="G19">
        <v>3.41</v>
      </c>
      <c r="H19">
        <v>-17.27</v>
      </c>
      <c r="I19">
        <v>140.52000000000001</v>
      </c>
      <c r="J19">
        <v>0.98199999999999998</v>
      </c>
      <c r="K19">
        <v>3.056</v>
      </c>
    </row>
    <row r="20" spans="1:11" x14ac:dyDescent="0.45">
      <c r="A20" t="s">
        <v>124</v>
      </c>
      <c r="B20">
        <v>2009</v>
      </c>
      <c r="C20">
        <v>54.75</v>
      </c>
      <c r="D20">
        <v>65.14</v>
      </c>
      <c r="E20">
        <v>0.66</v>
      </c>
      <c r="F20">
        <v>0</v>
      </c>
      <c r="G20">
        <v>5.65</v>
      </c>
      <c r="H20">
        <v>-14.63</v>
      </c>
      <c r="I20">
        <v>130.13</v>
      </c>
      <c r="J20">
        <v>0.76500000000000001</v>
      </c>
      <c r="K20">
        <v>3.4540000000000002</v>
      </c>
    </row>
    <row r="21" spans="1:11" x14ac:dyDescent="0.45">
      <c r="A21" t="s">
        <v>124</v>
      </c>
      <c r="B21">
        <v>2010</v>
      </c>
      <c r="C21">
        <v>60.71</v>
      </c>
      <c r="D21">
        <v>68.260000000000005</v>
      </c>
      <c r="E21">
        <v>0.56999999999999995</v>
      </c>
      <c r="F21">
        <v>0</v>
      </c>
      <c r="G21">
        <v>14.67</v>
      </c>
      <c r="H21">
        <v>-7.12</v>
      </c>
      <c r="I21">
        <v>122.36</v>
      </c>
      <c r="J21">
        <v>1.079</v>
      </c>
      <c r="K21">
        <v>4.3609999999999998</v>
      </c>
    </row>
    <row r="22" spans="1:11" x14ac:dyDescent="0.45">
      <c r="A22" t="s">
        <v>124</v>
      </c>
      <c r="B22">
        <v>2011</v>
      </c>
      <c r="C22">
        <v>58.22</v>
      </c>
      <c r="D22">
        <v>63.03</v>
      </c>
      <c r="E22">
        <v>0.54</v>
      </c>
      <c r="F22">
        <v>0.01</v>
      </c>
      <c r="G22">
        <v>11.25</v>
      </c>
      <c r="H22">
        <v>-14.33</v>
      </c>
      <c r="I22">
        <v>125.55</v>
      </c>
      <c r="J22">
        <v>1.0669999999999999</v>
      </c>
      <c r="K22">
        <v>3.7970000000000002</v>
      </c>
    </row>
    <row r="23" spans="1:11" x14ac:dyDescent="0.45">
      <c r="A23" t="s">
        <v>124</v>
      </c>
      <c r="B23">
        <v>2012</v>
      </c>
      <c r="C23">
        <v>60.25</v>
      </c>
      <c r="D23">
        <v>66.3</v>
      </c>
      <c r="E23">
        <v>0.61</v>
      </c>
      <c r="F23">
        <v>0.01</v>
      </c>
      <c r="G23">
        <v>4.1900000000000004</v>
      </c>
      <c r="H23">
        <v>-22.01</v>
      </c>
      <c r="I23">
        <v>145.6</v>
      </c>
      <c r="J23">
        <v>1.226</v>
      </c>
      <c r="K23">
        <v>4.2850000000000001</v>
      </c>
    </row>
    <row r="24" spans="1:11" x14ac:dyDescent="0.45">
      <c r="A24" t="s">
        <v>124</v>
      </c>
      <c r="B24">
        <v>2013</v>
      </c>
      <c r="C24">
        <v>59.07</v>
      </c>
      <c r="D24">
        <v>67.25</v>
      </c>
      <c r="E24">
        <v>0.6</v>
      </c>
      <c r="F24">
        <v>0.02</v>
      </c>
      <c r="G24">
        <v>10.14</v>
      </c>
      <c r="H24">
        <v>-15.14</v>
      </c>
      <c r="I24">
        <v>132.49</v>
      </c>
      <c r="J24">
        <v>1.468</v>
      </c>
      <c r="K24">
        <v>4.7590000000000003</v>
      </c>
    </row>
    <row r="25" spans="1:11" x14ac:dyDescent="0.45">
      <c r="A25" t="s">
        <v>124</v>
      </c>
      <c r="B25">
        <v>2014</v>
      </c>
      <c r="C25">
        <v>59.78</v>
      </c>
      <c r="D25">
        <v>63.73</v>
      </c>
      <c r="E25">
        <v>0.59</v>
      </c>
      <c r="F25">
        <v>0.06</v>
      </c>
      <c r="G25">
        <v>6.35</v>
      </c>
      <c r="H25">
        <v>-21.93</v>
      </c>
      <c r="I25">
        <v>140.36000000000001</v>
      </c>
      <c r="J25">
        <v>1.7509999999999999</v>
      </c>
      <c r="K25">
        <v>4.5270000000000001</v>
      </c>
    </row>
    <row r="26" spans="1:11" x14ac:dyDescent="0.45">
      <c r="A26" t="s">
        <v>124</v>
      </c>
      <c r="B26">
        <v>2015</v>
      </c>
      <c r="C26">
        <v>60.69</v>
      </c>
      <c r="D26">
        <v>65.52</v>
      </c>
      <c r="E26">
        <v>0.63</v>
      </c>
      <c r="F26">
        <v>0.16</v>
      </c>
      <c r="G26">
        <v>7.37</v>
      </c>
      <c r="H26">
        <v>-22.02</v>
      </c>
      <c r="I26">
        <v>142.51</v>
      </c>
      <c r="J26">
        <v>1.641</v>
      </c>
      <c r="K26">
        <v>4.8929999999999998</v>
      </c>
    </row>
    <row r="27" spans="1:11" x14ac:dyDescent="0.45">
      <c r="A27" t="s">
        <v>124</v>
      </c>
      <c r="B27">
        <v>2016</v>
      </c>
      <c r="C27">
        <v>62</v>
      </c>
      <c r="D27">
        <v>67.42</v>
      </c>
      <c r="E27">
        <v>0.57999999999999996</v>
      </c>
      <c r="F27">
        <v>0.27</v>
      </c>
      <c r="G27">
        <v>5.74</v>
      </c>
      <c r="H27">
        <v>-22.15</v>
      </c>
      <c r="I27">
        <v>147.41</v>
      </c>
      <c r="J27">
        <v>1.75</v>
      </c>
      <c r="K27">
        <v>5.3019999999999996</v>
      </c>
    </row>
    <row r="28" spans="1:11" x14ac:dyDescent="0.45">
      <c r="A28" t="s">
        <v>124</v>
      </c>
      <c r="B28">
        <v>2017</v>
      </c>
      <c r="C28">
        <v>62.93</v>
      </c>
      <c r="D28">
        <v>67.62</v>
      </c>
      <c r="E28">
        <v>0.63</v>
      </c>
      <c r="F28">
        <v>0.42</v>
      </c>
      <c r="G28">
        <v>6.11</v>
      </c>
      <c r="H28">
        <v>-21.28</v>
      </c>
      <c r="I28">
        <v>147.69999999999999</v>
      </c>
      <c r="J28">
        <v>1.968</v>
      </c>
      <c r="K28">
        <v>5.5410000000000004</v>
      </c>
    </row>
    <row r="29" spans="1:11" x14ac:dyDescent="0.45">
      <c r="A29" t="s">
        <v>124</v>
      </c>
      <c r="B29">
        <v>2018</v>
      </c>
      <c r="C29">
        <v>64.48</v>
      </c>
      <c r="D29">
        <v>68.88</v>
      </c>
      <c r="E29">
        <v>0.56999999999999995</v>
      </c>
      <c r="F29">
        <v>0.64</v>
      </c>
      <c r="G29">
        <v>8.34</v>
      </c>
      <c r="H29">
        <v>-18.489999999999998</v>
      </c>
      <c r="I29">
        <v>145.35</v>
      </c>
      <c r="J29">
        <v>2.0289999999999999</v>
      </c>
      <c r="K29">
        <v>5.8070000000000004</v>
      </c>
    </row>
    <row r="30" spans="1:11" x14ac:dyDescent="0.45">
      <c r="A30" t="s">
        <v>124</v>
      </c>
      <c r="B30">
        <v>2019</v>
      </c>
      <c r="C30">
        <v>63.05</v>
      </c>
      <c r="D30">
        <v>68.23</v>
      </c>
      <c r="E30">
        <v>0.56999999999999995</v>
      </c>
      <c r="F30">
        <v>0.86</v>
      </c>
      <c r="G30">
        <v>12.35</v>
      </c>
      <c r="H30">
        <v>-12.31</v>
      </c>
      <c r="I30">
        <v>133.24</v>
      </c>
      <c r="J30">
        <v>2.2170000000000001</v>
      </c>
      <c r="K30">
        <v>5.7880000000000003</v>
      </c>
    </row>
    <row r="31" spans="1:11" x14ac:dyDescent="0.45">
      <c r="A31" t="s">
        <v>124</v>
      </c>
      <c r="B31">
        <v>2020</v>
      </c>
      <c r="C31">
        <v>63.43</v>
      </c>
      <c r="D31">
        <v>67.34</v>
      </c>
      <c r="E31">
        <v>0.68</v>
      </c>
      <c r="F31">
        <v>1.0900000000000001</v>
      </c>
      <c r="G31">
        <v>4.5</v>
      </c>
      <c r="H31">
        <v>-24.97</v>
      </c>
      <c r="I31">
        <v>153.52000000000001</v>
      </c>
      <c r="J31">
        <v>2.0910000000000002</v>
      </c>
      <c r="K31">
        <v>5.2939999999999996</v>
      </c>
    </row>
    <row r="32" spans="1:11" x14ac:dyDescent="0.45">
      <c r="A32" t="s">
        <v>124</v>
      </c>
      <c r="B32">
        <v>2021</v>
      </c>
      <c r="C32">
        <v>65.489999999999995</v>
      </c>
      <c r="D32">
        <v>70.66</v>
      </c>
      <c r="E32">
        <v>0.7</v>
      </c>
      <c r="F32">
        <v>1.52</v>
      </c>
      <c r="G32">
        <v>8.24</v>
      </c>
      <c r="H32">
        <v>-25.82</v>
      </c>
      <c r="I32">
        <v>156.43</v>
      </c>
      <c r="J32">
        <v>2.0910000000000002</v>
      </c>
      <c r="K32">
        <v>6.4909999999999997</v>
      </c>
    </row>
    <row r="33" spans="1:11" x14ac:dyDescent="0.45">
      <c r="A33" t="s">
        <v>124</v>
      </c>
      <c r="B33">
        <v>2022</v>
      </c>
      <c r="C33">
        <v>64.75</v>
      </c>
      <c r="D33">
        <v>63.92</v>
      </c>
      <c r="E33">
        <v>0.75</v>
      </c>
      <c r="F33">
        <v>2</v>
      </c>
      <c r="G33">
        <v>13.27</v>
      </c>
      <c r="H33">
        <v>-25.79</v>
      </c>
      <c r="I33">
        <v>144.83000000000001</v>
      </c>
      <c r="J33">
        <v>2.1419999999999999</v>
      </c>
      <c r="K33">
        <v>6.15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2026-06-24T08:38:45Z</dcterms:modified>
</cp:coreProperties>
</file>