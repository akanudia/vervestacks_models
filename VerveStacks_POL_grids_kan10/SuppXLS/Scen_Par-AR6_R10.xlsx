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13_ncr:1_{9C9278A0-B65B-4FD0-A0C4-9DB0D28B341D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9" i="1"/>
  <c r="C14" i="1"/>
  <c r="C15" i="1"/>
  <c r="C16" i="1"/>
  <c r="E16" i="1"/>
  <c r="B16" i="1" s="1"/>
  <c r="E15" i="1"/>
  <c r="B15" i="1" s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O24" i="1" s="1"/>
  <c r="Z24" i="1" s="1"/>
  <c r="I15" i="1"/>
  <c r="I14" i="1"/>
  <c r="D5" i="1"/>
  <c r="H14" i="1" s="1"/>
  <c r="AJ59" i="1"/>
  <c r="AJ55" i="1"/>
  <c r="N24" i="1" l="1"/>
  <c r="Y24" i="1" s="1"/>
  <c r="K24" i="1"/>
  <c r="V24" i="1" s="1"/>
  <c r="M24" i="1"/>
  <c r="X24" i="1" s="1"/>
  <c r="L24" i="1"/>
  <c r="W24" i="1" s="1"/>
  <c r="O15" i="1"/>
  <c r="Z23" i="1" s="1"/>
  <c r="K15" i="1"/>
  <c r="V23" i="1" s="1"/>
  <c r="J15" i="1"/>
  <c r="U23" i="1" s="1"/>
  <c r="N15" i="1"/>
  <c r="Y23" i="1" s="1"/>
  <c r="M15" i="1"/>
  <c r="X23" i="1" s="1"/>
  <c r="L15" i="1"/>
  <c r="W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Z22" i="1" l="1"/>
  <c r="U22" i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<sst xmlns="http://schemas.openxmlformats.org/spreadsheetml/2006/main" count="1727" uniqueCount="126">
  <si>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</si>
  <si>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</si>
  <si>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</si>
  <si>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</si>
  <si>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</si>
  <si>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</si>
  <si>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</si>
  <si>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</si>
  <si>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</si>
  <si>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</si>
  <si>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</si>
  <si>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</si>
  <si>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</si>
  <si>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</si>
  <si>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</si>
  <si>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</si>
  <si>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</si>
  <si>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</si>
  <si>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</si>
  <si>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</si>
  <si>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</si>
  <si>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</si>
  <si>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</si>
  <si>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</si>
  <si>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</si>
  <si>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</si>
  <si>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</si>
  <si>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</si>
  <si>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</si>
  <si>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</si>
  <si>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</si>
  <si>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</si>
  <si>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</si>
  <si>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</si>
  <si>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</si>
  <si>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</si>
  <si>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</si>
  <si>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</si>
  <si>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</si>
  <si>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</si>
  <si>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</si>
  <si>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</si>
  <si>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</si>
  <si>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</si>
  <si>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</si>
  <si>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</si>
  <si>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</si>
  <si>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</si>
  <si>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</si>
  <si>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</si>
  <si>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</si>
  <si>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</si>
  <si>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</si>
  <si>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</si>
  <si>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</si>
  <si>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</si>
  <si>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</si>
  <si>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</si>
  <si>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</si>
  <si>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</si>
  <si>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</si>
  <si>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</si>
  <si>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</si>
  <si>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</si>
  <si>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</si>
  <si>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</si>
  <si>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</si>
  <si>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</si>
  <si>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</si>
  <si>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</si>
  <si>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</si>
  <si>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</si>
  <si>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</si>
  <si>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</si>
  <si>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</si>
  <si>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</si>
  <si>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</si>
  <si>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</si>
  <si>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</si>
  <si>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</si>
  <si>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</si>
  <si>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</si>
  <si>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</si>
  <si>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</si>
  <si>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</si>
  <si>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</si>
  <si>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</si>
  <si>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</si>
  <si>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</si>
  <si>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</si>
  <si>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</si>
  <si>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</si>
  <si>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</si>
  <si>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</si>
  <si>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</si>
  <si>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</si>
  <si>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</si>
  <si>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</si>
  <si>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</si>
  <si>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</si>
  <si>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</si>
  <si>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</si>
  <si>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</si>
  <si>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</si>
  <si>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</si>
  <si>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</si>
  <si>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</si>
  <si>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</si>
  <si>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</si>
  <si>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</si>
  <si>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</si>
  <si>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</si>
  <si>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</si>
  <si>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</si>
  <si>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</si>
  <si>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</si>
  <si>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</si>
  <si>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</si>
  <si>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POL</t>
  </si>
  <si>
    <t>Pipeline gas, coal &amp; forest resources</t>
  </si>
  <si>
    <t>~tfm_ins-ts</t>
  </si>
  <si>
    <t>lo</t>
  </si>
  <si>
    <t>cap_bnd</t>
  </si>
  <si>
    <t>HET</t>
  </si>
  <si>
    <t>1-8</t>
  </si>
  <si>
    <t>chp_heat_twh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</si>
</sst>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228.36870000000002</c:v>
                </c:pt>
                <c:pt idx="4">
                  <c:v>251.3826</c:v>
                </c:pt>
                <c:pt idx="5">
                  <c:v>281.47770000000003</c:v>
                </c:pt>
                <c:pt idx="6">
                  <c:v>306.26190000000003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D4" sqref="D4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124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4</v>
      </c>
      <c r="K3" s="10">
        <v>600</v>
      </c>
      <c r="L3" s="10" t="s">
        <v>0</v>
      </c>
      <c r="N3" s="10" t="s">
        <v>115</v>
      </c>
      <c r="O3" s="10" t="s">
        <v>7</v>
      </c>
    </row>
    <row r="4" spans="1:39" x14ac:dyDescent="0.45">
      <c r="K4" s="10">
        <v>300</v>
      </c>
      <c r="L4" s="10" t="s">
        <v>2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600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base·$300</v>
      </c>
      <c r="C11">
        <f>C10+1</f>
        <v>3</v>
      </c>
      <c r="D11" t="s">
        <v>115</v>
      </c>
      <c r="E11" s="15">
        <v>300</v>
      </c>
      <c r="S11" s="22">
        <f>SUMIFS(iea_data!I3:I9999,iea_data!$B$3:$B$9999,Veda!$S$10)+T28-T29</f>
        <v>177.03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base·$600</v>
      </c>
      <c r="C12">
        <f>C11+1</f>
        <v>4</v>
      </c>
      <c r="D12" t="s">
        <v>115</v>
      </c>
      <c r="E12" s="15">
        <v>600</v>
      </c>
      <c r="S12" s="22">
        <f>SUMIFS(iea_data!J3:J9999,iea_data!$B$3:$B$9999,Veda!$S$10)</f>
        <v>50.323999999999998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177.03</v>
      </c>
      <c r="U14" s="8">
        <f t="shared" ref="U14:Z14" si="4">$S$11*J14</f>
        <v>185.88150000000002</v>
      </c>
      <c r="V14" s="8">
        <f t="shared" si="4"/>
        <v>207.12509999999997</v>
      </c>
      <c r="W14" s="8">
        <f t="shared" si="4"/>
        <v>228.36870000000002</v>
      </c>
      <c r="X14" s="8">
        <f t="shared" si="4"/>
        <v>251.3826</v>
      </c>
      <c r="Y14" s="8">
        <f t="shared" si="4"/>
        <v>281.47770000000003</v>
      </c>
      <c r="Z14" s="8">
        <f t="shared" si="4"/>
        <v>306.26190000000003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high·$300</v>
      </c>
      <c r="C15">
        <f t="shared" si="2"/>
        <v>7</v>
      </c>
      <c r="D15" t="s">
        <v>82</v>
      </c>
      <c r="E15" s="15">
        <f t="shared" si="3"/>
        <v>300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high·$600</v>
      </c>
      <c r="C16">
        <f t="shared" si="2"/>
        <v>8</v>
      </c>
      <c r="D16" t="s">
        <v>82</v>
      </c>
      <c r="E16" s="15">
        <f t="shared" si="3"/>
        <v>600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65.501099999999994</v>
      </c>
      <c r="U19" s="6">
        <f t="shared" si="7"/>
        <v>65.058525000000003</v>
      </c>
      <c r="V19" s="6">
        <f t="shared" si="7"/>
        <v>70.422533999999999</v>
      </c>
      <c r="W19" s="6">
        <f t="shared" si="7"/>
        <v>75.361671000000015</v>
      </c>
      <c r="X19" s="6">
        <f t="shared" si="7"/>
        <v>75.414779999999993</v>
      </c>
      <c r="Y19" s="6">
        <f t="shared" si="7"/>
        <v>81.628533000000004</v>
      </c>
      <c r="Z19" s="6">
        <f t="shared" si="7"/>
        <v>91.878570000000011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104.4477</v>
      </c>
      <c r="U20" s="6">
        <f t="shared" si="7"/>
        <v>109.670085</v>
      </c>
      <c r="V20" s="6">
        <f t="shared" si="7"/>
        <v>122.20380899999998</v>
      </c>
      <c r="W20" s="6">
        <f t="shared" si="7"/>
        <v>132.453846</v>
      </c>
      <c r="X20" s="6">
        <f t="shared" si="7"/>
        <v>145.801908</v>
      </c>
      <c r="Y20" s="6">
        <f t="shared" si="7"/>
        <v>157.62751200000002</v>
      </c>
      <c r="Z20" s="6">
        <f t="shared" si="7"/>
        <v>165.38142600000003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1.7702999999999918</v>
      </c>
      <c r="U22" s="6">
        <f t="shared" si="9"/>
        <v>5.8419900000000098</v>
      </c>
      <c r="V22" s="6">
        <f t="shared" si="9"/>
        <v>9.1878570000000082</v>
      </c>
      <c r="W22" s="6">
        <f t="shared" si="9"/>
        <v>15.242283000000015</v>
      </c>
      <c r="X22" s="6">
        <f t="shared" si="9"/>
        <v>24.855012000000016</v>
      </c>
      <c r="Y22" s="6">
        <f t="shared" si="9"/>
        <v>36.910754999999995</v>
      </c>
      <c r="Z22" s="6">
        <f t="shared" si="9"/>
        <v>43.691003999999964</v>
      </c>
      <c r="AA22" t="s">
        <v>17</v>
      </c>
      <c r="AJ22" s="10">
        <f t="shared" si="5"/>
        <v>3</v>
      </c>
    </row>
    <row r="23" spans="1:36" x14ac:dyDescent="0.45">
      <c r="S23" s="23" t="s">
        <v>123</v>
      </c>
      <c r="T23" s="24">
        <f>S12</f>
        <v>50.323999999999998</v>
      </c>
      <c r="U23" s="25">
        <f>$S$12*J15</f>
        <v>49.317519999999995</v>
      </c>
      <c r="V23" s="25">
        <f>$S$12*K15</f>
        <v>48.311039999999998</v>
      </c>
      <c r="W23" s="25">
        <f t="shared" ref="W23:Z23" si="10">$S$12*L15</f>
        <v>46.298079999999999</v>
      </c>
      <c r="X23" s="25">
        <f t="shared" si="10"/>
        <v>42.27216</v>
      </c>
      <c r="Y23" s="25">
        <f t="shared" si="10"/>
        <v>41.768919999999994</v>
      </c>
      <c r="Z23" s="25">
        <f t="shared" si="10"/>
        <v>40.2592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C1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241.69</v>
      </c>
      <c r="L24" s="8">
        <f>SUMIFS(ar6_r10!$F$2:$F$999,ar6_r10!$A$2:$A$999,$H$24,ar6_r10!$C$2:$C$999,Veda!L$17,ar6_r10!$M$2:$M$999,Veda!$G24)</f>
        <v>339.03</v>
      </c>
      <c r="M24" s="8">
        <f>SUMIFS(ar6_r10!$F$2:$F$999,ar6_r10!$A$2:$A$999,$H$24,ar6_r10!$C$2:$C$999,Veda!M$17,ar6_r10!$M$2:$M$999,Veda!$G24)</f>
        <v>410.28</v>
      </c>
      <c r="N24" s="8">
        <f>SUMIFS(ar6_r10!$F$2:$F$999,ar6_r10!$A$2:$A$999,$H$24,ar6_r10!$C$2:$C$999,Veda!N$17,ar6_r10!$M$2:$M$999,Veda!$G24)</f>
        <v>494.2</v>
      </c>
      <c r="O24" s="8">
        <f>SUMIFS(ar6_r10!$F$2:$F$999,ar6_r10!$A$2:$A$999,$H$24,ar6_r10!$C$2:$C$999,Veda!O$17,ar6_r10!$M$2:$M$999,Veda!$G24)</f>
        <v>635.42999999999995</v>
      </c>
      <c r="S24" s="26" t="s">
        <v>27</v>
      </c>
      <c r="T24" s="27"/>
      <c r="U24" s="27">
        <v>0</v>
      </c>
      <c r="V24" s="28">
        <f>K24/1000</f>
        <v>0.24168999999999999</v>
      </c>
      <c r="W24" s="28">
        <f>L24/1000</f>
        <v>0.33903</v>
      </c>
      <c r="X24" s="28">
        <f>M24/1000</f>
        <v>0.41027999999999998</v>
      </c>
      <c r="Y24" s="28">
        <f>N24/1000</f>
        <v>0.49419999999999997</v>
      </c>
      <c r="Z24" s="28">
        <f>O24/1000</f>
        <v>0.63542999999999994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15.24</v>
      </c>
      <c r="S28" t="s">
        <v>31</v>
      </c>
      <c r="T28" s="3">
        <f>Q28</f>
        <v>15.24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-16.91</v>
      </c>
      <c r="S29" t="s">
        <v>34</v>
      </c>
      <c r="T29" s="3">
        <f>-1*Q29</f>
        <v>16.91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12.2</v>
      </c>
      <c r="J46">
        <f t="shared" si="13"/>
        <v>12.443999999999999</v>
      </c>
      <c r="K46">
        <f t="shared" si="13"/>
        <v>12.932</v>
      </c>
      <c r="L46">
        <f t="shared" si="13"/>
        <v>13.054</v>
      </c>
      <c r="M46">
        <f t="shared" si="13"/>
        <v>13.176</v>
      </c>
      <c r="N46">
        <f t="shared" si="13"/>
        <v>13.42</v>
      </c>
      <c r="O46">
        <f t="shared" si="13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26</v>
      </c>
      <c r="O48">
        <f>VLOOKUP($H$14,$AK$9:$AM$15,3,FALSE)*I48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120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121</v>
      </c>
      <c r="C84" s="18">
        <v>1.4550000000000001</v>
      </c>
      <c r="D84" s="18">
        <v>1.881</v>
      </c>
      <c r="E84" s="18">
        <v>1.881</v>
      </c>
      <c r="F84" s="17" t="s">
        <v>122</v>
      </c>
    </row>
    <row r="85" spans="1:6" x14ac:dyDescent="0.45">
      <c r="A85" s="19" t="s">
        <v>31</v>
      </c>
      <c r="B85" s="19" t="s">
        <v>121</v>
      </c>
      <c r="C85" s="20">
        <v>1.8</v>
      </c>
      <c r="D85" s="20">
        <v>3.3</v>
      </c>
      <c r="E85" s="20">
        <v>3.3</v>
      </c>
      <c r="F85" s="19" t="s">
        <v>122</v>
      </c>
    </row>
    <row r="89" spans="1:6" x14ac:dyDescent="0.45">
      <c r="A89" t="s">
        <v>120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121</v>
      </c>
      <c r="C91">
        <v>1.4550000000000001</v>
      </c>
      <c r="D91">
        <v>1.881</v>
      </c>
      <c r="E91">
        <v>1.881</v>
      </c>
      <c r="F91" t="s">
        <v>122</v>
      </c>
    </row>
    <row r="92" spans="1:6" x14ac:dyDescent="0.45">
      <c r="A92" t="s">
        <v>31</v>
      </c>
      <c r="B92" t="s">
        <v>121</v>
      </c>
      <c r="C92">
        <v>1.8</v>
      </c>
      <c r="D92">
        <v>3.3</v>
      </c>
      <c r="E92">
        <v>3.3</v>
      </c>
      <c r="F92" t="s">
        <v>122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118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125</v>
      </c>
      <c r="K10" t="s">
        <v>117</v>
      </c>
    </row>
    <row r="11" spans="1:11" x14ac:dyDescent="0.45">
      <c r="A11" t="s">
        <v>118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  <c r="J11">
        <v>54.661000000000001</v>
      </c>
      <c r="K11">
        <v>77.525000000000006</v>
      </c>
    </row>
    <row r="12" spans="1:11" x14ac:dyDescent="0.45">
      <c r="A12" t="s">
        <v>118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  <c r="J12">
        <v>58.131999999999998</v>
      </c>
      <c r="K12">
        <v>85.239000000000004</v>
      </c>
    </row>
    <row r="13" spans="1:11" x14ac:dyDescent="0.45">
      <c r="A13" t="s">
        <v>118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  <c r="J13">
        <v>57.103000000000002</v>
      </c>
      <c r="K13">
        <v>80.076999999999998</v>
      </c>
    </row>
    <row r="14" spans="1:11" x14ac:dyDescent="0.45">
      <c r="A14" t="s">
        <v>118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  <c r="J14">
        <v>62.613999999999997</v>
      </c>
      <c r="K14">
        <v>83.001999999999995</v>
      </c>
    </row>
    <row r="15" spans="1:11" x14ac:dyDescent="0.45">
      <c r="A15" t="s">
        <v>118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  <c r="J15">
        <v>60.438000000000002</v>
      </c>
      <c r="K15">
        <v>78.161000000000001</v>
      </c>
    </row>
    <row r="16" spans="1:11" x14ac:dyDescent="0.45">
      <c r="A16" t="s">
        <v>118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  <c r="J16">
        <v>60.936</v>
      </c>
      <c r="K16">
        <v>76.881</v>
      </c>
    </row>
    <row r="17" spans="1:11" x14ac:dyDescent="0.45">
      <c r="A17" t="s">
        <v>118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  <c r="J17">
        <v>61.061</v>
      </c>
      <c r="K17">
        <v>78.009</v>
      </c>
    </row>
    <row r="18" spans="1:11" x14ac:dyDescent="0.45">
      <c r="A18" t="s">
        <v>118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  <c r="J18">
        <v>57.805</v>
      </c>
      <c r="K18">
        <v>72.433000000000007</v>
      </c>
    </row>
    <row r="19" spans="1:11" x14ac:dyDescent="0.45">
      <c r="A19" t="s">
        <v>118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  <c r="J19">
        <v>55.478999999999999</v>
      </c>
      <c r="K19">
        <v>70.186000000000007</v>
      </c>
    </row>
    <row r="20" spans="1:11" x14ac:dyDescent="0.45">
      <c r="A20" t="s">
        <v>118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  <c r="J20">
        <v>54.234999999999999</v>
      </c>
      <c r="K20">
        <v>69.751999999999995</v>
      </c>
    </row>
    <row r="21" spans="1:11" x14ac:dyDescent="0.45">
      <c r="A21" t="s">
        <v>118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  <c r="J21">
        <v>57.015999999999998</v>
      </c>
      <c r="K21">
        <v>75.994</v>
      </c>
    </row>
    <row r="22" spans="1:11" x14ac:dyDescent="0.45">
      <c r="A22" t="s">
        <v>118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  <c r="J22">
        <v>53.280999999999999</v>
      </c>
      <c r="K22">
        <v>67.509</v>
      </c>
    </row>
    <row r="23" spans="1:11" x14ac:dyDescent="0.45">
      <c r="A23" t="s">
        <v>118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  <c r="J23">
        <v>54.026000000000003</v>
      </c>
      <c r="K23">
        <v>69.394000000000005</v>
      </c>
    </row>
    <row r="24" spans="1:11" x14ac:dyDescent="0.45">
      <c r="A24" t="s">
        <v>118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  <c r="J24">
        <v>52.933</v>
      </c>
      <c r="K24">
        <v>69.100999999999999</v>
      </c>
    </row>
    <row r="25" spans="1:11" x14ac:dyDescent="0.45">
      <c r="A25" t="s">
        <v>118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  <c r="J25">
        <v>48.634</v>
      </c>
      <c r="K25">
        <v>63.122</v>
      </c>
    </row>
    <row r="26" spans="1:11" x14ac:dyDescent="0.45">
      <c r="A26" t="s">
        <v>118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  <c r="J26">
        <v>51.51</v>
      </c>
      <c r="K26">
        <v>63.31</v>
      </c>
    </row>
    <row r="27" spans="1:11" x14ac:dyDescent="0.45">
      <c r="A27" t="s">
        <v>118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  <c r="J27">
        <v>52.508000000000003</v>
      </c>
      <c r="K27">
        <v>65.72</v>
      </c>
    </row>
    <row r="28" spans="1:11" x14ac:dyDescent="0.45">
      <c r="A28" t="s">
        <v>118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  <c r="J28">
        <v>54.637999999999998</v>
      </c>
      <c r="K28">
        <v>67.453000000000003</v>
      </c>
    </row>
    <row r="29" spans="1:11" x14ac:dyDescent="0.45">
      <c r="A29" t="s">
        <v>118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  <c r="J29">
        <v>53.701000000000001</v>
      </c>
      <c r="K29">
        <v>64.968999999999994</v>
      </c>
    </row>
    <row r="30" spans="1:11" x14ac:dyDescent="0.45">
      <c r="A30" t="s">
        <v>118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  <c r="J30">
        <v>52.756999999999998</v>
      </c>
      <c r="K30">
        <v>64.373000000000005</v>
      </c>
    </row>
    <row r="31" spans="1:11" x14ac:dyDescent="0.45">
      <c r="A31" t="s">
        <v>118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  <c r="J31">
        <v>51.826999999999998</v>
      </c>
      <c r="K31">
        <v>64.936000000000007</v>
      </c>
    </row>
    <row r="32" spans="1:11" x14ac:dyDescent="0.45">
      <c r="A32" t="s">
        <v>118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  <c r="J32">
        <v>54.496000000000002</v>
      </c>
      <c r="K32">
        <v>69.254000000000005</v>
      </c>
    </row>
    <row r="33" spans="1:11" x14ac:dyDescent="0.45">
      <c r="A33" t="s">
        <v>118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  <c r="J33">
        <v>50.323999999999998</v>
      </c>
      <c r="K33">
        <v>65.221000000000004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2026-07-03T13:10:48Z</dcterms:modified>
</cp:coreProperties>
</file>