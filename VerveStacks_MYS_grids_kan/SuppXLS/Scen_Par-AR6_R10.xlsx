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YS_grids_kan\SuppXLS\"/>
    </mc:Choice>
  </mc:AlternateContent>
  <xr:revisionPtr revIDLastSave="0" documentId="8_{54A1723B-29AF-46D7-95CB-FECC9B302A6A}" xr6:coauthVersionLast="47" xr6:coauthVersionMax="47" xr10:uidLastSave="{00000000-0000-0000-0000-000000000000}"/>
  <bookViews>
    <workbookView xWindow="-98" yWindow="-98" windowWidth="28996" windowHeight="17475" firstSheet="10" activeTab="10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24" sheetId="8" r:id="rId7"/>
    <sheet name="ts_036" sheetId="9" r:id="rId8"/>
    <sheet name="ts_048" sheetId="10" r:id="rId9"/>
    <sheet name="ts_annual" sheetId="11" r:id="rId10"/>
    <sheet name="ts_12t" sheetId="12" r:id="rId11"/>
  </sheets>
  <definedNames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2" l="1"/>
  <c r="AG9" i="12"/>
  <c r="AC9" i="12"/>
  <c r="A10" i="6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AI16" i="1"/>
  <c r="AI15" i="1"/>
  <c r="AI14" i="1"/>
  <c r="AI13" i="1"/>
  <c r="AI12" i="1"/>
  <c r="AI11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42" i="1"/>
  <c r="D47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E15" i="1"/>
  <c r="E20" i="1" s="1"/>
  <c r="E25" i="1" s="1"/>
  <c r="E30" i="1" s="1"/>
  <c r="E35" i="1" s="1"/>
  <c r="E40" i="1" s="1"/>
  <c r="E45" i="1" s="1"/>
  <c r="E16" i="1"/>
  <c r="E17" i="1"/>
  <c r="E18" i="1"/>
  <c r="E21" i="1"/>
  <c r="E22" i="1"/>
  <c r="E27" i="1" s="1"/>
  <c r="E32" i="1" s="1"/>
  <c r="E37" i="1" s="1"/>
  <c r="E42" i="1" s="1"/>
  <c r="E47" i="1" s="1"/>
  <c r="E23" i="1"/>
  <c r="E28" i="1" s="1"/>
  <c r="E26" i="1"/>
  <c r="E31" i="1" s="1"/>
  <c r="E36" i="1" s="1"/>
  <c r="E41" i="1" s="1"/>
  <c r="E46" i="1" s="1"/>
  <c r="E14" i="1"/>
  <c r="E19" i="1" s="1"/>
  <c r="E24" i="1" s="1"/>
  <c r="E29" i="1" s="1"/>
  <c r="E34" i="1" s="1"/>
  <c r="E39" i="1" s="1"/>
  <c r="E44" i="1" s="1"/>
  <c r="B18" i="1" l="1"/>
  <c r="B17" i="1"/>
  <c r="D23" i="1"/>
  <c r="AJ28" i="1"/>
  <c r="E33" i="1"/>
  <c r="AJ24" i="1"/>
  <c r="D19" i="1"/>
  <c r="B19" i="1" s="1"/>
  <c r="D21" i="1"/>
  <c r="B21" i="1" s="1"/>
  <c r="D36" i="1"/>
  <c r="B36" i="1" s="1"/>
  <c r="B23" i="1"/>
  <c r="D41" i="1"/>
  <c r="B41" i="1" s="1"/>
  <c r="B47" i="1"/>
  <c r="D26" i="1"/>
  <c r="B26" i="1" s="1"/>
  <c r="D16" i="1"/>
  <c r="B16" i="1" s="1"/>
  <c r="D31" i="1"/>
  <c r="B31" i="1" s="1"/>
  <c r="B15" i="1"/>
  <c r="B27" i="1"/>
  <c r="AJ20" i="1"/>
  <c r="D46" i="1"/>
  <c r="B46" i="1" s="1"/>
  <c r="D14" i="1"/>
  <c r="B14" i="1" s="1"/>
  <c r="B22" i="1"/>
  <c r="B42" i="1"/>
  <c r="B37" i="1"/>
  <c r="B32" i="1"/>
  <c r="D2" i="1"/>
  <c r="H48" i="1"/>
  <c r="H47" i="1"/>
  <c r="H46" i="1"/>
  <c r="H45" i="1"/>
  <c r="H24" i="6"/>
  <c r="H23" i="6"/>
  <c r="D5" i="1"/>
  <c r="H21" i="6" l="1"/>
  <c r="D28" i="1"/>
  <c r="B28" i="1" s="1"/>
  <c r="AJ33" i="1"/>
  <c r="AJ25" i="1"/>
  <c r="D20" i="1"/>
  <c r="B20" i="1" s="1"/>
  <c r="AJ29" i="1"/>
  <c r="D24" i="1"/>
  <c r="B24" i="1" s="1"/>
  <c r="E38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D33" i="1"/>
  <c r="B33" i="1" s="1"/>
  <c r="E43" i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43" i="1" l="1"/>
  <c r="D38" i="1"/>
  <c r="B38" i="1" s="1"/>
  <c r="AJ39" i="1"/>
  <c r="D34" i="1"/>
  <c r="B34" i="1" s="1"/>
  <c r="D30" i="1"/>
  <c r="B30" i="1" s="1"/>
  <c r="AJ35" i="1"/>
  <c r="E48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AJ48" i="1" l="1"/>
  <c r="D43" i="1"/>
  <c r="B43" i="1" s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53" i="1" l="1"/>
  <c r="AJ58" i="1" s="1"/>
  <c r="AJ63" i="1" s="1"/>
  <c r="AJ68" i="1" s="1"/>
  <c r="AJ73" i="1" s="1"/>
  <c r="AJ78" i="1" s="1"/>
  <c r="D48" i="1"/>
  <c r="B48" i="1" s="1"/>
  <c r="AJ49" i="1"/>
  <c r="D44" i="1"/>
  <c r="B44" i="1" s="1"/>
  <c r="AJ45" i="1"/>
  <c r="D40" i="1"/>
  <c r="B40" i="1" s="1"/>
  <c r="U22" i="1"/>
  <c r="Y22" i="1"/>
  <c r="AJ50" i="1" l="1"/>
  <c r="D45" i="1"/>
  <c r="B45" i="1" s="1"/>
  <c r="AJ54" i="1"/>
  <c r="AJ59" i="1" l="1"/>
  <c r="AJ55" i="1"/>
  <c r="AJ60" i="1" l="1"/>
  <c r="AJ64" i="1"/>
  <c r="AJ69" i="1" l="1"/>
  <c r="AJ65" i="1"/>
  <c r="AJ70" i="1" l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<sst xmlns="http://schemas.openxmlformats.org/spreadsheetml/2006/main" count="8195" uniqueCount="245">
  <si>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</si>
  <si>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</si>
  <si>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</si>
  <si>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</si>
  <si>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</si>
  <si>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</si>
  <si>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</si>
  <si>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</si>
  <si>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</si>
  <si>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</si>
  <si>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</si>
  <si>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</si>
  <si>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</si>
  <si>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</si>
  <si>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</si>
  <si>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</si>
  <si>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</si>
  <si>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</si>
  <si>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</si>
  <si>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</si>
  <si>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</si>
  <si>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</si>
  <si>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</si>
  <si>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</si>
  <si>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</si>
  <si>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</si>
  <si>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</si>
  <si>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</si>
  <si>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</si>
  <si>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</si>
  <si>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</si>
  <si>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</si>
  <si>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</si>
  <si>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</si>
  <si>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</si>
  <si>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</si>
  <si>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</si>
  <si>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</si>
  <si>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</si>
  <si>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</si>
  <si>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</si>
  <si>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</si>
  <si>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</si>
  <si>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</si>
  <si>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</si>
  <si>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</si>
  <si>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</si>
  <si>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</si>
  <si>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</si>
  <si>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</si>
  <si>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</si>
  <si>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</si>
  <si>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</si>
  <si>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</si>
  <si>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</si>
  <si>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</si>
  <si>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</si>
  <si>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</si>
  <si>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</si>
  <si>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</si>
  <si>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</si>
  <si>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</si>
  <si>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</si>
  <si>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</si>
  <si>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</si>
  <si>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</si>
  <si>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</si>
  <si>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</si>
  <si>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</si>
  <si>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</si>
  <si>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</si>
  <si>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</si>
  <si>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</si>
  <si>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</si>
  <si>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</si>
  <si>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</si>
  <si>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</si>
  <si>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</si>
  <si>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</si>
  <si>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</si>
  <si>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</si>
  <si>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</si>
  <si>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</si>
  <si>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</si>
  <si>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</si>
  <si>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</si>
  <si>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</si>
  <si>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</si>
  <si>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</si>
  <si>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</si>
  <si>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</si>
  <si>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</si>
  <si>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</si>
  <si>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</si>
  <si>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</si>
  <si>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</si>
  <si>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</si>
  <si>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</si>
  <si>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</si>
  <si>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</si>
  <si>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</si>
  <si>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</si>
  <si>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</si>
  <si>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</si>
  <si>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</si>
  <si>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</si>
  <si>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</si>
  <si>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</si>
  <si>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</si>
  <si>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</si>
  <si>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</si>
  <si>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</si>
  <si>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</si>
  <si>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</si>
  <si>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</si>
  <si>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</si>
  <si>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</si>
  <si>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</si>
  <si>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</si>
  <si>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</si>
  <si>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</si>
  <si>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</si>
  <si>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</si>
  <si>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</si>
  <si>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</si>
  <si>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</si>
  <si>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</si>
  <si>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</si>
  <si>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</si>
  <si>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</si>
  <si>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</si>
  <si>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</si>
  <si>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</si>
  <si>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MYS</t>
  </si>
  <si>
    <t>R10REST_ASIA</t>
  </si>
  <si>
    <t>Domestic gas production, palm residues</t>
  </si>
  <si>
    <t>1-25,36-40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</si>
  <si>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</si>
  <si>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</si>
  <si>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</si>
  <si>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</si>
  <si>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</si>
  <si>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</si>
  <si>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</si>
  <si>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</si>
  <si>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S02,S01</t>
  </si>
  <si>
    <t>S02</t>
  </si>
  <si>
    <t>H02</t>
  </si>
  <si>
    <t>H03</t>
  </si>
  <si>
    <t>com_fr</t>
  </si>
  <si>
    <t>elc_spv_MYS_001</t>
  </si>
  <si>
    <t>S01aH01</t>
  </si>
  <si>
    <t>IMPNRGZ</t>
  </si>
  <si>
    <t>S01aH02</t>
  </si>
  <si>
    <t>S01aH03</t>
  </si>
  <si>
    <t>S02aH01</t>
  </si>
  <si>
    <t>S02aH02</t>
  </si>
  <si>
    <t>S02aH03</t>
  </si>
  <si>
    <t>elc_spv_MYS_002</t>
  </si>
  <si>
    <t>elc_spv_MYS_003</t>
  </si>
  <si>
    <t>elc_spv_MYS_004</t>
  </si>
  <si>
    <t>elc_spv_MYS_005</t>
  </si>
  <si>
    <t>elc_spv_MYS_006</t>
  </si>
  <si>
    <t>elc_spv_MYS_007</t>
  </si>
  <si>
    <t>elc_spv_MYS_008</t>
  </si>
  <si>
    <t>elc_spv_MYS_009</t>
  </si>
  <si>
    <t>elc_spv_MYS_010</t>
  </si>
  <si>
    <t>elc_spv_MYS_011</t>
  </si>
  <si>
    <t>elc_spv_MYS_012</t>
  </si>
  <si>
    <t>elc_spv_MYS_013</t>
  </si>
  <si>
    <t>elc_spv_MYS_014</t>
  </si>
  <si>
    <t>elc_spv_MYS_015</t>
  </si>
  <si>
    <t>elc_spv_MYS_016</t>
  </si>
  <si>
    <t>elc_spv_MYS_017</t>
  </si>
  <si>
    <t>elc_won_MYS_001</t>
  </si>
  <si>
    <t>elc_won_MYS_002</t>
  </si>
  <si>
    <t>elc_won_MYS_003</t>
  </si>
  <si>
    <t>elc_won_MYS_004</t>
  </si>
  <si>
    <t>elc_won_MYS_005</t>
  </si>
  <si>
    <t>elc_won_MYS_006</t>
  </si>
  <si>
    <t>elc_wof_MYS_001</t>
  </si>
  <si>
    <t>elc_wof_MYS_002</t>
  </si>
  <si>
    <t>elc_wof_MYS_003</t>
  </si>
  <si>
    <t>elc_wof_MYS_004</t>
  </si>
  <si>
    <t>elc_wof_MYS_005</t>
  </si>
  <si>
    <t>elc_wof_MYS_006</t>
  </si>
  <si>
    <t>elc_wof_MYS_007</t>
  </si>
  <si>
    <t>elc_wof_MYS_008</t>
  </si>
  <si>
    <t>elc_wof_MYS_009</t>
  </si>
  <si>
    <t>elc_wof_MYS_010</t>
  </si>
  <si>
    <t>g_yrfr</t>
  </si>
  <si>
    <t>day_night</t>
  </si>
  <si>
    <t>D</t>
  </si>
  <si>
    <t>S01aH02,S02aH02</t>
  </si>
  <si>
    <t>N</t>
  </si>
  <si>
    <t>S01aH03,S02aH01,S01aH01,S02aH03</t>
  </si>
  <si>
    <t>com_pkflx</t>
  </si>
  <si>
    <t>ncap_afs</t>
  </si>
  <si>
    <t>pset_ci</t>
  </si>
  <si>
    <t>H04</t>
  </si>
  <si>
    <t>H05</t>
  </si>
  <si>
    <t>H06</t>
  </si>
  <si>
    <t>ts_024</t>
  </si>
  <si>
    <t>S01aH04</t>
  </si>
  <si>
    <t>S01aH05</t>
  </si>
  <si>
    <t>S01aH06</t>
  </si>
  <si>
    <t>S02aH04</t>
  </si>
  <si>
    <t>S02aH05</t>
  </si>
  <si>
    <t>S02aH06</t>
  </si>
  <si>
    <t>S02aH04,S01aH03,S01aH02,S01aH04,S02aH03,S02aH02</t>
  </si>
  <si>
    <t>S02aH06,S02aH05,S01aH06,S02aH01,S01aH05,S01aH01</t>
  </si>
  <si>
    <t>ts_036</t>
  </si>
  <si>
    <t>S01aH02,S01aH04,S01aH03,S02aH02,S02aH04,S02aH03</t>
  </si>
  <si>
    <t>S01aH05,S01aH06,S02aH05,S02aH06,S01aH01,S02aH01</t>
  </si>
  <si>
    <t>H07</t>
  </si>
  <si>
    <t>H08</t>
  </si>
  <si>
    <t>S01aH07</t>
  </si>
  <si>
    <t>S01aH08</t>
  </si>
  <si>
    <t>S02aH07</t>
  </si>
  <si>
    <t>S02aH08</t>
  </si>
  <si>
    <t>S02aH02,S01aH04,S02aH06,S01aH05,S02aH04,S02aH05,S01aH03,S01aH02,S01aH06,S02aH03</t>
  </si>
  <si>
    <t>S02aH01,S01aH07,S02aH07,S01aH08,S02aH08,S01aH01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</si>
  <si>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</si>
  <si>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</si>
  <si>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</si>
  <si>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</si>
  <si>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</si>
  <si>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</si>
  <si>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</si>
  <si>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</si>
  <si>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</si>
  <si>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</si>
  <si>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</si>
  <si>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</si>
  <si>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</si>
  <si>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</si>
  <si>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</si>
  <si>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</si>
  <si>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</si>
  <si>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</si>
  <si>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</si>
  <si>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</si>
  <si>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</si>
  <si>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WaP,FaP,SaP,FaD,SaD,WaD,RaD,RaP</t>
  </si>
  <si>
    <t>SaN,WaN,FaN,RaN,RaP,WaP,FaP,SaP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</si>
</sst>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185.91000000000003</c:v>
                </c:pt>
                <c:pt idx="1">
                  <c:v>215.65560000000002</c:v>
                </c:pt>
                <c:pt idx="2">
                  <c:v>243.54210000000003</c:v>
                </c:pt>
                <c:pt idx="3">
                  <c:v>278.86500000000001</c:v>
                </c:pt>
                <c:pt idx="4">
                  <c:v>319.76520000000005</c:v>
                </c:pt>
                <c:pt idx="5">
                  <c:v>395.98830000000004</c:v>
                </c:pt>
                <c:pt idx="6">
                  <c:v>466.63410000000005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55.79</c:v>
                </c:pt>
                <c:pt idx="3">
                  <c:v>89.54</c:v>
                </c:pt>
                <c:pt idx="4">
                  <c:v>128.22999999999999</c:v>
                </c:pt>
                <c:pt idx="5">
                  <c:v>171.82</c:v>
                </c:pt>
                <c:pt idx="6">
                  <c:v>208.87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workbookViewId="0">
      <selection activeCell="A11" sqref="A11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136</v>
      </c>
      <c r="H1">
        <v>8</v>
      </c>
      <c r="I1">
        <v>13</v>
      </c>
      <c r="J1">
        <v>18</v>
      </c>
      <c r="K1">
        <v>23</v>
      </c>
      <c r="L1">
        <v>28</v>
      </c>
      <c r="M1">
        <v>33</v>
      </c>
      <c r="N1">
        <v>38</v>
      </c>
    </row>
    <row r="2" spans="1:39" x14ac:dyDescent="0.45">
      <c r="D2" s="1" t="str">
        <f>"~Inputcell: "&amp;_xlfn.TEXTJOIN(",",TRUE,G1:EE1)</f>
        <v>~Inputcell: 1-25,36-40,8,13,18,23,28,33,38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112</v>
      </c>
    </row>
    <row r="8" spans="1:39" ht="14.65" thickBot="1" x14ac:dyDescent="0.5">
      <c r="A8" s="4" t="s">
        <v>117</v>
      </c>
      <c r="B8" s="4" t="s">
        <v>113</v>
      </c>
      <c r="C8" s="4" t="s">
        <v>114</v>
      </c>
      <c r="D8" s="4" t="s">
        <v>115</v>
      </c>
      <c r="E8" s="4" t="s">
        <v>116</v>
      </c>
      <c r="AM8" s="2" t="s">
        <v>122</v>
      </c>
    </row>
    <row r="9" spans="1:39" x14ac:dyDescent="0.45">
      <c r="A9">
        <v>5</v>
      </c>
      <c r="B9" t="str">
        <f>VLOOKUP(E9,$AK$9:$AL$15,2,FALSE)&amp;"."&amp;VLOOKUP(D9,$AH$9:$AI$24,2,FALSE)</f>
        <v>e 1.5 deg no OS.xAnn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103</v>
      </c>
      <c r="AI9" t="s">
        <v>132</v>
      </c>
      <c r="AJ9" s="10">
        <v>1</v>
      </c>
      <c r="AK9" t="s">
        <v>0</v>
      </c>
      <c r="AL9" t="s">
        <v>105</v>
      </c>
      <c r="AM9" s="12">
        <v>5</v>
      </c>
    </row>
    <row r="10" spans="1:39" x14ac:dyDescent="0.45">
      <c r="A10">
        <v>5</v>
      </c>
      <c r="B10" t="str">
        <f t="shared" ref="B10:B48" si="0">VLOOKUP(E10,$AK$9:$AL$15,2,FALSE)&amp;"."&amp;VLOOKUP(D10,$AH$9:$AI$24,2,FALSE)</f>
        <v>d 1.5 deg OS.xAnn</v>
      </c>
      <c r="C10">
        <f>C9+1</f>
        <v>2</v>
      </c>
      <c r="D10" t="str">
        <f t="shared" ref="D10:D48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120</v>
      </c>
      <c r="AI10" t="s">
        <v>131</v>
      </c>
      <c r="AJ10" s="10">
        <v>1</v>
      </c>
      <c r="AK10" t="s">
        <v>2</v>
      </c>
      <c r="AL10" t="s">
        <v>107</v>
      </c>
      <c r="AM10" s="12">
        <v>4</v>
      </c>
    </row>
    <row r="11" spans="1:39" x14ac:dyDescent="0.45">
      <c r="A11">
        <v>5</v>
      </c>
      <c r="B11" t="str">
        <f t="shared" si="0"/>
        <v>c 2 deg (67%).xAnn</v>
      </c>
      <c r="C11">
        <f t="shared" ref="C11:C48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118</v>
      </c>
      <c r="AI11" t="str">
        <f>AH11</f>
        <v>ts_012</v>
      </c>
      <c r="AJ11" s="10">
        <v>1</v>
      </c>
      <c r="AK11" t="s">
        <v>5</v>
      </c>
      <c r="AL11" t="s">
        <v>108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(50%).xAnn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185.91000000000003</v>
      </c>
      <c r="T12" s="2" t="s">
        <v>57</v>
      </c>
      <c r="AG12">
        <v>4</v>
      </c>
      <c r="AH12" t="s">
        <v>124</v>
      </c>
      <c r="AI12" t="str">
        <f t="shared" ref="AI12:AI16" si="3">AH12</f>
        <v>ts_030</v>
      </c>
      <c r="AJ12" s="10">
        <v>1</v>
      </c>
      <c r="AK12" t="s">
        <v>7</v>
      </c>
      <c r="AL12" t="s">
        <v>109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deg.xAnn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119</v>
      </c>
      <c r="AI13" t="str">
        <f t="shared" si="3"/>
        <v>ts_048</v>
      </c>
      <c r="AJ13" s="10">
        <v>1</v>
      </c>
      <c r="AK13" t="s">
        <v>9</v>
      </c>
      <c r="AL13" t="s">
        <v>110</v>
      </c>
      <c r="AM13" s="12">
        <v>1.5</v>
      </c>
    </row>
    <row r="14" spans="1:39" x14ac:dyDescent="0.45">
      <c r="A14">
        <v>5</v>
      </c>
      <c r="B14" t="str">
        <f t="shared" si="0"/>
        <v>e 1.5 deg no OS.x12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185.91000000000003</v>
      </c>
      <c r="U14" s="8">
        <f t="shared" ref="U14:Z14" si="4">$S$12*J15</f>
        <v>215.65560000000002</v>
      </c>
      <c r="V14" s="8">
        <f t="shared" si="4"/>
        <v>243.54210000000003</v>
      </c>
      <c r="W14" s="8">
        <f t="shared" si="4"/>
        <v>278.86500000000001</v>
      </c>
      <c r="X14" s="8">
        <f t="shared" si="4"/>
        <v>319.76520000000005</v>
      </c>
      <c r="Y14" s="8">
        <f t="shared" si="4"/>
        <v>395.98830000000004</v>
      </c>
      <c r="Z14" s="8">
        <f t="shared" si="4"/>
        <v>466.63410000000005</v>
      </c>
      <c r="AG14">
        <v>6</v>
      </c>
      <c r="AH14" t="s">
        <v>128</v>
      </c>
      <c r="AI14" t="str">
        <f t="shared" si="3"/>
        <v>ts_072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OS.x12</v>
      </c>
      <c r="C15">
        <f t="shared" si="2"/>
        <v>7</v>
      </c>
      <c r="D15" t="str">
        <f t="shared" si="1"/>
        <v>ts_12t</v>
      </c>
      <c r="E15" t="str">
        <f t="shared" ref="E15:E48" si="5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1.1599999999999999</v>
      </c>
      <c r="K15" s="11">
        <f>SUMIFS(ar6_r10!$F$2:$F$999,ar6_r10!$A$2:$A$999,Veda!$E$5,ar6_r10!$C$2:$C$999,Veda!K$17,ar6_r10!$M$2:$M$999,Veda!$G15)</f>
        <v>1.31</v>
      </c>
      <c r="L15" s="11">
        <f>SUMIFS(ar6_r10!$F$2:$F$999,ar6_r10!$A$2:$A$999,Veda!$E$5,ar6_r10!$C$2:$C$999,Veda!L$17,ar6_r10!$M$2:$M$999,Veda!$G15)</f>
        <v>1.5</v>
      </c>
      <c r="M15" s="11">
        <f>SUMIFS(ar6_r10!$F$2:$F$999,ar6_r10!$A$2:$A$999,Veda!$E$5,ar6_r10!$C$2:$C$999,Veda!M$17,ar6_r10!$M$2:$M$999,Veda!$G15)</f>
        <v>1.72</v>
      </c>
      <c r="N15" s="11">
        <f>SUMIFS(ar6_r10!$F$2:$F$999,ar6_r10!$A$2:$A$999,Veda!$E$5,ar6_r10!$C$2:$C$999,Veda!N$17,ar6_r10!$M$2:$M$999,Veda!$G15)</f>
        <v>2.13</v>
      </c>
      <c r="O15" s="11">
        <f>SUMIFS(ar6_r10!$F$2:$F$999,ar6_r10!$A$2:$A$999,Veda!$E$5,ar6_r10!$C$2:$C$999,Veda!O$17,ar6_r10!$M$2:$M$999,Veda!$G15)</f>
        <v>2.5099999999999998</v>
      </c>
      <c r="AG15">
        <v>7</v>
      </c>
      <c r="AH15" t="s">
        <v>129</v>
      </c>
      <c r="AI15" t="str">
        <f t="shared" si="3"/>
        <v>ts_144</v>
      </c>
      <c r="AJ15" s="10">
        <f t="shared" ref="AJ15:AJ78" si="6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(67%).x12</v>
      </c>
      <c r="C16">
        <f t="shared" si="2"/>
        <v>8</v>
      </c>
      <c r="D16" t="str">
        <f t="shared" si="1"/>
        <v>ts_12t</v>
      </c>
      <c r="E16" t="str">
        <f t="shared" si="5"/>
        <v>C3</v>
      </c>
      <c r="S16" s="5" t="s">
        <v>12</v>
      </c>
      <c r="AG16">
        <v>8</v>
      </c>
      <c r="AH16" t="s">
        <v>130</v>
      </c>
      <c r="AI16" t="str">
        <f t="shared" si="3"/>
        <v>ts_288</v>
      </c>
      <c r="AJ16" s="10">
        <f t="shared" si="6"/>
        <v>2</v>
      </c>
    </row>
    <row r="17" spans="1:36" ht="15" customHeight="1" thickTop="1" thickBot="1" x14ac:dyDescent="0.5">
      <c r="A17">
        <v>5</v>
      </c>
      <c r="B17" t="str">
        <f t="shared" si="0"/>
        <v>b 2 deg (50%).x12</v>
      </c>
      <c r="C17">
        <f t="shared" si="2"/>
        <v>9</v>
      </c>
      <c r="D17" t="str">
        <f t="shared" si="1"/>
        <v>ts_12t</v>
      </c>
      <c r="E17" t="str">
        <f t="shared" si="5"/>
        <v>C4</v>
      </c>
      <c r="I17" s="7">
        <v>2020</v>
      </c>
      <c r="J17" s="7">
        <f t="shared" ref="J17:O17" si="7">U17</f>
        <v>2025</v>
      </c>
      <c r="K17" s="7">
        <f t="shared" si="7"/>
        <v>2030</v>
      </c>
      <c r="L17" s="7">
        <f t="shared" si="7"/>
        <v>2035</v>
      </c>
      <c r="M17" s="7">
        <f t="shared" si="7"/>
        <v>2040</v>
      </c>
      <c r="N17" s="7">
        <f t="shared" si="7"/>
        <v>2045</v>
      </c>
      <c r="O17" s="7">
        <f t="shared" si="7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123</v>
      </c>
      <c r="AI17" t="s">
        <v>125</v>
      </c>
      <c r="AJ17" s="10">
        <f t="shared" si="6"/>
        <v>2</v>
      </c>
    </row>
    <row r="18" spans="1:36" x14ac:dyDescent="0.45">
      <c r="A18">
        <v>5</v>
      </c>
      <c r="B18" t="str">
        <f t="shared" si="0"/>
        <v>a 3 deg.x12</v>
      </c>
      <c r="C18">
        <f t="shared" si="2"/>
        <v>10</v>
      </c>
      <c r="D18" t="str">
        <f t="shared" si="1"/>
        <v>ts_12t</v>
      </c>
      <c r="E18" t="str">
        <f t="shared" si="5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0.03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8">I18*T$14</f>
        <v>0</v>
      </c>
      <c r="U18" s="6">
        <f t="shared" si="8"/>
        <v>0</v>
      </c>
      <c r="V18" s="6">
        <f t="shared" si="8"/>
        <v>0</v>
      </c>
      <c r="W18" s="6">
        <f t="shared" si="8"/>
        <v>2.7886500000000001</v>
      </c>
      <c r="X18" s="6">
        <f t="shared" si="8"/>
        <v>6.3953040000000012</v>
      </c>
      <c r="Y18" s="6">
        <f t="shared" si="8"/>
        <v>11.879649000000001</v>
      </c>
      <c r="Z18" s="6">
        <f t="shared" si="8"/>
        <v>13.999023000000001</v>
      </c>
      <c r="AA18" t="s">
        <v>17</v>
      </c>
      <c r="AC18" s="2"/>
      <c r="AG18">
        <v>10</v>
      </c>
      <c r="AH18" t="s">
        <v>126</v>
      </c>
      <c r="AI18" t="s">
        <v>127</v>
      </c>
      <c r="AJ18" s="10">
        <f t="shared" si="6"/>
        <v>2</v>
      </c>
    </row>
    <row r="19" spans="1:36" x14ac:dyDescent="0.45">
      <c r="A19">
        <v>5</v>
      </c>
      <c r="B19" t="str">
        <f t="shared" si="0"/>
        <v>e 1.5 deg no OS.ts_012</v>
      </c>
      <c r="C19">
        <f t="shared" si="2"/>
        <v>11</v>
      </c>
      <c r="D19" t="str">
        <f t="shared" si="1"/>
        <v>ts_012</v>
      </c>
      <c r="E19" t="str">
        <f t="shared" si="5"/>
        <v>C1</v>
      </c>
      <c r="G19" t="s">
        <v>18</v>
      </c>
      <c r="I19" s="11">
        <f>SUMIFS(ar6_r10!$F$2:$F$999,ar6_r10!$A$2:$A$999,Veda!$E$5,ar6_r10!$C$2:$C$999,Veda!I$17,ar6_r10!$M$2:$M$999,Veda!$G19)</f>
        <v>0.46</v>
      </c>
      <c r="J19" s="11">
        <f>SUMIFS(ar6_r10!$F$2:$F$999,ar6_r10!$A$2:$A$999,Veda!$E$5,ar6_r10!$C$2:$C$999,Veda!J$17,ar6_r10!$M$2:$M$999,Veda!$G19)</f>
        <v>0.42</v>
      </c>
      <c r="K19" s="11">
        <f>SUMIFS(ar6_r10!$F$2:$F$999,ar6_r10!$A$2:$A$999,Veda!$E$5,ar6_r10!$C$2:$C$999,Veda!K$17,ar6_r10!$M$2:$M$999,Veda!$G19)</f>
        <v>0.44</v>
      </c>
      <c r="L19" s="11">
        <f>SUMIFS(ar6_r10!$F$2:$F$999,ar6_r10!$A$2:$A$999,Veda!$E$5,ar6_r10!$C$2:$C$999,Veda!L$17,ar6_r10!$M$2:$M$999,Veda!$G19)</f>
        <v>0.43</v>
      </c>
      <c r="M19" s="11">
        <f>SUMIFS(ar6_r10!$F$2:$F$999,ar6_r10!$A$2:$A$999,Veda!$E$5,ar6_r10!$C$2:$C$999,Veda!M$17,ar6_r10!$M$2:$M$999,Veda!$G19)</f>
        <v>0.41</v>
      </c>
      <c r="N19" s="11">
        <f>SUMIFS(ar6_r10!$F$2:$F$999,ar6_r10!$A$2:$A$999,Veda!$E$5,ar6_r10!$C$2:$C$999,Veda!N$17,ar6_r10!$M$2:$M$999,Veda!$G19)</f>
        <v>0.43</v>
      </c>
      <c r="O19" s="11">
        <f>SUMIFS(ar6_r10!$F$2:$F$999,ar6_r10!$A$2:$A$999,Veda!$E$5,ar6_r10!$C$2:$C$999,Veda!O$17,ar6_r10!$M$2:$M$999,Veda!$G19)</f>
        <v>0.39</v>
      </c>
      <c r="S19" s="10" t="s">
        <v>19</v>
      </c>
      <c r="T19" s="6">
        <f t="shared" si="8"/>
        <v>85.518600000000021</v>
      </c>
      <c r="U19" s="6">
        <f t="shared" si="8"/>
        <v>90.575352000000009</v>
      </c>
      <c r="V19" s="6">
        <f t="shared" si="8"/>
        <v>107.15852400000001</v>
      </c>
      <c r="W19" s="6">
        <f t="shared" si="8"/>
        <v>119.91195</v>
      </c>
      <c r="X19" s="6">
        <f t="shared" si="8"/>
        <v>131.10373200000001</v>
      </c>
      <c r="Y19" s="6">
        <f t="shared" si="8"/>
        <v>170.27496900000003</v>
      </c>
      <c r="Z19" s="6">
        <f t="shared" si="8"/>
        <v>181.98729900000004</v>
      </c>
      <c r="AA19" t="s">
        <v>17</v>
      </c>
      <c r="AG19">
        <v>11</v>
      </c>
      <c r="AH19" t="s">
        <v>101</v>
      </c>
      <c r="AI19" t="s">
        <v>106</v>
      </c>
      <c r="AJ19" s="10">
        <f t="shared" si="6"/>
        <v>3</v>
      </c>
    </row>
    <row r="20" spans="1:36" x14ac:dyDescent="0.45">
      <c r="A20">
        <v>5</v>
      </c>
      <c r="B20" t="str">
        <f t="shared" si="0"/>
        <v>d 1.5 deg OS.ts_012</v>
      </c>
      <c r="C20">
        <f t="shared" si="2"/>
        <v>12</v>
      </c>
      <c r="D20" t="str">
        <f t="shared" si="1"/>
        <v>ts_012</v>
      </c>
      <c r="E20" t="str">
        <f t="shared" si="5"/>
        <v>C2</v>
      </c>
      <c r="G20" t="s">
        <v>21</v>
      </c>
      <c r="I20" s="11">
        <f>SUMIFS(ar6_r10!$F$2:$F$999,ar6_r10!$A$2:$A$999,Veda!$E$5,ar6_r10!$C$2:$C$999,Veda!I$17,ar6_r10!$M$2:$M$999,Veda!$G20)</f>
        <v>0.53</v>
      </c>
      <c r="J20" s="11">
        <f>SUMIFS(ar6_r10!$F$2:$F$999,ar6_r10!$A$2:$A$999,Veda!$E$5,ar6_r10!$C$2:$C$999,Veda!J$17,ar6_r10!$M$2:$M$999,Veda!$G20)</f>
        <v>0.56000000000000005</v>
      </c>
      <c r="K20" s="11">
        <f>SUMIFS(ar6_r10!$F$2:$F$999,ar6_r10!$A$2:$A$999,Veda!$E$5,ar6_r10!$C$2:$C$999,Veda!K$17,ar6_r10!$M$2:$M$999,Veda!$G20)</f>
        <v>0.53</v>
      </c>
      <c r="L20" s="11">
        <f>SUMIFS(ar6_r10!$F$2:$F$999,ar6_r10!$A$2:$A$999,Veda!$E$5,ar6_r10!$C$2:$C$999,Veda!L$17,ar6_r10!$M$2:$M$999,Veda!$G20)</f>
        <v>0.52</v>
      </c>
      <c r="M20" s="11">
        <f>SUMIFS(ar6_r10!$F$2:$F$999,ar6_r10!$A$2:$A$999,Veda!$E$5,ar6_r10!$C$2:$C$999,Veda!M$17,ar6_r10!$M$2:$M$999,Veda!$G20)</f>
        <v>0.52</v>
      </c>
      <c r="N20" s="11">
        <f>SUMIFS(ar6_r10!$F$2:$F$999,ar6_r10!$A$2:$A$999,Veda!$E$5,ar6_r10!$C$2:$C$999,Veda!N$17,ar6_r10!$M$2:$M$999,Veda!$G20)</f>
        <v>0.5</v>
      </c>
      <c r="O20" s="11">
        <f>SUMIFS(ar6_r10!$F$2:$F$999,ar6_r10!$A$2:$A$999,Veda!$E$5,ar6_r10!$C$2:$C$999,Veda!O$17,ar6_r10!$M$2:$M$999,Veda!$G20)</f>
        <v>0.49</v>
      </c>
      <c r="S20" s="10" t="s">
        <v>22</v>
      </c>
      <c r="T20" s="6">
        <f t="shared" si="8"/>
        <v>98.532300000000021</v>
      </c>
      <c r="U20" s="6">
        <f t="shared" si="8"/>
        <v>120.76713600000002</v>
      </c>
      <c r="V20" s="6">
        <f t="shared" si="8"/>
        <v>129.07731300000003</v>
      </c>
      <c r="W20" s="6">
        <f t="shared" si="8"/>
        <v>145.00980000000001</v>
      </c>
      <c r="X20" s="6">
        <f t="shared" si="8"/>
        <v>166.27790400000004</v>
      </c>
      <c r="Y20" s="6">
        <f t="shared" si="8"/>
        <v>197.99415000000002</v>
      </c>
      <c r="Z20" s="6">
        <f t="shared" si="8"/>
        <v>228.65070900000001</v>
      </c>
      <c r="AA20" t="s">
        <v>17</v>
      </c>
      <c r="AG20">
        <v>12</v>
      </c>
      <c r="AH20" t="s">
        <v>102</v>
      </c>
      <c r="AI20" t="s">
        <v>111</v>
      </c>
      <c r="AJ20" s="10">
        <f t="shared" si="6"/>
        <v>3</v>
      </c>
    </row>
    <row r="21" spans="1:36" x14ac:dyDescent="0.45">
      <c r="A21">
        <v>5</v>
      </c>
      <c r="B21" t="str">
        <f t="shared" si="0"/>
        <v>c 2 deg (67%).ts_012</v>
      </c>
      <c r="C21">
        <f t="shared" si="2"/>
        <v>13</v>
      </c>
      <c r="D21" t="str">
        <f t="shared" si="1"/>
        <v>ts_012</v>
      </c>
      <c r="E21" t="str">
        <f t="shared" si="5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0.03</v>
      </c>
      <c r="M21" s="11">
        <f>SUMIFS(ar6_r10!$F$2:$F$999,ar6_r10!$A$2:$A$999,Veda!$E$5,ar6_r10!$C$2:$C$999,Veda!M$17,ar6_r10!$M$2:$M$999,Veda!$G21)</f>
        <v>0.04</v>
      </c>
      <c r="N21" s="11">
        <f>SUMIFS(ar6_r10!$F$2:$F$999,ar6_r10!$A$2:$A$999,Veda!$E$5,ar6_r10!$C$2:$C$999,Veda!N$17,ar6_r10!$M$2:$M$999,Veda!$G21)</f>
        <v>0.06</v>
      </c>
      <c r="O21" s="11">
        <f>SUMIFS(ar6_r10!$F$2:$F$999,ar6_r10!$A$2:$A$999,Veda!$E$5,ar6_r10!$C$2:$C$999,Veda!O$17,ar6_r10!$M$2:$M$999,Veda!$G21)</f>
        <v>0.08</v>
      </c>
      <c r="S21" s="10" t="s">
        <v>24</v>
      </c>
      <c r="T21" s="6">
        <f>I21*T$14</f>
        <v>1.8591000000000002</v>
      </c>
      <c r="U21" s="6">
        <f t="shared" ref="U21:Z21" si="9">T21</f>
        <v>1.8591000000000002</v>
      </c>
      <c r="V21" s="6">
        <f t="shared" si="9"/>
        <v>1.8591000000000002</v>
      </c>
      <c r="W21" s="6">
        <f t="shared" si="9"/>
        <v>1.8591000000000002</v>
      </c>
      <c r="X21" s="6">
        <f t="shared" si="9"/>
        <v>1.8591000000000002</v>
      </c>
      <c r="Y21" s="6">
        <f t="shared" si="9"/>
        <v>1.8591000000000002</v>
      </c>
      <c r="Z21" s="6">
        <f t="shared" si="9"/>
        <v>1.8591000000000002</v>
      </c>
      <c r="AA21" t="s">
        <v>17</v>
      </c>
      <c r="AC21" s="2" t="s">
        <v>20</v>
      </c>
      <c r="AJ21" s="10">
        <f t="shared" si="6"/>
        <v>3</v>
      </c>
    </row>
    <row r="22" spans="1:36" x14ac:dyDescent="0.45">
      <c r="A22">
        <v>5</v>
      </c>
      <c r="B22" t="str">
        <f t="shared" si="0"/>
        <v>b 2 deg (50%).ts_012</v>
      </c>
      <c r="C22">
        <f t="shared" si="2"/>
        <v>14</v>
      </c>
      <c r="D22" t="str">
        <f t="shared" si="1"/>
        <v>ts_012</v>
      </c>
      <c r="E22" t="str">
        <f t="shared" si="5"/>
        <v>C4</v>
      </c>
      <c r="S22" s="10" t="s">
        <v>25</v>
      </c>
      <c r="T22" s="6">
        <f t="shared" ref="T22:Z22" si="10">T14-SUM(T19:T21)</f>
        <v>0</v>
      </c>
      <c r="U22" s="6">
        <f t="shared" si="10"/>
        <v>2.4540119999999774</v>
      </c>
      <c r="V22" s="6">
        <f t="shared" si="10"/>
        <v>5.4471629999999607</v>
      </c>
      <c r="W22" s="6">
        <f t="shared" si="10"/>
        <v>12.084149999999966</v>
      </c>
      <c r="X22" s="6">
        <f t="shared" si="10"/>
        <v>20.524463999999966</v>
      </c>
      <c r="Y22" s="6">
        <f t="shared" si="10"/>
        <v>25.86008099999998</v>
      </c>
      <c r="Z22" s="6">
        <f t="shared" si="10"/>
        <v>54.136992000000021</v>
      </c>
      <c r="AA22" t="s">
        <v>17</v>
      </c>
      <c r="AJ22" s="10">
        <f t="shared" si="6"/>
        <v>3</v>
      </c>
    </row>
    <row r="23" spans="1:36" x14ac:dyDescent="0.45">
      <c r="A23">
        <v>5</v>
      </c>
      <c r="B23" t="str">
        <f t="shared" si="0"/>
        <v>a 3 deg.ts_012</v>
      </c>
      <c r="C23">
        <f t="shared" si="2"/>
        <v>15</v>
      </c>
      <c r="D23" t="str">
        <f t="shared" si="1"/>
        <v>ts_012</v>
      </c>
      <c r="E23" t="str">
        <f t="shared" si="5"/>
        <v>C7</v>
      </c>
      <c r="S23" t="s">
        <v>26</v>
      </c>
      <c r="AJ23" s="10">
        <f t="shared" si="6"/>
        <v>3</v>
      </c>
    </row>
    <row r="24" spans="1:36" ht="14.65" customHeight="1" x14ac:dyDescent="0.45">
      <c r="A24">
        <v>5</v>
      </c>
      <c r="B24" t="str">
        <f t="shared" si="0"/>
        <v>e 1.5 deg no OS.ts_030</v>
      </c>
      <c r="C24">
        <f t="shared" si="2"/>
        <v>16</v>
      </c>
      <c r="D24" t="str">
        <f t="shared" si="1"/>
        <v>ts_030</v>
      </c>
      <c r="E24" t="str">
        <f t="shared" si="5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55.79</v>
      </c>
      <c r="L24" s="8">
        <f>SUMIFS(ar6_r10!$F$2:$F$999,ar6_r10!$A$2:$A$999,Veda!$E$5,ar6_r10!$C$2:$C$999,Veda!L$17,ar6_r10!$M$2:$M$999,Veda!$G24)</f>
        <v>89.54</v>
      </c>
      <c r="M24" s="8">
        <f>SUMIFS(ar6_r10!$F$2:$F$999,ar6_r10!$A$2:$A$999,Veda!$E$5,ar6_r10!$C$2:$C$999,Veda!M$17,ar6_r10!$M$2:$M$999,Veda!$G24)</f>
        <v>128.22999999999999</v>
      </c>
      <c r="N24" s="8">
        <f>SUMIFS(ar6_r10!$F$2:$F$999,ar6_r10!$A$2:$A$999,Veda!$E$5,ar6_r10!$C$2:$C$999,Veda!N$17,ar6_r10!$M$2:$M$999,Veda!$G24)</f>
        <v>171.82</v>
      </c>
      <c r="O24" s="8">
        <f>SUMIFS(ar6_r10!$F$2:$F$999,ar6_r10!$A$2:$A$999,Veda!$E$5,ar6_r10!$C$2:$C$999,Veda!O$17,ar6_r10!$M$2:$M$999,Veda!$G24)</f>
        <v>208.87</v>
      </c>
      <c r="S24" t="s">
        <v>28</v>
      </c>
      <c r="U24">
        <v>0</v>
      </c>
      <c r="V24" s="11">
        <f>K24/1000</f>
        <v>5.5789999999999999E-2</v>
      </c>
      <c r="W24" s="11">
        <f>L24/1000</f>
        <v>8.9540000000000008E-2</v>
      </c>
      <c r="X24" s="11">
        <f>M24/1000</f>
        <v>0.12822999999999998</v>
      </c>
      <c r="Y24" s="11">
        <f>N24/1000</f>
        <v>0.17182</v>
      </c>
      <c r="Z24" s="11">
        <f>O24/1000</f>
        <v>0.20887</v>
      </c>
      <c r="AA24" t="s">
        <v>29</v>
      </c>
      <c r="AJ24" s="10">
        <f t="shared" si="6"/>
        <v>4</v>
      </c>
    </row>
    <row r="25" spans="1:36" ht="14.65" customHeight="1" x14ac:dyDescent="0.45">
      <c r="A25">
        <v>5</v>
      </c>
      <c r="B25" t="str">
        <f t="shared" si="0"/>
        <v>d 1.5 deg OS.ts_030</v>
      </c>
      <c r="C25">
        <f t="shared" si="2"/>
        <v>17</v>
      </c>
      <c r="D25" t="str">
        <f t="shared" si="1"/>
        <v>ts_030</v>
      </c>
      <c r="E25" t="str">
        <f t="shared" si="5"/>
        <v>C2</v>
      </c>
      <c r="AJ25" s="10">
        <f t="shared" si="6"/>
        <v>4</v>
      </c>
    </row>
    <row r="26" spans="1:36" ht="17.649999999999999" customHeight="1" thickBot="1" x14ac:dyDescent="0.6">
      <c r="A26">
        <v>5</v>
      </c>
      <c r="B26" t="str">
        <f t="shared" si="0"/>
        <v>c 2 deg (67%).ts_030</v>
      </c>
      <c r="C26">
        <f t="shared" si="2"/>
        <v>18</v>
      </c>
      <c r="D26" t="str">
        <f t="shared" si="1"/>
        <v>ts_030</v>
      </c>
      <c r="E26" t="str">
        <f t="shared" si="5"/>
        <v>C3</v>
      </c>
      <c r="S26" s="5" t="s">
        <v>12</v>
      </c>
      <c r="AJ26" s="10">
        <f t="shared" si="6"/>
        <v>4</v>
      </c>
    </row>
    <row r="27" spans="1:36" ht="15" customHeight="1" thickTop="1" thickBot="1" x14ac:dyDescent="0.5">
      <c r="A27">
        <v>5</v>
      </c>
      <c r="B27" t="str">
        <f t="shared" si="0"/>
        <v>b 2 deg (50%).ts_030</v>
      </c>
      <c r="C27">
        <f t="shared" si="2"/>
        <v>19</v>
      </c>
      <c r="D27" t="str">
        <f t="shared" si="1"/>
        <v>ts_030</v>
      </c>
      <c r="E27" t="str">
        <f t="shared" si="5"/>
        <v>C4</v>
      </c>
      <c r="S27" s="4" t="s">
        <v>30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31</v>
      </c>
      <c r="AJ27" s="10">
        <f t="shared" si="6"/>
        <v>4</v>
      </c>
    </row>
    <row r="28" spans="1:36" ht="14.65" customHeight="1" thickBot="1" x14ac:dyDescent="0.5">
      <c r="A28">
        <v>5</v>
      </c>
      <c r="B28" t="str">
        <f t="shared" si="0"/>
        <v>a 3 deg.ts_030</v>
      </c>
      <c r="C28">
        <f t="shared" si="2"/>
        <v>20</v>
      </c>
      <c r="D28" t="str">
        <f t="shared" si="1"/>
        <v>ts_030</v>
      </c>
      <c r="E28" t="str">
        <f t="shared" si="5"/>
        <v>C7</v>
      </c>
      <c r="Q28" s="3">
        <f>SUMIFS(iea_data!G3:G9999,iea_data!$B$3:$B$9999,Veda!$S$11)</f>
        <v>0.03</v>
      </c>
      <c r="S28" t="s">
        <v>32</v>
      </c>
      <c r="T28" s="3">
        <f>Q28</f>
        <v>0.03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6"/>
        <v>4</v>
      </c>
    </row>
    <row r="29" spans="1:36" ht="15" customHeight="1" thickTop="1" thickBot="1" x14ac:dyDescent="0.5">
      <c r="A29">
        <v>5</v>
      </c>
      <c r="B29" t="str">
        <f t="shared" si="0"/>
        <v>e 1.5 deg no OS.ts_048</v>
      </c>
      <c r="C29">
        <f t="shared" si="2"/>
        <v>21</v>
      </c>
      <c r="D29" t="str">
        <f t="shared" si="1"/>
        <v>ts_048</v>
      </c>
      <c r="E29" t="str">
        <f t="shared" si="5"/>
        <v>C1</v>
      </c>
      <c r="Q29" s="3">
        <f>SUMIFS(iea_data!H3:H9999,iea_data!$B$3:$B$9999,Veda!$S$11)</f>
        <v>-1.42</v>
      </c>
      <c r="S29" t="s">
        <v>35</v>
      </c>
      <c r="T29" s="3">
        <f>-1*Q29</f>
        <v>1.42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6"/>
        <v>5</v>
      </c>
    </row>
    <row r="30" spans="1:36" ht="14.65" customHeight="1" thickTop="1" x14ac:dyDescent="0.45">
      <c r="A30">
        <v>5</v>
      </c>
      <c r="B30" t="str">
        <f t="shared" si="0"/>
        <v>d 1.5 deg OS.ts_048</v>
      </c>
      <c r="C30">
        <f t="shared" si="2"/>
        <v>22</v>
      </c>
      <c r="D30" t="str">
        <f t="shared" si="1"/>
        <v>ts_048</v>
      </c>
      <c r="E30" t="str">
        <f t="shared" si="5"/>
        <v>C2</v>
      </c>
      <c r="AJ30" s="10">
        <f t="shared" si="6"/>
        <v>5</v>
      </c>
    </row>
    <row r="31" spans="1:36" x14ac:dyDescent="0.45">
      <c r="A31">
        <v>5</v>
      </c>
      <c r="B31" t="str">
        <f t="shared" si="0"/>
        <v>c 2 deg (67%).ts_048</v>
      </c>
      <c r="C31">
        <f t="shared" si="2"/>
        <v>23</v>
      </c>
      <c r="D31" t="str">
        <f t="shared" si="1"/>
        <v>ts_048</v>
      </c>
      <c r="E31" t="str">
        <f t="shared" si="5"/>
        <v>C3</v>
      </c>
      <c r="AJ31" s="10">
        <f t="shared" si="6"/>
        <v>5</v>
      </c>
    </row>
    <row r="32" spans="1:36" x14ac:dyDescent="0.45">
      <c r="A32">
        <v>5</v>
      </c>
      <c r="B32" t="str">
        <f t="shared" si="0"/>
        <v>b 2 deg (50%).ts_048</v>
      </c>
      <c r="C32">
        <f t="shared" si="2"/>
        <v>24</v>
      </c>
      <c r="D32" t="str">
        <f t="shared" si="1"/>
        <v>ts_048</v>
      </c>
      <c r="E32" t="str">
        <f t="shared" si="5"/>
        <v>C4</v>
      </c>
      <c r="AJ32" s="10">
        <f t="shared" si="6"/>
        <v>5</v>
      </c>
    </row>
    <row r="33" spans="1:36" x14ac:dyDescent="0.45">
      <c r="A33">
        <v>5</v>
      </c>
      <c r="B33" t="str">
        <f t="shared" si="0"/>
        <v>a 3 deg.ts_048</v>
      </c>
      <c r="C33">
        <f t="shared" si="2"/>
        <v>25</v>
      </c>
      <c r="D33" t="str">
        <f t="shared" si="1"/>
        <v>ts_048</v>
      </c>
      <c r="E33" t="str">
        <f t="shared" si="5"/>
        <v>C7</v>
      </c>
      <c r="AJ33" s="10">
        <f t="shared" si="6"/>
        <v>5</v>
      </c>
    </row>
    <row r="34" spans="1:36" x14ac:dyDescent="0.45">
      <c r="A34">
        <v>5</v>
      </c>
      <c r="B34" t="str">
        <f t="shared" si="0"/>
        <v>e 1.5 deg no OS.ts_072</v>
      </c>
      <c r="C34">
        <f t="shared" si="2"/>
        <v>26</v>
      </c>
      <c r="D34" t="str">
        <f t="shared" si="1"/>
        <v>ts_072</v>
      </c>
      <c r="E34" t="str">
        <f t="shared" si="5"/>
        <v>C1</v>
      </c>
      <c r="AJ34" s="10">
        <f t="shared" si="6"/>
        <v>6</v>
      </c>
    </row>
    <row r="35" spans="1:36" x14ac:dyDescent="0.45">
      <c r="A35">
        <v>5</v>
      </c>
      <c r="B35" t="str">
        <f t="shared" si="0"/>
        <v>d 1.5 deg OS.ts_072</v>
      </c>
      <c r="C35">
        <f t="shared" si="2"/>
        <v>27</v>
      </c>
      <c r="D35" t="str">
        <f t="shared" si="1"/>
        <v>ts_072</v>
      </c>
      <c r="E35" t="str">
        <f t="shared" si="5"/>
        <v>C2</v>
      </c>
      <c r="AJ35" s="10">
        <f t="shared" si="6"/>
        <v>6</v>
      </c>
    </row>
    <row r="36" spans="1:36" x14ac:dyDescent="0.45">
      <c r="A36">
        <v>5</v>
      </c>
      <c r="B36" t="str">
        <f t="shared" si="0"/>
        <v>c 2 deg (67%).ts_072</v>
      </c>
      <c r="C36">
        <f t="shared" si="2"/>
        <v>28</v>
      </c>
      <c r="D36" t="str">
        <f t="shared" si="1"/>
        <v>ts_072</v>
      </c>
      <c r="E36" t="str">
        <f t="shared" si="5"/>
        <v>C3</v>
      </c>
      <c r="G36" s="2" t="s">
        <v>9</v>
      </c>
      <c r="AJ36" s="10">
        <f t="shared" si="6"/>
        <v>6</v>
      </c>
    </row>
    <row r="37" spans="1:36" x14ac:dyDescent="0.45">
      <c r="A37">
        <v>5</v>
      </c>
      <c r="B37" t="str">
        <f t="shared" si="0"/>
        <v>b 2 deg (50%).ts_072</v>
      </c>
      <c r="C37">
        <f t="shared" si="2"/>
        <v>29</v>
      </c>
      <c r="D37" t="str">
        <f t="shared" si="1"/>
        <v>ts_072</v>
      </c>
      <c r="E37" t="str">
        <f t="shared" si="5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1.08</v>
      </c>
      <c r="K37" s="11">
        <f>SUMIFS(ar6_r10!$F$2:$F$999,ar6_r10!$A$2:$A$999,Veda!$G$36,ar6_r10!$C$2:$C$999,Veda!K$17,ar6_r10!$M$2:$M$999,Veda!$G37)</f>
        <v>1.29</v>
      </c>
      <c r="L37" s="11">
        <f>SUMIFS(ar6_r10!$F$2:$F$999,ar6_r10!$A$2:$A$999,Veda!$G$36,ar6_r10!$C$2:$C$999,Veda!L$17,ar6_r10!$M$2:$M$999,Veda!$G37)</f>
        <v>1.28</v>
      </c>
      <c r="M37" s="11">
        <f>SUMIFS(ar6_r10!$F$2:$F$999,ar6_r10!$A$2:$A$999,Veda!$G$36,ar6_r10!$C$2:$C$999,Veda!M$17,ar6_r10!$M$2:$M$999,Veda!$G37)</f>
        <v>1.4</v>
      </c>
      <c r="N37" s="11">
        <f>SUMIFS(ar6_r10!$F$2:$F$999,ar6_r10!$A$2:$A$999,Veda!$G$36,ar6_r10!$C$2:$C$999,Veda!N$17,ar6_r10!$M$2:$M$999,Veda!$G37)</f>
        <v>1.48</v>
      </c>
      <c r="O37" s="11">
        <f>SUMIFS(ar6_r10!$F$2:$F$999,ar6_r10!$A$2:$A$999,Veda!$G$36,ar6_r10!$C$2:$C$999,Veda!O$17,ar6_r10!$M$2:$M$999,Veda!$G37)</f>
        <v>1.53</v>
      </c>
      <c r="AJ37" s="10">
        <f t="shared" si="6"/>
        <v>6</v>
      </c>
    </row>
    <row r="38" spans="1:36" x14ac:dyDescent="0.45">
      <c r="A38">
        <v>5</v>
      </c>
      <c r="B38" t="str">
        <f t="shared" si="0"/>
        <v>a 3 deg.ts_072</v>
      </c>
      <c r="C38">
        <f t="shared" si="2"/>
        <v>30</v>
      </c>
      <c r="D38" t="str">
        <f t="shared" si="1"/>
        <v>ts_072</v>
      </c>
      <c r="E38" t="str">
        <f t="shared" si="5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1.04</v>
      </c>
      <c r="K38" s="11">
        <f>SUMIFS(ar6_r10!$F$2:$F$999,ar6_r10!$A$2:$A$999,Veda!$G$36,ar6_r10!$C$2:$C$999,Veda!K$17,ar6_r10!$M$2:$M$999,Veda!$G38)</f>
        <v>1.1100000000000001</v>
      </c>
      <c r="L38" s="11">
        <f>SUMIFS(ar6_r10!$F$2:$F$999,ar6_r10!$A$2:$A$999,Veda!$G$36,ar6_r10!$C$2:$C$999,Veda!L$17,ar6_r10!$M$2:$M$999,Veda!$G38)</f>
        <v>1.1399999999999999</v>
      </c>
      <c r="M38" s="11">
        <f>SUMIFS(ar6_r10!$F$2:$F$999,ar6_r10!$A$2:$A$999,Veda!$G$36,ar6_r10!$C$2:$C$999,Veda!M$17,ar6_r10!$M$2:$M$999,Veda!$G38)</f>
        <v>1.1599999999999999</v>
      </c>
      <c r="N38" s="11">
        <f>SUMIFS(ar6_r10!$F$2:$F$999,ar6_r10!$A$2:$A$999,Veda!$G$36,ar6_r10!$C$2:$C$999,Veda!N$17,ar6_r10!$M$2:$M$999,Veda!$G38)</f>
        <v>1.18</v>
      </c>
      <c r="O38" s="11">
        <f>SUMIFS(ar6_r10!$F$2:$F$999,ar6_r10!$A$2:$A$999,Veda!$G$36,ar6_r10!$C$2:$C$999,Veda!O$17,ar6_r10!$M$2:$M$999,Veda!$G38)</f>
        <v>1.19</v>
      </c>
      <c r="AJ38" s="10">
        <f t="shared" si="6"/>
        <v>6</v>
      </c>
    </row>
    <row r="39" spans="1:36" x14ac:dyDescent="0.45">
      <c r="A39">
        <v>5</v>
      </c>
      <c r="B39" t="str">
        <f t="shared" si="0"/>
        <v>e 1.5 deg no OS.ts_144</v>
      </c>
      <c r="C39">
        <f t="shared" si="2"/>
        <v>31</v>
      </c>
      <c r="D39" t="str">
        <f t="shared" si="1"/>
        <v>ts_144</v>
      </c>
      <c r="E39" t="str">
        <f t="shared" si="5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1.17</v>
      </c>
      <c r="K39" s="11">
        <f>SUMIFS(ar6_r10!$F$2:$F$999,ar6_r10!$A$2:$A$999,Veda!$G$36,ar6_r10!$C$2:$C$999,Veda!K$17,ar6_r10!$M$2:$M$999,Veda!$G39)</f>
        <v>1.34</v>
      </c>
      <c r="L39" s="11">
        <f>SUMIFS(ar6_r10!$F$2:$F$999,ar6_r10!$A$2:$A$999,Veda!$G$36,ar6_r10!$C$2:$C$999,Veda!L$17,ar6_r10!$M$2:$M$999,Veda!$G39)</f>
        <v>1.33</v>
      </c>
      <c r="M39" s="11">
        <f>SUMIFS(ar6_r10!$F$2:$F$999,ar6_r10!$A$2:$A$999,Veda!$G$36,ar6_r10!$C$2:$C$999,Veda!M$17,ar6_r10!$M$2:$M$999,Veda!$G39)</f>
        <v>1.44</v>
      </c>
      <c r="N39" s="11">
        <f>SUMIFS(ar6_r10!$F$2:$F$999,ar6_r10!$A$2:$A$999,Veda!$G$36,ar6_r10!$C$2:$C$999,Veda!N$17,ar6_r10!$M$2:$M$999,Veda!$G39)</f>
        <v>1.63</v>
      </c>
      <c r="O39" s="11">
        <f>SUMIFS(ar6_r10!$F$2:$F$999,ar6_r10!$A$2:$A$999,Veda!$G$36,ar6_r10!$C$2:$C$999,Veda!O$17,ar6_r10!$M$2:$M$999,Veda!$G39)</f>
        <v>1.89</v>
      </c>
      <c r="AJ39" s="10">
        <f t="shared" si="6"/>
        <v>7</v>
      </c>
    </row>
    <row r="40" spans="1:36" x14ac:dyDescent="0.45">
      <c r="A40">
        <v>5</v>
      </c>
      <c r="B40" t="str">
        <f t="shared" si="0"/>
        <v>d 1.5 deg OS.ts_144</v>
      </c>
      <c r="C40">
        <f t="shared" si="2"/>
        <v>32</v>
      </c>
      <c r="D40" t="str">
        <f t="shared" si="1"/>
        <v>ts_144</v>
      </c>
      <c r="E40" t="str">
        <f t="shared" si="5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0.97</v>
      </c>
      <c r="K40" s="11">
        <f>SUMIFS(ar6_r10!$F$2:$F$999,ar6_r10!$A$2:$A$999,Veda!$G$36,ar6_r10!$C$2:$C$999,Veda!K$17,ar6_r10!$M$2:$M$999,Veda!$G40)</f>
        <v>0.95</v>
      </c>
      <c r="L40" s="11">
        <f>SUMIFS(ar6_r10!$F$2:$F$999,ar6_r10!$A$2:$A$999,Veda!$G$36,ar6_r10!$C$2:$C$999,Veda!L$17,ar6_r10!$M$2:$M$999,Veda!$G40)</f>
        <v>0.93</v>
      </c>
      <c r="M40" s="11">
        <f>SUMIFS(ar6_r10!$F$2:$F$999,ar6_r10!$A$2:$A$999,Veda!$G$36,ar6_r10!$C$2:$C$999,Veda!M$17,ar6_r10!$M$2:$M$999,Veda!$G40)</f>
        <v>0.89</v>
      </c>
      <c r="N40" s="11">
        <f>SUMIFS(ar6_r10!$F$2:$F$999,ar6_r10!$A$2:$A$999,Veda!$G$36,ar6_r10!$C$2:$C$999,Veda!N$17,ar6_r10!$M$2:$M$999,Veda!$G40)</f>
        <v>0.88</v>
      </c>
      <c r="O40" s="11">
        <f>SUMIFS(ar6_r10!$F$2:$F$999,ar6_r10!$A$2:$A$999,Veda!$G$36,ar6_r10!$C$2:$C$999,Veda!O$17,ar6_r10!$M$2:$M$999,Veda!$G40)</f>
        <v>0.95</v>
      </c>
      <c r="AJ40" s="10">
        <f t="shared" si="6"/>
        <v>7</v>
      </c>
    </row>
    <row r="41" spans="1:36" x14ac:dyDescent="0.45">
      <c r="A41">
        <v>5</v>
      </c>
      <c r="B41" t="str">
        <f t="shared" si="0"/>
        <v>c 2 deg (67%).ts_144</v>
      </c>
      <c r="C41">
        <f t="shared" si="2"/>
        <v>33</v>
      </c>
      <c r="D41" t="str">
        <f t="shared" si="1"/>
        <v>ts_144</v>
      </c>
      <c r="E41" t="str">
        <f t="shared" si="5"/>
        <v>C3</v>
      </c>
      <c r="AJ41" s="10">
        <f t="shared" si="6"/>
        <v>7</v>
      </c>
    </row>
    <row r="42" spans="1:36" x14ac:dyDescent="0.45">
      <c r="A42">
        <v>5</v>
      </c>
      <c r="B42" t="str">
        <f t="shared" si="0"/>
        <v>b 2 deg (50%).ts_144</v>
      </c>
      <c r="C42">
        <f t="shared" si="2"/>
        <v>34</v>
      </c>
      <c r="D42" t="str">
        <f t="shared" si="1"/>
        <v>ts_144</v>
      </c>
      <c r="E42" t="str">
        <f t="shared" si="5"/>
        <v>C4</v>
      </c>
      <c r="AJ42" s="10">
        <f t="shared" si="6"/>
        <v>7</v>
      </c>
    </row>
    <row r="43" spans="1:36" x14ac:dyDescent="0.45">
      <c r="A43">
        <v>5</v>
      </c>
      <c r="B43" t="str">
        <f t="shared" si="0"/>
        <v>a 3 deg.ts_144</v>
      </c>
      <c r="C43">
        <f t="shared" si="2"/>
        <v>35</v>
      </c>
      <c r="D43" t="str">
        <f t="shared" si="1"/>
        <v>ts_144</v>
      </c>
      <c r="E43" t="str">
        <f t="shared" si="5"/>
        <v>C7</v>
      </c>
      <c r="G43" t="s">
        <v>121</v>
      </c>
      <c r="AJ43" s="10">
        <f t="shared" si="6"/>
        <v>7</v>
      </c>
    </row>
    <row r="44" spans="1:36" x14ac:dyDescent="0.45">
      <c r="A44">
        <v>5</v>
      </c>
      <c r="B44" t="str">
        <f t="shared" si="0"/>
        <v>e 1.5 deg no OS.ts_288</v>
      </c>
      <c r="C44">
        <f t="shared" si="2"/>
        <v>36</v>
      </c>
      <c r="D44" t="str">
        <f t="shared" si="1"/>
        <v>ts_288</v>
      </c>
      <c r="E44" t="str">
        <f t="shared" si="5"/>
        <v>C1</v>
      </c>
      <c r="G44" t="s">
        <v>13</v>
      </c>
      <c r="H44" t="s">
        <v>104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82</v>
      </c>
      <c r="S44" t="s">
        <v>83</v>
      </c>
      <c r="AJ44" s="10">
        <f t="shared" si="6"/>
        <v>8</v>
      </c>
    </row>
    <row r="45" spans="1:36" x14ac:dyDescent="0.45">
      <c r="A45">
        <v>5</v>
      </c>
      <c r="B45" t="str">
        <f t="shared" si="0"/>
        <v>d 1.5 deg OS.ts_288</v>
      </c>
      <c r="C45">
        <f t="shared" si="2"/>
        <v>37</v>
      </c>
      <c r="D45" t="str">
        <f t="shared" si="1"/>
        <v>ts_288</v>
      </c>
      <c r="E45" t="str">
        <f t="shared" si="5"/>
        <v>C2</v>
      </c>
      <c r="G45" t="s">
        <v>78</v>
      </c>
      <c r="H45" t="str">
        <f>G45</f>
        <v>Gas</v>
      </c>
      <c r="I45">
        <f t="shared" ref="I45:O48" si="13">AVERAGE($R45:$S45)*I37</f>
        <v>22.25</v>
      </c>
      <c r="J45">
        <f t="shared" si="13"/>
        <v>24.03</v>
      </c>
      <c r="K45">
        <f t="shared" si="13"/>
        <v>28.702500000000001</v>
      </c>
      <c r="L45">
        <f t="shared" si="13"/>
        <v>28.48</v>
      </c>
      <c r="M45">
        <f t="shared" si="13"/>
        <v>31.15</v>
      </c>
      <c r="N45">
        <f t="shared" si="13"/>
        <v>32.93</v>
      </c>
      <c r="O45">
        <f t="shared" si="13"/>
        <v>34.042500000000004</v>
      </c>
      <c r="R45">
        <f>HLOOKUP($G45&amp;"_"&amp;R$44,fuel_prices!$B$10:$I$11,2,FALSE)</f>
        <v>17.100000000000001</v>
      </c>
      <c r="S45">
        <f>HLOOKUP($G45&amp;"_"&amp;S$44,fuel_prices!$B$10:$I$11,2,FALSE)</f>
        <v>27.4</v>
      </c>
      <c r="AJ45" s="10">
        <f t="shared" si="6"/>
        <v>8</v>
      </c>
    </row>
    <row r="46" spans="1:36" x14ac:dyDescent="0.45">
      <c r="A46">
        <v>5</v>
      </c>
      <c r="B46" t="str">
        <f t="shared" si="0"/>
        <v>c 2 deg (67%).ts_288</v>
      </c>
      <c r="C46">
        <f t="shared" si="2"/>
        <v>38</v>
      </c>
      <c r="D46" t="str">
        <f t="shared" si="1"/>
        <v>ts_288</v>
      </c>
      <c r="E46" t="str">
        <f t="shared" si="5"/>
        <v>C3</v>
      </c>
      <c r="G46" t="s">
        <v>79</v>
      </c>
      <c r="H46" t="str">
        <f t="shared" ref="H46:H48" si="14">G46</f>
        <v>Coal</v>
      </c>
      <c r="I46">
        <f t="shared" si="13"/>
        <v>13.1</v>
      </c>
      <c r="J46">
        <f t="shared" si="13"/>
        <v>13.624000000000001</v>
      </c>
      <c r="K46">
        <f t="shared" si="13"/>
        <v>14.541</v>
      </c>
      <c r="L46">
        <f t="shared" si="13"/>
        <v>14.933999999999997</v>
      </c>
      <c r="M46">
        <f t="shared" si="13"/>
        <v>15.195999999999998</v>
      </c>
      <c r="N46">
        <f t="shared" si="13"/>
        <v>15.457999999999998</v>
      </c>
      <c r="O46">
        <f t="shared" si="13"/>
        <v>15.588999999999999</v>
      </c>
      <c r="R46">
        <f>HLOOKUP($G46&amp;"_"&amp;R$44,fuel_prices!$B$10:$I$11,2,FALSE)</f>
        <v>11</v>
      </c>
      <c r="S46">
        <f>HLOOKUP($G46&amp;"_"&amp;S$44,fuel_prices!$B$10:$I$11,2,FALSE)</f>
        <v>15.2</v>
      </c>
      <c r="AJ46" s="10">
        <f t="shared" si="6"/>
        <v>8</v>
      </c>
    </row>
    <row r="47" spans="1:36" x14ac:dyDescent="0.45">
      <c r="A47">
        <v>5</v>
      </c>
      <c r="B47" t="str">
        <f t="shared" si="0"/>
        <v>b 2 deg (50%).ts_288</v>
      </c>
      <c r="C47">
        <f t="shared" si="2"/>
        <v>39</v>
      </c>
      <c r="D47" t="str">
        <f t="shared" si="1"/>
        <v>ts_288</v>
      </c>
      <c r="E47" t="str">
        <f t="shared" si="5"/>
        <v>C4</v>
      </c>
      <c r="G47" t="s">
        <v>80</v>
      </c>
      <c r="H47" t="str">
        <f t="shared" si="14"/>
        <v>Oil</v>
      </c>
      <c r="I47">
        <f t="shared" si="13"/>
        <v>47</v>
      </c>
      <c r="J47">
        <f t="shared" si="13"/>
        <v>54.989999999999995</v>
      </c>
      <c r="K47">
        <f t="shared" si="13"/>
        <v>62.980000000000004</v>
      </c>
      <c r="L47">
        <f t="shared" si="13"/>
        <v>62.510000000000005</v>
      </c>
      <c r="M47">
        <f t="shared" si="13"/>
        <v>67.679999999999993</v>
      </c>
      <c r="N47">
        <f t="shared" si="13"/>
        <v>76.61</v>
      </c>
      <c r="O47">
        <f t="shared" si="13"/>
        <v>88.83</v>
      </c>
      <c r="R47">
        <f>HLOOKUP($G47&amp;"_"&amp;R$44,fuel_prices!$B$10:$I$11,2,FALSE)</f>
        <v>42</v>
      </c>
      <c r="S47">
        <f>HLOOKUP($G47&amp;"_"&amp;S$44,fuel_prices!$B$10:$I$11,2,FALSE)</f>
        <v>52</v>
      </c>
      <c r="AJ47" s="10">
        <f t="shared" si="6"/>
        <v>8</v>
      </c>
    </row>
    <row r="48" spans="1:36" x14ac:dyDescent="0.45">
      <c r="A48">
        <v>5</v>
      </c>
      <c r="B48" t="str">
        <f t="shared" si="0"/>
        <v>a 3 deg.ts_288</v>
      </c>
      <c r="C48">
        <f t="shared" si="2"/>
        <v>40</v>
      </c>
      <c r="D48" t="str">
        <f t="shared" si="1"/>
        <v>ts_288</v>
      </c>
      <c r="E48" t="str">
        <f t="shared" si="5"/>
        <v>C7</v>
      </c>
      <c r="G48" t="s">
        <v>81</v>
      </c>
      <c r="H48" t="str">
        <f t="shared" si="14"/>
        <v>Bioenergy</v>
      </c>
      <c r="I48">
        <f t="shared" si="13"/>
        <v>16</v>
      </c>
      <c r="O48">
        <f>VLOOKUP($E$5,$AK$9:$AM$15,3,FALSE)*I48</f>
        <v>48</v>
      </c>
      <c r="R48">
        <f>HLOOKUP($G48&amp;"_"&amp;R$44,fuel_prices!$B$10:$I$11,2,FALSE)</f>
        <v>12</v>
      </c>
      <c r="S48">
        <f>HLOOKUP($G48&amp;"_"&amp;S$44,fuel_prices!$B$10:$I$11,2,FALSE)</f>
        <v>20</v>
      </c>
      <c r="AJ48" s="10">
        <f t="shared" si="6"/>
        <v>8</v>
      </c>
    </row>
    <row r="49" spans="36:36" x14ac:dyDescent="0.45">
      <c r="AJ49" s="10">
        <f t="shared" si="6"/>
        <v>9</v>
      </c>
    </row>
    <row r="50" spans="36:36" x14ac:dyDescent="0.45">
      <c r="AJ50" s="10">
        <f t="shared" si="6"/>
        <v>9</v>
      </c>
    </row>
    <row r="51" spans="36:36" x14ac:dyDescent="0.45">
      <c r="AJ51" s="10">
        <f t="shared" si="6"/>
        <v>9</v>
      </c>
    </row>
    <row r="52" spans="36:36" x14ac:dyDescent="0.45">
      <c r="AJ52" s="10">
        <f t="shared" si="6"/>
        <v>9</v>
      </c>
    </row>
    <row r="53" spans="36:36" x14ac:dyDescent="0.45">
      <c r="AJ53" s="10">
        <f t="shared" si="6"/>
        <v>9</v>
      </c>
    </row>
    <row r="54" spans="36:36" x14ac:dyDescent="0.45">
      <c r="AJ54" s="10">
        <f t="shared" si="6"/>
        <v>10</v>
      </c>
    </row>
    <row r="55" spans="36:36" x14ac:dyDescent="0.45">
      <c r="AJ55" s="10">
        <f t="shared" si="6"/>
        <v>10</v>
      </c>
    </row>
    <row r="56" spans="36:36" x14ac:dyDescent="0.45">
      <c r="AJ56" s="10">
        <f t="shared" si="6"/>
        <v>10</v>
      </c>
    </row>
    <row r="57" spans="36:36" x14ac:dyDescent="0.45">
      <c r="AJ57" s="10">
        <f t="shared" si="6"/>
        <v>10</v>
      </c>
    </row>
    <row r="58" spans="36:36" x14ac:dyDescent="0.45">
      <c r="AJ58" s="10">
        <f t="shared" si="6"/>
        <v>10</v>
      </c>
    </row>
    <row r="59" spans="36:36" x14ac:dyDescent="0.45">
      <c r="AJ59" s="10">
        <f t="shared" si="6"/>
        <v>11</v>
      </c>
    </row>
    <row r="60" spans="36:36" x14ac:dyDescent="0.45">
      <c r="AJ60" s="10">
        <f t="shared" si="6"/>
        <v>11</v>
      </c>
    </row>
    <row r="61" spans="36:36" x14ac:dyDescent="0.45">
      <c r="AJ61" s="10">
        <f t="shared" si="6"/>
        <v>11</v>
      </c>
    </row>
    <row r="62" spans="36:36" x14ac:dyDescent="0.45">
      <c r="AJ62" s="10">
        <f t="shared" si="6"/>
        <v>11</v>
      </c>
    </row>
    <row r="63" spans="36:36" x14ac:dyDescent="0.45">
      <c r="AJ63" s="10">
        <f t="shared" si="6"/>
        <v>11</v>
      </c>
    </row>
    <row r="64" spans="36:36" x14ac:dyDescent="0.45">
      <c r="AJ64" s="10">
        <f t="shared" si="6"/>
        <v>12</v>
      </c>
    </row>
    <row r="65" spans="36:36" x14ac:dyDescent="0.45">
      <c r="AJ65" s="10">
        <f t="shared" si="6"/>
        <v>12</v>
      </c>
    </row>
    <row r="66" spans="36:36" x14ac:dyDescent="0.45">
      <c r="AJ66" s="10">
        <f t="shared" si="6"/>
        <v>12</v>
      </c>
    </row>
    <row r="67" spans="36:36" x14ac:dyDescent="0.45">
      <c r="AJ67" s="10">
        <f t="shared" si="6"/>
        <v>12</v>
      </c>
    </row>
    <row r="68" spans="36:36" x14ac:dyDescent="0.45">
      <c r="AJ68" s="10">
        <f t="shared" si="6"/>
        <v>12</v>
      </c>
    </row>
    <row r="69" spans="36:36" x14ac:dyDescent="0.45">
      <c r="AJ69" s="10">
        <f t="shared" si="6"/>
        <v>13</v>
      </c>
    </row>
    <row r="70" spans="36:36" x14ac:dyDescent="0.45">
      <c r="AJ70" s="10">
        <f t="shared" si="6"/>
        <v>13</v>
      </c>
    </row>
    <row r="71" spans="36:36" x14ac:dyDescent="0.45">
      <c r="AJ71" s="10">
        <f t="shared" si="6"/>
        <v>13</v>
      </c>
    </row>
    <row r="72" spans="36:36" x14ac:dyDescent="0.45">
      <c r="AJ72" s="10">
        <f t="shared" si="6"/>
        <v>13</v>
      </c>
    </row>
    <row r="73" spans="36:36" x14ac:dyDescent="0.45">
      <c r="AJ73" s="10">
        <f t="shared" si="6"/>
        <v>13</v>
      </c>
    </row>
    <row r="74" spans="36:36" x14ac:dyDescent="0.45">
      <c r="AJ74" s="10">
        <f t="shared" si="6"/>
        <v>14</v>
      </c>
    </row>
    <row r="75" spans="36:36" x14ac:dyDescent="0.45">
      <c r="AJ75" s="10">
        <f t="shared" si="6"/>
        <v>14</v>
      </c>
    </row>
    <row r="76" spans="36:36" x14ac:dyDescent="0.45">
      <c r="AJ76" s="10">
        <f t="shared" si="6"/>
        <v>14</v>
      </c>
    </row>
    <row r="77" spans="36:36" x14ac:dyDescent="0.45">
      <c r="AJ77" s="10">
        <f t="shared" si="6"/>
        <v>14</v>
      </c>
    </row>
    <row r="78" spans="36:36" x14ac:dyDescent="0.45">
      <c r="AJ78" s="10">
        <f t="shared" si="6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133</v>
      </c>
      <c r="B11">
        <v>17.100000000000001</v>
      </c>
      <c r="C11">
        <v>27.4</v>
      </c>
      <c r="D11">
        <v>11</v>
      </c>
      <c r="E11">
        <v>15.2</v>
      </c>
      <c r="F11">
        <v>42</v>
      </c>
      <c r="G11">
        <v>52</v>
      </c>
      <c r="H11">
        <v>12</v>
      </c>
      <c r="I11">
        <v>20</v>
      </c>
      <c r="J11" t="s">
        <v>135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133</v>
      </c>
      <c r="B11">
        <v>2000</v>
      </c>
      <c r="C11">
        <v>40.93</v>
      </c>
      <c r="D11">
        <v>28.53</v>
      </c>
      <c r="E11">
        <v>0.05</v>
      </c>
      <c r="F11">
        <v>0</v>
      </c>
      <c r="G11">
        <v>0</v>
      </c>
      <c r="H11">
        <v>0</v>
      </c>
      <c r="I11">
        <v>69.260000000000005</v>
      </c>
    </row>
    <row r="12" spans="1:9" x14ac:dyDescent="0.45">
      <c r="A12" t="s">
        <v>133</v>
      </c>
      <c r="B12">
        <v>2001</v>
      </c>
      <c r="C12">
        <v>42.61</v>
      </c>
      <c r="D12">
        <v>30.94</v>
      </c>
      <c r="E12">
        <v>0.04</v>
      </c>
      <c r="F12">
        <v>0</v>
      </c>
      <c r="G12">
        <v>0</v>
      </c>
      <c r="H12">
        <v>0</v>
      </c>
      <c r="I12">
        <v>71.08</v>
      </c>
    </row>
    <row r="13" spans="1:9" x14ac:dyDescent="0.45">
      <c r="A13" t="s">
        <v>133</v>
      </c>
      <c r="B13">
        <v>2002</v>
      </c>
      <c r="C13">
        <v>44.48</v>
      </c>
      <c r="D13">
        <v>33.25</v>
      </c>
      <c r="E13">
        <v>0.05</v>
      </c>
      <c r="F13">
        <v>0</v>
      </c>
      <c r="G13">
        <v>0</v>
      </c>
      <c r="H13">
        <v>-0.03</v>
      </c>
      <c r="I13">
        <v>74.25</v>
      </c>
    </row>
    <row r="14" spans="1:9" x14ac:dyDescent="0.45">
      <c r="A14" t="s">
        <v>133</v>
      </c>
      <c r="B14">
        <v>2003</v>
      </c>
      <c r="C14">
        <v>47.12</v>
      </c>
      <c r="D14">
        <v>35.659999999999997</v>
      </c>
      <c r="E14">
        <v>0.06</v>
      </c>
      <c r="F14">
        <v>0</v>
      </c>
      <c r="G14">
        <v>0</v>
      </c>
      <c r="H14">
        <v>-0.2</v>
      </c>
      <c r="I14">
        <v>78.47</v>
      </c>
    </row>
    <row r="15" spans="1:9" x14ac:dyDescent="0.45">
      <c r="A15" t="s">
        <v>133</v>
      </c>
      <c r="B15">
        <v>2004</v>
      </c>
      <c r="C15">
        <v>48.72</v>
      </c>
      <c r="D15">
        <v>38.35</v>
      </c>
      <c r="E15">
        <v>0.05</v>
      </c>
      <c r="F15">
        <v>0</v>
      </c>
      <c r="G15">
        <v>0.1</v>
      </c>
      <c r="H15">
        <v>-0.62</v>
      </c>
      <c r="I15">
        <v>82.28</v>
      </c>
    </row>
    <row r="16" spans="1:9" x14ac:dyDescent="0.45">
      <c r="A16" t="s">
        <v>133</v>
      </c>
      <c r="B16">
        <v>2005</v>
      </c>
      <c r="C16">
        <v>49.12</v>
      </c>
      <c r="D16">
        <v>41.49</v>
      </c>
      <c r="E16">
        <v>0.06</v>
      </c>
      <c r="F16">
        <v>0</v>
      </c>
      <c r="G16">
        <v>0</v>
      </c>
      <c r="H16">
        <v>-2.23</v>
      </c>
      <c r="I16">
        <v>82.67</v>
      </c>
    </row>
    <row r="17" spans="1:9" x14ac:dyDescent="0.45">
      <c r="A17" t="s">
        <v>133</v>
      </c>
      <c r="B17">
        <v>2006</v>
      </c>
      <c r="C17">
        <v>51.19</v>
      </c>
      <c r="D17">
        <v>44.1</v>
      </c>
      <c r="E17">
        <v>0.06</v>
      </c>
      <c r="F17">
        <v>0</v>
      </c>
      <c r="G17">
        <v>0</v>
      </c>
      <c r="H17">
        <v>-2.3199999999999998</v>
      </c>
      <c r="I17">
        <v>89.83</v>
      </c>
    </row>
    <row r="18" spans="1:9" x14ac:dyDescent="0.45">
      <c r="A18" t="s">
        <v>133</v>
      </c>
      <c r="B18">
        <v>2007</v>
      </c>
      <c r="C18">
        <v>53.41</v>
      </c>
      <c r="D18">
        <v>47.6</v>
      </c>
      <c r="E18">
        <v>0.04</v>
      </c>
      <c r="F18">
        <v>0</v>
      </c>
      <c r="G18">
        <v>0</v>
      </c>
      <c r="H18">
        <v>-2.2599999999999998</v>
      </c>
      <c r="I18">
        <v>97.52</v>
      </c>
    </row>
    <row r="19" spans="1:9" x14ac:dyDescent="0.45">
      <c r="A19" t="s">
        <v>133</v>
      </c>
      <c r="B19">
        <v>2008</v>
      </c>
      <c r="C19">
        <v>54.61</v>
      </c>
      <c r="D19">
        <v>49.83</v>
      </c>
      <c r="E19">
        <v>0.17</v>
      </c>
      <c r="F19">
        <v>0</v>
      </c>
      <c r="G19">
        <v>0.11</v>
      </c>
      <c r="H19">
        <v>-0.57999999999999996</v>
      </c>
      <c r="I19">
        <v>97.8</v>
      </c>
    </row>
    <row r="20" spans="1:9" x14ac:dyDescent="0.45">
      <c r="A20" t="s">
        <v>133</v>
      </c>
      <c r="B20">
        <v>2009</v>
      </c>
      <c r="C20">
        <v>62.79</v>
      </c>
      <c r="D20">
        <v>52.98</v>
      </c>
      <c r="E20">
        <v>0.14000000000000001</v>
      </c>
      <c r="F20">
        <v>0</v>
      </c>
      <c r="G20">
        <v>0.01</v>
      </c>
      <c r="H20">
        <v>-0.1</v>
      </c>
      <c r="I20">
        <v>116</v>
      </c>
    </row>
    <row r="21" spans="1:9" x14ac:dyDescent="0.45">
      <c r="A21" t="s">
        <v>133</v>
      </c>
      <c r="B21">
        <v>2010</v>
      </c>
      <c r="C21">
        <v>66.5</v>
      </c>
      <c r="D21">
        <v>57.93</v>
      </c>
      <c r="E21">
        <v>0.21</v>
      </c>
      <c r="F21">
        <v>0</v>
      </c>
      <c r="G21">
        <v>0</v>
      </c>
      <c r="H21">
        <v>-0.15</v>
      </c>
      <c r="I21">
        <v>124.79</v>
      </c>
    </row>
    <row r="22" spans="1:9" x14ac:dyDescent="0.45">
      <c r="A22" t="s">
        <v>133</v>
      </c>
      <c r="B22">
        <v>2011</v>
      </c>
      <c r="C22">
        <v>69.400000000000006</v>
      </c>
      <c r="D22">
        <v>60.03</v>
      </c>
      <c r="E22">
        <v>0.21</v>
      </c>
      <c r="F22">
        <v>0</v>
      </c>
      <c r="G22">
        <v>0.37</v>
      </c>
      <c r="H22">
        <v>-0.01</v>
      </c>
      <c r="I22">
        <v>129.28</v>
      </c>
    </row>
    <row r="23" spans="1:9" x14ac:dyDescent="0.45">
      <c r="A23" t="s">
        <v>133</v>
      </c>
      <c r="B23">
        <v>2012</v>
      </c>
      <c r="C23">
        <v>70.489999999999995</v>
      </c>
      <c r="D23">
        <v>63.74</v>
      </c>
      <c r="E23">
        <v>0.24</v>
      </c>
      <c r="F23">
        <v>0</v>
      </c>
      <c r="G23">
        <v>0.1</v>
      </c>
      <c r="H23">
        <v>-0.01</v>
      </c>
      <c r="I23">
        <v>134.38</v>
      </c>
    </row>
    <row r="24" spans="1:9" x14ac:dyDescent="0.45">
      <c r="A24" t="s">
        <v>133</v>
      </c>
      <c r="B24">
        <v>2013</v>
      </c>
      <c r="C24">
        <v>71.3</v>
      </c>
      <c r="D24">
        <v>66.989999999999995</v>
      </c>
      <c r="E24">
        <v>0.24</v>
      </c>
      <c r="F24">
        <v>0</v>
      </c>
      <c r="G24">
        <v>0.22</v>
      </c>
      <c r="H24">
        <v>-0.03</v>
      </c>
      <c r="I24">
        <v>138.35</v>
      </c>
    </row>
    <row r="25" spans="1:9" x14ac:dyDescent="0.45">
      <c r="A25" t="s">
        <v>133</v>
      </c>
      <c r="B25">
        <v>2014</v>
      </c>
      <c r="C25">
        <v>78.05</v>
      </c>
      <c r="D25">
        <v>69.180000000000007</v>
      </c>
      <c r="E25">
        <v>0.26</v>
      </c>
      <c r="F25">
        <v>0</v>
      </c>
      <c r="G25">
        <v>0.02</v>
      </c>
      <c r="H25">
        <v>-0.01</v>
      </c>
      <c r="I25">
        <v>147.47</v>
      </c>
    </row>
    <row r="26" spans="1:9" x14ac:dyDescent="0.45">
      <c r="A26" t="s">
        <v>133</v>
      </c>
      <c r="B26">
        <v>2015</v>
      </c>
      <c r="C26">
        <v>75.930000000000007</v>
      </c>
      <c r="D26">
        <v>71.81</v>
      </c>
      <c r="E26">
        <v>0.27</v>
      </c>
      <c r="F26">
        <v>0</v>
      </c>
      <c r="G26">
        <v>0.01</v>
      </c>
      <c r="H26">
        <v>0</v>
      </c>
      <c r="I26">
        <v>150.12</v>
      </c>
    </row>
    <row r="27" spans="1:9" x14ac:dyDescent="0.45">
      <c r="A27" t="s">
        <v>133</v>
      </c>
      <c r="B27">
        <v>2016</v>
      </c>
      <c r="C27">
        <v>83.84</v>
      </c>
      <c r="D27">
        <v>76.069999999999993</v>
      </c>
      <c r="E27">
        <v>0.34</v>
      </c>
      <c r="F27">
        <v>0</v>
      </c>
      <c r="G27">
        <v>0.03</v>
      </c>
      <c r="H27">
        <v>-0.69</v>
      </c>
      <c r="I27">
        <v>156.66</v>
      </c>
    </row>
    <row r="28" spans="1:9" x14ac:dyDescent="0.45">
      <c r="A28" t="s">
        <v>133</v>
      </c>
      <c r="B28">
        <v>2017</v>
      </c>
      <c r="C28">
        <v>88.4</v>
      </c>
      <c r="D28">
        <v>74.69</v>
      </c>
      <c r="E28">
        <v>0.46</v>
      </c>
      <c r="F28">
        <v>0</v>
      </c>
      <c r="G28">
        <v>0.01</v>
      </c>
      <c r="H28">
        <v>-1.1200000000000001</v>
      </c>
      <c r="I28">
        <v>164.5</v>
      </c>
    </row>
    <row r="29" spans="1:9" x14ac:dyDescent="0.45">
      <c r="A29" t="s">
        <v>133</v>
      </c>
      <c r="B29">
        <v>2018</v>
      </c>
      <c r="C29">
        <v>93.69</v>
      </c>
      <c r="D29">
        <v>76.349999999999994</v>
      </c>
      <c r="E29">
        <v>0.48</v>
      </c>
      <c r="F29">
        <v>0</v>
      </c>
      <c r="G29">
        <v>0.02</v>
      </c>
      <c r="H29">
        <v>-1.51</v>
      </c>
      <c r="I29">
        <v>170.52</v>
      </c>
    </row>
    <row r="30" spans="1:9" x14ac:dyDescent="0.45">
      <c r="A30" t="s">
        <v>133</v>
      </c>
      <c r="B30">
        <v>2019</v>
      </c>
      <c r="C30">
        <v>96.84</v>
      </c>
      <c r="D30">
        <v>79.75</v>
      </c>
      <c r="E30">
        <v>0.48</v>
      </c>
      <c r="F30">
        <v>0</v>
      </c>
      <c r="G30">
        <v>0.04</v>
      </c>
      <c r="H30">
        <v>-1.7</v>
      </c>
      <c r="I30">
        <v>178.35</v>
      </c>
    </row>
    <row r="31" spans="1:9" x14ac:dyDescent="0.45">
      <c r="A31" t="s">
        <v>133</v>
      </c>
      <c r="B31">
        <v>2020</v>
      </c>
      <c r="C31">
        <v>92.17</v>
      </c>
      <c r="D31">
        <v>77.5</v>
      </c>
      <c r="E31">
        <v>0.39</v>
      </c>
      <c r="F31">
        <v>0</v>
      </c>
      <c r="G31">
        <v>0.02</v>
      </c>
      <c r="H31">
        <v>-1.57</v>
      </c>
      <c r="I31">
        <v>174.13</v>
      </c>
    </row>
    <row r="32" spans="1:9" x14ac:dyDescent="0.45">
      <c r="A32" t="s">
        <v>133</v>
      </c>
      <c r="B32">
        <v>2021</v>
      </c>
      <c r="C32">
        <v>95.94</v>
      </c>
      <c r="D32">
        <v>77.64</v>
      </c>
      <c r="E32">
        <v>0.35</v>
      </c>
      <c r="F32">
        <v>0</v>
      </c>
      <c r="G32">
        <v>0.03</v>
      </c>
      <c r="H32">
        <v>-0.98</v>
      </c>
      <c r="I32">
        <v>179.98</v>
      </c>
    </row>
    <row r="33" spans="1:9" x14ac:dyDescent="0.45">
      <c r="A33" t="s">
        <v>133</v>
      </c>
      <c r="B33">
        <v>2022</v>
      </c>
      <c r="C33">
        <v>99.43</v>
      </c>
      <c r="D33">
        <v>83.83</v>
      </c>
      <c r="E33">
        <v>0.25</v>
      </c>
      <c r="F33">
        <v>0</v>
      </c>
      <c r="G33">
        <v>0.03</v>
      </c>
      <c r="H33">
        <v>-1.42</v>
      </c>
      <c r="I33">
        <v>187.3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134</v>
      </c>
      <c r="C11">
        <v>2020</v>
      </c>
      <c r="D11">
        <v>60</v>
      </c>
      <c r="E11">
        <v>3.28</v>
      </c>
      <c r="F11">
        <v>0.55000000000000004</v>
      </c>
      <c r="G11">
        <v>3.92</v>
      </c>
      <c r="H11">
        <v>0</v>
      </c>
      <c r="I11">
        <v>9.19</v>
      </c>
      <c r="J11">
        <v>0</v>
      </c>
      <c r="K11">
        <v>8.0500000000000007</v>
      </c>
      <c r="L11" t="s">
        <v>1</v>
      </c>
      <c r="M11" t="s">
        <v>27</v>
      </c>
    </row>
    <row r="12" spans="1:13" x14ac:dyDescent="0.45">
      <c r="A12" t="s">
        <v>0</v>
      </c>
      <c r="B12" t="s">
        <v>134</v>
      </c>
      <c r="C12">
        <v>2025</v>
      </c>
      <c r="D12">
        <v>60</v>
      </c>
      <c r="E12">
        <v>144.21</v>
      </c>
      <c r="F12">
        <v>117.22</v>
      </c>
      <c r="G12">
        <v>125.47</v>
      </c>
      <c r="H12">
        <v>9.49</v>
      </c>
      <c r="I12">
        <v>626.48</v>
      </c>
      <c r="J12">
        <v>72.92</v>
      </c>
      <c r="K12">
        <v>177.75</v>
      </c>
      <c r="L12" t="s">
        <v>1</v>
      </c>
      <c r="M12" t="s">
        <v>27</v>
      </c>
    </row>
    <row r="13" spans="1:13" x14ac:dyDescent="0.45">
      <c r="A13" t="s">
        <v>0</v>
      </c>
      <c r="B13" t="s">
        <v>134</v>
      </c>
      <c r="C13">
        <v>2030</v>
      </c>
      <c r="D13">
        <v>60</v>
      </c>
      <c r="E13">
        <v>204.31</v>
      </c>
      <c r="F13">
        <v>186.64</v>
      </c>
      <c r="G13">
        <v>116.81</v>
      </c>
      <c r="H13">
        <v>6.28</v>
      </c>
      <c r="I13">
        <v>673.46</v>
      </c>
      <c r="J13">
        <v>116.89</v>
      </c>
      <c r="K13">
        <v>241.69</v>
      </c>
      <c r="L13" t="s">
        <v>1</v>
      </c>
      <c r="M13" t="s">
        <v>27</v>
      </c>
    </row>
    <row r="14" spans="1:13" x14ac:dyDescent="0.45">
      <c r="A14" t="s">
        <v>0</v>
      </c>
      <c r="B14" t="s">
        <v>134</v>
      </c>
      <c r="C14">
        <v>2035</v>
      </c>
      <c r="D14">
        <v>60</v>
      </c>
      <c r="E14">
        <v>292.3</v>
      </c>
      <c r="F14">
        <v>250.8</v>
      </c>
      <c r="G14">
        <v>154.01</v>
      </c>
      <c r="H14">
        <v>34.159999999999997</v>
      </c>
      <c r="I14">
        <v>859.53</v>
      </c>
      <c r="J14">
        <v>184.18</v>
      </c>
      <c r="K14">
        <v>361.62</v>
      </c>
      <c r="L14" t="s">
        <v>1</v>
      </c>
      <c r="M14" t="s">
        <v>27</v>
      </c>
    </row>
    <row r="15" spans="1:13" x14ac:dyDescent="0.45">
      <c r="A15" t="s">
        <v>0</v>
      </c>
      <c r="B15" t="s">
        <v>134</v>
      </c>
      <c r="C15">
        <v>2040</v>
      </c>
      <c r="D15">
        <v>60</v>
      </c>
      <c r="E15">
        <v>406.37</v>
      </c>
      <c r="F15">
        <v>325.37</v>
      </c>
      <c r="G15">
        <v>208.03</v>
      </c>
      <c r="H15">
        <v>145.16</v>
      </c>
      <c r="I15">
        <v>1097.01</v>
      </c>
      <c r="J15">
        <v>278.29000000000002</v>
      </c>
      <c r="K15">
        <v>499.12</v>
      </c>
      <c r="L15" t="s">
        <v>1</v>
      </c>
      <c r="M15" t="s">
        <v>27</v>
      </c>
    </row>
    <row r="16" spans="1:13" x14ac:dyDescent="0.45">
      <c r="A16" t="s">
        <v>0</v>
      </c>
      <c r="B16" t="s">
        <v>134</v>
      </c>
      <c r="C16">
        <v>2045</v>
      </c>
      <c r="D16">
        <v>60</v>
      </c>
      <c r="E16">
        <v>524.62</v>
      </c>
      <c r="F16">
        <v>440.67</v>
      </c>
      <c r="G16">
        <v>244.73</v>
      </c>
      <c r="H16">
        <v>193.42</v>
      </c>
      <c r="I16">
        <v>1269.8800000000001</v>
      </c>
      <c r="J16">
        <v>355.81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134</v>
      </c>
      <c r="C17">
        <v>2050</v>
      </c>
      <c r="D17">
        <v>60</v>
      </c>
      <c r="E17">
        <v>628.96</v>
      </c>
      <c r="F17">
        <v>581.75</v>
      </c>
      <c r="G17">
        <v>257.45</v>
      </c>
      <c r="H17">
        <v>209.76</v>
      </c>
      <c r="I17">
        <v>1170.26</v>
      </c>
      <c r="J17">
        <v>412.98</v>
      </c>
      <c r="K17">
        <v>808.29</v>
      </c>
      <c r="L17" t="s">
        <v>1</v>
      </c>
      <c r="M17" t="s">
        <v>27</v>
      </c>
    </row>
    <row r="18" spans="1:13" x14ac:dyDescent="0.45">
      <c r="A18" t="s">
        <v>2</v>
      </c>
      <c r="B18" t="s">
        <v>134</v>
      </c>
      <c r="C18">
        <v>2020</v>
      </c>
      <c r="D18">
        <v>86</v>
      </c>
      <c r="E18">
        <v>1.62</v>
      </c>
      <c r="F18">
        <v>0.12</v>
      </c>
      <c r="G18">
        <v>2.95</v>
      </c>
      <c r="H18">
        <v>0</v>
      </c>
      <c r="I18">
        <v>9.08</v>
      </c>
      <c r="J18">
        <v>0</v>
      </c>
      <c r="K18">
        <v>0.88</v>
      </c>
      <c r="L18" t="s">
        <v>3</v>
      </c>
      <c r="M18" t="s">
        <v>27</v>
      </c>
    </row>
    <row r="19" spans="1:13" x14ac:dyDescent="0.45">
      <c r="A19" t="s">
        <v>2</v>
      </c>
      <c r="B19" t="s">
        <v>134</v>
      </c>
      <c r="C19">
        <v>2025</v>
      </c>
      <c r="D19">
        <v>75</v>
      </c>
      <c r="E19">
        <v>46.43</v>
      </c>
      <c r="F19">
        <v>28.76</v>
      </c>
      <c r="G19">
        <v>40.020000000000003</v>
      </c>
      <c r="H19">
        <v>7.08</v>
      </c>
      <c r="I19">
        <v>174.97</v>
      </c>
      <c r="J19">
        <v>20.12</v>
      </c>
      <c r="K19">
        <v>61.53</v>
      </c>
      <c r="L19" t="s">
        <v>3</v>
      </c>
      <c r="M19" t="s">
        <v>27</v>
      </c>
    </row>
    <row r="20" spans="1:13" x14ac:dyDescent="0.45">
      <c r="A20" t="s">
        <v>2</v>
      </c>
      <c r="B20" t="s">
        <v>134</v>
      </c>
      <c r="C20">
        <v>2030</v>
      </c>
      <c r="D20">
        <v>86</v>
      </c>
      <c r="E20">
        <v>62.15</v>
      </c>
      <c r="F20">
        <v>50</v>
      </c>
      <c r="G20">
        <v>46.76</v>
      </c>
      <c r="H20">
        <v>0</v>
      </c>
      <c r="I20">
        <v>221.93</v>
      </c>
      <c r="J20">
        <v>25.96</v>
      </c>
      <c r="K20">
        <v>72.459999999999994</v>
      </c>
      <c r="L20" t="s">
        <v>3</v>
      </c>
      <c r="M20" t="s">
        <v>27</v>
      </c>
    </row>
    <row r="21" spans="1:13" x14ac:dyDescent="0.45">
      <c r="A21" t="s">
        <v>2</v>
      </c>
      <c r="B21" t="s">
        <v>134</v>
      </c>
      <c r="C21">
        <v>2035</v>
      </c>
      <c r="D21">
        <v>75</v>
      </c>
      <c r="E21">
        <v>199.95</v>
      </c>
      <c r="F21">
        <v>135.74</v>
      </c>
      <c r="G21">
        <v>294.3</v>
      </c>
      <c r="H21">
        <v>46.61</v>
      </c>
      <c r="I21">
        <v>2037.12</v>
      </c>
      <c r="J21">
        <v>86.12</v>
      </c>
      <c r="K21">
        <v>201.85</v>
      </c>
      <c r="L21" t="s">
        <v>3</v>
      </c>
      <c r="M21" t="s">
        <v>27</v>
      </c>
    </row>
    <row r="22" spans="1:13" x14ac:dyDescent="0.45">
      <c r="A22" t="s">
        <v>2</v>
      </c>
      <c r="B22" t="s">
        <v>134</v>
      </c>
      <c r="C22">
        <v>2040</v>
      </c>
      <c r="D22">
        <v>86</v>
      </c>
      <c r="E22">
        <v>246.92</v>
      </c>
      <c r="F22">
        <v>165.64</v>
      </c>
      <c r="G22">
        <v>360.4</v>
      </c>
      <c r="H22">
        <v>0</v>
      </c>
      <c r="I22">
        <v>2600</v>
      </c>
      <c r="J22">
        <v>111.3</v>
      </c>
      <c r="K22">
        <v>257.19</v>
      </c>
      <c r="L22" t="s">
        <v>3</v>
      </c>
      <c r="M22" t="s">
        <v>27</v>
      </c>
    </row>
    <row r="23" spans="1:13" x14ac:dyDescent="0.45">
      <c r="A23" t="s">
        <v>2</v>
      </c>
      <c r="B23" t="s">
        <v>134</v>
      </c>
      <c r="C23">
        <v>2045</v>
      </c>
      <c r="D23">
        <v>75</v>
      </c>
      <c r="E23">
        <v>294.52999999999997</v>
      </c>
      <c r="F23">
        <v>249.21</v>
      </c>
      <c r="G23">
        <v>189.56</v>
      </c>
      <c r="H23">
        <v>103.36</v>
      </c>
      <c r="I23">
        <v>1213.1199999999999</v>
      </c>
      <c r="J23">
        <v>166.87</v>
      </c>
      <c r="K23">
        <v>348.51</v>
      </c>
      <c r="L23" t="s">
        <v>3</v>
      </c>
      <c r="M23" t="s">
        <v>27</v>
      </c>
    </row>
    <row r="24" spans="1:13" x14ac:dyDescent="0.45">
      <c r="A24" t="s">
        <v>2</v>
      </c>
      <c r="B24" t="s">
        <v>134</v>
      </c>
      <c r="C24">
        <v>2050</v>
      </c>
      <c r="D24">
        <v>86</v>
      </c>
      <c r="E24">
        <v>308.95</v>
      </c>
      <c r="F24">
        <v>285.02999999999997</v>
      </c>
      <c r="G24">
        <v>170</v>
      </c>
      <c r="H24">
        <v>0</v>
      </c>
      <c r="I24">
        <v>729.74</v>
      </c>
      <c r="J24">
        <v>194.46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134</v>
      </c>
      <c r="C25">
        <v>2020</v>
      </c>
      <c r="D25">
        <v>193</v>
      </c>
      <c r="E25">
        <v>5.77</v>
      </c>
      <c r="F25">
        <v>0.88</v>
      </c>
      <c r="G25">
        <v>12.32</v>
      </c>
      <c r="H25">
        <v>0</v>
      </c>
      <c r="I25">
        <v>127.81</v>
      </c>
      <c r="J25">
        <v>0</v>
      </c>
      <c r="K25">
        <v>8.0500000000000007</v>
      </c>
      <c r="L25" t="s">
        <v>6</v>
      </c>
      <c r="M25" t="s">
        <v>27</v>
      </c>
    </row>
    <row r="26" spans="1:13" x14ac:dyDescent="0.45">
      <c r="A26" t="s">
        <v>5</v>
      </c>
      <c r="B26" t="s">
        <v>134</v>
      </c>
      <c r="C26">
        <v>2025</v>
      </c>
      <c r="D26">
        <v>170</v>
      </c>
      <c r="E26">
        <v>39.229999999999997</v>
      </c>
      <c r="F26">
        <v>33.18</v>
      </c>
      <c r="G26">
        <v>28.37</v>
      </c>
      <c r="H26">
        <v>0</v>
      </c>
      <c r="I26">
        <v>134.68</v>
      </c>
      <c r="J26">
        <v>16.760000000000002</v>
      </c>
      <c r="K26">
        <v>53.92</v>
      </c>
      <c r="L26" t="s">
        <v>6</v>
      </c>
      <c r="M26" t="s">
        <v>27</v>
      </c>
    </row>
    <row r="27" spans="1:13" x14ac:dyDescent="0.45">
      <c r="A27" t="s">
        <v>5</v>
      </c>
      <c r="B27" t="s">
        <v>134</v>
      </c>
      <c r="C27">
        <v>2030</v>
      </c>
      <c r="D27">
        <v>193</v>
      </c>
      <c r="E27">
        <v>65.069999999999993</v>
      </c>
      <c r="F27">
        <v>55.79</v>
      </c>
      <c r="G27">
        <v>42.59</v>
      </c>
      <c r="H27">
        <v>0</v>
      </c>
      <c r="I27">
        <v>216.75</v>
      </c>
      <c r="J27">
        <v>38.340000000000003</v>
      </c>
      <c r="K27">
        <v>80.39</v>
      </c>
      <c r="L27" t="s">
        <v>6</v>
      </c>
      <c r="M27" t="s">
        <v>27</v>
      </c>
    </row>
    <row r="28" spans="1:13" x14ac:dyDescent="0.45">
      <c r="A28" t="s">
        <v>5</v>
      </c>
      <c r="B28" t="s">
        <v>134</v>
      </c>
      <c r="C28">
        <v>2035</v>
      </c>
      <c r="D28">
        <v>170</v>
      </c>
      <c r="E28">
        <v>112.49</v>
      </c>
      <c r="F28">
        <v>89.54</v>
      </c>
      <c r="G28">
        <v>88.5</v>
      </c>
      <c r="H28">
        <v>22.73</v>
      </c>
      <c r="I28">
        <v>960.63</v>
      </c>
      <c r="J28">
        <v>66.58</v>
      </c>
      <c r="K28">
        <v>135.76</v>
      </c>
      <c r="L28" t="s">
        <v>6</v>
      </c>
      <c r="M28" t="s">
        <v>27</v>
      </c>
    </row>
    <row r="29" spans="1:13" x14ac:dyDescent="0.45">
      <c r="A29" t="s">
        <v>5</v>
      </c>
      <c r="B29" t="s">
        <v>134</v>
      </c>
      <c r="C29">
        <v>2040</v>
      </c>
      <c r="D29">
        <v>193</v>
      </c>
      <c r="E29">
        <v>153.59</v>
      </c>
      <c r="F29">
        <v>128.22999999999999</v>
      </c>
      <c r="G29">
        <v>111.07</v>
      </c>
      <c r="H29">
        <v>46.68</v>
      </c>
      <c r="I29">
        <v>1226.04</v>
      </c>
      <c r="J29">
        <v>91.28</v>
      </c>
      <c r="K29">
        <v>182.11</v>
      </c>
      <c r="L29" t="s">
        <v>6</v>
      </c>
      <c r="M29" t="s">
        <v>27</v>
      </c>
    </row>
    <row r="30" spans="1:13" x14ac:dyDescent="0.45">
      <c r="A30" t="s">
        <v>5</v>
      </c>
      <c r="B30" t="s">
        <v>134</v>
      </c>
      <c r="C30">
        <v>2045</v>
      </c>
      <c r="D30">
        <v>170</v>
      </c>
      <c r="E30">
        <v>198.24</v>
      </c>
      <c r="F30">
        <v>171.82</v>
      </c>
      <c r="G30">
        <v>142.07</v>
      </c>
      <c r="H30">
        <v>46.21</v>
      </c>
      <c r="I30">
        <v>1564.8</v>
      </c>
      <c r="J30">
        <v>118.51</v>
      </c>
      <c r="K30">
        <v>237.03</v>
      </c>
      <c r="L30" t="s">
        <v>6</v>
      </c>
      <c r="M30" t="s">
        <v>27</v>
      </c>
    </row>
    <row r="31" spans="1:13" x14ac:dyDescent="0.45">
      <c r="A31" t="s">
        <v>5</v>
      </c>
      <c r="B31" t="s">
        <v>134</v>
      </c>
      <c r="C31">
        <v>2050</v>
      </c>
      <c r="D31">
        <v>193</v>
      </c>
      <c r="E31">
        <v>243.64</v>
      </c>
      <c r="F31">
        <v>208.87</v>
      </c>
      <c r="G31">
        <v>133.19999999999999</v>
      </c>
      <c r="H31">
        <v>50.04</v>
      </c>
      <c r="I31">
        <v>926.14</v>
      </c>
      <c r="J31">
        <v>147.6</v>
      </c>
      <c r="K31">
        <v>302.19</v>
      </c>
      <c r="L31" t="s">
        <v>6</v>
      </c>
      <c r="M31" t="s">
        <v>27</v>
      </c>
    </row>
    <row r="32" spans="1:13" x14ac:dyDescent="0.45">
      <c r="A32" t="s">
        <v>7</v>
      </c>
      <c r="B32" t="s">
        <v>134</v>
      </c>
      <c r="C32">
        <v>2020</v>
      </c>
      <c r="D32">
        <v>74</v>
      </c>
      <c r="E32">
        <v>2.65</v>
      </c>
      <c r="F32">
        <v>0</v>
      </c>
      <c r="G32">
        <v>5.69</v>
      </c>
      <c r="H32">
        <v>0</v>
      </c>
      <c r="I32">
        <v>28.69</v>
      </c>
      <c r="J32">
        <v>0</v>
      </c>
      <c r="K32">
        <v>0.88</v>
      </c>
      <c r="L32" t="s">
        <v>8</v>
      </c>
      <c r="M32" t="s">
        <v>27</v>
      </c>
    </row>
    <row r="33" spans="1:13" x14ac:dyDescent="0.45">
      <c r="A33" t="s">
        <v>7</v>
      </c>
      <c r="B33" t="s">
        <v>134</v>
      </c>
      <c r="C33">
        <v>2025</v>
      </c>
      <c r="D33">
        <v>68</v>
      </c>
      <c r="E33">
        <v>20.55</v>
      </c>
      <c r="F33">
        <v>18.48</v>
      </c>
      <c r="G33">
        <v>10.73</v>
      </c>
      <c r="H33">
        <v>0</v>
      </c>
      <c r="I33">
        <v>48.97</v>
      </c>
      <c r="J33">
        <v>10.91</v>
      </c>
      <c r="K33">
        <v>28.56</v>
      </c>
      <c r="L33" t="s">
        <v>8</v>
      </c>
      <c r="M33" t="s">
        <v>27</v>
      </c>
    </row>
    <row r="34" spans="1:13" x14ac:dyDescent="0.45">
      <c r="A34" t="s">
        <v>7</v>
      </c>
      <c r="B34" t="s">
        <v>134</v>
      </c>
      <c r="C34">
        <v>2030</v>
      </c>
      <c r="D34">
        <v>74</v>
      </c>
      <c r="E34">
        <v>46.67</v>
      </c>
      <c r="F34">
        <v>42.46</v>
      </c>
      <c r="G34">
        <v>32.42</v>
      </c>
      <c r="H34">
        <v>0</v>
      </c>
      <c r="I34">
        <v>169.8</v>
      </c>
      <c r="J34">
        <v>24.9</v>
      </c>
      <c r="K34">
        <v>58.39</v>
      </c>
      <c r="L34" t="s">
        <v>8</v>
      </c>
      <c r="M34" t="s">
        <v>27</v>
      </c>
    </row>
    <row r="35" spans="1:13" x14ac:dyDescent="0.45">
      <c r="A35" t="s">
        <v>7</v>
      </c>
      <c r="B35" t="s">
        <v>134</v>
      </c>
      <c r="C35">
        <v>2035</v>
      </c>
      <c r="D35">
        <v>68</v>
      </c>
      <c r="E35">
        <v>61.44</v>
      </c>
      <c r="F35">
        <v>52.06</v>
      </c>
      <c r="G35">
        <v>29.61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134</v>
      </c>
      <c r="C36">
        <v>2040</v>
      </c>
      <c r="D36">
        <v>74</v>
      </c>
      <c r="E36">
        <v>86.28</v>
      </c>
      <c r="F36">
        <v>75.8</v>
      </c>
      <c r="G36">
        <v>43.19</v>
      </c>
      <c r="H36">
        <v>31.83</v>
      </c>
      <c r="I36">
        <v>281.55</v>
      </c>
      <c r="J36">
        <v>57.1</v>
      </c>
      <c r="K36">
        <v>106.13</v>
      </c>
      <c r="L36" t="s">
        <v>8</v>
      </c>
      <c r="M36" t="s">
        <v>27</v>
      </c>
    </row>
    <row r="37" spans="1:13" x14ac:dyDescent="0.45">
      <c r="A37" t="s">
        <v>7</v>
      </c>
      <c r="B37" t="s">
        <v>134</v>
      </c>
      <c r="C37">
        <v>2045</v>
      </c>
      <c r="D37">
        <v>68</v>
      </c>
      <c r="E37">
        <v>112</v>
      </c>
      <c r="F37">
        <v>94.85</v>
      </c>
      <c r="G37">
        <v>56.67</v>
      </c>
      <c r="H37">
        <v>42.44</v>
      </c>
      <c r="I37">
        <v>317.81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134</v>
      </c>
      <c r="C38">
        <v>2050</v>
      </c>
      <c r="D38">
        <v>74</v>
      </c>
      <c r="E38">
        <v>132.16999999999999</v>
      </c>
      <c r="F38">
        <v>112.39</v>
      </c>
      <c r="G38">
        <v>60.03</v>
      </c>
      <c r="H38">
        <v>54.16</v>
      </c>
      <c r="I38">
        <v>331.7</v>
      </c>
      <c r="J38">
        <v>92.44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134</v>
      </c>
      <c r="C39">
        <v>2020</v>
      </c>
      <c r="D39">
        <v>53</v>
      </c>
      <c r="E39">
        <v>1.93</v>
      </c>
      <c r="F39">
        <v>0</v>
      </c>
      <c r="G39">
        <v>3.41</v>
      </c>
      <c r="H39">
        <v>0</v>
      </c>
      <c r="I39">
        <v>9.64</v>
      </c>
      <c r="J39">
        <v>0</v>
      </c>
      <c r="K39">
        <v>0.98</v>
      </c>
      <c r="L39" t="s">
        <v>10</v>
      </c>
      <c r="M39" t="s">
        <v>27</v>
      </c>
    </row>
    <row r="40" spans="1:13" x14ac:dyDescent="0.45">
      <c r="A40" t="s">
        <v>9</v>
      </c>
      <c r="B40" t="s">
        <v>134</v>
      </c>
      <c r="C40">
        <v>2025</v>
      </c>
      <c r="D40">
        <v>48</v>
      </c>
      <c r="E40">
        <v>1.91</v>
      </c>
      <c r="F40">
        <v>0</v>
      </c>
      <c r="G40">
        <v>3.25</v>
      </c>
      <c r="H40">
        <v>0</v>
      </c>
      <c r="I40">
        <v>8.58</v>
      </c>
      <c r="J40">
        <v>0</v>
      </c>
      <c r="K40">
        <v>1.53</v>
      </c>
      <c r="L40" t="s">
        <v>10</v>
      </c>
      <c r="M40" t="s">
        <v>27</v>
      </c>
    </row>
    <row r="41" spans="1:13" x14ac:dyDescent="0.45">
      <c r="A41" t="s">
        <v>9</v>
      </c>
      <c r="B41" t="s">
        <v>134</v>
      </c>
      <c r="C41">
        <v>2030</v>
      </c>
      <c r="D41">
        <v>53</v>
      </c>
      <c r="E41">
        <v>11.2</v>
      </c>
      <c r="F41">
        <v>0</v>
      </c>
      <c r="G41">
        <v>38.86</v>
      </c>
      <c r="H41">
        <v>0</v>
      </c>
      <c r="I41">
        <v>169.8</v>
      </c>
      <c r="J41">
        <v>0</v>
      </c>
      <c r="K41">
        <v>5.93</v>
      </c>
      <c r="L41" t="s">
        <v>10</v>
      </c>
      <c r="M41" t="s">
        <v>27</v>
      </c>
    </row>
    <row r="42" spans="1:13" x14ac:dyDescent="0.45">
      <c r="A42" t="s">
        <v>9</v>
      </c>
      <c r="B42" t="s">
        <v>134</v>
      </c>
      <c r="C42">
        <v>2035</v>
      </c>
      <c r="D42">
        <v>48</v>
      </c>
      <c r="E42">
        <v>2.0299999999999998</v>
      </c>
      <c r="F42">
        <v>0</v>
      </c>
      <c r="G42">
        <v>3.16</v>
      </c>
      <c r="H42">
        <v>0</v>
      </c>
      <c r="I42">
        <v>8.31</v>
      </c>
      <c r="J42">
        <v>0</v>
      </c>
      <c r="K42">
        <v>1.7</v>
      </c>
      <c r="L42" t="s">
        <v>10</v>
      </c>
      <c r="M42" t="s">
        <v>27</v>
      </c>
    </row>
    <row r="43" spans="1:13" x14ac:dyDescent="0.45">
      <c r="A43" t="s">
        <v>9</v>
      </c>
      <c r="B43" t="s">
        <v>134</v>
      </c>
      <c r="C43">
        <v>2040</v>
      </c>
      <c r="D43">
        <v>53</v>
      </c>
      <c r="E43">
        <v>1.98</v>
      </c>
      <c r="F43">
        <v>0</v>
      </c>
      <c r="G43">
        <v>3.1</v>
      </c>
      <c r="H43">
        <v>0</v>
      </c>
      <c r="I43">
        <v>9.1999999999999993</v>
      </c>
      <c r="J43">
        <v>0</v>
      </c>
      <c r="K43">
        <v>2.11</v>
      </c>
      <c r="L43" t="s">
        <v>10</v>
      </c>
      <c r="M43" t="s">
        <v>27</v>
      </c>
    </row>
    <row r="44" spans="1:13" x14ac:dyDescent="0.45">
      <c r="A44" t="s">
        <v>9</v>
      </c>
      <c r="B44" t="s">
        <v>134</v>
      </c>
      <c r="C44">
        <v>2045</v>
      </c>
      <c r="D44">
        <v>48</v>
      </c>
      <c r="E44">
        <v>2.35</v>
      </c>
      <c r="F44">
        <v>0</v>
      </c>
      <c r="G44">
        <v>3.28</v>
      </c>
      <c r="H44">
        <v>0</v>
      </c>
      <c r="I44">
        <v>10.19</v>
      </c>
      <c r="J44">
        <v>0</v>
      </c>
      <c r="K44">
        <v>2.96</v>
      </c>
      <c r="L44" t="s">
        <v>10</v>
      </c>
      <c r="M44" t="s">
        <v>27</v>
      </c>
    </row>
    <row r="45" spans="1:13" x14ac:dyDescent="0.45">
      <c r="A45" t="s">
        <v>9</v>
      </c>
      <c r="B45" t="s">
        <v>134</v>
      </c>
      <c r="C45">
        <v>2050</v>
      </c>
      <c r="D45">
        <v>53</v>
      </c>
      <c r="E45">
        <v>2.29</v>
      </c>
      <c r="F45">
        <v>0</v>
      </c>
      <c r="G45">
        <v>3.34</v>
      </c>
      <c r="H45">
        <v>0</v>
      </c>
      <c r="I45">
        <v>11.22</v>
      </c>
      <c r="J45">
        <v>0</v>
      </c>
      <c r="K45">
        <v>3.18</v>
      </c>
      <c r="L45" t="s">
        <v>10</v>
      </c>
      <c r="M45" t="s">
        <v>27</v>
      </c>
    </row>
    <row r="46" spans="1:13" x14ac:dyDescent="0.45">
      <c r="A46" t="s">
        <v>0</v>
      </c>
      <c r="B46" t="s">
        <v>134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134</v>
      </c>
      <c r="C47">
        <v>2025</v>
      </c>
      <c r="D47">
        <v>64</v>
      </c>
      <c r="E47">
        <v>1.1399999999999999</v>
      </c>
      <c r="F47">
        <v>1.1599999999999999</v>
      </c>
      <c r="G47">
        <v>0.12</v>
      </c>
      <c r="H47">
        <v>0.8</v>
      </c>
      <c r="I47">
        <v>1.39</v>
      </c>
      <c r="J47">
        <v>1.1100000000000001</v>
      </c>
      <c r="K47">
        <v>1.2</v>
      </c>
      <c r="L47" t="s">
        <v>1</v>
      </c>
      <c r="M47" t="s">
        <v>11</v>
      </c>
    </row>
    <row r="48" spans="1:13" x14ac:dyDescent="0.45">
      <c r="A48" t="s">
        <v>0</v>
      </c>
      <c r="B48" t="s">
        <v>134</v>
      </c>
      <c r="C48">
        <v>2030</v>
      </c>
      <c r="D48">
        <v>64</v>
      </c>
      <c r="E48">
        <v>1.43</v>
      </c>
      <c r="F48">
        <v>1.42</v>
      </c>
      <c r="G48">
        <v>0.28999999999999998</v>
      </c>
      <c r="H48">
        <v>0.76</v>
      </c>
      <c r="I48">
        <v>2.48</v>
      </c>
      <c r="J48">
        <v>1.32</v>
      </c>
      <c r="K48">
        <v>1.57</v>
      </c>
      <c r="L48" t="s">
        <v>1</v>
      </c>
      <c r="M48" t="s">
        <v>11</v>
      </c>
    </row>
    <row r="49" spans="1:13" x14ac:dyDescent="0.45">
      <c r="A49" t="s">
        <v>0</v>
      </c>
      <c r="B49" t="s">
        <v>134</v>
      </c>
      <c r="C49">
        <v>2035</v>
      </c>
      <c r="D49">
        <v>64</v>
      </c>
      <c r="E49">
        <v>1.84</v>
      </c>
      <c r="F49">
        <v>1.8</v>
      </c>
      <c r="G49">
        <v>0.45</v>
      </c>
      <c r="H49">
        <v>0.78</v>
      </c>
      <c r="I49">
        <v>3.23</v>
      </c>
      <c r="J49">
        <v>1.62</v>
      </c>
      <c r="K49">
        <v>2.16</v>
      </c>
      <c r="L49" t="s">
        <v>1</v>
      </c>
      <c r="M49" t="s">
        <v>11</v>
      </c>
    </row>
    <row r="50" spans="1:13" x14ac:dyDescent="0.45">
      <c r="A50" t="s">
        <v>0</v>
      </c>
      <c r="B50" t="s">
        <v>134</v>
      </c>
      <c r="C50">
        <v>2040</v>
      </c>
      <c r="D50">
        <v>64</v>
      </c>
      <c r="E50">
        <v>2.37</v>
      </c>
      <c r="F50">
        <v>2.41</v>
      </c>
      <c r="G50">
        <v>0.66</v>
      </c>
      <c r="H50">
        <v>0.95</v>
      </c>
      <c r="I50">
        <v>3.76</v>
      </c>
      <c r="J50">
        <v>1.96</v>
      </c>
      <c r="K50">
        <v>2.86</v>
      </c>
      <c r="L50" t="s">
        <v>1</v>
      </c>
      <c r="M50" t="s">
        <v>11</v>
      </c>
    </row>
    <row r="51" spans="1:13" x14ac:dyDescent="0.45">
      <c r="A51" t="s">
        <v>0</v>
      </c>
      <c r="B51" t="s">
        <v>134</v>
      </c>
      <c r="C51">
        <v>2045</v>
      </c>
      <c r="D51">
        <v>64</v>
      </c>
      <c r="E51">
        <v>3.02</v>
      </c>
      <c r="F51">
        <v>3.06</v>
      </c>
      <c r="G51">
        <v>0.88</v>
      </c>
      <c r="H51">
        <v>1.31</v>
      </c>
      <c r="I51">
        <v>4.3600000000000003</v>
      </c>
      <c r="J51">
        <v>2.37</v>
      </c>
      <c r="K51">
        <v>3.81</v>
      </c>
      <c r="L51" t="s">
        <v>1</v>
      </c>
      <c r="M51" t="s">
        <v>11</v>
      </c>
    </row>
    <row r="52" spans="1:13" x14ac:dyDescent="0.45">
      <c r="A52" t="s">
        <v>0</v>
      </c>
      <c r="B52" t="s">
        <v>134</v>
      </c>
      <c r="C52">
        <v>2050</v>
      </c>
      <c r="D52">
        <v>64</v>
      </c>
      <c r="E52">
        <v>3.65</v>
      </c>
      <c r="F52">
        <v>3.72</v>
      </c>
      <c r="G52">
        <v>1.06</v>
      </c>
      <c r="H52">
        <v>1.77</v>
      </c>
      <c r="I52">
        <v>5.82</v>
      </c>
      <c r="J52">
        <v>2.74</v>
      </c>
      <c r="K52">
        <v>4.6100000000000003</v>
      </c>
      <c r="L52" t="s">
        <v>1</v>
      </c>
      <c r="M52" t="s">
        <v>11</v>
      </c>
    </row>
    <row r="53" spans="1:13" x14ac:dyDescent="0.45">
      <c r="A53" t="s">
        <v>2</v>
      </c>
      <c r="B53" t="s">
        <v>134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134</v>
      </c>
      <c r="C54">
        <v>2025</v>
      </c>
      <c r="D54">
        <v>89</v>
      </c>
      <c r="E54">
        <v>1.1599999999999999</v>
      </c>
      <c r="F54">
        <v>1.1599999999999999</v>
      </c>
      <c r="G54">
        <v>0.08</v>
      </c>
      <c r="H54">
        <v>0.93</v>
      </c>
      <c r="I54">
        <v>1.3</v>
      </c>
      <c r="J54">
        <v>1.1100000000000001</v>
      </c>
      <c r="K54">
        <v>1.21</v>
      </c>
      <c r="L54" t="s">
        <v>3</v>
      </c>
      <c r="M54" t="s">
        <v>11</v>
      </c>
    </row>
    <row r="55" spans="1:13" x14ac:dyDescent="0.45">
      <c r="A55" t="s">
        <v>2</v>
      </c>
      <c r="B55" t="s">
        <v>134</v>
      </c>
      <c r="C55">
        <v>2030</v>
      </c>
      <c r="D55">
        <v>100</v>
      </c>
      <c r="E55">
        <v>1.4</v>
      </c>
      <c r="F55">
        <v>1.44</v>
      </c>
      <c r="G55">
        <v>0.17</v>
      </c>
      <c r="H55">
        <v>0.97</v>
      </c>
      <c r="I55">
        <v>1.78</v>
      </c>
      <c r="J55">
        <v>1.27</v>
      </c>
      <c r="K55">
        <v>1.5</v>
      </c>
      <c r="L55" t="s">
        <v>3</v>
      </c>
      <c r="M55" t="s">
        <v>11</v>
      </c>
    </row>
    <row r="56" spans="1:13" x14ac:dyDescent="0.45">
      <c r="A56" t="s">
        <v>2</v>
      </c>
      <c r="B56" t="s">
        <v>134</v>
      </c>
      <c r="C56">
        <v>2035</v>
      </c>
      <c r="D56">
        <v>89</v>
      </c>
      <c r="E56">
        <v>1.66</v>
      </c>
      <c r="F56">
        <v>1.62</v>
      </c>
      <c r="G56">
        <v>0.31</v>
      </c>
      <c r="H56">
        <v>1.01</v>
      </c>
      <c r="I56">
        <v>2.39</v>
      </c>
      <c r="J56">
        <v>1.47</v>
      </c>
      <c r="K56">
        <v>1.89</v>
      </c>
      <c r="L56" t="s">
        <v>3</v>
      </c>
      <c r="M56" t="s">
        <v>11</v>
      </c>
    </row>
    <row r="57" spans="1:13" x14ac:dyDescent="0.45">
      <c r="A57" t="s">
        <v>2</v>
      </c>
      <c r="B57" t="s">
        <v>134</v>
      </c>
      <c r="C57">
        <v>2040</v>
      </c>
      <c r="D57">
        <v>100</v>
      </c>
      <c r="E57">
        <v>2.0699999999999998</v>
      </c>
      <c r="F57">
        <v>2.13</v>
      </c>
      <c r="G57">
        <v>0.48</v>
      </c>
      <c r="H57">
        <v>1.06</v>
      </c>
      <c r="I57">
        <v>3.28</v>
      </c>
      <c r="J57">
        <v>1.73</v>
      </c>
      <c r="K57">
        <v>2.36</v>
      </c>
      <c r="L57" t="s">
        <v>3</v>
      </c>
      <c r="M57" t="s">
        <v>11</v>
      </c>
    </row>
    <row r="58" spans="1:13" x14ac:dyDescent="0.45">
      <c r="A58" t="s">
        <v>2</v>
      </c>
      <c r="B58" t="s">
        <v>134</v>
      </c>
      <c r="C58">
        <v>2045</v>
      </c>
      <c r="D58">
        <v>89</v>
      </c>
      <c r="E58">
        <v>2.57</v>
      </c>
      <c r="F58">
        <v>2.61</v>
      </c>
      <c r="G58">
        <v>0.77</v>
      </c>
      <c r="H58">
        <v>1.1399999999999999</v>
      </c>
      <c r="I58">
        <v>4.1500000000000004</v>
      </c>
      <c r="J58">
        <v>2.04</v>
      </c>
      <c r="K58">
        <v>3.03</v>
      </c>
      <c r="L58" t="s">
        <v>3</v>
      </c>
      <c r="M58" t="s">
        <v>11</v>
      </c>
    </row>
    <row r="59" spans="1:13" x14ac:dyDescent="0.45">
      <c r="A59" t="s">
        <v>2</v>
      </c>
      <c r="B59" t="s">
        <v>134</v>
      </c>
      <c r="C59">
        <v>2050</v>
      </c>
      <c r="D59">
        <v>100</v>
      </c>
      <c r="E59">
        <v>3.13</v>
      </c>
      <c r="F59">
        <v>3.05</v>
      </c>
      <c r="G59">
        <v>0.97</v>
      </c>
      <c r="H59">
        <v>1.36</v>
      </c>
      <c r="I59">
        <v>5.49</v>
      </c>
      <c r="J59">
        <v>2.5</v>
      </c>
      <c r="K59">
        <v>3.8</v>
      </c>
      <c r="L59" t="s">
        <v>3</v>
      </c>
      <c r="M59" t="s">
        <v>11</v>
      </c>
    </row>
    <row r="60" spans="1:13" x14ac:dyDescent="0.45">
      <c r="A60" t="s">
        <v>5</v>
      </c>
      <c r="B60" t="s">
        <v>134</v>
      </c>
      <c r="C60">
        <v>2020</v>
      </c>
      <c r="D60">
        <v>233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134</v>
      </c>
      <c r="C61">
        <v>2025</v>
      </c>
      <c r="D61">
        <v>210</v>
      </c>
      <c r="E61">
        <v>1.1499999999999999</v>
      </c>
      <c r="F61">
        <v>1.1599999999999999</v>
      </c>
      <c r="G61">
        <v>0.12</v>
      </c>
      <c r="H61">
        <v>0.8</v>
      </c>
      <c r="I61">
        <v>1.4</v>
      </c>
      <c r="J61">
        <v>1.07</v>
      </c>
      <c r="K61">
        <v>1.24</v>
      </c>
      <c r="L61" t="s">
        <v>6</v>
      </c>
      <c r="M61" t="s">
        <v>11</v>
      </c>
    </row>
    <row r="62" spans="1:13" x14ac:dyDescent="0.45">
      <c r="A62" t="s">
        <v>5</v>
      </c>
      <c r="B62" t="s">
        <v>134</v>
      </c>
      <c r="C62">
        <v>2030</v>
      </c>
      <c r="D62">
        <v>233</v>
      </c>
      <c r="E62">
        <v>1.38</v>
      </c>
      <c r="F62">
        <v>1.31</v>
      </c>
      <c r="G62">
        <v>0.24</v>
      </c>
      <c r="H62">
        <v>0.76</v>
      </c>
      <c r="I62">
        <v>2.09</v>
      </c>
      <c r="J62">
        <v>1.23</v>
      </c>
      <c r="K62">
        <v>1.62</v>
      </c>
      <c r="L62" t="s">
        <v>6</v>
      </c>
      <c r="M62" t="s">
        <v>11</v>
      </c>
    </row>
    <row r="63" spans="1:13" x14ac:dyDescent="0.45">
      <c r="A63" t="s">
        <v>5</v>
      </c>
      <c r="B63" t="s">
        <v>134</v>
      </c>
      <c r="C63">
        <v>2035</v>
      </c>
      <c r="D63">
        <v>210</v>
      </c>
      <c r="E63">
        <v>1.63</v>
      </c>
      <c r="F63">
        <v>1.5</v>
      </c>
      <c r="G63">
        <v>0.42</v>
      </c>
      <c r="H63">
        <v>0.84</v>
      </c>
      <c r="I63">
        <v>3.02</v>
      </c>
      <c r="J63">
        <v>1.32</v>
      </c>
      <c r="K63">
        <v>2.0099999999999998</v>
      </c>
      <c r="L63" t="s">
        <v>6</v>
      </c>
      <c r="M63" t="s">
        <v>11</v>
      </c>
    </row>
    <row r="64" spans="1:13" x14ac:dyDescent="0.45">
      <c r="A64" t="s">
        <v>5</v>
      </c>
      <c r="B64" t="s">
        <v>134</v>
      </c>
      <c r="C64">
        <v>2040</v>
      </c>
      <c r="D64">
        <v>233</v>
      </c>
      <c r="E64">
        <v>1.94</v>
      </c>
      <c r="F64">
        <v>1.72</v>
      </c>
      <c r="G64">
        <v>0.61</v>
      </c>
      <c r="H64">
        <v>1</v>
      </c>
      <c r="I64">
        <v>4.17</v>
      </c>
      <c r="J64">
        <v>1.54</v>
      </c>
      <c r="K64">
        <v>2.4900000000000002</v>
      </c>
      <c r="L64" t="s">
        <v>6</v>
      </c>
      <c r="M64" t="s">
        <v>11</v>
      </c>
    </row>
    <row r="65" spans="1:13" x14ac:dyDescent="0.45">
      <c r="A65" t="s">
        <v>5</v>
      </c>
      <c r="B65" t="s">
        <v>134</v>
      </c>
      <c r="C65">
        <v>2045</v>
      </c>
      <c r="D65">
        <v>210</v>
      </c>
      <c r="E65">
        <v>2.42</v>
      </c>
      <c r="F65">
        <v>2.13</v>
      </c>
      <c r="G65">
        <v>0.87</v>
      </c>
      <c r="H65">
        <v>1.1200000000000001</v>
      </c>
      <c r="I65">
        <v>5.43</v>
      </c>
      <c r="J65">
        <v>1.69</v>
      </c>
      <c r="K65">
        <v>3.2</v>
      </c>
      <c r="L65" t="s">
        <v>6</v>
      </c>
      <c r="M65" t="s">
        <v>11</v>
      </c>
    </row>
    <row r="66" spans="1:13" x14ac:dyDescent="0.45">
      <c r="A66" t="s">
        <v>5</v>
      </c>
      <c r="B66" t="s">
        <v>134</v>
      </c>
      <c r="C66">
        <v>2050</v>
      </c>
      <c r="D66">
        <v>233</v>
      </c>
      <c r="E66">
        <v>2.85</v>
      </c>
      <c r="F66">
        <v>2.5099999999999998</v>
      </c>
      <c r="G66">
        <v>1.08</v>
      </c>
      <c r="H66">
        <v>1.39</v>
      </c>
      <c r="I66">
        <v>6.7</v>
      </c>
      <c r="J66">
        <v>1.85</v>
      </c>
      <c r="K66">
        <v>3.98</v>
      </c>
      <c r="L66" t="s">
        <v>6</v>
      </c>
      <c r="M66" t="s">
        <v>11</v>
      </c>
    </row>
    <row r="67" spans="1:13" x14ac:dyDescent="0.45">
      <c r="A67" t="s">
        <v>7</v>
      </c>
      <c r="B67" t="s">
        <v>134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134</v>
      </c>
      <c r="C68">
        <v>2025</v>
      </c>
      <c r="D68">
        <v>96</v>
      </c>
      <c r="E68">
        <v>1.1100000000000001</v>
      </c>
      <c r="F68">
        <v>1.1399999999999999</v>
      </c>
      <c r="G68">
        <v>0.1</v>
      </c>
      <c r="H68">
        <v>0.9</v>
      </c>
      <c r="I68">
        <v>1.31</v>
      </c>
      <c r="J68">
        <v>1.06</v>
      </c>
      <c r="K68">
        <v>1.1599999999999999</v>
      </c>
      <c r="L68" t="s">
        <v>8</v>
      </c>
      <c r="M68" t="s">
        <v>11</v>
      </c>
    </row>
    <row r="69" spans="1:13" x14ac:dyDescent="0.45">
      <c r="A69" t="s">
        <v>7</v>
      </c>
      <c r="B69" t="s">
        <v>134</v>
      </c>
      <c r="C69">
        <v>2030</v>
      </c>
      <c r="D69">
        <v>102</v>
      </c>
      <c r="E69">
        <v>1.27</v>
      </c>
      <c r="F69">
        <v>1.28</v>
      </c>
      <c r="G69">
        <v>0.18</v>
      </c>
      <c r="H69">
        <v>0.97</v>
      </c>
      <c r="I69">
        <v>1.7</v>
      </c>
      <c r="J69">
        <v>1.21</v>
      </c>
      <c r="K69">
        <v>1.36</v>
      </c>
      <c r="L69" t="s">
        <v>8</v>
      </c>
      <c r="M69" t="s">
        <v>11</v>
      </c>
    </row>
    <row r="70" spans="1:13" x14ac:dyDescent="0.45">
      <c r="A70" t="s">
        <v>7</v>
      </c>
      <c r="B70" t="s">
        <v>134</v>
      </c>
      <c r="C70">
        <v>2035</v>
      </c>
      <c r="D70">
        <v>96</v>
      </c>
      <c r="E70">
        <v>1.41</v>
      </c>
      <c r="F70">
        <v>1.4</v>
      </c>
      <c r="G70">
        <v>0.31</v>
      </c>
      <c r="H70">
        <v>0.99</v>
      </c>
      <c r="I70">
        <v>2.16</v>
      </c>
      <c r="J70">
        <v>1.1499999999999999</v>
      </c>
      <c r="K70">
        <v>1.48</v>
      </c>
      <c r="L70" t="s">
        <v>8</v>
      </c>
      <c r="M70" t="s">
        <v>11</v>
      </c>
    </row>
    <row r="71" spans="1:13" x14ac:dyDescent="0.45">
      <c r="A71" t="s">
        <v>7</v>
      </c>
      <c r="B71" t="s">
        <v>134</v>
      </c>
      <c r="C71">
        <v>2040</v>
      </c>
      <c r="D71">
        <v>102</v>
      </c>
      <c r="E71">
        <v>1.59</v>
      </c>
      <c r="F71">
        <v>1.57</v>
      </c>
      <c r="G71">
        <v>0.44</v>
      </c>
      <c r="H71">
        <v>1.06</v>
      </c>
      <c r="I71">
        <v>2.85</v>
      </c>
      <c r="J71">
        <v>1.18</v>
      </c>
      <c r="K71">
        <v>1.67</v>
      </c>
      <c r="L71" t="s">
        <v>8</v>
      </c>
      <c r="M71" t="s">
        <v>11</v>
      </c>
    </row>
    <row r="72" spans="1:13" x14ac:dyDescent="0.45">
      <c r="A72" t="s">
        <v>7</v>
      </c>
      <c r="B72" t="s">
        <v>134</v>
      </c>
      <c r="C72">
        <v>2045</v>
      </c>
      <c r="D72">
        <v>96</v>
      </c>
      <c r="E72">
        <v>1.85</v>
      </c>
      <c r="F72">
        <v>1.66</v>
      </c>
      <c r="G72">
        <v>0.61</v>
      </c>
      <c r="H72">
        <v>1.1200000000000001</v>
      </c>
      <c r="I72">
        <v>3.55</v>
      </c>
      <c r="J72">
        <v>1.46</v>
      </c>
      <c r="K72">
        <v>1.98</v>
      </c>
      <c r="L72" t="s">
        <v>8</v>
      </c>
      <c r="M72" t="s">
        <v>11</v>
      </c>
    </row>
    <row r="73" spans="1:13" x14ac:dyDescent="0.45">
      <c r="A73" t="s">
        <v>7</v>
      </c>
      <c r="B73" t="s">
        <v>134</v>
      </c>
      <c r="C73">
        <v>2050</v>
      </c>
      <c r="D73">
        <v>102</v>
      </c>
      <c r="E73">
        <v>2.16</v>
      </c>
      <c r="F73">
        <v>1.84</v>
      </c>
      <c r="G73">
        <v>0.78</v>
      </c>
      <c r="H73">
        <v>1.21</v>
      </c>
      <c r="I73">
        <v>4.76</v>
      </c>
      <c r="J73">
        <v>1.74</v>
      </c>
      <c r="K73">
        <v>2.3199999999999998</v>
      </c>
      <c r="L73" t="s">
        <v>8</v>
      </c>
      <c r="M73" t="s">
        <v>11</v>
      </c>
    </row>
    <row r="74" spans="1:13" x14ac:dyDescent="0.45">
      <c r="A74" t="s">
        <v>9</v>
      </c>
      <c r="B74" t="s">
        <v>134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134</v>
      </c>
      <c r="C75">
        <v>2025</v>
      </c>
      <c r="D75">
        <v>56</v>
      </c>
      <c r="E75">
        <v>1.23</v>
      </c>
      <c r="F75">
        <v>1.24</v>
      </c>
      <c r="G75">
        <v>0.06</v>
      </c>
      <c r="H75">
        <v>1.07</v>
      </c>
      <c r="I75">
        <v>1.35</v>
      </c>
      <c r="J75">
        <v>1.21</v>
      </c>
      <c r="K75">
        <v>1.26</v>
      </c>
      <c r="L75" t="s">
        <v>10</v>
      </c>
      <c r="M75" t="s">
        <v>11</v>
      </c>
    </row>
    <row r="76" spans="1:13" x14ac:dyDescent="0.45">
      <c r="A76" t="s">
        <v>9</v>
      </c>
      <c r="B76" t="s">
        <v>134</v>
      </c>
      <c r="C76">
        <v>2030</v>
      </c>
      <c r="D76">
        <v>61</v>
      </c>
      <c r="E76">
        <v>1.49</v>
      </c>
      <c r="F76">
        <v>1.52</v>
      </c>
      <c r="G76">
        <v>0.15</v>
      </c>
      <c r="H76">
        <v>1.07</v>
      </c>
      <c r="I76">
        <v>1.8</v>
      </c>
      <c r="J76">
        <v>1.42</v>
      </c>
      <c r="K76">
        <v>1.6</v>
      </c>
      <c r="L76" t="s">
        <v>10</v>
      </c>
      <c r="M76" t="s">
        <v>11</v>
      </c>
    </row>
    <row r="77" spans="1:13" x14ac:dyDescent="0.45">
      <c r="A77" t="s">
        <v>9</v>
      </c>
      <c r="B77" t="s">
        <v>134</v>
      </c>
      <c r="C77">
        <v>2035</v>
      </c>
      <c r="D77">
        <v>56</v>
      </c>
      <c r="E77">
        <v>1.8</v>
      </c>
      <c r="F77">
        <v>1.85</v>
      </c>
      <c r="G77">
        <v>0.25</v>
      </c>
      <c r="H77">
        <v>1.1100000000000001</v>
      </c>
      <c r="I77">
        <v>2.34</v>
      </c>
      <c r="J77">
        <v>1.7</v>
      </c>
      <c r="K77">
        <v>1.96</v>
      </c>
      <c r="L77" t="s">
        <v>10</v>
      </c>
      <c r="M77" t="s">
        <v>11</v>
      </c>
    </row>
    <row r="78" spans="1:13" x14ac:dyDescent="0.45">
      <c r="A78" t="s">
        <v>9</v>
      </c>
      <c r="B78" t="s">
        <v>134</v>
      </c>
      <c r="C78">
        <v>2040</v>
      </c>
      <c r="D78">
        <v>61</v>
      </c>
      <c r="E78">
        <v>2.08</v>
      </c>
      <c r="F78">
        <v>2.1800000000000002</v>
      </c>
      <c r="G78">
        <v>0.37</v>
      </c>
      <c r="H78">
        <v>1.22</v>
      </c>
      <c r="I78">
        <v>3.03</v>
      </c>
      <c r="J78">
        <v>1.8</v>
      </c>
      <c r="K78">
        <v>2.27</v>
      </c>
      <c r="L78" t="s">
        <v>10</v>
      </c>
      <c r="M78" t="s">
        <v>11</v>
      </c>
    </row>
    <row r="79" spans="1:13" x14ac:dyDescent="0.45">
      <c r="A79" t="s">
        <v>9</v>
      </c>
      <c r="B79" t="s">
        <v>134</v>
      </c>
      <c r="C79">
        <v>2045</v>
      </c>
      <c r="D79">
        <v>56</v>
      </c>
      <c r="E79">
        <v>2.46</v>
      </c>
      <c r="F79">
        <v>2.57</v>
      </c>
      <c r="G79">
        <v>0.49</v>
      </c>
      <c r="H79">
        <v>1.34</v>
      </c>
      <c r="I79">
        <v>3.82</v>
      </c>
      <c r="J79">
        <v>2.12</v>
      </c>
      <c r="K79">
        <v>2.7</v>
      </c>
      <c r="L79" t="s">
        <v>10</v>
      </c>
      <c r="M79" t="s">
        <v>11</v>
      </c>
    </row>
    <row r="80" spans="1:13" x14ac:dyDescent="0.45">
      <c r="A80" t="s">
        <v>9</v>
      </c>
      <c r="B80" t="s">
        <v>134</v>
      </c>
      <c r="C80">
        <v>2050</v>
      </c>
      <c r="D80">
        <v>61</v>
      </c>
      <c r="E80">
        <v>2.74</v>
      </c>
      <c r="F80">
        <v>2.93</v>
      </c>
      <c r="G80">
        <v>0.66</v>
      </c>
      <c r="H80">
        <v>1.46</v>
      </c>
      <c r="I80">
        <v>4.6399999999999997</v>
      </c>
      <c r="J80">
        <v>2.2799999999999998</v>
      </c>
      <c r="K80">
        <v>3.16</v>
      </c>
      <c r="L80" t="s">
        <v>10</v>
      </c>
      <c r="M80" t="s">
        <v>11</v>
      </c>
    </row>
    <row r="81" spans="1:13" x14ac:dyDescent="0.45">
      <c r="A81" t="s">
        <v>0</v>
      </c>
      <c r="B81" t="s">
        <v>134</v>
      </c>
      <c r="C81">
        <v>2020</v>
      </c>
      <c r="D81">
        <v>64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134</v>
      </c>
      <c r="C82">
        <v>2025</v>
      </c>
      <c r="D82">
        <v>64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134</v>
      </c>
      <c r="C83">
        <v>2030</v>
      </c>
      <c r="D83">
        <v>64</v>
      </c>
      <c r="E83">
        <v>0.01</v>
      </c>
      <c r="F83">
        <v>0.01</v>
      </c>
      <c r="G83">
        <v>0.01</v>
      </c>
      <c r="H83">
        <v>0</v>
      </c>
      <c r="I83">
        <v>0.05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134</v>
      </c>
      <c r="C84">
        <v>2035</v>
      </c>
      <c r="D84">
        <v>64</v>
      </c>
      <c r="E84">
        <v>0.02</v>
      </c>
      <c r="F84">
        <v>0.02</v>
      </c>
      <c r="G84">
        <v>0.02</v>
      </c>
      <c r="H84">
        <v>0</v>
      </c>
      <c r="I84">
        <v>0.13</v>
      </c>
      <c r="J84">
        <v>0.01</v>
      </c>
      <c r="K84">
        <v>0.02</v>
      </c>
      <c r="L84" t="s">
        <v>1</v>
      </c>
      <c r="M84" t="s">
        <v>15</v>
      </c>
    </row>
    <row r="85" spans="1:13" x14ac:dyDescent="0.45">
      <c r="A85" t="s">
        <v>0</v>
      </c>
      <c r="B85" t="s">
        <v>134</v>
      </c>
      <c r="C85">
        <v>2040</v>
      </c>
      <c r="D85">
        <v>64</v>
      </c>
      <c r="E85">
        <v>0.04</v>
      </c>
      <c r="F85">
        <v>0.03</v>
      </c>
      <c r="G85">
        <v>0.05</v>
      </c>
      <c r="H85">
        <v>0</v>
      </c>
      <c r="I85">
        <v>0.42</v>
      </c>
      <c r="J85">
        <v>0.02</v>
      </c>
      <c r="K85">
        <v>0.03</v>
      </c>
      <c r="L85" t="s">
        <v>1</v>
      </c>
      <c r="M85" t="s">
        <v>15</v>
      </c>
    </row>
    <row r="86" spans="1:13" x14ac:dyDescent="0.45">
      <c r="A86" t="s">
        <v>0</v>
      </c>
      <c r="B86" t="s">
        <v>134</v>
      </c>
      <c r="C86">
        <v>2045</v>
      </c>
      <c r="D86">
        <v>64</v>
      </c>
      <c r="E86">
        <v>0.06</v>
      </c>
      <c r="F86">
        <v>0.04</v>
      </c>
      <c r="G86">
        <v>0.08</v>
      </c>
      <c r="H86">
        <v>0</v>
      </c>
      <c r="I86">
        <v>0.56999999999999995</v>
      </c>
      <c r="J86">
        <v>0.03</v>
      </c>
      <c r="K86">
        <v>0.05</v>
      </c>
      <c r="L86" t="s">
        <v>1</v>
      </c>
      <c r="M86" t="s">
        <v>15</v>
      </c>
    </row>
    <row r="87" spans="1:13" x14ac:dyDescent="0.45">
      <c r="A87" t="s">
        <v>0</v>
      </c>
      <c r="B87" t="s">
        <v>134</v>
      </c>
      <c r="C87">
        <v>2050</v>
      </c>
      <c r="D87">
        <v>64</v>
      </c>
      <c r="E87">
        <v>7.0000000000000007E-2</v>
      </c>
      <c r="F87">
        <v>0.05</v>
      </c>
      <c r="G87">
        <v>0.09</v>
      </c>
      <c r="H87">
        <v>0</v>
      </c>
      <c r="I87">
        <v>0.46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134</v>
      </c>
      <c r="C88">
        <v>2020</v>
      </c>
      <c r="D88">
        <v>100</v>
      </c>
      <c r="E88">
        <v>0</v>
      </c>
      <c r="F88">
        <v>0</v>
      </c>
      <c r="G88">
        <v>0</v>
      </c>
      <c r="H88">
        <v>0</v>
      </c>
      <c r="I88">
        <v>0.03</v>
      </c>
      <c r="J88">
        <v>0</v>
      </c>
      <c r="K88">
        <v>0.01</v>
      </c>
      <c r="L88" t="s">
        <v>3</v>
      </c>
      <c r="M88" t="s">
        <v>15</v>
      </c>
    </row>
    <row r="89" spans="1:13" x14ac:dyDescent="0.45">
      <c r="A89" t="s">
        <v>2</v>
      </c>
      <c r="B89" t="s">
        <v>134</v>
      </c>
      <c r="C89">
        <v>2025</v>
      </c>
      <c r="D89">
        <v>89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134</v>
      </c>
      <c r="C90">
        <v>2030</v>
      </c>
      <c r="D90">
        <v>100</v>
      </c>
      <c r="E90">
        <v>0</v>
      </c>
      <c r="F90">
        <v>0</v>
      </c>
      <c r="G90">
        <v>0.01</v>
      </c>
      <c r="H90">
        <v>0</v>
      </c>
      <c r="I90">
        <v>0.04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134</v>
      </c>
      <c r="C91">
        <v>2035</v>
      </c>
      <c r="D91">
        <v>89</v>
      </c>
      <c r="E91">
        <v>0.01</v>
      </c>
      <c r="F91">
        <v>0.01</v>
      </c>
      <c r="G91">
        <v>0.01</v>
      </c>
      <c r="H91">
        <v>0</v>
      </c>
      <c r="I91">
        <v>0.04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134</v>
      </c>
      <c r="C92">
        <v>2040</v>
      </c>
      <c r="D92">
        <v>100</v>
      </c>
      <c r="E92">
        <v>0.03</v>
      </c>
      <c r="F92">
        <v>0.02</v>
      </c>
      <c r="G92">
        <v>0.03</v>
      </c>
      <c r="H92">
        <v>0</v>
      </c>
      <c r="I92">
        <v>0.21</v>
      </c>
      <c r="J92">
        <v>0.01</v>
      </c>
      <c r="K92">
        <v>0.03</v>
      </c>
      <c r="L92" t="s">
        <v>3</v>
      </c>
      <c r="M92" t="s">
        <v>15</v>
      </c>
    </row>
    <row r="93" spans="1:13" x14ac:dyDescent="0.45">
      <c r="A93" t="s">
        <v>2</v>
      </c>
      <c r="B93" t="s">
        <v>134</v>
      </c>
      <c r="C93">
        <v>2045</v>
      </c>
      <c r="D93">
        <v>89</v>
      </c>
      <c r="E93">
        <v>0.05</v>
      </c>
      <c r="F93">
        <v>0.03</v>
      </c>
      <c r="G93">
        <v>0.06</v>
      </c>
      <c r="H93">
        <v>0</v>
      </c>
      <c r="I93">
        <v>0.37</v>
      </c>
      <c r="J93">
        <v>0.02</v>
      </c>
      <c r="K93">
        <v>0.04</v>
      </c>
      <c r="L93" t="s">
        <v>3</v>
      </c>
      <c r="M93" t="s">
        <v>15</v>
      </c>
    </row>
    <row r="94" spans="1:13" x14ac:dyDescent="0.45">
      <c r="A94" t="s">
        <v>2</v>
      </c>
      <c r="B94" t="s">
        <v>134</v>
      </c>
      <c r="C94">
        <v>2050</v>
      </c>
      <c r="D94">
        <v>100</v>
      </c>
      <c r="E94">
        <v>0.08</v>
      </c>
      <c r="F94">
        <v>0.04</v>
      </c>
      <c r="G94">
        <v>0.1</v>
      </c>
      <c r="H94">
        <v>0</v>
      </c>
      <c r="I94">
        <v>0.46</v>
      </c>
      <c r="J94">
        <v>0.02</v>
      </c>
      <c r="K94">
        <v>0.09</v>
      </c>
      <c r="L94" t="s">
        <v>3</v>
      </c>
      <c r="M94" t="s">
        <v>15</v>
      </c>
    </row>
    <row r="95" spans="1:13" x14ac:dyDescent="0.45">
      <c r="A95" t="s">
        <v>5</v>
      </c>
      <c r="B95" t="s">
        <v>134</v>
      </c>
      <c r="C95">
        <v>2020</v>
      </c>
      <c r="D95">
        <v>215</v>
      </c>
      <c r="E95">
        <v>0</v>
      </c>
      <c r="F95">
        <v>0</v>
      </c>
      <c r="G95">
        <v>0</v>
      </c>
      <c r="H95">
        <v>0</v>
      </c>
      <c r="I95">
        <v>0.03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134</v>
      </c>
      <c r="C96">
        <v>2025</v>
      </c>
      <c r="D96">
        <v>203</v>
      </c>
      <c r="E96">
        <v>0</v>
      </c>
      <c r="F96">
        <v>0</v>
      </c>
      <c r="G96">
        <v>0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134</v>
      </c>
      <c r="C97">
        <v>2030</v>
      </c>
      <c r="D97">
        <v>215</v>
      </c>
      <c r="E97">
        <v>0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134</v>
      </c>
      <c r="C98">
        <v>2035</v>
      </c>
      <c r="D98">
        <v>203</v>
      </c>
      <c r="E98">
        <v>0.01</v>
      </c>
      <c r="F98">
        <v>0.01</v>
      </c>
      <c r="G98">
        <v>0.01</v>
      </c>
      <c r="H98">
        <v>0</v>
      </c>
      <c r="I98">
        <v>0.04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134</v>
      </c>
      <c r="C99">
        <v>2040</v>
      </c>
      <c r="D99">
        <v>215</v>
      </c>
      <c r="E99">
        <v>0.02</v>
      </c>
      <c r="F99">
        <v>0.02</v>
      </c>
      <c r="G99">
        <v>0.02</v>
      </c>
      <c r="H99">
        <v>0</v>
      </c>
      <c r="I99">
        <v>0.1</v>
      </c>
      <c r="J99">
        <v>0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134</v>
      </c>
      <c r="C100">
        <v>2045</v>
      </c>
      <c r="D100">
        <v>203</v>
      </c>
      <c r="E100">
        <v>0.03</v>
      </c>
      <c r="F100">
        <v>0.03</v>
      </c>
      <c r="G100">
        <v>0.04</v>
      </c>
      <c r="H100">
        <v>0</v>
      </c>
      <c r="I100">
        <v>0.46</v>
      </c>
      <c r="J100">
        <v>0</v>
      </c>
      <c r="K100">
        <v>0.03</v>
      </c>
      <c r="L100" t="s">
        <v>6</v>
      </c>
      <c r="M100" t="s">
        <v>15</v>
      </c>
    </row>
    <row r="101" spans="1:13" x14ac:dyDescent="0.45">
      <c r="A101" t="s">
        <v>5</v>
      </c>
      <c r="B101" t="s">
        <v>134</v>
      </c>
      <c r="C101">
        <v>2050</v>
      </c>
      <c r="D101">
        <v>215</v>
      </c>
      <c r="E101">
        <v>0.04</v>
      </c>
      <c r="F101">
        <v>0.03</v>
      </c>
      <c r="G101">
        <v>0.05</v>
      </c>
      <c r="H101">
        <v>0</v>
      </c>
      <c r="I101">
        <v>0.5</v>
      </c>
      <c r="J101">
        <v>0.01</v>
      </c>
      <c r="K101">
        <v>0.05</v>
      </c>
      <c r="L101" t="s">
        <v>6</v>
      </c>
      <c r="M101" t="s">
        <v>15</v>
      </c>
    </row>
    <row r="102" spans="1:13" x14ac:dyDescent="0.45">
      <c r="A102" t="s">
        <v>7</v>
      </c>
      <c r="B102" t="s">
        <v>134</v>
      </c>
      <c r="C102">
        <v>2020</v>
      </c>
      <c r="D102">
        <v>96</v>
      </c>
      <c r="E102">
        <v>0</v>
      </c>
      <c r="F102">
        <v>0</v>
      </c>
      <c r="G102">
        <v>0</v>
      </c>
      <c r="H102">
        <v>0</v>
      </c>
      <c r="I102">
        <v>0.03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134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0.03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134</v>
      </c>
      <c r="C104">
        <v>2030</v>
      </c>
      <c r="D104">
        <v>96</v>
      </c>
      <c r="E104">
        <v>0</v>
      </c>
      <c r="F104">
        <v>0</v>
      </c>
      <c r="G104">
        <v>0</v>
      </c>
      <c r="H104">
        <v>0</v>
      </c>
      <c r="I104">
        <v>0.04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134</v>
      </c>
      <c r="C105">
        <v>2035</v>
      </c>
      <c r="D105">
        <v>96</v>
      </c>
      <c r="E105">
        <v>0</v>
      </c>
      <c r="F105">
        <v>0</v>
      </c>
      <c r="G105">
        <v>0.01</v>
      </c>
      <c r="H105">
        <v>0</v>
      </c>
      <c r="I105">
        <v>0.04</v>
      </c>
      <c r="J105">
        <v>0</v>
      </c>
      <c r="K105">
        <v>0</v>
      </c>
      <c r="L105" t="s">
        <v>8</v>
      </c>
      <c r="M105" t="s">
        <v>15</v>
      </c>
    </row>
    <row r="106" spans="1:13" x14ac:dyDescent="0.45">
      <c r="A106" t="s">
        <v>7</v>
      </c>
      <c r="B106" t="s">
        <v>134</v>
      </c>
      <c r="C106">
        <v>2040</v>
      </c>
      <c r="D106">
        <v>96</v>
      </c>
      <c r="E106">
        <v>0.01</v>
      </c>
      <c r="F106">
        <v>0</v>
      </c>
      <c r="G106">
        <v>0.01</v>
      </c>
      <c r="H106">
        <v>0</v>
      </c>
      <c r="I106">
        <v>0.04</v>
      </c>
      <c r="J106">
        <v>0</v>
      </c>
      <c r="K106">
        <v>0</v>
      </c>
      <c r="L106" t="s">
        <v>8</v>
      </c>
      <c r="M106" t="s">
        <v>15</v>
      </c>
    </row>
    <row r="107" spans="1:13" x14ac:dyDescent="0.45">
      <c r="A107" t="s">
        <v>7</v>
      </c>
      <c r="B107" t="s">
        <v>134</v>
      </c>
      <c r="C107">
        <v>2045</v>
      </c>
      <c r="D107">
        <v>96</v>
      </c>
      <c r="E107">
        <v>0.01</v>
      </c>
      <c r="F107">
        <v>0</v>
      </c>
      <c r="G107">
        <v>0.01</v>
      </c>
      <c r="H107">
        <v>0</v>
      </c>
      <c r="I107">
        <v>0.04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45">
      <c r="A108" t="s">
        <v>7</v>
      </c>
      <c r="B108" t="s">
        <v>134</v>
      </c>
      <c r="C108">
        <v>2050</v>
      </c>
      <c r="D108">
        <v>96</v>
      </c>
      <c r="E108">
        <v>0.01</v>
      </c>
      <c r="F108">
        <v>0</v>
      </c>
      <c r="G108">
        <v>0.01</v>
      </c>
      <c r="H108">
        <v>0</v>
      </c>
      <c r="I108">
        <v>0.04</v>
      </c>
      <c r="J108">
        <v>0</v>
      </c>
      <c r="K108">
        <v>0.02</v>
      </c>
      <c r="L108" t="s">
        <v>8</v>
      </c>
      <c r="M108" t="s">
        <v>15</v>
      </c>
    </row>
    <row r="109" spans="1:13" x14ac:dyDescent="0.45">
      <c r="A109" t="s">
        <v>9</v>
      </c>
      <c r="B109" t="s">
        <v>134</v>
      </c>
      <c r="C109">
        <v>2020</v>
      </c>
      <c r="D109">
        <v>59</v>
      </c>
      <c r="E109">
        <v>0</v>
      </c>
      <c r="F109">
        <v>0.01</v>
      </c>
      <c r="G109">
        <v>0</v>
      </c>
      <c r="H109">
        <v>0</v>
      </c>
      <c r="I109">
        <v>0.03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134</v>
      </c>
      <c r="C110">
        <v>2025</v>
      </c>
      <c r="D110">
        <v>54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134</v>
      </c>
      <c r="C111">
        <v>2030</v>
      </c>
      <c r="D111">
        <v>59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134</v>
      </c>
      <c r="C112">
        <v>2035</v>
      </c>
      <c r="D112">
        <v>54</v>
      </c>
      <c r="E112">
        <v>0.01</v>
      </c>
      <c r="F112">
        <v>0.01</v>
      </c>
      <c r="G112">
        <v>0.01</v>
      </c>
      <c r="H112">
        <v>0</v>
      </c>
      <c r="I112">
        <v>0.04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134</v>
      </c>
      <c r="C113">
        <v>2040</v>
      </c>
      <c r="D113">
        <v>59</v>
      </c>
      <c r="E113">
        <v>0.02</v>
      </c>
      <c r="F113">
        <v>0.02</v>
      </c>
      <c r="G113">
        <v>0.01</v>
      </c>
      <c r="H113">
        <v>0</v>
      </c>
      <c r="I113">
        <v>0.05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134</v>
      </c>
      <c r="C114">
        <v>2045</v>
      </c>
      <c r="D114">
        <v>54</v>
      </c>
      <c r="E114">
        <v>0.02</v>
      </c>
      <c r="F114">
        <v>0.03</v>
      </c>
      <c r="G114">
        <v>0.02</v>
      </c>
      <c r="H114">
        <v>0</v>
      </c>
      <c r="I114">
        <v>0.06</v>
      </c>
      <c r="J114">
        <v>0</v>
      </c>
      <c r="K114">
        <v>0.04</v>
      </c>
      <c r="L114" t="s">
        <v>10</v>
      </c>
      <c r="M114" t="s">
        <v>15</v>
      </c>
    </row>
    <row r="115" spans="1:13" x14ac:dyDescent="0.45">
      <c r="A115" t="s">
        <v>9</v>
      </c>
      <c r="B115" t="s">
        <v>134</v>
      </c>
      <c r="C115">
        <v>2050</v>
      </c>
      <c r="D115">
        <v>59</v>
      </c>
      <c r="E115">
        <v>0.03</v>
      </c>
      <c r="F115">
        <v>0.03</v>
      </c>
      <c r="G115">
        <v>0.02</v>
      </c>
      <c r="H115">
        <v>0</v>
      </c>
      <c r="I115">
        <v>0.09</v>
      </c>
      <c r="J115">
        <v>0</v>
      </c>
      <c r="K115">
        <v>0.04</v>
      </c>
      <c r="L115" t="s">
        <v>10</v>
      </c>
      <c r="M115" t="s">
        <v>15</v>
      </c>
    </row>
    <row r="116" spans="1:13" x14ac:dyDescent="0.45">
      <c r="A116" t="s">
        <v>0</v>
      </c>
      <c r="B116" t="s">
        <v>134</v>
      </c>
      <c r="C116">
        <v>2020</v>
      </c>
      <c r="D116">
        <v>64</v>
      </c>
      <c r="E116">
        <v>0.45</v>
      </c>
      <c r="F116">
        <v>0.46</v>
      </c>
      <c r="G116">
        <v>0.04</v>
      </c>
      <c r="H116">
        <v>0.3</v>
      </c>
      <c r="I116">
        <v>0.52</v>
      </c>
      <c r="J116">
        <v>0.42</v>
      </c>
      <c r="K116">
        <v>0.48</v>
      </c>
      <c r="L116" t="s">
        <v>1</v>
      </c>
      <c r="M116" t="s">
        <v>18</v>
      </c>
    </row>
    <row r="117" spans="1:13" x14ac:dyDescent="0.45">
      <c r="A117" t="s">
        <v>0</v>
      </c>
      <c r="B117" t="s">
        <v>134</v>
      </c>
      <c r="C117">
        <v>2025</v>
      </c>
      <c r="D117">
        <v>64</v>
      </c>
      <c r="E117">
        <v>0.42</v>
      </c>
      <c r="F117">
        <v>0.43</v>
      </c>
      <c r="G117">
        <v>0.08</v>
      </c>
      <c r="H117">
        <v>0.18</v>
      </c>
      <c r="I117">
        <v>0.53</v>
      </c>
      <c r="J117">
        <v>0.42</v>
      </c>
      <c r="K117">
        <v>0.47</v>
      </c>
      <c r="L117" t="s">
        <v>1</v>
      </c>
      <c r="M117" t="s">
        <v>18</v>
      </c>
    </row>
    <row r="118" spans="1:13" x14ac:dyDescent="0.45">
      <c r="A118" t="s">
        <v>0</v>
      </c>
      <c r="B118" t="s">
        <v>134</v>
      </c>
      <c r="C118">
        <v>2030</v>
      </c>
      <c r="D118">
        <v>64</v>
      </c>
      <c r="E118">
        <v>0.43</v>
      </c>
      <c r="F118">
        <v>0.45</v>
      </c>
      <c r="G118">
        <v>0.09</v>
      </c>
      <c r="H118">
        <v>0.2</v>
      </c>
      <c r="I118">
        <v>0.62</v>
      </c>
      <c r="J118">
        <v>0.42</v>
      </c>
      <c r="K118">
        <v>0.48</v>
      </c>
      <c r="L118" t="s">
        <v>1</v>
      </c>
      <c r="M118" t="s">
        <v>18</v>
      </c>
    </row>
    <row r="119" spans="1:13" x14ac:dyDescent="0.45">
      <c r="A119" t="s">
        <v>0</v>
      </c>
      <c r="B119" t="s">
        <v>134</v>
      </c>
      <c r="C119">
        <v>2035</v>
      </c>
      <c r="D119">
        <v>64</v>
      </c>
      <c r="E119">
        <v>0.44</v>
      </c>
      <c r="F119">
        <v>0.45</v>
      </c>
      <c r="G119">
        <v>0.1</v>
      </c>
      <c r="H119">
        <v>0.19</v>
      </c>
      <c r="I119">
        <v>0.63</v>
      </c>
      <c r="J119">
        <v>0.42</v>
      </c>
      <c r="K119">
        <v>0.47</v>
      </c>
      <c r="L119" t="s">
        <v>1</v>
      </c>
      <c r="M119" t="s">
        <v>18</v>
      </c>
    </row>
    <row r="120" spans="1:13" x14ac:dyDescent="0.45">
      <c r="A120" t="s">
        <v>0</v>
      </c>
      <c r="B120" t="s">
        <v>134</v>
      </c>
      <c r="C120">
        <v>2040</v>
      </c>
      <c r="D120">
        <v>64</v>
      </c>
      <c r="E120">
        <v>0.44</v>
      </c>
      <c r="F120">
        <v>0.46</v>
      </c>
      <c r="G120">
        <v>0.1</v>
      </c>
      <c r="H120">
        <v>0.2</v>
      </c>
      <c r="I120">
        <v>0.62</v>
      </c>
      <c r="J120">
        <v>0.4</v>
      </c>
      <c r="K120">
        <v>0.48</v>
      </c>
      <c r="L120" t="s">
        <v>1</v>
      </c>
      <c r="M120" t="s">
        <v>18</v>
      </c>
    </row>
    <row r="121" spans="1:13" x14ac:dyDescent="0.45">
      <c r="A121" t="s">
        <v>0</v>
      </c>
      <c r="B121" t="s">
        <v>134</v>
      </c>
      <c r="C121">
        <v>2045</v>
      </c>
      <c r="D121">
        <v>64</v>
      </c>
      <c r="E121">
        <v>0.44</v>
      </c>
      <c r="F121">
        <v>0.46</v>
      </c>
      <c r="G121">
        <v>0.11</v>
      </c>
      <c r="H121">
        <v>0.2</v>
      </c>
      <c r="I121">
        <v>0.61</v>
      </c>
      <c r="J121">
        <v>0.39</v>
      </c>
      <c r="K121">
        <v>0.51</v>
      </c>
      <c r="L121" t="s">
        <v>1</v>
      </c>
      <c r="M121" t="s">
        <v>18</v>
      </c>
    </row>
    <row r="122" spans="1:13" x14ac:dyDescent="0.45">
      <c r="A122" t="s">
        <v>0</v>
      </c>
      <c r="B122" t="s">
        <v>134</v>
      </c>
      <c r="C122">
        <v>2050</v>
      </c>
      <c r="D122">
        <v>64</v>
      </c>
      <c r="E122">
        <v>0.45</v>
      </c>
      <c r="F122">
        <v>0.49</v>
      </c>
      <c r="G122">
        <v>0.11</v>
      </c>
      <c r="H122">
        <v>0.18</v>
      </c>
      <c r="I122">
        <v>0.6</v>
      </c>
      <c r="J122">
        <v>0.4</v>
      </c>
      <c r="K122">
        <v>0.54</v>
      </c>
      <c r="L122" t="s">
        <v>1</v>
      </c>
      <c r="M122" t="s">
        <v>18</v>
      </c>
    </row>
    <row r="123" spans="1:13" x14ac:dyDescent="0.45">
      <c r="A123" t="s">
        <v>2</v>
      </c>
      <c r="B123" t="s">
        <v>134</v>
      </c>
      <c r="C123">
        <v>2020</v>
      </c>
      <c r="D123">
        <v>100</v>
      </c>
      <c r="E123">
        <v>0.45</v>
      </c>
      <c r="F123">
        <v>0.47</v>
      </c>
      <c r="G123">
        <v>0.04</v>
      </c>
      <c r="H123">
        <v>0.3</v>
      </c>
      <c r="I123">
        <v>0.52</v>
      </c>
      <c r="J123">
        <v>0.42</v>
      </c>
      <c r="K123">
        <v>0.48</v>
      </c>
      <c r="L123" t="s">
        <v>3</v>
      </c>
      <c r="M123" t="s">
        <v>18</v>
      </c>
    </row>
    <row r="124" spans="1:13" x14ac:dyDescent="0.45">
      <c r="A124" t="s">
        <v>2</v>
      </c>
      <c r="B124" t="s">
        <v>134</v>
      </c>
      <c r="C124">
        <v>2025</v>
      </c>
      <c r="D124">
        <v>89</v>
      </c>
      <c r="E124">
        <v>0.44</v>
      </c>
      <c r="F124">
        <v>0.45</v>
      </c>
      <c r="G124">
        <v>0.06</v>
      </c>
      <c r="H124">
        <v>0</v>
      </c>
      <c r="I124">
        <v>0.53</v>
      </c>
      <c r="J124">
        <v>0.42</v>
      </c>
      <c r="K124">
        <v>0.46</v>
      </c>
      <c r="L124" t="s">
        <v>3</v>
      </c>
      <c r="M124" t="s">
        <v>18</v>
      </c>
    </row>
    <row r="125" spans="1:13" x14ac:dyDescent="0.45">
      <c r="A125" t="s">
        <v>2</v>
      </c>
      <c r="B125" t="s">
        <v>134</v>
      </c>
      <c r="C125">
        <v>2030</v>
      </c>
      <c r="D125">
        <v>100</v>
      </c>
      <c r="E125">
        <v>0.43</v>
      </c>
      <c r="F125">
        <v>0.44</v>
      </c>
      <c r="G125">
        <v>0.06</v>
      </c>
      <c r="H125">
        <v>0</v>
      </c>
      <c r="I125">
        <v>0.56000000000000005</v>
      </c>
      <c r="J125">
        <v>0.42</v>
      </c>
      <c r="K125">
        <v>0.45</v>
      </c>
      <c r="L125" t="s">
        <v>3</v>
      </c>
      <c r="M125" t="s">
        <v>18</v>
      </c>
    </row>
    <row r="126" spans="1:13" x14ac:dyDescent="0.45">
      <c r="A126" t="s">
        <v>2</v>
      </c>
      <c r="B126" t="s">
        <v>134</v>
      </c>
      <c r="C126">
        <v>2035</v>
      </c>
      <c r="D126">
        <v>89</v>
      </c>
      <c r="E126">
        <v>0.43</v>
      </c>
      <c r="F126">
        <v>0.43</v>
      </c>
      <c r="G126">
        <v>0.05</v>
      </c>
      <c r="H126">
        <v>0.21</v>
      </c>
      <c r="I126">
        <v>0.57999999999999996</v>
      </c>
      <c r="J126">
        <v>0.41</v>
      </c>
      <c r="K126">
        <v>0.45</v>
      </c>
      <c r="L126" t="s">
        <v>3</v>
      </c>
      <c r="M126" t="s">
        <v>18</v>
      </c>
    </row>
    <row r="127" spans="1:13" x14ac:dyDescent="0.45">
      <c r="A127" t="s">
        <v>2</v>
      </c>
      <c r="B127" t="s">
        <v>134</v>
      </c>
      <c r="C127">
        <v>2040</v>
      </c>
      <c r="D127">
        <v>100</v>
      </c>
      <c r="E127">
        <v>0.41</v>
      </c>
      <c r="F127">
        <v>0.42</v>
      </c>
      <c r="G127">
        <v>7.0000000000000007E-2</v>
      </c>
      <c r="H127">
        <v>0.22</v>
      </c>
      <c r="I127">
        <v>0.56000000000000005</v>
      </c>
      <c r="J127">
        <v>0.39</v>
      </c>
      <c r="K127">
        <v>0.45</v>
      </c>
      <c r="L127" t="s">
        <v>3</v>
      </c>
      <c r="M127" t="s">
        <v>18</v>
      </c>
    </row>
    <row r="128" spans="1:13" x14ac:dyDescent="0.45">
      <c r="A128" t="s">
        <v>2</v>
      </c>
      <c r="B128" t="s">
        <v>134</v>
      </c>
      <c r="C128">
        <v>2045</v>
      </c>
      <c r="D128">
        <v>89</v>
      </c>
      <c r="E128">
        <v>0.42</v>
      </c>
      <c r="F128">
        <v>0.42</v>
      </c>
      <c r="G128">
        <v>7.0000000000000007E-2</v>
      </c>
      <c r="H128">
        <v>0.21</v>
      </c>
      <c r="I128">
        <v>0.56000000000000005</v>
      </c>
      <c r="J128">
        <v>0.38</v>
      </c>
      <c r="K128">
        <v>0.47</v>
      </c>
      <c r="L128" t="s">
        <v>3</v>
      </c>
      <c r="M128" t="s">
        <v>18</v>
      </c>
    </row>
    <row r="129" spans="1:13" x14ac:dyDescent="0.45">
      <c r="A129" t="s">
        <v>2</v>
      </c>
      <c r="B129" t="s">
        <v>134</v>
      </c>
      <c r="C129">
        <v>2050</v>
      </c>
      <c r="D129">
        <v>100</v>
      </c>
      <c r="E129">
        <v>0.41</v>
      </c>
      <c r="F129">
        <v>0.41</v>
      </c>
      <c r="G129">
        <v>0.09</v>
      </c>
      <c r="H129">
        <v>0.19</v>
      </c>
      <c r="I129">
        <v>0.57999999999999996</v>
      </c>
      <c r="J129">
        <v>0.35</v>
      </c>
      <c r="K129">
        <v>0.48</v>
      </c>
      <c r="L129" t="s">
        <v>3</v>
      </c>
      <c r="M129" t="s">
        <v>18</v>
      </c>
    </row>
    <row r="130" spans="1:13" x14ac:dyDescent="0.45">
      <c r="A130" t="s">
        <v>5</v>
      </c>
      <c r="B130" t="s">
        <v>134</v>
      </c>
      <c r="C130">
        <v>2020</v>
      </c>
      <c r="D130">
        <v>233</v>
      </c>
      <c r="E130">
        <v>0.44</v>
      </c>
      <c r="F130">
        <v>0.46</v>
      </c>
      <c r="G130">
        <v>0.05</v>
      </c>
      <c r="H130">
        <v>0.28999999999999998</v>
      </c>
      <c r="I130">
        <v>0.52</v>
      </c>
      <c r="J130">
        <v>0.42</v>
      </c>
      <c r="K130">
        <v>0.48</v>
      </c>
      <c r="L130" t="s">
        <v>6</v>
      </c>
      <c r="M130" t="s">
        <v>18</v>
      </c>
    </row>
    <row r="131" spans="1:13" x14ac:dyDescent="0.45">
      <c r="A131" t="s">
        <v>5</v>
      </c>
      <c r="B131" t="s">
        <v>134</v>
      </c>
      <c r="C131">
        <v>2025</v>
      </c>
      <c r="D131">
        <v>210</v>
      </c>
      <c r="E131">
        <v>0.39</v>
      </c>
      <c r="F131">
        <v>0.42</v>
      </c>
      <c r="G131">
        <v>0.13</v>
      </c>
      <c r="H131">
        <v>0</v>
      </c>
      <c r="I131">
        <v>0.53</v>
      </c>
      <c r="J131">
        <v>0.41</v>
      </c>
      <c r="K131">
        <v>0.45</v>
      </c>
      <c r="L131" t="s">
        <v>6</v>
      </c>
      <c r="M131" t="s">
        <v>18</v>
      </c>
    </row>
    <row r="132" spans="1:13" x14ac:dyDescent="0.45">
      <c r="A132" t="s">
        <v>5</v>
      </c>
      <c r="B132" t="s">
        <v>134</v>
      </c>
      <c r="C132">
        <v>2030</v>
      </c>
      <c r="D132">
        <v>233</v>
      </c>
      <c r="E132">
        <v>0.4</v>
      </c>
      <c r="F132">
        <v>0.44</v>
      </c>
      <c r="G132">
        <v>0.11</v>
      </c>
      <c r="H132">
        <v>0</v>
      </c>
      <c r="I132">
        <v>0.56999999999999995</v>
      </c>
      <c r="J132">
        <v>0.39</v>
      </c>
      <c r="K132">
        <v>0.45</v>
      </c>
      <c r="L132" t="s">
        <v>6</v>
      </c>
      <c r="M132" t="s">
        <v>18</v>
      </c>
    </row>
    <row r="133" spans="1:13" x14ac:dyDescent="0.45">
      <c r="A133" t="s">
        <v>5</v>
      </c>
      <c r="B133" t="s">
        <v>134</v>
      </c>
      <c r="C133">
        <v>2035</v>
      </c>
      <c r="D133">
        <v>210</v>
      </c>
      <c r="E133">
        <v>0.4</v>
      </c>
      <c r="F133">
        <v>0.43</v>
      </c>
      <c r="G133">
        <v>0.1</v>
      </c>
      <c r="H133">
        <v>0.15</v>
      </c>
      <c r="I133">
        <v>0.6</v>
      </c>
      <c r="J133">
        <v>0.38</v>
      </c>
      <c r="K133">
        <v>0.45</v>
      </c>
      <c r="L133" t="s">
        <v>6</v>
      </c>
      <c r="M133" t="s">
        <v>18</v>
      </c>
    </row>
    <row r="134" spans="1:13" x14ac:dyDescent="0.45">
      <c r="A134" t="s">
        <v>5</v>
      </c>
      <c r="B134" t="s">
        <v>134</v>
      </c>
      <c r="C134">
        <v>2040</v>
      </c>
      <c r="D134">
        <v>233</v>
      </c>
      <c r="E134">
        <v>0.39</v>
      </c>
      <c r="F134">
        <v>0.41</v>
      </c>
      <c r="G134">
        <v>0.1</v>
      </c>
      <c r="H134">
        <v>0.14000000000000001</v>
      </c>
      <c r="I134">
        <v>0.59</v>
      </c>
      <c r="J134">
        <v>0.35</v>
      </c>
      <c r="K134">
        <v>0.46</v>
      </c>
      <c r="L134" t="s">
        <v>6</v>
      </c>
      <c r="M134" t="s">
        <v>18</v>
      </c>
    </row>
    <row r="135" spans="1:13" x14ac:dyDescent="0.45">
      <c r="A135" t="s">
        <v>5</v>
      </c>
      <c r="B135" t="s">
        <v>134</v>
      </c>
      <c r="C135">
        <v>2045</v>
      </c>
      <c r="D135">
        <v>210</v>
      </c>
      <c r="E135">
        <v>0.39</v>
      </c>
      <c r="F135">
        <v>0.43</v>
      </c>
      <c r="G135">
        <v>0.11</v>
      </c>
      <c r="H135">
        <v>0.14000000000000001</v>
      </c>
      <c r="I135">
        <v>0.59</v>
      </c>
      <c r="J135">
        <v>0.33</v>
      </c>
      <c r="K135">
        <v>0.47</v>
      </c>
      <c r="L135" t="s">
        <v>6</v>
      </c>
      <c r="M135" t="s">
        <v>18</v>
      </c>
    </row>
    <row r="136" spans="1:13" x14ac:dyDescent="0.45">
      <c r="A136" t="s">
        <v>5</v>
      </c>
      <c r="B136" t="s">
        <v>134</v>
      </c>
      <c r="C136">
        <v>2050</v>
      </c>
      <c r="D136">
        <v>233</v>
      </c>
      <c r="E136">
        <v>0.39</v>
      </c>
      <c r="F136">
        <v>0.39</v>
      </c>
      <c r="G136">
        <v>0.12</v>
      </c>
      <c r="H136">
        <v>0.13</v>
      </c>
      <c r="I136">
        <v>0.6</v>
      </c>
      <c r="J136">
        <v>0.31</v>
      </c>
      <c r="K136">
        <v>0.49</v>
      </c>
      <c r="L136" t="s">
        <v>6</v>
      </c>
      <c r="M136" t="s">
        <v>18</v>
      </c>
    </row>
    <row r="137" spans="1:13" x14ac:dyDescent="0.45">
      <c r="A137" t="s">
        <v>7</v>
      </c>
      <c r="B137" t="s">
        <v>134</v>
      </c>
      <c r="C137">
        <v>2020</v>
      </c>
      <c r="D137">
        <v>102</v>
      </c>
      <c r="E137">
        <v>0.44</v>
      </c>
      <c r="F137">
        <v>0.46</v>
      </c>
      <c r="G137">
        <v>0.06</v>
      </c>
      <c r="H137">
        <v>0.28999999999999998</v>
      </c>
      <c r="I137">
        <v>0.49</v>
      </c>
      <c r="J137">
        <v>0.41</v>
      </c>
      <c r="K137">
        <v>0.48</v>
      </c>
      <c r="L137" t="s">
        <v>8</v>
      </c>
      <c r="M137" t="s">
        <v>18</v>
      </c>
    </row>
    <row r="138" spans="1:13" x14ac:dyDescent="0.45">
      <c r="A138" t="s">
        <v>7</v>
      </c>
      <c r="B138" t="s">
        <v>134</v>
      </c>
      <c r="C138">
        <v>2025</v>
      </c>
      <c r="D138">
        <v>96</v>
      </c>
      <c r="E138">
        <v>0.38</v>
      </c>
      <c r="F138">
        <v>0.42</v>
      </c>
      <c r="G138">
        <v>0.14000000000000001</v>
      </c>
      <c r="H138">
        <v>0</v>
      </c>
      <c r="I138">
        <v>0.52</v>
      </c>
      <c r="J138">
        <v>0.34</v>
      </c>
      <c r="K138">
        <v>0.46</v>
      </c>
      <c r="L138" t="s">
        <v>8</v>
      </c>
      <c r="M138" t="s">
        <v>18</v>
      </c>
    </row>
    <row r="139" spans="1:13" x14ac:dyDescent="0.45">
      <c r="A139" t="s">
        <v>7</v>
      </c>
      <c r="B139" t="s">
        <v>134</v>
      </c>
      <c r="C139">
        <v>2030</v>
      </c>
      <c r="D139">
        <v>102</v>
      </c>
      <c r="E139">
        <v>0.39</v>
      </c>
      <c r="F139">
        <v>0.43</v>
      </c>
      <c r="G139">
        <v>0.11</v>
      </c>
      <c r="H139">
        <v>0</v>
      </c>
      <c r="I139">
        <v>0.52</v>
      </c>
      <c r="J139">
        <v>0.34</v>
      </c>
      <c r="K139">
        <v>0.45</v>
      </c>
      <c r="L139" t="s">
        <v>8</v>
      </c>
      <c r="M139" t="s">
        <v>18</v>
      </c>
    </row>
    <row r="140" spans="1:13" x14ac:dyDescent="0.45">
      <c r="A140" t="s">
        <v>7</v>
      </c>
      <c r="B140" t="s">
        <v>134</v>
      </c>
      <c r="C140">
        <v>2035</v>
      </c>
      <c r="D140">
        <v>96</v>
      </c>
      <c r="E140">
        <v>0.39</v>
      </c>
      <c r="F140">
        <v>0.42</v>
      </c>
      <c r="G140">
        <v>0.09</v>
      </c>
      <c r="H140">
        <v>0.21</v>
      </c>
      <c r="I140">
        <v>0.52</v>
      </c>
      <c r="J140">
        <v>0.34</v>
      </c>
      <c r="K140">
        <v>0.45</v>
      </c>
      <c r="L140" t="s">
        <v>8</v>
      </c>
      <c r="M140" t="s">
        <v>18</v>
      </c>
    </row>
    <row r="141" spans="1:13" x14ac:dyDescent="0.45">
      <c r="A141" t="s">
        <v>7</v>
      </c>
      <c r="B141" t="s">
        <v>134</v>
      </c>
      <c r="C141">
        <v>2040</v>
      </c>
      <c r="D141">
        <v>102</v>
      </c>
      <c r="E141">
        <v>0.38</v>
      </c>
      <c r="F141">
        <v>0.37</v>
      </c>
      <c r="G141">
        <v>0.09</v>
      </c>
      <c r="H141">
        <v>0.22</v>
      </c>
      <c r="I141">
        <v>0.56000000000000005</v>
      </c>
      <c r="J141">
        <v>0.31</v>
      </c>
      <c r="K141">
        <v>0.45</v>
      </c>
      <c r="L141" t="s">
        <v>8</v>
      </c>
      <c r="M141" t="s">
        <v>18</v>
      </c>
    </row>
    <row r="142" spans="1:13" x14ac:dyDescent="0.45">
      <c r="A142" t="s">
        <v>7</v>
      </c>
      <c r="B142" t="s">
        <v>134</v>
      </c>
      <c r="C142">
        <v>2045</v>
      </c>
      <c r="D142">
        <v>96</v>
      </c>
      <c r="E142">
        <v>0.37</v>
      </c>
      <c r="F142">
        <v>0.38</v>
      </c>
      <c r="G142">
        <v>0.1</v>
      </c>
      <c r="H142">
        <v>0.22</v>
      </c>
      <c r="I142">
        <v>0.56000000000000005</v>
      </c>
      <c r="J142">
        <v>0.28000000000000003</v>
      </c>
      <c r="K142">
        <v>0.45</v>
      </c>
      <c r="L142" t="s">
        <v>8</v>
      </c>
      <c r="M142" t="s">
        <v>18</v>
      </c>
    </row>
    <row r="143" spans="1:13" x14ac:dyDescent="0.45">
      <c r="A143" t="s">
        <v>7</v>
      </c>
      <c r="B143" t="s">
        <v>134</v>
      </c>
      <c r="C143">
        <v>2050</v>
      </c>
      <c r="D143">
        <v>102</v>
      </c>
      <c r="E143">
        <v>0.36</v>
      </c>
      <c r="F143">
        <v>0.34</v>
      </c>
      <c r="G143">
        <v>0.1</v>
      </c>
      <c r="H143">
        <v>0.22</v>
      </c>
      <c r="I143">
        <v>0.55000000000000004</v>
      </c>
      <c r="J143">
        <v>0.27</v>
      </c>
      <c r="K143">
        <v>0.44</v>
      </c>
      <c r="L143" t="s">
        <v>8</v>
      </c>
      <c r="M143" t="s">
        <v>18</v>
      </c>
    </row>
    <row r="144" spans="1:13" x14ac:dyDescent="0.45">
      <c r="A144" t="s">
        <v>9</v>
      </c>
      <c r="B144" t="s">
        <v>134</v>
      </c>
      <c r="C144">
        <v>2020</v>
      </c>
      <c r="D144">
        <v>61</v>
      </c>
      <c r="E144">
        <v>0.45</v>
      </c>
      <c r="F144">
        <v>0.46</v>
      </c>
      <c r="G144">
        <v>0.03</v>
      </c>
      <c r="H144">
        <v>0.35</v>
      </c>
      <c r="I144">
        <v>0.52</v>
      </c>
      <c r="J144">
        <v>0.42</v>
      </c>
      <c r="K144">
        <v>0.47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134</v>
      </c>
      <c r="C145">
        <v>2025</v>
      </c>
      <c r="D145">
        <v>56</v>
      </c>
      <c r="E145">
        <v>0.44</v>
      </c>
      <c r="F145">
        <v>0.44</v>
      </c>
      <c r="G145">
        <v>0.02</v>
      </c>
      <c r="H145">
        <v>0.4</v>
      </c>
      <c r="I145">
        <v>0.49</v>
      </c>
      <c r="J145">
        <v>0.43</v>
      </c>
      <c r="K145">
        <v>0.45</v>
      </c>
      <c r="L145" t="s">
        <v>10</v>
      </c>
      <c r="M145" t="s">
        <v>18</v>
      </c>
    </row>
    <row r="146" spans="1:13" x14ac:dyDescent="0.45">
      <c r="A146" t="s">
        <v>9</v>
      </c>
      <c r="B146" t="s">
        <v>134</v>
      </c>
      <c r="C146">
        <v>2030</v>
      </c>
      <c r="D146">
        <v>61</v>
      </c>
      <c r="E146">
        <v>0.44</v>
      </c>
      <c r="F146">
        <v>0.44</v>
      </c>
      <c r="G146">
        <v>0.03</v>
      </c>
      <c r="H146">
        <v>0.36</v>
      </c>
      <c r="I146">
        <v>0.5</v>
      </c>
      <c r="J146">
        <v>0.42</v>
      </c>
      <c r="K146">
        <v>0.45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134</v>
      </c>
      <c r="C147">
        <v>2035</v>
      </c>
      <c r="D147">
        <v>56</v>
      </c>
      <c r="E147">
        <v>0.43</v>
      </c>
      <c r="F147">
        <v>0.44</v>
      </c>
      <c r="G147">
        <v>0.04</v>
      </c>
      <c r="H147">
        <v>0.31</v>
      </c>
      <c r="I147">
        <v>0.52</v>
      </c>
      <c r="J147">
        <v>0.41</v>
      </c>
      <c r="K147">
        <v>0.45</v>
      </c>
      <c r="L147" t="s">
        <v>10</v>
      </c>
      <c r="M147" t="s">
        <v>18</v>
      </c>
    </row>
    <row r="148" spans="1:13" x14ac:dyDescent="0.45">
      <c r="A148" t="s">
        <v>9</v>
      </c>
      <c r="B148" t="s">
        <v>134</v>
      </c>
      <c r="C148">
        <v>2040</v>
      </c>
      <c r="D148">
        <v>61</v>
      </c>
      <c r="E148">
        <v>0.42</v>
      </c>
      <c r="F148">
        <v>0.42</v>
      </c>
      <c r="G148">
        <v>0.05</v>
      </c>
      <c r="H148">
        <v>0.28999999999999998</v>
      </c>
      <c r="I148">
        <v>0.53</v>
      </c>
      <c r="J148">
        <v>0.4</v>
      </c>
      <c r="K148">
        <v>0.44</v>
      </c>
      <c r="L148" t="s">
        <v>10</v>
      </c>
      <c r="M148" t="s">
        <v>18</v>
      </c>
    </row>
    <row r="149" spans="1:13" x14ac:dyDescent="0.45">
      <c r="A149" t="s">
        <v>9</v>
      </c>
      <c r="B149" t="s">
        <v>134</v>
      </c>
      <c r="C149">
        <v>2045</v>
      </c>
      <c r="D149">
        <v>56</v>
      </c>
      <c r="E149">
        <v>0.41</v>
      </c>
      <c r="F149">
        <v>0.41</v>
      </c>
      <c r="G149">
        <v>0.05</v>
      </c>
      <c r="H149">
        <v>0.27</v>
      </c>
      <c r="I149">
        <v>0.54</v>
      </c>
      <c r="J149">
        <v>0.39</v>
      </c>
      <c r="K149">
        <v>0.44</v>
      </c>
      <c r="L149" t="s">
        <v>10</v>
      </c>
      <c r="M149" t="s">
        <v>18</v>
      </c>
    </row>
    <row r="150" spans="1:13" x14ac:dyDescent="0.45">
      <c r="A150" t="s">
        <v>9</v>
      </c>
      <c r="B150" t="s">
        <v>134</v>
      </c>
      <c r="C150">
        <v>2050</v>
      </c>
      <c r="D150">
        <v>61</v>
      </c>
      <c r="E150">
        <v>0.4</v>
      </c>
      <c r="F150">
        <v>0.4</v>
      </c>
      <c r="G150">
        <v>0.06</v>
      </c>
      <c r="H150">
        <v>0.25</v>
      </c>
      <c r="I150">
        <v>0.55000000000000004</v>
      </c>
      <c r="J150">
        <v>0.37</v>
      </c>
      <c r="K150">
        <v>0.43</v>
      </c>
      <c r="L150" t="s">
        <v>10</v>
      </c>
      <c r="M150" t="s">
        <v>18</v>
      </c>
    </row>
    <row r="151" spans="1:13" x14ac:dyDescent="0.45">
      <c r="A151" t="s">
        <v>0</v>
      </c>
      <c r="B151" t="s">
        <v>134</v>
      </c>
      <c r="C151">
        <v>2020</v>
      </c>
      <c r="D151">
        <v>64</v>
      </c>
      <c r="E151">
        <v>0.54</v>
      </c>
      <c r="F151">
        <v>0.54</v>
      </c>
      <c r="G151">
        <v>0.04</v>
      </c>
      <c r="H151">
        <v>0.47</v>
      </c>
      <c r="I151">
        <v>0.69</v>
      </c>
      <c r="J151">
        <v>0.51</v>
      </c>
      <c r="K151">
        <v>0.56999999999999995</v>
      </c>
      <c r="L151" t="s">
        <v>1</v>
      </c>
      <c r="M151" t="s">
        <v>21</v>
      </c>
    </row>
    <row r="152" spans="1:13" x14ac:dyDescent="0.45">
      <c r="A152" t="s">
        <v>0</v>
      </c>
      <c r="B152" t="s">
        <v>134</v>
      </c>
      <c r="C152">
        <v>2025</v>
      </c>
      <c r="D152">
        <v>64</v>
      </c>
      <c r="E152">
        <v>0.56000000000000005</v>
      </c>
      <c r="F152">
        <v>0.56000000000000005</v>
      </c>
      <c r="G152">
        <v>7.0000000000000007E-2</v>
      </c>
      <c r="H152">
        <v>0.45</v>
      </c>
      <c r="I152">
        <v>0.76</v>
      </c>
      <c r="J152">
        <v>0.5</v>
      </c>
      <c r="K152">
        <v>0.56000000000000005</v>
      </c>
      <c r="L152" t="s">
        <v>1</v>
      </c>
      <c r="M152" t="s">
        <v>21</v>
      </c>
    </row>
    <row r="153" spans="1:13" x14ac:dyDescent="0.45">
      <c r="A153" t="s">
        <v>0</v>
      </c>
      <c r="B153" t="s">
        <v>134</v>
      </c>
      <c r="C153">
        <v>2030</v>
      </c>
      <c r="D153">
        <v>64</v>
      </c>
      <c r="E153">
        <v>0.53</v>
      </c>
      <c r="F153">
        <v>0.52</v>
      </c>
      <c r="G153">
        <v>0.08</v>
      </c>
      <c r="H153">
        <v>0.37</v>
      </c>
      <c r="I153">
        <v>0.75</v>
      </c>
      <c r="J153">
        <v>0.49</v>
      </c>
      <c r="K153">
        <v>0.55000000000000004</v>
      </c>
      <c r="L153" t="s">
        <v>1</v>
      </c>
      <c r="M153" t="s">
        <v>21</v>
      </c>
    </row>
    <row r="154" spans="1:13" x14ac:dyDescent="0.45">
      <c r="A154" t="s">
        <v>0</v>
      </c>
      <c r="B154" t="s">
        <v>134</v>
      </c>
      <c r="C154">
        <v>2035</v>
      </c>
      <c r="D154">
        <v>64</v>
      </c>
      <c r="E154">
        <v>0.51</v>
      </c>
      <c r="F154">
        <v>0.49</v>
      </c>
      <c r="G154">
        <v>0.09</v>
      </c>
      <c r="H154">
        <v>0.35</v>
      </c>
      <c r="I154">
        <v>0.77</v>
      </c>
      <c r="J154">
        <v>0.47</v>
      </c>
      <c r="K154">
        <v>0.53</v>
      </c>
      <c r="L154" t="s">
        <v>1</v>
      </c>
      <c r="M154" t="s">
        <v>21</v>
      </c>
    </row>
    <row r="155" spans="1:13" x14ac:dyDescent="0.45">
      <c r="A155" t="s">
        <v>0</v>
      </c>
      <c r="B155" t="s">
        <v>134</v>
      </c>
      <c r="C155">
        <v>2040</v>
      </c>
      <c r="D155">
        <v>64</v>
      </c>
      <c r="E155">
        <v>0.48</v>
      </c>
      <c r="F155">
        <v>0.46</v>
      </c>
      <c r="G155">
        <v>0.09</v>
      </c>
      <c r="H155">
        <v>0.34</v>
      </c>
      <c r="I155">
        <v>0.75</v>
      </c>
      <c r="J155">
        <v>0.44</v>
      </c>
      <c r="K155">
        <v>0.51</v>
      </c>
      <c r="L155" t="s">
        <v>1</v>
      </c>
      <c r="M155" t="s">
        <v>21</v>
      </c>
    </row>
    <row r="156" spans="1:13" x14ac:dyDescent="0.45">
      <c r="A156" t="s">
        <v>0</v>
      </c>
      <c r="B156" t="s">
        <v>134</v>
      </c>
      <c r="C156">
        <v>2045</v>
      </c>
      <c r="D156">
        <v>64</v>
      </c>
      <c r="E156">
        <v>0.46</v>
      </c>
      <c r="F156">
        <v>0.43</v>
      </c>
      <c r="G156">
        <v>0.1</v>
      </c>
      <c r="H156">
        <v>0.33</v>
      </c>
      <c r="I156">
        <v>0.73</v>
      </c>
      <c r="J156">
        <v>0.41</v>
      </c>
      <c r="K156">
        <v>0.49</v>
      </c>
      <c r="L156" t="s">
        <v>1</v>
      </c>
      <c r="M156" t="s">
        <v>21</v>
      </c>
    </row>
    <row r="157" spans="1:13" x14ac:dyDescent="0.45">
      <c r="A157" t="s">
        <v>0</v>
      </c>
      <c r="B157" t="s">
        <v>134</v>
      </c>
      <c r="C157">
        <v>2050</v>
      </c>
      <c r="D157">
        <v>64</v>
      </c>
      <c r="E157">
        <v>0.45</v>
      </c>
      <c r="F157">
        <v>0.42</v>
      </c>
      <c r="G157">
        <v>0.1</v>
      </c>
      <c r="H157">
        <v>0.31</v>
      </c>
      <c r="I157">
        <v>0.72</v>
      </c>
      <c r="J157">
        <v>0.38</v>
      </c>
      <c r="K157">
        <v>0.48</v>
      </c>
      <c r="L157" t="s">
        <v>1</v>
      </c>
      <c r="M157" t="s">
        <v>21</v>
      </c>
    </row>
    <row r="158" spans="1:13" x14ac:dyDescent="0.45">
      <c r="A158" t="s">
        <v>2</v>
      </c>
      <c r="B158" t="s">
        <v>134</v>
      </c>
      <c r="C158">
        <v>2020</v>
      </c>
      <c r="D158">
        <v>97</v>
      </c>
      <c r="E158">
        <v>0.53</v>
      </c>
      <c r="F158">
        <v>0.52</v>
      </c>
      <c r="G158">
        <v>0.05</v>
      </c>
      <c r="H158">
        <v>0.47</v>
      </c>
      <c r="I158">
        <v>0.69</v>
      </c>
      <c r="J158">
        <v>0.51</v>
      </c>
      <c r="K158">
        <v>0.56999999999999995</v>
      </c>
      <c r="L158" t="s">
        <v>3</v>
      </c>
      <c r="M158" t="s">
        <v>21</v>
      </c>
    </row>
    <row r="159" spans="1:13" x14ac:dyDescent="0.45">
      <c r="A159" t="s">
        <v>2</v>
      </c>
      <c r="B159" t="s">
        <v>134</v>
      </c>
      <c r="C159">
        <v>2025</v>
      </c>
      <c r="D159">
        <v>86</v>
      </c>
      <c r="E159">
        <v>0.54</v>
      </c>
      <c r="F159">
        <v>0.54</v>
      </c>
      <c r="G159">
        <v>0.05</v>
      </c>
      <c r="H159">
        <v>0.45</v>
      </c>
      <c r="I159">
        <v>0.8</v>
      </c>
      <c r="J159">
        <v>0.51</v>
      </c>
      <c r="K159">
        <v>0.56000000000000005</v>
      </c>
      <c r="L159" t="s">
        <v>3</v>
      </c>
      <c r="M159" t="s">
        <v>21</v>
      </c>
    </row>
    <row r="160" spans="1:13" x14ac:dyDescent="0.45">
      <c r="A160" t="s">
        <v>2</v>
      </c>
      <c r="B160" t="s">
        <v>134</v>
      </c>
      <c r="C160">
        <v>2030</v>
      </c>
      <c r="D160">
        <v>97</v>
      </c>
      <c r="E160">
        <v>0.53</v>
      </c>
      <c r="F160">
        <v>0.52</v>
      </c>
      <c r="G160">
        <v>0.05</v>
      </c>
      <c r="H160">
        <v>0.42</v>
      </c>
      <c r="I160">
        <v>0.83</v>
      </c>
      <c r="J160">
        <v>0.51</v>
      </c>
      <c r="K160">
        <v>0.56000000000000005</v>
      </c>
      <c r="L160" t="s">
        <v>3</v>
      </c>
      <c r="M160" t="s">
        <v>21</v>
      </c>
    </row>
    <row r="161" spans="1:13" x14ac:dyDescent="0.45">
      <c r="A161" t="s">
        <v>2</v>
      </c>
      <c r="B161" t="s">
        <v>134</v>
      </c>
      <c r="C161">
        <v>2035</v>
      </c>
      <c r="D161">
        <v>86</v>
      </c>
      <c r="E161">
        <v>0.52</v>
      </c>
      <c r="F161">
        <v>0.52</v>
      </c>
      <c r="G161">
        <v>0.05</v>
      </c>
      <c r="H161">
        <v>0.4</v>
      </c>
      <c r="I161">
        <v>0.74</v>
      </c>
      <c r="J161">
        <v>0.5</v>
      </c>
      <c r="K161">
        <v>0.54</v>
      </c>
      <c r="L161" t="s">
        <v>3</v>
      </c>
      <c r="M161" t="s">
        <v>21</v>
      </c>
    </row>
    <row r="162" spans="1:13" x14ac:dyDescent="0.45">
      <c r="A162" t="s">
        <v>2</v>
      </c>
      <c r="B162" t="s">
        <v>134</v>
      </c>
      <c r="C162">
        <v>2040</v>
      </c>
      <c r="D162">
        <v>97</v>
      </c>
      <c r="E162">
        <v>0.5</v>
      </c>
      <c r="F162">
        <v>0.5</v>
      </c>
      <c r="G162">
        <v>0.06</v>
      </c>
      <c r="H162">
        <v>0.37</v>
      </c>
      <c r="I162">
        <v>0.71</v>
      </c>
      <c r="J162">
        <v>0.47</v>
      </c>
      <c r="K162">
        <v>0.52</v>
      </c>
      <c r="L162" t="s">
        <v>3</v>
      </c>
      <c r="M162" t="s">
        <v>21</v>
      </c>
    </row>
    <row r="163" spans="1:13" x14ac:dyDescent="0.45">
      <c r="A163" t="s">
        <v>2</v>
      </c>
      <c r="B163" t="s">
        <v>134</v>
      </c>
      <c r="C163">
        <v>2045</v>
      </c>
      <c r="D163">
        <v>86</v>
      </c>
      <c r="E163">
        <v>0.49</v>
      </c>
      <c r="F163">
        <v>0.49</v>
      </c>
      <c r="G163">
        <v>0.06</v>
      </c>
      <c r="H163">
        <v>0.35</v>
      </c>
      <c r="I163">
        <v>0.71</v>
      </c>
      <c r="J163">
        <v>0.45</v>
      </c>
      <c r="K163">
        <v>0.53</v>
      </c>
      <c r="L163" t="s">
        <v>3</v>
      </c>
      <c r="M163" t="s">
        <v>21</v>
      </c>
    </row>
    <row r="164" spans="1:13" x14ac:dyDescent="0.45">
      <c r="A164" t="s">
        <v>2</v>
      </c>
      <c r="B164" t="s">
        <v>134</v>
      </c>
      <c r="C164">
        <v>2050</v>
      </c>
      <c r="D164">
        <v>97</v>
      </c>
      <c r="E164">
        <v>0.47</v>
      </c>
      <c r="F164">
        <v>0.47</v>
      </c>
      <c r="G164">
        <v>7.0000000000000007E-2</v>
      </c>
      <c r="H164">
        <v>0.35</v>
      </c>
      <c r="I164">
        <v>0.74</v>
      </c>
      <c r="J164">
        <v>0.43</v>
      </c>
      <c r="K164">
        <v>0.5</v>
      </c>
      <c r="L164" t="s">
        <v>3</v>
      </c>
      <c r="M164" t="s">
        <v>21</v>
      </c>
    </row>
    <row r="165" spans="1:13" x14ac:dyDescent="0.45">
      <c r="A165" t="s">
        <v>5</v>
      </c>
      <c r="B165" t="s">
        <v>134</v>
      </c>
      <c r="C165">
        <v>2020</v>
      </c>
      <c r="D165">
        <v>233</v>
      </c>
      <c r="E165">
        <v>0.54</v>
      </c>
      <c r="F165">
        <v>0.53</v>
      </c>
      <c r="G165">
        <v>0.05</v>
      </c>
      <c r="H165">
        <v>0.47</v>
      </c>
      <c r="I165">
        <v>0.69</v>
      </c>
      <c r="J165">
        <v>0.51</v>
      </c>
      <c r="K165">
        <v>0.56999999999999995</v>
      </c>
      <c r="L165" t="s">
        <v>6</v>
      </c>
      <c r="M165" t="s">
        <v>21</v>
      </c>
    </row>
    <row r="166" spans="1:13" x14ac:dyDescent="0.45">
      <c r="A166" t="s">
        <v>5</v>
      </c>
      <c r="B166" t="s">
        <v>134</v>
      </c>
      <c r="C166">
        <v>2025</v>
      </c>
      <c r="D166">
        <v>210</v>
      </c>
      <c r="E166">
        <v>0.57999999999999996</v>
      </c>
      <c r="F166">
        <v>0.56000000000000005</v>
      </c>
      <c r="G166">
        <v>0.09</v>
      </c>
      <c r="H166">
        <v>0.4</v>
      </c>
      <c r="I166">
        <v>0.87</v>
      </c>
      <c r="J166">
        <v>0.53</v>
      </c>
      <c r="K166">
        <v>0.57999999999999996</v>
      </c>
      <c r="L166" t="s">
        <v>6</v>
      </c>
      <c r="M166" t="s">
        <v>21</v>
      </c>
    </row>
    <row r="167" spans="1:13" x14ac:dyDescent="0.45">
      <c r="A167" t="s">
        <v>5</v>
      </c>
      <c r="B167" t="s">
        <v>134</v>
      </c>
      <c r="C167">
        <v>2030</v>
      </c>
      <c r="D167">
        <v>233</v>
      </c>
      <c r="E167">
        <v>0.56000000000000005</v>
      </c>
      <c r="F167">
        <v>0.53</v>
      </c>
      <c r="G167">
        <v>0.08</v>
      </c>
      <c r="H167">
        <v>0.31</v>
      </c>
      <c r="I167">
        <v>0.88</v>
      </c>
      <c r="J167">
        <v>0.52</v>
      </c>
      <c r="K167">
        <v>0.59</v>
      </c>
      <c r="L167" t="s">
        <v>6</v>
      </c>
      <c r="M167" t="s">
        <v>21</v>
      </c>
    </row>
    <row r="168" spans="1:13" x14ac:dyDescent="0.45">
      <c r="A168" t="s">
        <v>5</v>
      </c>
      <c r="B168" t="s">
        <v>134</v>
      </c>
      <c r="C168">
        <v>2035</v>
      </c>
      <c r="D168">
        <v>210</v>
      </c>
      <c r="E168">
        <v>0.55000000000000004</v>
      </c>
      <c r="F168">
        <v>0.52</v>
      </c>
      <c r="G168">
        <v>0.09</v>
      </c>
      <c r="H168">
        <v>0.39</v>
      </c>
      <c r="I168">
        <v>0.81</v>
      </c>
      <c r="J168">
        <v>0.51</v>
      </c>
      <c r="K168">
        <v>0.57999999999999996</v>
      </c>
      <c r="L168" t="s">
        <v>6</v>
      </c>
      <c r="M168" t="s">
        <v>21</v>
      </c>
    </row>
    <row r="169" spans="1:13" x14ac:dyDescent="0.45">
      <c r="A169" t="s">
        <v>5</v>
      </c>
      <c r="B169" t="s">
        <v>134</v>
      </c>
      <c r="C169">
        <v>2040</v>
      </c>
      <c r="D169">
        <v>233</v>
      </c>
      <c r="E169">
        <v>0.55000000000000004</v>
      </c>
      <c r="F169">
        <v>0.52</v>
      </c>
      <c r="G169">
        <v>0.1</v>
      </c>
      <c r="H169">
        <v>0.38</v>
      </c>
      <c r="I169">
        <v>0.8</v>
      </c>
      <c r="J169">
        <v>0.48</v>
      </c>
      <c r="K169">
        <v>0.64</v>
      </c>
      <c r="L169" t="s">
        <v>6</v>
      </c>
      <c r="M169" t="s">
        <v>21</v>
      </c>
    </row>
    <row r="170" spans="1:13" x14ac:dyDescent="0.45">
      <c r="A170" t="s">
        <v>5</v>
      </c>
      <c r="B170" t="s">
        <v>134</v>
      </c>
      <c r="C170">
        <v>2045</v>
      </c>
      <c r="D170">
        <v>210</v>
      </c>
      <c r="E170">
        <v>0.53</v>
      </c>
      <c r="F170">
        <v>0.5</v>
      </c>
      <c r="G170">
        <v>0.11</v>
      </c>
      <c r="H170">
        <v>0.35</v>
      </c>
      <c r="I170">
        <v>0.8</v>
      </c>
      <c r="J170">
        <v>0.45</v>
      </c>
      <c r="K170">
        <v>0.56999999999999995</v>
      </c>
      <c r="L170" t="s">
        <v>6</v>
      </c>
      <c r="M170" t="s">
        <v>21</v>
      </c>
    </row>
    <row r="171" spans="1:13" x14ac:dyDescent="0.45">
      <c r="A171" t="s">
        <v>5</v>
      </c>
      <c r="B171" t="s">
        <v>134</v>
      </c>
      <c r="C171">
        <v>2050</v>
      </c>
      <c r="D171">
        <v>233</v>
      </c>
      <c r="E171">
        <v>0.53</v>
      </c>
      <c r="F171">
        <v>0.49</v>
      </c>
      <c r="G171">
        <v>0.13</v>
      </c>
      <c r="H171">
        <v>0.33</v>
      </c>
      <c r="I171">
        <v>0.79</v>
      </c>
      <c r="J171">
        <v>0.43</v>
      </c>
      <c r="K171">
        <v>0.65</v>
      </c>
      <c r="L171" t="s">
        <v>6</v>
      </c>
      <c r="M171" t="s">
        <v>21</v>
      </c>
    </row>
    <row r="172" spans="1:13" x14ac:dyDescent="0.45">
      <c r="A172" t="s">
        <v>7</v>
      </c>
      <c r="B172" t="s">
        <v>134</v>
      </c>
      <c r="C172">
        <v>2020</v>
      </c>
      <c r="D172">
        <v>100</v>
      </c>
      <c r="E172">
        <v>0.55000000000000004</v>
      </c>
      <c r="F172">
        <v>0.52</v>
      </c>
      <c r="G172">
        <v>0.06</v>
      </c>
      <c r="H172">
        <v>0.49</v>
      </c>
      <c r="I172">
        <v>0.69</v>
      </c>
      <c r="J172">
        <v>0.51</v>
      </c>
      <c r="K172">
        <v>0.55000000000000004</v>
      </c>
      <c r="L172" t="s">
        <v>8</v>
      </c>
      <c r="M172" t="s">
        <v>21</v>
      </c>
    </row>
    <row r="173" spans="1:13" x14ac:dyDescent="0.45">
      <c r="A173" t="s">
        <v>7</v>
      </c>
      <c r="B173" t="s">
        <v>134</v>
      </c>
      <c r="C173">
        <v>2025</v>
      </c>
      <c r="D173">
        <v>94</v>
      </c>
      <c r="E173">
        <v>0.57999999999999996</v>
      </c>
      <c r="F173">
        <v>0.55000000000000004</v>
      </c>
      <c r="G173">
        <v>0.1</v>
      </c>
      <c r="H173">
        <v>0.17</v>
      </c>
      <c r="I173">
        <v>0.87</v>
      </c>
      <c r="J173">
        <v>0.52</v>
      </c>
      <c r="K173">
        <v>0.62</v>
      </c>
      <c r="L173" t="s">
        <v>8</v>
      </c>
      <c r="M173" t="s">
        <v>21</v>
      </c>
    </row>
    <row r="174" spans="1:13" x14ac:dyDescent="0.45">
      <c r="A174" t="s">
        <v>7</v>
      </c>
      <c r="B174" t="s">
        <v>134</v>
      </c>
      <c r="C174">
        <v>2030</v>
      </c>
      <c r="D174">
        <v>100</v>
      </c>
      <c r="E174">
        <v>0.56999999999999995</v>
      </c>
      <c r="F174">
        <v>0.55000000000000004</v>
      </c>
      <c r="G174">
        <v>0.09</v>
      </c>
      <c r="H174">
        <v>0.18</v>
      </c>
      <c r="I174">
        <v>0.89</v>
      </c>
      <c r="J174">
        <v>0.52</v>
      </c>
      <c r="K174">
        <v>0.61</v>
      </c>
      <c r="L174" t="s">
        <v>8</v>
      </c>
      <c r="M174" t="s">
        <v>21</v>
      </c>
    </row>
    <row r="175" spans="1:13" x14ac:dyDescent="0.45">
      <c r="A175" t="s">
        <v>7</v>
      </c>
      <c r="B175" t="s">
        <v>134</v>
      </c>
      <c r="C175">
        <v>2035</v>
      </c>
      <c r="D175">
        <v>94</v>
      </c>
      <c r="E175">
        <v>0.57999999999999996</v>
      </c>
      <c r="F175">
        <v>0.56000000000000005</v>
      </c>
      <c r="G175">
        <v>0.08</v>
      </c>
      <c r="H175">
        <v>0.46</v>
      </c>
      <c r="I175">
        <v>0.74</v>
      </c>
      <c r="J175">
        <v>0.51</v>
      </c>
      <c r="K175">
        <v>0.6</v>
      </c>
      <c r="L175" t="s">
        <v>8</v>
      </c>
      <c r="M175" t="s">
        <v>21</v>
      </c>
    </row>
    <row r="176" spans="1:13" x14ac:dyDescent="0.45">
      <c r="A176" t="s">
        <v>7</v>
      </c>
      <c r="B176" t="s">
        <v>134</v>
      </c>
      <c r="C176">
        <v>2040</v>
      </c>
      <c r="D176">
        <v>100</v>
      </c>
      <c r="E176">
        <v>0.57999999999999996</v>
      </c>
      <c r="F176">
        <v>0.56999999999999995</v>
      </c>
      <c r="G176">
        <v>0.08</v>
      </c>
      <c r="H176">
        <v>0.41</v>
      </c>
      <c r="I176">
        <v>0.73</v>
      </c>
      <c r="J176">
        <v>0.51</v>
      </c>
      <c r="K176">
        <v>0.64</v>
      </c>
      <c r="L176" t="s">
        <v>8</v>
      </c>
      <c r="M176" t="s">
        <v>21</v>
      </c>
    </row>
    <row r="177" spans="1:13" x14ac:dyDescent="0.45">
      <c r="A177" t="s">
        <v>7</v>
      </c>
      <c r="B177" t="s">
        <v>134</v>
      </c>
      <c r="C177">
        <v>2045</v>
      </c>
      <c r="D177">
        <v>94</v>
      </c>
      <c r="E177">
        <v>0.56999999999999995</v>
      </c>
      <c r="F177">
        <v>0.55000000000000004</v>
      </c>
      <c r="G177">
        <v>0.09</v>
      </c>
      <c r="H177">
        <v>0.4</v>
      </c>
      <c r="I177">
        <v>0.73</v>
      </c>
      <c r="J177">
        <v>0.5</v>
      </c>
      <c r="K177">
        <v>0.63</v>
      </c>
      <c r="L177" t="s">
        <v>8</v>
      </c>
      <c r="M177" t="s">
        <v>21</v>
      </c>
    </row>
    <row r="178" spans="1:13" x14ac:dyDescent="0.45">
      <c r="A178" t="s">
        <v>7</v>
      </c>
      <c r="B178" t="s">
        <v>134</v>
      </c>
      <c r="C178">
        <v>2050</v>
      </c>
      <c r="D178">
        <v>100</v>
      </c>
      <c r="E178">
        <v>0.56999999999999995</v>
      </c>
      <c r="F178">
        <v>0.53</v>
      </c>
      <c r="G178">
        <v>0.1</v>
      </c>
      <c r="H178">
        <v>0.4</v>
      </c>
      <c r="I178">
        <v>0.74</v>
      </c>
      <c r="J178">
        <v>0.5</v>
      </c>
      <c r="K178">
        <v>0.68</v>
      </c>
      <c r="L178" t="s">
        <v>8</v>
      </c>
      <c r="M178" t="s">
        <v>21</v>
      </c>
    </row>
    <row r="179" spans="1:13" x14ac:dyDescent="0.45">
      <c r="A179" t="s">
        <v>9</v>
      </c>
      <c r="B179" t="s">
        <v>134</v>
      </c>
      <c r="C179">
        <v>2020</v>
      </c>
      <c r="D179">
        <v>58</v>
      </c>
      <c r="E179">
        <v>0.54</v>
      </c>
      <c r="F179">
        <v>0.53</v>
      </c>
      <c r="G179">
        <v>0.03</v>
      </c>
      <c r="H179">
        <v>0.47</v>
      </c>
      <c r="I179">
        <v>0.6</v>
      </c>
      <c r="J179">
        <v>0.51</v>
      </c>
      <c r="K179">
        <v>0.56999999999999995</v>
      </c>
      <c r="L179" t="s">
        <v>10</v>
      </c>
      <c r="M179" t="s">
        <v>21</v>
      </c>
    </row>
    <row r="180" spans="1:13" x14ac:dyDescent="0.45">
      <c r="A180" t="s">
        <v>9</v>
      </c>
      <c r="B180" t="s">
        <v>134</v>
      </c>
      <c r="C180">
        <v>2025</v>
      </c>
      <c r="D180">
        <v>53</v>
      </c>
      <c r="E180">
        <v>0.54</v>
      </c>
      <c r="F180">
        <v>0.55000000000000004</v>
      </c>
      <c r="G180">
        <v>0.03</v>
      </c>
      <c r="H180">
        <v>0.45</v>
      </c>
      <c r="I180">
        <v>0.57999999999999996</v>
      </c>
      <c r="J180">
        <v>0.53</v>
      </c>
      <c r="K180">
        <v>0.56000000000000005</v>
      </c>
      <c r="L180" t="s">
        <v>10</v>
      </c>
      <c r="M180" t="s">
        <v>21</v>
      </c>
    </row>
    <row r="181" spans="1:13" x14ac:dyDescent="0.45">
      <c r="A181" t="s">
        <v>9</v>
      </c>
      <c r="B181" t="s">
        <v>134</v>
      </c>
      <c r="C181">
        <v>2030</v>
      </c>
      <c r="D181">
        <v>58</v>
      </c>
      <c r="E181">
        <v>0.54</v>
      </c>
      <c r="F181">
        <v>0.54</v>
      </c>
      <c r="G181">
        <v>0.03</v>
      </c>
      <c r="H181">
        <v>0.47</v>
      </c>
      <c r="I181">
        <v>0.61</v>
      </c>
      <c r="J181">
        <v>0.53</v>
      </c>
      <c r="K181">
        <v>0.56000000000000005</v>
      </c>
      <c r="L181" t="s">
        <v>10</v>
      </c>
      <c r="M181" t="s">
        <v>21</v>
      </c>
    </row>
    <row r="182" spans="1:13" x14ac:dyDescent="0.45">
      <c r="A182" t="s">
        <v>9</v>
      </c>
      <c r="B182" t="s">
        <v>134</v>
      </c>
      <c r="C182">
        <v>2035</v>
      </c>
      <c r="D182">
        <v>53</v>
      </c>
      <c r="E182">
        <v>0.53</v>
      </c>
      <c r="F182">
        <v>0.53</v>
      </c>
      <c r="G182">
        <v>0.03</v>
      </c>
      <c r="H182">
        <v>0.45</v>
      </c>
      <c r="I182">
        <v>0.61</v>
      </c>
      <c r="J182">
        <v>0.52</v>
      </c>
      <c r="K182">
        <v>0.56000000000000005</v>
      </c>
      <c r="L182" t="s">
        <v>10</v>
      </c>
      <c r="M182" t="s">
        <v>21</v>
      </c>
    </row>
    <row r="183" spans="1:13" x14ac:dyDescent="0.45">
      <c r="A183" t="s">
        <v>9</v>
      </c>
      <c r="B183" t="s">
        <v>134</v>
      </c>
      <c r="C183">
        <v>2040</v>
      </c>
      <c r="D183">
        <v>58</v>
      </c>
      <c r="E183">
        <v>0.54</v>
      </c>
      <c r="F183">
        <v>0.54</v>
      </c>
      <c r="G183">
        <v>0.05</v>
      </c>
      <c r="H183">
        <v>0.44</v>
      </c>
      <c r="I183">
        <v>0.67</v>
      </c>
      <c r="J183">
        <v>0.51</v>
      </c>
      <c r="K183">
        <v>0.56999999999999995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134</v>
      </c>
      <c r="C184">
        <v>2045</v>
      </c>
      <c r="D184">
        <v>53</v>
      </c>
      <c r="E184">
        <v>0.53</v>
      </c>
      <c r="F184">
        <v>0.52</v>
      </c>
      <c r="G184">
        <v>0.05</v>
      </c>
      <c r="H184">
        <v>0.43</v>
      </c>
      <c r="I184">
        <v>0.63</v>
      </c>
      <c r="J184">
        <v>0.49</v>
      </c>
      <c r="K184">
        <v>0.56000000000000005</v>
      </c>
      <c r="L184" t="s">
        <v>10</v>
      </c>
      <c r="M184" t="s">
        <v>21</v>
      </c>
    </row>
    <row r="185" spans="1:13" x14ac:dyDescent="0.45">
      <c r="A185" t="s">
        <v>9</v>
      </c>
      <c r="B185" t="s">
        <v>134</v>
      </c>
      <c r="C185">
        <v>2050</v>
      </c>
      <c r="D185">
        <v>58</v>
      </c>
      <c r="E185">
        <v>0.54</v>
      </c>
      <c r="F185">
        <v>0.55000000000000004</v>
      </c>
      <c r="G185">
        <v>7.0000000000000007E-2</v>
      </c>
      <c r="H185">
        <v>0.42</v>
      </c>
      <c r="I185">
        <v>0.69</v>
      </c>
      <c r="J185">
        <v>0.48</v>
      </c>
      <c r="K185">
        <v>0.56999999999999995</v>
      </c>
      <c r="L185" t="s">
        <v>10</v>
      </c>
      <c r="M185" t="s">
        <v>21</v>
      </c>
    </row>
    <row r="186" spans="1:13" x14ac:dyDescent="0.45">
      <c r="A186" t="s">
        <v>0</v>
      </c>
      <c r="B186" t="s">
        <v>134</v>
      </c>
      <c r="C186">
        <v>2020</v>
      </c>
      <c r="D186">
        <v>56</v>
      </c>
      <c r="E186">
        <v>0.01</v>
      </c>
      <c r="F186">
        <v>0.01</v>
      </c>
      <c r="G186">
        <v>0</v>
      </c>
      <c r="H186">
        <v>0</v>
      </c>
      <c r="I186">
        <v>0.02</v>
      </c>
      <c r="J186">
        <v>0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134</v>
      </c>
      <c r="C187">
        <v>2025</v>
      </c>
      <c r="D187">
        <v>56</v>
      </c>
      <c r="E187">
        <v>0.02</v>
      </c>
      <c r="F187">
        <v>0.02</v>
      </c>
      <c r="G187">
        <v>0.01</v>
      </c>
      <c r="H187">
        <v>0</v>
      </c>
      <c r="I187">
        <v>0.04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134</v>
      </c>
      <c r="C188">
        <v>2030</v>
      </c>
      <c r="D188">
        <v>56</v>
      </c>
      <c r="E188">
        <v>0.03</v>
      </c>
      <c r="F188">
        <v>0.03</v>
      </c>
      <c r="G188">
        <v>0.01</v>
      </c>
      <c r="H188">
        <v>0</v>
      </c>
      <c r="I188">
        <v>0.05</v>
      </c>
      <c r="J188">
        <v>0.02</v>
      </c>
      <c r="K188">
        <v>0.04</v>
      </c>
      <c r="L188" t="s">
        <v>1</v>
      </c>
      <c r="M188" t="s">
        <v>23</v>
      </c>
    </row>
    <row r="189" spans="1:13" x14ac:dyDescent="0.45">
      <c r="A189" t="s">
        <v>0</v>
      </c>
      <c r="B189" t="s">
        <v>134</v>
      </c>
      <c r="C189">
        <v>2035</v>
      </c>
      <c r="D189">
        <v>56</v>
      </c>
      <c r="E189">
        <v>0.05</v>
      </c>
      <c r="F189">
        <v>0.05</v>
      </c>
      <c r="G189">
        <v>0.02</v>
      </c>
      <c r="H189">
        <v>0.01</v>
      </c>
      <c r="I189">
        <v>0.08</v>
      </c>
      <c r="J189">
        <v>0.04</v>
      </c>
      <c r="K189">
        <v>0.06</v>
      </c>
      <c r="L189" t="s">
        <v>1</v>
      </c>
      <c r="M189" t="s">
        <v>23</v>
      </c>
    </row>
    <row r="190" spans="1:13" x14ac:dyDescent="0.45">
      <c r="A190" t="s">
        <v>0</v>
      </c>
      <c r="B190" t="s">
        <v>134</v>
      </c>
      <c r="C190">
        <v>2040</v>
      </c>
      <c r="D190">
        <v>56</v>
      </c>
      <c r="E190">
        <v>7.0000000000000007E-2</v>
      </c>
      <c r="F190">
        <v>7.0000000000000007E-2</v>
      </c>
      <c r="G190">
        <v>0.03</v>
      </c>
      <c r="H190">
        <v>0.01</v>
      </c>
      <c r="I190">
        <v>0.13</v>
      </c>
      <c r="J190">
        <v>0.06</v>
      </c>
      <c r="K190">
        <v>0.08</v>
      </c>
      <c r="L190" t="s">
        <v>1</v>
      </c>
      <c r="M190" t="s">
        <v>23</v>
      </c>
    </row>
    <row r="191" spans="1:13" x14ac:dyDescent="0.45">
      <c r="A191" t="s">
        <v>0</v>
      </c>
      <c r="B191" t="s">
        <v>134</v>
      </c>
      <c r="C191">
        <v>2045</v>
      </c>
      <c r="D191">
        <v>56</v>
      </c>
      <c r="E191">
        <v>0.09</v>
      </c>
      <c r="F191">
        <v>0.09</v>
      </c>
      <c r="G191">
        <v>0.04</v>
      </c>
      <c r="H191">
        <v>0.01</v>
      </c>
      <c r="I191">
        <v>0.16</v>
      </c>
      <c r="J191">
        <v>0.08</v>
      </c>
      <c r="K191">
        <v>0.12</v>
      </c>
      <c r="L191" t="s">
        <v>1</v>
      </c>
      <c r="M191" t="s">
        <v>23</v>
      </c>
    </row>
    <row r="192" spans="1:13" x14ac:dyDescent="0.45">
      <c r="A192" t="s">
        <v>0</v>
      </c>
      <c r="B192" t="s">
        <v>134</v>
      </c>
      <c r="C192">
        <v>2050</v>
      </c>
      <c r="D192">
        <v>56</v>
      </c>
      <c r="E192">
        <v>0.1</v>
      </c>
      <c r="F192">
        <v>0.09</v>
      </c>
      <c r="G192">
        <v>0.04</v>
      </c>
      <c r="H192">
        <v>0.01</v>
      </c>
      <c r="I192">
        <v>0.18</v>
      </c>
      <c r="J192">
        <v>0.09</v>
      </c>
      <c r="K192">
        <v>0.12</v>
      </c>
      <c r="L192" t="s">
        <v>1</v>
      </c>
      <c r="M192" t="s">
        <v>23</v>
      </c>
    </row>
    <row r="193" spans="1:13" x14ac:dyDescent="0.45">
      <c r="A193" t="s">
        <v>2</v>
      </c>
      <c r="B193" t="s">
        <v>134</v>
      </c>
      <c r="C193">
        <v>2020</v>
      </c>
      <c r="D193">
        <v>99</v>
      </c>
      <c r="E193">
        <v>0.01</v>
      </c>
      <c r="F193">
        <v>0.01</v>
      </c>
      <c r="G193">
        <v>0</v>
      </c>
      <c r="H193">
        <v>0</v>
      </c>
      <c r="I193">
        <v>0.02</v>
      </c>
      <c r="J193">
        <v>0</v>
      </c>
      <c r="K193">
        <v>0.01</v>
      </c>
      <c r="L193" t="s">
        <v>3</v>
      </c>
      <c r="M193" t="s">
        <v>23</v>
      </c>
    </row>
    <row r="194" spans="1:13" x14ac:dyDescent="0.45">
      <c r="A194" t="s">
        <v>2</v>
      </c>
      <c r="B194" t="s">
        <v>134</v>
      </c>
      <c r="C194">
        <v>2025</v>
      </c>
      <c r="D194">
        <v>88</v>
      </c>
      <c r="E194">
        <v>0.02</v>
      </c>
      <c r="F194">
        <v>0.01</v>
      </c>
      <c r="G194">
        <v>0.01</v>
      </c>
      <c r="H194">
        <v>0</v>
      </c>
      <c r="I194">
        <v>0.05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134</v>
      </c>
      <c r="C195">
        <v>2030</v>
      </c>
      <c r="D195">
        <v>99</v>
      </c>
      <c r="E195">
        <v>0.03</v>
      </c>
      <c r="F195">
        <v>0.03</v>
      </c>
      <c r="G195">
        <v>0.02</v>
      </c>
      <c r="H195">
        <v>0</v>
      </c>
      <c r="I195">
        <v>0.06</v>
      </c>
      <c r="J195">
        <v>0.02</v>
      </c>
      <c r="K195">
        <v>0.03</v>
      </c>
      <c r="L195" t="s">
        <v>3</v>
      </c>
      <c r="M195" t="s">
        <v>23</v>
      </c>
    </row>
    <row r="196" spans="1:13" x14ac:dyDescent="0.45">
      <c r="A196" t="s">
        <v>2</v>
      </c>
      <c r="B196" t="s">
        <v>134</v>
      </c>
      <c r="C196">
        <v>2035</v>
      </c>
      <c r="D196">
        <v>88</v>
      </c>
      <c r="E196">
        <v>0.04</v>
      </c>
      <c r="F196">
        <v>0.04</v>
      </c>
      <c r="G196">
        <v>0.02</v>
      </c>
      <c r="H196">
        <v>0.01</v>
      </c>
      <c r="I196">
        <v>0.08</v>
      </c>
      <c r="J196">
        <v>0.02</v>
      </c>
      <c r="K196">
        <v>0.05</v>
      </c>
      <c r="L196" t="s">
        <v>3</v>
      </c>
      <c r="M196" t="s">
        <v>23</v>
      </c>
    </row>
    <row r="197" spans="1:13" x14ac:dyDescent="0.45">
      <c r="A197" t="s">
        <v>2</v>
      </c>
      <c r="B197" t="s">
        <v>134</v>
      </c>
      <c r="C197">
        <v>2040</v>
      </c>
      <c r="D197">
        <v>99</v>
      </c>
      <c r="E197">
        <v>0.08</v>
      </c>
      <c r="F197">
        <v>7.0000000000000007E-2</v>
      </c>
      <c r="G197">
        <v>0.05</v>
      </c>
      <c r="H197">
        <v>0.01</v>
      </c>
      <c r="I197">
        <v>0.22</v>
      </c>
      <c r="J197">
        <v>0.04</v>
      </c>
      <c r="K197">
        <v>0.09</v>
      </c>
      <c r="L197" t="s">
        <v>3</v>
      </c>
      <c r="M197" t="s">
        <v>23</v>
      </c>
    </row>
    <row r="198" spans="1:13" x14ac:dyDescent="0.45">
      <c r="A198" t="s">
        <v>2</v>
      </c>
      <c r="B198" t="s">
        <v>134</v>
      </c>
      <c r="C198">
        <v>2045</v>
      </c>
      <c r="D198">
        <v>88</v>
      </c>
      <c r="E198">
        <v>0.08</v>
      </c>
      <c r="F198">
        <v>0.08</v>
      </c>
      <c r="G198">
        <v>0.04</v>
      </c>
      <c r="H198">
        <v>0.01</v>
      </c>
      <c r="I198">
        <v>0.17</v>
      </c>
      <c r="J198">
        <v>0.05</v>
      </c>
      <c r="K198">
        <v>0.11</v>
      </c>
      <c r="L198" t="s">
        <v>3</v>
      </c>
      <c r="M198" t="s">
        <v>23</v>
      </c>
    </row>
    <row r="199" spans="1:13" x14ac:dyDescent="0.45">
      <c r="A199" t="s">
        <v>2</v>
      </c>
      <c r="B199" t="s">
        <v>134</v>
      </c>
      <c r="C199">
        <v>2050</v>
      </c>
      <c r="D199">
        <v>99</v>
      </c>
      <c r="E199">
        <v>0.11</v>
      </c>
      <c r="F199">
        <v>0.09</v>
      </c>
      <c r="G199">
        <v>7.0000000000000007E-2</v>
      </c>
      <c r="H199">
        <v>0.01</v>
      </c>
      <c r="I199">
        <v>0.27</v>
      </c>
      <c r="J199">
        <v>7.0000000000000007E-2</v>
      </c>
      <c r="K199">
        <v>0.16</v>
      </c>
      <c r="L199" t="s">
        <v>3</v>
      </c>
      <c r="M199" t="s">
        <v>23</v>
      </c>
    </row>
    <row r="200" spans="1:13" x14ac:dyDescent="0.45">
      <c r="A200" t="s">
        <v>5</v>
      </c>
      <c r="B200" t="s">
        <v>134</v>
      </c>
      <c r="C200">
        <v>2020</v>
      </c>
      <c r="D200">
        <v>231</v>
      </c>
      <c r="E200">
        <v>0.01</v>
      </c>
      <c r="F200">
        <v>0.01</v>
      </c>
      <c r="G200">
        <v>0</v>
      </c>
      <c r="H200">
        <v>0</v>
      </c>
      <c r="I200">
        <v>0.03</v>
      </c>
      <c r="J200">
        <v>0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134</v>
      </c>
      <c r="C201">
        <v>2025</v>
      </c>
      <c r="D201">
        <v>208</v>
      </c>
      <c r="E201">
        <v>0.02</v>
      </c>
      <c r="F201">
        <v>0.01</v>
      </c>
      <c r="G201">
        <v>0.04</v>
      </c>
      <c r="H201">
        <v>0</v>
      </c>
      <c r="I201">
        <v>0.38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134</v>
      </c>
      <c r="C202">
        <v>2030</v>
      </c>
      <c r="D202">
        <v>231</v>
      </c>
      <c r="E202">
        <v>0.02</v>
      </c>
      <c r="F202">
        <v>0.02</v>
      </c>
      <c r="G202">
        <v>0.04</v>
      </c>
      <c r="H202">
        <v>0</v>
      </c>
      <c r="I202">
        <v>0.5</v>
      </c>
      <c r="J202">
        <v>0</v>
      </c>
      <c r="K202">
        <v>0.03</v>
      </c>
      <c r="L202" t="s">
        <v>6</v>
      </c>
      <c r="M202" t="s">
        <v>23</v>
      </c>
    </row>
    <row r="203" spans="1:13" x14ac:dyDescent="0.45">
      <c r="A203" t="s">
        <v>5</v>
      </c>
      <c r="B203" t="s">
        <v>134</v>
      </c>
      <c r="C203">
        <v>2035</v>
      </c>
      <c r="D203">
        <v>208</v>
      </c>
      <c r="E203">
        <v>0.03</v>
      </c>
      <c r="F203">
        <v>0.03</v>
      </c>
      <c r="G203">
        <v>0.02</v>
      </c>
      <c r="H203">
        <v>0</v>
      </c>
      <c r="I203">
        <v>0.19</v>
      </c>
      <c r="J203">
        <v>0.01</v>
      </c>
      <c r="K203">
        <v>0.05</v>
      </c>
      <c r="L203" t="s">
        <v>6</v>
      </c>
      <c r="M203" t="s">
        <v>23</v>
      </c>
    </row>
    <row r="204" spans="1:13" x14ac:dyDescent="0.45">
      <c r="A204" t="s">
        <v>5</v>
      </c>
      <c r="B204" t="s">
        <v>134</v>
      </c>
      <c r="C204">
        <v>2040</v>
      </c>
      <c r="D204">
        <v>231</v>
      </c>
      <c r="E204">
        <v>0.05</v>
      </c>
      <c r="F204">
        <v>0.04</v>
      </c>
      <c r="G204">
        <v>0.04</v>
      </c>
      <c r="H204">
        <v>0</v>
      </c>
      <c r="I204">
        <v>0.25</v>
      </c>
      <c r="J204">
        <v>0.02</v>
      </c>
      <c r="K204">
        <v>7.0000000000000007E-2</v>
      </c>
      <c r="L204" t="s">
        <v>6</v>
      </c>
      <c r="M204" t="s">
        <v>23</v>
      </c>
    </row>
    <row r="205" spans="1:13" x14ac:dyDescent="0.45">
      <c r="A205" t="s">
        <v>5</v>
      </c>
      <c r="B205" t="s">
        <v>134</v>
      </c>
      <c r="C205">
        <v>2045</v>
      </c>
      <c r="D205">
        <v>208</v>
      </c>
      <c r="E205">
        <v>7.0000000000000007E-2</v>
      </c>
      <c r="F205">
        <v>0.06</v>
      </c>
      <c r="G205">
        <v>0.04</v>
      </c>
      <c r="H205">
        <v>0.01</v>
      </c>
      <c r="I205">
        <v>0.3</v>
      </c>
      <c r="J205">
        <v>0.03</v>
      </c>
      <c r="K205">
        <v>0.09</v>
      </c>
      <c r="L205" t="s">
        <v>6</v>
      </c>
      <c r="M205" t="s">
        <v>23</v>
      </c>
    </row>
    <row r="206" spans="1:13" x14ac:dyDescent="0.45">
      <c r="A206" t="s">
        <v>5</v>
      </c>
      <c r="B206" t="s">
        <v>134</v>
      </c>
      <c r="C206">
        <v>2050</v>
      </c>
      <c r="D206">
        <v>231</v>
      </c>
      <c r="E206">
        <v>0.08</v>
      </c>
      <c r="F206">
        <v>0.08</v>
      </c>
      <c r="G206">
        <v>0.06</v>
      </c>
      <c r="H206">
        <v>0</v>
      </c>
      <c r="I206">
        <v>0.32</v>
      </c>
      <c r="J206">
        <v>0.02</v>
      </c>
      <c r="K206">
        <v>0.09</v>
      </c>
      <c r="L206" t="s">
        <v>6</v>
      </c>
      <c r="M206" t="s">
        <v>23</v>
      </c>
    </row>
    <row r="207" spans="1:13" x14ac:dyDescent="0.45">
      <c r="A207" t="s">
        <v>7</v>
      </c>
      <c r="B207" t="s">
        <v>134</v>
      </c>
      <c r="C207">
        <v>2020</v>
      </c>
      <c r="D207">
        <v>102</v>
      </c>
      <c r="E207">
        <v>0.01</v>
      </c>
      <c r="F207">
        <v>0.01</v>
      </c>
      <c r="G207">
        <v>0.01</v>
      </c>
      <c r="H207">
        <v>0</v>
      </c>
      <c r="I207">
        <v>0.03</v>
      </c>
      <c r="J207">
        <v>0</v>
      </c>
      <c r="K207">
        <v>0.01</v>
      </c>
      <c r="L207" t="s">
        <v>8</v>
      </c>
      <c r="M207" t="s">
        <v>23</v>
      </c>
    </row>
    <row r="208" spans="1:13" x14ac:dyDescent="0.45">
      <c r="A208" t="s">
        <v>7</v>
      </c>
      <c r="B208" t="s">
        <v>134</v>
      </c>
      <c r="C208">
        <v>2025</v>
      </c>
      <c r="D208">
        <v>96</v>
      </c>
      <c r="E208">
        <v>0.02</v>
      </c>
      <c r="F208">
        <v>0.01</v>
      </c>
      <c r="G208">
        <v>7.0000000000000007E-2</v>
      </c>
      <c r="H208">
        <v>0</v>
      </c>
      <c r="I208">
        <v>0.63</v>
      </c>
      <c r="J208">
        <v>0.01</v>
      </c>
      <c r="K208">
        <v>0.02</v>
      </c>
      <c r="L208" t="s">
        <v>8</v>
      </c>
      <c r="M208" t="s">
        <v>23</v>
      </c>
    </row>
    <row r="209" spans="1:13" x14ac:dyDescent="0.45">
      <c r="A209" t="s">
        <v>7</v>
      </c>
      <c r="B209" t="s">
        <v>134</v>
      </c>
      <c r="C209">
        <v>2030</v>
      </c>
      <c r="D209">
        <v>102</v>
      </c>
      <c r="E209">
        <v>0.02</v>
      </c>
      <c r="F209">
        <v>0.01</v>
      </c>
      <c r="G209">
        <v>0.06</v>
      </c>
      <c r="H209">
        <v>0</v>
      </c>
      <c r="I209">
        <v>0.63</v>
      </c>
      <c r="J209">
        <v>0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134</v>
      </c>
      <c r="C210">
        <v>2035</v>
      </c>
      <c r="D210">
        <v>96</v>
      </c>
      <c r="E210">
        <v>0.03</v>
      </c>
      <c r="F210">
        <v>0.02</v>
      </c>
      <c r="G210">
        <v>0.02</v>
      </c>
      <c r="H210">
        <v>0</v>
      </c>
      <c r="I210">
        <v>7.0000000000000007E-2</v>
      </c>
      <c r="J210">
        <v>0.01</v>
      </c>
      <c r="K210">
        <v>0.04</v>
      </c>
      <c r="L210" t="s">
        <v>8</v>
      </c>
      <c r="M210" t="s">
        <v>23</v>
      </c>
    </row>
    <row r="211" spans="1:13" x14ac:dyDescent="0.45">
      <c r="A211" t="s">
        <v>7</v>
      </c>
      <c r="B211" t="s">
        <v>134</v>
      </c>
      <c r="C211">
        <v>2040</v>
      </c>
      <c r="D211">
        <v>102</v>
      </c>
      <c r="E211">
        <v>0.04</v>
      </c>
      <c r="F211">
        <v>0.03</v>
      </c>
      <c r="G211">
        <v>0.03</v>
      </c>
      <c r="H211">
        <v>0</v>
      </c>
      <c r="I211">
        <v>0.09</v>
      </c>
      <c r="J211">
        <v>0.01</v>
      </c>
      <c r="K211">
        <v>0.05</v>
      </c>
      <c r="L211" t="s">
        <v>8</v>
      </c>
      <c r="M211" t="s">
        <v>23</v>
      </c>
    </row>
    <row r="212" spans="1:13" x14ac:dyDescent="0.45">
      <c r="A212" t="s">
        <v>7</v>
      </c>
      <c r="B212" t="s">
        <v>134</v>
      </c>
      <c r="C212">
        <v>2045</v>
      </c>
      <c r="D212">
        <v>96</v>
      </c>
      <c r="E212">
        <v>0.05</v>
      </c>
      <c r="F212">
        <v>0.05</v>
      </c>
      <c r="G212">
        <v>0.04</v>
      </c>
      <c r="H212">
        <v>0</v>
      </c>
      <c r="I212">
        <v>0.14000000000000001</v>
      </c>
      <c r="J212">
        <v>0.02</v>
      </c>
      <c r="K212">
        <v>7.0000000000000007E-2</v>
      </c>
      <c r="L212" t="s">
        <v>8</v>
      </c>
      <c r="M212" t="s">
        <v>23</v>
      </c>
    </row>
    <row r="213" spans="1:13" x14ac:dyDescent="0.45">
      <c r="A213" t="s">
        <v>7</v>
      </c>
      <c r="B213" t="s">
        <v>134</v>
      </c>
      <c r="C213">
        <v>2050</v>
      </c>
      <c r="D213">
        <v>102</v>
      </c>
      <c r="E213">
        <v>7.0000000000000007E-2</v>
      </c>
      <c r="F213">
        <v>0.06</v>
      </c>
      <c r="G213">
        <v>0.06</v>
      </c>
      <c r="H213">
        <v>0</v>
      </c>
      <c r="I213">
        <v>0.21</v>
      </c>
      <c r="J213">
        <v>0.01</v>
      </c>
      <c r="K213">
        <v>0.09</v>
      </c>
      <c r="L213" t="s">
        <v>8</v>
      </c>
      <c r="M213" t="s">
        <v>23</v>
      </c>
    </row>
    <row r="214" spans="1:13" x14ac:dyDescent="0.45">
      <c r="A214" t="s">
        <v>9</v>
      </c>
      <c r="B214" t="s">
        <v>134</v>
      </c>
      <c r="C214">
        <v>2020</v>
      </c>
      <c r="D214">
        <v>59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134</v>
      </c>
      <c r="C215">
        <v>2025</v>
      </c>
      <c r="D215">
        <v>54</v>
      </c>
      <c r="E215">
        <v>0.01</v>
      </c>
      <c r="F215">
        <v>0.01</v>
      </c>
      <c r="G215">
        <v>0.01</v>
      </c>
      <c r="H215">
        <v>0</v>
      </c>
      <c r="I215">
        <v>0.04</v>
      </c>
      <c r="J215">
        <v>0.01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134</v>
      </c>
      <c r="C216">
        <v>2030</v>
      </c>
      <c r="D216">
        <v>59</v>
      </c>
      <c r="E216">
        <v>0.02</v>
      </c>
      <c r="F216">
        <v>0.02</v>
      </c>
      <c r="G216">
        <v>0.01</v>
      </c>
      <c r="H216">
        <v>0</v>
      </c>
      <c r="I216">
        <v>0.06</v>
      </c>
      <c r="J216">
        <v>0.01</v>
      </c>
      <c r="K216">
        <v>0.02</v>
      </c>
      <c r="L216" t="s">
        <v>10</v>
      </c>
      <c r="M216" t="s">
        <v>23</v>
      </c>
    </row>
    <row r="217" spans="1:13" x14ac:dyDescent="0.45">
      <c r="A217" t="s">
        <v>9</v>
      </c>
      <c r="B217" t="s">
        <v>134</v>
      </c>
      <c r="C217">
        <v>2035</v>
      </c>
      <c r="D217">
        <v>54</v>
      </c>
      <c r="E217">
        <v>0.02</v>
      </c>
      <c r="F217">
        <v>0.02</v>
      </c>
      <c r="G217">
        <v>0.01</v>
      </c>
      <c r="H217">
        <v>0</v>
      </c>
      <c r="I217">
        <v>7.0000000000000007E-2</v>
      </c>
      <c r="J217">
        <v>0.01</v>
      </c>
      <c r="K217">
        <v>0.03</v>
      </c>
      <c r="L217" t="s">
        <v>10</v>
      </c>
      <c r="M217" t="s">
        <v>23</v>
      </c>
    </row>
    <row r="218" spans="1:13" x14ac:dyDescent="0.45">
      <c r="A218" t="s">
        <v>9</v>
      </c>
      <c r="B218" t="s">
        <v>134</v>
      </c>
      <c r="C218">
        <v>2040</v>
      </c>
      <c r="D218">
        <v>59</v>
      </c>
      <c r="E218">
        <v>0.03</v>
      </c>
      <c r="F218">
        <v>0.03</v>
      </c>
      <c r="G218">
        <v>0.02</v>
      </c>
      <c r="H218">
        <v>0</v>
      </c>
      <c r="I218">
        <v>0.08</v>
      </c>
      <c r="J218">
        <v>0.01</v>
      </c>
      <c r="K218">
        <v>0.04</v>
      </c>
      <c r="L218" t="s">
        <v>10</v>
      </c>
      <c r="M218" t="s">
        <v>23</v>
      </c>
    </row>
    <row r="219" spans="1:13" x14ac:dyDescent="0.45">
      <c r="A219" t="s">
        <v>9</v>
      </c>
      <c r="B219" t="s">
        <v>134</v>
      </c>
      <c r="C219">
        <v>2045</v>
      </c>
      <c r="D219">
        <v>54</v>
      </c>
      <c r="E219">
        <v>0.04</v>
      </c>
      <c r="F219">
        <v>0.04</v>
      </c>
      <c r="G219">
        <v>0.02</v>
      </c>
      <c r="H219">
        <v>0</v>
      </c>
      <c r="I219">
        <v>0.09</v>
      </c>
      <c r="J219">
        <v>0.02</v>
      </c>
      <c r="K219">
        <v>0.06</v>
      </c>
      <c r="L219" t="s">
        <v>10</v>
      </c>
      <c r="M219" t="s">
        <v>23</v>
      </c>
    </row>
    <row r="220" spans="1:13" x14ac:dyDescent="0.45">
      <c r="A220" t="s">
        <v>9</v>
      </c>
      <c r="B220" t="s">
        <v>134</v>
      </c>
      <c r="C220">
        <v>2050</v>
      </c>
      <c r="D220">
        <v>59</v>
      </c>
      <c r="E220">
        <v>0.05</v>
      </c>
      <c r="F220">
        <v>0.05</v>
      </c>
      <c r="G220">
        <v>0.03</v>
      </c>
      <c r="H220">
        <v>0</v>
      </c>
      <c r="I220">
        <v>0.1</v>
      </c>
      <c r="J220">
        <v>0.03</v>
      </c>
      <c r="K220">
        <v>0.08</v>
      </c>
      <c r="L220" t="s">
        <v>10</v>
      </c>
      <c r="M220" t="s">
        <v>23</v>
      </c>
    </row>
    <row r="221" spans="1:13" x14ac:dyDescent="0.45">
      <c r="A221" t="s">
        <v>0</v>
      </c>
      <c r="B221" t="s">
        <v>134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134</v>
      </c>
      <c r="C222">
        <v>2025</v>
      </c>
      <c r="D222">
        <v>45</v>
      </c>
      <c r="E222">
        <v>2.0499999999999998</v>
      </c>
      <c r="F222">
        <v>1.83</v>
      </c>
      <c r="G222">
        <v>1.03</v>
      </c>
      <c r="H222">
        <v>1.1200000000000001</v>
      </c>
      <c r="I222">
        <v>5.98</v>
      </c>
      <c r="J222">
        <v>1.48</v>
      </c>
      <c r="K222">
        <v>2.09</v>
      </c>
      <c r="L222" t="s">
        <v>1</v>
      </c>
      <c r="M222" t="s">
        <v>70</v>
      </c>
    </row>
    <row r="223" spans="1:13" x14ac:dyDescent="0.45">
      <c r="A223" t="s">
        <v>0</v>
      </c>
      <c r="B223" t="s">
        <v>134</v>
      </c>
      <c r="C223">
        <v>2030</v>
      </c>
      <c r="D223">
        <v>45</v>
      </c>
      <c r="E223">
        <v>3.11</v>
      </c>
      <c r="F223">
        <v>2.5499999999999998</v>
      </c>
      <c r="G223">
        <v>1.56</v>
      </c>
      <c r="H223">
        <v>1.21</v>
      </c>
      <c r="I223">
        <v>9.1</v>
      </c>
      <c r="J223">
        <v>2.14</v>
      </c>
      <c r="K223">
        <v>4.16</v>
      </c>
      <c r="L223" t="s">
        <v>1</v>
      </c>
      <c r="M223" t="s">
        <v>70</v>
      </c>
    </row>
    <row r="224" spans="1:13" x14ac:dyDescent="0.45">
      <c r="A224" t="s">
        <v>0</v>
      </c>
      <c r="B224" t="s">
        <v>134</v>
      </c>
      <c r="C224">
        <v>2035</v>
      </c>
      <c r="D224">
        <v>45</v>
      </c>
      <c r="E224">
        <v>4.08</v>
      </c>
      <c r="F224">
        <v>2.88</v>
      </c>
      <c r="G224">
        <v>2.34</v>
      </c>
      <c r="H224">
        <v>1.58</v>
      </c>
      <c r="I224">
        <v>10.93</v>
      </c>
      <c r="J224">
        <v>2.5499999999999998</v>
      </c>
      <c r="K224">
        <v>4.9400000000000004</v>
      </c>
      <c r="L224" t="s">
        <v>1</v>
      </c>
      <c r="M224" t="s">
        <v>70</v>
      </c>
    </row>
    <row r="225" spans="1:13" x14ac:dyDescent="0.45">
      <c r="A225" t="s">
        <v>0</v>
      </c>
      <c r="B225" t="s">
        <v>134</v>
      </c>
      <c r="C225">
        <v>2040</v>
      </c>
      <c r="D225">
        <v>45</v>
      </c>
      <c r="E225">
        <v>5.25</v>
      </c>
      <c r="F225">
        <v>3.73</v>
      </c>
      <c r="G225">
        <v>3.03</v>
      </c>
      <c r="H225">
        <v>2.36</v>
      </c>
      <c r="I225">
        <v>12.84</v>
      </c>
      <c r="J225">
        <v>3.22</v>
      </c>
      <c r="K225">
        <v>6.09</v>
      </c>
      <c r="L225" t="s">
        <v>1</v>
      </c>
      <c r="M225" t="s">
        <v>70</v>
      </c>
    </row>
    <row r="226" spans="1:13" x14ac:dyDescent="0.45">
      <c r="A226" t="s">
        <v>0</v>
      </c>
      <c r="B226" t="s">
        <v>134</v>
      </c>
      <c r="C226">
        <v>2045</v>
      </c>
      <c r="D226">
        <v>45</v>
      </c>
      <c r="E226">
        <v>6.38</v>
      </c>
      <c r="F226">
        <v>4.8</v>
      </c>
      <c r="G226">
        <v>3.62</v>
      </c>
      <c r="H226">
        <v>2.72</v>
      </c>
      <c r="I226">
        <v>15.49</v>
      </c>
      <c r="J226">
        <v>3.92</v>
      </c>
      <c r="K226">
        <v>7.58</v>
      </c>
      <c r="L226" t="s">
        <v>1</v>
      </c>
      <c r="M226" t="s">
        <v>70</v>
      </c>
    </row>
    <row r="227" spans="1:13" x14ac:dyDescent="0.45">
      <c r="A227" t="s">
        <v>0</v>
      </c>
      <c r="B227" t="s">
        <v>134</v>
      </c>
      <c r="C227">
        <v>2050</v>
      </c>
      <c r="D227">
        <v>45</v>
      </c>
      <c r="E227">
        <v>7.06</v>
      </c>
      <c r="F227">
        <v>5.3</v>
      </c>
      <c r="G227">
        <v>4.08</v>
      </c>
      <c r="H227">
        <v>2.86</v>
      </c>
      <c r="I227">
        <v>16.670000000000002</v>
      </c>
      <c r="J227">
        <v>4.18</v>
      </c>
      <c r="K227">
        <v>8.2899999999999991</v>
      </c>
      <c r="L227" t="s">
        <v>1</v>
      </c>
      <c r="M227" t="s">
        <v>70</v>
      </c>
    </row>
    <row r="228" spans="1:13" x14ac:dyDescent="0.45">
      <c r="A228" t="s">
        <v>2</v>
      </c>
      <c r="B228" t="s">
        <v>134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134</v>
      </c>
      <c r="C229">
        <v>2025</v>
      </c>
      <c r="D229">
        <v>44</v>
      </c>
      <c r="E229">
        <v>1.32</v>
      </c>
      <c r="F229">
        <v>1.27</v>
      </c>
      <c r="G229">
        <v>0.27</v>
      </c>
      <c r="H229">
        <v>0.87</v>
      </c>
      <c r="I229">
        <v>2.0299999999999998</v>
      </c>
      <c r="J229">
        <v>1.1299999999999999</v>
      </c>
      <c r="K229">
        <v>1.4</v>
      </c>
      <c r="L229" t="s">
        <v>3</v>
      </c>
      <c r="M229" t="s">
        <v>70</v>
      </c>
    </row>
    <row r="230" spans="1:13" x14ac:dyDescent="0.45">
      <c r="A230" t="s">
        <v>2</v>
      </c>
      <c r="B230" t="s">
        <v>134</v>
      </c>
      <c r="C230">
        <v>2030</v>
      </c>
      <c r="D230">
        <v>44</v>
      </c>
      <c r="E230">
        <v>1.59</v>
      </c>
      <c r="F230">
        <v>1.54</v>
      </c>
      <c r="G230">
        <v>0.38</v>
      </c>
      <c r="H230">
        <v>1.05</v>
      </c>
      <c r="I230">
        <v>2.6</v>
      </c>
      <c r="J230">
        <v>1.27</v>
      </c>
      <c r="K230">
        <v>1.73</v>
      </c>
      <c r="L230" t="s">
        <v>3</v>
      </c>
      <c r="M230" t="s">
        <v>70</v>
      </c>
    </row>
    <row r="231" spans="1:13" x14ac:dyDescent="0.45">
      <c r="A231" t="s">
        <v>2</v>
      </c>
      <c r="B231" t="s">
        <v>134</v>
      </c>
      <c r="C231">
        <v>2035</v>
      </c>
      <c r="D231">
        <v>44</v>
      </c>
      <c r="E231">
        <v>2.6</v>
      </c>
      <c r="F231">
        <v>2.2200000000000002</v>
      </c>
      <c r="G231">
        <v>2.1800000000000002</v>
      </c>
      <c r="H231">
        <v>0</v>
      </c>
      <c r="I231">
        <v>12.14</v>
      </c>
      <c r="J231">
        <v>1.7</v>
      </c>
      <c r="K231">
        <v>2.5299999999999998</v>
      </c>
      <c r="L231" t="s">
        <v>3</v>
      </c>
      <c r="M231" t="s">
        <v>70</v>
      </c>
    </row>
    <row r="232" spans="1:13" x14ac:dyDescent="0.45">
      <c r="A232" t="s">
        <v>2</v>
      </c>
      <c r="B232" t="s">
        <v>134</v>
      </c>
      <c r="C232">
        <v>2040</v>
      </c>
      <c r="D232">
        <v>44</v>
      </c>
      <c r="E232">
        <v>3.43</v>
      </c>
      <c r="F232">
        <v>2.63</v>
      </c>
      <c r="G232">
        <v>3.78</v>
      </c>
      <c r="H232">
        <v>0</v>
      </c>
      <c r="I232">
        <v>22.21</v>
      </c>
      <c r="J232">
        <v>1.87</v>
      </c>
      <c r="K232">
        <v>3.14</v>
      </c>
      <c r="L232" t="s">
        <v>3</v>
      </c>
      <c r="M232" t="s">
        <v>70</v>
      </c>
    </row>
    <row r="233" spans="1:13" x14ac:dyDescent="0.45">
      <c r="A233" t="s">
        <v>2</v>
      </c>
      <c r="B233" t="s">
        <v>134</v>
      </c>
      <c r="C233">
        <v>2045</v>
      </c>
      <c r="D233">
        <v>44</v>
      </c>
      <c r="E233">
        <v>3.5</v>
      </c>
      <c r="F233">
        <v>3.23</v>
      </c>
      <c r="G233">
        <v>2.2999999999999998</v>
      </c>
      <c r="H233">
        <v>0</v>
      </c>
      <c r="I233">
        <v>12.42</v>
      </c>
      <c r="J233">
        <v>2.3199999999999998</v>
      </c>
      <c r="K233">
        <v>3.85</v>
      </c>
      <c r="L233" t="s">
        <v>3</v>
      </c>
      <c r="M233" t="s">
        <v>70</v>
      </c>
    </row>
    <row r="234" spans="1:13" x14ac:dyDescent="0.45">
      <c r="A234" t="s">
        <v>2</v>
      </c>
      <c r="B234" t="s">
        <v>134</v>
      </c>
      <c r="C234">
        <v>2050</v>
      </c>
      <c r="D234">
        <v>44</v>
      </c>
      <c r="E234">
        <v>3.53</v>
      </c>
      <c r="F234">
        <v>3.75</v>
      </c>
      <c r="G234">
        <v>1.87</v>
      </c>
      <c r="H234">
        <v>0</v>
      </c>
      <c r="I234">
        <v>11.57</v>
      </c>
      <c r="J234">
        <v>2.5499999999999998</v>
      </c>
      <c r="K234">
        <v>4.2300000000000004</v>
      </c>
      <c r="L234" t="s">
        <v>3</v>
      </c>
      <c r="M234" t="s">
        <v>70</v>
      </c>
    </row>
    <row r="235" spans="1:13" x14ac:dyDescent="0.45">
      <c r="A235" t="s">
        <v>5</v>
      </c>
      <c r="B235" t="s">
        <v>134</v>
      </c>
      <c r="C235">
        <v>2020</v>
      </c>
      <c r="D235">
        <v>113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134</v>
      </c>
      <c r="C236">
        <v>2025</v>
      </c>
      <c r="D236">
        <v>113</v>
      </c>
      <c r="E236">
        <v>1.44</v>
      </c>
      <c r="F236">
        <v>1.31</v>
      </c>
      <c r="G236">
        <v>0.42</v>
      </c>
      <c r="H236">
        <v>0.78</v>
      </c>
      <c r="I236">
        <v>3.33</v>
      </c>
      <c r="J236">
        <v>1.18</v>
      </c>
      <c r="K236">
        <v>1.53</v>
      </c>
      <c r="L236" t="s">
        <v>6</v>
      </c>
      <c r="M236" t="s">
        <v>70</v>
      </c>
    </row>
    <row r="237" spans="1:13" x14ac:dyDescent="0.45">
      <c r="A237" t="s">
        <v>5</v>
      </c>
      <c r="B237" t="s">
        <v>134</v>
      </c>
      <c r="C237">
        <v>2030</v>
      </c>
      <c r="D237">
        <v>113</v>
      </c>
      <c r="E237">
        <v>1.8</v>
      </c>
      <c r="F237">
        <v>1.66</v>
      </c>
      <c r="G237">
        <v>0.65</v>
      </c>
      <c r="H237">
        <v>1.05</v>
      </c>
      <c r="I237">
        <v>4.8099999999999996</v>
      </c>
      <c r="J237">
        <v>1.43</v>
      </c>
      <c r="K237">
        <v>1.89</v>
      </c>
      <c r="L237" t="s">
        <v>6</v>
      </c>
      <c r="M237" t="s">
        <v>70</v>
      </c>
    </row>
    <row r="238" spans="1:13" x14ac:dyDescent="0.45">
      <c r="A238" t="s">
        <v>5</v>
      </c>
      <c r="B238" t="s">
        <v>134</v>
      </c>
      <c r="C238">
        <v>2035</v>
      </c>
      <c r="D238">
        <v>113</v>
      </c>
      <c r="E238">
        <v>2.5299999999999998</v>
      </c>
      <c r="F238">
        <v>1.99</v>
      </c>
      <c r="G238">
        <v>1.1499999999999999</v>
      </c>
      <c r="H238">
        <v>1.05</v>
      </c>
      <c r="I238">
        <v>8.35</v>
      </c>
      <c r="J238">
        <v>1.79</v>
      </c>
      <c r="K238">
        <v>2.98</v>
      </c>
      <c r="L238" t="s">
        <v>6</v>
      </c>
      <c r="M238" t="s">
        <v>70</v>
      </c>
    </row>
    <row r="239" spans="1:13" x14ac:dyDescent="0.45">
      <c r="A239" t="s">
        <v>5</v>
      </c>
      <c r="B239" t="s">
        <v>134</v>
      </c>
      <c r="C239">
        <v>2040</v>
      </c>
      <c r="D239">
        <v>113</v>
      </c>
      <c r="E239">
        <v>3.19</v>
      </c>
      <c r="F239">
        <v>2.4700000000000002</v>
      </c>
      <c r="G239">
        <v>1.71</v>
      </c>
      <c r="H239">
        <v>1.06</v>
      </c>
      <c r="I239">
        <v>11.04</v>
      </c>
      <c r="J239">
        <v>2.0099999999999998</v>
      </c>
      <c r="K239">
        <v>3.99</v>
      </c>
      <c r="L239" t="s">
        <v>6</v>
      </c>
      <c r="M239" t="s">
        <v>70</v>
      </c>
    </row>
    <row r="240" spans="1:13" x14ac:dyDescent="0.45">
      <c r="A240" t="s">
        <v>5</v>
      </c>
      <c r="B240" t="s">
        <v>134</v>
      </c>
      <c r="C240">
        <v>2045</v>
      </c>
      <c r="D240">
        <v>113</v>
      </c>
      <c r="E240">
        <v>3.73</v>
      </c>
      <c r="F240">
        <v>2.9</v>
      </c>
      <c r="G240">
        <v>1.9</v>
      </c>
      <c r="H240">
        <v>1.08</v>
      </c>
      <c r="I240">
        <v>10.44</v>
      </c>
      <c r="J240">
        <v>2.37</v>
      </c>
      <c r="K240">
        <v>4.8</v>
      </c>
      <c r="L240" t="s">
        <v>6</v>
      </c>
      <c r="M240" t="s">
        <v>70</v>
      </c>
    </row>
    <row r="241" spans="1:13" x14ac:dyDescent="0.45">
      <c r="A241" t="s">
        <v>5</v>
      </c>
      <c r="B241" t="s">
        <v>134</v>
      </c>
      <c r="C241">
        <v>2050</v>
      </c>
      <c r="D241">
        <v>113</v>
      </c>
      <c r="E241">
        <v>4.17</v>
      </c>
      <c r="F241">
        <v>3.42</v>
      </c>
      <c r="G241">
        <v>2.1800000000000002</v>
      </c>
      <c r="H241">
        <v>1.1100000000000001</v>
      </c>
      <c r="I241">
        <v>12.05</v>
      </c>
      <c r="J241">
        <v>2.5499999999999998</v>
      </c>
      <c r="K241">
        <v>5.38</v>
      </c>
      <c r="L241" t="s">
        <v>6</v>
      </c>
      <c r="M241" t="s">
        <v>70</v>
      </c>
    </row>
    <row r="242" spans="1:13" x14ac:dyDescent="0.45">
      <c r="A242" t="s">
        <v>7</v>
      </c>
      <c r="B242" t="s">
        <v>134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134</v>
      </c>
      <c r="C243">
        <v>2025</v>
      </c>
      <c r="D243">
        <v>30</v>
      </c>
      <c r="E243">
        <v>1.32</v>
      </c>
      <c r="F243">
        <v>1.25</v>
      </c>
      <c r="G243">
        <v>0.24</v>
      </c>
      <c r="H243">
        <v>1.02</v>
      </c>
      <c r="I243">
        <v>1.89</v>
      </c>
      <c r="J243">
        <v>1.1200000000000001</v>
      </c>
      <c r="K243">
        <v>1.4</v>
      </c>
      <c r="L243" t="s">
        <v>8</v>
      </c>
      <c r="M243" t="s">
        <v>70</v>
      </c>
    </row>
    <row r="244" spans="1:13" x14ac:dyDescent="0.45">
      <c r="A244" t="s">
        <v>7</v>
      </c>
      <c r="B244" t="s">
        <v>134</v>
      </c>
      <c r="C244">
        <v>2030</v>
      </c>
      <c r="D244">
        <v>30</v>
      </c>
      <c r="E244">
        <v>1.63</v>
      </c>
      <c r="F244">
        <v>1.55</v>
      </c>
      <c r="G244">
        <v>0.4</v>
      </c>
      <c r="H244">
        <v>1.01</v>
      </c>
      <c r="I244">
        <v>2.5</v>
      </c>
      <c r="J244">
        <v>1.26</v>
      </c>
      <c r="K244">
        <v>1.95</v>
      </c>
      <c r="L244" t="s">
        <v>8</v>
      </c>
      <c r="M244" t="s">
        <v>70</v>
      </c>
    </row>
    <row r="245" spans="1:13" x14ac:dyDescent="0.45">
      <c r="A245" t="s">
        <v>7</v>
      </c>
      <c r="B245" t="s">
        <v>134</v>
      </c>
      <c r="C245">
        <v>2035</v>
      </c>
      <c r="D245">
        <v>30</v>
      </c>
      <c r="E245">
        <v>2.2000000000000002</v>
      </c>
      <c r="F245">
        <v>2.27</v>
      </c>
      <c r="G245">
        <v>0.6</v>
      </c>
      <c r="H245">
        <v>0.84</v>
      </c>
      <c r="I245">
        <v>3.25</v>
      </c>
      <c r="J245">
        <v>1.58</v>
      </c>
      <c r="K245">
        <v>2.59</v>
      </c>
      <c r="L245" t="s">
        <v>8</v>
      </c>
      <c r="M245" t="s">
        <v>70</v>
      </c>
    </row>
    <row r="246" spans="1:13" x14ac:dyDescent="0.45">
      <c r="A246" t="s">
        <v>7</v>
      </c>
      <c r="B246" t="s">
        <v>134</v>
      </c>
      <c r="C246">
        <v>2040</v>
      </c>
      <c r="D246">
        <v>30</v>
      </c>
      <c r="E246">
        <v>2.73</v>
      </c>
      <c r="F246">
        <v>2.87</v>
      </c>
      <c r="G246">
        <v>0.89</v>
      </c>
      <c r="H246">
        <v>0.95</v>
      </c>
      <c r="I246">
        <v>5.05</v>
      </c>
      <c r="J246">
        <v>1.77</v>
      </c>
      <c r="K246">
        <v>3.26</v>
      </c>
      <c r="L246" t="s">
        <v>8</v>
      </c>
      <c r="M246" t="s">
        <v>70</v>
      </c>
    </row>
    <row r="247" spans="1:13" x14ac:dyDescent="0.45">
      <c r="A247" t="s">
        <v>7</v>
      </c>
      <c r="B247" t="s">
        <v>134</v>
      </c>
      <c r="C247">
        <v>2045</v>
      </c>
      <c r="D247">
        <v>30</v>
      </c>
      <c r="E247">
        <v>3.11</v>
      </c>
      <c r="F247">
        <v>3.27</v>
      </c>
      <c r="G247">
        <v>1.07</v>
      </c>
      <c r="H247">
        <v>0.93</v>
      </c>
      <c r="I247">
        <v>5.94</v>
      </c>
      <c r="J247">
        <v>1.95</v>
      </c>
      <c r="K247">
        <v>3.76</v>
      </c>
      <c r="L247" t="s">
        <v>8</v>
      </c>
      <c r="M247" t="s">
        <v>70</v>
      </c>
    </row>
    <row r="248" spans="1:13" x14ac:dyDescent="0.45">
      <c r="A248" t="s">
        <v>7</v>
      </c>
      <c r="B248" t="s">
        <v>134</v>
      </c>
      <c r="C248">
        <v>2050</v>
      </c>
      <c r="D248">
        <v>30</v>
      </c>
      <c r="E248">
        <v>3.3</v>
      </c>
      <c r="F248">
        <v>3.49</v>
      </c>
      <c r="G248">
        <v>1.08</v>
      </c>
      <c r="H248">
        <v>0.92</v>
      </c>
      <c r="I248">
        <v>5.16</v>
      </c>
      <c r="J248">
        <v>2.12</v>
      </c>
      <c r="K248">
        <v>3.99</v>
      </c>
      <c r="L248" t="s">
        <v>8</v>
      </c>
      <c r="M248" t="s">
        <v>70</v>
      </c>
    </row>
    <row r="249" spans="1:13" x14ac:dyDescent="0.45">
      <c r="A249" t="s">
        <v>9</v>
      </c>
      <c r="B249" t="s">
        <v>134</v>
      </c>
      <c r="C249">
        <v>2020</v>
      </c>
      <c r="D249">
        <v>45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134</v>
      </c>
      <c r="C250">
        <v>2025</v>
      </c>
      <c r="D250">
        <v>45</v>
      </c>
      <c r="E250">
        <v>1.06</v>
      </c>
      <c r="F250">
        <v>1.08</v>
      </c>
      <c r="G250">
        <v>0.19</v>
      </c>
      <c r="H250">
        <v>0</v>
      </c>
      <c r="I250">
        <v>1.4</v>
      </c>
      <c r="J250">
        <v>1.05</v>
      </c>
      <c r="K250">
        <v>1.1100000000000001</v>
      </c>
      <c r="L250" t="s">
        <v>10</v>
      </c>
      <c r="M250" t="s">
        <v>70</v>
      </c>
    </row>
    <row r="251" spans="1:13" x14ac:dyDescent="0.45">
      <c r="A251" t="s">
        <v>9</v>
      </c>
      <c r="B251" t="s">
        <v>134</v>
      </c>
      <c r="C251">
        <v>2030</v>
      </c>
      <c r="D251">
        <v>45</v>
      </c>
      <c r="E251">
        <v>1.22</v>
      </c>
      <c r="F251">
        <v>1.29</v>
      </c>
      <c r="G251">
        <v>0.24</v>
      </c>
      <c r="H251">
        <v>0</v>
      </c>
      <c r="I251">
        <v>1.69</v>
      </c>
      <c r="J251">
        <v>1.1000000000000001</v>
      </c>
      <c r="K251">
        <v>1.34</v>
      </c>
      <c r="L251" t="s">
        <v>10</v>
      </c>
      <c r="M251" t="s">
        <v>70</v>
      </c>
    </row>
    <row r="252" spans="1:13" x14ac:dyDescent="0.45">
      <c r="A252" t="s">
        <v>9</v>
      </c>
      <c r="B252" t="s">
        <v>134</v>
      </c>
      <c r="C252">
        <v>2035</v>
      </c>
      <c r="D252">
        <v>45</v>
      </c>
      <c r="E252">
        <v>1.28</v>
      </c>
      <c r="F252">
        <v>1.28</v>
      </c>
      <c r="G252">
        <v>0.35</v>
      </c>
      <c r="H252">
        <v>0</v>
      </c>
      <c r="I252">
        <v>2.8</v>
      </c>
      <c r="J252">
        <v>1.1299999999999999</v>
      </c>
      <c r="K252">
        <v>1.32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134</v>
      </c>
      <c r="C253">
        <v>2040</v>
      </c>
      <c r="D253">
        <v>45</v>
      </c>
      <c r="E253">
        <v>1.39</v>
      </c>
      <c r="F253">
        <v>1.4</v>
      </c>
      <c r="G253">
        <v>0.42</v>
      </c>
      <c r="H253">
        <v>0</v>
      </c>
      <c r="I253">
        <v>3.36</v>
      </c>
      <c r="J253">
        <v>1.21</v>
      </c>
      <c r="K253">
        <v>1.46</v>
      </c>
      <c r="L253" t="s">
        <v>10</v>
      </c>
      <c r="M253" t="s">
        <v>70</v>
      </c>
    </row>
    <row r="254" spans="1:13" x14ac:dyDescent="0.45">
      <c r="A254" t="s">
        <v>9</v>
      </c>
      <c r="B254" t="s">
        <v>134</v>
      </c>
      <c r="C254">
        <v>2045</v>
      </c>
      <c r="D254">
        <v>45</v>
      </c>
      <c r="E254">
        <v>1.47</v>
      </c>
      <c r="F254">
        <v>1.48</v>
      </c>
      <c r="G254">
        <v>0.48</v>
      </c>
      <c r="H254">
        <v>0</v>
      </c>
      <c r="I254">
        <v>3.81</v>
      </c>
      <c r="J254">
        <v>1.21</v>
      </c>
      <c r="K254">
        <v>1.54</v>
      </c>
      <c r="L254" t="s">
        <v>10</v>
      </c>
      <c r="M254" t="s">
        <v>70</v>
      </c>
    </row>
    <row r="255" spans="1:13" x14ac:dyDescent="0.45">
      <c r="A255" t="s">
        <v>9</v>
      </c>
      <c r="B255" t="s">
        <v>134</v>
      </c>
      <c r="C255">
        <v>2050</v>
      </c>
      <c r="D255">
        <v>45</v>
      </c>
      <c r="E255">
        <v>1.55</v>
      </c>
      <c r="F255">
        <v>1.53</v>
      </c>
      <c r="G255">
        <v>0.55000000000000004</v>
      </c>
      <c r="H255">
        <v>0</v>
      </c>
      <c r="I255">
        <v>4.29</v>
      </c>
      <c r="J255">
        <v>1.27</v>
      </c>
      <c r="K255">
        <v>1.61</v>
      </c>
      <c r="L255" t="s">
        <v>10</v>
      </c>
      <c r="M255" t="s">
        <v>70</v>
      </c>
    </row>
    <row r="256" spans="1:13" x14ac:dyDescent="0.45">
      <c r="A256" t="s">
        <v>0</v>
      </c>
      <c r="B256" t="s">
        <v>134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134</v>
      </c>
      <c r="C257">
        <v>2025</v>
      </c>
      <c r="D257">
        <v>50</v>
      </c>
      <c r="E257">
        <v>1.73</v>
      </c>
      <c r="F257">
        <v>1.62</v>
      </c>
      <c r="G257">
        <v>0.63</v>
      </c>
      <c r="H257">
        <v>0.95</v>
      </c>
      <c r="I257">
        <v>4.41</v>
      </c>
      <c r="J257">
        <v>1.3</v>
      </c>
      <c r="K257">
        <v>1.93</v>
      </c>
      <c r="L257" t="s">
        <v>1</v>
      </c>
      <c r="M257" t="s">
        <v>71</v>
      </c>
    </row>
    <row r="258" spans="1:13" x14ac:dyDescent="0.45">
      <c r="A258" t="s">
        <v>0</v>
      </c>
      <c r="B258" t="s">
        <v>134</v>
      </c>
      <c r="C258">
        <v>2030</v>
      </c>
      <c r="D258">
        <v>50</v>
      </c>
      <c r="E258">
        <v>2.5299999999999998</v>
      </c>
      <c r="F258">
        <v>2.5099999999999998</v>
      </c>
      <c r="G258">
        <v>1.33</v>
      </c>
      <c r="H258">
        <v>-1.32</v>
      </c>
      <c r="I258">
        <v>6.74</v>
      </c>
      <c r="J258">
        <v>1.9</v>
      </c>
      <c r="K258">
        <v>3.24</v>
      </c>
      <c r="L258" t="s">
        <v>1</v>
      </c>
      <c r="M258" t="s">
        <v>71</v>
      </c>
    </row>
    <row r="259" spans="1:13" x14ac:dyDescent="0.45">
      <c r="A259" t="s">
        <v>0</v>
      </c>
      <c r="B259" t="s">
        <v>134</v>
      </c>
      <c r="C259">
        <v>2035</v>
      </c>
      <c r="D259">
        <v>50</v>
      </c>
      <c r="E259">
        <v>3.01</v>
      </c>
      <c r="F259">
        <v>2.86</v>
      </c>
      <c r="G259">
        <v>1.59</v>
      </c>
      <c r="H259">
        <v>0</v>
      </c>
      <c r="I259">
        <v>7.28</v>
      </c>
      <c r="J259">
        <v>1.98</v>
      </c>
      <c r="K259">
        <v>3.44</v>
      </c>
      <c r="L259" t="s">
        <v>1</v>
      </c>
      <c r="M259" t="s">
        <v>71</v>
      </c>
    </row>
    <row r="260" spans="1:13" x14ac:dyDescent="0.45">
      <c r="A260" t="s">
        <v>0</v>
      </c>
      <c r="B260" t="s">
        <v>134</v>
      </c>
      <c r="C260">
        <v>2040</v>
      </c>
      <c r="D260">
        <v>50</v>
      </c>
      <c r="E260">
        <v>3.8</v>
      </c>
      <c r="F260">
        <v>3.37</v>
      </c>
      <c r="G260">
        <v>1.99</v>
      </c>
      <c r="H260">
        <v>0</v>
      </c>
      <c r="I260">
        <v>8.7200000000000006</v>
      </c>
      <c r="J260">
        <v>2.76</v>
      </c>
      <c r="K260">
        <v>4.33</v>
      </c>
      <c r="L260" t="s">
        <v>1</v>
      </c>
      <c r="M260" t="s">
        <v>71</v>
      </c>
    </row>
    <row r="261" spans="1:13" x14ac:dyDescent="0.45">
      <c r="A261" t="s">
        <v>0</v>
      </c>
      <c r="B261" t="s">
        <v>134</v>
      </c>
      <c r="C261">
        <v>2045</v>
      </c>
      <c r="D261">
        <v>50</v>
      </c>
      <c r="E261">
        <v>4.3899999999999997</v>
      </c>
      <c r="F261">
        <v>4.05</v>
      </c>
      <c r="G261">
        <v>2.66</v>
      </c>
      <c r="H261">
        <v>-0.08</v>
      </c>
      <c r="I261">
        <v>9.31</v>
      </c>
      <c r="J261">
        <v>3.37</v>
      </c>
      <c r="K261">
        <v>5.04</v>
      </c>
      <c r="L261" t="s">
        <v>1</v>
      </c>
      <c r="M261" t="s">
        <v>71</v>
      </c>
    </row>
    <row r="262" spans="1:13" x14ac:dyDescent="0.45">
      <c r="A262" t="s">
        <v>0</v>
      </c>
      <c r="B262" t="s">
        <v>134</v>
      </c>
      <c r="C262">
        <v>2050</v>
      </c>
      <c r="D262">
        <v>50</v>
      </c>
      <c r="E262">
        <v>4.87</v>
      </c>
      <c r="F262">
        <v>4.78</v>
      </c>
      <c r="G262">
        <v>3.11</v>
      </c>
      <c r="H262">
        <v>-0.42</v>
      </c>
      <c r="I262">
        <v>10.3</v>
      </c>
      <c r="J262">
        <v>3.61</v>
      </c>
      <c r="K262">
        <v>6.35</v>
      </c>
      <c r="L262" t="s">
        <v>1</v>
      </c>
      <c r="M262" t="s">
        <v>71</v>
      </c>
    </row>
    <row r="263" spans="1:13" x14ac:dyDescent="0.45">
      <c r="A263" t="s">
        <v>2</v>
      </c>
      <c r="B263" t="s">
        <v>134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134</v>
      </c>
      <c r="C264">
        <v>2025</v>
      </c>
      <c r="D264">
        <v>52</v>
      </c>
      <c r="E264">
        <v>1.32</v>
      </c>
      <c r="F264">
        <v>1.27</v>
      </c>
      <c r="G264">
        <v>0.28999999999999998</v>
      </c>
      <c r="H264">
        <v>0.85</v>
      </c>
      <c r="I264">
        <v>1.84</v>
      </c>
      <c r="J264">
        <v>1.08</v>
      </c>
      <c r="K264">
        <v>1.62</v>
      </c>
      <c r="L264" t="s">
        <v>3</v>
      </c>
      <c r="M264" t="s">
        <v>71</v>
      </c>
    </row>
    <row r="265" spans="1:13" x14ac:dyDescent="0.45">
      <c r="A265" t="s">
        <v>2</v>
      </c>
      <c r="B265" t="s">
        <v>134</v>
      </c>
      <c r="C265">
        <v>2030</v>
      </c>
      <c r="D265">
        <v>63</v>
      </c>
      <c r="E265">
        <v>1.88</v>
      </c>
      <c r="F265">
        <v>1.37</v>
      </c>
      <c r="G265">
        <v>1.33</v>
      </c>
      <c r="H265">
        <v>0.77</v>
      </c>
      <c r="I265">
        <v>7.32</v>
      </c>
      <c r="J265">
        <v>1.0900000000000001</v>
      </c>
      <c r="K265">
        <v>2.14</v>
      </c>
      <c r="L265" t="s">
        <v>3</v>
      </c>
      <c r="M265" t="s">
        <v>71</v>
      </c>
    </row>
    <row r="266" spans="1:13" x14ac:dyDescent="0.45">
      <c r="A266" t="s">
        <v>2</v>
      </c>
      <c r="B266" t="s">
        <v>134</v>
      </c>
      <c r="C266">
        <v>2035</v>
      </c>
      <c r="D266">
        <v>52</v>
      </c>
      <c r="E266">
        <v>2.69</v>
      </c>
      <c r="F266">
        <v>1.94</v>
      </c>
      <c r="G266">
        <v>3.26</v>
      </c>
      <c r="H266">
        <v>0.72</v>
      </c>
      <c r="I266">
        <v>19.32</v>
      </c>
      <c r="J266">
        <v>1.25</v>
      </c>
      <c r="K266">
        <v>2.8</v>
      </c>
      <c r="L266" t="s">
        <v>3</v>
      </c>
      <c r="M266" t="s">
        <v>71</v>
      </c>
    </row>
    <row r="267" spans="1:13" x14ac:dyDescent="0.45">
      <c r="A267" t="s">
        <v>2</v>
      </c>
      <c r="B267" t="s">
        <v>134</v>
      </c>
      <c r="C267">
        <v>2040</v>
      </c>
      <c r="D267">
        <v>63</v>
      </c>
      <c r="E267">
        <v>3.43</v>
      </c>
      <c r="F267">
        <v>2.3199999999999998</v>
      </c>
      <c r="G267">
        <v>3.61</v>
      </c>
      <c r="H267">
        <v>0.17</v>
      </c>
      <c r="I267">
        <v>20.37</v>
      </c>
      <c r="J267">
        <v>1.47</v>
      </c>
      <c r="K267">
        <v>3.32</v>
      </c>
      <c r="L267" t="s">
        <v>3</v>
      </c>
      <c r="M267" t="s">
        <v>71</v>
      </c>
    </row>
    <row r="268" spans="1:13" x14ac:dyDescent="0.45">
      <c r="A268" t="s">
        <v>2</v>
      </c>
      <c r="B268" t="s">
        <v>134</v>
      </c>
      <c r="C268">
        <v>2045</v>
      </c>
      <c r="D268">
        <v>52</v>
      </c>
      <c r="E268">
        <v>2.75</v>
      </c>
      <c r="F268">
        <v>2.2599999999999998</v>
      </c>
      <c r="G268">
        <v>1.85</v>
      </c>
      <c r="H268">
        <v>0</v>
      </c>
      <c r="I268">
        <v>9.33</v>
      </c>
      <c r="J268">
        <v>1.44</v>
      </c>
      <c r="K268">
        <v>3.74</v>
      </c>
      <c r="L268" t="s">
        <v>3</v>
      </c>
      <c r="M268" t="s">
        <v>71</v>
      </c>
    </row>
    <row r="269" spans="1:13" x14ac:dyDescent="0.45">
      <c r="A269" t="s">
        <v>2</v>
      </c>
      <c r="B269" t="s">
        <v>134</v>
      </c>
      <c r="C269">
        <v>2050</v>
      </c>
      <c r="D269">
        <v>63</v>
      </c>
      <c r="E269">
        <v>3.07</v>
      </c>
      <c r="F269">
        <v>1.81</v>
      </c>
      <c r="G269">
        <v>3.48</v>
      </c>
      <c r="H269">
        <v>-0.55000000000000004</v>
      </c>
      <c r="I269">
        <v>16.579999999999998</v>
      </c>
      <c r="J269">
        <v>1.0900000000000001</v>
      </c>
      <c r="K269">
        <v>4.1900000000000004</v>
      </c>
      <c r="L269" t="s">
        <v>3</v>
      </c>
      <c r="M269" t="s">
        <v>71</v>
      </c>
    </row>
    <row r="270" spans="1:13" x14ac:dyDescent="0.45">
      <c r="A270" t="s">
        <v>5</v>
      </c>
      <c r="B270" t="s">
        <v>134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134</v>
      </c>
      <c r="C271">
        <v>2025</v>
      </c>
      <c r="D271">
        <v>160</v>
      </c>
      <c r="E271">
        <v>1.37</v>
      </c>
      <c r="F271">
        <v>1.32</v>
      </c>
      <c r="G271">
        <v>0.26</v>
      </c>
      <c r="H271">
        <v>0.82</v>
      </c>
      <c r="I271">
        <v>2.75</v>
      </c>
      <c r="J271">
        <v>1.17</v>
      </c>
      <c r="K271">
        <v>1.56</v>
      </c>
      <c r="L271" t="s">
        <v>6</v>
      </c>
      <c r="M271" t="s">
        <v>71</v>
      </c>
    </row>
    <row r="272" spans="1:13" x14ac:dyDescent="0.45">
      <c r="A272" t="s">
        <v>5</v>
      </c>
      <c r="B272" t="s">
        <v>134</v>
      </c>
      <c r="C272">
        <v>2030</v>
      </c>
      <c r="D272">
        <v>163</v>
      </c>
      <c r="E272">
        <v>1.63</v>
      </c>
      <c r="F272">
        <v>1.47</v>
      </c>
      <c r="G272">
        <v>0.49</v>
      </c>
      <c r="H272">
        <v>0.86</v>
      </c>
      <c r="I272">
        <v>2.78</v>
      </c>
      <c r="J272">
        <v>1.24</v>
      </c>
      <c r="K272">
        <v>2.0099999999999998</v>
      </c>
      <c r="L272" t="s">
        <v>6</v>
      </c>
      <c r="M272" t="s">
        <v>71</v>
      </c>
    </row>
    <row r="273" spans="1:13" x14ac:dyDescent="0.45">
      <c r="A273" t="s">
        <v>5</v>
      </c>
      <c r="B273" t="s">
        <v>134</v>
      </c>
      <c r="C273">
        <v>2035</v>
      </c>
      <c r="D273">
        <v>160</v>
      </c>
      <c r="E273">
        <v>1.97</v>
      </c>
      <c r="F273">
        <v>1.96</v>
      </c>
      <c r="G273">
        <v>0.79</v>
      </c>
      <c r="H273">
        <v>0.9</v>
      </c>
      <c r="I273">
        <v>8.0399999999999991</v>
      </c>
      <c r="J273">
        <v>1.46</v>
      </c>
      <c r="K273">
        <v>2.2799999999999998</v>
      </c>
      <c r="L273" t="s">
        <v>6</v>
      </c>
      <c r="M273" t="s">
        <v>71</v>
      </c>
    </row>
    <row r="274" spans="1:13" x14ac:dyDescent="0.45">
      <c r="A274" t="s">
        <v>5</v>
      </c>
      <c r="B274" t="s">
        <v>134</v>
      </c>
      <c r="C274">
        <v>2040</v>
      </c>
      <c r="D274">
        <v>163</v>
      </c>
      <c r="E274">
        <v>2.25</v>
      </c>
      <c r="F274">
        <v>2.2999999999999998</v>
      </c>
      <c r="G274">
        <v>0.93</v>
      </c>
      <c r="H274">
        <v>0.92</v>
      </c>
      <c r="I274">
        <v>9.41</v>
      </c>
      <c r="J274">
        <v>1.61</v>
      </c>
      <c r="K274">
        <v>2.66</v>
      </c>
      <c r="L274" t="s">
        <v>6</v>
      </c>
      <c r="M274" t="s">
        <v>71</v>
      </c>
    </row>
    <row r="275" spans="1:13" x14ac:dyDescent="0.45">
      <c r="A275" t="s">
        <v>5</v>
      </c>
      <c r="B275" t="s">
        <v>134</v>
      </c>
      <c r="C275">
        <v>2045</v>
      </c>
      <c r="D275">
        <v>160</v>
      </c>
      <c r="E275">
        <v>2.66</v>
      </c>
      <c r="F275">
        <v>2.76</v>
      </c>
      <c r="G275">
        <v>1.02</v>
      </c>
      <c r="H275">
        <v>0.25</v>
      </c>
      <c r="I275">
        <v>6.72</v>
      </c>
      <c r="J275">
        <v>1.82</v>
      </c>
      <c r="K275">
        <v>3.21</v>
      </c>
      <c r="L275" t="s">
        <v>6</v>
      </c>
      <c r="M275" t="s">
        <v>71</v>
      </c>
    </row>
    <row r="276" spans="1:13" x14ac:dyDescent="0.45">
      <c r="A276" t="s">
        <v>5</v>
      </c>
      <c r="B276" t="s">
        <v>134</v>
      </c>
      <c r="C276">
        <v>2050</v>
      </c>
      <c r="D276">
        <v>163</v>
      </c>
      <c r="E276">
        <v>2.82</v>
      </c>
      <c r="F276">
        <v>2.94</v>
      </c>
      <c r="G276">
        <v>1.27</v>
      </c>
      <c r="H276">
        <v>0.05</v>
      </c>
      <c r="I276">
        <v>5.95</v>
      </c>
      <c r="J276">
        <v>1.76</v>
      </c>
      <c r="K276">
        <v>3.66</v>
      </c>
      <c r="L276" t="s">
        <v>6</v>
      </c>
      <c r="M276" t="s">
        <v>71</v>
      </c>
    </row>
    <row r="277" spans="1:13" x14ac:dyDescent="0.45">
      <c r="A277" t="s">
        <v>7</v>
      </c>
      <c r="B277" t="s">
        <v>134</v>
      </c>
      <c r="C277">
        <v>2020</v>
      </c>
      <c r="D277">
        <v>53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134</v>
      </c>
      <c r="C278">
        <v>2025</v>
      </c>
      <c r="D278">
        <v>53</v>
      </c>
      <c r="E278">
        <v>1.23</v>
      </c>
      <c r="F278">
        <v>1.2</v>
      </c>
      <c r="G278">
        <v>0.11</v>
      </c>
      <c r="H278">
        <v>1.01</v>
      </c>
      <c r="I278">
        <v>1.64</v>
      </c>
      <c r="J278">
        <v>1.17</v>
      </c>
      <c r="K278">
        <v>1.28</v>
      </c>
      <c r="L278" t="s">
        <v>8</v>
      </c>
      <c r="M278" t="s">
        <v>71</v>
      </c>
    </row>
    <row r="279" spans="1:13" x14ac:dyDescent="0.45">
      <c r="A279" t="s">
        <v>7</v>
      </c>
      <c r="B279" t="s">
        <v>134</v>
      </c>
      <c r="C279">
        <v>2030</v>
      </c>
      <c r="D279">
        <v>53</v>
      </c>
      <c r="E279">
        <v>1.31</v>
      </c>
      <c r="F279">
        <v>1.24</v>
      </c>
      <c r="G279">
        <v>0.21</v>
      </c>
      <c r="H279">
        <v>1</v>
      </c>
      <c r="I279">
        <v>2.11</v>
      </c>
      <c r="J279">
        <v>1.1200000000000001</v>
      </c>
      <c r="K279">
        <v>1.4</v>
      </c>
      <c r="L279" t="s">
        <v>8</v>
      </c>
      <c r="M279" t="s">
        <v>71</v>
      </c>
    </row>
    <row r="280" spans="1:13" x14ac:dyDescent="0.45">
      <c r="A280" t="s">
        <v>7</v>
      </c>
      <c r="B280" t="s">
        <v>134</v>
      </c>
      <c r="C280">
        <v>2035</v>
      </c>
      <c r="D280">
        <v>53</v>
      </c>
      <c r="E280">
        <v>1.47</v>
      </c>
      <c r="F280">
        <v>1.47</v>
      </c>
      <c r="G280">
        <v>0.22</v>
      </c>
      <c r="H280">
        <v>1.01</v>
      </c>
      <c r="I280">
        <v>1.95</v>
      </c>
      <c r="J280">
        <v>1.25</v>
      </c>
      <c r="K280">
        <v>1.6</v>
      </c>
      <c r="L280" t="s">
        <v>8</v>
      </c>
      <c r="M280" t="s">
        <v>71</v>
      </c>
    </row>
    <row r="281" spans="1:13" x14ac:dyDescent="0.45">
      <c r="A281" t="s">
        <v>7</v>
      </c>
      <c r="B281" t="s">
        <v>134</v>
      </c>
      <c r="C281">
        <v>2040</v>
      </c>
      <c r="D281">
        <v>53</v>
      </c>
      <c r="E281">
        <v>1.63</v>
      </c>
      <c r="F281">
        <v>1.52</v>
      </c>
      <c r="G281">
        <v>0.35</v>
      </c>
      <c r="H281">
        <v>1</v>
      </c>
      <c r="I281">
        <v>2.58</v>
      </c>
      <c r="J281">
        <v>1.33</v>
      </c>
      <c r="K281">
        <v>1.92</v>
      </c>
      <c r="L281" t="s">
        <v>8</v>
      </c>
      <c r="M281" t="s">
        <v>71</v>
      </c>
    </row>
    <row r="282" spans="1:13" x14ac:dyDescent="0.45">
      <c r="A282" t="s">
        <v>7</v>
      </c>
      <c r="B282" t="s">
        <v>134</v>
      </c>
      <c r="C282">
        <v>2045</v>
      </c>
      <c r="D282">
        <v>53</v>
      </c>
      <c r="E282">
        <v>1.86</v>
      </c>
      <c r="F282">
        <v>1.76</v>
      </c>
      <c r="G282">
        <v>0.4</v>
      </c>
      <c r="H282">
        <v>0.99</v>
      </c>
      <c r="I282">
        <v>2.9</v>
      </c>
      <c r="J282">
        <v>1.64</v>
      </c>
      <c r="K282">
        <v>2.13</v>
      </c>
      <c r="L282" t="s">
        <v>8</v>
      </c>
      <c r="M282" t="s">
        <v>71</v>
      </c>
    </row>
    <row r="283" spans="1:13" x14ac:dyDescent="0.45">
      <c r="A283" t="s">
        <v>7</v>
      </c>
      <c r="B283" t="s">
        <v>134</v>
      </c>
      <c r="C283">
        <v>2050</v>
      </c>
      <c r="D283">
        <v>53</v>
      </c>
      <c r="E283">
        <v>1.94</v>
      </c>
      <c r="F283">
        <v>1.79</v>
      </c>
      <c r="G283">
        <v>0.51</v>
      </c>
      <c r="H283">
        <v>0.92</v>
      </c>
      <c r="I283">
        <v>3.17</v>
      </c>
      <c r="J283">
        <v>1.55</v>
      </c>
      <c r="K283">
        <v>2.36</v>
      </c>
      <c r="L283" t="s">
        <v>8</v>
      </c>
      <c r="M283" t="s">
        <v>71</v>
      </c>
    </row>
    <row r="284" spans="1:13" x14ac:dyDescent="0.45">
      <c r="A284" t="s">
        <v>9</v>
      </c>
      <c r="B284" t="s">
        <v>134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134</v>
      </c>
      <c r="C285">
        <v>2025</v>
      </c>
      <c r="D285">
        <v>40</v>
      </c>
      <c r="E285">
        <v>1.19</v>
      </c>
      <c r="F285">
        <v>1.17</v>
      </c>
      <c r="G285">
        <v>0.17</v>
      </c>
      <c r="H285">
        <v>0.78</v>
      </c>
      <c r="I285">
        <v>1.47</v>
      </c>
      <c r="J285">
        <v>1.07</v>
      </c>
      <c r="K285">
        <v>1.34</v>
      </c>
      <c r="L285" t="s">
        <v>10</v>
      </c>
      <c r="M285" t="s">
        <v>71</v>
      </c>
    </row>
    <row r="286" spans="1:13" x14ac:dyDescent="0.45">
      <c r="A286" t="s">
        <v>9</v>
      </c>
      <c r="B286" t="s">
        <v>134</v>
      </c>
      <c r="C286">
        <v>2030</v>
      </c>
      <c r="D286">
        <v>40</v>
      </c>
      <c r="E286">
        <v>1.4</v>
      </c>
      <c r="F286">
        <v>1.34</v>
      </c>
      <c r="G286">
        <v>0.32</v>
      </c>
      <c r="H286">
        <v>1</v>
      </c>
      <c r="I286">
        <v>2.29</v>
      </c>
      <c r="J286">
        <v>1.1299999999999999</v>
      </c>
      <c r="K286">
        <v>1.7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134</v>
      </c>
      <c r="C287">
        <v>2035</v>
      </c>
      <c r="D287">
        <v>40</v>
      </c>
      <c r="E287">
        <v>1.34</v>
      </c>
      <c r="F287">
        <v>1.33</v>
      </c>
      <c r="G287">
        <v>0.22</v>
      </c>
      <c r="H287">
        <v>0.99</v>
      </c>
      <c r="I287">
        <v>1.72</v>
      </c>
      <c r="J287">
        <v>1.17</v>
      </c>
      <c r="K287">
        <v>1.52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134</v>
      </c>
      <c r="C288">
        <v>2040</v>
      </c>
      <c r="D288">
        <v>40</v>
      </c>
      <c r="E288">
        <v>1.47</v>
      </c>
      <c r="F288">
        <v>1.44</v>
      </c>
      <c r="G288">
        <v>0.31</v>
      </c>
      <c r="H288">
        <v>0.97</v>
      </c>
      <c r="I288">
        <v>2.23</v>
      </c>
      <c r="J288">
        <v>1.23</v>
      </c>
      <c r="K288">
        <v>1.68</v>
      </c>
      <c r="L288" t="s">
        <v>10</v>
      </c>
      <c r="M288" t="s">
        <v>71</v>
      </c>
    </row>
    <row r="289" spans="1:13" x14ac:dyDescent="0.45">
      <c r="A289" t="s">
        <v>9</v>
      </c>
      <c r="B289" t="s">
        <v>134</v>
      </c>
      <c r="C289">
        <v>2045</v>
      </c>
      <c r="D289">
        <v>40</v>
      </c>
      <c r="E289">
        <v>1.61</v>
      </c>
      <c r="F289">
        <v>1.63</v>
      </c>
      <c r="G289">
        <v>0.43</v>
      </c>
      <c r="H289">
        <v>0.96</v>
      </c>
      <c r="I289">
        <v>2.4700000000000002</v>
      </c>
      <c r="J289">
        <v>1.24</v>
      </c>
      <c r="K289">
        <v>2.0099999999999998</v>
      </c>
      <c r="L289" t="s">
        <v>10</v>
      </c>
      <c r="M289" t="s">
        <v>71</v>
      </c>
    </row>
    <row r="290" spans="1:13" x14ac:dyDescent="0.45">
      <c r="A290" t="s">
        <v>9</v>
      </c>
      <c r="B290" t="s">
        <v>134</v>
      </c>
      <c r="C290">
        <v>2050</v>
      </c>
      <c r="D290">
        <v>40</v>
      </c>
      <c r="E290">
        <v>1.79</v>
      </c>
      <c r="F290">
        <v>1.89</v>
      </c>
      <c r="G290">
        <v>0.51</v>
      </c>
      <c r="H290">
        <v>0.98</v>
      </c>
      <c r="I290">
        <v>2.96</v>
      </c>
      <c r="J290">
        <v>1.4</v>
      </c>
      <c r="K290">
        <v>2.2400000000000002</v>
      </c>
      <c r="L290" t="s">
        <v>10</v>
      </c>
      <c r="M290" t="s">
        <v>71</v>
      </c>
    </row>
    <row r="291" spans="1:13" x14ac:dyDescent="0.45">
      <c r="A291" t="s">
        <v>0</v>
      </c>
      <c r="B291" t="s">
        <v>134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134</v>
      </c>
      <c r="C292">
        <v>2025</v>
      </c>
      <c r="D292">
        <v>20</v>
      </c>
      <c r="E292">
        <v>3.95</v>
      </c>
      <c r="F292">
        <v>3.39</v>
      </c>
      <c r="G292">
        <v>2.68</v>
      </c>
      <c r="H292">
        <v>1.49</v>
      </c>
      <c r="I292">
        <v>12.33</v>
      </c>
      <c r="J292">
        <v>2.16</v>
      </c>
      <c r="K292">
        <v>4.57</v>
      </c>
      <c r="L292" t="s">
        <v>1</v>
      </c>
      <c r="M292" t="s">
        <v>72</v>
      </c>
    </row>
    <row r="293" spans="1:13" x14ac:dyDescent="0.45">
      <c r="A293" t="s">
        <v>0</v>
      </c>
      <c r="B293" t="s">
        <v>134</v>
      </c>
      <c r="C293">
        <v>2030</v>
      </c>
      <c r="D293">
        <v>20</v>
      </c>
      <c r="E293">
        <v>7.11</v>
      </c>
      <c r="F293">
        <v>7.23</v>
      </c>
      <c r="G293">
        <v>3.96</v>
      </c>
      <c r="H293">
        <v>1.39</v>
      </c>
      <c r="I293">
        <v>19.34</v>
      </c>
      <c r="J293">
        <v>4.37</v>
      </c>
      <c r="K293">
        <v>7.45</v>
      </c>
      <c r="L293" t="s">
        <v>1</v>
      </c>
      <c r="M293" t="s">
        <v>72</v>
      </c>
    </row>
    <row r="294" spans="1:13" x14ac:dyDescent="0.45">
      <c r="A294" t="s">
        <v>0</v>
      </c>
      <c r="B294" t="s">
        <v>134</v>
      </c>
      <c r="C294">
        <v>2035</v>
      </c>
      <c r="D294">
        <v>20</v>
      </c>
      <c r="E294">
        <v>9.39</v>
      </c>
      <c r="F294">
        <v>10.19</v>
      </c>
      <c r="G294">
        <v>5.99</v>
      </c>
      <c r="H294">
        <v>2.04</v>
      </c>
      <c r="I294">
        <v>23.54</v>
      </c>
      <c r="J294">
        <v>3.8</v>
      </c>
      <c r="K294">
        <v>13.4</v>
      </c>
      <c r="L294" t="s">
        <v>1</v>
      </c>
      <c r="M294" t="s">
        <v>72</v>
      </c>
    </row>
    <row r="295" spans="1:13" x14ac:dyDescent="0.45">
      <c r="A295" t="s">
        <v>0</v>
      </c>
      <c r="B295" t="s">
        <v>134</v>
      </c>
      <c r="C295">
        <v>2040</v>
      </c>
      <c r="D295">
        <v>20</v>
      </c>
      <c r="E295">
        <v>12.29</v>
      </c>
      <c r="F295">
        <v>12.94</v>
      </c>
      <c r="G295">
        <v>8.2100000000000009</v>
      </c>
      <c r="H295">
        <v>2.75</v>
      </c>
      <c r="I295">
        <v>27.91</v>
      </c>
      <c r="J295">
        <v>2.95</v>
      </c>
      <c r="K295">
        <v>18.75</v>
      </c>
      <c r="L295" t="s">
        <v>1</v>
      </c>
      <c r="M295" t="s">
        <v>72</v>
      </c>
    </row>
    <row r="296" spans="1:13" x14ac:dyDescent="0.45">
      <c r="A296" t="s">
        <v>0</v>
      </c>
      <c r="B296" t="s">
        <v>134</v>
      </c>
      <c r="C296">
        <v>2045</v>
      </c>
      <c r="D296">
        <v>20</v>
      </c>
      <c r="E296">
        <v>14.94</v>
      </c>
      <c r="F296">
        <v>15.1</v>
      </c>
      <c r="G296">
        <v>10.36</v>
      </c>
      <c r="H296">
        <v>2.0099999999999998</v>
      </c>
      <c r="I296">
        <v>33.97</v>
      </c>
      <c r="J296">
        <v>3.48</v>
      </c>
      <c r="K296">
        <v>23.31</v>
      </c>
      <c r="L296" t="s">
        <v>1</v>
      </c>
      <c r="M296" t="s">
        <v>72</v>
      </c>
    </row>
    <row r="297" spans="1:13" x14ac:dyDescent="0.45">
      <c r="A297" t="s">
        <v>0</v>
      </c>
      <c r="B297" t="s">
        <v>134</v>
      </c>
      <c r="C297">
        <v>2050</v>
      </c>
      <c r="D297">
        <v>20</v>
      </c>
      <c r="E297">
        <v>16.63</v>
      </c>
      <c r="F297">
        <v>16.59</v>
      </c>
      <c r="G297">
        <v>11.83</v>
      </c>
      <c r="H297">
        <v>3.17</v>
      </c>
      <c r="I297">
        <v>36.6</v>
      </c>
      <c r="J297">
        <v>3.67</v>
      </c>
      <c r="K297">
        <v>27.11</v>
      </c>
      <c r="L297" t="s">
        <v>1</v>
      </c>
      <c r="M297" t="s">
        <v>72</v>
      </c>
    </row>
    <row r="298" spans="1:13" x14ac:dyDescent="0.45">
      <c r="A298" t="s">
        <v>2</v>
      </c>
      <c r="B298" t="s">
        <v>134</v>
      </c>
      <c r="C298">
        <v>2020</v>
      </c>
      <c r="D298">
        <v>19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134</v>
      </c>
      <c r="C299">
        <v>2025</v>
      </c>
      <c r="D299">
        <v>19</v>
      </c>
      <c r="E299">
        <v>1.63</v>
      </c>
      <c r="F299">
        <v>1.31</v>
      </c>
      <c r="G299">
        <v>0.56000000000000005</v>
      </c>
      <c r="H299">
        <v>1.1399999999999999</v>
      </c>
      <c r="I299">
        <v>2.9</v>
      </c>
      <c r="J299">
        <v>1.26</v>
      </c>
      <c r="K299">
        <v>1.88</v>
      </c>
      <c r="L299" t="s">
        <v>3</v>
      </c>
      <c r="M299" t="s">
        <v>72</v>
      </c>
    </row>
    <row r="300" spans="1:13" x14ac:dyDescent="0.45">
      <c r="A300" t="s">
        <v>2</v>
      </c>
      <c r="B300" t="s">
        <v>134</v>
      </c>
      <c r="C300">
        <v>2030</v>
      </c>
      <c r="D300">
        <v>19</v>
      </c>
      <c r="E300">
        <v>2.2599999999999998</v>
      </c>
      <c r="F300">
        <v>1.98</v>
      </c>
      <c r="G300">
        <v>0.62</v>
      </c>
      <c r="H300">
        <v>1.44</v>
      </c>
      <c r="I300">
        <v>3.8</v>
      </c>
      <c r="J300">
        <v>1.9</v>
      </c>
      <c r="K300">
        <v>2.65</v>
      </c>
      <c r="L300" t="s">
        <v>3</v>
      </c>
      <c r="M300" t="s">
        <v>72</v>
      </c>
    </row>
    <row r="301" spans="1:13" x14ac:dyDescent="0.45">
      <c r="A301" t="s">
        <v>2</v>
      </c>
      <c r="B301" t="s">
        <v>134</v>
      </c>
      <c r="C301">
        <v>2035</v>
      </c>
      <c r="D301">
        <v>19</v>
      </c>
      <c r="E301">
        <v>4.6399999999999997</v>
      </c>
      <c r="F301">
        <v>3.55</v>
      </c>
      <c r="G301">
        <v>4.2</v>
      </c>
      <c r="H301">
        <v>0</v>
      </c>
      <c r="I301">
        <v>16.850000000000001</v>
      </c>
      <c r="J301">
        <v>2.71</v>
      </c>
      <c r="K301">
        <v>3.99</v>
      </c>
      <c r="L301" t="s">
        <v>3</v>
      </c>
      <c r="M301" t="s">
        <v>72</v>
      </c>
    </row>
    <row r="302" spans="1:13" x14ac:dyDescent="0.45">
      <c r="A302" t="s">
        <v>2</v>
      </c>
      <c r="B302" t="s">
        <v>134</v>
      </c>
      <c r="C302">
        <v>2040</v>
      </c>
      <c r="D302">
        <v>19</v>
      </c>
      <c r="E302">
        <v>6.08</v>
      </c>
      <c r="F302">
        <v>2.97</v>
      </c>
      <c r="G302">
        <v>6.83</v>
      </c>
      <c r="H302">
        <v>0</v>
      </c>
      <c r="I302">
        <v>26.89</v>
      </c>
      <c r="J302">
        <v>2.56</v>
      </c>
      <c r="K302">
        <v>6.32</v>
      </c>
      <c r="L302" t="s">
        <v>3</v>
      </c>
      <c r="M302" t="s">
        <v>72</v>
      </c>
    </row>
    <row r="303" spans="1:13" x14ac:dyDescent="0.45">
      <c r="A303" t="s">
        <v>2</v>
      </c>
      <c r="B303" t="s">
        <v>134</v>
      </c>
      <c r="C303">
        <v>2045</v>
      </c>
      <c r="D303">
        <v>19</v>
      </c>
      <c r="E303">
        <v>6.01</v>
      </c>
      <c r="F303">
        <v>3.27</v>
      </c>
      <c r="G303">
        <v>6.46</v>
      </c>
      <c r="H303">
        <v>0</v>
      </c>
      <c r="I303">
        <v>22.94</v>
      </c>
      <c r="J303">
        <v>2.82</v>
      </c>
      <c r="K303">
        <v>4.95</v>
      </c>
      <c r="L303" t="s">
        <v>3</v>
      </c>
      <c r="M303" t="s">
        <v>72</v>
      </c>
    </row>
    <row r="304" spans="1:13" x14ac:dyDescent="0.45">
      <c r="A304" t="s">
        <v>2</v>
      </c>
      <c r="B304" t="s">
        <v>134</v>
      </c>
      <c r="C304">
        <v>2050</v>
      </c>
      <c r="D304">
        <v>19</v>
      </c>
      <c r="E304">
        <v>5.0999999999999996</v>
      </c>
      <c r="F304">
        <v>3.33</v>
      </c>
      <c r="G304">
        <v>5.31</v>
      </c>
      <c r="H304">
        <v>0</v>
      </c>
      <c r="I304">
        <v>24.66</v>
      </c>
      <c r="J304">
        <v>2.7</v>
      </c>
      <c r="K304">
        <v>5.58</v>
      </c>
      <c r="L304" t="s">
        <v>3</v>
      </c>
      <c r="M304" t="s">
        <v>72</v>
      </c>
    </row>
    <row r="305" spans="1:13" x14ac:dyDescent="0.45">
      <c r="A305" t="s">
        <v>5</v>
      </c>
      <c r="B305" t="s">
        <v>134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134</v>
      </c>
      <c r="C306">
        <v>2025</v>
      </c>
      <c r="D306">
        <v>70</v>
      </c>
      <c r="E306">
        <v>1.94</v>
      </c>
      <c r="F306">
        <v>1.35</v>
      </c>
      <c r="G306">
        <v>1.1299999999999999</v>
      </c>
      <c r="H306">
        <v>1.1399999999999999</v>
      </c>
      <c r="I306">
        <v>6.26</v>
      </c>
      <c r="J306">
        <v>1.21</v>
      </c>
      <c r="K306">
        <v>2.13</v>
      </c>
      <c r="L306" t="s">
        <v>6</v>
      </c>
      <c r="M306" t="s">
        <v>72</v>
      </c>
    </row>
    <row r="307" spans="1:13" x14ac:dyDescent="0.45">
      <c r="A307" t="s">
        <v>5</v>
      </c>
      <c r="B307" t="s">
        <v>134</v>
      </c>
      <c r="C307">
        <v>2030</v>
      </c>
      <c r="D307">
        <v>70</v>
      </c>
      <c r="E307">
        <v>2.68</v>
      </c>
      <c r="F307">
        <v>1.98</v>
      </c>
      <c r="G307">
        <v>1.81</v>
      </c>
      <c r="H307">
        <v>1.31</v>
      </c>
      <c r="I307">
        <v>9.57</v>
      </c>
      <c r="J307">
        <v>1.45</v>
      </c>
      <c r="K307">
        <v>2.5499999999999998</v>
      </c>
      <c r="L307" t="s">
        <v>6</v>
      </c>
      <c r="M307" t="s">
        <v>72</v>
      </c>
    </row>
    <row r="308" spans="1:13" x14ac:dyDescent="0.45">
      <c r="A308" t="s">
        <v>5</v>
      </c>
      <c r="B308" t="s">
        <v>134</v>
      </c>
      <c r="C308">
        <v>2035</v>
      </c>
      <c r="D308">
        <v>70</v>
      </c>
      <c r="E308">
        <v>4.78</v>
      </c>
      <c r="F308">
        <v>3.29</v>
      </c>
      <c r="G308">
        <v>2.74</v>
      </c>
      <c r="H308">
        <v>1.93</v>
      </c>
      <c r="I308">
        <v>12.43</v>
      </c>
      <c r="J308">
        <v>2.4900000000000002</v>
      </c>
      <c r="K308">
        <v>6.76</v>
      </c>
      <c r="L308" t="s">
        <v>6</v>
      </c>
      <c r="M308" t="s">
        <v>72</v>
      </c>
    </row>
    <row r="309" spans="1:13" x14ac:dyDescent="0.45">
      <c r="A309" t="s">
        <v>5</v>
      </c>
      <c r="B309" t="s">
        <v>134</v>
      </c>
      <c r="C309">
        <v>2040</v>
      </c>
      <c r="D309">
        <v>70</v>
      </c>
      <c r="E309">
        <v>6.24</v>
      </c>
      <c r="F309">
        <v>3.37</v>
      </c>
      <c r="G309">
        <v>4.57</v>
      </c>
      <c r="H309">
        <v>1.86</v>
      </c>
      <c r="I309">
        <v>20.96</v>
      </c>
      <c r="J309">
        <v>2.4900000000000002</v>
      </c>
      <c r="K309">
        <v>9.1199999999999992</v>
      </c>
      <c r="L309" t="s">
        <v>6</v>
      </c>
      <c r="M309" t="s">
        <v>72</v>
      </c>
    </row>
    <row r="310" spans="1:13" x14ac:dyDescent="0.45">
      <c r="A310" t="s">
        <v>5</v>
      </c>
      <c r="B310" t="s">
        <v>134</v>
      </c>
      <c r="C310">
        <v>2045</v>
      </c>
      <c r="D310">
        <v>70</v>
      </c>
      <c r="E310">
        <v>7.17</v>
      </c>
      <c r="F310">
        <v>3.91</v>
      </c>
      <c r="G310">
        <v>5.75</v>
      </c>
      <c r="H310">
        <v>1.84</v>
      </c>
      <c r="I310">
        <v>26.67</v>
      </c>
      <c r="J310">
        <v>2.2999999999999998</v>
      </c>
      <c r="K310">
        <v>10.93</v>
      </c>
      <c r="L310" t="s">
        <v>6</v>
      </c>
      <c r="M310" t="s">
        <v>72</v>
      </c>
    </row>
    <row r="311" spans="1:13" x14ac:dyDescent="0.45">
      <c r="A311" t="s">
        <v>5</v>
      </c>
      <c r="B311" t="s">
        <v>134</v>
      </c>
      <c r="C311">
        <v>2050</v>
      </c>
      <c r="D311">
        <v>70</v>
      </c>
      <c r="E311">
        <v>8.02</v>
      </c>
      <c r="F311">
        <v>3.91</v>
      </c>
      <c r="G311">
        <v>6.68</v>
      </c>
      <c r="H311">
        <v>1.81</v>
      </c>
      <c r="I311">
        <v>31.13</v>
      </c>
      <c r="J311">
        <v>2.69</v>
      </c>
      <c r="K311">
        <v>12.02</v>
      </c>
      <c r="L311" t="s">
        <v>6</v>
      </c>
      <c r="M311" t="s">
        <v>72</v>
      </c>
    </row>
    <row r="312" spans="1:13" x14ac:dyDescent="0.45">
      <c r="A312" t="s">
        <v>7</v>
      </c>
      <c r="B312" t="s">
        <v>134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134</v>
      </c>
      <c r="C313">
        <v>2025</v>
      </c>
      <c r="D313">
        <v>27</v>
      </c>
      <c r="E313">
        <v>1.61</v>
      </c>
      <c r="F313">
        <v>1.31</v>
      </c>
      <c r="G313">
        <v>0.61</v>
      </c>
      <c r="H313">
        <v>0.88</v>
      </c>
      <c r="I313">
        <v>2.96</v>
      </c>
      <c r="J313">
        <v>1.21</v>
      </c>
      <c r="K313">
        <v>1.87</v>
      </c>
      <c r="L313" t="s">
        <v>8</v>
      </c>
      <c r="M313" t="s">
        <v>72</v>
      </c>
    </row>
    <row r="314" spans="1:13" x14ac:dyDescent="0.45">
      <c r="A314" t="s">
        <v>7</v>
      </c>
      <c r="B314" t="s">
        <v>134</v>
      </c>
      <c r="C314">
        <v>2030</v>
      </c>
      <c r="D314">
        <v>27</v>
      </c>
      <c r="E314">
        <v>2.27</v>
      </c>
      <c r="F314">
        <v>1.98</v>
      </c>
      <c r="G314">
        <v>0.92</v>
      </c>
      <c r="H314">
        <v>1.44</v>
      </c>
      <c r="I314">
        <v>4.3</v>
      </c>
      <c r="J314">
        <v>1.45</v>
      </c>
      <c r="K314">
        <v>2.97</v>
      </c>
      <c r="L314" t="s">
        <v>8</v>
      </c>
      <c r="M314" t="s">
        <v>72</v>
      </c>
    </row>
    <row r="315" spans="1:13" x14ac:dyDescent="0.45">
      <c r="A315" t="s">
        <v>7</v>
      </c>
      <c r="B315" t="s">
        <v>134</v>
      </c>
      <c r="C315">
        <v>2035</v>
      </c>
      <c r="D315">
        <v>27</v>
      </c>
      <c r="E315">
        <v>3.54</v>
      </c>
      <c r="F315">
        <v>3.79</v>
      </c>
      <c r="G315">
        <v>1.37</v>
      </c>
      <c r="H315">
        <v>1.26</v>
      </c>
      <c r="I315">
        <v>5.89</v>
      </c>
      <c r="J315">
        <v>2.75</v>
      </c>
      <c r="K315">
        <v>4.32</v>
      </c>
      <c r="L315" t="s">
        <v>8</v>
      </c>
      <c r="M315" t="s">
        <v>72</v>
      </c>
    </row>
    <row r="316" spans="1:13" x14ac:dyDescent="0.45">
      <c r="A316" t="s">
        <v>7</v>
      </c>
      <c r="B316" t="s">
        <v>134</v>
      </c>
      <c r="C316">
        <v>2040</v>
      </c>
      <c r="D316">
        <v>27</v>
      </c>
      <c r="E316">
        <v>4.76</v>
      </c>
      <c r="F316">
        <v>4.93</v>
      </c>
      <c r="G316">
        <v>2.1</v>
      </c>
      <c r="H316">
        <v>1.36</v>
      </c>
      <c r="I316">
        <v>10.7</v>
      </c>
      <c r="J316">
        <v>4.3099999999999996</v>
      </c>
      <c r="K316">
        <v>5.87</v>
      </c>
      <c r="L316" t="s">
        <v>8</v>
      </c>
      <c r="M316" t="s">
        <v>72</v>
      </c>
    </row>
    <row r="317" spans="1:13" x14ac:dyDescent="0.45">
      <c r="A317" t="s">
        <v>7</v>
      </c>
      <c r="B317" t="s">
        <v>134</v>
      </c>
      <c r="C317">
        <v>2045</v>
      </c>
      <c r="D317">
        <v>27</v>
      </c>
      <c r="E317">
        <v>5.53</v>
      </c>
      <c r="F317">
        <v>5.82</v>
      </c>
      <c r="G317">
        <v>2.68</v>
      </c>
      <c r="H317">
        <v>1.47</v>
      </c>
      <c r="I317">
        <v>12.91</v>
      </c>
      <c r="J317">
        <v>4.6500000000000004</v>
      </c>
      <c r="K317">
        <v>6.96</v>
      </c>
      <c r="L317" t="s">
        <v>8</v>
      </c>
      <c r="M317" t="s">
        <v>72</v>
      </c>
    </row>
    <row r="318" spans="1:13" x14ac:dyDescent="0.45">
      <c r="A318" t="s">
        <v>7</v>
      </c>
      <c r="B318" t="s">
        <v>134</v>
      </c>
      <c r="C318">
        <v>2050</v>
      </c>
      <c r="D318">
        <v>27</v>
      </c>
      <c r="E318">
        <v>5.76</v>
      </c>
      <c r="F318">
        <v>6.33</v>
      </c>
      <c r="G318">
        <v>2.6</v>
      </c>
      <c r="H318">
        <v>1.73</v>
      </c>
      <c r="I318">
        <v>9.89</v>
      </c>
      <c r="J318">
        <v>4.24</v>
      </c>
      <c r="K318">
        <v>7.44</v>
      </c>
      <c r="L318" t="s">
        <v>8</v>
      </c>
      <c r="M318" t="s">
        <v>72</v>
      </c>
    </row>
    <row r="319" spans="1:13" x14ac:dyDescent="0.45">
      <c r="A319" t="s">
        <v>9</v>
      </c>
      <c r="B319" t="s">
        <v>134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134</v>
      </c>
      <c r="C320">
        <v>2025</v>
      </c>
      <c r="D320">
        <v>14</v>
      </c>
      <c r="E320">
        <v>1.03</v>
      </c>
      <c r="F320">
        <v>1.04</v>
      </c>
      <c r="G320">
        <v>0.28000000000000003</v>
      </c>
      <c r="H320">
        <v>0.64</v>
      </c>
      <c r="I320">
        <v>1.87</v>
      </c>
      <c r="J320">
        <v>1.03</v>
      </c>
      <c r="K320">
        <v>1.06</v>
      </c>
      <c r="L320" t="s">
        <v>10</v>
      </c>
      <c r="M320" t="s">
        <v>72</v>
      </c>
    </row>
    <row r="321" spans="1:13" x14ac:dyDescent="0.45">
      <c r="A321" t="s">
        <v>9</v>
      </c>
      <c r="B321" t="s">
        <v>134</v>
      </c>
      <c r="C321">
        <v>2030</v>
      </c>
      <c r="D321">
        <v>14</v>
      </c>
      <c r="E321">
        <v>1.17</v>
      </c>
      <c r="F321">
        <v>1.1100000000000001</v>
      </c>
      <c r="G321">
        <v>0.28000000000000003</v>
      </c>
      <c r="H321">
        <v>0.98</v>
      </c>
      <c r="I321">
        <v>2.11</v>
      </c>
      <c r="J321">
        <v>1.07</v>
      </c>
      <c r="K321">
        <v>1.1399999999999999</v>
      </c>
      <c r="L321" t="s">
        <v>10</v>
      </c>
      <c r="M321" t="s">
        <v>72</v>
      </c>
    </row>
    <row r="322" spans="1:13" x14ac:dyDescent="0.45">
      <c r="A322" t="s">
        <v>9</v>
      </c>
      <c r="B322" t="s">
        <v>134</v>
      </c>
      <c r="C322">
        <v>2035</v>
      </c>
      <c r="D322">
        <v>14</v>
      </c>
      <c r="E322">
        <v>1.34</v>
      </c>
      <c r="F322">
        <v>1.1399999999999999</v>
      </c>
      <c r="G322">
        <v>0.9</v>
      </c>
      <c r="H322">
        <v>0.8</v>
      </c>
      <c r="I322">
        <v>4.42</v>
      </c>
      <c r="J322">
        <v>1.0900000000000001</v>
      </c>
      <c r="K322">
        <v>1.24</v>
      </c>
      <c r="L322" t="s">
        <v>10</v>
      </c>
      <c r="M322" t="s">
        <v>72</v>
      </c>
    </row>
    <row r="323" spans="1:13" x14ac:dyDescent="0.45">
      <c r="A323" t="s">
        <v>9</v>
      </c>
      <c r="B323" t="s">
        <v>134</v>
      </c>
      <c r="C323">
        <v>2040</v>
      </c>
      <c r="D323">
        <v>14</v>
      </c>
      <c r="E323">
        <v>1.5</v>
      </c>
      <c r="F323">
        <v>1.1599999999999999</v>
      </c>
      <c r="G323">
        <v>1.1200000000000001</v>
      </c>
      <c r="H323">
        <v>0.98</v>
      </c>
      <c r="I323">
        <v>5.33</v>
      </c>
      <c r="J323">
        <v>1.1200000000000001</v>
      </c>
      <c r="K323">
        <v>1.37</v>
      </c>
      <c r="L323" t="s">
        <v>10</v>
      </c>
      <c r="M323" t="s">
        <v>72</v>
      </c>
    </row>
    <row r="324" spans="1:13" x14ac:dyDescent="0.45">
      <c r="A324" t="s">
        <v>9</v>
      </c>
      <c r="B324" t="s">
        <v>134</v>
      </c>
      <c r="C324">
        <v>2045</v>
      </c>
      <c r="D324">
        <v>14</v>
      </c>
      <c r="E324">
        <v>1.57</v>
      </c>
      <c r="F324">
        <v>1.18</v>
      </c>
      <c r="G324">
        <v>1.29</v>
      </c>
      <c r="H324">
        <v>0.93</v>
      </c>
      <c r="I324">
        <v>5.97</v>
      </c>
      <c r="J324">
        <v>1.1399999999999999</v>
      </c>
      <c r="K324">
        <v>1.48</v>
      </c>
      <c r="L324" t="s">
        <v>10</v>
      </c>
      <c r="M324" t="s">
        <v>72</v>
      </c>
    </row>
    <row r="325" spans="1:13" x14ac:dyDescent="0.45">
      <c r="A325" t="s">
        <v>9</v>
      </c>
      <c r="B325" t="s">
        <v>134</v>
      </c>
      <c r="C325">
        <v>2050</v>
      </c>
      <c r="D325">
        <v>14</v>
      </c>
      <c r="E325">
        <v>1.7</v>
      </c>
      <c r="F325">
        <v>1.19</v>
      </c>
      <c r="G325">
        <v>1.42</v>
      </c>
      <c r="H325">
        <v>1.06</v>
      </c>
      <c r="I325">
        <v>6.53</v>
      </c>
      <c r="J325">
        <v>1.1599999999999999</v>
      </c>
      <c r="K325">
        <v>1.59</v>
      </c>
      <c r="L325" t="s">
        <v>10</v>
      </c>
      <c r="M325" t="s">
        <v>72</v>
      </c>
    </row>
    <row r="326" spans="1:13" x14ac:dyDescent="0.45">
      <c r="A326" t="s">
        <v>0</v>
      </c>
      <c r="B326" t="s">
        <v>134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134</v>
      </c>
      <c r="C327">
        <v>2025</v>
      </c>
      <c r="D327">
        <v>7</v>
      </c>
      <c r="E327">
        <v>0.97</v>
      </c>
      <c r="F327">
        <v>0.97</v>
      </c>
      <c r="G327">
        <v>0</v>
      </c>
      <c r="H327">
        <v>0.97</v>
      </c>
      <c r="I327">
        <v>0.97</v>
      </c>
      <c r="J327">
        <v>0.97</v>
      </c>
      <c r="K327">
        <v>0.97</v>
      </c>
      <c r="L327" t="s">
        <v>1</v>
      </c>
      <c r="M327" t="s">
        <v>73</v>
      </c>
    </row>
    <row r="328" spans="1:13" x14ac:dyDescent="0.45">
      <c r="A328" t="s">
        <v>0</v>
      </c>
      <c r="B328" t="s">
        <v>134</v>
      </c>
      <c r="C328">
        <v>2030</v>
      </c>
      <c r="D328">
        <v>7</v>
      </c>
      <c r="E328">
        <v>0.94</v>
      </c>
      <c r="F328">
        <v>0.94</v>
      </c>
      <c r="G328">
        <v>0.01</v>
      </c>
      <c r="H328">
        <v>0.93</v>
      </c>
      <c r="I328">
        <v>0.95</v>
      </c>
      <c r="J328">
        <v>0.93</v>
      </c>
      <c r="K328">
        <v>0.94</v>
      </c>
      <c r="L328" t="s">
        <v>1</v>
      </c>
      <c r="M328" t="s">
        <v>73</v>
      </c>
    </row>
    <row r="329" spans="1:13" x14ac:dyDescent="0.45">
      <c r="A329" t="s">
        <v>0</v>
      </c>
      <c r="B329" t="s">
        <v>134</v>
      </c>
      <c r="C329">
        <v>2035</v>
      </c>
      <c r="D329">
        <v>7</v>
      </c>
      <c r="E329">
        <v>0.93</v>
      </c>
      <c r="F329">
        <v>0.93</v>
      </c>
      <c r="G329">
        <v>0.02</v>
      </c>
      <c r="H329">
        <v>0.91</v>
      </c>
      <c r="I329">
        <v>0.95</v>
      </c>
      <c r="J329">
        <v>0.92</v>
      </c>
      <c r="K329">
        <v>0.94</v>
      </c>
      <c r="L329" t="s">
        <v>1</v>
      </c>
      <c r="M329" t="s">
        <v>73</v>
      </c>
    </row>
    <row r="330" spans="1:13" x14ac:dyDescent="0.45">
      <c r="A330" t="s">
        <v>0</v>
      </c>
      <c r="B330" t="s">
        <v>134</v>
      </c>
      <c r="C330">
        <v>2040</v>
      </c>
      <c r="D330">
        <v>7</v>
      </c>
      <c r="E330">
        <v>0.95</v>
      </c>
      <c r="F330">
        <v>0.94</v>
      </c>
      <c r="G330">
        <v>0.03</v>
      </c>
      <c r="H330">
        <v>0.9</v>
      </c>
      <c r="I330">
        <v>0.99</v>
      </c>
      <c r="J330">
        <v>0.93</v>
      </c>
      <c r="K330">
        <v>0.97</v>
      </c>
      <c r="L330" t="s">
        <v>1</v>
      </c>
      <c r="M330" t="s">
        <v>73</v>
      </c>
    </row>
    <row r="331" spans="1:13" x14ac:dyDescent="0.45">
      <c r="A331" t="s">
        <v>0</v>
      </c>
      <c r="B331" t="s">
        <v>134</v>
      </c>
      <c r="C331">
        <v>2045</v>
      </c>
      <c r="D331">
        <v>7</v>
      </c>
      <c r="E331">
        <v>0.93</v>
      </c>
      <c r="F331">
        <v>0.93</v>
      </c>
      <c r="G331">
        <v>0.03</v>
      </c>
      <c r="H331">
        <v>0.89</v>
      </c>
      <c r="I331">
        <v>0.98</v>
      </c>
      <c r="J331">
        <v>0.9</v>
      </c>
      <c r="K331">
        <v>0.95</v>
      </c>
      <c r="L331" t="s">
        <v>1</v>
      </c>
      <c r="M331" t="s">
        <v>73</v>
      </c>
    </row>
    <row r="332" spans="1:13" x14ac:dyDescent="0.45">
      <c r="A332" t="s">
        <v>0</v>
      </c>
      <c r="B332" t="s">
        <v>134</v>
      </c>
      <c r="C332">
        <v>2050</v>
      </c>
      <c r="D332">
        <v>7</v>
      </c>
      <c r="E332">
        <v>0.93</v>
      </c>
      <c r="F332">
        <v>0.91</v>
      </c>
      <c r="G332">
        <v>0.06</v>
      </c>
      <c r="H332">
        <v>0.88</v>
      </c>
      <c r="I332">
        <v>1.02</v>
      </c>
      <c r="J332">
        <v>0.88</v>
      </c>
      <c r="K332">
        <v>0.97</v>
      </c>
      <c r="L332" t="s">
        <v>1</v>
      </c>
      <c r="M332" t="s">
        <v>73</v>
      </c>
    </row>
    <row r="333" spans="1:13" x14ac:dyDescent="0.45">
      <c r="A333" t="s">
        <v>2</v>
      </c>
      <c r="B333" t="s">
        <v>134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134</v>
      </c>
      <c r="C334">
        <v>2025</v>
      </c>
      <c r="D334">
        <v>7</v>
      </c>
      <c r="E334">
        <v>0.97</v>
      </c>
      <c r="F334">
        <v>0.97</v>
      </c>
      <c r="G334">
        <v>0</v>
      </c>
      <c r="H334">
        <v>0.96</v>
      </c>
      <c r="I334">
        <v>0.97</v>
      </c>
      <c r="J334">
        <v>0.96</v>
      </c>
      <c r="K334">
        <v>0.97</v>
      </c>
      <c r="L334" t="s">
        <v>3</v>
      </c>
      <c r="M334" t="s">
        <v>73</v>
      </c>
    </row>
    <row r="335" spans="1:13" x14ac:dyDescent="0.45">
      <c r="A335" t="s">
        <v>2</v>
      </c>
      <c r="B335" t="s">
        <v>134</v>
      </c>
      <c r="C335">
        <v>2030</v>
      </c>
      <c r="D335">
        <v>7</v>
      </c>
      <c r="E335">
        <v>0.94</v>
      </c>
      <c r="F335">
        <v>0.94</v>
      </c>
      <c r="G335">
        <v>0</v>
      </c>
      <c r="H335">
        <v>0.94</v>
      </c>
      <c r="I335">
        <v>0.95</v>
      </c>
      <c r="J335">
        <v>0.94</v>
      </c>
      <c r="K335">
        <v>0.94</v>
      </c>
      <c r="L335" t="s">
        <v>3</v>
      </c>
      <c r="M335" t="s">
        <v>73</v>
      </c>
    </row>
    <row r="336" spans="1:13" x14ac:dyDescent="0.45">
      <c r="A336" t="s">
        <v>2</v>
      </c>
      <c r="B336" t="s">
        <v>134</v>
      </c>
      <c r="C336">
        <v>2035</v>
      </c>
      <c r="D336">
        <v>7</v>
      </c>
      <c r="E336">
        <v>0.92</v>
      </c>
      <c r="F336">
        <v>0.91</v>
      </c>
      <c r="G336">
        <v>0.02</v>
      </c>
      <c r="H336">
        <v>0.9</v>
      </c>
      <c r="I336">
        <v>0.95</v>
      </c>
      <c r="J336">
        <v>0.91</v>
      </c>
      <c r="K336">
        <v>0.93</v>
      </c>
      <c r="L336" t="s">
        <v>3</v>
      </c>
      <c r="M336" t="s">
        <v>73</v>
      </c>
    </row>
    <row r="337" spans="1:13" x14ac:dyDescent="0.45">
      <c r="A337" t="s">
        <v>2</v>
      </c>
      <c r="B337" t="s">
        <v>134</v>
      </c>
      <c r="C337">
        <v>2040</v>
      </c>
      <c r="D337">
        <v>7</v>
      </c>
      <c r="E337">
        <v>0.96</v>
      </c>
      <c r="F337">
        <v>0.94</v>
      </c>
      <c r="G337">
        <v>0.02</v>
      </c>
      <c r="H337">
        <v>0.94</v>
      </c>
      <c r="I337">
        <v>0.99</v>
      </c>
      <c r="J337">
        <v>0.94</v>
      </c>
      <c r="K337">
        <v>0.97</v>
      </c>
      <c r="L337" t="s">
        <v>3</v>
      </c>
      <c r="M337" t="s">
        <v>73</v>
      </c>
    </row>
    <row r="338" spans="1:13" x14ac:dyDescent="0.45">
      <c r="A338" t="s">
        <v>2</v>
      </c>
      <c r="B338" t="s">
        <v>134</v>
      </c>
      <c r="C338">
        <v>2045</v>
      </c>
      <c r="D338">
        <v>7</v>
      </c>
      <c r="E338">
        <v>1</v>
      </c>
      <c r="F338">
        <v>0.99</v>
      </c>
      <c r="G338">
        <v>0.03</v>
      </c>
      <c r="H338">
        <v>0.97</v>
      </c>
      <c r="I338">
        <v>1.04</v>
      </c>
      <c r="J338">
        <v>0.98</v>
      </c>
      <c r="K338">
        <v>1.03</v>
      </c>
      <c r="L338" t="s">
        <v>3</v>
      </c>
      <c r="M338" t="s">
        <v>73</v>
      </c>
    </row>
    <row r="339" spans="1:13" x14ac:dyDescent="0.45">
      <c r="A339" t="s">
        <v>2</v>
      </c>
      <c r="B339" t="s">
        <v>134</v>
      </c>
      <c r="C339">
        <v>2050</v>
      </c>
      <c r="D339">
        <v>7</v>
      </c>
      <c r="E339">
        <v>1.05</v>
      </c>
      <c r="F339">
        <v>1.04</v>
      </c>
      <c r="G339">
        <v>0.03</v>
      </c>
      <c r="H339">
        <v>1.01</v>
      </c>
      <c r="I339">
        <v>1.0900000000000001</v>
      </c>
      <c r="J339">
        <v>1.03</v>
      </c>
      <c r="K339">
        <v>1.08</v>
      </c>
      <c r="L339" t="s">
        <v>3</v>
      </c>
      <c r="M339" t="s">
        <v>73</v>
      </c>
    </row>
    <row r="340" spans="1:13" x14ac:dyDescent="0.45">
      <c r="A340" t="s">
        <v>5</v>
      </c>
      <c r="B340" t="s">
        <v>134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134</v>
      </c>
      <c r="C341">
        <v>2025</v>
      </c>
      <c r="D341">
        <v>15</v>
      </c>
      <c r="E341">
        <v>1.03</v>
      </c>
      <c r="F341">
        <v>0.97</v>
      </c>
      <c r="G341">
        <v>0.08</v>
      </c>
      <c r="H341">
        <v>0.97</v>
      </c>
      <c r="I341">
        <v>1.22</v>
      </c>
      <c r="J341">
        <v>0.97</v>
      </c>
      <c r="K341">
        <v>1.1000000000000001</v>
      </c>
      <c r="L341" t="s">
        <v>6</v>
      </c>
      <c r="M341" t="s">
        <v>73</v>
      </c>
    </row>
    <row r="342" spans="1:13" x14ac:dyDescent="0.45">
      <c r="A342" t="s">
        <v>5</v>
      </c>
      <c r="B342" t="s">
        <v>134</v>
      </c>
      <c r="C342">
        <v>2030</v>
      </c>
      <c r="D342">
        <v>15</v>
      </c>
      <c r="E342">
        <v>1.07</v>
      </c>
      <c r="F342">
        <v>0.95</v>
      </c>
      <c r="G342">
        <v>0.19</v>
      </c>
      <c r="H342">
        <v>0.94</v>
      </c>
      <c r="I342">
        <v>1.55</v>
      </c>
      <c r="J342">
        <v>0.95</v>
      </c>
      <c r="K342">
        <v>1.19</v>
      </c>
      <c r="L342" t="s">
        <v>6</v>
      </c>
      <c r="M342" t="s">
        <v>73</v>
      </c>
    </row>
    <row r="343" spans="1:13" x14ac:dyDescent="0.45">
      <c r="A343" t="s">
        <v>5</v>
      </c>
      <c r="B343" t="s">
        <v>134</v>
      </c>
      <c r="C343">
        <v>2035</v>
      </c>
      <c r="D343">
        <v>15</v>
      </c>
      <c r="E343">
        <v>1.26</v>
      </c>
      <c r="F343">
        <v>0.92</v>
      </c>
      <c r="G343">
        <v>0.45</v>
      </c>
      <c r="H343">
        <v>0.91</v>
      </c>
      <c r="I343">
        <v>2.0099999999999998</v>
      </c>
      <c r="J343">
        <v>0.92</v>
      </c>
      <c r="K343">
        <v>1.7</v>
      </c>
      <c r="L343" t="s">
        <v>6</v>
      </c>
      <c r="M343" t="s">
        <v>73</v>
      </c>
    </row>
    <row r="344" spans="1:13" x14ac:dyDescent="0.45">
      <c r="A344" t="s">
        <v>5</v>
      </c>
      <c r="B344" t="s">
        <v>134</v>
      </c>
      <c r="C344">
        <v>2040</v>
      </c>
      <c r="D344">
        <v>15</v>
      </c>
      <c r="E344">
        <v>1.48</v>
      </c>
      <c r="F344">
        <v>0.95</v>
      </c>
      <c r="G344">
        <v>0.77</v>
      </c>
      <c r="H344">
        <v>0.87</v>
      </c>
      <c r="I344">
        <v>2.96</v>
      </c>
      <c r="J344">
        <v>0.91</v>
      </c>
      <c r="K344">
        <v>2.11</v>
      </c>
      <c r="L344" t="s">
        <v>6</v>
      </c>
      <c r="M344" t="s">
        <v>73</v>
      </c>
    </row>
    <row r="345" spans="1:13" x14ac:dyDescent="0.45">
      <c r="A345" t="s">
        <v>5</v>
      </c>
      <c r="B345" t="s">
        <v>134</v>
      </c>
      <c r="C345">
        <v>2045</v>
      </c>
      <c r="D345">
        <v>15</v>
      </c>
      <c r="E345">
        <v>1.81</v>
      </c>
      <c r="F345">
        <v>0.99</v>
      </c>
      <c r="G345">
        <v>1.17</v>
      </c>
      <c r="H345">
        <v>0.9</v>
      </c>
      <c r="I345">
        <v>4.05</v>
      </c>
      <c r="J345">
        <v>0.95</v>
      </c>
      <c r="K345">
        <v>2.63</v>
      </c>
      <c r="L345" t="s">
        <v>6</v>
      </c>
      <c r="M345" t="s">
        <v>73</v>
      </c>
    </row>
    <row r="346" spans="1:13" x14ac:dyDescent="0.45">
      <c r="A346" t="s">
        <v>5</v>
      </c>
      <c r="B346" t="s">
        <v>134</v>
      </c>
      <c r="C346">
        <v>2050</v>
      </c>
      <c r="D346">
        <v>15</v>
      </c>
      <c r="E346">
        <v>2.13</v>
      </c>
      <c r="F346">
        <v>1.04</v>
      </c>
      <c r="G346">
        <v>1.56</v>
      </c>
      <c r="H346">
        <v>0.94</v>
      </c>
      <c r="I346">
        <v>5.04</v>
      </c>
      <c r="J346">
        <v>0.99</v>
      </c>
      <c r="K346">
        <v>3.27</v>
      </c>
      <c r="L346" t="s">
        <v>6</v>
      </c>
      <c r="M346" t="s">
        <v>73</v>
      </c>
    </row>
    <row r="347" spans="1:13" x14ac:dyDescent="0.45">
      <c r="A347" t="s">
        <v>7</v>
      </c>
      <c r="B347" t="s">
        <v>134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134</v>
      </c>
      <c r="C348">
        <v>2025</v>
      </c>
      <c r="D348">
        <v>8</v>
      </c>
      <c r="E348">
        <v>1.0900000000000001</v>
      </c>
      <c r="F348">
        <v>1.1000000000000001</v>
      </c>
      <c r="G348">
        <v>0.02</v>
      </c>
      <c r="H348">
        <v>1.05</v>
      </c>
      <c r="I348">
        <v>1.1000000000000001</v>
      </c>
      <c r="J348">
        <v>1.0900000000000001</v>
      </c>
      <c r="K348">
        <v>1.1000000000000001</v>
      </c>
      <c r="L348" t="s">
        <v>8</v>
      </c>
      <c r="M348" t="s">
        <v>73</v>
      </c>
    </row>
    <row r="349" spans="1:13" x14ac:dyDescent="0.45">
      <c r="A349" t="s">
        <v>7</v>
      </c>
      <c r="B349" t="s">
        <v>134</v>
      </c>
      <c r="C349">
        <v>2030</v>
      </c>
      <c r="D349">
        <v>8</v>
      </c>
      <c r="E349">
        <v>1.1399999999999999</v>
      </c>
      <c r="F349">
        <v>1.1299999999999999</v>
      </c>
      <c r="G349">
        <v>0.05</v>
      </c>
      <c r="H349">
        <v>1.1000000000000001</v>
      </c>
      <c r="I349">
        <v>1.22</v>
      </c>
      <c r="J349">
        <v>1.1000000000000001</v>
      </c>
      <c r="K349">
        <v>1.18</v>
      </c>
      <c r="L349" t="s">
        <v>8</v>
      </c>
      <c r="M349" t="s">
        <v>73</v>
      </c>
    </row>
    <row r="350" spans="1:13" x14ac:dyDescent="0.45">
      <c r="A350" t="s">
        <v>7</v>
      </c>
      <c r="B350" t="s">
        <v>134</v>
      </c>
      <c r="C350">
        <v>2035</v>
      </c>
      <c r="D350">
        <v>8</v>
      </c>
      <c r="E350">
        <v>1.35</v>
      </c>
      <c r="F350">
        <v>1.34</v>
      </c>
      <c r="G350">
        <v>0.15</v>
      </c>
      <c r="H350">
        <v>1.1599999999999999</v>
      </c>
      <c r="I350">
        <v>1.55</v>
      </c>
      <c r="J350">
        <v>1.24</v>
      </c>
      <c r="K350">
        <v>1.46</v>
      </c>
      <c r="L350" t="s">
        <v>8</v>
      </c>
      <c r="M350" t="s">
        <v>73</v>
      </c>
    </row>
    <row r="351" spans="1:13" x14ac:dyDescent="0.45">
      <c r="A351" t="s">
        <v>7</v>
      </c>
      <c r="B351" t="s">
        <v>134</v>
      </c>
      <c r="C351">
        <v>2040</v>
      </c>
      <c r="D351">
        <v>8</v>
      </c>
      <c r="E351">
        <v>1.48</v>
      </c>
      <c r="F351">
        <v>1.5</v>
      </c>
      <c r="G351">
        <v>0.15</v>
      </c>
      <c r="H351">
        <v>1.28</v>
      </c>
      <c r="I351">
        <v>1.67</v>
      </c>
      <c r="J351">
        <v>1.39</v>
      </c>
      <c r="K351">
        <v>1.61</v>
      </c>
      <c r="L351" t="s">
        <v>8</v>
      </c>
      <c r="M351" t="s">
        <v>73</v>
      </c>
    </row>
    <row r="352" spans="1:13" x14ac:dyDescent="0.45">
      <c r="A352" t="s">
        <v>7</v>
      </c>
      <c r="B352" t="s">
        <v>134</v>
      </c>
      <c r="C352">
        <v>2045</v>
      </c>
      <c r="D352">
        <v>8</v>
      </c>
      <c r="E352">
        <v>1.85</v>
      </c>
      <c r="F352">
        <v>1.82</v>
      </c>
      <c r="G352">
        <v>0.11</v>
      </c>
      <c r="H352">
        <v>1.68</v>
      </c>
      <c r="I352">
        <v>2.02</v>
      </c>
      <c r="J352">
        <v>1.81</v>
      </c>
      <c r="K352">
        <v>1.93</v>
      </c>
      <c r="L352" t="s">
        <v>8</v>
      </c>
      <c r="M352" t="s">
        <v>73</v>
      </c>
    </row>
    <row r="353" spans="1:13" x14ac:dyDescent="0.45">
      <c r="A353" t="s">
        <v>7</v>
      </c>
      <c r="B353" t="s">
        <v>134</v>
      </c>
      <c r="C353">
        <v>2050</v>
      </c>
      <c r="D353">
        <v>8</v>
      </c>
      <c r="E353">
        <v>2.2400000000000002</v>
      </c>
      <c r="F353">
        <v>2.2000000000000002</v>
      </c>
      <c r="G353">
        <v>0.26</v>
      </c>
      <c r="H353">
        <v>1.85</v>
      </c>
      <c r="I353">
        <v>2.65</v>
      </c>
      <c r="J353">
        <v>2.0699999999999998</v>
      </c>
      <c r="K353">
        <v>2.42</v>
      </c>
      <c r="L353" t="s">
        <v>8</v>
      </c>
      <c r="M353" t="s">
        <v>73</v>
      </c>
    </row>
    <row r="354" spans="1:13" x14ac:dyDescent="0.45">
      <c r="A354" t="s">
        <v>9</v>
      </c>
      <c r="B354" t="s">
        <v>134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134</v>
      </c>
      <c r="C355">
        <v>2025</v>
      </c>
      <c r="D355">
        <v>7</v>
      </c>
      <c r="E355">
        <v>1.01</v>
      </c>
      <c r="F355">
        <v>0.97</v>
      </c>
      <c r="G355">
        <v>0.06</v>
      </c>
      <c r="H355">
        <v>0.97</v>
      </c>
      <c r="I355">
        <v>1.1000000000000001</v>
      </c>
      <c r="J355">
        <v>0.97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134</v>
      </c>
      <c r="C356">
        <v>2030</v>
      </c>
      <c r="D356">
        <v>7</v>
      </c>
      <c r="E356">
        <v>1</v>
      </c>
      <c r="F356">
        <v>0.95</v>
      </c>
      <c r="G356">
        <v>0.08</v>
      </c>
      <c r="H356">
        <v>0.94</v>
      </c>
      <c r="I356">
        <v>1.1100000000000001</v>
      </c>
      <c r="J356">
        <v>0.95</v>
      </c>
      <c r="K356">
        <v>1.06</v>
      </c>
      <c r="L356" t="s">
        <v>10</v>
      </c>
      <c r="M356" t="s">
        <v>73</v>
      </c>
    </row>
    <row r="357" spans="1:13" x14ac:dyDescent="0.45">
      <c r="A357" t="s">
        <v>9</v>
      </c>
      <c r="B357" t="s">
        <v>134</v>
      </c>
      <c r="C357">
        <v>2035</v>
      </c>
      <c r="D357">
        <v>7</v>
      </c>
      <c r="E357">
        <v>0.97</v>
      </c>
      <c r="F357">
        <v>0.93</v>
      </c>
      <c r="G357">
        <v>0.1</v>
      </c>
      <c r="H357">
        <v>0.88</v>
      </c>
      <c r="I357">
        <v>1.18</v>
      </c>
      <c r="J357">
        <v>0.92</v>
      </c>
      <c r="K357">
        <v>0.98</v>
      </c>
      <c r="L357" t="s">
        <v>10</v>
      </c>
      <c r="M357" t="s">
        <v>73</v>
      </c>
    </row>
    <row r="358" spans="1:13" x14ac:dyDescent="0.45">
      <c r="A358" t="s">
        <v>9</v>
      </c>
      <c r="B358" t="s">
        <v>134</v>
      </c>
      <c r="C358">
        <v>2040</v>
      </c>
      <c r="D358">
        <v>7</v>
      </c>
      <c r="E358">
        <v>0.93</v>
      </c>
      <c r="F358">
        <v>0.89</v>
      </c>
      <c r="G358">
        <v>0.12</v>
      </c>
      <c r="H358">
        <v>0.78</v>
      </c>
      <c r="I358">
        <v>1.17</v>
      </c>
      <c r="J358">
        <v>0.89</v>
      </c>
      <c r="K358">
        <v>0.96</v>
      </c>
      <c r="L358" t="s">
        <v>10</v>
      </c>
      <c r="M358" t="s">
        <v>73</v>
      </c>
    </row>
    <row r="359" spans="1:13" x14ac:dyDescent="0.45">
      <c r="A359" t="s">
        <v>9</v>
      </c>
      <c r="B359" t="s">
        <v>134</v>
      </c>
      <c r="C359">
        <v>2045</v>
      </c>
      <c r="D359">
        <v>7</v>
      </c>
      <c r="E359">
        <v>0.94</v>
      </c>
      <c r="F359">
        <v>0.88</v>
      </c>
      <c r="G359">
        <v>0.14000000000000001</v>
      </c>
      <c r="H359">
        <v>0.82</v>
      </c>
      <c r="I359">
        <v>1.21</v>
      </c>
      <c r="J359">
        <v>0.85</v>
      </c>
      <c r="K359">
        <v>0.99</v>
      </c>
      <c r="L359" t="s">
        <v>10</v>
      </c>
      <c r="M359" t="s">
        <v>73</v>
      </c>
    </row>
    <row r="360" spans="1:13" x14ac:dyDescent="0.45">
      <c r="A360" t="s">
        <v>9</v>
      </c>
      <c r="B360" t="s">
        <v>134</v>
      </c>
      <c r="C360">
        <v>2050</v>
      </c>
      <c r="D360">
        <v>7</v>
      </c>
      <c r="E360">
        <v>1.06</v>
      </c>
      <c r="F360">
        <v>0.95</v>
      </c>
      <c r="G360">
        <v>0.3</v>
      </c>
      <c r="H360">
        <v>0.86</v>
      </c>
      <c r="I360">
        <v>1.7</v>
      </c>
      <c r="J360">
        <v>0.87</v>
      </c>
      <c r="K360">
        <v>1.1000000000000001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S24"/>
  <sheetViews>
    <sheetView workbookViewId="0">
      <selection activeCell="H21" sqref="H21"/>
    </sheetView>
  </sheetViews>
  <sheetFormatPr defaultRowHeight="14.25" x14ac:dyDescent="0.45"/>
  <sheetData>
    <row r="10" spans="1:19" x14ac:dyDescent="0.45">
      <c r="A10" t="str">
        <f>IFERROR(Veda!D5,"ts_12t")</f>
        <v>ts_annual</v>
      </c>
      <c r="B10" s="15"/>
      <c r="C10" s="15" t="s">
        <v>191</v>
      </c>
      <c r="D10" t="s">
        <v>118</v>
      </c>
      <c r="F10" t="s">
        <v>191</v>
      </c>
      <c r="G10" t="s">
        <v>202</v>
      </c>
      <c r="I10" t="s">
        <v>191</v>
      </c>
      <c r="J10" t="s">
        <v>211</v>
      </c>
      <c r="L10" t="s">
        <v>191</v>
      </c>
      <c r="M10" t="s">
        <v>119</v>
      </c>
      <c r="O10" t="s">
        <v>191</v>
      </c>
      <c r="P10" t="s">
        <v>103</v>
      </c>
      <c r="R10" t="s">
        <v>191</v>
      </c>
      <c r="S10" t="s">
        <v>120</v>
      </c>
    </row>
    <row r="11" spans="1:19" x14ac:dyDescent="0.45">
      <c r="B11" s="15"/>
      <c r="C11" s="15" t="s">
        <v>192</v>
      </c>
      <c r="D11" t="s">
        <v>193</v>
      </c>
      <c r="F11" t="s">
        <v>192</v>
      </c>
      <c r="G11" t="s">
        <v>209</v>
      </c>
      <c r="I11" t="s">
        <v>192</v>
      </c>
      <c r="J11" t="s">
        <v>212</v>
      </c>
      <c r="L11" t="s">
        <v>192</v>
      </c>
      <c r="M11" t="s">
        <v>220</v>
      </c>
      <c r="O11" t="s">
        <v>192</v>
      </c>
      <c r="P11" t="s">
        <v>224</v>
      </c>
      <c r="R11" t="s">
        <v>192</v>
      </c>
      <c r="S11" t="s">
        <v>243</v>
      </c>
    </row>
    <row r="12" spans="1:19" x14ac:dyDescent="0.45">
      <c r="B12" s="15"/>
      <c r="C12" s="15" t="s">
        <v>194</v>
      </c>
      <c r="D12" t="s">
        <v>195</v>
      </c>
      <c r="F12" t="s">
        <v>194</v>
      </c>
      <c r="G12" t="s">
        <v>210</v>
      </c>
      <c r="I12" t="s">
        <v>194</v>
      </c>
      <c r="J12" t="s">
        <v>213</v>
      </c>
      <c r="L12" t="s">
        <v>194</v>
      </c>
      <c r="M12" t="s">
        <v>221</v>
      </c>
      <c r="O12" t="s">
        <v>194</v>
      </c>
      <c r="P12" t="s">
        <v>224</v>
      </c>
      <c r="R12" t="s">
        <v>194</v>
      </c>
      <c r="S12" t="s">
        <v>244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C4254-8E2B-4328-8F67-450A5DB266C5}">
  <dimension ref="A9:AN11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118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149</v>
      </c>
      <c r="L10" t="s">
        <v>30</v>
      </c>
      <c r="N10" t="s">
        <v>13</v>
      </c>
      <c r="O10" t="s">
        <v>115</v>
      </c>
      <c r="P10" t="s">
        <v>149</v>
      </c>
      <c r="Q10" t="s">
        <v>30</v>
      </c>
      <c r="S10" t="s">
        <v>13</v>
      </c>
      <c r="T10" t="s">
        <v>115</v>
      </c>
      <c r="U10" t="s">
        <v>149</v>
      </c>
      <c r="V10" t="s">
        <v>30</v>
      </c>
      <c r="X10" t="s">
        <v>190</v>
      </c>
      <c r="Y10" t="s">
        <v>149</v>
      </c>
      <c r="Z10" t="s">
        <v>115</v>
      </c>
      <c r="AA10" t="s">
        <v>13</v>
      </c>
      <c r="AC10" t="s">
        <v>13</v>
      </c>
      <c r="AD10" t="s">
        <v>115</v>
      </c>
      <c r="AE10" t="s">
        <v>149</v>
      </c>
      <c r="AG10" t="s">
        <v>13</v>
      </c>
      <c r="AH10" t="s">
        <v>115</v>
      </c>
      <c r="AI10" t="s">
        <v>196</v>
      </c>
      <c r="AK10" t="s">
        <v>47</v>
      </c>
      <c r="AL10" t="s">
        <v>115</v>
      </c>
      <c r="AM10" t="s">
        <v>197</v>
      </c>
      <c r="AN10" t="s">
        <v>198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145</v>
      </c>
      <c r="G11" t="s">
        <v>143</v>
      </c>
      <c r="I11" t="s">
        <v>150</v>
      </c>
      <c r="J11" t="s">
        <v>151</v>
      </c>
      <c r="K11">
        <v>8.9605347647991121E-3</v>
      </c>
      <c r="L11" t="s">
        <v>152</v>
      </c>
      <c r="N11" t="s">
        <v>174</v>
      </c>
      <c r="O11" t="s">
        <v>151</v>
      </c>
      <c r="P11">
        <v>8.1276745394991259E-2</v>
      </c>
      <c r="Q11" t="s">
        <v>152</v>
      </c>
      <c r="S11" t="s">
        <v>180</v>
      </c>
      <c r="T11" t="s">
        <v>151</v>
      </c>
      <c r="U11">
        <v>0.12275258805713643</v>
      </c>
      <c r="V11" t="s">
        <v>152</v>
      </c>
      <c r="X11">
        <v>5.2397260273972603E-2</v>
      </c>
      <c r="Y11">
        <v>3.3253611118017071E-2</v>
      </c>
      <c r="Z11" t="s">
        <v>151</v>
      </c>
      <c r="AA11" t="s">
        <v>25</v>
      </c>
      <c r="AC11" t="s">
        <v>22</v>
      </c>
      <c r="AD11" t="s">
        <v>151</v>
      </c>
      <c r="AE11">
        <v>3.5905268426482742E-2</v>
      </c>
      <c r="AG11" t="s">
        <v>96</v>
      </c>
      <c r="AH11" t="s">
        <v>151</v>
      </c>
      <c r="AI11">
        <v>0.27245790108094226</v>
      </c>
    </row>
    <row r="12" spans="1:40" x14ac:dyDescent="0.45">
      <c r="C12" t="s">
        <v>146</v>
      </c>
      <c r="E12" t="s">
        <v>147</v>
      </c>
      <c r="G12" t="s">
        <v>143</v>
      </c>
      <c r="I12" t="s">
        <v>150</v>
      </c>
      <c r="J12" t="s">
        <v>153</v>
      </c>
      <c r="K12">
        <v>0.11211723309496603</v>
      </c>
      <c r="L12" t="s">
        <v>152</v>
      </c>
      <c r="N12" t="s">
        <v>174</v>
      </c>
      <c r="O12" t="s">
        <v>153</v>
      </c>
      <c r="P12">
        <v>0.10944170438880062</v>
      </c>
      <c r="Q12" t="s">
        <v>152</v>
      </c>
      <c r="S12" t="s">
        <v>180</v>
      </c>
      <c r="T12" t="s">
        <v>153</v>
      </c>
      <c r="U12">
        <v>0.11834589473886982</v>
      </c>
      <c r="V12" t="s">
        <v>152</v>
      </c>
      <c r="X12">
        <v>5.2397260273972603E-2</v>
      </c>
      <c r="Y12">
        <v>7.570395047609578E-2</v>
      </c>
      <c r="Z12" t="s">
        <v>153</v>
      </c>
      <c r="AA12" t="s">
        <v>25</v>
      </c>
      <c r="AC12" t="s">
        <v>22</v>
      </c>
      <c r="AD12" t="s">
        <v>153</v>
      </c>
      <c r="AE12">
        <v>5.0606769010743728E-2</v>
      </c>
      <c r="AG12" t="s">
        <v>96</v>
      </c>
      <c r="AH12" t="s">
        <v>153</v>
      </c>
      <c r="AI12">
        <v>0.10891543435314621</v>
      </c>
    </row>
    <row r="13" spans="1:40" x14ac:dyDescent="0.45">
      <c r="E13" t="s">
        <v>148</v>
      </c>
      <c r="G13" t="s">
        <v>143</v>
      </c>
      <c r="I13" t="s">
        <v>150</v>
      </c>
      <c r="J13" t="s">
        <v>154</v>
      </c>
      <c r="K13">
        <v>5.1316774211729501E-3</v>
      </c>
      <c r="L13" t="s">
        <v>152</v>
      </c>
      <c r="N13" t="s">
        <v>174</v>
      </c>
      <c r="O13" t="s">
        <v>154</v>
      </c>
      <c r="P13">
        <v>9.4320316777972438E-2</v>
      </c>
      <c r="Q13" t="s">
        <v>152</v>
      </c>
      <c r="S13" t="s">
        <v>180</v>
      </c>
      <c r="T13" t="s">
        <v>154</v>
      </c>
      <c r="U13">
        <v>8.3584222778486192E-2</v>
      </c>
      <c r="V13" t="s">
        <v>152</v>
      </c>
      <c r="X13">
        <v>3.4931506849315071E-2</v>
      </c>
      <c r="Y13">
        <v>3.0768465803147453E-2</v>
      </c>
      <c r="Z13" t="s">
        <v>154</v>
      </c>
      <c r="AA13" t="s">
        <v>25</v>
      </c>
      <c r="AC13" t="s">
        <v>22</v>
      </c>
      <c r="AD13" t="s">
        <v>154</v>
      </c>
      <c r="AE13">
        <v>3.5304618564592063E-2</v>
      </c>
      <c r="AG13" t="s">
        <v>96</v>
      </c>
      <c r="AH13" t="s">
        <v>154</v>
      </c>
      <c r="AI13">
        <v>0.15219037517249379</v>
      </c>
    </row>
    <row r="14" spans="1:40" x14ac:dyDescent="0.45">
      <c r="I14" t="s">
        <v>150</v>
      </c>
      <c r="J14" t="s">
        <v>155</v>
      </c>
      <c r="K14">
        <v>7.8678768636830682E-2</v>
      </c>
      <c r="L14" t="s">
        <v>152</v>
      </c>
      <c r="N14" t="s">
        <v>174</v>
      </c>
      <c r="O14" t="s">
        <v>155</v>
      </c>
      <c r="P14">
        <v>0.25673772463539746</v>
      </c>
      <c r="Q14" t="s">
        <v>152</v>
      </c>
      <c r="S14" t="s">
        <v>180</v>
      </c>
      <c r="T14" t="s">
        <v>155</v>
      </c>
      <c r="U14">
        <v>0.25078051563776854</v>
      </c>
      <c r="V14" t="s">
        <v>152</v>
      </c>
      <c r="X14">
        <v>0.32260273972602738</v>
      </c>
      <c r="Y14">
        <v>0.20473791943249722</v>
      </c>
      <c r="Z14" t="s">
        <v>155</v>
      </c>
      <c r="AA14" t="s">
        <v>25</v>
      </c>
      <c r="AC14" t="s">
        <v>22</v>
      </c>
      <c r="AD14" t="s">
        <v>155</v>
      </c>
      <c r="AE14">
        <v>0.24741835006251389</v>
      </c>
      <c r="AG14" t="s">
        <v>96</v>
      </c>
      <c r="AH14" t="s">
        <v>155</v>
      </c>
      <c r="AI14">
        <v>0.35630750443218506</v>
      </c>
    </row>
    <row r="15" spans="1:40" x14ac:dyDescent="0.45">
      <c r="I15" t="s">
        <v>150</v>
      </c>
      <c r="J15" t="s">
        <v>156</v>
      </c>
      <c r="K15">
        <v>0.76477196561761007</v>
      </c>
      <c r="L15" t="s">
        <v>152</v>
      </c>
      <c r="N15" t="s">
        <v>174</v>
      </c>
      <c r="O15" t="s">
        <v>156</v>
      </c>
      <c r="P15">
        <v>0.28232807561454448</v>
      </c>
      <c r="Q15" t="s">
        <v>152</v>
      </c>
      <c r="S15" t="s">
        <v>180</v>
      </c>
      <c r="T15" t="s">
        <v>156</v>
      </c>
      <c r="U15">
        <v>0.25838336453731847</v>
      </c>
      <c r="V15" t="s">
        <v>152</v>
      </c>
      <c r="X15">
        <v>0.32260273972602738</v>
      </c>
      <c r="Y15">
        <v>0.46609883234302102</v>
      </c>
      <c r="Z15" t="s">
        <v>156</v>
      </c>
      <c r="AA15" t="s">
        <v>25</v>
      </c>
      <c r="AC15" t="s">
        <v>22</v>
      </c>
      <c r="AD15" t="s">
        <v>156</v>
      </c>
      <c r="AE15">
        <v>0.37950779290979575</v>
      </c>
      <c r="AG15" t="s">
        <v>96</v>
      </c>
      <c r="AH15" t="s">
        <v>156</v>
      </c>
      <c r="AI15">
        <v>0.27219809417442553</v>
      </c>
    </row>
    <row r="16" spans="1:40" x14ac:dyDescent="0.45">
      <c r="I16" t="s">
        <v>150</v>
      </c>
      <c r="J16" t="s">
        <v>157</v>
      </c>
      <c r="K16">
        <v>3.0339820464620304E-2</v>
      </c>
      <c r="L16" t="s">
        <v>152</v>
      </c>
      <c r="N16" t="s">
        <v>174</v>
      </c>
      <c r="O16" t="s">
        <v>157</v>
      </c>
      <c r="P16">
        <v>0.17589543318829409</v>
      </c>
      <c r="Q16" t="s">
        <v>152</v>
      </c>
      <c r="S16" t="s">
        <v>180</v>
      </c>
      <c r="T16" t="s">
        <v>157</v>
      </c>
      <c r="U16">
        <v>0.16615341425042057</v>
      </c>
      <c r="V16" t="s">
        <v>152</v>
      </c>
      <c r="X16">
        <v>0.21506849315068494</v>
      </c>
      <c r="Y16">
        <v>0.18943722082722161</v>
      </c>
      <c r="Z16" t="s">
        <v>157</v>
      </c>
      <c r="AA16" t="s">
        <v>25</v>
      </c>
      <c r="AC16" t="s">
        <v>22</v>
      </c>
      <c r="AD16" t="s">
        <v>157</v>
      </c>
      <c r="AE16">
        <v>0.2512572010258719</v>
      </c>
      <c r="AG16" t="s">
        <v>96</v>
      </c>
      <c r="AH16" t="s">
        <v>157</v>
      </c>
      <c r="AI16">
        <v>0.24498387155275414</v>
      </c>
    </row>
    <row r="17" spans="9:31" x14ac:dyDescent="0.45">
      <c r="I17" t="s">
        <v>158</v>
      </c>
      <c r="J17" t="s">
        <v>151</v>
      </c>
      <c r="K17">
        <v>9.222849573348315E-3</v>
      </c>
      <c r="L17" t="s">
        <v>152</v>
      </c>
      <c r="N17" t="s">
        <v>175</v>
      </c>
      <c r="O17" t="s">
        <v>151</v>
      </c>
      <c r="P17">
        <v>7.2695547156754622E-2</v>
      </c>
      <c r="Q17" t="s">
        <v>152</v>
      </c>
      <c r="S17" t="s">
        <v>181</v>
      </c>
      <c r="T17" t="s">
        <v>151</v>
      </c>
      <c r="U17">
        <v>0.10683496539884881</v>
      </c>
      <c r="V17" t="s">
        <v>152</v>
      </c>
      <c r="AC17" t="s">
        <v>19</v>
      </c>
      <c r="AD17" t="s">
        <v>151</v>
      </c>
      <c r="AE17">
        <v>5.1776979071425117E-2</v>
      </c>
    </row>
    <row r="18" spans="9:31" x14ac:dyDescent="0.45">
      <c r="I18" t="s">
        <v>158</v>
      </c>
      <c r="J18" t="s">
        <v>153</v>
      </c>
      <c r="K18">
        <v>0.11739546379218663</v>
      </c>
      <c r="L18" t="s">
        <v>152</v>
      </c>
      <c r="N18" t="s">
        <v>175</v>
      </c>
      <c r="O18" t="s">
        <v>153</v>
      </c>
      <c r="P18">
        <v>9.8630145699605334E-2</v>
      </c>
      <c r="Q18" t="s">
        <v>152</v>
      </c>
      <c r="S18" t="s">
        <v>181</v>
      </c>
      <c r="T18" t="s">
        <v>153</v>
      </c>
      <c r="U18">
        <v>0.11611927073169169</v>
      </c>
      <c r="V18" t="s">
        <v>152</v>
      </c>
      <c r="AC18" t="s">
        <v>19</v>
      </c>
      <c r="AD18" t="s">
        <v>153</v>
      </c>
      <c r="AE18">
        <v>5.2633532896635409E-2</v>
      </c>
    </row>
    <row r="19" spans="9:31" x14ac:dyDescent="0.45">
      <c r="I19" t="s">
        <v>158</v>
      </c>
      <c r="J19" t="s">
        <v>154</v>
      </c>
      <c r="K19">
        <v>5.1654834002157627E-3</v>
      </c>
      <c r="L19" t="s">
        <v>152</v>
      </c>
      <c r="N19" t="s">
        <v>175</v>
      </c>
      <c r="O19" t="s">
        <v>154</v>
      </c>
      <c r="P19">
        <v>7.1620467764552054E-2</v>
      </c>
      <c r="Q19" t="s">
        <v>152</v>
      </c>
      <c r="S19" t="s">
        <v>181</v>
      </c>
      <c r="T19" t="s">
        <v>154</v>
      </c>
      <c r="U19">
        <v>8.0064068018812065E-2</v>
      </c>
      <c r="V19" t="s">
        <v>152</v>
      </c>
      <c r="AC19" t="s">
        <v>19</v>
      </c>
      <c r="AD19" t="s">
        <v>154</v>
      </c>
      <c r="AE19">
        <v>3.5180306832220537E-2</v>
      </c>
    </row>
    <row r="20" spans="9:31" x14ac:dyDescent="0.45">
      <c r="I20" t="s">
        <v>158</v>
      </c>
      <c r="J20" t="s">
        <v>155</v>
      </c>
      <c r="K20">
        <v>7.7003006910288288E-2</v>
      </c>
      <c r="L20" t="s">
        <v>152</v>
      </c>
      <c r="N20" t="s">
        <v>175</v>
      </c>
      <c r="O20" t="s">
        <v>155</v>
      </c>
      <c r="P20">
        <v>0.25939734024821326</v>
      </c>
      <c r="Q20" t="s">
        <v>152</v>
      </c>
      <c r="S20" t="s">
        <v>181</v>
      </c>
      <c r="T20" t="s">
        <v>155</v>
      </c>
      <c r="U20">
        <v>0.26020980726207082</v>
      </c>
      <c r="V20" t="s">
        <v>152</v>
      </c>
      <c r="AC20" t="s">
        <v>19</v>
      </c>
      <c r="AD20" t="s">
        <v>155</v>
      </c>
      <c r="AE20">
        <v>0.31788167806261231</v>
      </c>
    </row>
    <row r="21" spans="9:31" x14ac:dyDescent="0.45">
      <c r="I21" t="s">
        <v>158</v>
      </c>
      <c r="J21" t="s">
        <v>156</v>
      </c>
      <c r="K21">
        <v>0.76216991936788536</v>
      </c>
      <c r="L21" t="s">
        <v>152</v>
      </c>
      <c r="N21" t="s">
        <v>175</v>
      </c>
      <c r="O21" t="s">
        <v>156</v>
      </c>
      <c r="P21">
        <v>0.30421725395229848</v>
      </c>
      <c r="Q21" t="s">
        <v>152</v>
      </c>
      <c r="S21" t="s">
        <v>181</v>
      </c>
      <c r="T21" t="s">
        <v>156</v>
      </c>
      <c r="U21">
        <v>0.27091247809865099</v>
      </c>
      <c r="V21" t="s">
        <v>152</v>
      </c>
      <c r="AC21" t="s">
        <v>19</v>
      </c>
      <c r="AD21" t="s">
        <v>156</v>
      </c>
      <c r="AE21">
        <v>0.32557760793672735</v>
      </c>
    </row>
    <row r="22" spans="9:31" x14ac:dyDescent="0.45">
      <c r="I22" t="s">
        <v>158</v>
      </c>
      <c r="J22" t="s">
        <v>157</v>
      </c>
      <c r="K22">
        <v>2.9043276956076704E-2</v>
      </c>
      <c r="L22" t="s">
        <v>152</v>
      </c>
      <c r="N22" t="s">
        <v>175</v>
      </c>
      <c r="O22" t="s">
        <v>157</v>
      </c>
      <c r="P22">
        <v>0.19343924517858124</v>
      </c>
      <c r="Q22" t="s">
        <v>152</v>
      </c>
      <c r="S22" t="s">
        <v>181</v>
      </c>
      <c r="T22" t="s">
        <v>157</v>
      </c>
      <c r="U22">
        <v>0.16585941048992517</v>
      </c>
      <c r="V22" t="s">
        <v>152</v>
      </c>
      <c r="AC22" t="s">
        <v>19</v>
      </c>
      <c r="AD22" t="s">
        <v>157</v>
      </c>
      <c r="AE22">
        <v>0.21694989520037924</v>
      </c>
    </row>
    <row r="23" spans="9:31" x14ac:dyDescent="0.45">
      <c r="I23" t="s">
        <v>159</v>
      </c>
      <c r="J23" t="s">
        <v>151</v>
      </c>
      <c r="K23">
        <v>5.8995300138957206E-3</v>
      </c>
      <c r="L23" t="s">
        <v>152</v>
      </c>
      <c r="N23" t="s">
        <v>176</v>
      </c>
      <c r="O23" t="s">
        <v>151</v>
      </c>
      <c r="P23">
        <v>4.7784353161237803E-2</v>
      </c>
      <c r="Q23" t="s">
        <v>152</v>
      </c>
      <c r="S23" t="s">
        <v>182</v>
      </c>
      <c r="T23" t="s">
        <v>151</v>
      </c>
      <c r="U23">
        <v>9.6084426700509706E-2</v>
      </c>
      <c r="V23" t="s">
        <v>152</v>
      </c>
    </row>
    <row r="24" spans="9:31" x14ac:dyDescent="0.45">
      <c r="I24" t="s">
        <v>159</v>
      </c>
      <c r="J24" t="s">
        <v>153</v>
      </c>
      <c r="K24">
        <v>0.11315675847055029</v>
      </c>
      <c r="L24" t="s">
        <v>152</v>
      </c>
      <c r="N24" t="s">
        <v>176</v>
      </c>
      <c r="O24" t="s">
        <v>153</v>
      </c>
      <c r="P24">
        <v>9.1181926966050625E-2</v>
      </c>
      <c r="Q24" t="s">
        <v>152</v>
      </c>
      <c r="S24" t="s">
        <v>182</v>
      </c>
      <c r="T24" t="s">
        <v>153</v>
      </c>
      <c r="U24">
        <v>0.11041587807781281</v>
      </c>
      <c r="V24" t="s">
        <v>152</v>
      </c>
    </row>
    <row r="25" spans="9:31" x14ac:dyDescent="0.45">
      <c r="I25" t="s">
        <v>159</v>
      </c>
      <c r="J25" t="s">
        <v>154</v>
      </c>
      <c r="K25">
        <v>5.2726266901975544E-3</v>
      </c>
      <c r="L25" t="s">
        <v>152</v>
      </c>
      <c r="N25" t="s">
        <v>176</v>
      </c>
      <c r="O25" t="s">
        <v>154</v>
      </c>
      <c r="P25">
        <v>5.5465724325504187E-2</v>
      </c>
      <c r="Q25" t="s">
        <v>152</v>
      </c>
      <c r="S25" t="s">
        <v>182</v>
      </c>
      <c r="T25" t="s">
        <v>154</v>
      </c>
      <c r="U25">
        <v>7.1780995486678059E-2</v>
      </c>
      <c r="V25" t="s">
        <v>152</v>
      </c>
    </row>
    <row r="26" spans="9:31" x14ac:dyDescent="0.45">
      <c r="I26" t="s">
        <v>159</v>
      </c>
      <c r="J26" t="s">
        <v>155</v>
      </c>
      <c r="K26">
        <v>7.7006111500967506E-2</v>
      </c>
      <c r="L26" t="s">
        <v>152</v>
      </c>
      <c r="N26" t="s">
        <v>176</v>
      </c>
      <c r="O26" t="s">
        <v>155</v>
      </c>
      <c r="P26">
        <v>0.24918176270544648</v>
      </c>
      <c r="Q26" t="s">
        <v>152</v>
      </c>
      <c r="S26" t="s">
        <v>182</v>
      </c>
      <c r="T26" t="s">
        <v>155</v>
      </c>
      <c r="U26">
        <v>0.27157737143915667</v>
      </c>
      <c r="V26" t="s">
        <v>152</v>
      </c>
    </row>
    <row r="27" spans="9:31" x14ac:dyDescent="0.45">
      <c r="I27" t="s">
        <v>159</v>
      </c>
      <c r="J27" t="s">
        <v>156</v>
      </c>
      <c r="K27">
        <v>0.76816886742264456</v>
      </c>
      <c r="L27" t="s">
        <v>152</v>
      </c>
      <c r="N27" t="s">
        <v>176</v>
      </c>
      <c r="O27" t="s">
        <v>156</v>
      </c>
      <c r="P27">
        <v>0.34992911581018327</v>
      </c>
      <c r="Q27" t="s">
        <v>152</v>
      </c>
      <c r="S27" t="s">
        <v>182</v>
      </c>
      <c r="T27" t="s">
        <v>156</v>
      </c>
      <c r="U27">
        <v>0.2810621094277076</v>
      </c>
      <c r="V27" t="s">
        <v>152</v>
      </c>
    </row>
    <row r="28" spans="9:31" x14ac:dyDescent="0.45">
      <c r="I28" t="s">
        <v>159</v>
      </c>
      <c r="J28" t="s">
        <v>157</v>
      </c>
      <c r="K28">
        <v>3.049610590174142E-2</v>
      </c>
      <c r="L28" t="s">
        <v>152</v>
      </c>
      <c r="N28" t="s">
        <v>176</v>
      </c>
      <c r="O28" t="s">
        <v>157</v>
      </c>
      <c r="P28">
        <v>0.20645711703157596</v>
      </c>
      <c r="Q28" t="s">
        <v>152</v>
      </c>
      <c r="S28" t="s">
        <v>182</v>
      </c>
      <c r="T28" t="s">
        <v>157</v>
      </c>
      <c r="U28">
        <v>0.16907921886813274</v>
      </c>
      <c r="V28" t="s">
        <v>152</v>
      </c>
    </row>
    <row r="29" spans="9:31" x14ac:dyDescent="0.45">
      <c r="I29" t="s">
        <v>160</v>
      </c>
      <c r="J29" t="s">
        <v>151</v>
      </c>
      <c r="K29">
        <v>5.6136024460044847E-3</v>
      </c>
      <c r="L29" t="s">
        <v>152</v>
      </c>
      <c r="N29" t="s">
        <v>177</v>
      </c>
      <c r="O29" t="s">
        <v>151</v>
      </c>
      <c r="P29">
        <v>6.3935674354278285E-2</v>
      </c>
      <c r="Q29" t="s">
        <v>152</v>
      </c>
      <c r="S29" t="s">
        <v>183</v>
      </c>
      <c r="T29" t="s">
        <v>151</v>
      </c>
      <c r="U29">
        <v>7.9130219293124068E-2</v>
      </c>
      <c r="V29" t="s">
        <v>152</v>
      </c>
    </row>
    <row r="30" spans="9:31" x14ac:dyDescent="0.45">
      <c r="I30" t="s">
        <v>160</v>
      </c>
      <c r="J30" t="s">
        <v>153</v>
      </c>
      <c r="K30">
        <v>0.12093033473242826</v>
      </c>
      <c r="L30" t="s">
        <v>152</v>
      </c>
      <c r="N30" t="s">
        <v>177</v>
      </c>
      <c r="O30" t="s">
        <v>153</v>
      </c>
      <c r="P30">
        <v>7.529917744231536E-2</v>
      </c>
      <c r="Q30" t="s">
        <v>152</v>
      </c>
      <c r="S30" t="s">
        <v>183</v>
      </c>
      <c r="T30" t="s">
        <v>153</v>
      </c>
      <c r="U30">
        <v>8.589894974348275E-2</v>
      </c>
      <c r="V30" t="s">
        <v>152</v>
      </c>
    </row>
    <row r="31" spans="9:31" x14ac:dyDescent="0.45">
      <c r="I31" t="s">
        <v>160</v>
      </c>
      <c r="J31" t="s">
        <v>154</v>
      </c>
      <c r="K31">
        <v>5.0881388842531376E-3</v>
      </c>
      <c r="L31" t="s">
        <v>152</v>
      </c>
      <c r="N31" t="s">
        <v>177</v>
      </c>
      <c r="O31" t="s">
        <v>154</v>
      </c>
      <c r="P31">
        <v>5.2444892620471223E-2</v>
      </c>
      <c r="Q31" t="s">
        <v>152</v>
      </c>
      <c r="S31" t="s">
        <v>183</v>
      </c>
      <c r="T31" t="s">
        <v>154</v>
      </c>
      <c r="U31">
        <v>6.4948753150310928E-2</v>
      </c>
      <c r="V31" t="s">
        <v>152</v>
      </c>
    </row>
    <row r="32" spans="9:31" x14ac:dyDescent="0.45">
      <c r="I32" t="s">
        <v>160</v>
      </c>
      <c r="J32" t="s">
        <v>155</v>
      </c>
      <c r="K32">
        <v>6.002424365004233E-2</v>
      </c>
      <c r="L32" t="s">
        <v>152</v>
      </c>
      <c r="N32" t="s">
        <v>177</v>
      </c>
      <c r="O32" t="s">
        <v>155</v>
      </c>
      <c r="P32">
        <v>0.28434540752914078</v>
      </c>
      <c r="Q32" t="s">
        <v>152</v>
      </c>
      <c r="S32" t="s">
        <v>183</v>
      </c>
      <c r="T32" t="s">
        <v>155</v>
      </c>
      <c r="U32">
        <v>0.28732346644889367</v>
      </c>
      <c r="V32" t="s">
        <v>152</v>
      </c>
    </row>
    <row r="33" spans="9:22" x14ac:dyDescent="0.45">
      <c r="I33" t="s">
        <v>160</v>
      </c>
      <c r="J33" t="s">
        <v>156</v>
      </c>
      <c r="K33">
        <v>0.7842389495648614</v>
      </c>
      <c r="L33" t="s">
        <v>152</v>
      </c>
      <c r="N33" t="s">
        <v>177</v>
      </c>
      <c r="O33" t="s">
        <v>156</v>
      </c>
      <c r="P33">
        <v>0.30985085731883</v>
      </c>
      <c r="Q33" t="s">
        <v>152</v>
      </c>
      <c r="S33" t="s">
        <v>183</v>
      </c>
      <c r="T33" t="s">
        <v>156</v>
      </c>
      <c r="U33">
        <v>0.29178272376842473</v>
      </c>
      <c r="V33" t="s">
        <v>152</v>
      </c>
    </row>
    <row r="34" spans="9:22" x14ac:dyDescent="0.45">
      <c r="I34" t="s">
        <v>160</v>
      </c>
      <c r="J34" t="s">
        <v>157</v>
      </c>
      <c r="K34">
        <v>2.4104730722409762E-2</v>
      </c>
      <c r="L34" t="s">
        <v>152</v>
      </c>
      <c r="N34" t="s">
        <v>177</v>
      </c>
      <c r="O34" t="s">
        <v>157</v>
      </c>
      <c r="P34">
        <v>0.21412399073496227</v>
      </c>
      <c r="Q34" t="s">
        <v>152</v>
      </c>
      <c r="S34" t="s">
        <v>183</v>
      </c>
      <c r="T34" t="s">
        <v>157</v>
      </c>
      <c r="U34">
        <v>0.19091588759575992</v>
      </c>
      <c r="V34" t="s">
        <v>152</v>
      </c>
    </row>
    <row r="35" spans="9:22" x14ac:dyDescent="0.45">
      <c r="I35" t="s">
        <v>161</v>
      </c>
      <c r="J35" t="s">
        <v>151</v>
      </c>
      <c r="K35">
        <v>4.6696927277176401E-3</v>
      </c>
      <c r="L35" t="s">
        <v>152</v>
      </c>
      <c r="N35" t="s">
        <v>178</v>
      </c>
      <c r="O35" t="s">
        <v>151</v>
      </c>
      <c r="P35">
        <v>6.9648372675533615E-2</v>
      </c>
      <c r="Q35" t="s">
        <v>152</v>
      </c>
      <c r="S35" t="s">
        <v>184</v>
      </c>
      <c r="T35" t="s">
        <v>151</v>
      </c>
      <c r="U35">
        <v>6.2510540423437511E-2</v>
      </c>
      <c r="V35" t="s">
        <v>152</v>
      </c>
    </row>
    <row r="36" spans="9:22" x14ac:dyDescent="0.45">
      <c r="I36" t="s">
        <v>161</v>
      </c>
      <c r="J36" t="s">
        <v>153</v>
      </c>
      <c r="K36">
        <v>0.1084051082896953</v>
      </c>
      <c r="L36" t="s">
        <v>152</v>
      </c>
      <c r="N36" t="s">
        <v>178</v>
      </c>
      <c r="O36" t="s">
        <v>153</v>
      </c>
      <c r="P36">
        <v>8.6042064411960884E-2</v>
      </c>
      <c r="Q36" t="s">
        <v>152</v>
      </c>
      <c r="S36" t="s">
        <v>184</v>
      </c>
      <c r="T36" t="s">
        <v>153</v>
      </c>
      <c r="U36">
        <v>6.7869640216483479E-2</v>
      </c>
      <c r="V36" t="s">
        <v>152</v>
      </c>
    </row>
    <row r="37" spans="9:22" x14ac:dyDescent="0.45">
      <c r="I37" t="s">
        <v>161</v>
      </c>
      <c r="J37" t="s">
        <v>154</v>
      </c>
      <c r="K37">
        <v>4.7252526398624808E-3</v>
      </c>
      <c r="L37" t="s">
        <v>152</v>
      </c>
      <c r="N37" t="s">
        <v>178</v>
      </c>
      <c r="O37" t="s">
        <v>154</v>
      </c>
      <c r="P37">
        <v>5.9777913454511979E-2</v>
      </c>
      <c r="Q37" t="s">
        <v>152</v>
      </c>
      <c r="S37" t="s">
        <v>184</v>
      </c>
      <c r="T37" t="s">
        <v>154</v>
      </c>
      <c r="U37">
        <v>4.8954290321097098E-2</v>
      </c>
      <c r="V37" t="s">
        <v>152</v>
      </c>
    </row>
    <row r="38" spans="9:22" x14ac:dyDescent="0.45">
      <c r="I38" t="s">
        <v>161</v>
      </c>
      <c r="J38" t="s">
        <v>155</v>
      </c>
      <c r="K38">
        <v>7.1727297929043032E-2</v>
      </c>
      <c r="L38" t="s">
        <v>152</v>
      </c>
      <c r="N38" t="s">
        <v>178</v>
      </c>
      <c r="O38" t="s">
        <v>155</v>
      </c>
      <c r="P38">
        <v>0.26048341099788264</v>
      </c>
      <c r="Q38" t="s">
        <v>152</v>
      </c>
      <c r="S38" t="s">
        <v>184</v>
      </c>
      <c r="T38" t="s">
        <v>155</v>
      </c>
      <c r="U38">
        <v>0.30476808093135849</v>
      </c>
      <c r="V38" t="s">
        <v>152</v>
      </c>
    </row>
    <row r="39" spans="9:22" x14ac:dyDescent="0.45">
      <c r="I39" t="s">
        <v>161</v>
      </c>
      <c r="J39" t="s">
        <v>156</v>
      </c>
      <c r="K39">
        <v>0.78708025498884493</v>
      </c>
      <c r="L39" t="s">
        <v>152</v>
      </c>
      <c r="N39" t="s">
        <v>178</v>
      </c>
      <c r="O39" t="s">
        <v>156</v>
      </c>
      <c r="P39">
        <v>0.29468313285382802</v>
      </c>
      <c r="Q39" t="s">
        <v>152</v>
      </c>
      <c r="S39" t="s">
        <v>184</v>
      </c>
      <c r="T39" t="s">
        <v>156</v>
      </c>
      <c r="U39">
        <v>0.31440877216171242</v>
      </c>
      <c r="V39" t="s">
        <v>152</v>
      </c>
    </row>
    <row r="40" spans="9:22" x14ac:dyDescent="0.45">
      <c r="I40" t="s">
        <v>161</v>
      </c>
      <c r="J40" t="s">
        <v>157</v>
      </c>
      <c r="K40">
        <v>2.3392393424836056E-2</v>
      </c>
      <c r="L40" t="s">
        <v>152</v>
      </c>
      <c r="N40" t="s">
        <v>178</v>
      </c>
      <c r="O40" t="s">
        <v>157</v>
      </c>
      <c r="P40">
        <v>0.22936510560628143</v>
      </c>
      <c r="Q40" t="s">
        <v>152</v>
      </c>
      <c r="S40" t="s">
        <v>184</v>
      </c>
      <c r="T40" t="s">
        <v>157</v>
      </c>
      <c r="U40">
        <v>0.20148867594591155</v>
      </c>
      <c r="V40" t="s">
        <v>152</v>
      </c>
    </row>
    <row r="41" spans="9:22" x14ac:dyDescent="0.45">
      <c r="I41" t="s">
        <v>162</v>
      </c>
      <c r="J41" t="s">
        <v>151</v>
      </c>
      <c r="K41">
        <v>1.2680524461032084E-2</v>
      </c>
      <c r="L41" t="s">
        <v>152</v>
      </c>
      <c r="N41" t="s">
        <v>179</v>
      </c>
      <c r="O41" t="s">
        <v>151</v>
      </c>
      <c r="P41">
        <v>8.7431480472650966E-2</v>
      </c>
      <c r="Q41" t="s">
        <v>152</v>
      </c>
      <c r="S41" t="s">
        <v>185</v>
      </c>
      <c r="T41" t="s">
        <v>151</v>
      </c>
      <c r="U41">
        <v>6.7679830341595248E-2</v>
      </c>
      <c r="V41" t="s">
        <v>152</v>
      </c>
    </row>
    <row r="42" spans="9:22" x14ac:dyDescent="0.45">
      <c r="I42" t="s">
        <v>162</v>
      </c>
      <c r="J42" t="s">
        <v>153</v>
      </c>
      <c r="K42">
        <v>0.11806964908328174</v>
      </c>
      <c r="L42" t="s">
        <v>152</v>
      </c>
      <c r="N42" t="s">
        <v>179</v>
      </c>
      <c r="O42" t="s">
        <v>153</v>
      </c>
      <c r="P42">
        <v>9.7923454657317471E-2</v>
      </c>
      <c r="Q42" t="s">
        <v>152</v>
      </c>
      <c r="S42" t="s">
        <v>185</v>
      </c>
      <c r="T42" t="s">
        <v>153</v>
      </c>
      <c r="U42">
        <v>7.499506270730856E-2</v>
      </c>
      <c r="V42" t="s">
        <v>152</v>
      </c>
    </row>
    <row r="43" spans="9:22" x14ac:dyDescent="0.45">
      <c r="I43" t="s">
        <v>162</v>
      </c>
      <c r="J43" t="s">
        <v>154</v>
      </c>
      <c r="K43">
        <v>2.4603981080922629E-3</v>
      </c>
      <c r="L43" t="s">
        <v>152</v>
      </c>
      <c r="N43" t="s">
        <v>179</v>
      </c>
      <c r="O43" t="s">
        <v>154</v>
      </c>
      <c r="P43">
        <v>7.3712117149479645E-2</v>
      </c>
      <c r="Q43" t="s">
        <v>152</v>
      </c>
      <c r="S43" t="s">
        <v>185</v>
      </c>
      <c r="T43" t="s">
        <v>154</v>
      </c>
      <c r="U43">
        <v>5.5101570855458151E-2</v>
      </c>
      <c r="V43" t="s">
        <v>152</v>
      </c>
    </row>
    <row r="44" spans="9:22" x14ac:dyDescent="0.45">
      <c r="I44" t="s">
        <v>162</v>
      </c>
      <c r="J44" t="s">
        <v>155</v>
      </c>
      <c r="K44">
        <v>0.10406784176134394</v>
      </c>
      <c r="L44" t="s">
        <v>152</v>
      </c>
      <c r="N44" t="s">
        <v>179</v>
      </c>
      <c r="O44" t="s">
        <v>155</v>
      </c>
      <c r="P44">
        <v>0.26638995209226524</v>
      </c>
      <c r="Q44" t="s">
        <v>152</v>
      </c>
      <c r="S44" t="s">
        <v>185</v>
      </c>
      <c r="T44" t="s">
        <v>155</v>
      </c>
      <c r="U44">
        <v>0.29839414364160516</v>
      </c>
      <c r="V44" t="s">
        <v>152</v>
      </c>
    </row>
    <row r="45" spans="9:22" x14ac:dyDescent="0.45">
      <c r="I45" t="s">
        <v>162</v>
      </c>
      <c r="J45" t="s">
        <v>156</v>
      </c>
      <c r="K45">
        <v>0.75461287630498453</v>
      </c>
      <c r="L45" t="s">
        <v>152</v>
      </c>
      <c r="N45" t="s">
        <v>179</v>
      </c>
      <c r="O45" t="s">
        <v>156</v>
      </c>
      <c r="P45">
        <v>0.24572290409543188</v>
      </c>
      <c r="Q45" t="s">
        <v>152</v>
      </c>
      <c r="S45" t="s">
        <v>185</v>
      </c>
      <c r="T45" t="s">
        <v>156</v>
      </c>
      <c r="U45">
        <v>0.3065304163619999</v>
      </c>
      <c r="V45" t="s">
        <v>152</v>
      </c>
    </row>
    <row r="46" spans="9:22" x14ac:dyDescent="0.45">
      <c r="I46" t="s">
        <v>162</v>
      </c>
      <c r="J46" t="s">
        <v>157</v>
      </c>
      <c r="K46">
        <v>8.1087102812675976E-3</v>
      </c>
      <c r="L46" t="s">
        <v>152</v>
      </c>
      <c r="N46" t="s">
        <v>179</v>
      </c>
      <c r="O46" t="s">
        <v>157</v>
      </c>
      <c r="P46">
        <v>0.22882009153285765</v>
      </c>
      <c r="Q46" t="s">
        <v>152</v>
      </c>
      <c r="S46" t="s">
        <v>185</v>
      </c>
      <c r="T46" t="s">
        <v>157</v>
      </c>
      <c r="U46">
        <v>0.19729897609203523</v>
      </c>
      <c r="V46" t="s">
        <v>152</v>
      </c>
    </row>
    <row r="47" spans="9:22" x14ac:dyDescent="0.45">
      <c r="I47" t="s">
        <v>163</v>
      </c>
      <c r="J47" t="s">
        <v>151</v>
      </c>
      <c r="K47">
        <v>1.144830445183383E-2</v>
      </c>
      <c r="L47" t="s">
        <v>152</v>
      </c>
      <c r="S47" t="s">
        <v>186</v>
      </c>
      <c r="T47" t="s">
        <v>151</v>
      </c>
      <c r="U47">
        <v>0.10762636123880658</v>
      </c>
      <c r="V47" t="s">
        <v>152</v>
      </c>
    </row>
    <row r="48" spans="9:22" x14ac:dyDescent="0.45">
      <c r="I48" t="s">
        <v>163</v>
      </c>
      <c r="J48" t="s">
        <v>153</v>
      </c>
      <c r="K48">
        <v>0.11343382900755054</v>
      </c>
      <c r="L48" t="s">
        <v>152</v>
      </c>
      <c r="S48" t="s">
        <v>186</v>
      </c>
      <c r="T48" t="s">
        <v>153</v>
      </c>
      <c r="U48">
        <v>0.10276277254849629</v>
      </c>
      <c r="V48" t="s">
        <v>152</v>
      </c>
    </row>
    <row r="49" spans="9:22" x14ac:dyDescent="0.45">
      <c r="I49" t="s">
        <v>163</v>
      </c>
      <c r="J49" t="s">
        <v>154</v>
      </c>
      <c r="K49">
        <v>2.8383798404137545E-3</v>
      </c>
      <c r="L49" t="s">
        <v>152</v>
      </c>
      <c r="S49" t="s">
        <v>186</v>
      </c>
      <c r="T49" t="s">
        <v>154</v>
      </c>
      <c r="U49">
        <v>7.4581242100558803E-2</v>
      </c>
      <c r="V49" t="s">
        <v>152</v>
      </c>
    </row>
    <row r="50" spans="9:22" x14ac:dyDescent="0.45">
      <c r="I50" t="s">
        <v>163</v>
      </c>
      <c r="J50" t="s">
        <v>155</v>
      </c>
      <c r="K50">
        <v>9.1170887376503099E-2</v>
      </c>
      <c r="L50" t="s">
        <v>152</v>
      </c>
      <c r="S50" t="s">
        <v>186</v>
      </c>
      <c r="T50" t="s">
        <v>155</v>
      </c>
      <c r="U50">
        <v>0.27246091606941519</v>
      </c>
      <c r="V50" t="s">
        <v>152</v>
      </c>
    </row>
    <row r="51" spans="9:22" x14ac:dyDescent="0.45">
      <c r="I51" t="s">
        <v>163</v>
      </c>
      <c r="J51" t="s">
        <v>156</v>
      </c>
      <c r="K51">
        <v>0.76435251783497626</v>
      </c>
      <c r="L51" t="s">
        <v>152</v>
      </c>
      <c r="S51" t="s">
        <v>186</v>
      </c>
      <c r="T51" t="s">
        <v>156</v>
      </c>
      <c r="U51">
        <v>0.27075613792444142</v>
      </c>
      <c r="V51" t="s">
        <v>152</v>
      </c>
    </row>
    <row r="52" spans="9:22" x14ac:dyDescent="0.45">
      <c r="I52" t="s">
        <v>163</v>
      </c>
      <c r="J52" t="s">
        <v>157</v>
      </c>
      <c r="K52">
        <v>1.6756081488721847E-2</v>
      </c>
      <c r="L52" t="s">
        <v>152</v>
      </c>
      <c r="S52" t="s">
        <v>186</v>
      </c>
      <c r="T52" t="s">
        <v>157</v>
      </c>
      <c r="U52">
        <v>0.17181257011828177</v>
      </c>
      <c r="V52" t="s">
        <v>152</v>
      </c>
    </row>
    <row r="53" spans="9:22" x14ac:dyDescent="0.45">
      <c r="I53" t="s">
        <v>164</v>
      </c>
      <c r="J53" t="s">
        <v>151</v>
      </c>
      <c r="K53">
        <v>1.2678574291602213E-2</v>
      </c>
      <c r="L53" t="s">
        <v>152</v>
      </c>
      <c r="S53" t="s">
        <v>187</v>
      </c>
      <c r="T53" t="s">
        <v>151</v>
      </c>
      <c r="U53">
        <v>9.5516391397428513E-2</v>
      </c>
      <c r="V53" t="s">
        <v>152</v>
      </c>
    </row>
    <row r="54" spans="9:22" x14ac:dyDescent="0.45">
      <c r="I54" t="s">
        <v>164</v>
      </c>
      <c r="J54" t="s">
        <v>153</v>
      </c>
      <c r="K54">
        <v>0.11515718555643711</v>
      </c>
      <c r="L54" t="s">
        <v>152</v>
      </c>
      <c r="S54" t="s">
        <v>187</v>
      </c>
      <c r="T54" t="s">
        <v>153</v>
      </c>
      <c r="U54">
        <v>9.0138719068163592E-2</v>
      </c>
      <c r="V54" t="s">
        <v>152</v>
      </c>
    </row>
    <row r="55" spans="9:22" x14ac:dyDescent="0.45">
      <c r="I55" t="s">
        <v>164</v>
      </c>
      <c r="J55" t="s">
        <v>154</v>
      </c>
      <c r="K55">
        <v>2.6563069168033036E-3</v>
      </c>
      <c r="L55" t="s">
        <v>152</v>
      </c>
      <c r="S55" t="s">
        <v>187</v>
      </c>
      <c r="T55" t="s">
        <v>154</v>
      </c>
      <c r="U55">
        <v>6.3589513290403715E-2</v>
      </c>
      <c r="V55" t="s">
        <v>152</v>
      </c>
    </row>
    <row r="56" spans="9:22" x14ac:dyDescent="0.45">
      <c r="I56" t="s">
        <v>164</v>
      </c>
      <c r="J56" t="s">
        <v>155</v>
      </c>
      <c r="K56">
        <v>9.0897225756474895E-2</v>
      </c>
      <c r="L56" t="s">
        <v>152</v>
      </c>
      <c r="S56" t="s">
        <v>187</v>
      </c>
      <c r="T56" t="s">
        <v>155</v>
      </c>
      <c r="U56">
        <v>0.2843677331468375</v>
      </c>
      <c r="V56" t="s">
        <v>152</v>
      </c>
    </row>
    <row r="57" spans="9:22" x14ac:dyDescent="0.45">
      <c r="I57" t="s">
        <v>164</v>
      </c>
      <c r="J57" t="s">
        <v>156</v>
      </c>
      <c r="K57">
        <v>0.76407550685325765</v>
      </c>
      <c r="L57" t="s">
        <v>152</v>
      </c>
      <c r="S57" t="s">
        <v>187</v>
      </c>
      <c r="T57" t="s">
        <v>156</v>
      </c>
      <c r="U57">
        <v>0.28491893201638918</v>
      </c>
      <c r="V57" t="s">
        <v>152</v>
      </c>
    </row>
    <row r="58" spans="9:22" x14ac:dyDescent="0.45">
      <c r="I58" t="s">
        <v>164</v>
      </c>
      <c r="J58" t="s">
        <v>157</v>
      </c>
      <c r="K58">
        <v>1.4535200625421097E-2</v>
      </c>
      <c r="L58" t="s">
        <v>152</v>
      </c>
      <c r="S58" t="s">
        <v>187</v>
      </c>
      <c r="T58" t="s">
        <v>157</v>
      </c>
      <c r="U58">
        <v>0.18146871108077631</v>
      </c>
      <c r="V58" t="s">
        <v>152</v>
      </c>
    </row>
    <row r="59" spans="9:22" x14ac:dyDescent="0.45">
      <c r="I59" t="s">
        <v>165</v>
      </c>
      <c r="J59" t="s">
        <v>151</v>
      </c>
      <c r="K59">
        <v>1.247500731770994E-2</v>
      </c>
      <c r="L59" t="s">
        <v>152</v>
      </c>
      <c r="S59" t="s">
        <v>188</v>
      </c>
      <c r="T59" t="s">
        <v>151</v>
      </c>
      <c r="U59">
        <v>9.0801201098967693E-2</v>
      </c>
      <c r="V59" t="s">
        <v>152</v>
      </c>
    </row>
    <row r="60" spans="9:22" x14ac:dyDescent="0.45">
      <c r="I60" t="s">
        <v>165</v>
      </c>
      <c r="J60" t="s">
        <v>153</v>
      </c>
      <c r="K60">
        <v>0.11637705978309548</v>
      </c>
      <c r="L60" t="s">
        <v>152</v>
      </c>
      <c r="S60" t="s">
        <v>188</v>
      </c>
      <c r="T60" t="s">
        <v>153</v>
      </c>
      <c r="U60">
        <v>8.5710330975778778E-2</v>
      </c>
      <c r="V60" t="s">
        <v>152</v>
      </c>
    </row>
    <row r="61" spans="9:22" x14ac:dyDescent="0.45">
      <c r="I61" t="s">
        <v>165</v>
      </c>
      <c r="J61" t="s">
        <v>154</v>
      </c>
      <c r="K61">
        <v>2.1965319142438241E-3</v>
      </c>
      <c r="L61" t="s">
        <v>152</v>
      </c>
      <c r="S61" t="s">
        <v>188</v>
      </c>
      <c r="T61" t="s">
        <v>154</v>
      </c>
      <c r="U61">
        <v>6.1580130899661259E-2</v>
      </c>
      <c r="V61" t="s">
        <v>152</v>
      </c>
    </row>
    <row r="62" spans="9:22" x14ac:dyDescent="0.45">
      <c r="I62" t="s">
        <v>165</v>
      </c>
      <c r="J62" t="s">
        <v>155</v>
      </c>
      <c r="K62">
        <v>0.10294496284455643</v>
      </c>
      <c r="L62" t="s">
        <v>152</v>
      </c>
      <c r="S62" t="s">
        <v>188</v>
      </c>
      <c r="T62" t="s">
        <v>155</v>
      </c>
      <c r="U62">
        <v>0.28882545908439045</v>
      </c>
      <c r="V62" t="s">
        <v>152</v>
      </c>
    </row>
    <row r="63" spans="9:22" x14ac:dyDescent="0.45">
      <c r="I63" t="s">
        <v>165</v>
      </c>
      <c r="J63" t="s">
        <v>156</v>
      </c>
      <c r="K63">
        <v>0.75608990101317985</v>
      </c>
      <c r="L63" t="s">
        <v>152</v>
      </c>
      <c r="S63" t="s">
        <v>188</v>
      </c>
      <c r="T63" t="s">
        <v>156</v>
      </c>
      <c r="U63">
        <v>0.29116991120811775</v>
      </c>
      <c r="V63" t="s">
        <v>152</v>
      </c>
    </row>
    <row r="64" spans="9:22" x14ac:dyDescent="0.45">
      <c r="I64" t="s">
        <v>165</v>
      </c>
      <c r="J64" t="s">
        <v>157</v>
      </c>
      <c r="K64">
        <v>9.9165371272182754E-3</v>
      </c>
      <c r="L64" t="s">
        <v>152</v>
      </c>
      <c r="S64" t="s">
        <v>188</v>
      </c>
      <c r="T64" t="s">
        <v>157</v>
      </c>
      <c r="U64">
        <v>0.1819129667330823</v>
      </c>
      <c r="V64" t="s">
        <v>152</v>
      </c>
    </row>
    <row r="65" spans="9:22" x14ac:dyDescent="0.45">
      <c r="I65" t="s">
        <v>166</v>
      </c>
      <c r="J65" t="s">
        <v>151</v>
      </c>
      <c r="K65">
        <v>1.2107793270584175E-2</v>
      </c>
      <c r="L65" t="s">
        <v>152</v>
      </c>
      <c r="S65" t="s">
        <v>189</v>
      </c>
      <c r="T65" t="s">
        <v>151</v>
      </c>
      <c r="U65">
        <v>9.3138095984708208E-2</v>
      </c>
      <c r="V65" t="s">
        <v>152</v>
      </c>
    </row>
    <row r="66" spans="9:22" x14ac:dyDescent="0.45">
      <c r="I66" t="s">
        <v>166</v>
      </c>
      <c r="J66" t="s">
        <v>153</v>
      </c>
      <c r="K66">
        <v>0.11697772223820434</v>
      </c>
      <c r="L66" t="s">
        <v>152</v>
      </c>
      <c r="S66" t="s">
        <v>189</v>
      </c>
      <c r="T66" t="s">
        <v>153</v>
      </c>
      <c r="U66">
        <v>9.0188980321613849E-2</v>
      </c>
      <c r="V66" t="s">
        <v>152</v>
      </c>
    </row>
    <row r="67" spans="9:22" x14ac:dyDescent="0.45">
      <c r="I67" t="s">
        <v>166</v>
      </c>
      <c r="J67" t="s">
        <v>154</v>
      </c>
      <c r="K67">
        <v>2.5490599691559614E-3</v>
      </c>
      <c r="L67" t="s">
        <v>152</v>
      </c>
      <c r="S67" t="s">
        <v>189</v>
      </c>
      <c r="T67" t="s">
        <v>154</v>
      </c>
      <c r="U67">
        <v>6.464113296759999E-2</v>
      </c>
      <c r="V67" t="s">
        <v>152</v>
      </c>
    </row>
    <row r="68" spans="9:22" x14ac:dyDescent="0.45">
      <c r="I68" t="s">
        <v>166</v>
      </c>
      <c r="J68" t="s">
        <v>155</v>
      </c>
      <c r="K68">
        <v>9.4144321175694365E-2</v>
      </c>
      <c r="L68" t="s">
        <v>152</v>
      </c>
      <c r="S68" t="s">
        <v>189</v>
      </c>
      <c r="T68" t="s">
        <v>155</v>
      </c>
      <c r="U68">
        <v>0.28448329640167014</v>
      </c>
      <c r="V68" t="s">
        <v>152</v>
      </c>
    </row>
    <row r="69" spans="9:22" x14ac:dyDescent="0.45">
      <c r="I69" t="s">
        <v>166</v>
      </c>
      <c r="J69" t="s">
        <v>156</v>
      </c>
      <c r="K69">
        <v>0.76084179292937704</v>
      </c>
      <c r="L69" t="s">
        <v>152</v>
      </c>
      <c r="S69" t="s">
        <v>189</v>
      </c>
      <c r="T69" t="s">
        <v>156</v>
      </c>
      <c r="U69">
        <v>0.28843408567145817</v>
      </c>
      <c r="V69" t="s">
        <v>152</v>
      </c>
    </row>
    <row r="70" spans="9:22" x14ac:dyDescent="0.45">
      <c r="I70" t="s">
        <v>166</v>
      </c>
      <c r="J70" t="s">
        <v>157</v>
      </c>
      <c r="K70">
        <v>1.3379310416984914E-2</v>
      </c>
      <c r="L70" t="s">
        <v>152</v>
      </c>
      <c r="S70" t="s">
        <v>189</v>
      </c>
      <c r="T70" t="s">
        <v>157</v>
      </c>
      <c r="U70">
        <v>0.17911440865294939</v>
      </c>
      <c r="V70" t="s">
        <v>152</v>
      </c>
    </row>
    <row r="71" spans="9:22" x14ac:dyDescent="0.45">
      <c r="I71" t="s">
        <v>167</v>
      </c>
      <c r="J71" t="s">
        <v>151</v>
      </c>
      <c r="K71">
        <v>1.7622381375984889E-2</v>
      </c>
      <c r="L71" t="s">
        <v>152</v>
      </c>
    </row>
    <row r="72" spans="9:22" x14ac:dyDescent="0.45">
      <c r="I72" t="s">
        <v>167</v>
      </c>
      <c r="J72" t="s">
        <v>153</v>
      </c>
      <c r="K72">
        <v>0.11896297622085247</v>
      </c>
      <c r="L72" t="s">
        <v>152</v>
      </c>
    </row>
    <row r="73" spans="9:22" x14ac:dyDescent="0.45">
      <c r="I73" t="s">
        <v>167</v>
      </c>
      <c r="J73" t="s">
        <v>154</v>
      </c>
      <c r="K73">
        <v>0</v>
      </c>
      <c r="L73" t="s">
        <v>152</v>
      </c>
    </row>
    <row r="74" spans="9:22" x14ac:dyDescent="0.45">
      <c r="I74" t="s">
        <v>167</v>
      </c>
      <c r="J74" t="s">
        <v>155</v>
      </c>
      <c r="K74">
        <v>0.14549548409884072</v>
      </c>
      <c r="L74" t="s">
        <v>152</v>
      </c>
    </row>
    <row r="75" spans="9:22" x14ac:dyDescent="0.45">
      <c r="I75" t="s">
        <v>167</v>
      </c>
      <c r="J75" t="s">
        <v>156</v>
      </c>
      <c r="K75">
        <v>0.71787748245344507</v>
      </c>
      <c r="L75" t="s">
        <v>152</v>
      </c>
    </row>
    <row r="76" spans="9:22" x14ac:dyDescent="0.45">
      <c r="I76" t="s">
        <v>167</v>
      </c>
      <c r="J76" t="s">
        <v>157</v>
      </c>
      <c r="K76">
        <v>4.1675850875563472E-5</v>
      </c>
      <c r="L76" t="s">
        <v>152</v>
      </c>
    </row>
    <row r="77" spans="9:22" x14ac:dyDescent="0.45">
      <c r="I77" t="s">
        <v>168</v>
      </c>
      <c r="J77" t="s">
        <v>151</v>
      </c>
      <c r="K77">
        <v>1.84847086094556E-2</v>
      </c>
      <c r="L77" t="s">
        <v>152</v>
      </c>
    </row>
    <row r="78" spans="9:22" x14ac:dyDescent="0.45">
      <c r="I78" t="s">
        <v>168</v>
      </c>
      <c r="J78" t="s">
        <v>153</v>
      </c>
      <c r="K78">
        <v>0.11677670521076769</v>
      </c>
      <c r="L78" t="s">
        <v>152</v>
      </c>
    </row>
    <row r="79" spans="9:22" x14ac:dyDescent="0.45">
      <c r="I79" t="s">
        <v>168</v>
      </c>
      <c r="J79" t="s">
        <v>154</v>
      </c>
      <c r="K79">
        <v>0</v>
      </c>
      <c r="L79" t="s">
        <v>152</v>
      </c>
    </row>
    <row r="80" spans="9:22" x14ac:dyDescent="0.45">
      <c r="I80" t="s">
        <v>168</v>
      </c>
      <c r="J80" t="s">
        <v>155</v>
      </c>
      <c r="K80">
        <v>0.14326579709436058</v>
      </c>
      <c r="L80" t="s">
        <v>152</v>
      </c>
    </row>
    <row r="81" spans="9:12" x14ac:dyDescent="0.45">
      <c r="I81" t="s">
        <v>168</v>
      </c>
      <c r="J81" t="s">
        <v>156</v>
      </c>
      <c r="K81">
        <v>0.72112860284903968</v>
      </c>
      <c r="L81" t="s">
        <v>152</v>
      </c>
    </row>
    <row r="82" spans="9:12" x14ac:dyDescent="0.45">
      <c r="I82" t="s">
        <v>168</v>
      </c>
      <c r="J82" t="s">
        <v>157</v>
      </c>
      <c r="K82">
        <v>3.44186236380419E-4</v>
      </c>
      <c r="L82" t="s">
        <v>152</v>
      </c>
    </row>
    <row r="83" spans="9:12" x14ac:dyDescent="0.45">
      <c r="I83" t="s">
        <v>169</v>
      </c>
      <c r="J83" t="s">
        <v>151</v>
      </c>
      <c r="K83">
        <v>1.1745045069913373E-2</v>
      </c>
      <c r="L83" t="s">
        <v>152</v>
      </c>
    </row>
    <row r="84" spans="9:12" x14ac:dyDescent="0.45">
      <c r="I84" t="s">
        <v>169</v>
      </c>
      <c r="J84" t="s">
        <v>153</v>
      </c>
      <c r="K84">
        <v>0.12197107630732625</v>
      </c>
      <c r="L84" t="s">
        <v>152</v>
      </c>
    </row>
    <row r="85" spans="9:12" x14ac:dyDescent="0.45">
      <c r="I85" t="s">
        <v>169</v>
      </c>
      <c r="J85" t="s">
        <v>154</v>
      </c>
      <c r="K85">
        <v>1.774789227605939E-3</v>
      </c>
      <c r="L85" t="s">
        <v>152</v>
      </c>
    </row>
    <row r="86" spans="9:12" x14ac:dyDescent="0.45">
      <c r="I86" t="s">
        <v>169</v>
      </c>
      <c r="J86" t="s">
        <v>155</v>
      </c>
      <c r="K86">
        <v>0.10065354383698188</v>
      </c>
      <c r="L86" t="s">
        <v>152</v>
      </c>
    </row>
    <row r="87" spans="9:12" x14ac:dyDescent="0.45">
      <c r="I87" t="s">
        <v>169</v>
      </c>
      <c r="J87" t="s">
        <v>156</v>
      </c>
      <c r="K87">
        <v>0.758675005784618</v>
      </c>
      <c r="L87" t="s">
        <v>152</v>
      </c>
    </row>
    <row r="88" spans="9:12" x14ac:dyDescent="0.45">
      <c r="I88" t="s">
        <v>169</v>
      </c>
      <c r="J88" t="s">
        <v>157</v>
      </c>
      <c r="K88">
        <v>5.1805397735534874E-3</v>
      </c>
      <c r="L88" t="s">
        <v>152</v>
      </c>
    </row>
    <row r="89" spans="9:12" x14ac:dyDescent="0.45">
      <c r="I89" t="s">
        <v>170</v>
      </c>
      <c r="J89" t="s">
        <v>151</v>
      </c>
      <c r="K89">
        <v>1.303964522676754E-2</v>
      </c>
      <c r="L89" t="s">
        <v>152</v>
      </c>
    </row>
    <row r="90" spans="9:12" x14ac:dyDescent="0.45">
      <c r="I90" t="s">
        <v>170</v>
      </c>
      <c r="J90" t="s">
        <v>153</v>
      </c>
      <c r="K90">
        <v>0.12428858688267148</v>
      </c>
      <c r="L90" t="s">
        <v>152</v>
      </c>
    </row>
    <row r="91" spans="9:12" x14ac:dyDescent="0.45">
      <c r="I91" t="s">
        <v>170</v>
      </c>
      <c r="J91" t="s">
        <v>154</v>
      </c>
      <c r="K91">
        <v>8.0716646137268626E-4</v>
      </c>
      <c r="L91" t="s">
        <v>152</v>
      </c>
    </row>
    <row r="92" spans="9:12" x14ac:dyDescent="0.45">
      <c r="I92" t="s">
        <v>170</v>
      </c>
      <c r="J92" t="s">
        <v>155</v>
      </c>
      <c r="K92">
        <v>0.11127227517428573</v>
      </c>
      <c r="L92" t="s">
        <v>152</v>
      </c>
    </row>
    <row r="93" spans="9:12" x14ac:dyDescent="0.45">
      <c r="I93" t="s">
        <v>170</v>
      </c>
      <c r="J93" t="s">
        <v>156</v>
      </c>
      <c r="K93">
        <v>0.75041488223142927</v>
      </c>
      <c r="L93" t="s">
        <v>152</v>
      </c>
    </row>
    <row r="94" spans="9:12" x14ac:dyDescent="0.45">
      <c r="I94" t="s">
        <v>170</v>
      </c>
      <c r="J94" t="s">
        <v>157</v>
      </c>
      <c r="K94">
        <v>1.7744402347171854E-4</v>
      </c>
      <c r="L94" t="s">
        <v>152</v>
      </c>
    </row>
    <row r="95" spans="9:12" x14ac:dyDescent="0.45">
      <c r="I95" t="s">
        <v>171</v>
      </c>
      <c r="J95" t="s">
        <v>151</v>
      </c>
      <c r="K95">
        <v>1.6642956740896726E-2</v>
      </c>
      <c r="L95" t="s">
        <v>152</v>
      </c>
    </row>
    <row r="96" spans="9:12" x14ac:dyDescent="0.45">
      <c r="I96" t="s">
        <v>171</v>
      </c>
      <c r="J96" t="s">
        <v>153</v>
      </c>
      <c r="K96">
        <v>0.11592028339425449</v>
      </c>
      <c r="L96" t="s">
        <v>152</v>
      </c>
    </row>
    <row r="97" spans="9:12" x14ac:dyDescent="0.45">
      <c r="I97" t="s">
        <v>171</v>
      </c>
      <c r="J97" t="s">
        <v>154</v>
      </c>
      <c r="K97">
        <v>8.1176132377013129E-4</v>
      </c>
      <c r="L97" t="s">
        <v>152</v>
      </c>
    </row>
    <row r="98" spans="9:12" x14ac:dyDescent="0.45">
      <c r="I98" t="s">
        <v>171</v>
      </c>
      <c r="J98" t="s">
        <v>155</v>
      </c>
      <c r="K98">
        <v>0.13012482482343973</v>
      </c>
      <c r="L98" t="s">
        <v>152</v>
      </c>
    </row>
    <row r="99" spans="9:12" x14ac:dyDescent="0.45">
      <c r="I99" t="s">
        <v>171</v>
      </c>
      <c r="J99" t="s">
        <v>156</v>
      </c>
      <c r="K99">
        <v>0.7331651944370654</v>
      </c>
      <c r="L99" t="s">
        <v>152</v>
      </c>
    </row>
    <row r="100" spans="9:12" x14ac:dyDescent="0.45">
      <c r="I100" t="s">
        <v>171</v>
      </c>
      <c r="J100" t="s">
        <v>157</v>
      </c>
      <c r="K100">
        <v>3.3349792805764228E-3</v>
      </c>
      <c r="L100" t="s">
        <v>152</v>
      </c>
    </row>
    <row r="101" spans="9:12" x14ac:dyDescent="0.45">
      <c r="I101" t="s">
        <v>172</v>
      </c>
      <c r="J101" t="s">
        <v>151</v>
      </c>
      <c r="K101">
        <v>1.3984461793924359E-2</v>
      </c>
      <c r="L101" t="s">
        <v>152</v>
      </c>
    </row>
    <row r="102" spans="9:12" x14ac:dyDescent="0.45">
      <c r="I102" t="s">
        <v>172</v>
      </c>
      <c r="J102" t="s">
        <v>153</v>
      </c>
      <c r="K102">
        <v>0.12035922323479929</v>
      </c>
      <c r="L102" t="s">
        <v>152</v>
      </c>
    </row>
    <row r="103" spans="9:12" x14ac:dyDescent="0.45">
      <c r="I103" t="s">
        <v>172</v>
      </c>
      <c r="J103" t="s">
        <v>154</v>
      </c>
      <c r="K103">
        <v>0</v>
      </c>
      <c r="L103" t="s">
        <v>152</v>
      </c>
    </row>
    <row r="104" spans="9:12" x14ac:dyDescent="0.45">
      <c r="I104" t="s">
        <v>172</v>
      </c>
      <c r="J104" t="s">
        <v>155</v>
      </c>
      <c r="K104">
        <v>0.11222276799176531</v>
      </c>
      <c r="L104" t="s">
        <v>152</v>
      </c>
    </row>
    <row r="105" spans="9:12" x14ac:dyDescent="0.45">
      <c r="I105" t="s">
        <v>172</v>
      </c>
      <c r="J105" t="s">
        <v>156</v>
      </c>
      <c r="K105">
        <v>0.75343354697951004</v>
      </c>
      <c r="L105" t="s">
        <v>152</v>
      </c>
    </row>
    <row r="106" spans="9:12" x14ac:dyDescent="0.45">
      <c r="I106" t="s">
        <v>172</v>
      </c>
      <c r="J106" t="s">
        <v>157</v>
      </c>
      <c r="K106">
        <v>0</v>
      </c>
      <c r="L106" t="s">
        <v>152</v>
      </c>
    </row>
    <row r="107" spans="9:12" x14ac:dyDescent="0.45">
      <c r="I107" t="s">
        <v>173</v>
      </c>
      <c r="J107" t="s">
        <v>151</v>
      </c>
      <c r="K107">
        <v>1.5209682536145842E-2</v>
      </c>
      <c r="L107" t="s">
        <v>152</v>
      </c>
    </row>
    <row r="108" spans="9:12" x14ac:dyDescent="0.45">
      <c r="I108" t="s">
        <v>173</v>
      </c>
      <c r="J108" t="s">
        <v>153</v>
      </c>
      <c r="K108">
        <v>0.11724090638728607</v>
      </c>
      <c r="L108" t="s">
        <v>152</v>
      </c>
    </row>
    <row r="109" spans="9:12" x14ac:dyDescent="0.45">
      <c r="I109" t="s">
        <v>173</v>
      </c>
      <c r="J109" t="s">
        <v>154</v>
      </c>
      <c r="K109">
        <v>1.2784872789649469E-3</v>
      </c>
      <c r="L109" t="s">
        <v>152</v>
      </c>
    </row>
    <row r="110" spans="9:12" x14ac:dyDescent="0.45">
      <c r="I110" t="s">
        <v>173</v>
      </c>
      <c r="J110" t="s">
        <v>155</v>
      </c>
      <c r="K110">
        <v>0.12144039607893332</v>
      </c>
      <c r="L110" t="s">
        <v>152</v>
      </c>
    </row>
    <row r="111" spans="9:12" x14ac:dyDescent="0.45">
      <c r="I111" t="s">
        <v>173</v>
      </c>
      <c r="J111" t="s">
        <v>156</v>
      </c>
      <c r="K111">
        <v>0.74238343879792013</v>
      </c>
      <c r="L111" t="s">
        <v>152</v>
      </c>
    </row>
    <row r="112" spans="9:12" x14ac:dyDescent="0.45">
      <c r="I112" t="s">
        <v>173</v>
      </c>
      <c r="J112" t="s">
        <v>157</v>
      </c>
      <c r="K112">
        <v>2.4470889207477723E-3</v>
      </c>
      <c r="L112" t="s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8496C-6401-49DA-847A-0AA987C34E61}">
  <dimension ref="A9:AN21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202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149</v>
      </c>
      <c r="L10" t="s">
        <v>30</v>
      </c>
      <c r="N10" t="s">
        <v>13</v>
      </c>
      <c r="O10" t="s">
        <v>115</v>
      </c>
      <c r="P10" t="s">
        <v>149</v>
      </c>
      <c r="Q10" t="s">
        <v>30</v>
      </c>
      <c r="S10" t="s">
        <v>13</v>
      </c>
      <c r="T10" t="s">
        <v>115</v>
      </c>
      <c r="U10" t="s">
        <v>149</v>
      </c>
      <c r="V10" t="s">
        <v>30</v>
      </c>
      <c r="X10" t="s">
        <v>190</v>
      </c>
      <c r="Y10" t="s">
        <v>149</v>
      </c>
      <c r="Z10" t="s">
        <v>115</v>
      </c>
      <c r="AA10" t="s">
        <v>13</v>
      </c>
      <c r="AC10" t="s">
        <v>13</v>
      </c>
      <c r="AD10" t="s">
        <v>115</v>
      </c>
      <c r="AE10" t="s">
        <v>149</v>
      </c>
      <c r="AG10" t="s">
        <v>13</v>
      </c>
      <c r="AH10" t="s">
        <v>115</v>
      </c>
      <c r="AI10" t="s">
        <v>196</v>
      </c>
      <c r="AK10" t="s">
        <v>47</v>
      </c>
      <c r="AL10" t="s">
        <v>115</v>
      </c>
      <c r="AM10" t="s">
        <v>197</v>
      </c>
      <c r="AN10" t="s">
        <v>198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145</v>
      </c>
      <c r="G11" t="s">
        <v>143</v>
      </c>
      <c r="I11" t="s">
        <v>150</v>
      </c>
      <c r="J11" t="s">
        <v>151</v>
      </c>
      <c r="K11">
        <v>2.7678585263187804E-3</v>
      </c>
      <c r="L11" t="s">
        <v>152</v>
      </c>
      <c r="N11" t="s">
        <v>174</v>
      </c>
      <c r="O11" t="s">
        <v>151</v>
      </c>
      <c r="P11">
        <v>7.2750842323492118E-2</v>
      </c>
      <c r="Q11" t="s">
        <v>152</v>
      </c>
      <c r="S11" t="s">
        <v>180</v>
      </c>
      <c r="T11" t="s">
        <v>151</v>
      </c>
      <c r="U11">
        <v>0.10832978666168361</v>
      </c>
      <c r="V11" t="s">
        <v>152</v>
      </c>
      <c r="X11">
        <v>4.6575342465753428E-2</v>
      </c>
      <c r="Y11">
        <v>2.5815080923849539E-2</v>
      </c>
      <c r="Z11" t="s">
        <v>151</v>
      </c>
      <c r="AA11" t="s">
        <v>25</v>
      </c>
      <c r="AC11" t="s">
        <v>22</v>
      </c>
      <c r="AD11" t="s">
        <v>151</v>
      </c>
      <c r="AE11">
        <v>3.0554152739576644E-2</v>
      </c>
      <c r="AG11" t="s">
        <v>96</v>
      </c>
      <c r="AH11" t="s">
        <v>151</v>
      </c>
      <c r="AI11">
        <v>0.19951707030392973</v>
      </c>
    </row>
    <row r="12" spans="1:40" x14ac:dyDescent="0.45">
      <c r="C12" t="s">
        <v>146</v>
      </c>
      <c r="E12" t="s">
        <v>147</v>
      </c>
      <c r="G12" t="s">
        <v>143</v>
      </c>
      <c r="I12" t="s">
        <v>150</v>
      </c>
      <c r="J12" t="s">
        <v>153</v>
      </c>
      <c r="K12">
        <v>6.1926762384803321E-3</v>
      </c>
      <c r="L12" t="s">
        <v>152</v>
      </c>
      <c r="N12" t="s">
        <v>174</v>
      </c>
      <c r="O12" t="s">
        <v>153</v>
      </c>
      <c r="P12">
        <v>8.5259030714991395E-3</v>
      </c>
      <c r="Q12" t="s">
        <v>152</v>
      </c>
      <c r="S12" t="s">
        <v>180</v>
      </c>
      <c r="T12" t="s">
        <v>153</v>
      </c>
      <c r="U12">
        <v>1.4422801395452824E-2</v>
      </c>
      <c r="V12" t="s">
        <v>152</v>
      </c>
      <c r="X12">
        <v>5.8219178082191785E-3</v>
      </c>
      <c r="Y12">
        <v>7.4385301941675185E-3</v>
      </c>
      <c r="Z12" t="s">
        <v>153</v>
      </c>
      <c r="AA12" t="s">
        <v>25</v>
      </c>
      <c r="AC12" t="s">
        <v>22</v>
      </c>
      <c r="AD12" t="s">
        <v>153</v>
      </c>
      <c r="AE12">
        <v>5.3511156869060997E-3</v>
      </c>
      <c r="AG12" t="s">
        <v>96</v>
      </c>
      <c r="AH12" t="s">
        <v>153</v>
      </c>
      <c r="AI12">
        <v>9.1039262771404506E-2</v>
      </c>
    </row>
    <row r="13" spans="1:40" x14ac:dyDescent="0.45">
      <c r="E13" t="s">
        <v>148</v>
      </c>
      <c r="G13" t="s">
        <v>143</v>
      </c>
      <c r="I13" t="s">
        <v>150</v>
      </c>
      <c r="J13" t="s">
        <v>154</v>
      </c>
      <c r="K13">
        <v>0.1035441622905932</v>
      </c>
      <c r="L13" t="s">
        <v>152</v>
      </c>
      <c r="N13" t="s">
        <v>174</v>
      </c>
      <c r="O13" t="s">
        <v>154</v>
      </c>
      <c r="P13">
        <v>9.3539660782291145E-2</v>
      </c>
      <c r="Q13" t="s">
        <v>152</v>
      </c>
      <c r="S13" t="s">
        <v>180</v>
      </c>
      <c r="T13" t="s">
        <v>154</v>
      </c>
      <c r="U13">
        <v>0.10683785596053533</v>
      </c>
      <c r="V13" t="s">
        <v>152</v>
      </c>
      <c r="X13">
        <v>4.6575342465753428E-2</v>
      </c>
      <c r="Y13">
        <v>6.4377097680431608E-2</v>
      </c>
      <c r="Z13" t="s">
        <v>154</v>
      </c>
      <c r="AA13" t="s">
        <v>25</v>
      </c>
      <c r="AC13" t="s">
        <v>22</v>
      </c>
      <c r="AD13" t="s">
        <v>154</v>
      </c>
      <c r="AE13">
        <v>4.4781056057728197E-2</v>
      </c>
      <c r="AG13" t="s">
        <v>96</v>
      </c>
      <c r="AH13" t="s">
        <v>154</v>
      </c>
      <c r="AI13">
        <v>0.10093477169431053</v>
      </c>
    </row>
    <row r="14" spans="1:40" x14ac:dyDescent="0.45">
      <c r="E14" t="s">
        <v>199</v>
      </c>
      <c r="G14" t="s">
        <v>143</v>
      </c>
      <c r="I14" t="s">
        <v>150</v>
      </c>
      <c r="J14" t="s">
        <v>203</v>
      </c>
      <c r="K14">
        <v>8.5730708043728343E-3</v>
      </c>
      <c r="L14" t="s">
        <v>152</v>
      </c>
      <c r="N14" t="s">
        <v>174</v>
      </c>
      <c r="O14" t="s">
        <v>203</v>
      </c>
      <c r="P14">
        <v>1.5902043606509465E-2</v>
      </c>
      <c r="Q14" t="s">
        <v>152</v>
      </c>
      <c r="S14" t="s">
        <v>180</v>
      </c>
      <c r="T14" t="s">
        <v>203</v>
      </c>
      <c r="U14">
        <v>1.1508038778334497E-2</v>
      </c>
      <c r="V14" t="s">
        <v>152</v>
      </c>
      <c r="X14">
        <v>5.8219178082191785E-3</v>
      </c>
      <c r="Y14">
        <v>1.1326852795664172E-2</v>
      </c>
      <c r="Z14" t="s">
        <v>203</v>
      </c>
      <c r="AA14" t="s">
        <v>25</v>
      </c>
      <c r="AC14" t="s">
        <v>22</v>
      </c>
      <c r="AD14" t="s">
        <v>203</v>
      </c>
      <c r="AE14">
        <v>5.8257129530155322E-3</v>
      </c>
      <c r="AG14" t="s">
        <v>96</v>
      </c>
      <c r="AH14" t="s">
        <v>203</v>
      </c>
      <c r="AI14">
        <v>8.6489628127065066E-2</v>
      </c>
    </row>
    <row r="15" spans="1:40" x14ac:dyDescent="0.45">
      <c r="E15" t="s">
        <v>200</v>
      </c>
      <c r="G15" t="s">
        <v>143</v>
      </c>
      <c r="I15" t="s">
        <v>150</v>
      </c>
      <c r="J15" t="s">
        <v>204</v>
      </c>
      <c r="K15">
        <v>5.1316774211729501E-3</v>
      </c>
      <c r="L15" t="s">
        <v>152</v>
      </c>
      <c r="N15" t="s">
        <v>174</v>
      </c>
      <c r="O15" t="s">
        <v>204</v>
      </c>
      <c r="P15">
        <v>1.6650094246527632E-2</v>
      </c>
      <c r="Q15" t="s">
        <v>152</v>
      </c>
      <c r="S15" t="s">
        <v>180</v>
      </c>
      <c r="T15" t="s">
        <v>204</v>
      </c>
      <c r="U15">
        <v>1.2444661995880282E-2</v>
      </c>
      <c r="V15" t="s">
        <v>152</v>
      </c>
      <c r="X15">
        <v>5.8219178082191785E-3</v>
      </c>
      <c r="Y15">
        <v>8.7909902294707049E-3</v>
      </c>
      <c r="Z15" t="s">
        <v>204</v>
      </c>
      <c r="AA15" t="s">
        <v>25</v>
      </c>
      <c r="AC15" t="s">
        <v>22</v>
      </c>
      <c r="AD15" t="s">
        <v>204</v>
      </c>
      <c r="AE15">
        <v>6.2619007870121013E-3</v>
      </c>
      <c r="AG15" t="s">
        <v>96</v>
      </c>
      <c r="AH15" t="s">
        <v>204</v>
      </c>
      <c r="AI15">
        <v>0.11058013881011908</v>
      </c>
    </row>
    <row r="16" spans="1:40" x14ac:dyDescent="0.45">
      <c r="E16" t="s">
        <v>201</v>
      </c>
      <c r="G16" t="s">
        <v>143</v>
      </c>
      <c r="I16" t="s">
        <v>150</v>
      </c>
      <c r="J16" t="s">
        <v>205</v>
      </c>
      <c r="K16">
        <v>0</v>
      </c>
      <c r="L16" t="s">
        <v>152</v>
      </c>
      <c r="N16" t="s">
        <v>174</v>
      </c>
      <c r="O16" t="s">
        <v>205</v>
      </c>
      <c r="P16">
        <v>7.7670222531444802E-2</v>
      </c>
      <c r="Q16" t="s">
        <v>152</v>
      </c>
      <c r="S16" t="s">
        <v>180</v>
      </c>
      <c r="T16" t="s">
        <v>205</v>
      </c>
      <c r="U16">
        <v>7.1139560782605915E-2</v>
      </c>
      <c r="V16" t="s">
        <v>152</v>
      </c>
      <c r="X16">
        <v>2.9109589041095889E-2</v>
      </c>
      <c r="Y16">
        <v>2.1977475573676755E-2</v>
      </c>
      <c r="Z16" t="s">
        <v>205</v>
      </c>
      <c r="AA16" t="s">
        <v>25</v>
      </c>
      <c r="AC16" t="s">
        <v>22</v>
      </c>
      <c r="AD16" t="s">
        <v>205</v>
      </c>
      <c r="AE16">
        <v>2.9042717777579965E-2</v>
      </c>
      <c r="AG16" t="s">
        <v>96</v>
      </c>
      <c r="AH16" t="s">
        <v>205</v>
      </c>
      <c r="AI16">
        <v>0.16066344285262346</v>
      </c>
    </row>
    <row r="17" spans="9:35" x14ac:dyDescent="0.45">
      <c r="I17" t="s">
        <v>150</v>
      </c>
      <c r="J17" t="s">
        <v>155</v>
      </c>
      <c r="K17">
        <v>2.7412021288315998E-2</v>
      </c>
      <c r="L17" t="s">
        <v>152</v>
      </c>
      <c r="N17" t="s">
        <v>174</v>
      </c>
      <c r="O17" t="s">
        <v>155</v>
      </c>
      <c r="P17">
        <v>0.22700839823879185</v>
      </c>
      <c r="Q17" t="s">
        <v>152</v>
      </c>
      <c r="S17" t="s">
        <v>180</v>
      </c>
      <c r="T17" t="s">
        <v>155</v>
      </c>
      <c r="U17">
        <v>0.22315716104471447</v>
      </c>
      <c r="V17" t="s">
        <v>152</v>
      </c>
      <c r="X17">
        <v>0.28675799086757991</v>
      </c>
      <c r="Y17">
        <v>0.15893991000174029</v>
      </c>
      <c r="Z17" t="s">
        <v>155</v>
      </c>
      <c r="AA17" t="s">
        <v>25</v>
      </c>
      <c r="AC17" t="s">
        <v>22</v>
      </c>
      <c r="AD17" t="s">
        <v>155</v>
      </c>
      <c r="AE17">
        <v>0.21108971140798063</v>
      </c>
      <c r="AG17" t="s">
        <v>96</v>
      </c>
      <c r="AH17" t="s">
        <v>155</v>
      </c>
      <c r="AI17">
        <v>0.27170171385125541</v>
      </c>
    </row>
    <row r="18" spans="9:35" x14ac:dyDescent="0.45">
      <c r="I18" t="s">
        <v>150</v>
      </c>
      <c r="J18" t="s">
        <v>156</v>
      </c>
      <c r="K18">
        <v>5.1266747348514677E-2</v>
      </c>
      <c r="L18" t="s">
        <v>152</v>
      </c>
      <c r="N18" t="s">
        <v>174</v>
      </c>
      <c r="O18" t="s">
        <v>156</v>
      </c>
      <c r="P18">
        <v>2.972932639660561E-2</v>
      </c>
      <c r="Q18" t="s">
        <v>152</v>
      </c>
      <c r="S18" t="s">
        <v>180</v>
      </c>
      <c r="T18" t="s">
        <v>156</v>
      </c>
      <c r="U18">
        <v>2.7623354593054091E-2</v>
      </c>
      <c r="V18" t="s">
        <v>152</v>
      </c>
      <c r="X18">
        <v>3.5844748858447489E-2</v>
      </c>
      <c r="Y18">
        <v>4.5798009430756889E-2</v>
      </c>
      <c r="Z18" t="s">
        <v>156</v>
      </c>
      <c r="AA18" t="s">
        <v>25</v>
      </c>
      <c r="AC18" t="s">
        <v>22</v>
      </c>
      <c r="AD18" t="s">
        <v>156</v>
      </c>
      <c r="AE18">
        <v>3.6328638654533271E-2</v>
      </c>
      <c r="AG18" t="s">
        <v>96</v>
      </c>
      <c r="AH18" t="s">
        <v>156</v>
      </c>
      <c r="AI18">
        <v>0.16290388703147096</v>
      </c>
    </row>
    <row r="19" spans="9:35" x14ac:dyDescent="0.45">
      <c r="I19" t="s">
        <v>150</v>
      </c>
      <c r="J19" t="s">
        <v>157</v>
      </c>
      <c r="K19">
        <v>0.71494404737661243</v>
      </c>
      <c r="L19" t="s">
        <v>152</v>
      </c>
      <c r="N19" t="s">
        <v>174</v>
      </c>
      <c r="O19" t="s">
        <v>157</v>
      </c>
      <c r="P19">
        <v>0.25114549483355464</v>
      </c>
      <c r="Q19" t="s">
        <v>152</v>
      </c>
      <c r="S19" t="s">
        <v>180</v>
      </c>
      <c r="T19" t="s">
        <v>157</v>
      </c>
      <c r="U19">
        <v>0.23071865878793055</v>
      </c>
      <c r="V19" t="s">
        <v>152</v>
      </c>
      <c r="X19">
        <v>0.28675799086757991</v>
      </c>
      <c r="Y19">
        <v>0.39636095434618679</v>
      </c>
      <c r="Z19" t="s">
        <v>157</v>
      </c>
      <c r="AA19" t="s">
        <v>25</v>
      </c>
      <c r="AC19" t="s">
        <v>22</v>
      </c>
      <c r="AD19" t="s">
        <v>157</v>
      </c>
      <c r="AE19">
        <v>0.33605590291424609</v>
      </c>
      <c r="AG19" t="s">
        <v>96</v>
      </c>
      <c r="AH19" t="s">
        <v>157</v>
      </c>
      <c r="AI19">
        <v>0.27003082357760788</v>
      </c>
    </row>
    <row r="20" spans="9:35" x14ac:dyDescent="0.45">
      <c r="I20" t="s">
        <v>150</v>
      </c>
      <c r="J20" t="s">
        <v>206</v>
      </c>
      <c r="K20">
        <v>4.98279182409977E-2</v>
      </c>
      <c r="L20" t="s">
        <v>152</v>
      </c>
      <c r="N20" t="s">
        <v>174</v>
      </c>
      <c r="O20" t="s">
        <v>206</v>
      </c>
      <c r="P20">
        <v>3.1182580780989833E-2</v>
      </c>
      <c r="Q20" t="s">
        <v>152</v>
      </c>
      <c r="S20" t="s">
        <v>180</v>
      </c>
      <c r="T20" t="s">
        <v>206</v>
      </c>
      <c r="U20">
        <v>2.7664705749387918E-2</v>
      </c>
      <c r="V20" t="s">
        <v>152</v>
      </c>
      <c r="X20">
        <v>3.5844748858447489E-2</v>
      </c>
      <c r="Y20">
        <v>6.9737877996834327E-2</v>
      </c>
      <c r="Z20" t="s">
        <v>206</v>
      </c>
      <c r="AA20" t="s">
        <v>25</v>
      </c>
      <c r="AC20" t="s">
        <v>22</v>
      </c>
      <c r="AD20" t="s">
        <v>206</v>
      </c>
      <c r="AE20">
        <v>4.3451889995549643E-2</v>
      </c>
      <c r="AG20" t="s">
        <v>96</v>
      </c>
      <c r="AH20" t="s">
        <v>206</v>
      </c>
      <c r="AI20">
        <v>0.24855204971852118</v>
      </c>
    </row>
    <row r="21" spans="9:35" x14ac:dyDescent="0.45">
      <c r="I21" t="s">
        <v>150</v>
      </c>
      <c r="J21" t="s">
        <v>207</v>
      </c>
      <c r="K21">
        <v>3.0339820464620304E-2</v>
      </c>
      <c r="L21" t="s">
        <v>152</v>
      </c>
      <c r="N21" t="s">
        <v>174</v>
      </c>
      <c r="O21" t="s">
        <v>207</v>
      </c>
      <c r="P21">
        <v>3.0231308824505445E-2</v>
      </c>
      <c r="Q21" t="s">
        <v>152</v>
      </c>
      <c r="S21" t="s">
        <v>180</v>
      </c>
      <c r="T21" t="s">
        <v>207</v>
      </c>
      <c r="U21">
        <v>2.7654619178181319E-2</v>
      </c>
      <c r="V21" t="s">
        <v>152</v>
      </c>
      <c r="X21">
        <v>3.5844748858447489E-2</v>
      </c>
      <c r="Y21">
        <v>5.4124920236349024E-2</v>
      </c>
      <c r="Z21" t="s">
        <v>207</v>
      </c>
      <c r="AA21" t="s">
        <v>25</v>
      </c>
      <c r="AC21" t="s">
        <v>22</v>
      </c>
      <c r="AD21" t="s">
        <v>207</v>
      </c>
      <c r="AE21">
        <v>4.4602789474426321E-2</v>
      </c>
      <c r="AG21" t="s">
        <v>96</v>
      </c>
      <c r="AH21" t="s">
        <v>207</v>
      </c>
      <c r="AI21">
        <v>0.19666380440619791</v>
      </c>
    </row>
    <row r="22" spans="9:35" x14ac:dyDescent="0.45">
      <c r="I22" t="s">
        <v>150</v>
      </c>
      <c r="J22" t="s">
        <v>208</v>
      </c>
      <c r="K22">
        <v>0</v>
      </c>
      <c r="L22" t="s">
        <v>152</v>
      </c>
      <c r="N22" t="s">
        <v>174</v>
      </c>
      <c r="O22" t="s">
        <v>208</v>
      </c>
      <c r="P22">
        <v>0.14566412436378867</v>
      </c>
      <c r="Q22" t="s">
        <v>152</v>
      </c>
      <c r="S22" t="s">
        <v>180</v>
      </c>
      <c r="T22" t="s">
        <v>208</v>
      </c>
      <c r="U22">
        <v>0.13849879507223928</v>
      </c>
      <c r="V22" t="s">
        <v>152</v>
      </c>
      <c r="X22">
        <v>0.17922374429223745</v>
      </c>
      <c r="Y22">
        <v>0.13531230059087257</v>
      </c>
      <c r="Z22" t="s">
        <v>208</v>
      </c>
      <c r="AA22" t="s">
        <v>25</v>
      </c>
      <c r="AC22" t="s">
        <v>22</v>
      </c>
      <c r="AD22" t="s">
        <v>208</v>
      </c>
      <c r="AE22">
        <v>0.20665441155144554</v>
      </c>
      <c r="AG22" t="s">
        <v>96</v>
      </c>
      <c r="AH22" t="s">
        <v>208</v>
      </c>
      <c r="AI22">
        <v>0.25042194404008455</v>
      </c>
    </row>
    <row r="23" spans="9:35" x14ac:dyDescent="0.45">
      <c r="I23" t="s">
        <v>158</v>
      </c>
      <c r="J23" t="s">
        <v>151</v>
      </c>
      <c r="K23">
        <v>2.6105737471608199E-3</v>
      </c>
      <c r="L23" t="s">
        <v>152</v>
      </c>
      <c r="N23" t="s">
        <v>175</v>
      </c>
      <c r="O23" t="s">
        <v>151</v>
      </c>
      <c r="P23">
        <v>6.4764230536754355E-2</v>
      </c>
      <c r="Q23" t="s">
        <v>152</v>
      </c>
      <c r="S23" t="s">
        <v>181</v>
      </c>
      <c r="T23" t="s">
        <v>151</v>
      </c>
      <c r="U23">
        <v>9.4250406429921899E-2</v>
      </c>
      <c r="V23" t="s">
        <v>152</v>
      </c>
      <c r="AC23" t="s">
        <v>19</v>
      </c>
      <c r="AD23" t="s">
        <v>151</v>
      </c>
      <c r="AE23">
        <v>4.5944648055449067E-2</v>
      </c>
    </row>
    <row r="24" spans="9:35" x14ac:dyDescent="0.45">
      <c r="I24" t="s">
        <v>158</v>
      </c>
      <c r="J24" t="s">
        <v>153</v>
      </c>
      <c r="K24">
        <v>6.6122758261874942E-3</v>
      </c>
      <c r="L24" t="s">
        <v>152</v>
      </c>
      <c r="N24" t="s">
        <v>175</v>
      </c>
      <c r="O24" t="s">
        <v>153</v>
      </c>
      <c r="P24">
        <v>7.9313166200002741E-3</v>
      </c>
      <c r="Q24" t="s">
        <v>152</v>
      </c>
      <c r="S24" t="s">
        <v>181</v>
      </c>
      <c r="T24" t="s">
        <v>153</v>
      </c>
      <c r="U24">
        <v>1.258455896892691E-2</v>
      </c>
      <c r="V24" t="s">
        <v>152</v>
      </c>
      <c r="AC24" t="s">
        <v>19</v>
      </c>
      <c r="AD24" t="s">
        <v>153</v>
      </c>
      <c r="AE24">
        <v>5.8323310159760552E-3</v>
      </c>
    </row>
    <row r="25" spans="9:35" x14ac:dyDescent="0.45">
      <c r="I25" t="s">
        <v>158</v>
      </c>
      <c r="J25" t="s">
        <v>154</v>
      </c>
      <c r="K25">
        <v>0.10882601255771197</v>
      </c>
      <c r="L25" t="s">
        <v>152</v>
      </c>
      <c r="N25" t="s">
        <v>175</v>
      </c>
      <c r="O25" t="s">
        <v>154</v>
      </c>
      <c r="P25">
        <v>8.6463711502529308E-2</v>
      </c>
      <c r="Q25" t="s">
        <v>152</v>
      </c>
      <c r="S25" t="s">
        <v>181</v>
      </c>
      <c r="T25" t="s">
        <v>154</v>
      </c>
      <c r="U25">
        <v>0.10506514357189024</v>
      </c>
      <c r="V25" t="s">
        <v>152</v>
      </c>
      <c r="AC25" t="s">
        <v>19</v>
      </c>
      <c r="AD25" t="s">
        <v>154</v>
      </c>
      <c r="AE25">
        <v>4.6773550410566862E-2</v>
      </c>
    </row>
    <row r="26" spans="9:35" x14ac:dyDescent="0.45">
      <c r="I26" t="s">
        <v>158</v>
      </c>
      <c r="J26" t="s">
        <v>203</v>
      </c>
      <c r="K26">
        <v>8.5694512344746503E-3</v>
      </c>
      <c r="L26" t="s">
        <v>152</v>
      </c>
      <c r="N26" t="s">
        <v>175</v>
      </c>
      <c r="O26" t="s">
        <v>203</v>
      </c>
      <c r="P26">
        <v>1.2166434197076028E-2</v>
      </c>
      <c r="Q26" t="s">
        <v>152</v>
      </c>
      <c r="S26" t="s">
        <v>181</v>
      </c>
      <c r="T26" t="s">
        <v>203</v>
      </c>
      <c r="U26">
        <v>1.1054127159801452E-2</v>
      </c>
      <c r="V26" t="s">
        <v>152</v>
      </c>
      <c r="AC26" t="s">
        <v>19</v>
      </c>
      <c r="AD26" t="s">
        <v>203</v>
      </c>
      <c r="AE26">
        <v>5.8599824860685419E-3</v>
      </c>
    </row>
    <row r="27" spans="9:35" x14ac:dyDescent="0.45">
      <c r="I27" t="s">
        <v>158</v>
      </c>
      <c r="J27" t="s">
        <v>204</v>
      </c>
      <c r="K27">
        <v>5.1654834002157627E-3</v>
      </c>
      <c r="L27" t="s">
        <v>152</v>
      </c>
      <c r="N27" t="s">
        <v>175</v>
      </c>
      <c r="O27" t="s">
        <v>204</v>
      </c>
      <c r="P27">
        <v>1.2314803858221698E-2</v>
      </c>
      <c r="Q27" t="s">
        <v>152</v>
      </c>
      <c r="S27" t="s">
        <v>181</v>
      </c>
      <c r="T27" t="s">
        <v>204</v>
      </c>
      <c r="U27">
        <v>1.2408579736756133E-2</v>
      </c>
      <c r="V27" t="s">
        <v>152</v>
      </c>
      <c r="AC27" t="s">
        <v>19</v>
      </c>
      <c r="AD27" t="s">
        <v>204</v>
      </c>
      <c r="AE27">
        <v>5.8853961066427539E-3</v>
      </c>
    </row>
    <row r="28" spans="9:35" x14ac:dyDescent="0.45">
      <c r="I28" t="s">
        <v>158</v>
      </c>
      <c r="J28" t="s">
        <v>205</v>
      </c>
      <c r="K28">
        <v>0</v>
      </c>
      <c r="L28" t="s">
        <v>152</v>
      </c>
      <c r="N28" t="s">
        <v>175</v>
      </c>
      <c r="O28" t="s">
        <v>205</v>
      </c>
      <c r="P28">
        <v>5.9305663906330353E-2</v>
      </c>
      <c r="Q28" t="s">
        <v>152</v>
      </c>
      <c r="S28" t="s">
        <v>181</v>
      </c>
      <c r="T28" t="s">
        <v>205</v>
      </c>
      <c r="U28">
        <v>6.7655488282055934E-2</v>
      </c>
      <c r="V28" t="s">
        <v>152</v>
      </c>
      <c r="AC28" t="s">
        <v>19</v>
      </c>
      <c r="AD28" t="s">
        <v>205</v>
      </c>
      <c r="AE28">
        <v>2.9294910725577782E-2</v>
      </c>
    </row>
    <row r="29" spans="9:35" x14ac:dyDescent="0.45">
      <c r="I29" t="s">
        <v>158</v>
      </c>
      <c r="J29" t="s">
        <v>155</v>
      </c>
      <c r="K29">
        <v>2.6494467636245446E-2</v>
      </c>
      <c r="L29" t="s">
        <v>152</v>
      </c>
      <c r="N29" t="s">
        <v>175</v>
      </c>
      <c r="O29" t="s">
        <v>155</v>
      </c>
      <c r="P29">
        <v>0.23141664871842729</v>
      </c>
      <c r="Q29" t="s">
        <v>152</v>
      </c>
      <c r="S29" t="s">
        <v>181</v>
      </c>
      <c r="T29" t="s">
        <v>155</v>
      </c>
      <c r="U29">
        <v>0.22902789966143433</v>
      </c>
      <c r="V29" t="s">
        <v>152</v>
      </c>
      <c r="AC29" t="s">
        <v>19</v>
      </c>
      <c r="AD29" t="s">
        <v>155</v>
      </c>
      <c r="AE29">
        <v>0.2820465798844623</v>
      </c>
    </row>
    <row r="30" spans="9:35" x14ac:dyDescent="0.45">
      <c r="I30" t="s">
        <v>158</v>
      </c>
      <c r="J30" t="s">
        <v>156</v>
      </c>
      <c r="K30">
        <v>5.0508539274042835E-2</v>
      </c>
      <c r="L30" t="s">
        <v>152</v>
      </c>
      <c r="N30" t="s">
        <v>175</v>
      </c>
      <c r="O30" t="s">
        <v>156</v>
      </c>
      <c r="P30">
        <v>2.7980691529785984E-2</v>
      </c>
      <c r="Q30" t="s">
        <v>152</v>
      </c>
      <c r="S30" t="s">
        <v>181</v>
      </c>
      <c r="T30" t="s">
        <v>156</v>
      </c>
      <c r="U30">
        <v>3.1181907600636487E-2</v>
      </c>
      <c r="V30" t="s">
        <v>152</v>
      </c>
      <c r="AC30" t="s">
        <v>19</v>
      </c>
      <c r="AD30" t="s">
        <v>156</v>
      </c>
      <c r="AE30">
        <v>3.5835098178149991E-2</v>
      </c>
    </row>
    <row r="31" spans="9:35" x14ac:dyDescent="0.45">
      <c r="I31" t="s">
        <v>158</v>
      </c>
      <c r="J31" t="s">
        <v>157</v>
      </c>
      <c r="K31">
        <v>0.7143232361359757</v>
      </c>
      <c r="L31" t="s">
        <v>152</v>
      </c>
      <c r="N31" t="s">
        <v>175</v>
      </c>
      <c r="O31" t="s">
        <v>157</v>
      </c>
      <c r="P31">
        <v>0.27065861945118042</v>
      </c>
      <c r="Q31" t="s">
        <v>152</v>
      </c>
      <c r="S31" t="s">
        <v>181</v>
      </c>
      <c r="T31" t="s">
        <v>157</v>
      </c>
      <c r="U31">
        <v>0.24530298736887854</v>
      </c>
      <c r="V31" t="s">
        <v>152</v>
      </c>
      <c r="AC31" t="s">
        <v>19</v>
      </c>
      <c r="AD31" t="s">
        <v>157</v>
      </c>
      <c r="AE31">
        <v>0.28932748762195182</v>
      </c>
    </row>
    <row r="32" spans="9:35" x14ac:dyDescent="0.45">
      <c r="I32" t="s">
        <v>158</v>
      </c>
      <c r="J32" t="s">
        <v>206</v>
      </c>
      <c r="K32">
        <v>4.7846683231909694E-2</v>
      </c>
      <c r="L32" t="s">
        <v>152</v>
      </c>
      <c r="N32" t="s">
        <v>175</v>
      </c>
      <c r="O32" t="s">
        <v>206</v>
      </c>
      <c r="P32">
        <v>3.355863450111804E-2</v>
      </c>
      <c r="Q32" t="s">
        <v>152</v>
      </c>
      <c r="S32" t="s">
        <v>181</v>
      </c>
      <c r="T32" t="s">
        <v>206</v>
      </c>
      <c r="U32">
        <v>2.5609490729772467E-2</v>
      </c>
      <c r="V32" t="s">
        <v>152</v>
      </c>
      <c r="AC32" t="s">
        <v>19</v>
      </c>
      <c r="AD32" t="s">
        <v>206</v>
      </c>
      <c r="AE32">
        <v>3.625012031477555E-2</v>
      </c>
    </row>
    <row r="33" spans="9:31" x14ac:dyDescent="0.45">
      <c r="I33" t="s">
        <v>158</v>
      </c>
      <c r="J33" t="s">
        <v>207</v>
      </c>
      <c r="K33">
        <v>2.9043276956076704E-2</v>
      </c>
      <c r="L33" t="s">
        <v>152</v>
      </c>
      <c r="N33" t="s">
        <v>175</v>
      </c>
      <c r="O33" t="s">
        <v>207</v>
      </c>
      <c r="P33">
        <v>3.305046389950686E-2</v>
      </c>
      <c r="Q33" t="s">
        <v>152</v>
      </c>
      <c r="S33" t="s">
        <v>181</v>
      </c>
      <c r="T33" t="s">
        <v>207</v>
      </c>
      <c r="U33">
        <v>2.6856963314114645E-2</v>
      </c>
      <c r="V33" t="s">
        <v>152</v>
      </c>
      <c r="AC33" t="s">
        <v>19</v>
      </c>
      <c r="AD33" t="s">
        <v>207</v>
      </c>
      <c r="AE33">
        <v>3.6317175194337963E-2</v>
      </c>
    </row>
    <row r="34" spans="9:31" x14ac:dyDescent="0.45">
      <c r="I34" t="s">
        <v>158</v>
      </c>
      <c r="J34" t="s">
        <v>208</v>
      </c>
      <c r="K34">
        <v>0</v>
      </c>
      <c r="L34" t="s">
        <v>152</v>
      </c>
      <c r="N34" t="s">
        <v>175</v>
      </c>
      <c r="O34" t="s">
        <v>208</v>
      </c>
      <c r="P34">
        <v>0.16038878127907438</v>
      </c>
      <c r="Q34" t="s">
        <v>152</v>
      </c>
      <c r="S34" t="s">
        <v>181</v>
      </c>
      <c r="T34" t="s">
        <v>208</v>
      </c>
      <c r="U34">
        <v>0.13900244717581051</v>
      </c>
      <c r="V34" t="s">
        <v>152</v>
      </c>
      <c r="AC34" t="s">
        <v>19</v>
      </c>
      <c r="AD34" t="s">
        <v>208</v>
      </c>
      <c r="AE34">
        <v>0.1806327200060413</v>
      </c>
    </row>
    <row r="35" spans="9:31" x14ac:dyDescent="0.45">
      <c r="I35" t="s">
        <v>159</v>
      </c>
      <c r="J35" t="s">
        <v>151</v>
      </c>
      <c r="K35">
        <v>3.2663649024960535E-6</v>
      </c>
      <c r="L35" t="s">
        <v>152</v>
      </c>
      <c r="N35" t="s">
        <v>176</v>
      </c>
      <c r="O35" t="s">
        <v>151</v>
      </c>
      <c r="P35">
        <v>4.3364731095291167E-2</v>
      </c>
      <c r="Q35" t="s">
        <v>152</v>
      </c>
      <c r="S35" t="s">
        <v>182</v>
      </c>
      <c r="T35" t="s">
        <v>151</v>
      </c>
      <c r="U35">
        <v>8.4129085344413851E-2</v>
      </c>
      <c r="V35" t="s">
        <v>152</v>
      </c>
    </row>
    <row r="36" spans="9:31" x14ac:dyDescent="0.45">
      <c r="I36" t="s">
        <v>159</v>
      </c>
      <c r="J36" t="s">
        <v>153</v>
      </c>
      <c r="K36">
        <v>5.8962636489932243E-3</v>
      </c>
      <c r="L36" t="s">
        <v>152</v>
      </c>
      <c r="N36" t="s">
        <v>176</v>
      </c>
      <c r="O36" t="s">
        <v>153</v>
      </c>
      <c r="P36">
        <v>4.4196220659466351E-3</v>
      </c>
      <c r="Q36" t="s">
        <v>152</v>
      </c>
      <c r="S36" t="s">
        <v>182</v>
      </c>
      <c r="T36" t="s">
        <v>153</v>
      </c>
      <c r="U36">
        <v>1.1955341356095845E-2</v>
      </c>
      <c r="V36" t="s">
        <v>152</v>
      </c>
    </row>
    <row r="37" spans="9:31" x14ac:dyDescent="0.45">
      <c r="I37" t="s">
        <v>159</v>
      </c>
      <c r="J37" t="s">
        <v>154</v>
      </c>
      <c r="K37">
        <v>0.10442239551334792</v>
      </c>
      <c r="L37" t="s">
        <v>152</v>
      </c>
      <c r="N37" t="s">
        <v>176</v>
      </c>
      <c r="O37" t="s">
        <v>154</v>
      </c>
      <c r="P37">
        <v>7.8716147767910305E-2</v>
      </c>
      <c r="Q37" t="s">
        <v>152</v>
      </c>
      <c r="S37" t="s">
        <v>182</v>
      </c>
      <c r="T37" t="s">
        <v>154</v>
      </c>
      <c r="U37">
        <v>0.10002577346695668</v>
      </c>
      <c r="V37" t="s">
        <v>152</v>
      </c>
    </row>
    <row r="38" spans="9:31" x14ac:dyDescent="0.45">
      <c r="I38" t="s">
        <v>159</v>
      </c>
      <c r="J38" t="s">
        <v>203</v>
      </c>
      <c r="K38">
        <v>8.734362957202365E-3</v>
      </c>
      <c r="L38" t="s">
        <v>152</v>
      </c>
      <c r="N38" t="s">
        <v>176</v>
      </c>
      <c r="O38" t="s">
        <v>203</v>
      </c>
      <c r="P38">
        <v>1.2465779198140313E-2</v>
      </c>
      <c r="Q38" t="s">
        <v>152</v>
      </c>
      <c r="S38" t="s">
        <v>182</v>
      </c>
      <c r="T38" t="s">
        <v>203</v>
      </c>
      <c r="U38">
        <v>1.039010461085612E-2</v>
      </c>
      <c r="V38" t="s">
        <v>152</v>
      </c>
    </row>
    <row r="39" spans="9:31" x14ac:dyDescent="0.45">
      <c r="I39" t="s">
        <v>159</v>
      </c>
      <c r="J39" t="s">
        <v>204</v>
      </c>
      <c r="K39">
        <v>5.2726266901975544E-3</v>
      </c>
      <c r="L39" t="s">
        <v>152</v>
      </c>
      <c r="N39" t="s">
        <v>176</v>
      </c>
      <c r="O39" t="s">
        <v>204</v>
      </c>
      <c r="P39">
        <v>1.013808350731419E-2</v>
      </c>
      <c r="Q39" t="s">
        <v>152</v>
      </c>
      <c r="S39" t="s">
        <v>182</v>
      </c>
      <c r="T39" t="s">
        <v>204</v>
      </c>
      <c r="U39">
        <v>1.1415394432106594E-2</v>
      </c>
      <c r="V39" t="s">
        <v>152</v>
      </c>
    </row>
    <row r="40" spans="9:31" x14ac:dyDescent="0.45">
      <c r="I40" t="s">
        <v>159</v>
      </c>
      <c r="J40" t="s">
        <v>205</v>
      </c>
      <c r="K40">
        <v>0</v>
      </c>
      <c r="L40" t="s">
        <v>152</v>
      </c>
      <c r="N40" t="s">
        <v>176</v>
      </c>
      <c r="O40" t="s">
        <v>205</v>
      </c>
      <c r="P40">
        <v>4.5327640818189997E-2</v>
      </c>
      <c r="Q40" t="s">
        <v>152</v>
      </c>
      <c r="S40" t="s">
        <v>182</v>
      </c>
      <c r="T40" t="s">
        <v>205</v>
      </c>
      <c r="U40">
        <v>6.036560105457147E-2</v>
      </c>
      <c r="V40" t="s">
        <v>152</v>
      </c>
    </row>
    <row r="41" spans="9:31" x14ac:dyDescent="0.45">
      <c r="I41" t="s">
        <v>159</v>
      </c>
      <c r="J41" t="s">
        <v>155</v>
      </c>
      <c r="K41">
        <v>2.6657486538795315E-2</v>
      </c>
      <c r="L41" t="s">
        <v>152</v>
      </c>
      <c r="N41" t="s">
        <v>176</v>
      </c>
      <c r="O41" t="s">
        <v>155</v>
      </c>
      <c r="P41">
        <v>0.22453182622011486</v>
      </c>
      <c r="Q41" t="s">
        <v>152</v>
      </c>
      <c r="S41" t="s">
        <v>182</v>
      </c>
      <c r="T41" t="s">
        <v>155</v>
      </c>
      <c r="U41">
        <v>0.23948496243028264</v>
      </c>
      <c r="V41" t="s">
        <v>152</v>
      </c>
    </row>
    <row r="42" spans="9:31" x14ac:dyDescent="0.45">
      <c r="I42" t="s">
        <v>159</v>
      </c>
      <c r="J42" t="s">
        <v>156</v>
      </c>
      <c r="K42">
        <v>5.0348624962172184E-2</v>
      </c>
      <c r="L42" t="s">
        <v>152</v>
      </c>
      <c r="N42" t="s">
        <v>176</v>
      </c>
      <c r="O42" t="s">
        <v>156</v>
      </c>
      <c r="P42">
        <v>2.4649936485331616E-2</v>
      </c>
      <c r="Q42" t="s">
        <v>152</v>
      </c>
      <c r="S42" t="s">
        <v>182</v>
      </c>
      <c r="T42" t="s">
        <v>156</v>
      </c>
      <c r="U42">
        <v>3.2092409008874022E-2</v>
      </c>
      <c r="V42" t="s">
        <v>152</v>
      </c>
    </row>
    <row r="43" spans="9:31" x14ac:dyDescent="0.45">
      <c r="I43" t="s">
        <v>159</v>
      </c>
      <c r="J43" t="s">
        <v>157</v>
      </c>
      <c r="K43">
        <v>0.71697172757436323</v>
      </c>
      <c r="L43" t="s">
        <v>152</v>
      </c>
      <c r="N43" t="s">
        <v>176</v>
      </c>
      <c r="O43" t="s">
        <v>157</v>
      </c>
      <c r="P43">
        <v>0.30900828820506449</v>
      </c>
      <c r="Q43" t="s">
        <v>152</v>
      </c>
      <c r="S43" t="s">
        <v>182</v>
      </c>
      <c r="T43" t="s">
        <v>157</v>
      </c>
      <c r="U43">
        <v>0.25444208869899615</v>
      </c>
      <c r="V43" t="s">
        <v>152</v>
      </c>
    </row>
    <row r="44" spans="9:31" x14ac:dyDescent="0.45">
      <c r="I44" t="s">
        <v>159</v>
      </c>
      <c r="J44" t="s">
        <v>206</v>
      </c>
      <c r="K44">
        <v>5.1197139848281302E-2</v>
      </c>
      <c r="L44" t="s">
        <v>152</v>
      </c>
      <c r="N44" t="s">
        <v>176</v>
      </c>
      <c r="O44" t="s">
        <v>206</v>
      </c>
      <c r="P44">
        <v>4.0920827605118747E-2</v>
      </c>
      <c r="Q44" t="s">
        <v>152</v>
      </c>
      <c r="S44" t="s">
        <v>182</v>
      </c>
      <c r="T44" t="s">
        <v>206</v>
      </c>
      <c r="U44">
        <v>2.6620020728711447E-2</v>
      </c>
      <c r="V44" t="s">
        <v>152</v>
      </c>
    </row>
    <row r="45" spans="9:31" x14ac:dyDescent="0.45">
      <c r="I45" t="s">
        <v>159</v>
      </c>
      <c r="J45" t="s">
        <v>207</v>
      </c>
      <c r="K45">
        <v>3.049610590174142E-2</v>
      </c>
      <c r="L45" t="s">
        <v>152</v>
      </c>
      <c r="N45" t="s">
        <v>176</v>
      </c>
      <c r="O45" t="s">
        <v>207</v>
      </c>
      <c r="P45">
        <v>3.8928906144928013E-2</v>
      </c>
      <c r="Q45" t="s">
        <v>152</v>
      </c>
      <c r="S45" t="s">
        <v>182</v>
      </c>
      <c r="T45" t="s">
        <v>207</v>
      </c>
      <c r="U45">
        <v>2.7632453775148242E-2</v>
      </c>
      <c r="V45" t="s">
        <v>152</v>
      </c>
    </row>
    <row r="46" spans="9:31" x14ac:dyDescent="0.45">
      <c r="I46" t="s">
        <v>159</v>
      </c>
      <c r="J46" t="s">
        <v>208</v>
      </c>
      <c r="K46">
        <v>0</v>
      </c>
      <c r="L46" t="s">
        <v>152</v>
      </c>
      <c r="N46" t="s">
        <v>176</v>
      </c>
      <c r="O46" t="s">
        <v>208</v>
      </c>
      <c r="P46">
        <v>0.16752821088664796</v>
      </c>
      <c r="Q46" t="s">
        <v>152</v>
      </c>
      <c r="S46" t="s">
        <v>182</v>
      </c>
      <c r="T46" t="s">
        <v>208</v>
      </c>
      <c r="U46">
        <v>0.14144676509298448</v>
      </c>
      <c r="V46" t="s">
        <v>152</v>
      </c>
    </row>
    <row r="47" spans="9:31" x14ac:dyDescent="0.45">
      <c r="I47" t="s">
        <v>160</v>
      </c>
      <c r="J47" t="s">
        <v>151</v>
      </c>
      <c r="K47">
        <v>1.1898017255940938E-4</v>
      </c>
      <c r="L47" t="s">
        <v>152</v>
      </c>
      <c r="N47" t="s">
        <v>177</v>
      </c>
      <c r="O47" t="s">
        <v>151</v>
      </c>
      <c r="P47">
        <v>5.7527676571919338E-2</v>
      </c>
      <c r="Q47" t="s">
        <v>152</v>
      </c>
      <c r="S47" t="s">
        <v>183</v>
      </c>
      <c r="T47" t="s">
        <v>151</v>
      </c>
      <c r="U47">
        <v>7.0048559857240913E-2</v>
      </c>
      <c r="V47" t="s">
        <v>152</v>
      </c>
    </row>
    <row r="48" spans="9:31" x14ac:dyDescent="0.45">
      <c r="I48" t="s">
        <v>160</v>
      </c>
      <c r="J48" t="s">
        <v>153</v>
      </c>
      <c r="K48">
        <v>5.494622273445075E-3</v>
      </c>
      <c r="L48" t="s">
        <v>152</v>
      </c>
      <c r="N48" t="s">
        <v>177</v>
      </c>
      <c r="O48" t="s">
        <v>153</v>
      </c>
      <c r="P48">
        <v>6.4079977823589479E-3</v>
      </c>
      <c r="Q48" t="s">
        <v>152</v>
      </c>
      <c r="S48" t="s">
        <v>183</v>
      </c>
      <c r="T48" t="s">
        <v>153</v>
      </c>
      <c r="U48">
        <v>9.0816594358831566E-3</v>
      </c>
      <c r="V48" t="s">
        <v>152</v>
      </c>
    </row>
    <row r="49" spans="9:22" x14ac:dyDescent="0.45">
      <c r="I49" t="s">
        <v>160</v>
      </c>
      <c r="J49" t="s">
        <v>154</v>
      </c>
      <c r="K49">
        <v>0.11233984725614372</v>
      </c>
      <c r="L49" t="s">
        <v>152</v>
      </c>
      <c r="N49" t="s">
        <v>177</v>
      </c>
      <c r="O49" t="s">
        <v>154</v>
      </c>
      <c r="P49">
        <v>6.5322360164217844E-2</v>
      </c>
      <c r="Q49" t="s">
        <v>152</v>
      </c>
      <c r="S49" t="s">
        <v>183</v>
      </c>
      <c r="T49" t="s">
        <v>154</v>
      </c>
      <c r="U49">
        <v>7.6459827901536465E-2</v>
      </c>
      <c r="V49" t="s">
        <v>152</v>
      </c>
    </row>
    <row r="50" spans="9:22" x14ac:dyDescent="0.45">
      <c r="I50" t="s">
        <v>160</v>
      </c>
      <c r="J50" t="s">
        <v>203</v>
      </c>
      <c r="K50">
        <v>8.5904874762845283E-3</v>
      </c>
      <c r="L50" t="s">
        <v>152</v>
      </c>
      <c r="N50" t="s">
        <v>177</v>
      </c>
      <c r="O50" t="s">
        <v>203</v>
      </c>
      <c r="P50">
        <v>9.9768172780975144E-3</v>
      </c>
      <c r="Q50" t="s">
        <v>152</v>
      </c>
      <c r="S50" t="s">
        <v>183</v>
      </c>
      <c r="T50" t="s">
        <v>203</v>
      </c>
      <c r="U50">
        <v>9.4391218419462835E-3</v>
      </c>
      <c r="V50" t="s">
        <v>152</v>
      </c>
    </row>
    <row r="51" spans="9:22" x14ac:dyDescent="0.45">
      <c r="I51" t="s">
        <v>160</v>
      </c>
      <c r="J51" t="s">
        <v>204</v>
      </c>
      <c r="K51">
        <v>5.0881388842531376E-3</v>
      </c>
      <c r="L51" t="s">
        <v>152</v>
      </c>
      <c r="N51" t="s">
        <v>177</v>
      </c>
      <c r="O51" t="s">
        <v>204</v>
      </c>
      <c r="P51">
        <v>8.1417137749026629E-3</v>
      </c>
      <c r="Q51" t="s">
        <v>152</v>
      </c>
      <c r="S51" t="s">
        <v>183</v>
      </c>
      <c r="T51" t="s">
        <v>204</v>
      </c>
      <c r="U51">
        <v>1.026054319229305E-2</v>
      </c>
      <c r="V51" t="s">
        <v>152</v>
      </c>
    </row>
    <row r="52" spans="9:22" x14ac:dyDescent="0.45">
      <c r="I52" t="s">
        <v>160</v>
      </c>
      <c r="J52" t="s">
        <v>205</v>
      </c>
      <c r="K52">
        <v>0</v>
      </c>
      <c r="L52" t="s">
        <v>152</v>
      </c>
      <c r="N52" t="s">
        <v>177</v>
      </c>
      <c r="O52" t="s">
        <v>205</v>
      </c>
      <c r="P52">
        <v>4.4303178845568565E-2</v>
      </c>
      <c r="Q52" t="s">
        <v>152</v>
      </c>
      <c r="S52" t="s">
        <v>183</v>
      </c>
      <c r="T52" t="s">
        <v>205</v>
      </c>
      <c r="U52">
        <v>5.4688209958017875E-2</v>
      </c>
      <c r="V52" t="s">
        <v>152</v>
      </c>
    </row>
    <row r="53" spans="9:22" x14ac:dyDescent="0.45">
      <c r="I53" t="s">
        <v>160</v>
      </c>
      <c r="J53" t="s">
        <v>155</v>
      </c>
      <c r="K53">
        <v>1.8992326428216889E-2</v>
      </c>
      <c r="L53" t="s">
        <v>152</v>
      </c>
      <c r="N53" t="s">
        <v>177</v>
      </c>
      <c r="O53" t="s">
        <v>155</v>
      </c>
      <c r="P53">
        <v>0.25526619727569294</v>
      </c>
      <c r="Q53" t="s">
        <v>152</v>
      </c>
      <c r="S53" t="s">
        <v>183</v>
      </c>
      <c r="T53" t="s">
        <v>155</v>
      </c>
      <c r="U53">
        <v>0.25494411549859441</v>
      </c>
      <c r="V53" t="s">
        <v>152</v>
      </c>
    </row>
    <row r="54" spans="9:22" x14ac:dyDescent="0.45">
      <c r="I54" t="s">
        <v>160</v>
      </c>
      <c r="J54" t="s">
        <v>156</v>
      </c>
      <c r="K54">
        <v>4.1031917221825441E-2</v>
      </c>
      <c r="L54" t="s">
        <v>152</v>
      </c>
      <c r="N54" t="s">
        <v>177</v>
      </c>
      <c r="O54" t="s">
        <v>156</v>
      </c>
      <c r="P54">
        <v>2.9079210253447799E-2</v>
      </c>
      <c r="Q54" t="s">
        <v>152</v>
      </c>
      <c r="S54" t="s">
        <v>183</v>
      </c>
      <c r="T54" t="s">
        <v>156</v>
      </c>
      <c r="U54">
        <v>3.237935095029925E-2</v>
      </c>
      <c r="V54" t="s">
        <v>152</v>
      </c>
    </row>
    <row r="55" spans="9:22" x14ac:dyDescent="0.45">
      <c r="I55" t="s">
        <v>160</v>
      </c>
      <c r="J55" t="s">
        <v>157</v>
      </c>
      <c r="K55">
        <v>0.74068076865419585</v>
      </c>
      <c r="L55" t="s">
        <v>152</v>
      </c>
      <c r="N55" t="s">
        <v>177</v>
      </c>
      <c r="O55" t="s">
        <v>157</v>
      </c>
      <c r="P55">
        <v>0.27102478510401612</v>
      </c>
      <c r="Q55" t="s">
        <v>152</v>
      </c>
      <c r="S55" t="s">
        <v>183</v>
      </c>
      <c r="T55" t="s">
        <v>157</v>
      </c>
      <c r="U55">
        <v>0.2598829485085275</v>
      </c>
      <c r="V55" t="s">
        <v>152</v>
      </c>
    </row>
    <row r="56" spans="9:22" x14ac:dyDescent="0.45">
      <c r="I56" t="s">
        <v>160</v>
      </c>
      <c r="J56" t="s">
        <v>206</v>
      </c>
      <c r="K56">
        <v>4.3558180910665642E-2</v>
      </c>
      <c r="L56" t="s">
        <v>152</v>
      </c>
      <c r="N56" t="s">
        <v>177</v>
      </c>
      <c r="O56" t="s">
        <v>206</v>
      </c>
      <c r="P56">
        <v>3.8826072214813843E-2</v>
      </c>
      <c r="Q56" t="s">
        <v>152</v>
      </c>
      <c r="S56" t="s">
        <v>183</v>
      </c>
      <c r="T56" t="s">
        <v>206</v>
      </c>
      <c r="U56">
        <v>3.1899775259897241E-2</v>
      </c>
      <c r="V56" t="s">
        <v>152</v>
      </c>
    </row>
    <row r="57" spans="9:22" x14ac:dyDescent="0.45">
      <c r="I57" t="s">
        <v>160</v>
      </c>
      <c r="J57" t="s">
        <v>207</v>
      </c>
      <c r="K57">
        <v>2.4104730722409762E-2</v>
      </c>
      <c r="L57" t="s">
        <v>152</v>
      </c>
      <c r="N57" t="s">
        <v>177</v>
      </c>
      <c r="O57" t="s">
        <v>207</v>
      </c>
      <c r="P57">
        <v>3.6121596754123936E-2</v>
      </c>
      <c r="Q57" t="s">
        <v>152</v>
      </c>
      <c r="S57" t="s">
        <v>183</v>
      </c>
      <c r="T57" t="s">
        <v>207</v>
      </c>
      <c r="U57">
        <v>3.1378095786009849E-2</v>
      </c>
      <c r="V57" t="s">
        <v>152</v>
      </c>
    </row>
    <row r="58" spans="9:22" x14ac:dyDescent="0.45">
      <c r="I58" t="s">
        <v>160</v>
      </c>
      <c r="J58" t="s">
        <v>208</v>
      </c>
      <c r="K58">
        <v>0</v>
      </c>
      <c r="L58" t="s">
        <v>152</v>
      </c>
      <c r="N58" t="s">
        <v>177</v>
      </c>
      <c r="O58" t="s">
        <v>208</v>
      </c>
      <c r="P58">
        <v>0.17800239398083834</v>
      </c>
      <c r="Q58" t="s">
        <v>152</v>
      </c>
      <c r="S58" t="s">
        <v>183</v>
      </c>
      <c r="T58" t="s">
        <v>208</v>
      </c>
      <c r="U58">
        <v>0.15953779180975006</v>
      </c>
      <c r="V58" t="s">
        <v>152</v>
      </c>
    </row>
    <row r="59" spans="9:22" x14ac:dyDescent="0.45">
      <c r="I59" t="s">
        <v>161</v>
      </c>
      <c r="J59" t="s">
        <v>151</v>
      </c>
      <c r="K59">
        <v>1.1360037127075476E-4</v>
      </c>
      <c r="L59" t="s">
        <v>152</v>
      </c>
      <c r="N59" t="s">
        <v>178</v>
      </c>
      <c r="O59" t="s">
        <v>151</v>
      </c>
      <c r="P59">
        <v>6.3119014304873211E-2</v>
      </c>
      <c r="Q59" t="s">
        <v>152</v>
      </c>
      <c r="S59" t="s">
        <v>184</v>
      </c>
      <c r="T59" t="s">
        <v>151</v>
      </c>
      <c r="U59">
        <v>5.5754290616669658E-2</v>
      </c>
      <c r="V59" t="s">
        <v>152</v>
      </c>
    </row>
    <row r="60" spans="9:22" x14ac:dyDescent="0.45">
      <c r="I60" t="s">
        <v>161</v>
      </c>
      <c r="J60" t="s">
        <v>153</v>
      </c>
      <c r="K60">
        <v>4.5560923564468853E-3</v>
      </c>
      <c r="L60" t="s">
        <v>152</v>
      </c>
      <c r="N60" t="s">
        <v>178</v>
      </c>
      <c r="O60" t="s">
        <v>153</v>
      </c>
      <c r="P60">
        <v>6.5293583706603998E-3</v>
      </c>
      <c r="Q60" t="s">
        <v>152</v>
      </c>
      <c r="S60" t="s">
        <v>184</v>
      </c>
      <c r="T60" t="s">
        <v>153</v>
      </c>
      <c r="U60">
        <v>6.7562498067678554E-3</v>
      </c>
      <c r="V60" t="s">
        <v>152</v>
      </c>
    </row>
    <row r="61" spans="9:22" x14ac:dyDescent="0.45">
      <c r="I61" t="s">
        <v>161</v>
      </c>
      <c r="J61" t="s">
        <v>154</v>
      </c>
      <c r="K61">
        <v>0.10044579258506744</v>
      </c>
      <c r="L61" t="s">
        <v>152</v>
      </c>
      <c r="N61" t="s">
        <v>178</v>
      </c>
      <c r="O61" t="s">
        <v>154</v>
      </c>
      <c r="P61">
        <v>7.4286094528643112E-2</v>
      </c>
      <c r="Q61" t="s">
        <v>152</v>
      </c>
      <c r="S61" t="s">
        <v>184</v>
      </c>
      <c r="T61" t="s">
        <v>154</v>
      </c>
      <c r="U61">
        <v>5.9167493072689051E-2</v>
      </c>
      <c r="V61" t="s">
        <v>152</v>
      </c>
    </row>
    <row r="62" spans="9:22" x14ac:dyDescent="0.45">
      <c r="I62" t="s">
        <v>161</v>
      </c>
      <c r="J62" t="s">
        <v>203</v>
      </c>
      <c r="K62">
        <v>7.9593157046278576E-3</v>
      </c>
      <c r="L62" t="s">
        <v>152</v>
      </c>
      <c r="N62" t="s">
        <v>178</v>
      </c>
      <c r="O62" t="s">
        <v>203</v>
      </c>
      <c r="P62">
        <v>1.1755969883317768E-2</v>
      </c>
      <c r="Q62" t="s">
        <v>152</v>
      </c>
      <c r="S62" t="s">
        <v>184</v>
      </c>
      <c r="T62" t="s">
        <v>203</v>
      </c>
      <c r="U62">
        <v>8.7021471437944229E-3</v>
      </c>
      <c r="V62" t="s">
        <v>152</v>
      </c>
    </row>
    <row r="63" spans="9:22" x14ac:dyDescent="0.45">
      <c r="I63" t="s">
        <v>161</v>
      </c>
      <c r="J63" t="s">
        <v>204</v>
      </c>
      <c r="K63">
        <v>4.7252526398624808E-3</v>
      </c>
      <c r="L63" t="s">
        <v>152</v>
      </c>
      <c r="N63" t="s">
        <v>178</v>
      </c>
      <c r="O63" t="s">
        <v>204</v>
      </c>
      <c r="P63">
        <v>9.1042549366198294E-3</v>
      </c>
      <c r="Q63" t="s">
        <v>152</v>
      </c>
      <c r="S63" t="s">
        <v>184</v>
      </c>
      <c r="T63" t="s">
        <v>204</v>
      </c>
      <c r="U63">
        <v>7.2012972530994647E-3</v>
      </c>
      <c r="V63" t="s">
        <v>152</v>
      </c>
    </row>
    <row r="64" spans="9:22" x14ac:dyDescent="0.45">
      <c r="I64" t="s">
        <v>161</v>
      </c>
      <c r="J64" t="s">
        <v>205</v>
      </c>
      <c r="K64">
        <v>0</v>
      </c>
      <c r="L64" t="s">
        <v>152</v>
      </c>
      <c r="N64" t="s">
        <v>178</v>
      </c>
      <c r="O64" t="s">
        <v>205</v>
      </c>
      <c r="P64">
        <v>5.0673658517892149E-2</v>
      </c>
      <c r="Q64" t="s">
        <v>152</v>
      </c>
      <c r="S64" t="s">
        <v>184</v>
      </c>
      <c r="T64" t="s">
        <v>205</v>
      </c>
      <c r="U64">
        <v>4.175299306799763E-2</v>
      </c>
      <c r="V64" t="s">
        <v>152</v>
      </c>
    </row>
    <row r="65" spans="9:22" x14ac:dyDescent="0.45">
      <c r="I65" t="s">
        <v>161</v>
      </c>
      <c r="J65" t="s">
        <v>155</v>
      </c>
      <c r="K65">
        <v>2.3517104822630756E-2</v>
      </c>
      <c r="L65" t="s">
        <v>152</v>
      </c>
      <c r="N65" t="s">
        <v>178</v>
      </c>
      <c r="O65" t="s">
        <v>155</v>
      </c>
      <c r="P65">
        <v>0.23708208187781024</v>
      </c>
      <c r="Q65" t="s">
        <v>152</v>
      </c>
      <c r="S65" t="s">
        <v>184</v>
      </c>
      <c r="T65" t="s">
        <v>155</v>
      </c>
      <c r="U65">
        <v>0.27119453237698227</v>
      </c>
      <c r="V65" t="s">
        <v>152</v>
      </c>
    </row>
    <row r="66" spans="9:22" x14ac:dyDescent="0.45">
      <c r="I66" t="s">
        <v>161</v>
      </c>
      <c r="J66" t="s">
        <v>156</v>
      </c>
      <c r="K66">
        <v>4.8210193106412273E-2</v>
      </c>
      <c r="L66" t="s">
        <v>152</v>
      </c>
      <c r="N66" t="s">
        <v>178</v>
      </c>
      <c r="O66" t="s">
        <v>156</v>
      </c>
      <c r="P66">
        <v>2.3401329120072357E-2</v>
      </c>
      <c r="Q66" t="s">
        <v>152</v>
      </c>
      <c r="S66" t="s">
        <v>184</v>
      </c>
      <c r="T66" t="s">
        <v>156</v>
      </c>
      <c r="U66">
        <v>3.357354855437622E-2</v>
      </c>
      <c r="V66" t="s">
        <v>152</v>
      </c>
    </row>
    <row r="67" spans="9:22" x14ac:dyDescent="0.45">
      <c r="I67" t="s">
        <v>161</v>
      </c>
      <c r="J67" t="s">
        <v>157</v>
      </c>
      <c r="K67">
        <v>0.74506967448207495</v>
      </c>
      <c r="L67" t="s">
        <v>152</v>
      </c>
      <c r="N67" t="s">
        <v>178</v>
      </c>
      <c r="O67" t="s">
        <v>157</v>
      </c>
      <c r="P67">
        <v>0.25360109227474203</v>
      </c>
      <c r="Q67" t="s">
        <v>152</v>
      </c>
      <c r="S67" t="s">
        <v>184</v>
      </c>
      <c r="T67" t="s">
        <v>157</v>
      </c>
      <c r="U67">
        <v>0.27864774282573235</v>
      </c>
      <c r="V67" t="s">
        <v>152</v>
      </c>
    </row>
    <row r="68" spans="9:22" x14ac:dyDescent="0.45">
      <c r="I68" t="s">
        <v>161</v>
      </c>
      <c r="J68" t="s">
        <v>206</v>
      </c>
      <c r="K68">
        <v>4.201058050676993E-2</v>
      </c>
      <c r="L68" t="s">
        <v>152</v>
      </c>
      <c r="N68" t="s">
        <v>178</v>
      </c>
      <c r="O68" t="s">
        <v>206</v>
      </c>
      <c r="P68">
        <v>4.1082040579085967E-2</v>
      </c>
      <c r="Q68" t="s">
        <v>152</v>
      </c>
      <c r="S68" t="s">
        <v>184</v>
      </c>
      <c r="T68" t="s">
        <v>206</v>
      </c>
      <c r="U68">
        <v>3.5761029335980077E-2</v>
      </c>
      <c r="V68" t="s">
        <v>152</v>
      </c>
    </row>
    <row r="69" spans="9:22" x14ac:dyDescent="0.45">
      <c r="I69" t="s">
        <v>161</v>
      </c>
      <c r="J69" t="s">
        <v>207</v>
      </c>
      <c r="K69">
        <v>2.3392393424836056E-2</v>
      </c>
      <c r="L69" t="s">
        <v>152</v>
      </c>
      <c r="N69" t="s">
        <v>178</v>
      </c>
      <c r="O69" t="s">
        <v>207</v>
      </c>
      <c r="P69">
        <v>3.8875816052818139E-2</v>
      </c>
      <c r="Q69" t="s">
        <v>152</v>
      </c>
      <c r="S69" t="s">
        <v>184</v>
      </c>
      <c r="T69" t="s">
        <v>207</v>
      </c>
      <c r="U69">
        <v>3.296933621865162E-2</v>
      </c>
      <c r="V69" t="s">
        <v>152</v>
      </c>
    </row>
    <row r="70" spans="9:22" x14ac:dyDescent="0.45">
      <c r="I70" t="s">
        <v>161</v>
      </c>
      <c r="J70" t="s">
        <v>208</v>
      </c>
      <c r="K70">
        <v>0</v>
      </c>
      <c r="L70" t="s">
        <v>152</v>
      </c>
      <c r="N70" t="s">
        <v>178</v>
      </c>
      <c r="O70" t="s">
        <v>208</v>
      </c>
      <c r="P70">
        <v>0.19048928955346328</v>
      </c>
      <c r="Q70" t="s">
        <v>152</v>
      </c>
      <c r="S70" t="s">
        <v>184</v>
      </c>
      <c r="T70" t="s">
        <v>208</v>
      </c>
      <c r="U70">
        <v>0.16851933972725994</v>
      </c>
      <c r="V70" t="s">
        <v>152</v>
      </c>
    </row>
    <row r="71" spans="9:22" x14ac:dyDescent="0.45">
      <c r="I71" t="s">
        <v>162</v>
      </c>
      <c r="J71" t="s">
        <v>151</v>
      </c>
      <c r="K71">
        <v>4.1996016938872062E-3</v>
      </c>
      <c r="L71" t="s">
        <v>152</v>
      </c>
      <c r="N71" t="s">
        <v>179</v>
      </c>
      <c r="O71" t="s">
        <v>151</v>
      </c>
      <c r="P71">
        <v>7.8909058087419437E-2</v>
      </c>
      <c r="Q71" t="s">
        <v>152</v>
      </c>
      <c r="S71" t="s">
        <v>185</v>
      </c>
      <c r="T71" t="s">
        <v>151</v>
      </c>
      <c r="U71">
        <v>5.9697971023805085E-2</v>
      </c>
      <c r="V71" t="s">
        <v>152</v>
      </c>
    </row>
    <row r="72" spans="9:22" x14ac:dyDescent="0.45">
      <c r="I72" t="s">
        <v>162</v>
      </c>
      <c r="J72" t="s">
        <v>153</v>
      </c>
      <c r="K72">
        <v>8.480922767144879E-3</v>
      </c>
      <c r="L72" t="s">
        <v>152</v>
      </c>
      <c r="N72" t="s">
        <v>179</v>
      </c>
      <c r="O72" t="s">
        <v>153</v>
      </c>
      <c r="P72">
        <v>8.5224223852315359E-3</v>
      </c>
      <c r="Q72" t="s">
        <v>152</v>
      </c>
      <c r="S72" t="s">
        <v>185</v>
      </c>
      <c r="T72" t="s">
        <v>153</v>
      </c>
      <c r="U72">
        <v>7.9818593177901683E-3</v>
      </c>
      <c r="V72" t="s">
        <v>152</v>
      </c>
    </row>
    <row r="73" spans="9:22" x14ac:dyDescent="0.45">
      <c r="I73" t="s">
        <v>162</v>
      </c>
      <c r="J73" t="s">
        <v>154</v>
      </c>
      <c r="K73">
        <v>0.11275087119665289</v>
      </c>
      <c r="L73" t="s">
        <v>152</v>
      </c>
      <c r="N73" t="s">
        <v>179</v>
      </c>
      <c r="O73" t="s">
        <v>154</v>
      </c>
      <c r="P73">
        <v>8.4635463589157148E-2</v>
      </c>
      <c r="Q73" t="s">
        <v>152</v>
      </c>
      <c r="S73" t="s">
        <v>185</v>
      </c>
      <c r="T73" t="s">
        <v>154</v>
      </c>
      <c r="U73">
        <v>6.7228088809862724E-2</v>
      </c>
      <c r="V73" t="s">
        <v>152</v>
      </c>
    </row>
    <row r="74" spans="9:22" x14ac:dyDescent="0.45">
      <c r="I74" t="s">
        <v>162</v>
      </c>
      <c r="J74" t="s">
        <v>203</v>
      </c>
      <c r="K74">
        <v>5.3187778866288452E-3</v>
      </c>
      <c r="L74" t="s">
        <v>152</v>
      </c>
      <c r="N74" t="s">
        <v>179</v>
      </c>
      <c r="O74" t="s">
        <v>203</v>
      </c>
      <c r="P74">
        <v>1.3287991068160329E-2</v>
      </c>
      <c r="Q74" t="s">
        <v>152</v>
      </c>
      <c r="S74" t="s">
        <v>185</v>
      </c>
      <c r="T74" t="s">
        <v>203</v>
      </c>
      <c r="U74">
        <v>7.7669738974458311E-3</v>
      </c>
      <c r="V74" t="s">
        <v>152</v>
      </c>
    </row>
    <row r="75" spans="9:22" x14ac:dyDescent="0.45">
      <c r="I75" t="s">
        <v>162</v>
      </c>
      <c r="J75" t="s">
        <v>204</v>
      </c>
      <c r="K75">
        <v>2.4603981080922629E-3</v>
      </c>
      <c r="L75" t="s">
        <v>152</v>
      </c>
      <c r="N75" t="s">
        <v>179</v>
      </c>
      <c r="O75" t="s">
        <v>204</v>
      </c>
      <c r="P75">
        <v>1.1009324042796047E-2</v>
      </c>
      <c r="Q75" t="s">
        <v>152</v>
      </c>
      <c r="S75" t="s">
        <v>185</v>
      </c>
      <c r="T75" t="s">
        <v>204</v>
      </c>
      <c r="U75">
        <v>8.5843315026478545E-3</v>
      </c>
      <c r="V75" t="s">
        <v>152</v>
      </c>
    </row>
    <row r="76" spans="9:22" x14ac:dyDescent="0.45">
      <c r="I76" t="s">
        <v>162</v>
      </c>
      <c r="J76" t="s">
        <v>205</v>
      </c>
      <c r="K76">
        <v>0</v>
      </c>
      <c r="L76" t="s">
        <v>152</v>
      </c>
      <c r="N76" t="s">
        <v>179</v>
      </c>
      <c r="O76" t="s">
        <v>205</v>
      </c>
      <c r="P76">
        <v>6.2702793106683599E-2</v>
      </c>
      <c r="Q76" t="s">
        <v>152</v>
      </c>
      <c r="S76" t="s">
        <v>185</v>
      </c>
      <c r="T76" t="s">
        <v>205</v>
      </c>
      <c r="U76">
        <v>4.6517239352810297E-2</v>
      </c>
      <c r="V76" t="s">
        <v>152</v>
      </c>
    </row>
    <row r="77" spans="9:22" x14ac:dyDescent="0.45">
      <c r="I77" t="s">
        <v>162</v>
      </c>
      <c r="J77" t="s">
        <v>155</v>
      </c>
      <c r="K77">
        <v>4.3483183667157345E-2</v>
      </c>
      <c r="L77" t="s">
        <v>152</v>
      </c>
      <c r="N77" t="s">
        <v>179</v>
      </c>
      <c r="O77" t="s">
        <v>155</v>
      </c>
      <c r="P77">
        <v>0.24185263894345321</v>
      </c>
      <c r="Q77" t="s">
        <v>152</v>
      </c>
      <c r="S77" t="s">
        <v>185</v>
      </c>
      <c r="T77" t="s">
        <v>155</v>
      </c>
      <c r="U77">
        <v>0.26459208776203302</v>
      </c>
      <c r="V77" t="s">
        <v>152</v>
      </c>
    </row>
    <row r="78" spans="9:22" x14ac:dyDescent="0.45">
      <c r="I78" t="s">
        <v>162</v>
      </c>
      <c r="J78" t="s">
        <v>156</v>
      </c>
      <c r="K78">
        <v>6.0584658094186596E-2</v>
      </c>
      <c r="L78" t="s">
        <v>152</v>
      </c>
      <c r="N78" t="s">
        <v>179</v>
      </c>
      <c r="O78" t="s">
        <v>156</v>
      </c>
      <c r="P78">
        <v>2.4537313148812048E-2</v>
      </c>
      <c r="Q78" t="s">
        <v>152</v>
      </c>
      <c r="S78" t="s">
        <v>185</v>
      </c>
      <c r="T78" t="s">
        <v>156</v>
      </c>
      <c r="U78">
        <v>3.3802055879572128E-2</v>
      </c>
      <c r="V78" t="s">
        <v>152</v>
      </c>
    </row>
    <row r="79" spans="9:22" x14ac:dyDescent="0.45">
      <c r="I79" t="s">
        <v>162</v>
      </c>
      <c r="J79" t="s">
        <v>157</v>
      </c>
      <c r="K79">
        <v>0.72488830708479179</v>
      </c>
      <c r="L79" t="s">
        <v>152</v>
      </c>
      <c r="N79" t="s">
        <v>179</v>
      </c>
      <c r="O79" t="s">
        <v>157</v>
      </c>
      <c r="P79">
        <v>0.20952382021696531</v>
      </c>
      <c r="Q79" t="s">
        <v>152</v>
      </c>
      <c r="S79" t="s">
        <v>185</v>
      </c>
      <c r="T79" t="s">
        <v>157</v>
      </c>
      <c r="U79">
        <v>0.27398285734775035</v>
      </c>
      <c r="V79" t="s">
        <v>152</v>
      </c>
    </row>
    <row r="80" spans="9:22" x14ac:dyDescent="0.45">
      <c r="I80" t="s">
        <v>162</v>
      </c>
      <c r="J80" t="s">
        <v>206</v>
      </c>
      <c r="K80">
        <v>2.9724569220192742E-2</v>
      </c>
      <c r="L80" t="s">
        <v>152</v>
      </c>
      <c r="N80" t="s">
        <v>179</v>
      </c>
      <c r="O80" t="s">
        <v>206</v>
      </c>
      <c r="P80">
        <v>3.6199083878466584E-2</v>
      </c>
      <c r="Q80" t="s">
        <v>152</v>
      </c>
      <c r="S80" t="s">
        <v>185</v>
      </c>
      <c r="T80" t="s">
        <v>206</v>
      </c>
      <c r="U80">
        <v>3.2547559014249536E-2</v>
      </c>
      <c r="V80" t="s">
        <v>152</v>
      </c>
    </row>
    <row r="81" spans="9:22" x14ac:dyDescent="0.45">
      <c r="I81" t="s">
        <v>162</v>
      </c>
      <c r="J81" t="s">
        <v>207</v>
      </c>
      <c r="K81">
        <v>8.1087102812675976E-3</v>
      </c>
      <c r="L81" t="s">
        <v>152</v>
      </c>
      <c r="N81" t="s">
        <v>179</v>
      </c>
      <c r="O81" t="s">
        <v>207</v>
      </c>
      <c r="P81">
        <v>3.5517371599009827E-2</v>
      </c>
      <c r="Q81" t="s">
        <v>152</v>
      </c>
      <c r="S81" t="s">
        <v>185</v>
      </c>
      <c r="T81" t="s">
        <v>207</v>
      </c>
      <c r="U81">
        <v>3.2353018945845406E-2</v>
      </c>
      <c r="V81" t="s">
        <v>152</v>
      </c>
    </row>
    <row r="82" spans="9:22" x14ac:dyDescent="0.45">
      <c r="I82" t="s">
        <v>162</v>
      </c>
      <c r="J82" t="s">
        <v>208</v>
      </c>
      <c r="K82">
        <v>0</v>
      </c>
      <c r="L82" t="s">
        <v>152</v>
      </c>
      <c r="N82" t="s">
        <v>179</v>
      </c>
      <c r="O82" t="s">
        <v>208</v>
      </c>
      <c r="P82">
        <v>0.19330271993384782</v>
      </c>
      <c r="Q82" t="s">
        <v>152</v>
      </c>
      <c r="S82" t="s">
        <v>185</v>
      </c>
      <c r="T82" t="s">
        <v>208</v>
      </c>
      <c r="U82">
        <v>0.16494595714618981</v>
      </c>
      <c r="V82" t="s">
        <v>152</v>
      </c>
    </row>
    <row r="83" spans="9:22" x14ac:dyDescent="0.45">
      <c r="I83" t="s">
        <v>163</v>
      </c>
      <c r="J83" t="s">
        <v>151</v>
      </c>
      <c r="K83">
        <v>3.7241575716921013E-3</v>
      </c>
      <c r="L83" t="s">
        <v>152</v>
      </c>
      <c r="S83" t="s">
        <v>186</v>
      </c>
      <c r="T83" t="s">
        <v>151</v>
      </c>
      <c r="U83">
        <v>9.5287912252028581E-2</v>
      </c>
      <c r="V83" t="s">
        <v>152</v>
      </c>
    </row>
    <row r="84" spans="9:22" x14ac:dyDescent="0.45">
      <c r="I84" t="s">
        <v>163</v>
      </c>
      <c r="J84" t="s">
        <v>153</v>
      </c>
      <c r="K84">
        <v>7.7241468801417289E-3</v>
      </c>
      <c r="L84" t="s">
        <v>152</v>
      </c>
      <c r="S84" t="s">
        <v>186</v>
      </c>
      <c r="T84" t="s">
        <v>153</v>
      </c>
      <c r="U84">
        <v>1.2338448986777998E-2</v>
      </c>
      <c r="V84" t="s">
        <v>152</v>
      </c>
    </row>
    <row r="85" spans="9:22" x14ac:dyDescent="0.45">
      <c r="I85" t="s">
        <v>163</v>
      </c>
      <c r="J85" t="s">
        <v>154</v>
      </c>
      <c r="K85">
        <v>0.10716048507269214</v>
      </c>
      <c r="L85" t="s">
        <v>152</v>
      </c>
      <c r="S85" t="s">
        <v>186</v>
      </c>
      <c r="T85" t="s">
        <v>154</v>
      </c>
      <c r="U85">
        <v>9.1900799559583468E-2</v>
      </c>
      <c r="V85" t="s">
        <v>152</v>
      </c>
    </row>
    <row r="86" spans="9:22" x14ac:dyDescent="0.45">
      <c r="I86" t="s">
        <v>163</v>
      </c>
      <c r="J86" t="s">
        <v>203</v>
      </c>
      <c r="K86">
        <v>6.2733439348584075E-3</v>
      </c>
      <c r="L86" t="s">
        <v>152</v>
      </c>
      <c r="S86" t="s">
        <v>186</v>
      </c>
      <c r="T86" t="s">
        <v>203</v>
      </c>
      <c r="U86">
        <v>1.0861972988912826E-2</v>
      </c>
      <c r="V86" t="s">
        <v>152</v>
      </c>
    </row>
    <row r="87" spans="9:22" x14ac:dyDescent="0.45">
      <c r="I87" t="s">
        <v>163</v>
      </c>
      <c r="J87" t="s">
        <v>204</v>
      </c>
      <c r="K87">
        <v>2.8383798404137545E-3</v>
      </c>
      <c r="L87" t="s">
        <v>152</v>
      </c>
      <c r="S87" t="s">
        <v>186</v>
      </c>
      <c r="T87" t="s">
        <v>204</v>
      </c>
      <c r="U87">
        <v>1.1726611453057919E-2</v>
      </c>
      <c r="V87" t="s">
        <v>152</v>
      </c>
    </row>
    <row r="88" spans="9:22" x14ac:dyDescent="0.45">
      <c r="I88" t="s">
        <v>163</v>
      </c>
      <c r="J88" t="s">
        <v>205</v>
      </c>
      <c r="K88">
        <v>0</v>
      </c>
      <c r="L88" t="s">
        <v>152</v>
      </c>
      <c r="S88" t="s">
        <v>186</v>
      </c>
      <c r="T88" t="s">
        <v>205</v>
      </c>
      <c r="U88">
        <v>6.2854630647500881E-2</v>
      </c>
      <c r="V88" t="s">
        <v>152</v>
      </c>
    </row>
    <row r="89" spans="9:22" x14ac:dyDescent="0.45">
      <c r="I89" t="s">
        <v>163</v>
      </c>
      <c r="J89" t="s">
        <v>155</v>
      </c>
      <c r="K89">
        <v>3.2296585909948258E-2</v>
      </c>
      <c r="L89" t="s">
        <v>152</v>
      </c>
      <c r="S89" t="s">
        <v>186</v>
      </c>
      <c r="T89" t="s">
        <v>155</v>
      </c>
      <c r="U89">
        <v>0.24062128626106841</v>
      </c>
      <c r="V89" t="s">
        <v>152</v>
      </c>
    </row>
    <row r="90" spans="9:22" x14ac:dyDescent="0.45">
      <c r="I90" t="s">
        <v>163</v>
      </c>
      <c r="J90" t="s">
        <v>156</v>
      </c>
      <c r="K90">
        <v>5.8874301466554833E-2</v>
      </c>
      <c r="L90" t="s">
        <v>152</v>
      </c>
      <c r="S90" t="s">
        <v>186</v>
      </c>
      <c r="T90" t="s">
        <v>156</v>
      </c>
      <c r="U90">
        <v>3.1839629808346773E-2</v>
      </c>
      <c r="V90" t="s">
        <v>152</v>
      </c>
    </row>
    <row r="91" spans="9:22" x14ac:dyDescent="0.45">
      <c r="I91" t="s">
        <v>163</v>
      </c>
      <c r="J91" t="s">
        <v>157</v>
      </c>
      <c r="K91">
        <v>0.73026303754702726</v>
      </c>
      <c r="L91" t="s">
        <v>152</v>
      </c>
      <c r="S91" t="s">
        <v>186</v>
      </c>
      <c r="T91" t="s">
        <v>157</v>
      </c>
      <c r="U91">
        <v>0.24302678053029939</v>
      </c>
      <c r="V91" t="s">
        <v>152</v>
      </c>
    </row>
    <row r="92" spans="9:22" x14ac:dyDescent="0.45">
      <c r="I92" t="s">
        <v>163</v>
      </c>
      <c r="J92" t="s">
        <v>206</v>
      </c>
      <c r="K92">
        <v>3.4089480287949052E-2</v>
      </c>
      <c r="L92" t="s">
        <v>152</v>
      </c>
      <c r="S92" t="s">
        <v>186</v>
      </c>
      <c r="T92" t="s">
        <v>206</v>
      </c>
      <c r="U92">
        <v>2.7729357394142062E-2</v>
      </c>
      <c r="V92" t="s">
        <v>152</v>
      </c>
    </row>
    <row r="93" spans="9:22" x14ac:dyDescent="0.45">
      <c r="I93" t="s">
        <v>163</v>
      </c>
      <c r="J93" t="s">
        <v>207</v>
      </c>
      <c r="K93">
        <v>1.6756081488721847E-2</v>
      </c>
      <c r="L93" t="s">
        <v>152</v>
      </c>
      <c r="S93" t="s">
        <v>186</v>
      </c>
      <c r="T93" t="s">
        <v>207</v>
      </c>
      <c r="U93">
        <v>2.8283152611238455E-2</v>
      </c>
      <c r="V93" t="s">
        <v>152</v>
      </c>
    </row>
    <row r="94" spans="9:22" x14ac:dyDescent="0.45">
      <c r="I94" t="s">
        <v>163</v>
      </c>
      <c r="J94" t="s">
        <v>208</v>
      </c>
      <c r="K94">
        <v>0</v>
      </c>
      <c r="L94" t="s">
        <v>152</v>
      </c>
      <c r="S94" t="s">
        <v>186</v>
      </c>
      <c r="T94" t="s">
        <v>208</v>
      </c>
      <c r="U94">
        <v>0.14352941750704332</v>
      </c>
      <c r="V94" t="s">
        <v>152</v>
      </c>
    </row>
    <row r="95" spans="9:22" x14ac:dyDescent="0.45">
      <c r="I95" t="s">
        <v>164</v>
      </c>
      <c r="J95" t="s">
        <v>151</v>
      </c>
      <c r="K95">
        <v>4.038509137104334E-3</v>
      </c>
      <c r="L95" t="s">
        <v>152</v>
      </c>
      <c r="S95" t="s">
        <v>187</v>
      </c>
      <c r="T95" t="s">
        <v>151</v>
      </c>
      <c r="U95">
        <v>8.467794879715583E-2</v>
      </c>
      <c r="V95" t="s">
        <v>152</v>
      </c>
    </row>
    <row r="96" spans="9:22" x14ac:dyDescent="0.45">
      <c r="I96" t="s">
        <v>164</v>
      </c>
      <c r="J96" t="s">
        <v>153</v>
      </c>
      <c r="K96">
        <v>8.6400651544978786E-3</v>
      </c>
      <c r="L96" t="s">
        <v>152</v>
      </c>
      <c r="S96" t="s">
        <v>187</v>
      </c>
      <c r="T96" t="s">
        <v>153</v>
      </c>
      <c r="U96">
        <v>1.0838442600272682E-2</v>
      </c>
      <c r="V96" t="s">
        <v>152</v>
      </c>
    </row>
    <row r="97" spans="9:22" x14ac:dyDescent="0.45">
      <c r="I97" t="s">
        <v>164</v>
      </c>
      <c r="J97" t="s">
        <v>154</v>
      </c>
      <c r="K97">
        <v>0.1099404630028951</v>
      </c>
      <c r="L97" t="s">
        <v>152</v>
      </c>
      <c r="S97" t="s">
        <v>187</v>
      </c>
      <c r="T97" t="s">
        <v>154</v>
      </c>
      <c r="U97">
        <v>8.1565900195890828E-2</v>
      </c>
      <c r="V97" t="s">
        <v>152</v>
      </c>
    </row>
    <row r="98" spans="9:22" x14ac:dyDescent="0.45">
      <c r="I98" t="s">
        <v>164</v>
      </c>
      <c r="J98" t="s">
        <v>203</v>
      </c>
      <c r="K98">
        <v>5.2167225535420057E-3</v>
      </c>
      <c r="L98" t="s">
        <v>152</v>
      </c>
      <c r="S98" t="s">
        <v>187</v>
      </c>
      <c r="T98" t="s">
        <v>203</v>
      </c>
      <c r="U98">
        <v>8.5728188722727691E-3</v>
      </c>
      <c r="V98" t="s">
        <v>152</v>
      </c>
    </row>
    <row r="99" spans="9:22" x14ac:dyDescent="0.45">
      <c r="I99" t="s">
        <v>164</v>
      </c>
      <c r="J99" t="s">
        <v>204</v>
      </c>
      <c r="K99">
        <v>2.6563069168033036E-3</v>
      </c>
      <c r="L99" t="s">
        <v>152</v>
      </c>
      <c r="S99" t="s">
        <v>187</v>
      </c>
      <c r="T99" t="s">
        <v>204</v>
      </c>
      <c r="U99">
        <v>9.4252941745179494E-3</v>
      </c>
      <c r="V99" t="s">
        <v>152</v>
      </c>
    </row>
    <row r="100" spans="9:22" x14ac:dyDescent="0.45">
      <c r="I100" t="s">
        <v>164</v>
      </c>
      <c r="J100" t="s">
        <v>205</v>
      </c>
      <c r="K100">
        <v>0</v>
      </c>
      <c r="L100" t="s">
        <v>152</v>
      </c>
      <c r="S100" t="s">
        <v>187</v>
      </c>
      <c r="T100" t="s">
        <v>205</v>
      </c>
      <c r="U100">
        <v>5.4164219115885759E-2</v>
      </c>
      <c r="V100" t="s">
        <v>152</v>
      </c>
    </row>
    <row r="101" spans="9:22" x14ac:dyDescent="0.45">
      <c r="I101" t="s">
        <v>164</v>
      </c>
      <c r="J101" t="s">
        <v>155</v>
      </c>
      <c r="K101">
        <v>3.5086323305244457E-2</v>
      </c>
      <c r="L101" t="s">
        <v>152</v>
      </c>
      <c r="S101" t="s">
        <v>187</v>
      </c>
      <c r="T101" t="s">
        <v>155</v>
      </c>
      <c r="U101">
        <v>0.25191411182980644</v>
      </c>
      <c r="V101" t="s">
        <v>152</v>
      </c>
    </row>
    <row r="102" spans="9:22" x14ac:dyDescent="0.45">
      <c r="I102" t="s">
        <v>164</v>
      </c>
      <c r="J102" t="s">
        <v>156</v>
      </c>
      <c r="K102">
        <v>5.5810902451230437E-2</v>
      </c>
      <c r="L102" t="s">
        <v>152</v>
      </c>
      <c r="S102" t="s">
        <v>187</v>
      </c>
      <c r="T102" t="s">
        <v>156</v>
      </c>
      <c r="U102">
        <v>3.2453621317031035E-2</v>
      </c>
      <c r="V102" t="s">
        <v>152</v>
      </c>
    </row>
    <row r="103" spans="9:22" x14ac:dyDescent="0.45">
      <c r="I103" t="s">
        <v>164</v>
      </c>
      <c r="J103" t="s">
        <v>157</v>
      </c>
      <c r="K103">
        <v>0.72813731615724375</v>
      </c>
      <c r="L103" t="s">
        <v>152</v>
      </c>
      <c r="S103" t="s">
        <v>187</v>
      </c>
      <c r="T103" t="s">
        <v>157</v>
      </c>
      <c r="U103">
        <v>0.25578368200686941</v>
      </c>
      <c r="V103" t="s">
        <v>152</v>
      </c>
    </row>
    <row r="104" spans="9:22" x14ac:dyDescent="0.45">
      <c r="I104" t="s">
        <v>164</v>
      </c>
      <c r="J104" t="s">
        <v>206</v>
      </c>
      <c r="K104">
        <v>3.5938190696013866E-2</v>
      </c>
      <c r="L104" t="s">
        <v>152</v>
      </c>
      <c r="S104" t="s">
        <v>187</v>
      </c>
      <c r="T104" t="s">
        <v>206</v>
      </c>
      <c r="U104">
        <v>2.9135250009519765E-2</v>
      </c>
      <c r="V104" t="s">
        <v>152</v>
      </c>
    </row>
    <row r="105" spans="9:22" x14ac:dyDescent="0.45">
      <c r="I105" t="s">
        <v>164</v>
      </c>
      <c r="J105" t="s">
        <v>207</v>
      </c>
      <c r="K105">
        <v>1.4535200625421097E-2</v>
      </c>
      <c r="L105" t="s">
        <v>152</v>
      </c>
      <c r="S105" t="s">
        <v>187</v>
      </c>
      <c r="T105" t="s">
        <v>207</v>
      </c>
      <c r="U105">
        <v>2.9308470256655693E-2</v>
      </c>
      <c r="V105" t="s">
        <v>152</v>
      </c>
    </row>
    <row r="106" spans="9:22" x14ac:dyDescent="0.45">
      <c r="I106" t="s">
        <v>164</v>
      </c>
      <c r="J106" t="s">
        <v>208</v>
      </c>
      <c r="K106">
        <v>0</v>
      </c>
      <c r="L106" t="s">
        <v>152</v>
      </c>
      <c r="S106" t="s">
        <v>187</v>
      </c>
      <c r="T106" t="s">
        <v>208</v>
      </c>
      <c r="U106">
        <v>0.15216024082412061</v>
      </c>
      <c r="V106" t="s">
        <v>152</v>
      </c>
    </row>
    <row r="107" spans="9:22" x14ac:dyDescent="0.45">
      <c r="I107" t="s">
        <v>165</v>
      </c>
      <c r="J107" t="s">
        <v>151</v>
      </c>
      <c r="K107">
        <v>3.7855537617834767E-3</v>
      </c>
      <c r="L107" t="s">
        <v>152</v>
      </c>
      <c r="S107" t="s">
        <v>188</v>
      </c>
      <c r="T107" t="s">
        <v>151</v>
      </c>
      <c r="U107">
        <v>8.0629628914060905E-2</v>
      </c>
      <c r="V107" t="s">
        <v>152</v>
      </c>
    </row>
    <row r="108" spans="9:22" x14ac:dyDescent="0.45">
      <c r="I108" t="s">
        <v>165</v>
      </c>
      <c r="J108" t="s">
        <v>153</v>
      </c>
      <c r="K108">
        <v>8.6894535559264643E-3</v>
      </c>
      <c r="L108" t="s">
        <v>152</v>
      </c>
      <c r="S108" t="s">
        <v>188</v>
      </c>
      <c r="T108" t="s">
        <v>153</v>
      </c>
      <c r="U108">
        <v>1.0171572184906797E-2</v>
      </c>
      <c r="V108" t="s">
        <v>152</v>
      </c>
    </row>
    <row r="109" spans="9:22" x14ac:dyDescent="0.45">
      <c r="I109" t="s">
        <v>165</v>
      </c>
      <c r="J109" t="s">
        <v>154</v>
      </c>
      <c r="K109">
        <v>0.11166972607625537</v>
      </c>
      <c r="L109" t="s">
        <v>152</v>
      </c>
      <c r="S109" t="s">
        <v>188</v>
      </c>
      <c r="T109" t="s">
        <v>154</v>
      </c>
      <c r="U109">
        <v>7.7606275176688055E-2</v>
      </c>
      <c r="V109" t="s">
        <v>152</v>
      </c>
    </row>
    <row r="110" spans="9:22" x14ac:dyDescent="0.45">
      <c r="I110" t="s">
        <v>165</v>
      </c>
      <c r="J110" t="s">
        <v>203</v>
      </c>
      <c r="K110">
        <v>4.7073337068401118E-3</v>
      </c>
      <c r="L110" t="s">
        <v>152</v>
      </c>
      <c r="S110" t="s">
        <v>188</v>
      </c>
      <c r="T110" t="s">
        <v>203</v>
      </c>
      <c r="U110">
        <v>8.1040557990907317E-3</v>
      </c>
      <c r="V110" t="s">
        <v>152</v>
      </c>
    </row>
    <row r="111" spans="9:22" x14ac:dyDescent="0.45">
      <c r="I111" t="s">
        <v>165</v>
      </c>
      <c r="J111" t="s">
        <v>204</v>
      </c>
      <c r="K111">
        <v>2.1965319142438241E-3</v>
      </c>
      <c r="L111" t="s">
        <v>152</v>
      </c>
      <c r="S111" t="s">
        <v>188</v>
      </c>
      <c r="T111" t="s">
        <v>204</v>
      </c>
      <c r="U111">
        <v>8.9360888003990127E-3</v>
      </c>
      <c r="V111" t="s">
        <v>152</v>
      </c>
    </row>
    <row r="112" spans="9:22" x14ac:dyDescent="0.45">
      <c r="I112" t="s">
        <v>165</v>
      </c>
      <c r="J112" t="s">
        <v>205</v>
      </c>
      <c r="K112">
        <v>0</v>
      </c>
      <c r="L112" t="s">
        <v>152</v>
      </c>
      <c r="S112" t="s">
        <v>188</v>
      </c>
      <c r="T112" t="s">
        <v>205</v>
      </c>
      <c r="U112">
        <v>5.2644042099262246E-2</v>
      </c>
      <c r="V112" t="s">
        <v>152</v>
      </c>
    </row>
    <row r="113" spans="9:22" x14ac:dyDescent="0.45">
      <c r="I113" t="s">
        <v>165</v>
      </c>
      <c r="J113" t="s">
        <v>155</v>
      </c>
      <c r="K113">
        <v>4.0926483245594239E-2</v>
      </c>
      <c r="L113" t="s">
        <v>152</v>
      </c>
      <c r="S113" t="s">
        <v>188</v>
      </c>
      <c r="T113" t="s">
        <v>155</v>
      </c>
      <c r="U113">
        <v>0.25553926381635006</v>
      </c>
      <c r="V113" t="s">
        <v>152</v>
      </c>
    </row>
    <row r="114" spans="9:22" x14ac:dyDescent="0.45">
      <c r="I114" t="s">
        <v>165</v>
      </c>
      <c r="J114" t="s">
        <v>156</v>
      </c>
      <c r="K114">
        <v>6.201847959896218E-2</v>
      </c>
      <c r="L114" t="s">
        <v>152</v>
      </c>
      <c r="S114" t="s">
        <v>188</v>
      </c>
      <c r="T114" t="s">
        <v>156</v>
      </c>
      <c r="U114">
        <v>3.3286195268040407E-2</v>
      </c>
      <c r="V114" t="s">
        <v>152</v>
      </c>
    </row>
    <row r="115" spans="9:22" x14ac:dyDescent="0.45">
      <c r="I115" t="s">
        <v>165</v>
      </c>
      <c r="J115" t="s">
        <v>157</v>
      </c>
      <c r="K115">
        <v>0.72554268467409122</v>
      </c>
      <c r="L115" t="s">
        <v>152</v>
      </c>
      <c r="S115" t="s">
        <v>188</v>
      </c>
      <c r="T115" t="s">
        <v>157</v>
      </c>
      <c r="U115">
        <v>0.26190312308182662</v>
      </c>
      <c r="V115" t="s">
        <v>152</v>
      </c>
    </row>
    <row r="116" spans="9:22" x14ac:dyDescent="0.45">
      <c r="I116" t="s">
        <v>165</v>
      </c>
      <c r="J116" t="s">
        <v>206</v>
      </c>
      <c r="K116">
        <v>3.0547216339088735E-2</v>
      </c>
      <c r="L116" t="s">
        <v>152</v>
      </c>
      <c r="S116" t="s">
        <v>188</v>
      </c>
      <c r="T116" t="s">
        <v>206</v>
      </c>
      <c r="U116">
        <v>2.9266788126291153E-2</v>
      </c>
      <c r="V116" t="s">
        <v>152</v>
      </c>
    </row>
    <row r="117" spans="9:22" x14ac:dyDescent="0.45">
      <c r="I117" t="s">
        <v>165</v>
      </c>
      <c r="J117" t="s">
        <v>207</v>
      </c>
      <c r="K117">
        <v>9.9165371272182754E-3</v>
      </c>
      <c r="L117" t="s">
        <v>152</v>
      </c>
      <c r="S117" t="s">
        <v>188</v>
      </c>
      <c r="T117" t="s">
        <v>207</v>
      </c>
      <c r="U117">
        <v>2.9555328198178934E-2</v>
      </c>
      <c r="V117" t="s">
        <v>152</v>
      </c>
    </row>
    <row r="118" spans="9:22" x14ac:dyDescent="0.45">
      <c r="I118" t="s">
        <v>165</v>
      </c>
      <c r="J118" t="s">
        <v>208</v>
      </c>
      <c r="K118">
        <v>0</v>
      </c>
      <c r="L118" t="s">
        <v>152</v>
      </c>
      <c r="S118" t="s">
        <v>188</v>
      </c>
      <c r="T118" t="s">
        <v>208</v>
      </c>
      <c r="U118">
        <v>0.15235763853490336</v>
      </c>
      <c r="V118" t="s">
        <v>152</v>
      </c>
    </row>
    <row r="119" spans="9:22" x14ac:dyDescent="0.45">
      <c r="I119" t="s">
        <v>166</v>
      </c>
      <c r="J119" t="s">
        <v>151</v>
      </c>
      <c r="K119">
        <v>3.620989899015411E-3</v>
      </c>
      <c r="L119" t="s">
        <v>152</v>
      </c>
      <c r="S119" t="s">
        <v>189</v>
      </c>
      <c r="T119" t="s">
        <v>151</v>
      </c>
      <c r="U119">
        <v>8.2405864427907843E-2</v>
      </c>
      <c r="V119" t="s">
        <v>152</v>
      </c>
    </row>
    <row r="120" spans="9:22" x14ac:dyDescent="0.45">
      <c r="I120" t="s">
        <v>166</v>
      </c>
      <c r="J120" t="s">
        <v>153</v>
      </c>
      <c r="K120">
        <v>8.4868033715687647E-3</v>
      </c>
      <c r="L120" t="s">
        <v>152</v>
      </c>
      <c r="S120" t="s">
        <v>189</v>
      </c>
      <c r="T120" t="s">
        <v>153</v>
      </c>
      <c r="U120">
        <v>1.0732231556800365E-2</v>
      </c>
      <c r="V120" t="s">
        <v>152</v>
      </c>
    </row>
    <row r="121" spans="9:22" x14ac:dyDescent="0.45">
      <c r="I121" t="s">
        <v>166</v>
      </c>
      <c r="J121" t="s">
        <v>154</v>
      </c>
      <c r="K121">
        <v>0.11121617370707773</v>
      </c>
      <c r="L121" t="s">
        <v>152</v>
      </c>
      <c r="S121" t="s">
        <v>189</v>
      </c>
      <c r="T121" t="s">
        <v>154</v>
      </c>
      <c r="U121">
        <v>8.138650210020755E-2</v>
      </c>
      <c r="V121" t="s">
        <v>152</v>
      </c>
    </row>
    <row r="122" spans="9:22" x14ac:dyDescent="0.45">
      <c r="I122" t="s">
        <v>166</v>
      </c>
      <c r="J122" t="s">
        <v>203</v>
      </c>
      <c r="K122">
        <v>5.7615485311266089E-3</v>
      </c>
      <c r="L122" t="s">
        <v>152</v>
      </c>
      <c r="S122" t="s">
        <v>189</v>
      </c>
      <c r="T122" t="s">
        <v>203</v>
      </c>
      <c r="U122">
        <v>8.8024782214063055E-3</v>
      </c>
      <c r="V122" t="s">
        <v>152</v>
      </c>
    </row>
    <row r="123" spans="9:22" x14ac:dyDescent="0.45">
      <c r="I123" t="s">
        <v>166</v>
      </c>
      <c r="J123" t="s">
        <v>204</v>
      </c>
      <c r="K123">
        <v>2.5490599691559614E-3</v>
      </c>
      <c r="L123" t="s">
        <v>152</v>
      </c>
      <c r="S123" t="s">
        <v>189</v>
      </c>
      <c r="T123" t="s">
        <v>204</v>
      </c>
      <c r="U123">
        <v>9.5825229768880405E-3</v>
      </c>
      <c r="V123" t="s">
        <v>152</v>
      </c>
    </row>
    <row r="124" spans="9:22" x14ac:dyDescent="0.45">
      <c r="I124" t="s">
        <v>166</v>
      </c>
      <c r="J124" t="s">
        <v>205</v>
      </c>
      <c r="K124">
        <v>0</v>
      </c>
      <c r="L124" t="s">
        <v>152</v>
      </c>
      <c r="S124" t="s">
        <v>189</v>
      </c>
      <c r="T124" t="s">
        <v>205</v>
      </c>
      <c r="U124">
        <v>5.5058609990711944E-2</v>
      </c>
      <c r="V124" t="s">
        <v>152</v>
      </c>
    </row>
    <row r="125" spans="9:22" x14ac:dyDescent="0.45">
      <c r="I125" t="s">
        <v>166</v>
      </c>
      <c r="J125" t="s">
        <v>155</v>
      </c>
      <c r="K125">
        <v>3.5439051421141878E-2</v>
      </c>
      <c r="L125" t="s">
        <v>152</v>
      </c>
      <c r="S125" t="s">
        <v>189</v>
      </c>
      <c r="T125" t="s">
        <v>155</v>
      </c>
      <c r="U125">
        <v>0.25172198586457273</v>
      </c>
      <c r="V125" t="s">
        <v>152</v>
      </c>
    </row>
    <row r="126" spans="9:22" x14ac:dyDescent="0.45">
      <c r="I126" t="s">
        <v>166</v>
      </c>
      <c r="J126" t="s">
        <v>156</v>
      </c>
      <c r="K126">
        <v>5.8705269754552487E-2</v>
      </c>
      <c r="L126" t="s">
        <v>152</v>
      </c>
      <c r="S126" t="s">
        <v>189</v>
      </c>
      <c r="T126" t="s">
        <v>156</v>
      </c>
      <c r="U126">
        <v>3.2761310537097438E-2</v>
      </c>
      <c r="V126" t="s">
        <v>152</v>
      </c>
    </row>
    <row r="127" spans="9:22" x14ac:dyDescent="0.45">
      <c r="I127" t="s">
        <v>166</v>
      </c>
      <c r="J127" t="s">
        <v>157</v>
      </c>
      <c r="K127">
        <v>0.72712522837593951</v>
      </c>
      <c r="L127" t="s">
        <v>152</v>
      </c>
      <c r="S127" t="s">
        <v>189</v>
      </c>
      <c r="T127" t="s">
        <v>157</v>
      </c>
      <c r="U127">
        <v>0.25951044498077386</v>
      </c>
      <c r="V127" t="s">
        <v>152</v>
      </c>
    </row>
    <row r="128" spans="9:22" x14ac:dyDescent="0.45">
      <c r="I128" t="s">
        <v>166</v>
      </c>
      <c r="J128" t="s">
        <v>206</v>
      </c>
      <c r="K128">
        <v>3.3716564553437571E-2</v>
      </c>
      <c r="L128" t="s">
        <v>152</v>
      </c>
      <c r="S128" t="s">
        <v>189</v>
      </c>
      <c r="T128" t="s">
        <v>206</v>
      </c>
      <c r="U128">
        <v>2.8923640690684354E-2</v>
      </c>
      <c r="V128" t="s">
        <v>152</v>
      </c>
    </row>
    <row r="129" spans="9:22" x14ac:dyDescent="0.45">
      <c r="I129" t="s">
        <v>166</v>
      </c>
      <c r="J129" t="s">
        <v>207</v>
      </c>
      <c r="K129">
        <v>1.3379310416984914E-2</v>
      </c>
      <c r="L129" t="s">
        <v>152</v>
      </c>
      <c r="S129" t="s">
        <v>189</v>
      </c>
      <c r="T129" t="s">
        <v>207</v>
      </c>
      <c r="U129">
        <v>2.9208312856243035E-2</v>
      </c>
      <c r="V129" t="s">
        <v>152</v>
      </c>
    </row>
    <row r="130" spans="9:22" x14ac:dyDescent="0.45">
      <c r="I130" t="s">
        <v>166</v>
      </c>
      <c r="J130" t="s">
        <v>208</v>
      </c>
      <c r="K130">
        <v>0</v>
      </c>
      <c r="L130" t="s">
        <v>152</v>
      </c>
      <c r="S130" t="s">
        <v>189</v>
      </c>
      <c r="T130" t="s">
        <v>208</v>
      </c>
      <c r="U130">
        <v>0.14990609579670636</v>
      </c>
      <c r="V130" t="s">
        <v>152</v>
      </c>
    </row>
    <row r="131" spans="9:22" x14ac:dyDescent="0.45">
      <c r="I131" t="s">
        <v>167</v>
      </c>
      <c r="J131" t="s">
        <v>151</v>
      </c>
      <c r="K131">
        <v>6.6526404675532379E-3</v>
      </c>
      <c r="L131" t="s">
        <v>152</v>
      </c>
    </row>
    <row r="132" spans="9:22" x14ac:dyDescent="0.45">
      <c r="I132" t="s">
        <v>167</v>
      </c>
      <c r="J132" t="s">
        <v>153</v>
      </c>
      <c r="K132">
        <v>1.0969740908431651E-2</v>
      </c>
      <c r="L132" t="s">
        <v>152</v>
      </c>
    </row>
    <row r="133" spans="9:22" x14ac:dyDescent="0.45">
      <c r="I133" t="s">
        <v>167</v>
      </c>
      <c r="J133" t="s">
        <v>154</v>
      </c>
      <c r="K133">
        <v>0.11386877494656747</v>
      </c>
      <c r="L133" t="s">
        <v>152</v>
      </c>
    </row>
    <row r="134" spans="9:22" x14ac:dyDescent="0.45">
      <c r="I134" t="s">
        <v>167</v>
      </c>
      <c r="J134" t="s">
        <v>203</v>
      </c>
      <c r="K134">
        <v>5.0942012742850075E-3</v>
      </c>
      <c r="L134" t="s">
        <v>152</v>
      </c>
    </row>
    <row r="135" spans="9:22" x14ac:dyDescent="0.45">
      <c r="I135" t="s">
        <v>167</v>
      </c>
      <c r="J135" t="s">
        <v>204</v>
      </c>
      <c r="K135">
        <v>0</v>
      </c>
      <c r="L135" t="s">
        <v>152</v>
      </c>
    </row>
    <row r="136" spans="9:22" x14ac:dyDescent="0.45">
      <c r="I136" t="s">
        <v>167</v>
      </c>
      <c r="J136" t="s">
        <v>205</v>
      </c>
      <c r="K136">
        <v>0</v>
      </c>
      <c r="L136" t="s">
        <v>152</v>
      </c>
    </row>
    <row r="137" spans="9:22" x14ac:dyDescent="0.45">
      <c r="I137" t="s">
        <v>167</v>
      </c>
      <c r="J137" t="s">
        <v>155</v>
      </c>
      <c r="K137">
        <v>7.1224851366162523E-2</v>
      </c>
      <c r="L137" t="s">
        <v>152</v>
      </c>
    </row>
    <row r="138" spans="9:22" x14ac:dyDescent="0.45">
      <c r="I138" t="s">
        <v>167</v>
      </c>
      <c r="J138" t="s">
        <v>156</v>
      </c>
      <c r="K138">
        <v>7.4270632732678199E-2</v>
      </c>
      <c r="L138" t="s">
        <v>152</v>
      </c>
    </row>
    <row r="139" spans="9:22" x14ac:dyDescent="0.45">
      <c r="I139" t="s">
        <v>167</v>
      </c>
      <c r="J139" t="s">
        <v>157</v>
      </c>
      <c r="K139">
        <v>0.69524666848645711</v>
      </c>
      <c r="L139" t="s">
        <v>152</v>
      </c>
    </row>
    <row r="140" spans="9:22" x14ac:dyDescent="0.45">
      <c r="I140" t="s">
        <v>167</v>
      </c>
      <c r="J140" t="s">
        <v>206</v>
      </c>
      <c r="K140">
        <v>2.2630813966987958E-2</v>
      </c>
      <c r="L140" t="s">
        <v>152</v>
      </c>
    </row>
    <row r="141" spans="9:22" x14ac:dyDescent="0.45">
      <c r="I141" t="s">
        <v>167</v>
      </c>
      <c r="J141" t="s">
        <v>207</v>
      </c>
      <c r="K141">
        <v>4.1675850875563472E-5</v>
      </c>
      <c r="L141" t="s">
        <v>152</v>
      </c>
    </row>
    <row r="142" spans="9:22" x14ac:dyDescent="0.45">
      <c r="I142" t="s">
        <v>167</v>
      </c>
      <c r="J142" t="s">
        <v>208</v>
      </c>
      <c r="K142">
        <v>0</v>
      </c>
      <c r="L142" t="s">
        <v>152</v>
      </c>
    </row>
    <row r="143" spans="9:22" x14ac:dyDescent="0.45">
      <c r="I143" t="s">
        <v>168</v>
      </c>
      <c r="J143" t="s">
        <v>151</v>
      </c>
      <c r="K143">
        <v>6.7858471151046136E-3</v>
      </c>
      <c r="L143" t="s">
        <v>152</v>
      </c>
    </row>
    <row r="144" spans="9:22" x14ac:dyDescent="0.45">
      <c r="I144" t="s">
        <v>168</v>
      </c>
      <c r="J144" t="s">
        <v>153</v>
      </c>
      <c r="K144">
        <v>1.1698861494350985E-2</v>
      </c>
      <c r="L144" t="s">
        <v>152</v>
      </c>
    </row>
    <row r="145" spans="9:12" x14ac:dyDescent="0.45">
      <c r="I145" t="s">
        <v>168</v>
      </c>
      <c r="J145" t="s">
        <v>154</v>
      </c>
      <c r="K145">
        <v>0.11228168177810254</v>
      </c>
      <c r="L145" t="s">
        <v>152</v>
      </c>
    </row>
    <row r="146" spans="9:12" x14ac:dyDescent="0.45">
      <c r="I146" t="s">
        <v>168</v>
      </c>
      <c r="J146" t="s">
        <v>203</v>
      </c>
      <c r="K146">
        <v>4.4950234326651527E-3</v>
      </c>
      <c r="L146" t="s">
        <v>152</v>
      </c>
    </row>
    <row r="147" spans="9:12" x14ac:dyDescent="0.45">
      <c r="I147" t="s">
        <v>168</v>
      </c>
      <c r="J147" t="s">
        <v>204</v>
      </c>
      <c r="K147">
        <v>0</v>
      </c>
      <c r="L147" t="s">
        <v>152</v>
      </c>
    </row>
    <row r="148" spans="9:12" x14ac:dyDescent="0.45">
      <c r="I148" t="s">
        <v>168</v>
      </c>
      <c r="J148" t="s">
        <v>205</v>
      </c>
      <c r="K148">
        <v>0</v>
      </c>
      <c r="L148" t="s">
        <v>152</v>
      </c>
    </row>
    <row r="149" spans="9:12" x14ac:dyDescent="0.45">
      <c r="I149" t="s">
        <v>168</v>
      </c>
      <c r="J149" t="s">
        <v>155</v>
      </c>
      <c r="K149">
        <v>6.9623728179965039E-2</v>
      </c>
      <c r="L149" t="s">
        <v>152</v>
      </c>
    </row>
    <row r="150" spans="9:12" x14ac:dyDescent="0.45">
      <c r="I150" t="s">
        <v>168</v>
      </c>
      <c r="J150" t="s">
        <v>156</v>
      </c>
      <c r="K150">
        <v>7.3642068914395536E-2</v>
      </c>
      <c r="L150" t="s">
        <v>152</v>
      </c>
    </row>
    <row r="151" spans="9:12" x14ac:dyDescent="0.45">
      <c r="I151" t="s">
        <v>168</v>
      </c>
      <c r="J151" t="s">
        <v>157</v>
      </c>
      <c r="K151">
        <v>0.69968250311944657</v>
      </c>
      <c r="L151" t="s">
        <v>152</v>
      </c>
    </row>
    <row r="152" spans="9:12" x14ac:dyDescent="0.45">
      <c r="I152" t="s">
        <v>168</v>
      </c>
      <c r="J152" t="s">
        <v>206</v>
      </c>
      <c r="K152">
        <v>2.1446099729593115E-2</v>
      </c>
      <c r="L152" t="s">
        <v>152</v>
      </c>
    </row>
    <row r="153" spans="9:12" x14ac:dyDescent="0.45">
      <c r="I153" t="s">
        <v>168</v>
      </c>
      <c r="J153" t="s">
        <v>207</v>
      </c>
      <c r="K153">
        <v>3.44186236380419E-4</v>
      </c>
      <c r="L153" t="s">
        <v>152</v>
      </c>
    </row>
    <row r="154" spans="9:12" x14ac:dyDescent="0.45">
      <c r="I154" t="s">
        <v>168</v>
      </c>
      <c r="J154" t="s">
        <v>208</v>
      </c>
      <c r="K154">
        <v>0</v>
      </c>
      <c r="L154" t="s">
        <v>152</v>
      </c>
    </row>
    <row r="155" spans="9:12" x14ac:dyDescent="0.45">
      <c r="I155" t="s">
        <v>169</v>
      </c>
      <c r="J155" t="s">
        <v>151</v>
      </c>
      <c r="K155">
        <v>3.5334511312899645E-3</v>
      </c>
      <c r="L155" t="s">
        <v>152</v>
      </c>
    </row>
    <row r="156" spans="9:12" x14ac:dyDescent="0.45">
      <c r="I156" t="s">
        <v>169</v>
      </c>
      <c r="J156" t="s">
        <v>153</v>
      </c>
      <c r="K156">
        <v>8.2115939386234078E-3</v>
      </c>
      <c r="L156" t="s">
        <v>152</v>
      </c>
    </row>
    <row r="157" spans="9:12" x14ac:dyDescent="0.45">
      <c r="I157" t="s">
        <v>169</v>
      </c>
      <c r="J157" t="s">
        <v>154</v>
      </c>
      <c r="K157">
        <v>0.11728221563561196</v>
      </c>
      <c r="L157" t="s">
        <v>152</v>
      </c>
    </row>
    <row r="158" spans="9:12" x14ac:dyDescent="0.45">
      <c r="I158" t="s">
        <v>169</v>
      </c>
      <c r="J158" t="s">
        <v>203</v>
      </c>
      <c r="K158">
        <v>4.6888606717142827E-3</v>
      </c>
      <c r="L158" t="s">
        <v>152</v>
      </c>
    </row>
    <row r="159" spans="9:12" x14ac:dyDescent="0.45">
      <c r="I159" t="s">
        <v>169</v>
      </c>
      <c r="J159" t="s">
        <v>204</v>
      </c>
      <c r="K159">
        <v>1.774789227605939E-3</v>
      </c>
      <c r="L159" t="s">
        <v>152</v>
      </c>
    </row>
    <row r="160" spans="9:12" x14ac:dyDescent="0.45">
      <c r="I160" t="s">
        <v>169</v>
      </c>
      <c r="J160" t="s">
        <v>205</v>
      </c>
      <c r="K160">
        <v>0</v>
      </c>
      <c r="L160" t="s">
        <v>152</v>
      </c>
    </row>
    <row r="161" spans="9:12" x14ac:dyDescent="0.45">
      <c r="I161" t="s">
        <v>169</v>
      </c>
      <c r="J161" t="s">
        <v>155</v>
      </c>
      <c r="K161">
        <v>4.0970737340429088E-2</v>
      </c>
      <c r="L161" t="s">
        <v>152</v>
      </c>
    </row>
    <row r="162" spans="9:12" x14ac:dyDescent="0.45">
      <c r="I162" t="s">
        <v>169</v>
      </c>
      <c r="J162" t="s">
        <v>156</v>
      </c>
      <c r="K162">
        <v>5.9682806496552804E-2</v>
      </c>
      <c r="L162" t="s">
        <v>152</v>
      </c>
    </row>
    <row r="163" spans="9:12" x14ac:dyDescent="0.45">
      <c r="I163" t="s">
        <v>169</v>
      </c>
      <c r="J163" t="s">
        <v>157</v>
      </c>
      <c r="K163">
        <v>0.73130659184961133</v>
      </c>
      <c r="L163" t="s">
        <v>152</v>
      </c>
    </row>
    <row r="164" spans="9:12" x14ac:dyDescent="0.45">
      <c r="I164" t="s">
        <v>169</v>
      </c>
      <c r="J164" t="s">
        <v>206</v>
      </c>
      <c r="K164">
        <v>2.7368413935006636E-2</v>
      </c>
      <c r="L164" t="s">
        <v>152</v>
      </c>
    </row>
    <row r="165" spans="9:12" x14ac:dyDescent="0.45">
      <c r="I165" t="s">
        <v>169</v>
      </c>
      <c r="J165" t="s">
        <v>207</v>
      </c>
      <c r="K165">
        <v>5.1805397735534874E-3</v>
      </c>
      <c r="L165" t="s">
        <v>152</v>
      </c>
    </row>
    <row r="166" spans="9:12" x14ac:dyDescent="0.45">
      <c r="I166" t="s">
        <v>169</v>
      </c>
      <c r="J166" t="s">
        <v>208</v>
      </c>
      <c r="K166">
        <v>0</v>
      </c>
      <c r="L166" t="s">
        <v>152</v>
      </c>
    </row>
    <row r="167" spans="9:12" x14ac:dyDescent="0.45">
      <c r="I167" t="s">
        <v>170</v>
      </c>
      <c r="J167" t="s">
        <v>151</v>
      </c>
      <c r="K167">
        <v>3.9866255151623708E-3</v>
      </c>
      <c r="L167" t="s">
        <v>152</v>
      </c>
    </row>
    <row r="168" spans="9:12" x14ac:dyDescent="0.45">
      <c r="I168" t="s">
        <v>170</v>
      </c>
      <c r="J168" t="s">
        <v>153</v>
      </c>
      <c r="K168">
        <v>9.0530197116051678E-3</v>
      </c>
      <c r="L168" t="s">
        <v>152</v>
      </c>
    </row>
    <row r="169" spans="9:12" x14ac:dyDescent="0.45">
      <c r="I169" t="s">
        <v>170</v>
      </c>
      <c r="J169" t="s">
        <v>154</v>
      </c>
      <c r="K169">
        <v>0.11988898046459816</v>
      </c>
      <c r="L169" t="s">
        <v>152</v>
      </c>
    </row>
    <row r="170" spans="9:12" x14ac:dyDescent="0.45">
      <c r="I170" t="s">
        <v>170</v>
      </c>
      <c r="J170" t="s">
        <v>203</v>
      </c>
      <c r="K170">
        <v>4.3996064180733237E-3</v>
      </c>
      <c r="L170" t="s">
        <v>152</v>
      </c>
    </row>
    <row r="171" spans="9:12" x14ac:dyDescent="0.45">
      <c r="I171" t="s">
        <v>170</v>
      </c>
      <c r="J171" t="s">
        <v>204</v>
      </c>
      <c r="K171">
        <v>8.0716646137268626E-4</v>
      </c>
      <c r="L171" t="s">
        <v>152</v>
      </c>
    </row>
    <row r="172" spans="9:12" x14ac:dyDescent="0.45">
      <c r="I172" t="s">
        <v>170</v>
      </c>
      <c r="J172" t="s">
        <v>205</v>
      </c>
      <c r="K172">
        <v>0</v>
      </c>
      <c r="L172" t="s">
        <v>152</v>
      </c>
    </row>
    <row r="173" spans="9:12" x14ac:dyDescent="0.45">
      <c r="I173" t="s">
        <v>170</v>
      </c>
      <c r="J173" t="s">
        <v>155</v>
      </c>
      <c r="K173">
        <v>4.8945274828046004E-2</v>
      </c>
      <c r="L173" t="s">
        <v>152</v>
      </c>
    </row>
    <row r="174" spans="9:12" x14ac:dyDescent="0.45">
      <c r="I174" t="s">
        <v>170</v>
      </c>
      <c r="J174" t="s">
        <v>156</v>
      </c>
      <c r="K174">
        <v>6.2327000346239725E-2</v>
      </c>
      <c r="L174" t="s">
        <v>152</v>
      </c>
    </row>
    <row r="175" spans="9:12" x14ac:dyDescent="0.45">
      <c r="I175" t="s">
        <v>170</v>
      </c>
      <c r="J175" t="s">
        <v>157</v>
      </c>
      <c r="K175">
        <v>0.72543944872571031</v>
      </c>
      <c r="L175" t="s">
        <v>152</v>
      </c>
    </row>
    <row r="176" spans="9:12" x14ac:dyDescent="0.45">
      <c r="I176" t="s">
        <v>170</v>
      </c>
      <c r="J176" t="s">
        <v>206</v>
      </c>
      <c r="K176">
        <v>2.4975433505718927E-2</v>
      </c>
      <c r="L176" t="s">
        <v>152</v>
      </c>
    </row>
    <row r="177" spans="9:12" x14ac:dyDescent="0.45">
      <c r="I177" t="s">
        <v>170</v>
      </c>
      <c r="J177" t="s">
        <v>207</v>
      </c>
      <c r="K177">
        <v>1.7744402347171854E-4</v>
      </c>
      <c r="L177" t="s">
        <v>152</v>
      </c>
    </row>
    <row r="178" spans="9:12" x14ac:dyDescent="0.45">
      <c r="I178" t="s">
        <v>170</v>
      </c>
      <c r="J178" t="s">
        <v>208</v>
      </c>
      <c r="K178">
        <v>0</v>
      </c>
      <c r="L178" t="s">
        <v>152</v>
      </c>
    </row>
    <row r="179" spans="9:12" x14ac:dyDescent="0.45">
      <c r="I179" t="s">
        <v>171</v>
      </c>
      <c r="J179" t="s">
        <v>151</v>
      </c>
      <c r="K179">
        <v>6.0249653909370095E-3</v>
      </c>
      <c r="L179" t="s">
        <v>152</v>
      </c>
    </row>
    <row r="180" spans="9:12" x14ac:dyDescent="0.45">
      <c r="I180" t="s">
        <v>171</v>
      </c>
      <c r="J180" t="s">
        <v>153</v>
      </c>
      <c r="K180">
        <v>1.0617991349959716E-2</v>
      </c>
      <c r="L180" t="s">
        <v>152</v>
      </c>
    </row>
    <row r="181" spans="9:12" x14ac:dyDescent="0.45">
      <c r="I181" t="s">
        <v>171</v>
      </c>
      <c r="J181" t="s">
        <v>154</v>
      </c>
      <c r="K181">
        <v>0.11151016309018391</v>
      </c>
      <c r="L181" t="s">
        <v>152</v>
      </c>
    </row>
    <row r="182" spans="9:12" x14ac:dyDescent="0.45">
      <c r="I182" t="s">
        <v>171</v>
      </c>
      <c r="J182" t="s">
        <v>203</v>
      </c>
      <c r="K182">
        <v>4.4101203040705752E-3</v>
      </c>
      <c r="L182" t="s">
        <v>152</v>
      </c>
    </row>
    <row r="183" spans="9:12" x14ac:dyDescent="0.45">
      <c r="I183" t="s">
        <v>171</v>
      </c>
      <c r="J183" t="s">
        <v>204</v>
      </c>
      <c r="K183">
        <v>8.1176132377013129E-4</v>
      </c>
      <c r="L183" t="s">
        <v>152</v>
      </c>
    </row>
    <row r="184" spans="9:12" x14ac:dyDescent="0.45">
      <c r="I184" t="s">
        <v>171</v>
      </c>
      <c r="J184" t="s">
        <v>205</v>
      </c>
      <c r="K184">
        <v>0</v>
      </c>
      <c r="L184" t="s">
        <v>152</v>
      </c>
    </row>
    <row r="185" spans="9:12" x14ac:dyDescent="0.45">
      <c r="I185" t="s">
        <v>171</v>
      </c>
      <c r="J185" t="s">
        <v>155</v>
      </c>
      <c r="K185">
        <v>6.1893480974502507E-2</v>
      </c>
      <c r="L185" t="s">
        <v>152</v>
      </c>
    </row>
    <row r="186" spans="9:12" x14ac:dyDescent="0.45">
      <c r="I186" t="s">
        <v>171</v>
      </c>
      <c r="J186" t="s">
        <v>156</v>
      </c>
      <c r="K186">
        <v>6.8231343848937226E-2</v>
      </c>
      <c r="L186" t="s">
        <v>152</v>
      </c>
    </row>
    <row r="187" spans="9:12" x14ac:dyDescent="0.45">
      <c r="I187" t="s">
        <v>171</v>
      </c>
      <c r="J187" t="s">
        <v>157</v>
      </c>
      <c r="K187">
        <v>0.70889004447508475</v>
      </c>
      <c r="L187" t="s">
        <v>152</v>
      </c>
    </row>
    <row r="188" spans="9:12" x14ac:dyDescent="0.45">
      <c r="I188" t="s">
        <v>171</v>
      </c>
      <c r="J188" t="s">
        <v>206</v>
      </c>
      <c r="K188">
        <v>2.4275149961980713E-2</v>
      </c>
      <c r="L188" t="s">
        <v>152</v>
      </c>
    </row>
    <row r="189" spans="9:12" x14ac:dyDescent="0.45">
      <c r="I189" t="s">
        <v>171</v>
      </c>
      <c r="J189" t="s">
        <v>207</v>
      </c>
      <c r="K189">
        <v>3.3349792805764228E-3</v>
      </c>
      <c r="L189" t="s">
        <v>152</v>
      </c>
    </row>
    <row r="190" spans="9:12" x14ac:dyDescent="0.45">
      <c r="I190" t="s">
        <v>171</v>
      </c>
      <c r="J190" t="s">
        <v>208</v>
      </c>
      <c r="K190">
        <v>0</v>
      </c>
      <c r="L190" t="s">
        <v>152</v>
      </c>
    </row>
    <row r="191" spans="9:12" x14ac:dyDescent="0.45">
      <c r="I191" t="s">
        <v>172</v>
      </c>
      <c r="J191" t="s">
        <v>151</v>
      </c>
      <c r="K191">
        <v>4.3288761959496764E-3</v>
      </c>
      <c r="L191" t="s">
        <v>152</v>
      </c>
    </row>
    <row r="192" spans="9:12" x14ac:dyDescent="0.45">
      <c r="I192" t="s">
        <v>172</v>
      </c>
      <c r="J192" t="s">
        <v>153</v>
      </c>
      <c r="K192">
        <v>9.6555855979746814E-3</v>
      </c>
      <c r="L192" t="s">
        <v>152</v>
      </c>
    </row>
    <row r="193" spans="9:12" x14ac:dyDescent="0.45">
      <c r="I193" t="s">
        <v>172</v>
      </c>
      <c r="J193" t="s">
        <v>154</v>
      </c>
      <c r="K193">
        <v>0.1160608941701568</v>
      </c>
      <c r="L193" t="s">
        <v>152</v>
      </c>
    </row>
    <row r="194" spans="9:12" x14ac:dyDescent="0.45">
      <c r="I194" t="s">
        <v>172</v>
      </c>
      <c r="J194" t="s">
        <v>203</v>
      </c>
      <c r="K194">
        <v>4.2983290646424971E-3</v>
      </c>
      <c r="L194" t="s">
        <v>152</v>
      </c>
    </row>
    <row r="195" spans="9:12" x14ac:dyDescent="0.45">
      <c r="I195" t="s">
        <v>172</v>
      </c>
      <c r="J195" t="s">
        <v>204</v>
      </c>
      <c r="K195">
        <v>0</v>
      </c>
      <c r="L195" t="s">
        <v>152</v>
      </c>
    </row>
    <row r="196" spans="9:12" x14ac:dyDescent="0.45">
      <c r="I196" t="s">
        <v>172</v>
      </c>
      <c r="J196" t="s">
        <v>205</v>
      </c>
      <c r="K196">
        <v>0</v>
      </c>
      <c r="L196" t="s">
        <v>152</v>
      </c>
    </row>
    <row r="197" spans="9:12" x14ac:dyDescent="0.45">
      <c r="I197" t="s">
        <v>172</v>
      </c>
      <c r="J197" t="s">
        <v>155</v>
      </c>
      <c r="K197">
        <v>4.7907759092335217E-2</v>
      </c>
      <c r="L197" t="s">
        <v>152</v>
      </c>
    </row>
    <row r="198" spans="9:12" x14ac:dyDescent="0.45">
      <c r="I198" t="s">
        <v>172</v>
      </c>
      <c r="J198" t="s">
        <v>156</v>
      </c>
      <c r="K198">
        <v>6.4315008899430093E-2</v>
      </c>
      <c r="L198" t="s">
        <v>152</v>
      </c>
    </row>
    <row r="199" spans="9:12" x14ac:dyDescent="0.45">
      <c r="I199" t="s">
        <v>172</v>
      </c>
      <c r="J199" t="s">
        <v>157</v>
      </c>
      <c r="K199">
        <v>0.73034686567826224</v>
      </c>
      <c r="L199" t="s">
        <v>152</v>
      </c>
    </row>
    <row r="200" spans="9:12" x14ac:dyDescent="0.45">
      <c r="I200" t="s">
        <v>172</v>
      </c>
      <c r="J200" t="s">
        <v>206</v>
      </c>
      <c r="K200">
        <v>2.3086681301247754E-2</v>
      </c>
      <c r="L200" t="s">
        <v>152</v>
      </c>
    </row>
    <row r="201" spans="9:12" x14ac:dyDescent="0.45">
      <c r="I201" t="s">
        <v>172</v>
      </c>
      <c r="J201" t="s">
        <v>207</v>
      </c>
      <c r="K201">
        <v>0</v>
      </c>
      <c r="L201" t="s">
        <v>152</v>
      </c>
    </row>
    <row r="202" spans="9:12" x14ac:dyDescent="0.45">
      <c r="I202" t="s">
        <v>172</v>
      </c>
      <c r="J202" t="s">
        <v>208</v>
      </c>
      <c r="K202">
        <v>0</v>
      </c>
      <c r="L202" t="s">
        <v>152</v>
      </c>
    </row>
    <row r="203" spans="9:12" x14ac:dyDescent="0.45">
      <c r="I203" t="s">
        <v>173</v>
      </c>
      <c r="J203" t="s">
        <v>151</v>
      </c>
      <c r="K203">
        <v>5.0150052579514773E-3</v>
      </c>
      <c r="L203" t="s">
        <v>152</v>
      </c>
    </row>
    <row r="204" spans="9:12" x14ac:dyDescent="0.45">
      <c r="I204" t="s">
        <v>173</v>
      </c>
      <c r="J204" t="s">
        <v>153</v>
      </c>
      <c r="K204">
        <v>1.0194677278194364E-2</v>
      </c>
      <c r="L204" t="s">
        <v>152</v>
      </c>
    </row>
    <row r="205" spans="9:12" x14ac:dyDescent="0.45">
      <c r="I205" t="s">
        <v>173</v>
      </c>
      <c r="J205" t="s">
        <v>154</v>
      </c>
      <c r="K205">
        <v>0.11300668387459682</v>
      </c>
      <c r="L205" t="s">
        <v>152</v>
      </c>
    </row>
    <row r="206" spans="9:12" x14ac:dyDescent="0.45">
      <c r="I206" t="s">
        <v>173</v>
      </c>
      <c r="J206" t="s">
        <v>203</v>
      </c>
      <c r="K206">
        <v>4.2342225126892463E-3</v>
      </c>
      <c r="L206" t="s">
        <v>152</v>
      </c>
    </row>
    <row r="207" spans="9:12" x14ac:dyDescent="0.45">
      <c r="I207" t="s">
        <v>173</v>
      </c>
      <c r="J207" t="s">
        <v>204</v>
      </c>
      <c r="K207">
        <v>1.2784872789649469E-3</v>
      </c>
      <c r="L207" t="s">
        <v>152</v>
      </c>
    </row>
    <row r="208" spans="9:12" x14ac:dyDescent="0.45">
      <c r="I208" t="s">
        <v>173</v>
      </c>
      <c r="J208" t="s">
        <v>205</v>
      </c>
      <c r="K208">
        <v>0</v>
      </c>
      <c r="L208" t="s">
        <v>152</v>
      </c>
    </row>
    <row r="209" spans="9:12" x14ac:dyDescent="0.45">
      <c r="I209" t="s">
        <v>173</v>
      </c>
      <c r="J209" t="s">
        <v>155</v>
      </c>
      <c r="K209">
        <v>5.4173286682282877E-2</v>
      </c>
      <c r="L209" t="s">
        <v>152</v>
      </c>
    </row>
    <row r="210" spans="9:12" x14ac:dyDescent="0.45">
      <c r="I210" t="s">
        <v>173</v>
      </c>
      <c r="J210" t="s">
        <v>156</v>
      </c>
      <c r="K210">
        <v>6.726710939665044E-2</v>
      </c>
      <c r="L210" t="s">
        <v>152</v>
      </c>
    </row>
    <row r="211" spans="9:12" x14ac:dyDescent="0.45">
      <c r="I211" t="s">
        <v>173</v>
      </c>
      <c r="J211" t="s">
        <v>157</v>
      </c>
      <c r="K211">
        <v>0.71835344186022876</v>
      </c>
      <c r="L211" t="s">
        <v>152</v>
      </c>
    </row>
    <row r="212" spans="9:12" x14ac:dyDescent="0.45">
      <c r="I212" t="s">
        <v>173</v>
      </c>
      <c r="J212" t="s">
        <v>206</v>
      </c>
      <c r="K212">
        <v>2.4029996937691336E-2</v>
      </c>
      <c r="L212" t="s">
        <v>152</v>
      </c>
    </row>
    <row r="213" spans="9:12" x14ac:dyDescent="0.45">
      <c r="I213" t="s">
        <v>173</v>
      </c>
      <c r="J213" t="s">
        <v>207</v>
      </c>
      <c r="K213">
        <v>2.4470889207477723E-3</v>
      </c>
      <c r="L213" t="s">
        <v>152</v>
      </c>
    </row>
    <row r="214" spans="9:12" x14ac:dyDescent="0.45">
      <c r="I214" t="s">
        <v>173</v>
      </c>
      <c r="J214" t="s">
        <v>208</v>
      </c>
      <c r="K214">
        <v>0</v>
      </c>
      <c r="L214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F2833-BBEF-4B0A-A981-262C7EFF215B}">
  <dimension ref="A9:AN21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211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149</v>
      </c>
      <c r="L10" t="s">
        <v>30</v>
      </c>
      <c r="N10" t="s">
        <v>13</v>
      </c>
      <c r="O10" t="s">
        <v>115</v>
      </c>
      <c r="P10" t="s">
        <v>149</v>
      </c>
      <c r="Q10" t="s">
        <v>30</v>
      </c>
      <c r="S10" t="s">
        <v>13</v>
      </c>
      <c r="T10" t="s">
        <v>115</v>
      </c>
      <c r="U10" t="s">
        <v>149</v>
      </c>
      <c r="V10" t="s">
        <v>30</v>
      </c>
      <c r="X10" t="s">
        <v>190</v>
      </c>
      <c r="Y10" t="s">
        <v>149</v>
      </c>
      <c r="Z10" t="s">
        <v>115</v>
      </c>
      <c r="AA10" t="s">
        <v>13</v>
      </c>
      <c r="AC10" t="s">
        <v>13</v>
      </c>
      <c r="AD10" t="s">
        <v>115</v>
      </c>
      <c r="AE10" t="s">
        <v>149</v>
      </c>
      <c r="AG10" t="s">
        <v>13</v>
      </c>
      <c r="AH10" t="s">
        <v>115</v>
      </c>
      <c r="AI10" t="s">
        <v>196</v>
      </c>
      <c r="AK10" t="s">
        <v>47</v>
      </c>
      <c r="AL10" t="s">
        <v>115</v>
      </c>
      <c r="AM10" t="s">
        <v>197</v>
      </c>
      <c r="AN10" t="s">
        <v>198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145</v>
      </c>
      <c r="G11" t="s">
        <v>143</v>
      </c>
      <c r="I11" t="s">
        <v>150</v>
      </c>
      <c r="J11" t="s">
        <v>151</v>
      </c>
      <c r="K11">
        <v>2.7678585263187804E-3</v>
      </c>
      <c r="L11" t="s">
        <v>152</v>
      </c>
      <c r="N11" t="s">
        <v>174</v>
      </c>
      <c r="O11" t="s">
        <v>151</v>
      </c>
      <c r="P11">
        <v>7.2750842323492118E-2</v>
      </c>
      <c r="Q11" t="s">
        <v>152</v>
      </c>
      <c r="S11" t="s">
        <v>180</v>
      </c>
      <c r="T11" t="s">
        <v>151</v>
      </c>
      <c r="U11">
        <v>0.10832978666168361</v>
      </c>
      <c r="V11" t="s">
        <v>152</v>
      </c>
      <c r="X11">
        <v>4.6575342465753428E-2</v>
      </c>
      <c r="Y11">
        <v>2.5815080923849539E-2</v>
      </c>
      <c r="Z11" t="s">
        <v>151</v>
      </c>
      <c r="AA11" t="s">
        <v>25</v>
      </c>
      <c r="AC11" t="s">
        <v>22</v>
      </c>
      <c r="AD11" t="s">
        <v>151</v>
      </c>
      <c r="AE11">
        <v>3.0554152739576644E-2</v>
      </c>
      <c r="AG11" t="s">
        <v>96</v>
      </c>
      <c r="AH11" t="s">
        <v>151</v>
      </c>
      <c r="AI11">
        <v>0.19951707030392973</v>
      </c>
    </row>
    <row r="12" spans="1:40" x14ac:dyDescent="0.45">
      <c r="C12" t="s">
        <v>146</v>
      </c>
      <c r="E12" t="s">
        <v>147</v>
      </c>
      <c r="G12" t="s">
        <v>143</v>
      </c>
      <c r="I12" t="s">
        <v>150</v>
      </c>
      <c r="J12" t="s">
        <v>153</v>
      </c>
      <c r="K12">
        <v>6.1926762384803321E-3</v>
      </c>
      <c r="L12" t="s">
        <v>152</v>
      </c>
      <c r="N12" t="s">
        <v>174</v>
      </c>
      <c r="O12" t="s">
        <v>153</v>
      </c>
      <c r="P12">
        <v>8.5259030714991395E-3</v>
      </c>
      <c r="Q12" t="s">
        <v>152</v>
      </c>
      <c r="S12" t="s">
        <v>180</v>
      </c>
      <c r="T12" t="s">
        <v>153</v>
      </c>
      <c r="U12">
        <v>1.4422801395452824E-2</v>
      </c>
      <c r="V12" t="s">
        <v>152</v>
      </c>
      <c r="X12">
        <v>5.8219178082191785E-3</v>
      </c>
      <c r="Y12">
        <v>7.4385301941675185E-3</v>
      </c>
      <c r="Z12" t="s">
        <v>153</v>
      </c>
      <c r="AA12" t="s">
        <v>25</v>
      </c>
      <c r="AC12" t="s">
        <v>22</v>
      </c>
      <c r="AD12" t="s">
        <v>153</v>
      </c>
      <c r="AE12">
        <v>5.3511156869060997E-3</v>
      </c>
      <c r="AG12" t="s">
        <v>96</v>
      </c>
      <c r="AH12" t="s">
        <v>153</v>
      </c>
      <c r="AI12">
        <v>9.1039262771404506E-2</v>
      </c>
    </row>
    <row r="13" spans="1:40" x14ac:dyDescent="0.45">
      <c r="E13" t="s">
        <v>148</v>
      </c>
      <c r="G13" t="s">
        <v>143</v>
      </c>
      <c r="I13" t="s">
        <v>150</v>
      </c>
      <c r="J13" t="s">
        <v>154</v>
      </c>
      <c r="K13">
        <v>0.1035441622905932</v>
      </c>
      <c r="L13" t="s">
        <v>152</v>
      </c>
      <c r="N13" t="s">
        <v>174</v>
      </c>
      <c r="O13" t="s">
        <v>154</v>
      </c>
      <c r="P13">
        <v>9.3539660782291145E-2</v>
      </c>
      <c r="Q13" t="s">
        <v>152</v>
      </c>
      <c r="S13" t="s">
        <v>180</v>
      </c>
      <c r="T13" t="s">
        <v>154</v>
      </c>
      <c r="U13">
        <v>0.10683785596053533</v>
      </c>
      <c r="V13" t="s">
        <v>152</v>
      </c>
      <c r="X13">
        <v>4.6575342465753428E-2</v>
      </c>
      <c r="Y13">
        <v>6.4377097680431608E-2</v>
      </c>
      <c r="Z13" t="s">
        <v>154</v>
      </c>
      <c r="AA13" t="s">
        <v>25</v>
      </c>
      <c r="AC13" t="s">
        <v>22</v>
      </c>
      <c r="AD13" t="s">
        <v>154</v>
      </c>
      <c r="AE13">
        <v>4.4781056057728197E-2</v>
      </c>
      <c r="AG13" t="s">
        <v>96</v>
      </c>
      <c r="AH13" t="s">
        <v>154</v>
      </c>
      <c r="AI13">
        <v>0.10093477169431053</v>
      </c>
    </row>
    <row r="14" spans="1:40" x14ac:dyDescent="0.45">
      <c r="E14" t="s">
        <v>199</v>
      </c>
      <c r="G14" t="s">
        <v>143</v>
      </c>
      <c r="I14" t="s">
        <v>150</v>
      </c>
      <c r="J14" t="s">
        <v>203</v>
      </c>
      <c r="K14">
        <v>8.5730708043728343E-3</v>
      </c>
      <c r="L14" t="s">
        <v>152</v>
      </c>
      <c r="N14" t="s">
        <v>174</v>
      </c>
      <c r="O14" t="s">
        <v>203</v>
      </c>
      <c r="P14">
        <v>1.5902043606509465E-2</v>
      </c>
      <c r="Q14" t="s">
        <v>152</v>
      </c>
      <c r="S14" t="s">
        <v>180</v>
      </c>
      <c r="T14" t="s">
        <v>203</v>
      </c>
      <c r="U14">
        <v>1.1508038778334497E-2</v>
      </c>
      <c r="V14" t="s">
        <v>152</v>
      </c>
      <c r="X14">
        <v>5.8219178082191785E-3</v>
      </c>
      <c r="Y14">
        <v>1.1326852795664172E-2</v>
      </c>
      <c r="Z14" t="s">
        <v>203</v>
      </c>
      <c r="AA14" t="s">
        <v>25</v>
      </c>
      <c r="AC14" t="s">
        <v>22</v>
      </c>
      <c r="AD14" t="s">
        <v>203</v>
      </c>
      <c r="AE14">
        <v>5.8257129530155322E-3</v>
      </c>
      <c r="AG14" t="s">
        <v>96</v>
      </c>
      <c r="AH14" t="s">
        <v>203</v>
      </c>
      <c r="AI14">
        <v>8.6489628127065066E-2</v>
      </c>
    </row>
    <row r="15" spans="1:40" x14ac:dyDescent="0.45">
      <c r="E15" t="s">
        <v>200</v>
      </c>
      <c r="G15" t="s">
        <v>143</v>
      </c>
      <c r="I15" t="s">
        <v>150</v>
      </c>
      <c r="J15" t="s">
        <v>204</v>
      </c>
      <c r="K15">
        <v>5.1316774211729501E-3</v>
      </c>
      <c r="L15" t="s">
        <v>152</v>
      </c>
      <c r="N15" t="s">
        <v>174</v>
      </c>
      <c r="O15" t="s">
        <v>204</v>
      </c>
      <c r="P15">
        <v>1.6650094246527632E-2</v>
      </c>
      <c r="Q15" t="s">
        <v>152</v>
      </c>
      <c r="S15" t="s">
        <v>180</v>
      </c>
      <c r="T15" t="s">
        <v>204</v>
      </c>
      <c r="U15">
        <v>1.2444661995880282E-2</v>
      </c>
      <c r="V15" t="s">
        <v>152</v>
      </c>
      <c r="X15">
        <v>5.8219178082191785E-3</v>
      </c>
      <c r="Y15">
        <v>8.7909902294707049E-3</v>
      </c>
      <c r="Z15" t="s">
        <v>204</v>
      </c>
      <c r="AA15" t="s">
        <v>25</v>
      </c>
      <c r="AC15" t="s">
        <v>22</v>
      </c>
      <c r="AD15" t="s">
        <v>204</v>
      </c>
      <c r="AE15">
        <v>6.2619007870121013E-3</v>
      </c>
      <c r="AG15" t="s">
        <v>96</v>
      </c>
      <c r="AH15" t="s">
        <v>204</v>
      </c>
      <c r="AI15">
        <v>0.11058013881011908</v>
      </c>
    </row>
    <row r="16" spans="1:40" x14ac:dyDescent="0.45">
      <c r="E16" t="s">
        <v>201</v>
      </c>
      <c r="G16" t="s">
        <v>143</v>
      </c>
      <c r="I16" t="s">
        <v>150</v>
      </c>
      <c r="J16" t="s">
        <v>205</v>
      </c>
      <c r="K16">
        <v>0</v>
      </c>
      <c r="L16" t="s">
        <v>152</v>
      </c>
      <c r="N16" t="s">
        <v>174</v>
      </c>
      <c r="O16" t="s">
        <v>205</v>
      </c>
      <c r="P16">
        <v>7.7670222531444802E-2</v>
      </c>
      <c r="Q16" t="s">
        <v>152</v>
      </c>
      <c r="S16" t="s">
        <v>180</v>
      </c>
      <c r="T16" t="s">
        <v>205</v>
      </c>
      <c r="U16">
        <v>7.1139560782605915E-2</v>
      </c>
      <c r="V16" t="s">
        <v>152</v>
      </c>
      <c r="X16">
        <v>2.9109589041095889E-2</v>
      </c>
      <c r="Y16">
        <v>2.1977475573676755E-2</v>
      </c>
      <c r="Z16" t="s">
        <v>205</v>
      </c>
      <c r="AA16" t="s">
        <v>25</v>
      </c>
      <c r="AC16" t="s">
        <v>22</v>
      </c>
      <c r="AD16" t="s">
        <v>205</v>
      </c>
      <c r="AE16">
        <v>2.9042717777579965E-2</v>
      </c>
      <c r="AG16" t="s">
        <v>96</v>
      </c>
      <c r="AH16" t="s">
        <v>205</v>
      </c>
      <c r="AI16">
        <v>0.16066344285262346</v>
      </c>
    </row>
    <row r="17" spans="9:35" x14ac:dyDescent="0.45">
      <c r="I17" t="s">
        <v>150</v>
      </c>
      <c r="J17" t="s">
        <v>155</v>
      </c>
      <c r="K17">
        <v>2.7412021288315998E-2</v>
      </c>
      <c r="L17" t="s">
        <v>152</v>
      </c>
      <c r="N17" t="s">
        <v>174</v>
      </c>
      <c r="O17" t="s">
        <v>155</v>
      </c>
      <c r="P17">
        <v>0.22700839823879185</v>
      </c>
      <c r="Q17" t="s">
        <v>152</v>
      </c>
      <c r="S17" t="s">
        <v>180</v>
      </c>
      <c r="T17" t="s">
        <v>155</v>
      </c>
      <c r="U17">
        <v>0.22315716104471447</v>
      </c>
      <c r="V17" t="s">
        <v>152</v>
      </c>
      <c r="X17">
        <v>0.28675799086757991</v>
      </c>
      <c r="Y17">
        <v>0.15893991000174029</v>
      </c>
      <c r="Z17" t="s">
        <v>155</v>
      </c>
      <c r="AA17" t="s">
        <v>25</v>
      </c>
      <c r="AC17" t="s">
        <v>22</v>
      </c>
      <c r="AD17" t="s">
        <v>155</v>
      </c>
      <c r="AE17">
        <v>0.21108971140798063</v>
      </c>
      <c r="AG17" t="s">
        <v>96</v>
      </c>
      <c r="AH17" t="s">
        <v>155</v>
      </c>
      <c r="AI17">
        <v>0.27170171385125541</v>
      </c>
    </row>
    <row r="18" spans="9:35" x14ac:dyDescent="0.45">
      <c r="I18" t="s">
        <v>150</v>
      </c>
      <c r="J18" t="s">
        <v>156</v>
      </c>
      <c r="K18">
        <v>5.1266747348514677E-2</v>
      </c>
      <c r="L18" t="s">
        <v>152</v>
      </c>
      <c r="N18" t="s">
        <v>174</v>
      </c>
      <c r="O18" t="s">
        <v>156</v>
      </c>
      <c r="P18">
        <v>2.972932639660561E-2</v>
      </c>
      <c r="Q18" t="s">
        <v>152</v>
      </c>
      <c r="S18" t="s">
        <v>180</v>
      </c>
      <c r="T18" t="s">
        <v>156</v>
      </c>
      <c r="U18">
        <v>2.7623354593054091E-2</v>
      </c>
      <c r="V18" t="s">
        <v>152</v>
      </c>
      <c r="X18">
        <v>3.5844748858447489E-2</v>
      </c>
      <c r="Y18">
        <v>4.5798009430756889E-2</v>
      </c>
      <c r="Z18" t="s">
        <v>156</v>
      </c>
      <c r="AA18" t="s">
        <v>25</v>
      </c>
      <c r="AC18" t="s">
        <v>22</v>
      </c>
      <c r="AD18" t="s">
        <v>156</v>
      </c>
      <c r="AE18">
        <v>3.6328638654533271E-2</v>
      </c>
      <c r="AG18" t="s">
        <v>96</v>
      </c>
      <c r="AH18" t="s">
        <v>156</v>
      </c>
      <c r="AI18">
        <v>0.16290388703147096</v>
      </c>
    </row>
    <row r="19" spans="9:35" x14ac:dyDescent="0.45">
      <c r="I19" t="s">
        <v>150</v>
      </c>
      <c r="J19" t="s">
        <v>157</v>
      </c>
      <c r="K19">
        <v>0.71494404737661243</v>
      </c>
      <c r="L19" t="s">
        <v>152</v>
      </c>
      <c r="N19" t="s">
        <v>174</v>
      </c>
      <c r="O19" t="s">
        <v>157</v>
      </c>
      <c r="P19">
        <v>0.25114549483355464</v>
      </c>
      <c r="Q19" t="s">
        <v>152</v>
      </c>
      <c r="S19" t="s">
        <v>180</v>
      </c>
      <c r="T19" t="s">
        <v>157</v>
      </c>
      <c r="U19">
        <v>0.23071865878793055</v>
      </c>
      <c r="V19" t="s">
        <v>152</v>
      </c>
      <c r="X19">
        <v>0.28675799086757991</v>
      </c>
      <c r="Y19">
        <v>0.39636095434618679</v>
      </c>
      <c r="Z19" t="s">
        <v>157</v>
      </c>
      <c r="AA19" t="s">
        <v>25</v>
      </c>
      <c r="AC19" t="s">
        <v>22</v>
      </c>
      <c r="AD19" t="s">
        <v>157</v>
      </c>
      <c r="AE19">
        <v>0.33605590291424609</v>
      </c>
      <c r="AG19" t="s">
        <v>96</v>
      </c>
      <c r="AH19" t="s">
        <v>157</v>
      </c>
      <c r="AI19">
        <v>0.27003082357760788</v>
      </c>
    </row>
    <row r="20" spans="9:35" x14ac:dyDescent="0.45">
      <c r="I20" t="s">
        <v>150</v>
      </c>
      <c r="J20" t="s">
        <v>206</v>
      </c>
      <c r="K20">
        <v>4.98279182409977E-2</v>
      </c>
      <c r="L20" t="s">
        <v>152</v>
      </c>
      <c r="N20" t="s">
        <v>174</v>
      </c>
      <c r="O20" t="s">
        <v>206</v>
      </c>
      <c r="P20">
        <v>3.1182580780989833E-2</v>
      </c>
      <c r="Q20" t="s">
        <v>152</v>
      </c>
      <c r="S20" t="s">
        <v>180</v>
      </c>
      <c r="T20" t="s">
        <v>206</v>
      </c>
      <c r="U20">
        <v>2.7664705749387918E-2</v>
      </c>
      <c r="V20" t="s">
        <v>152</v>
      </c>
      <c r="X20">
        <v>3.5844748858447489E-2</v>
      </c>
      <c r="Y20">
        <v>6.9737877996834327E-2</v>
      </c>
      <c r="Z20" t="s">
        <v>206</v>
      </c>
      <c r="AA20" t="s">
        <v>25</v>
      </c>
      <c r="AC20" t="s">
        <v>22</v>
      </c>
      <c r="AD20" t="s">
        <v>206</v>
      </c>
      <c r="AE20">
        <v>4.3451889995549643E-2</v>
      </c>
      <c r="AG20" t="s">
        <v>96</v>
      </c>
      <c r="AH20" t="s">
        <v>206</v>
      </c>
      <c r="AI20">
        <v>0.24855204971852118</v>
      </c>
    </row>
    <row r="21" spans="9:35" x14ac:dyDescent="0.45">
      <c r="I21" t="s">
        <v>150</v>
      </c>
      <c r="J21" t="s">
        <v>207</v>
      </c>
      <c r="K21">
        <v>3.0339820464620304E-2</v>
      </c>
      <c r="L21" t="s">
        <v>152</v>
      </c>
      <c r="N21" t="s">
        <v>174</v>
      </c>
      <c r="O21" t="s">
        <v>207</v>
      </c>
      <c r="P21">
        <v>3.0231308824505445E-2</v>
      </c>
      <c r="Q21" t="s">
        <v>152</v>
      </c>
      <c r="S21" t="s">
        <v>180</v>
      </c>
      <c r="T21" t="s">
        <v>207</v>
      </c>
      <c r="U21">
        <v>2.7654619178181319E-2</v>
      </c>
      <c r="V21" t="s">
        <v>152</v>
      </c>
      <c r="X21">
        <v>3.5844748858447489E-2</v>
      </c>
      <c r="Y21">
        <v>5.4124920236349024E-2</v>
      </c>
      <c r="Z21" t="s">
        <v>207</v>
      </c>
      <c r="AA21" t="s">
        <v>25</v>
      </c>
      <c r="AC21" t="s">
        <v>22</v>
      </c>
      <c r="AD21" t="s">
        <v>207</v>
      </c>
      <c r="AE21">
        <v>4.4602789474426321E-2</v>
      </c>
      <c r="AG21" t="s">
        <v>96</v>
      </c>
      <c r="AH21" t="s">
        <v>207</v>
      </c>
      <c r="AI21">
        <v>0.19666380440619791</v>
      </c>
    </row>
    <row r="22" spans="9:35" x14ac:dyDescent="0.45">
      <c r="I22" t="s">
        <v>150</v>
      </c>
      <c r="J22" t="s">
        <v>208</v>
      </c>
      <c r="K22">
        <v>0</v>
      </c>
      <c r="L22" t="s">
        <v>152</v>
      </c>
      <c r="N22" t="s">
        <v>174</v>
      </c>
      <c r="O22" t="s">
        <v>208</v>
      </c>
      <c r="P22">
        <v>0.14566412436378867</v>
      </c>
      <c r="Q22" t="s">
        <v>152</v>
      </c>
      <c r="S22" t="s">
        <v>180</v>
      </c>
      <c r="T22" t="s">
        <v>208</v>
      </c>
      <c r="U22">
        <v>0.13849879507223928</v>
      </c>
      <c r="V22" t="s">
        <v>152</v>
      </c>
      <c r="X22">
        <v>0.17922374429223745</v>
      </c>
      <c r="Y22">
        <v>0.13531230059087257</v>
      </c>
      <c r="Z22" t="s">
        <v>208</v>
      </c>
      <c r="AA22" t="s">
        <v>25</v>
      </c>
      <c r="AC22" t="s">
        <v>22</v>
      </c>
      <c r="AD22" t="s">
        <v>208</v>
      </c>
      <c r="AE22">
        <v>0.20665441155144554</v>
      </c>
      <c r="AG22" t="s">
        <v>96</v>
      </c>
      <c r="AH22" t="s">
        <v>208</v>
      </c>
      <c r="AI22">
        <v>0.25042194404008455</v>
      </c>
    </row>
    <row r="23" spans="9:35" x14ac:dyDescent="0.45">
      <c r="I23" t="s">
        <v>158</v>
      </c>
      <c r="J23" t="s">
        <v>151</v>
      </c>
      <c r="K23">
        <v>2.6105737471608199E-3</v>
      </c>
      <c r="L23" t="s">
        <v>152</v>
      </c>
      <c r="N23" t="s">
        <v>175</v>
      </c>
      <c r="O23" t="s">
        <v>151</v>
      </c>
      <c r="P23">
        <v>6.4764230536754355E-2</v>
      </c>
      <c r="Q23" t="s">
        <v>152</v>
      </c>
      <c r="S23" t="s">
        <v>181</v>
      </c>
      <c r="T23" t="s">
        <v>151</v>
      </c>
      <c r="U23">
        <v>9.4250406429921899E-2</v>
      </c>
      <c r="V23" t="s">
        <v>152</v>
      </c>
      <c r="AC23" t="s">
        <v>19</v>
      </c>
      <c r="AD23" t="s">
        <v>151</v>
      </c>
      <c r="AE23">
        <v>4.5944648055449067E-2</v>
      </c>
    </row>
    <row r="24" spans="9:35" x14ac:dyDescent="0.45">
      <c r="I24" t="s">
        <v>158</v>
      </c>
      <c r="J24" t="s">
        <v>153</v>
      </c>
      <c r="K24">
        <v>6.6122758261874942E-3</v>
      </c>
      <c r="L24" t="s">
        <v>152</v>
      </c>
      <c r="N24" t="s">
        <v>175</v>
      </c>
      <c r="O24" t="s">
        <v>153</v>
      </c>
      <c r="P24">
        <v>7.9313166200002741E-3</v>
      </c>
      <c r="Q24" t="s">
        <v>152</v>
      </c>
      <c r="S24" t="s">
        <v>181</v>
      </c>
      <c r="T24" t="s">
        <v>153</v>
      </c>
      <c r="U24">
        <v>1.258455896892691E-2</v>
      </c>
      <c r="V24" t="s">
        <v>152</v>
      </c>
      <c r="AC24" t="s">
        <v>19</v>
      </c>
      <c r="AD24" t="s">
        <v>153</v>
      </c>
      <c r="AE24">
        <v>5.8323310159760552E-3</v>
      </c>
    </row>
    <row r="25" spans="9:35" x14ac:dyDescent="0.45">
      <c r="I25" t="s">
        <v>158</v>
      </c>
      <c r="J25" t="s">
        <v>154</v>
      </c>
      <c r="K25">
        <v>0.10882601255771197</v>
      </c>
      <c r="L25" t="s">
        <v>152</v>
      </c>
      <c r="N25" t="s">
        <v>175</v>
      </c>
      <c r="O25" t="s">
        <v>154</v>
      </c>
      <c r="P25">
        <v>8.6463711502529308E-2</v>
      </c>
      <c r="Q25" t="s">
        <v>152</v>
      </c>
      <c r="S25" t="s">
        <v>181</v>
      </c>
      <c r="T25" t="s">
        <v>154</v>
      </c>
      <c r="U25">
        <v>0.10506514357189024</v>
      </c>
      <c r="V25" t="s">
        <v>152</v>
      </c>
      <c r="AC25" t="s">
        <v>19</v>
      </c>
      <c r="AD25" t="s">
        <v>154</v>
      </c>
      <c r="AE25">
        <v>4.6773550410566862E-2</v>
      </c>
    </row>
    <row r="26" spans="9:35" x14ac:dyDescent="0.45">
      <c r="I26" t="s">
        <v>158</v>
      </c>
      <c r="J26" t="s">
        <v>203</v>
      </c>
      <c r="K26">
        <v>8.5694512344746503E-3</v>
      </c>
      <c r="L26" t="s">
        <v>152</v>
      </c>
      <c r="N26" t="s">
        <v>175</v>
      </c>
      <c r="O26" t="s">
        <v>203</v>
      </c>
      <c r="P26">
        <v>1.2166434197076028E-2</v>
      </c>
      <c r="Q26" t="s">
        <v>152</v>
      </c>
      <c r="S26" t="s">
        <v>181</v>
      </c>
      <c r="T26" t="s">
        <v>203</v>
      </c>
      <c r="U26">
        <v>1.1054127159801452E-2</v>
      </c>
      <c r="V26" t="s">
        <v>152</v>
      </c>
      <c r="AC26" t="s">
        <v>19</v>
      </c>
      <c r="AD26" t="s">
        <v>203</v>
      </c>
      <c r="AE26">
        <v>5.8599824860685419E-3</v>
      </c>
    </row>
    <row r="27" spans="9:35" x14ac:dyDescent="0.45">
      <c r="I27" t="s">
        <v>158</v>
      </c>
      <c r="J27" t="s">
        <v>204</v>
      </c>
      <c r="K27">
        <v>5.1654834002157627E-3</v>
      </c>
      <c r="L27" t="s">
        <v>152</v>
      </c>
      <c r="N27" t="s">
        <v>175</v>
      </c>
      <c r="O27" t="s">
        <v>204</v>
      </c>
      <c r="P27">
        <v>1.2314803858221698E-2</v>
      </c>
      <c r="Q27" t="s">
        <v>152</v>
      </c>
      <c r="S27" t="s">
        <v>181</v>
      </c>
      <c r="T27" t="s">
        <v>204</v>
      </c>
      <c r="U27">
        <v>1.2408579736756133E-2</v>
      </c>
      <c r="V27" t="s">
        <v>152</v>
      </c>
      <c r="AC27" t="s">
        <v>19</v>
      </c>
      <c r="AD27" t="s">
        <v>204</v>
      </c>
      <c r="AE27">
        <v>5.8853961066427539E-3</v>
      </c>
    </row>
    <row r="28" spans="9:35" x14ac:dyDescent="0.45">
      <c r="I28" t="s">
        <v>158</v>
      </c>
      <c r="J28" t="s">
        <v>205</v>
      </c>
      <c r="K28">
        <v>0</v>
      </c>
      <c r="L28" t="s">
        <v>152</v>
      </c>
      <c r="N28" t="s">
        <v>175</v>
      </c>
      <c r="O28" t="s">
        <v>205</v>
      </c>
      <c r="P28">
        <v>5.9305663906330353E-2</v>
      </c>
      <c r="Q28" t="s">
        <v>152</v>
      </c>
      <c r="S28" t="s">
        <v>181</v>
      </c>
      <c r="T28" t="s">
        <v>205</v>
      </c>
      <c r="U28">
        <v>6.7655488282055934E-2</v>
      </c>
      <c r="V28" t="s">
        <v>152</v>
      </c>
      <c r="AC28" t="s">
        <v>19</v>
      </c>
      <c r="AD28" t="s">
        <v>205</v>
      </c>
      <c r="AE28">
        <v>2.9294910725577782E-2</v>
      </c>
    </row>
    <row r="29" spans="9:35" x14ac:dyDescent="0.45">
      <c r="I29" t="s">
        <v>158</v>
      </c>
      <c r="J29" t="s">
        <v>155</v>
      </c>
      <c r="K29">
        <v>2.6494467636245446E-2</v>
      </c>
      <c r="L29" t="s">
        <v>152</v>
      </c>
      <c r="N29" t="s">
        <v>175</v>
      </c>
      <c r="O29" t="s">
        <v>155</v>
      </c>
      <c r="P29">
        <v>0.23141664871842729</v>
      </c>
      <c r="Q29" t="s">
        <v>152</v>
      </c>
      <c r="S29" t="s">
        <v>181</v>
      </c>
      <c r="T29" t="s">
        <v>155</v>
      </c>
      <c r="U29">
        <v>0.22902789966143433</v>
      </c>
      <c r="V29" t="s">
        <v>152</v>
      </c>
      <c r="AC29" t="s">
        <v>19</v>
      </c>
      <c r="AD29" t="s">
        <v>155</v>
      </c>
      <c r="AE29">
        <v>0.2820465798844623</v>
      </c>
    </row>
    <row r="30" spans="9:35" x14ac:dyDescent="0.45">
      <c r="I30" t="s">
        <v>158</v>
      </c>
      <c r="J30" t="s">
        <v>156</v>
      </c>
      <c r="K30">
        <v>5.0508539274042835E-2</v>
      </c>
      <c r="L30" t="s">
        <v>152</v>
      </c>
      <c r="N30" t="s">
        <v>175</v>
      </c>
      <c r="O30" t="s">
        <v>156</v>
      </c>
      <c r="P30">
        <v>2.7980691529785984E-2</v>
      </c>
      <c r="Q30" t="s">
        <v>152</v>
      </c>
      <c r="S30" t="s">
        <v>181</v>
      </c>
      <c r="T30" t="s">
        <v>156</v>
      </c>
      <c r="U30">
        <v>3.1181907600636487E-2</v>
      </c>
      <c r="V30" t="s">
        <v>152</v>
      </c>
      <c r="AC30" t="s">
        <v>19</v>
      </c>
      <c r="AD30" t="s">
        <v>156</v>
      </c>
      <c r="AE30">
        <v>3.5835098178149991E-2</v>
      </c>
    </row>
    <row r="31" spans="9:35" x14ac:dyDescent="0.45">
      <c r="I31" t="s">
        <v>158</v>
      </c>
      <c r="J31" t="s">
        <v>157</v>
      </c>
      <c r="K31">
        <v>0.7143232361359757</v>
      </c>
      <c r="L31" t="s">
        <v>152</v>
      </c>
      <c r="N31" t="s">
        <v>175</v>
      </c>
      <c r="O31" t="s">
        <v>157</v>
      </c>
      <c r="P31">
        <v>0.27065861945118042</v>
      </c>
      <c r="Q31" t="s">
        <v>152</v>
      </c>
      <c r="S31" t="s">
        <v>181</v>
      </c>
      <c r="T31" t="s">
        <v>157</v>
      </c>
      <c r="U31">
        <v>0.24530298736887854</v>
      </c>
      <c r="V31" t="s">
        <v>152</v>
      </c>
      <c r="AC31" t="s">
        <v>19</v>
      </c>
      <c r="AD31" t="s">
        <v>157</v>
      </c>
      <c r="AE31">
        <v>0.28932748762195182</v>
      </c>
    </row>
    <row r="32" spans="9:35" x14ac:dyDescent="0.45">
      <c r="I32" t="s">
        <v>158</v>
      </c>
      <c r="J32" t="s">
        <v>206</v>
      </c>
      <c r="K32">
        <v>4.7846683231909694E-2</v>
      </c>
      <c r="L32" t="s">
        <v>152</v>
      </c>
      <c r="N32" t="s">
        <v>175</v>
      </c>
      <c r="O32" t="s">
        <v>206</v>
      </c>
      <c r="P32">
        <v>3.355863450111804E-2</v>
      </c>
      <c r="Q32" t="s">
        <v>152</v>
      </c>
      <c r="S32" t="s">
        <v>181</v>
      </c>
      <c r="T32" t="s">
        <v>206</v>
      </c>
      <c r="U32">
        <v>2.5609490729772467E-2</v>
      </c>
      <c r="V32" t="s">
        <v>152</v>
      </c>
      <c r="AC32" t="s">
        <v>19</v>
      </c>
      <c r="AD32" t="s">
        <v>206</v>
      </c>
      <c r="AE32">
        <v>3.625012031477555E-2</v>
      </c>
    </row>
    <row r="33" spans="9:31" x14ac:dyDescent="0.45">
      <c r="I33" t="s">
        <v>158</v>
      </c>
      <c r="J33" t="s">
        <v>207</v>
      </c>
      <c r="K33">
        <v>2.9043276956076704E-2</v>
      </c>
      <c r="L33" t="s">
        <v>152</v>
      </c>
      <c r="N33" t="s">
        <v>175</v>
      </c>
      <c r="O33" t="s">
        <v>207</v>
      </c>
      <c r="P33">
        <v>3.305046389950686E-2</v>
      </c>
      <c r="Q33" t="s">
        <v>152</v>
      </c>
      <c r="S33" t="s">
        <v>181</v>
      </c>
      <c r="T33" t="s">
        <v>207</v>
      </c>
      <c r="U33">
        <v>2.6856963314114645E-2</v>
      </c>
      <c r="V33" t="s">
        <v>152</v>
      </c>
      <c r="AC33" t="s">
        <v>19</v>
      </c>
      <c r="AD33" t="s">
        <v>207</v>
      </c>
      <c r="AE33">
        <v>3.6317175194337963E-2</v>
      </c>
    </row>
    <row r="34" spans="9:31" x14ac:dyDescent="0.45">
      <c r="I34" t="s">
        <v>158</v>
      </c>
      <c r="J34" t="s">
        <v>208</v>
      </c>
      <c r="K34">
        <v>0</v>
      </c>
      <c r="L34" t="s">
        <v>152</v>
      </c>
      <c r="N34" t="s">
        <v>175</v>
      </c>
      <c r="O34" t="s">
        <v>208</v>
      </c>
      <c r="P34">
        <v>0.16038878127907438</v>
      </c>
      <c r="Q34" t="s">
        <v>152</v>
      </c>
      <c r="S34" t="s">
        <v>181</v>
      </c>
      <c r="T34" t="s">
        <v>208</v>
      </c>
      <c r="U34">
        <v>0.13900244717581051</v>
      </c>
      <c r="V34" t="s">
        <v>152</v>
      </c>
      <c r="AC34" t="s">
        <v>19</v>
      </c>
      <c r="AD34" t="s">
        <v>208</v>
      </c>
      <c r="AE34">
        <v>0.1806327200060413</v>
      </c>
    </row>
    <row r="35" spans="9:31" x14ac:dyDescent="0.45">
      <c r="I35" t="s">
        <v>159</v>
      </c>
      <c r="J35" t="s">
        <v>151</v>
      </c>
      <c r="K35">
        <v>3.2663649024960535E-6</v>
      </c>
      <c r="L35" t="s">
        <v>152</v>
      </c>
      <c r="N35" t="s">
        <v>176</v>
      </c>
      <c r="O35" t="s">
        <v>151</v>
      </c>
      <c r="P35">
        <v>4.3364731095291167E-2</v>
      </c>
      <c r="Q35" t="s">
        <v>152</v>
      </c>
      <c r="S35" t="s">
        <v>182</v>
      </c>
      <c r="T35" t="s">
        <v>151</v>
      </c>
      <c r="U35">
        <v>8.4129085344413851E-2</v>
      </c>
      <c r="V35" t="s">
        <v>152</v>
      </c>
    </row>
    <row r="36" spans="9:31" x14ac:dyDescent="0.45">
      <c r="I36" t="s">
        <v>159</v>
      </c>
      <c r="J36" t="s">
        <v>153</v>
      </c>
      <c r="K36">
        <v>5.8962636489932243E-3</v>
      </c>
      <c r="L36" t="s">
        <v>152</v>
      </c>
      <c r="N36" t="s">
        <v>176</v>
      </c>
      <c r="O36" t="s">
        <v>153</v>
      </c>
      <c r="P36">
        <v>4.4196220659466351E-3</v>
      </c>
      <c r="Q36" t="s">
        <v>152</v>
      </c>
      <c r="S36" t="s">
        <v>182</v>
      </c>
      <c r="T36" t="s">
        <v>153</v>
      </c>
      <c r="U36">
        <v>1.1955341356095845E-2</v>
      </c>
      <c r="V36" t="s">
        <v>152</v>
      </c>
    </row>
    <row r="37" spans="9:31" x14ac:dyDescent="0.45">
      <c r="I37" t="s">
        <v>159</v>
      </c>
      <c r="J37" t="s">
        <v>154</v>
      </c>
      <c r="K37">
        <v>0.10442239551334792</v>
      </c>
      <c r="L37" t="s">
        <v>152</v>
      </c>
      <c r="N37" t="s">
        <v>176</v>
      </c>
      <c r="O37" t="s">
        <v>154</v>
      </c>
      <c r="P37">
        <v>7.8716147767910305E-2</v>
      </c>
      <c r="Q37" t="s">
        <v>152</v>
      </c>
      <c r="S37" t="s">
        <v>182</v>
      </c>
      <c r="T37" t="s">
        <v>154</v>
      </c>
      <c r="U37">
        <v>0.10002577346695668</v>
      </c>
      <c r="V37" t="s">
        <v>152</v>
      </c>
    </row>
    <row r="38" spans="9:31" x14ac:dyDescent="0.45">
      <c r="I38" t="s">
        <v>159</v>
      </c>
      <c r="J38" t="s">
        <v>203</v>
      </c>
      <c r="K38">
        <v>8.734362957202365E-3</v>
      </c>
      <c r="L38" t="s">
        <v>152</v>
      </c>
      <c r="N38" t="s">
        <v>176</v>
      </c>
      <c r="O38" t="s">
        <v>203</v>
      </c>
      <c r="P38">
        <v>1.2465779198140313E-2</v>
      </c>
      <c r="Q38" t="s">
        <v>152</v>
      </c>
      <c r="S38" t="s">
        <v>182</v>
      </c>
      <c r="T38" t="s">
        <v>203</v>
      </c>
      <c r="U38">
        <v>1.039010461085612E-2</v>
      </c>
      <c r="V38" t="s">
        <v>152</v>
      </c>
    </row>
    <row r="39" spans="9:31" x14ac:dyDescent="0.45">
      <c r="I39" t="s">
        <v>159</v>
      </c>
      <c r="J39" t="s">
        <v>204</v>
      </c>
      <c r="K39">
        <v>5.2726266901975544E-3</v>
      </c>
      <c r="L39" t="s">
        <v>152</v>
      </c>
      <c r="N39" t="s">
        <v>176</v>
      </c>
      <c r="O39" t="s">
        <v>204</v>
      </c>
      <c r="P39">
        <v>1.013808350731419E-2</v>
      </c>
      <c r="Q39" t="s">
        <v>152</v>
      </c>
      <c r="S39" t="s">
        <v>182</v>
      </c>
      <c r="T39" t="s">
        <v>204</v>
      </c>
      <c r="U39">
        <v>1.1415394432106594E-2</v>
      </c>
      <c r="V39" t="s">
        <v>152</v>
      </c>
    </row>
    <row r="40" spans="9:31" x14ac:dyDescent="0.45">
      <c r="I40" t="s">
        <v>159</v>
      </c>
      <c r="J40" t="s">
        <v>205</v>
      </c>
      <c r="K40">
        <v>0</v>
      </c>
      <c r="L40" t="s">
        <v>152</v>
      </c>
      <c r="N40" t="s">
        <v>176</v>
      </c>
      <c r="O40" t="s">
        <v>205</v>
      </c>
      <c r="P40">
        <v>4.5327640818189997E-2</v>
      </c>
      <c r="Q40" t="s">
        <v>152</v>
      </c>
      <c r="S40" t="s">
        <v>182</v>
      </c>
      <c r="T40" t="s">
        <v>205</v>
      </c>
      <c r="U40">
        <v>6.036560105457147E-2</v>
      </c>
      <c r="V40" t="s">
        <v>152</v>
      </c>
    </row>
    <row r="41" spans="9:31" x14ac:dyDescent="0.45">
      <c r="I41" t="s">
        <v>159</v>
      </c>
      <c r="J41" t="s">
        <v>155</v>
      </c>
      <c r="K41">
        <v>2.6657486538795315E-2</v>
      </c>
      <c r="L41" t="s">
        <v>152</v>
      </c>
      <c r="N41" t="s">
        <v>176</v>
      </c>
      <c r="O41" t="s">
        <v>155</v>
      </c>
      <c r="P41">
        <v>0.22453182622011486</v>
      </c>
      <c r="Q41" t="s">
        <v>152</v>
      </c>
      <c r="S41" t="s">
        <v>182</v>
      </c>
      <c r="T41" t="s">
        <v>155</v>
      </c>
      <c r="U41">
        <v>0.23948496243028264</v>
      </c>
      <c r="V41" t="s">
        <v>152</v>
      </c>
    </row>
    <row r="42" spans="9:31" x14ac:dyDescent="0.45">
      <c r="I42" t="s">
        <v>159</v>
      </c>
      <c r="J42" t="s">
        <v>156</v>
      </c>
      <c r="K42">
        <v>5.0348624962172184E-2</v>
      </c>
      <c r="L42" t="s">
        <v>152</v>
      </c>
      <c r="N42" t="s">
        <v>176</v>
      </c>
      <c r="O42" t="s">
        <v>156</v>
      </c>
      <c r="P42">
        <v>2.4649936485331616E-2</v>
      </c>
      <c r="Q42" t="s">
        <v>152</v>
      </c>
      <c r="S42" t="s">
        <v>182</v>
      </c>
      <c r="T42" t="s">
        <v>156</v>
      </c>
      <c r="U42">
        <v>3.2092409008874022E-2</v>
      </c>
      <c r="V42" t="s">
        <v>152</v>
      </c>
    </row>
    <row r="43" spans="9:31" x14ac:dyDescent="0.45">
      <c r="I43" t="s">
        <v>159</v>
      </c>
      <c r="J43" t="s">
        <v>157</v>
      </c>
      <c r="K43">
        <v>0.71697172757436323</v>
      </c>
      <c r="L43" t="s">
        <v>152</v>
      </c>
      <c r="N43" t="s">
        <v>176</v>
      </c>
      <c r="O43" t="s">
        <v>157</v>
      </c>
      <c r="P43">
        <v>0.30900828820506449</v>
      </c>
      <c r="Q43" t="s">
        <v>152</v>
      </c>
      <c r="S43" t="s">
        <v>182</v>
      </c>
      <c r="T43" t="s">
        <v>157</v>
      </c>
      <c r="U43">
        <v>0.25444208869899615</v>
      </c>
      <c r="V43" t="s">
        <v>152</v>
      </c>
    </row>
    <row r="44" spans="9:31" x14ac:dyDescent="0.45">
      <c r="I44" t="s">
        <v>159</v>
      </c>
      <c r="J44" t="s">
        <v>206</v>
      </c>
      <c r="K44">
        <v>5.1197139848281302E-2</v>
      </c>
      <c r="L44" t="s">
        <v>152</v>
      </c>
      <c r="N44" t="s">
        <v>176</v>
      </c>
      <c r="O44" t="s">
        <v>206</v>
      </c>
      <c r="P44">
        <v>4.0920827605118747E-2</v>
      </c>
      <c r="Q44" t="s">
        <v>152</v>
      </c>
      <c r="S44" t="s">
        <v>182</v>
      </c>
      <c r="T44" t="s">
        <v>206</v>
      </c>
      <c r="U44">
        <v>2.6620020728711447E-2</v>
      </c>
      <c r="V44" t="s">
        <v>152</v>
      </c>
    </row>
    <row r="45" spans="9:31" x14ac:dyDescent="0.45">
      <c r="I45" t="s">
        <v>159</v>
      </c>
      <c r="J45" t="s">
        <v>207</v>
      </c>
      <c r="K45">
        <v>3.049610590174142E-2</v>
      </c>
      <c r="L45" t="s">
        <v>152</v>
      </c>
      <c r="N45" t="s">
        <v>176</v>
      </c>
      <c r="O45" t="s">
        <v>207</v>
      </c>
      <c r="P45">
        <v>3.8928906144928013E-2</v>
      </c>
      <c r="Q45" t="s">
        <v>152</v>
      </c>
      <c r="S45" t="s">
        <v>182</v>
      </c>
      <c r="T45" t="s">
        <v>207</v>
      </c>
      <c r="U45">
        <v>2.7632453775148242E-2</v>
      </c>
      <c r="V45" t="s">
        <v>152</v>
      </c>
    </row>
    <row r="46" spans="9:31" x14ac:dyDescent="0.45">
      <c r="I46" t="s">
        <v>159</v>
      </c>
      <c r="J46" t="s">
        <v>208</v>
      </c>
      <c r="K46">
        <v>0</v>
      </c>
      <c r="L46" t="s">
        <v>152</v>
      </c>
      <c r="N46" t="s">
        <v>176</v>
      </c>
      <c r="O46" t="s">
        <v>208</v>
      </c>
      <c r="P46">
        <v>0.16752821088664796</v>
      </c>
      <c r="Q46" t="s">
        <v>152</v>
      </c>
      <c r="S46" t="s">
        <v>182</v>
      </c>
      <c r="T46" t="s">
        <v>208</v>
      </c>
      <c r="U46">
        <v>0.14144676509298448</v>
      </c>
      <c r="V46" t="s">
        <v>152</v>
      </c>
    </row>
    <row r="47" spans="9:31" x14ac:dyDescent="0.45">
      <c r="I47" t="s">
        <v>160</v>
      </c>
      <c r="J47" t="s">
        <v>151</v>
      </c>
      <c r="K47">
        <v>1.1898017255940938E-4</v>
      </c>
      <c r="L47" t="s">
        <v>152</v>
      </c>
      <c r="N47" t="s">
        <v>177</v>
      </c>
      <c r="O47" t="s">
        <v>151</v>
      </c>
      <c r="P47">
        <v>5.7527676571919338E-2</v>
      </c>
      <c r="Q47" t="s">
        <v>152</v>
      </c>
      <c r="S47" t="s">
        <v>183</v>
      </c>
      <c r="T47" t="s">
        <v>151</v>
      </c>
      <c r="U47">
        <v>7.0048559857240913E-2</v>
      </c>
      <c r="V47" t="s">
        <v>152</v>
      </c>
    </row>
    <row r="48" spans="9:31" x14ac:dyDescent="0.45">
      <c r="I48" t="s">
        <v>160</v>
      </c>
      <c r="J48" t="s">
        <v>153</v>
      </c>
      <c r="K48">
        <v>5.494622273445075E-3</v>
      </c>
      <c r="L48" t="s">
        <v>152</v>
      </c>
      <c r="N48" t="s">
        <v>177</v>
      </c>
      <c r="O48" t="s">
        <v>153</v>
      </c>
      <c r="P48">
        <v>6.4079977823589479E-3</v>
      </c>
      <c r="Q48" t="s">
        <v>152</v>
      </c>
      <c r="S48" t="s">
        <v>183</v>
      </c>
      <c r="T48" t="s">
        <v>153</v>
      </c>
      <c r="U48">
        <v>9.0816594358831566E-3</v>
      </c>
      <c r="V48" t="s">
        <v>152</v>
      </c>
    </row>
    <row r="49" spans="9:22" x14ac:dyDescent="0.45">
      <c r="I49" t="s">
        <v>160</v>
      </c>
      <c r="J49" t="s">
        <v>154</v>
      </c>
      <c r="K49">
        <v>0.11233984725614372</v>
      </c>
      <c r="L49" t="s">
        <v>152</v>
      </c>
      <c r="N49" t="s">
        <v>177</v>
      </c>
      <c r="O49" t="s">
        <v>154</v>
      </c>
      <c r="P49">
        <v>6.5322360164217844E-2</v>
      </c>
      <c r="Q49" t="s">
        <v>152</v>
      </c>
      <c r="S49" t="s">
        <v>183</v>
      </c>
      <c r="T49" t="s">
        <v>154</v>
      </c>
      <c r="U49">
        <v>7.6459827901536465E-2</v>
      </c>
      <c r="V49" t="s">
        <v>152</v>
      </c>
    </row>
    <row r="50" spans="9:22" x14ac:dyDescent="0.45">
      <c r="I50" t="s">
        <v>160</v>
      </c>
      <c r="J50" t="s">
        <v>203</v>
      </c>
      <c r="K50">
        <v>8.5904874762845283E-3</v>
      </c>
      <c r="L50" t="s">
        <v>152</v>
      </c>
      <c r="N50" t="s">
        <v>177</v>
      </c>
      <c r="O50" t="s">
        <v>203</v>
      </c>
      <c r="P50">
        <v>9.9768172780975144E-3</v>
      </c>
      <c r="Q50" t="s">
        <v>152</v>
      </c>
      <c r="S50" t="s">
        <v>183</v>
      </c>
      <c r="T50" t="s">
        <v>203</v>
      </c>
      <c r="U50">
        <v>9.4391218419462835E-3</v>
      </c>
      <c r="V50" t="s">
        <v>152</v>
      </c>
    </row>
    <row r="51" spans="9:22" x14ac:dyDescent="0.45">
      <c r="I51" t="s">
        <v>160</v>
      </c>
      <c r="J51" t="s">
        <v>204</v>
      </c>
      <c r="K51">
        <v>5.0881388842531376E-3</v>
      </c>
      <c r="L51" t="s">
        <v>152</v>
      </c>
      <c r="N51" t="s">
        <v>177</v>
      </c>
      <c r="O51" t="s">
        <v>204</v>
      </c>
      <c r="P51">
        <v>8.1417137749026629E-3</v>
      </c>
      <c r="Q51" t="s">
        <v>152</v>
      </c>
      <c r="S51" t="s">
        <v>183</v>
      </c>
      <c r="T51" t="s">
        <v>204</v>
      </c>
      <c r="U51">
        <v>1.026054319229305E-2</v>
      </c>
      <c r="V51" t="s">
        <v>152</v>
      </c>
    </row>
    <row r="52" spans="9:22" x14ac:dyDescent="0.45">
      <c r="I52" t="s">
        <v>160</v>
      </c>
      <c r="J52" t="s">
        <v>205</v>
      </c>
      <c r="K52">
        <v>0</v>
      </c>
      <c r="L52" t="s">
        <v>152</v>
      </c>
      <c r="N52" t="s">
        <v>177</v>
      </c>
      <c r="O52" t="s">
        <v>205</v>
      </c>
      <c r="P52">
        <v>4.4303178845568565E-2</v>
      </c>
      <c r="Q52" t="s">
        <v>152</v>
      </c>
      <c r="S52" t="s">
        <v>183</v>
      </c>
      <c r="T52" t="s">
        <v>205</v>
      </c>
      <c r="U52">
        <v>5.4688209958017875E-2</v>
      </c>
      <c r="V52" t="s">
        <v>152</v>
      </c>
    </row>
    <row r="53" spans="9:22" x14ac:dyDescent="0.45">
      <c r="I53" t="s">
        <v>160</v>
      </c>
      <c r="J53" t="s">
        <v>155</v>
      </c>
      <c r="K53">
        <v>1.8992326428216889E-2</v>
      </c>
      <c r="L53" t="s">
        <v>152</v>
      </c>
      <c r="N53" t="s">
        <v>177</v>
      </c>
      <c r="O53" t="s">
        <v>155</v>
      </c>
      <c r="P53">
        <v>0.25526619727569294</v>
      </c>
      <c r="Q53" t="s">
        <v>152</v>
      </c>
      <c r="S53" t="s">
        <v>183</v>
      </c>
      <c r="T53" t="s">
        <v>155</v>
      </c>
      <c r="U53">
        <v>0.25494411549859441</v>
      </c>
      <c r="V53" t="s">
        <v>152</v>
      </c>
    </row>
    <row r="54" spans="9:22" x14ac:dyDescent="0.45">
      <c r="I54" t="s">
        <v>160</v>
      </c>
      <c r="J54" t="s">
        <v>156</v>
      </c>
      <c r="K54">
        <v>4.1031917221825441E-2</v>
      </c>
      <c r="L54" t="s">
        <v>152</v>
      </c>
      <c r="N54" t="s">
        <v>177</v>
      </c>
      <c r="O54" t="s">
        <v>156</v>
      </c>
      <c r="P54">
        <v>2.9079210253447799E-2</v>
      </c>
      <c r="Q54" t="s">
        <v>152</v>
      </c>
      <c r="S54" t="s">
        <v>183</v>
      </c>
      <c r="T54" t="s">
        <v>156</v>
      </c>
      <c r="U54">
        <v>3.237935095029925E-2</v>
      </c>
      <c r="V54" t="s">
        <v>152</v>
      </c>
    </row>
    <row r="55" spans="9:22" x14ac:dyDescent="0.45">
      <c r="I55" t="s">
        <v>160</v>
      </c>
      <c r="J55" t="s">
        <v>157</v>
      </c>
      <c r="K55">
        <v>0.74068076865419585</v>
      </c>
      <c r="L55" t="s">
        <v>152</v>
      </c>
      <c r="N55" t="s">
        <v>177</v>
      </c>
      <c r="O55" t="s">
        <v>157</v>
      </c>
      <c r="P55">
        <v>0.27102478510401612</v>
      </c>
      <c r="Q55" t="s">
        <v>152</v>
      </c>
      <c r="S55" t="s">
        <v>183</v>
      </c>
      <c r="T55" t="s">
        <v>157</v>
      </c>
      <c r="U55">
        <v>0.2598829485085275</v>
      </c>
      <c r="V55" t="s">
        <v>152</v>
      </c>
    </row>
    <row r="56" spans="9:22" x14ac:dyDescent="0.45">
      <c r="I56" t="s">
        <v>160</v>
      </c>
      <c r="J56" t="s">
        <v>206</v>
      </c>
      <c r="K56">
        <v>4.3558180910665642E-2</v>
      </c>
      <c r="L56" t="s">
        <v>152</v>
      </c>
      <c r="N56" t="s">
        <v>177</v>
      </c>
      <c r="O56" t="s">
        <v>206</v>
      </c>
      <c r="P56">
        <v>3.8826072214813843E-2</v>
      </c>
      <c r="Q56" t="s">
        <v>152</v>
      </c>
      <c r="S56" t="s">
        <v>183</v>
      </c>
      <c r="T56" t="s">
        <v>206</v>
      </c>
      <c r="U56">
        <v>3.1899775259897241E-2</v>
      </c>
      <c r="V56" t="s">
        <v>152</v>
      </c>
    </row>
    <row r="57" spans="9:22" x14ac:dyDescent="0.45">
      <c r="I57" t="s">
        <v>160</v>
      </c>
      <c r="J57" t="s">
        <v>207</v>
      </c>
      <c r="K57">
        <v>2.4104730722409762E-2</v>
      </c>
      <c r="L57" t="s">
        <v>152</v>
      </c>
      <c r="N57" t="s">
        <v>177</v>
      </c>
      <c r="O57" t="s">
        <v>207</v>
      </c>
      <c r="P57">
        <v>3.6121596754123936E-2</v>
      </c>
      <c r="Q57" t="s">
        <v>152</v>
      </c>
      <c r="S57" t="s">
        <v>183</v>
      </c>
      <c r="T57" t="s">
        <v>207</v>
      </c>
      <c r="U57">
        <v>3.1378095786009849E-2</v>
      </c>
      <c r="V57" t="s">
        <v>152</v>
      </c>
    </row>
    <row r="58" spans="9:22" x14ac:dyDescent="0.45">
      <c r="I58" t="s">
        <v>160</v>
      </c>
      <c r="J58" t="s">
        <v>208</v>
      </c>
      <c r="K58">
        <v>0</v>
      </c>
      <c r="L58" t="s">
        <v>152</v>
      </c>
      <c r="N58" t="s">
        <v>177</v>
      </c>
      <c r="O58" t="s">
        <v>208</v>
      </c>
      <c r="P58">
        <v>0.17800239398083834</v>
      </c>
      <c r="Q58" t="s">
        <v>152</v>
      </c>
      <c r="S58" t="s">
        <v>183</v>
      </c>
      <c r="T58" t="s">
        <v>208</v>
      </c>
      <c r="U58">
        <v>0.15953779180975006</v>
      </c>
      <c r="V58" t="s">
        <v>152</v>
      </c>
    </row>
    <row r="59" spans="9:22" x14ac:dyDescent="0.45">
      <c r="I59" t="s">
        <v>161</v>
      </c>
      <c r="J59" t="s">
        <v>151</v>
      </c>
      <c r="K59">
        <v>1.1360037127075476E-4</v>
      </c>
      <c r="L59" t="s">
        <v>152</v>
      </c>
      <c r="N59" t="s">
        <v>178</v>
      </c>
      <c r="O59" t="s">
        <v>151</v>
      </c>
      <c r="P59">
        <v>6.3119014304873211E-2</v>
      </c>
      <c r="Q59" t="s">
        <v>152</v>
      </c>
      <c r="S59" t="s">
        <v>184</v>
      </c>
      <c r="T59" t="s">
        <v>151</v>
      </c>
      <c r="U59">
        <v>5.5754290616669658E-2</v>
      </c>
      <c r="V59" t="s">
        <v>152</v>
      </c>
    </row>
    <row r="60" spans="9:22" x14ac:dyDescent="0.45">
      <c r="I60" t="s">
        <v>161</v>
      </c>
      <c r="J60" t="s">
        <v>153</v>
      </c>
      <c r="K60">
        <v>4.5560923564468853E-3</v>
      </c>
      <c r="L60" t="s">
        <v>152</v>
      </c>
      <c r="N60" t="s">
        <v>178</v>
      </c>
      <c r="O60" t="s">
        <v>153</v>
      </c>
      <c r="P60">
        <v>6.5293583706603998E-3</v>
      </c>
      <c r="Q60" t="s">
        <v>152</v>
      </c>
      <c r="S60" t="s">
        <v>184</v>
      </c>
      <c r="T60" t="s">
        <v>153</v>
      </c>
      <c r="U60">
        <v>6.7562498067678554E-3</v>
      </c>
      <c r="V60" t="s">
        <v>152</v>
      </c>
    </row>
    <row r="61" spans="9:22" x14ac:dyDescent="0.45">
      <c r="I61" t="s">
        <v>161</v>
      </c>
      <c r="J61" t="s">
        <v>154</v>
      </c>
      <c r="K61">
        <v>0.10044579258506744</v>
      </c>
      <c r="L61" t="s">
        <v>152</v>
      </c>
      <c r="N61" t="s">
        <v>178</v>
      </c>
      <c r="O61" t="s">
        <v>154</v>
      </c>
      <c r="P61">
        <v>7.4286094528643112E-2</v>
      </c>
      <c r="Q61" t="s">
        <v>152</v>
      </c>
      <c r="S61" t="s">
        <v>184</v>
      </c>
      <c r="T61" t="s">
        <v>154</v>
      </c>
      <c r="U61">
        <v>5.9167493072689051E-2</v>
      </c>
      <c r="V61" t="s">
        <v>152</v>
      </c>
    </row>
    <row r="62" spans="9:22" x14ac:dyDescent="0.45">
      <c r="I62" t="s">
        <v>161</v>
      </c>
      <c r="J62" t="s">
        <v>203</v>
      </c>
      <c r="K62">
        <v>7.9593157046278576E-3</v>
      </c>
      <c r="L62" t="s">
        <v>152</v>
      </c>
      <c r="N62" t="s">
        <v>178</v>
      </c>
      <c r="O62" t="s">
        <v>203</v>
      </c>
      <c r="P62">
        <v>1.1755969883317768E-2</v>
      </c>
      <c r="Q62" t="s">
        <v>152</v>
      </c>
      <c r="S62" t="s">
        <v>184</v>
      </c>
      <c r="T62" t="s">
        <v>203</v>
      </c>
      <c r="U62">
        <v>8.7021471437944229E-3</v>
      </c>
      <c r="V62" t="s">
        <v>152</v>
      </c>
    </row>
    <row r="63" spans="9:22" x14ac:dyDescent="0.45">
      <c r="I63" t="s">
        <v>161</v>
      </c>
      <c r="J63" t="s">
        <v>204</v>
      </c>
      <c r="K63">
        <v>4.7252526398624808E-3</v>
      </c>
      <c r="L63" t="s">
        <v>152</v>
      </c>
      <c r="N63" t="s">
        <v>178</v>
      </c>
      <c r="O63" t="s">
        <v>204</v>
      </c>
      <c r="P63">
        <v>9.1042549366198294E-3</v>
      </c>
      <c r="Q63" t="s">
        <v>152</v>
      </c>
      <c r="S63" t="s">
        <v>184</v>
      </c>
      <c r="T63" t="s">
        <v>204</v>
      </c>
      <c r="U63">
        <v>7.2012972530994647E-3</v>
      </c>
      <c r="V63" t="s">
        <v>152</v>
      </c>
    </row>
    <row r="64" spans="9:22" x14ac:dyDescent="0.45">
      <c r="I64" t="s">
        <v>161</v>
      </c>
      <c r="J64" t="s">
        <v>205</v>
      </c>
      <c r="K64">
        <v>0</v>
      </c>
      <c r="L64" t="s">
        <v>152</v>
      </c>
      <c r="N64" t="s">
        <v>178</v>
      </c>
      <c r="O64" t="s">
        <v>205</v>
      </c>
      <c r="P64">
        <v>5.0673658517892149E-2</v>
      </c>
      <c r="Q64" t="s">
        <v>152</v>
      </c>
      <c r="S64" t="s">
        <v>184</v>
      </c>
      <c r="T64" t="s">
        <v>205</v>
      </c>
      <c r="U64">
        <v>4.175299306799763E-2</v>
      </c>
      <c r="V64" t="s">
        <v>152</v>
      </c>
    </row>
    <row r="65" spans="9:22" x14ac:dyDescent="0.45">
      <c r="I65" t="s">
        <v>161</v>
      </c>
      <c r="J65" t="s">
        <v>155</v>
      </c>
      <c r="K65">
        <v>2.3517104822630756E-2</v>
      </c>
      <c r="L65" t="s">
        <v>152</v>
      </c>
      <c r="N65" t="s">
        <v>178</v>
      </c>
      <c r="O65" t="s">
        <v>155</v>
      </c>
      <c r="P65">
        <v>0.23708208187781024</v>
      </c>
      <c r="Q65" t="s">
        <v>152</v>
      </c>
      <c r="S65" t="s">
        <v>184</v>
      </c>
      <c r="T65" t="s">
        <v>155</v>
      </c>
      <c r="U65">
        <v>0.27119453237698227</v>
      </c>
      <c r="V65" t="s">
        <v>152</v>
      </c>
    </row>
    <row r="66" spans="9:22" x14ac:dyDescent="0.45">
      <c r="I66" t="s">
        <v>161</v>
      </c>
      <c r="J66" t="s">
        <v>156</v>
      </c>
      <c r="K66">
        <v>4.8210193106412273E-2</v>
      </c>
      <c r="L66" t="s">
        <v>152</v>
      </c>
      <c r="N66" t="s">
        <v>178</v>
      </c>
      <c r="O66" t="s">
        <v>156</v>
      </c>
      <c r="P66">
        <v>2.3401329120072357E-2</v>
      </c>
      <c r="Q66" t="s">
        <v>152</v>
      </c>
      <c r="S66" t="s">
        <v>184</v>
      </c>
      <c r="T66" t="s">
        <v>156</v>
      </c>
      <c r="U66">
        <v>3.357354855437622E-2</v>
      </c>
      <c r="V66" t="s">
        <v>152</v>
      </c>
    </row>
    <row r="67" spans="9:22" x14ac:dyDescent="0.45">
      <c r="I67" t="s">
        <v>161</v>
      </c>
      <c r="J67" t="s">
        <v>157</v>
      </c>
      <c r="K67">
        <v>0.74506967448207495</v>
      </c>
      <c r="L67" t="s">
        <v>152</v>
      </c>
      <c r="N67" t="s">
        <v>178</v>
      </c>
      <c r="O67" t="s">
        <v>157</v>
      </c>
      <c r="P67">
        <v>0.25360109227474203</v>
      </c>
      <c r="Q67" t="s">
        <v>152</v>
      </c>
      <c r="S67" t="s">
        <v>184</v>
      </c>
      <c r="T67" t="s">
        <v>157</v>
      </c>
      <c r="U67">
        <v>0.27864774282573235</v>
      </c>
      <c r="V67" t="s">
        <v>152</v>
      </c>
    </row>
    <row r="68" spans="9:22" x14ac:dyDescent="0.45">
      <c r="I68" t="s">
        <v>161</v>
      </c>
      <c r="J68" t="s">
        <v>206</v>
      </c>
      <c r="K68">
        <v>4.201058050676993E-2</v>
      </c>
      <c r="L68" t="s">
        <v>152</v>
      </c>
      <c r="N68" t="s">
        <v>178</v>
      </c>
      <c r="O68" t="s">
        <v>206</v>
      </c>
      <c r="P68">
        <v>4.1082040579085967E-2</v>
      </c>
      <c r="Q68" t="s">
        <v>152</v>
      </c>
      <c r="S68" t="s">
        <v>184</v>
      </c>
      <c r="T68" t="s">
        <v>206</v>
      </c>
      <c r="U68">
        <v>3.5761029335980077E-2</v>
      </c>
      <c r="V68" t="s">
        <v>152</v>
      </c>
    </row>
    <row r="69" spans="9:22" x14ac:dyDescent="0.45">
      <c r="I69" t="s">
        <v>161</v>
      </c>
      <c r="J69" t="s">
        <v>207</v>
      </c>
      <c r="K69">
        <v>2.3392393424836056E-2</v>
      </c>
      <c r="L69" t="s">
        <v>152</v>
      </c>
      <c r="N69" t="s">
        <v>178</v>
      </c>
      <c r="O69" t="s">
        <v>207</v>
      </c>
      <c r="P69">
        <v>3.8875816052818139E-2</v>
      </c>
      <c r="Q69" t="s">
        <v>152</v>
      </c>
      <c r="S69" t="s">
        <v>184</v>
      </c>
      <c r="T69" t="s">
        <v>207</v>
      </c>
      <c r="U69">
        <v>3.296933621865162E-2</v>
      </c>
      <c r="V69" t="s">
        <v>152</v>
      </c>
    </row>
    <row r="70" spans="9:22" x14ac:dyDescent="0.45">
      <c r="I70" t="s">
        <v>161</v>
      </c>
      <c r="J70" t="s">
        <v>208</v>
      </c>
      <c r="K70">
        <v>0</v>
      </c>
      <c r="L70" t="s">
        <v>152</v>
      </c>
      <c r="N70" t="s">
        <v>178</v>
      </c>
      <c r="O70" t="s">
        <v>208</v>
      </c>
      <c r="P70">
        <v>0.19048928955346328</v>
      </c>
      <c r="Q70" t="s">
        <v>152</v>
      </c>
      <c r="S70" t="s">
        <v>184</v>
      </c>
      <c r="T70" t="s">
        <v>208</v>
      </c>
      <c r="U70">
        <v>0.16851933972725994</v>
      </c>
      <c r="V70" t="s">
        <v>152</v>
      </c>
    </row>
    <row r="71" spans="9:22" x14ac:dyDescent="0.45">
      <c r="I71" t="s">
        <v>162</v>
      </c>
      <c r="J71" t="s">
        <v>151</v>
      </c>
      <c r="K71">
        <v>4.1996016938872062E-3</v>
      </c>
      <c r="L71" t="s">
        <v>152</v>
      </c>
      <c r="N71" t="s">
        <v>179</v>
      </c>
      <c r="O71" t="s">
        <v>151</v>
      </c>
      <c r="P71">
        <v>7.8909058087419437E-2</v>
      </c>
      <c r="Q71" t="s">
        <v>152</v>
      </c>
      <c r="S71" t="s">
        <v>185</v>
      </c>
      <c r="T71" t="s">
        <v>151</v>
      </c>
      <c r="U71">
        <v>5.9697971023805085E-2</v>
      </c>
      <c r="V71" t="s">
        <v>152</v>
      </c>
    </row>
    <row r="72" spans="9:22" x14ac:dyDescent="0.45">
      <c r="I72" t="s">
        <v>162</v>
      </c>
      <c r="J72" t="s">
        <v>153</v>
      </c>
      <c r="K72">
        <v>8.480922767144879E-3</v>
      </c>
      <c r="L72" t="s">
        <v>152</v>
      </c>
      <c r="N72" t="s">
        <v>179</v>
      </c>
      <c r="O72" t="s">
        <v>153</v>
      </c>
      <c r="P72">
        <v>8.5224223852315359E-3</v>
      </c>
      <c r="Q72" t="s">
        <v>152</v>
      </c>
      <c r="S72" t="s">
        <v>185</v>
      </c>
      <c r="T72" t="s">
        <v>153</v>
      </c>
      <c r="U72">
        <v>7.9818593177901683E-3</v>
      </c>
      <c r="V72" t="s">
        <v>152</v>
      </c>
    </row>
    <row r="73" spans="9:22" x14ac:dyDescent="0.45">
      <c r="I73" t="s">
        <v>162</v>
      </c>
      <c r="J73" t="s">
        <v>154</v>
      </c>
      <c r="K73">
        <v>0.11275087119665289</v>
      </c>
      <c r="L73" t="s">
        <v>152</v>
      </c>
      <c r="N73" t="s">
        <v>179</v>
      </c>
      <c r="O73" t="s">
        <v>154</v>
      </c>
      <c r="P73">
        <v>8.4635463589157148E-2</v>
      </c>
      <c r="Q73" t="s">
        <v>152</v>
      </c>
      <c r="S73" t="s">
        <v>185</v>
      </c>
      <c r="T73" t="s">
        <v>154</v>
      </c>
      <c r="U73">
        <v>6.7228088809862724E-2</v>
      </c>
      <c r="V73" t="s">
        <v>152</v>
      </c>
    </row>
    <row r="74" spans="9:22" x14ac:dyDescent="0.45">
      <c r="I74" t="s">
        <v>162</v>
      </c>
      <c r="J74" t="s">
        <v>203</v>
      </c>
      <c r="K74">
        <v>5.3187778866288452E-3</v>
      </c>
      <c r="L74" t="s">
        <v>152</v>
      </c>
      <c r="N74" t="s">
        <v>179</v>
      </c>
      <c r="O74" t="s">
        <v>203</v>
      </c>
      <c r="P74">
        <v>1.3287991068160329E-2</v>
      </c>
      <c r="Q74" t="s">
        <v>152</v>
      </c>
      <c r="S74" t="s">
        <v>185</v>
      </c>
      <c r="T74" t="s">
        <v>203</v>
      </c>
      <c r="U74">
        <v>7.7669738974458311E-3</v>
      </c>
      <c r="V74" t="s">
        <v>152</v>
      </c>
    </row>
    <row r="75" spans="9:22" x14ac:dyDescent="0.45">
      <c r="I75" t="s">
        <v>162</v>
      </c>
      <c r="J75" t="s">
        <v>204</v>
      </c>
      <c r="K75">
        <v>2.4603981080922629E-3</v>
      </c>
      <c r="L75" t="s">
        <v>152</v>
      </c>
      <c r="N75" t="s">
        <v>179</v>
      </c>
      <c r="O75" t="s">
        <v>204</v>
      </c>
      <c r="P75">
        <v>1.1009324042796047E-2</v>
      </c>
      <c r="Q75" t="s">
        <v>152</v>
      </c>
      <c r="S75" t="s">
        <v>185</v>
      </c>
      <c r="T75" t="s">
        <v>204</v>
      </c>
      <c r="U75">
        <v>8.5843315026478545E-3</v>
      </c>
      <c r="V75" t="s">
        <v>152</v>
      </c>
    </row>
    <row r="76" spans="9:22" x14ac:dyDescent="0.45">
      <c r="I76" t="s">
        <v>162</v>
      </c>
      <c r="J76" t="s">
        <v>205</v>
      </c>
      <c r="K76">
        <v>0</v>
      </c>
      <c r="L76" t="s">
        <v>152</v>
      </c>
      <c r="N76" t="s">
        <v>179</v>
      </c>
      <c r="O76" t="s">
        <v>205</v>
      </c>
      <c r="P76">
        <v>6.2702793106683599E-2</v>
      </c>
      <c r="Q76" t="s">
        <v>152</v>
      </c>
      <c r="S76" t="s">
        <v>185</v>
      </c>
      <c r="T76" t="s">
        <v>205</v>
      </c>
      <c r="U76">
        <v>4.6517239352810297E-2</v>
      </c>
      <c r="V76" t="s">
        <v>152</v>
      </c>
    </row>
    <row r="77" spans="9:22" x14ac:dyDescent="0.45">
      <c r="I77" t="s">
        <v>162</v>
      </c>
      <c r="J77" t="s">
        <v>155</v>
      </c>
      <c r="K77">
        <v>4.3483183667157345E-2</v>
      </c>
      <c r="L77" t="s">
        <v>152</v>
      </c>
      <c r="N77" t="s">
        <v>179</v>
      </c>
      <c r="O77" t="s">
        <v>155</v>
      </c>
      <c r="P77">
        <v>0.24185263894345321</v>
      </c>
      <c r="Q77" t="s">
        <v>152</v>
      </c>
      <c r="S77" t="s">
        <v>185</v>
      </c>
      <c r="T77" t="s">
        <v>155</v>
      </c>
      <c r="U77">
        <v>0.26459208776203302</v>
      </c>
      <c r="V77" t="s">
        <v>152</v>
      </c>
    </row>
    <row r="78" spans="9:22" x14ac:dyDescent="0.45">
      <c r="I78" t="s">
        <v>162</v>
      </c>
      <c r="J78" t="s">
        <v>156</v>
      </c>
      <c r="K78">
        <v>6.0584658094186596E-2</v>
      </c>
      <c r="L78" t="s">
        <v>152</v>
      </c>
      <c r="N78" t="s">
        <v>179</v>
      </c>
      <c r="O78" t="s">
        <v>156</v>
      </c>
      <c r="P78">
        <v>2.4537313148812048E-2</v>
      </c>
      <c r="Q78" t="s">
        <v>152</v>
      </c>
      <c r="S78" t="s">
        <v>185</v>
      </c>
      <c r="T78" t="s">
        <v>156</v>
      </c>
      <c r="U78">
        <v>3.3802055879572128E-2</v>
      </c>
      <c r="V78" t="s">
        <v>152</v>
      </c>
    </row>
    <row r="79" spans="9:22" x14ac:dyDescent="0.45">
      <c r="I79" t="s">
        <v>162</v>
      </c>
      <c r="J79" t="s">
        <v>157</v>
      </c>
      <c r="K79">
        <v>0.72488830708479179</v>
      </c>
      <c r="L79" t="s">
        <v>152</v>
      </c>
      <c r="N79" t="s">
        <v>179</v>
      </c>
      <c r="O79" t="s">
        <v>157</v>
      </c>
      <c r="P79">
        <v>0.20952382021696531</v>
      </c>
      <c r="Q79" t="s">
        <v>152</v>
      </c>
      <c r="S79" t="s">
        <v>185</v>
      </c>
      <c r="T79" t="s">
        <v>157</v>
      </c>
      <c r="U79">
        <v>0.27398285734775035</v>
      </c>
      <c r="V79" t="s">
        <v>152</v>
      </c>
    </row>
    <row r="80" spans="9:22" x14ac:dyDescent="0.45">
      <c r="I80" t="s">
        <v>162</v>
      </c>
      <c r="J80" t="s">
        <v>206</v>
      </c>
      <c r="K80">
        <v>2.9724569220192742E-2</v>
      </c>
      <c r="L80" t="s">
        <v>152</v>
      </c>
      <c r="N80" t="s">
        <v>179</v>
      </c>
      <c r="O80" t="s">
        <v>206</v>
      </c>
      <c r="P80">
        <v>3.6199083878466584E-2</v>
      </c>
      <c r="Q80" t="s">
        <v>152</v>
      </c>
      <c r="S80" t="s">
        <v>185</v>
      </c>
      <c r="T80" t="s">
        <v>206</v>
      </c>
      <c r="U80">
        <v>3.2547559014249536E-2</v>
      </c>
      <c r="V80" t="s">
        <v>152</v>
      </c>
    </row>
    <row r="81" spans="9:22" x14ac:dyDescent="0.45">
      <c r="I81" t="s">
        <v>162</v>
      </c>
      <c r="J81" t="s">
        <v>207</v>
      </c>
      <c r="K81">
        <v>8.1087102812675976E-3</v>
      </c>
      <c r="L81" t="s">
        <v>152</v>
      </c>
      <c r="N81" t="s">
        <v>179</v>
      </c>
      <c r="O81" t="s">
        <v>207</v>
      </c>
      <c r="P81">
        <v>3.5517371599009827E-2</v>
      </c>
      <c r="Q81" t="s">
        <v>152</v>
      </c>
      <c r="S81" t="s">
        <v>185</v>
      </c>
      <c r="T81" t="s">
        <v>207</v>
      </c>
      <c r="U81">
        <v>3.2353018945845406E-2</v>
      </c>
      <c r="V81" t="s">
        <v>152</v>
      </c>
    </row>
    <row r="82" spans="9:22" x14ac:dyDescent="0.45">
      <c r="I82" t="s">
        <v>162</v>
      </c>
      <c r="J82" t="s">
        <v>208</v>
      </c>
      <c r="K82">
        <v>0</v>
      </c>
      <c r="L82" t="s">
        <v>152</v>
      </c>
      <c r="N82" t="s">
        <v>179</v>
      </c>
      <c r="O82" t="s">
        <v>208</v>
      </c>
      <c r="P82">
        <v>0.19330271993384782</v>
      </c>
      <c r="Q82" t="s">
        <v>152</v>
      </c>
      <c r="S82" t="s">
        <v>185</v>
      </c>
      <c r="T82" t="s">
        <v>208</v>
      </c>
      <c r="U82">
        <v>0.16494595714618981</v>
      </c>
      <c r="V82" t="s">
        <v>152</v>
      </c>
    </row>
    <row r="83" spans="9:22" x14ac:dyDescent="0.45">
      <c r="I83" t="s">
        <v>163</v>
      </c>
      <c r="J83" t="s">
        <v>151</v>
      </c>
      <c r="K83">
        <v>3.7241575716921013E-3</v>
      </c>
      <c r="L83" t="s">
        <v>152</v>
      </c>
      <c r="S83" t="s">
        <v>186</v>
      </c>
      <c r="T83" t="s">
        <v>151</v>
      </c>
      <c r="U83">
        <v>9.5287912252028581E-2</v>
      </c>
      <c r="V83" t="s">
        <v>152</v>
      </c>
    </row>
    <row r="84" spans="9:22" x14ac:dyDescent="0.45">
      <c r="I84" t="s">
        <v>163</v>
      </c>
      <c r="J84" t="s">
        <v>153</v>
      </c>
      <c r="K84">
        <v>7.7241468801417289E-3</v>
      </c>
      <c r="L84" t="s">
        <v>152</v>
      </c>
      <c r="S84" t="s">
        <v>186</v>
      </c>
      <c r="T84" t="s">
        <v>153</v>
      </c>
      <c r="U84">
        <v>1.2338448986777998E-2</v>
      </c>
      <c r="V84" t="s">
        <v>152</v>
      </c>
    </row>
    <row r="85" spans="9:22" x14ac:dyDescent="0.45">
      <c r="I85" t="s">
        <v>163</v>
      </c>
      <c r="J85" t="s">
        <v>154</v>
      </c>
      <c r="K85">
        <v>0.10716048507269214</v>
      </c>
      <c r="L85" t="s">
        <v>152</v>
      </c>
      <c r="S85" t="s">
        <v>186</v>
      </c>
      <c r="T85" t="s">
        <v>154</v>
      </c>
      <c r="U85">
        <v>9.1900799559583468E-2</v>
      </c>
      <c r="V85" t="s">
        <v>152</v>
      </c>
    </row>
    <row r="86" spans="9:22" x14ac:dyDescent="0.45">
      <c r="I86" t="s">
        <v>163</v>
      </c>
      <c r="J86" t="s">
        <v>203</v>
      </c>
      <c r="K86">
        <v>6.2733439348584075E-3</v>
      </c>
      <c r="L86" t="s">
        <v>152</v>
      </c>
      <c r="S86" t="s">
        <v>186</v>
      </c>
      <c r="T86" t="s">
        <v>203</v>
      </c>
      <c r="U86">
        <v>1.0861972988912826E-2</v>
      </c>
      <c r="V86" t="s">
        <v>152</v>
      </c>
    </row>
    <row r="87" spans="9:22" x14ac:dyDescent="0.45">
      <c r="I87" t="s">
        <v>163</v>
      </c>
      <c r="J87" t="s">
        <v>204</v>
      </c>
      <c r="K87">
        <v>2.8383798404137545E-3</v>
      </c>
      <c r="L87" t="s">
        <v>152</v>
      </c>
      <c r="S87" t="s">
        <v>186</v>
      </c>
      <c r="T87" t="s">
        <v>204</v>
      </c>
      <c r="U87">
        <v>1.1726611453057919E-2</v>
      </c>
      <c r="V87" t="s">
        <v>152</v>
      </c>
    </row>
    <row r="88" spans="9:22" x14ac:dyDescent="0.45">
      <c r="I88" t="s">
        <v>163</v>
      </c>
      <c r="J88" t="s">
        <v>205</v>
      </c>
      <c r="K88">
        <v>0</v>
      </c>
      <c r="L88" t="s">
        <v>152</v>
      </c>
      <c r="S88" t="s">
        <v>186</v>
      </c>
      <c r="T88" t="s">
        <v>205</v>
      </c>
      <c r="U88">
        <v>6.2854630647500881E-2</v>
      </c>
      <c r="V88" t="s">
        <v>152</v>
      </c>
    </row>
    <row r="89" spans="9:22" x14ac:dyDescent="0.45">
      <c r="I89" t="s">
        <v>163</v>
      </c>
      <c r="J89" t="s">
        <v>155</v>
      </c>
      <c r="K89">
        <v>3.2296585909948258E-2</v>
      </c>
      <c r="L89" t="s">
        <v>152</v>
      </c>
      <c r="S89" t="s">
        <v>186</v>
      </c>
      <c r="T89" t="s">
        <v>155</v>
      </c>
      <c r="U89">
        <v>0.24062128626106841</v>
      </c>
      <c r="V89" t="s">
        <v>152</v>
      </c>
    </row>
    <row r="90" spans="9:22" x14ac:dyDescent="0.45">
      <c r="I90" t="s">
        <v>163</v>
      </c>
      <c r="J90" t="s">
        <v>156</v>
      </c>
      <c r="K90">
        <v>5.8874301466554833E-2</v>
      </c>
      <c r="L90" t="s">
        <v>152</v>
      </c>
      <c r="S90" t="s">
        <v>186</v>
      </c>
      <c r="T90" t="s">
        <v>156</v>
      </c>
      <c r="U90">
        <v>3.1839629808346773E-2</v>
      </c>
      <c r="V90" t="s">
        <v>152</v>
      </c>
    </row>
    <row r="91" spans="9:22" x14ac:dyDescent="0.45">
      <c r="I91" t="s">
        <v>163</v>
      </c>
      <c r="J91" t="s">
        <v>157</v>
      </c>
      <c r="K91">
        <v>0.73026303754702726</v>
      </c>
      <c r="L91" t="s">
        <v>152</v>
      </c>
      <c r="S91" t="s">
        <v>186</v>
      </c>
      <c r="T91" t="s">
        <v>157</v>
      </c>
      <c r="U91">
        <v>0.24302678053029939</v>
      </c>
      <c r="V91" t="s">
        <v>152</v>
      </c>
    </row>
    <row r="92" spans="9:22" x14ac:dyDescent="0.45">
      <c r="I92" t="s">
        <v>163</v>
      </c>
      <c r="J92" t="s">
        <v>206</v>
      </c>
      <c r="K92">
        <v>3.4089480287949052E-2</v>
      </c>
      <c r="L92" t="s">
        <v>152</v>
      </c>
      <c r="S92" t="s">
        <v>186</v>
      </c>
      <c r="T92" t="s">
        <v>206</v>
      </c>
      <c r="U92">
        <v>2.7729357394142062E-2</v>
      </c>
      <c r="V92" t="s">
        <v>152</v>
      </c>
    </row>
    <row r="93" spans="9:22" x14ac:dyDescent="0.45">
      <c r="I93" t="s">
        <v>163</v>
      </c>
      <c r="J93" t="s">
        <v>207</v>
      </c>
      <c r="K93">
        <v>1.6756081488721847E-2</v>
      </c>
      <c r="L93" t="s">
        <v>152</v>
      </c>
      <c r="S93" t="s">
        <v>186</v>
      </c>
      <c r="T93" t="s">
        <v>207</v>
      </c>
      <c r="U93">
        <v>2.8283152611238455E-2</v>
      </c>
      <c r="V93" t="s">
        <v>152</v>
      </c>
    </row>
    <row r="94" spans="9:22" x14ac:dyDescent="0.45">
      <c r="I94" t="s">
        <v>163</v>
      </c>
      <c r="J94" t="s">
        <v>208</v>
      </c>
      <c r="K94">
        <v>0</v>
      </c>
      <c r="L94" t="s">
        <v>152</v>
      </c>
      <c r="S94" t="s">
        <v>186</v>
      </c>
      <c r="T94" t="s">
        <v>208</v>
      </c>
      <c r="U94">
        <v>0.14352941750704332</v>
      </c>
      <c r="V94" t="s">
        <v>152</v>
      </c>
    </row>
    <row r="95" spans="9:22" x14ac:dyDescent="0.45">
      <c r="I95" t="s">
        <v>164</v>
      </c>
      <c r="J95" t="s">
        <v>151</v>
      </c>
      <c r="K95">
        <v>4.038509137104334E-3</v>
      </c>
      <c r="L95" t="s">
        <v>152</v>
      </c>
      <c r="S95" t="s">
        <v>187</v>
      </c>
      <c r="T95" t="s">
        <v>151</v>
      </c>
      <c r="U95">
        <v>8.467794879715583E-2</v>
      </c>
      <c r="V95" t="s">
        <v>152</v>
      </c>
    </row>
    <row r="96" spans="9:22" x14ac:dyDescent="0.45">
      <c r="I96" t="s">
        <v>164</v>
      </c>
      <c r="J96" t="s">
        <v>153</v>
      </c>
      <c r="K96">
        <v>8.6400651544978786E-3</v>
      </c>
      <c r="L96" t="s">
        <v>152</v>
      </c>
      <c r="S96" t="s">
        <v>187</v>
      </c>
      <c r="T96" t="s">
        <v>153</v>
      </c>
      <c r="U96">
        <v>1.0838442600272682E-2</v>
      </c>
      <c r="V96" t="s">
        <v>152</v>
      </c>
    </row>
    <row r="97" spans="9:22" x14ac:dyDescent="0.45">
      <c r="I97" t="s">
        <v>164</v>
      </c>
      <c r="J97" t="s">
        <v>154</v>
      </c>
      <c r="K97">
        <v>0.1099404630028951</v>
      </c>
      <c r="L97" t="s">
        <v>152</v>
      </c>
      <c r="S97" t="s">
        <v>187</v>
      </c>
      <c r="T97" t="s">
        <v>154</v>
      </c>
      <c r="U97">
        <v>8.1565900195890828E-2</v>
      </c>
      <c r="V97" t="s">
        <v>152</v>
      </c>
    </row>
    <row r="98" spans="9:22" x14ac:dyDescent="0.45">
      <c r="I98" t="s">
        <v>164</v>
      </c>
      <c r="J98" t="s">
        <v>203</v>
      </c>
      <c r="K98">
        <v>5.2167225535420057E-3</v>
      </c>
      <c r="L98" t="s">
        <v>152</v>
      </c>
      <c r="S98" t="s">
        <v>187</v>
      </c>
      <c r="T98" t="s">
        <v>203</v>
      </c>
      <c r="U98">
        <v>8.5728188722727691E-3</v>
      </c>
      <c r="V98" t="s">
        <v>152</v>
      </c>
    </row>
    <row r="99" spans="9:22" x14ac:dyDescent="0.45">
      <c r="I99" t="s">
        <v>164</v>
      </c>
      <c r="J99" t="s">
        <v>204</v>
      </c>
      <c r="K99">
        <v>2.6563069168033036E-3</v>
      </c>
      <c r="L99" t="s">
        <v>152</v>
      </c>
      <c r="S99" t="s">
        <v>187</v>
      </c>
      <c r="T99" t="s">
        <v>204</v>
      </c>
      <c r="U99">
        <v>9.4252941745179494E-3</v>
      </c>
      <c r="V99" t="s">
        <v>152</v>
      </c>
    </row>
    <row r="100" spans="9:22" x14ac:dyDescent="0.45">
      <c r="I100" t="s">
        <v>164</v>
      </c>
      <c r="J100" t="s">
        <v>205</v>
      </c>
      <c r="K100">
        <v>0</v>
      </c>
      <c r="L100" t="s">
        <v>152</v>
      </c>
      <c r="S100" t="s">
        <v>187</v>
      </c>
      <c r="T100" t="s">
        <v>205</v>
      </c>
      <c r="U100">
        <v>5.4164219115885759E-2</v>
      </c>
      <c r="V100" t="s">
        <v>152</v>
      </c>
    </row>
    <row r="101" spans="9:22" x14ac:dyDescent="0.45">
      <c r="I101" t="s">
        <v>164</v>
      </c>
      <c r="J101" t="s">
        <v>155</v>
      </c>
      <c r="K101">
        <v>3.5086323305244457E-2</v>
      </c>
      <c r="L101" t="s">
        <v>152</v>
      </c>
      <c r="S101" t="s">
        <v>187</v>
      </c>
      <c r="T101" t="s">
        <v>155</v>
      </c>
      <c r="U101">
        <v>0.25191411182980644</v>
      </c>
      <c r="V101" t="s">
        <v>152</v>
      </c>
    </row>
    <row r="102" spans="9:22" x14ac:dyDescent="0.45">
      <c r="I102" t="s">
        <v>164</v>
      </c>
      <c r="J102" t="s">
        <v>156</v>
      </c>
      <c r="K102">
        <v>5.5810902451230437E-2</v>
      </c>
      <c r="L102" t="s">
        <v>152</v>
      </c>
      <c r="S102" t="s">
        <v>187</v>
      </c>
      <c r="T102" t="s">
        <v>156</v>
      </c>
      <c r="U102">
        <v>3.2453621317031035E-2</v>
      </c>
      <c r="V102" t="s">
        <v>152</v>
      </c>
    </row>
    <row r="103" spans="9:22" x14ac:dyDescent="0.45">
      <c r="I103" t="s">
        <v>164</v>
      </c>
      <c r="J103" t="s">
        <v>157</v>
      </c>
      <c r="K103">
        <v>0.72813731615724375</v>
      </c>
      <c r="L103" t="s">
        <v>152</v>
      </c>
      <c r="S103" t="s">
        <v>187</v>
      </c>
      <c r="T103" t="s">
        <v>157</v>
      </c>
      <c r="U103">
        <v>0.25578368200686941</v>
      </c>
      <c r="V103" t="s">
        <v>152</v>
      </c>
    </row>
    <row r="104" spans="9:22" x14ac:dyDescent="0.45">
      <c r="I104" t="s">
        <v>164</v>
      </c>
      <c r="J104" t="s">
        <v>206</v>
      </c>
      <c r="K104">
        <v>3.5938190696013866E-2</v>
      </c>
      <c r="L104" t="s">
        <v>152</v>
      </c>
      <c r="S104" t="s">
        <v>187</v>
      </c>
      <c r="T104" t="s">
        <v>206</v>
      </c>
      <c r="U104">
        <v>2.9135250009519765E-2</v>
      </c>
      <c r="V104" t="s">
        <v>152</v>
      </c>
    </row>
    <row r="105" spans="9:22" x14ac:dyDescent="0.45">
      <c r="I105" t="s">
        <v>164</v>
      </c>
      <c r="J105" t="s">
        <v>207</v>
      </c>
      <c r="K105">
        <v>1.4535200625421097E-2</v>
      </c>
      <c r="L105" t="s">
        <v>152</v>
      </c>
      <c r="S105" t="s">
        <v>187</v>
      </c>
      <c r="T105" t="s">
        <v>207</v>
      </c>
      <c r="U105">
        <v>2.9308470256655693E-2</v>
      </c>
      <c r="V105" t="s">
        <v>152</v>
      </c>
    </row>
    <row r="106" spans="9:22" x14ac:dyDescent="0.45">
      <c r="I106" t="s">
        <v>164</v>
      </c>
      <c r="J106" t="s">
        <v>208</v>
      </c>
      <c r="K106">
        <v>0</v>
      </c>
      <c r="L106" t="s">
        <v>152</v>
      </c>
      <c r="S106" t="s">
        <v>187</v>
      </c>
      <c r="T106" t="s">
        <v>208</v>
      </c>
      <c r="U106">
        <v>0.15216024082412061</v>
      </c>
      <c r="V106" t="s">
        <v>152</v>
      </c>
    </row>
    <row r="107" spans="9:22" x14ac:dyDescent="0.45">
      <c r="I107" t="s">
        <v>165</v>
      </c>
      <c r="J107" t="s">
        <v>151</v>
      </c>
      <c r="K107">
        <v>3.7855537617834767E-3</v>
      </c>
      <c r="L107" t="s">
        <v>152</v>
      </c>
      <c r="S107" t="s">
        <v>188</v>
      </c>
      <c r="T107" t="s">
        <v>151</v>
      </c>
      <c r="U107">
        <v>8.0629628914060905E-2</v>
      </c>
      <c r="V107" t="s">
        <v>152</v>
      </c>
    </row>
    <row r="108" spans="9:22" x14ac:dyDescent="0.45">
      <c r="I108" t="s">
        <v>165</v>
      </c>
      <c r="J108" t="s">
        <v>153</v>
      </c>
      <c r="K108">
        <v>8.6894535559264643E-3</v>
      </c>
      <c r="L108" t="s">
        <v>152</v>
      </c>
      <c r="S108" t="s">
        <v>188</v>
      </c>
      <c r="T108" t="s">
        <v>153</v>
      </c>
      <c r="U108">
        <v>1.0171572184906797E-2</v>
      </c>
      <c r="V108" t="s">
        <v>152</v>
      </c>
    </row>
    <row r="109" spans="9:22" x14ac:dyDescent="0.45">
      <c r="I109" t="s">
        <v>165</v>
      </c>
      <c r="J109" t="s">
        <v>154</v>
      </c>
      <c r="K109">
        <v>0.11166972607625537</v>
      </c>
      <c r="L109" t="s">
        <v>152</v>
      </c>
      <c r="S109" t="s">
        <v>188</v>
      </c>
      <c r="T109" t="s">
        <v>154</v>
      </c>
      <c r="U109">
        <v>7.7606275176688055E-2</v>
      </c>
      <c r="V109" t="s">
        <v>152</v>
      </c>
    </row>
    <row r="110" spans="9:22" x14ac:dyDescent="0.45">
      <c r="I110" t="s">
        <v>165</v>
      </c>
      <c r="J110" t="s">
        <v>203</v>
      </c>
      <c r="K110">
        <v>4.7073337068401118E-3</v>
      </c>
      <c r="L110" t="s">
        <v>152</v>
      </c>
      <c r="S110" t="s">
        <v>188</v>
      </c>
      <c r="T110" t="s">
        <v>203</v>
      </c>
      <c r="U110">
        <v>8.1040557990907317E-3</v>
      </c>
      <c r="V110" t="s">
        <v>152</v>
      </c>
    </row>
    <row r="111" spans="9:22" x14ac:dyDescent="0.45">
      <c r="I111" t="s">
        <v>165</v>
      </c>
      <c r="J111" t="s">
        <v>204</v>
      </c>
      <c r="K111">
        <v>2.1965319142438241E-3</v>
      </c>
      <c r="L111" t="s">
        <v>152</v>
      </c>
      <c r="S111" t="s">
        <v>188</v>
      </c>
      <c r="T111" t="s">
        <v>204</v>
      </c>
      <c r="U111">
        <v>8.9360888003990127E-3</v>
      </c>
      <c r="V111" t="s">
        <v>152</v>
      </c>
    </row>
    <row r="112" spans="9:22" x14ac:dyDescent="0.45">
      <c r="I112" t="s">
        <v>165</v>
      </c>
      <c r="J112" t="s">
        <v>205</v>
      </c>
      <c r="K112">
        <v>0</v>
      </c>
      <c r="L112" t="s">
        <v>152</v>
      </c>
      <c r="S112" t="s">
        <v>188</v>
      </c>
      <c r="T112" t="s">
        <v>205</v>
      </c>
      <c r="U112">
        <v>5.2644042099262246E-2</v>
      </c>
      <c r="V112" t="s">
        <v>152</v>
      </c>
    </row>
    <row r="113" spans="9:22" x14ac:dyDescent="0.45">
      <c r="I113" t="s">
        <v>165</v>
      </c>
      <c r="J113" t="s">
        <v>155</v>
      </c>
      <c r="K113">
        <v>4.0926483245594239E-2</v>
      </c>
      <c r="L113" t="s">
        <v>152</v>
      </c>
      <c r="S113" t="s">
        <v>188</v>
      </c>
      <c r="T113" t="s">
        <v>155</v>
      </c>
      <c r="U113">
        <v>0.25553926381635006</v>
      </c>
      <c r="V113" t="s">
        <v>152</v>
      </c>
    </row>
    <row r="114" spans="9:22" x14ac:dyDescent="0.45">
      <c r="I114" t="s">
        <v>165</v>
      </c>
      <c r="J114" t="s">
        <v>156</v>
      </c>
      <c r="K114">
        <v>6.201847959896218E-2</v>
      </c>
      <c r="L114" t="s">
        <v>152</v>
      </c>
      <c r="S114" t="s">
        <v>188</v>
      </c>
      <c r="T114" t="s">
        <v>156</v>
      </c>
      <c r="U114">
        <v>3.3286195268040407E-2</v>
      </c>
      <c r="V114" t="s">
        <v>152</v>
      </c>
    </row>
    <row r="115" spans="9:22" x14ac:dyDescent="0.45">
      <c r="I115" t="s">
        <v>165</v>
      </c>
      <c r="J115" t="s">
        <v>157</v>
      </c>
      <c r="K115">
        <v>0.72554268467409122</v>
      </c>
      <c r="L115" t="s">
        <v>152</v>
      </c>
      <c r="S115" t="s">
        <v>188</v>
      </c>
      <c r="T115" t="s">
        <v>157</v>
      </c>
      <c r="U115">
        <v>0.26190312308182662</v>
      </c>
      <c r="V115" t="s">
        <v>152</v>
      </c>
    </row>
    <row r="116" spans="9:22" x14ac:dyDescent="0.45">
      <c r="I116" t="s">
        <v>165</v>
      </c>
      <c r="J116" t="s">
        <v>206</v>
      </c>
      <c r="K116">
        <v>3.0547216339088735E-2</v>
      </c>
      <c r="L116" t="s">
        <v>152</v>
      </c>
      <c r="S116" t="s">
        <v>188</v>
      </c>
      <c r="T116" t="s">
        <v>206</v>
      </c>
      <c r="U116">
        <v>2.9266788126291153E-2</v>
      </c>
      <c r="V116" t="s">
        <v>152</v>
      </c>
    </row>
    <row r="117" spans="9:22" x14ac:dyDescent="0.45">
      <c r="I117" t="s">
        <v>165</v>
      </c>
      <c r="J117" t="s">
        <v>207</v>
      </c>
      <c r="K117">
        <v>9.9165371272182754E-3</v>
      </c>
      <c r="L117" t="s">
        <v>152</v>
      </c>
      <c r="S117" t="s">
        <v>188</v>
      </c>
      <c r="T117" t="s">
        <v>207</v>
      </c>
      <c r="U117">
        <v>2.9555328198178934E-2</v>
      </c>
      <c r="V117" t="s">
        <v>152</v>
      </c>
    </row>
    <row r="118" spans="9:22" x14ac:dyDescent="0.45">
      <c r="I118" t="s">
        <v>165</v>
      </c>
      <c r="J118" t="s">
        <v>208</v>
      </c>
      <c r="K118">
        <v>0</v>
      </c>
      <c r="L118" t="s">
        <v>152</v>
      </c>
      <c r="S118" t="s">
        <v>188</v>
      </c>
      <c r="T118" t="s">
        <v>208</v>
      </c>
      <c r="U118">
        <v>0.15235763853490336</v>
      </c>
      <c r="V118" t="s">
        <v>152</v>
      </c>
    </row>
    <row r="119" spans="9:22" x14ac:dyDescent="0.45">
      <c r="I119" t="s">
        <v>166</v>
      </c>
      <c r="J119" t="s">
        <v>151</v>
      </c>
      <c r="K119">
        <v>3.620989899015411E-3</v>
      </c>
      <c r="L119" t="s">
        <v>152</v>
      </c>
      <c r="S119" t="s">
        <v>189</v>
      </c>
      <c r="T119" t="s">
        <v>151</v>
      </c>
      <c r="U119">
        <v>8.2405864427907843E-2</v>
      </c>
      <c r="V119" t="s">
        <v>152</v>
      </c>
    </row>
    <row r="120" spans="9:22" x14ac:dyDescent="0.45">
      <c r="I120" t="s">
        <v>166</v>
      </c>
      <c r="J120" t="s">
        <v>153</v>
      </c>
      <c r="K120">
        <v>8.4868033715687647E-3</v>
      </c>
      <c r="L120" t="s">
        <v>152</v>
      </c>
      <c r="S120" t="s">
        <v>189</v>
      </c>
      <c r="T120" t="s">
        <v>153</v>
      </c>
      <c r="U120">
        <v>1.0732231556800365E-2</v>
      </c>
      <c r="V120" t="s">
        <v>152</v>
      </c>
    </row>
    <row r="121" spans="9:22" x14ac:dyDescent="0.45">
      <c r="I121" t="s">
        <v>166</v>
      </c>
      <c r="J121" t="s">
        <v>154</v>
      </c>
      <c r="K121">
        <v>0.11121617370707773</v>
      </c>
      <c r="L121" t="s">
        <v>152</v>
      </c>
      <c r="S121" t="s">
        <v>189</v>
      </c>
      <c r="T121" t="s">
        <v>154</v>
      </c>
      <c r="U121">
        <v>8.138650210020755E-2</v>
      </c>
      <c r="V121" t="s">
        <v>152</v>
      </c>
    </row>
    <row r="122" spans="9:22" x14ac:dyDescent="0.45">
      <c r="I122" t="s">
        <v>166</v>
      </c>
      <c r="J122" t="s">
        <v>203</v>
      </c>
      <c r="K122">
        <v>5.7615485311266089E-3</v>
      </c>
      <c r="L122" t="s">
        <v>152</v>
      </c>
      <c r="S122" t="s">
        <v>189</v>
      </c>
      <c r="T122" t="s">
        <v>203</v>
      </c>
      <c r="U122">
        <v>8.8024782214063055E-3</v>
      </c>
      <c r="V122" t="s">
        <v>152</v>
      </c>
    </row>
    <row r="123" spans="9:22" x14ac:dyDescent="0.45">
      <c r="I123" t="s">
        <v>166</v>
      </c>
      <c r="J123" t="s">
        <v>204</v>
      </c>
      <c r="K123">
        <v>2.5490599691559614E-3</v>
      </c>
      <c r="L123" t="s">
        <v>152</v>
      </c>
      <c r="S123" t="s">
        <v>189</v>
      </c>
      <c r="T123" t="s">
        <v>204</v>
      </c>
      <c r="U123">
        <v>9.5825229768880405E-3</v>
      </c>
      <c r="V123" t="s">
        <v>152</v>
      </c>
    </row>
    <row r="124" spans="9:22" x14ac:dyDescent="0.45">
      <c r="I124" t="s">
        <v>166</v>
      </c>
      <c r="J124" t="s">
        <v>205</v>
      </c>
      <c r="K124">
        <v>0</v>
      </c>
      <c r="L124" t="s">
        <v>152</v>
      </c>
      <c r="S124" t="s">
        <v>189</v>
      </c>
      <c r="T124" t="s">
        <v>205</v>
      </c>
      <c r="U124">
        <v>5.5058609990711944E-2</v>
      </c>
      <c r="V124" t="s">
        <v>152</v>
      </c>
    </row>
    <row r="125" spans="9:22" x14ac:dyDescent="0.45">
      <c r="I125" t="s">
        <v>166</v>
      </c>
      <c r="J125" t="s">
        <v>155</v>
      </c>
      <c r="K125">
        <v>3.5439051421141878E-2</v>
      </c>
      <c r="L125" t="s">
        <v>152</v>
      </c>
      <c r="S125" t="s">
        <v>189</v>
      </c>
      <c r="T125" t="s">
        <v>155</v>
      </c>
      <c r="U125">
        <v>0.25172198586457273</v>
      </c>
      <c r="V125" t="s">
        <v>152</v>
      </c>
    </row>
    <row r="126" spans="9:22" x14ac:dyDescent="0.45">
      <c r="I126" t="s">
        <v>166</v>
      </c>
      <c r="J126" t="s">
        <v>156</v>
      </c>
      <c r="K126">
        <v>5.8705269754552487E-2</v>
      </c>
      <c r="L126" t="s">
        <v>152</v>
      </c>
      <c r="S126" t="s">
        <v>189</v>
      </c>
      <c r="T126" t="s">
        <v>156</v>
      </c>
      <c r="U126">
        <v>3.2761310537097438E-2</v>
      </c>
      <c r="V126" t="s">
        <v>152</v>
      </c>
    </row>
    <row r="127" spans="9:22" x14ac:dyDescent="0.45">
      <c r="I127" t="s">
        <v>166</v>
      </c>
      <c r="J127" t="s">
        <v>157</v>
      </c>
      <c r="K127">
        <v>0.72712522837593951</v>
      </c>
      <c r="L127" t="s">
        <v>152</v>
      </c>
      <c r="S127" t="s">
        <v>189</v>
      </c>
      <c r="T127" t="s">
        <v>157</v>
      </c>
      <c r="U127">
        <v>0.25951044498077386</v>
      </c>
      <c r="V127" t="s">
        <v>152</v>
      </c>
    </row>
    <row r="128" spans="9:22" x14ac:dyDescent="0.45">
      <c r="I128" t="s">
        <v>166</v>
      </c>
      <c r="J128" t="s">
        <v>206</v>
      </c>
      <c r="K128">
        <v>3.3716564553437571E-2</v>
      </c>
      <c r="L128" t="s">
        <v>152</v>
      </c>
      <c r="S128" t="s">
        <v>189</v>
      </c>
      <c r="T128" t="s">
        <v>206</v>
      </c>
      <c r="U128">
        <v>2.8923640690684354E-2</v>
      </c>
      <c r="V128" t="s">
        <v>152</v>
      </c>
    </row>
    <row r="129" spans="9:22" x14ac:dyDescent="0.45">
      <c r="I129" t="s">
        <v>166</v>
      </c>
      <c r="J129" t="s">
        <v>207</v>
      </c>
      <c r="K129">
        <v>1.3379310416984914E-2</v>
      </c>
      <c r="L129" t="s">
        <v>152</v>
      </c>
      <c r="S129" t="s">
        <v>189</v>
      </c>
      <c r="T129" t="s">
        <v>207</v>
      </c>
      <c r="U129">
        <v>2.9208312856243035E-2</v>
      </c>
      <c r="V129" t="s">
        <v>152</v>
      </c>
    </row>
    <row r="130" spans="9:22" x14ac:dyDescent="0.45">
      <c r="I130" t="s">
        <v>166</v>
      </c>
      <c r="J130" t="s">
        <v>208</v>
      </c>
      <c r="K130">
        <v>0</v>
      </c>
      <c r="L130" t="s">
        <v>152</v>
      </c>
      <c r="S130" t="s">
        <v>189</v>
      </c>
      <c r="T130" t="s">
        <v>208</v>
      </c>
      <c r="U130">
        <v>0.14990609579670636</v>
      </c>
      <c r="V130" t="s">
        <v>152</v>
      </c>
    </row>
    <row r="131" spans="9:22" x14ac:dyDescent="0.45">
      <c r="I131" t="s">
        <v>167</v>
      </c>
      <c r="J131" t="s">
        <v>151</v>
      </c>
      <c r="K131">
        <v>6.6526404675532379E-3</v>
      </c>
      <c r="L131" t="s">
        <v>152</v>
      </c>
    </row>
    <row r="132" spans="9:22" x14ac:dyDescent="0.45">
      <c r="I132" t="s">
        <v>167</v>
      </c>
      <c r="J132" t="s">
        <v>153</v>
      </c>
      <c r="K132">
        <v>1.0969740908431651E-2</v>
      </c>
      <c r="L132" t="s">
        <v>152</v>
      </c>
    </row>
    <row r="133" spans="9:22" x14ac:dyDescent="0.45">
      <c r="I133" t="s">
        <v>167</v>
      </c>
      <c r="J133" t="s">
        <v>154</v>
      </c>
      <c r="K133">
        <v>0.11386877494656747</v>
      </c>
      <c r="L133" t="s">
        <v>152</v>
      </c>
    </row>
    <row r="134" spans="9:22" x14ac:dyDescent="0.45">
      <c r="I134" t="s">
        <v>167</v>
      </c>
      <c r="J134" t="s">
        <v>203</v>
      </c>
      <c r="K134">
        <v>5.0942012742850075E-3</v>
      </c>
      <c r="L134" t="s">
        <v>152</v>
      </c>
    </row>
    <row r="135" spans="9:22" x14ac:dyDescent="0.45">
      <c r="I135" t="s">
        <v>167</v>
      </c>
      <c r="J135" t="s">
        <v>204</v>
      </c>
      <c r="K135">
        <v>0</v>
      </c>
      <c r="L135" t="s">
        <v>152</v>
      </c>
    </row>
    <row r="136" spans="9:22" x14ac:dyDescent="0.45">
      <c r="I136" t="s">
        <v>167</v>
      </c>
      <c r="J136" t="s">
        <v>205</v>
      </c>
      <c r="K136">
        <v>0</v>
      </c>
      <c r="L136" t="s">
        <v>152</v>
      </c>
    </row>
    <row r="137" spans="9:22" x14ac:dyDescent="0.45">
      <c r="I137" t="s">
        <v>167</v>
      </c>
      <c r="J137" t="s">
        <v>155</v>
      </c>
      <c r="K137">
        <v>7.1224851366162523E-2</v>
      </c>
      <c r="L137" t="s">
        <v>152</v>
      </c>
    </row>
    <row r="138" spans="9:22" x14ac:dyDescent="0.45">
      <c r="I138" t="s">
        <v>167</v>
      </c>
      <c r="J138" t="s">
        <v>156</v>
      </c>
      <c r="K138">
        <v>7.4270632732678199E-2</v>
      </c>
      <c r="L138" t="s">
        <v>152</v>
      </c>
    </row>
    <row r="139" spans="9:22" x14ac:dyDescent="0.45">
      <c r="I139" t="s">
        <v>167</v>
      </c>
      <c r="J139" t="s">
        <v>157</v>
      </c>
      <c r="K139">
        <v>0.69524666848645711</v>
      </c>
      <c r="L139" t="s">
        <v>152</v>
      </c>
    </row>
    <row r="140" spans="9:22" x14ac:dyDescent="0.45">
      <c r="I140" t="s">
        <v>167</v>
      </c>
      <c r="J140" t="s">
        <v>206</v>
      </c>
      <c r="K140">
        <v>2.2630813966987958E-2</v>
      </c>
      <c r="L140" t="s">
        <v>152</v>
      </c>
    </row>
    <row r="141" spans="9:22" x14ac:dyDescent="0.45">
      <c r="I141" t="s">
        <v>167</v>
      </c>
      <c r="J141" t="s">
        <v>207</v>
      </c>
      <c r="K141">
        <v>4.1675850875563472E-5</v>
      </c>
      <c r="L141" t="s">
        <v>152</v>
      </c>
    </row>
    <row r="142" spans="9:22" x14ac:dyDescent="0.45">
      <c r="I142" t="s">
        <v>167</v>
      </c>
      <c r="J142" t="s">
        <v>208</v>
      </c>
      <c r="K142">
        <v>0</v>
      </c>
      <c r="L142" t="s">
        <v>152</v>
      </c>
    </row>
    <row r="143" spans="9:22" x14ac:dyDescent="0.45">
      <c r="I143" t="s">
        <v>168</v>
      </c>
      <c r="J143" t="s">
        <v>151</v>
      </c>
      <c r="K143">
        <v>6.7858471151046136E-3</v>
      </c>
      <c r="L143" t="s">
        <v>152</v>
      </c>
    </row>
    <row r="144" spans="9:22" x14ac:dyDescent="0.45">
      <c r="I144" t="s">
        <v>168</v>
      </c>
      <c r="J144" t="s">
        <v>153</v>
      </c>
      <c r="K144">
        <v>1.1698861494350985E-2</v>
      </c>
      <c r="L144" t="s">
        <v>152</v>
      </c>
    </row>
    <row r="145" spans="9:12" x14ac:dyDescent="0.45">
      <c r="I145" t="s">
        <v>168</v>
      </c>
      <c r="J145" t="s">
        <v>154</v>
      </c>
      <c r="K145">
        <v>0.11228168177810254</v>
      </c>
      <c r="L145" t="s">
        <v>152</v>
      </c>
    </row>
    <row r="146" spans="9:12" x14ac:dyDescent="0.45">
      <c r="I146" t="s">
        <v>168</v>
      </c>
      <c r="J146" t="s">
        <v>203</v>
      </c>
      <c r="K146">
        <v>4.4950234326651527E-3</v>
      </c>
      <c r="L146" t="s">
        <v>152</v>
      </c>
    </row>
    <row r="147" spans="9:12" x14ac:dyDescent="0.45">
      <c r="I147" t="s">
        <v>168</v>
      </c>
      <c r="J147" t="s">
        <v>204</v>
      </c>
      <c r="K147">
        <v>0</v>
      </c>
      <c r="L147" t="s">
        <v>152</v>
      </c>
    </row>
    <row r="148" spans="9:12" x14ac:dyDescent="0.45">
      <c r="I148" t="s">
        <v>168</v>
      </c>
      <c r="J148" t="s">
        <v>205</v>
      </c>
      <c r="K148">
        <v>0</v>
      </c>
      <c r="L148" t="s">
        <v>152</v>
      </c>
    </row>
    <row r="149" spans="9:12" x14ac:dyDescent="0.45">
      <c r="I149" t="s">
        <v>168</v>
      </c>
      <c r="J149" t="s">
        <v>155</v>
      </c>
      <c r="K149">
        <v>6.9623728179965039E-2</v>
      </c>
      <c r="L149" t="s">
        <v>152</v>
      </c>
    </row>
    <row r="150" spans="9:12" x14ac:dyDescent="0.45">
      <c r="I150" t="s">
        <v>168</v>
      </c>
      <c r="J150" t="s">
        <v>156</v>
      </c>
      <c r="K150">
        <v>7.3642068914395536E-2</v>
      </c>
      <c r="L150" t="s">
        <v>152</v>
      </c>
    </row>
    <row r="151" spans="9:12" x14ac:dyDescent="0.45">
      <c r="I151" t="s">
        <v>168</v>
      </c>
      <c r="J151" t="s">
        <v>157</v>
      </c>
      <c r="K151">
        <v>0.69968250311944657</v>
      </c>
      <c r="L151" t="s">
        <v>152</v>
      </c>
    </row>
    <row r="152" spans="9:12" x14ac:dyDescent="0.45">
      <c r="I152" t="s">
        <v>168</v>
      </c>
      <c r="J152" t="s">
        <v>206</v>
      </c>
      <c r="K152">
        <v>2.1446099729593115E-2</v>
      </c>
      <c r="L152" t="s">
        <v>152</v>
      </c>
    </row>
    <row r="153" spans="9:12" x14ac:dyDescent="0.45">
      <c r="I153" t="s">
        <v>168</v>
      </c>
      <c r="J153" t="s">
        <v>207</v>
      </c>
      <c r="K153">
        <v>3.44186236380419E-4</v>
      </c>
      <c r="L153" t="s">
        <v>152</v>
      </c>
    </row>
    <row r="154" spans="9:12" x14ac:dyDescent="0.45">
      <c r="I154" t="s">
        <v>168</v>
      </c>
      <c r="J154" t="s">
        <v>208</v>
      </c>
      <c r="K154">
        <v>0</v>
      </c>
      <c r="L154" t="s">
        <v>152</v>
      </c>
    </row>
    <row r="155" spans="9:12" x14ac:dyDescent="0.45">
      <c r="I155" t="s">
        <v>169</v>
      </c>
      <c r="J155" t="s">
        <v>151</v>
      </c>
      <c r="K155">
        <v>3.5334511312899645E-3</v>
      </c>
      <c r="L155" t="s">
        <v>152</v>
      </c>
    </row>
    <row r="156" spans="9:12" x14ac:dyDescent="0.45">
      <c r="I156" t="s">
        <v>169</v>
      </c>
      <c r="J156" t="s">
        <v>153</v>
      </c>
      <c r="K156">
        <v>8.2115939386234078E-3</v>
      </c>
      <c r="L156" t="s">
        <v>152</v>
      </c>
    </row>
    <row r="157" spans="9:12" x14ac:dyDescent="0.45">
      <c r="I157" t="s">
        <v>169</v>
      </c>
      <c r="J157" t="s">
        <v>154</v>
      </c>
      <c r="K157">
        <v>0.11728221563561196</v>
      </c>
      <c r="L157" t="s">
        <v>152</v>
      </c>
    </row>
    <row r="158" spans="9:12" x14ac:dyDescent="0.45">
      <c r="I158" t="s">
        <v>169</v>
      </c>
      <c r="J158" t="s">
        <v>203</v>
      </c>
      <c r="K158">
        <v>4.6888606717142827E-3</v>
      </c>
      <c r="L158" t="s">
        <v>152</v>
      </c>
    </row>
    <row r="159" spans="9:12" x14ac:dyDescent="0.45">
      <c r="I159" t="s">
        <v>169</v>
      </c>
      <c r="J159" t="s">
        <v>204</v>
      </c>
      <c r="K159">
        <v>1.774789227605939E-3</v>
      </c>
      <c r="L159" t="s">
        <v>152</v>
      </c>
    </row>
    <row r="160" spans="9:12" x14ac:dyDescent="0.45">
      <c r="I160" t="s">
        <v>169</v>
      </c>
      <c r="J160" t="s">
        <v>205</v>
      </c>
      <c r="K160">
        <v>0</v>
      </c>
      <c r="L160" t="s">
        <v>152</v>
      </c>
    </row>
    <row r="161" spans="9:12" x14ac:dyDescent="0.45">
      <c r="I161" t="s">
        <v>169</v>
      </c>
      <c r="J161" t="s">
        <v>155</v>
      </c>
      <c r="K161">
        <v>4.0970737340429088E-2</v>
      </c>
      <c r="L161" t="s">
        <v>152</v>
      </c>
    </row>
    <row r="162" spans="9:12" x14ac:dyDescent="0.45">
      <c r="I162" t="s">
        <v>169</v>
      </c>
      <c r="J162" t="s">
        <v>156</v>
      </c>
      <c r="K162">
        <v>5.9682806496552804E-2</v>
      </c>
      <c r="L162" t="s">
        <v>152</v>
      </c>
    </row>
    <row r="163" spans="9:12" x14ac:dyDescent="0.45">
      <c r="I163" t="s">
        <v>169</v>
      </c>
      <c r="J163" t="s">
        <v>157</v>
      </c>
      <c r="K163">
        <v>0.73130659184961133</v>
      </c>
      <c r="L163" t="s">
        <v>152</v>
      </c>
    </row>
    <row r="164" spans="9:12" x14ac:dyDescent="0.45">
      <c r="I164" t="s">
        <v>169</v>
      </c>
      <c r="J164" t="s">
        <v>206</v>
      </c>
      <c r="K164">
        <v>2.7368413935006636E-2</v>
      </c>
      <c r="L164" t="s">
        <v>152</v>
      </c>
    </row>
    <row r="165" spans="9:12" x14ac:dyDescent="0.45">
      <c r="I165" t="s">
        <v>169</v>
      </c>
      <c r="J165" t="s">
        <v>207</v>
      </c>
      <c r="K165">
        <v>5.1805397735534874E-3</v>
      </c>
      <c r="L165" t="s">
        <v>152</v>
      </c>
    </row>
    <row r="166" spans="9:12" x14ac:dyDescent="0.45">
      <c r="I166" t="s">
        <v>169</v>
      </c>
      <c r="J166" t="s">
        <v>208</v>
      </c>
      <c r="K166">
        <v>0</v>
      </c>
      <c r="L166" t="s">
        <v>152</v>
      </c>
    </row>
    <row r="167" spans="9:12" x14ac:dyDescent="0.45">
      <c r="I167" t="s">
        <v>170</v>
      </c>
      <c r="J167" t="s">
        <v>151</v>
      </c>
      <c r="K167">
        <v>3.9866255151623708E-3</v>
      </c>
      <c r="L167" t="s">
        <v>152</v>
      </c>
    </row>
    <row r="168" spans="9:12" x14ac:dyDescent="0.45">
      <c r="I168" t="s">
        <v>170</v>
      </c>
      <c r="J168" t="s">
        <v>153</v>
      </c>
      <c r="K168">
        <v>9.0530197116051678E-3</v>
      </c>
      <c r="L168" t="s">
        <v>152</v>
      </c>
    </row>
    <row r="169" spans="9:12" x14ac:dyDescent="0.45">
      <c r="I169" t="s">
        <v>170</v>
      </c>
      <c r="J169" t="s">
        <v>154</v>
      </c>
      <c r="K169">
        <v>0.11988898046459816</v>
      </c>
      <c r="L169" t="s">
        <v>152</v>
      </c>
    </row>
    <row r="170" spans="9:12" x14ac:dyDescent="0.45">
      <c r="I170" t="s">
        <v>170</v>
      </c>
      <c r="J170" t="s">
        <v>203</v>
      </c>
      <c r="K170">
        <v>4.3996064180733237E-3</v>
      </c>
      <c r="L170" t="s">
        <v>152</v>
      </c>
    </row>
    <row r="171" spans="9:12" x14ac:dyDescent="0.45">
      <c r="I171" t="s">
        <v>170</v>
      </c>
      <c r="J171" t="s">
        <v>204</v>
      </c>
      <c r="K171">
        <v>8.0716646137268626E-4</v>
      </c>
      <c r="L171" t="s">
        <v>152</v>
      </c>
    </row>
    <row r="172" spans="9:12" x14ac:dyDescent="0.45">
      <c r="I172" t="s">
        <v>170</v>
      </c>
      <c r="J172" t="s">
        <v>205</v>
      </c>
      <c r="K172">
        <v>0</v>
      </c>
      <c r="L172" t="s">
        <v>152</v>
      </c>
    </row>
    <row r="173" spans="9:12" x14ac:dyDescent="0.45">
      <c r="I173" t="s">
        <v>170</v>
      </c>
      <c r="J173" t="s">
        <v>155</v>
      </c>
      <c r="K173">
        <v>4.8945274828046004E-2</v>
      </c>
      <c r="L173" t="s">
        <v>152</v>
      </c>
    </row>
    <row r="174" spans="9:12" x14ac:dyDescent="0.45">
      <c r="I174" t="s">
        <v>170</v>
      </c>
      <c r="J174" t="s">
        <v>156</v>
      </c>
      <c r="K174">
        <v>6.2327000346239725E-2</v>
      </c>
      <c r="L174" t="s">
        <v>152</v>
      </c>
    </row>
    <row r="175" spans="9:12" x14ac:dyDescent="0.45">
      <c r="I175" t="s">
        <v>170</v>
      </c>
      <c r="J175" t="s">
        <v>157</v>
      </c>
      <c r="K175">
        <v>0.72543944872571031</v>
      </c>
      <c r="L175" t="s">
        <v>152</v>
      </c>
    </row>
    <row r="176" spans="9:12" x14ac:dyDescent="0.45">
      <c r="I176" t="s">
        <v>170</v>
      </c>
      <c r="J176" t="s">
        <v>206</v>
      </c>
      <c r="K176">
        <v>2.4975433505718927E-2</v>
      </c>
      <c r="L176" t="s">
        <v>152</v>
      </c>
    </row>
    <row r="177" spans="9:12" x14ac:dyDescent="0.45">
      <c r="I177" t="s">
        <v>170</v>
      </c>
      <c r="J177" t="s">
        <v>207</v>
      </c>
      <c r="K177">
        <v>1.7744402347171854E-4</v>
      </c>
      <c r="L177" t="s">
        <v>152</v>
      </c>
    </row>
    <row r="178" spans="9:12" x14ac:dyDescent="0.45">
      <c r="I178" t="s">
        <v>170</v>
      </c>
      <c r="J178" t="s">
        <v>208</v>
      </c>
      <c r="K178">
        <v>0</v>
      </c>
      <c r="L178" t="s">
        <v>152</v>
      </c>
    </row>
    <row r="179" spans="9:12" x14ac:dyDescent="0.45">
      <c r="I179" t="s">
        <v>171</v>
      </c>
      <c r="J179" t="s">
        <v>151</v>
      </c>
      <c r="K179">
        <v>6.0249653909370095E-3</v>
      </c>
      <c r="L179" t="s">
        <v>152</v>
      </c>
    </row>
    <row r="180" spans="9:12" x14ac:dyDescent="0.45">
      <c r="I180" t="s">
        <v>171</v>
      </c>
      <c r="J180" t="s">
        <v>153</v>
      </c>
      <c r="K180">
        <v>1.0617991349959716E-2</v>
      </c>
      <c r="L180" t="s">
        <v>152</v>
      </c>
    </row>
    <row r="181" spans="9:12" x14ac:dyDescent="0.45">
      <c r="I181" t="s">
        <v>171</v>
      </c>
      <c r="J181" t="s">
        <v>154</v>
      </c>
      <c r="K181">
        <v>0.11151016309018391</v>
      </c>
      <c r="L181" t="s">
        <v>152</v>
      </c>
    </row>
    <row r="182" spans="9:12" x14ac:dyDescent="0.45">
      <c r="I182" t="s">
        <v>171</v>
      </c>
      <c r="J182" t="s">
        <v>203</v>
      </c>
      <c r="K182">
        <v>4.4101203040705752E-3</v>
      </c>
      <c r="L182" t="s">
        <v>152</v>
      </c>
    </row>
    <row r="183" spans="9:12" x14ac:dyDescent="0.45">
      <c r="I183" t="s">
        <v>171</v>
      </c>
      <c r="J183" t="s">
        <v>204</v>
      </c>
      <c r="K183">
        <v>8.1176132377013129E-4</v>
      </c>
      <c r="L183" t="s">
        <v>152</v>
      </c>
    </row>
    <row r="184" spans="9:12" x14ac:dyDescent="0.45">
      <c r="I184" t="s">
        <v>171</v>
      </c>
      <c r="J184" t="s">
        <v>205</v>
      </c>
      <c r="K184">
        <v>0</v>
      </c>
      <c r="L184" t="s">
        <v>152</v>
      </c>
    </row>
    <row r="185" spans="9:12" x14ac:dyDescent="0.45">
      <c r="I185" t="s">
        <v>171</v>
      </c>
      <c r="J185" t="s">
        <v>155</v>
      </c>
      <c r="K185">
        <v>6.1893480974502507E-2</v>
      </c>
      <c r="L185" t="s">
        <v>152</v>
      </c>
    </row>
    <row r="186" spans="9:12" x14ac:dyDescent="0.45">
      <c r="I186" t="s">
        <v>171</v>
      </c>
      <c r="J186" t="s">
        <v>156</v>
      </c>
      <c r="K186">
        <v>6.8231343848937226E-2</v>
      </c>
      <c r="L186" t="s">
        <v>152</v>
      </c>
    </row>
    <row r="187" spans="9:12" x14ac:dyDescent="0.45">
      <c r="I187" t="s">
        <v>171</v>
      </c>
      <c r="J187" t="s">
        <v>157</v>
      </c>
      <c r="K187">
        <v>0.70889004447508475</v>
      </c>
      <c r="L187" t="s">
        <v>152</v>
      </c>
    </row>
    <row r="188" spans="9:12" x14ac:dyDescent="0.45">
      <c r="I188" t="s">
        <v>171</v>
      </c>
      <c r="J188" t="s">
        <v>206</v>
      </c>
      <c r="K188">
        <v>2.4275149961980713E-2</v>
      </c>
      <c r="L188" t="s">
        <v>152</v>
      </c>
    </row>
    <row r="189" spans="9:12" x14ac:dyDescent="0.45">
      <c r="I189" t="s">
        <v>171</v>
      </c>
      <c r="J189" t="s">
        <v>207</v>
      </c>
      <c r="K189">
        <v>3.3349792805764228E-3</v>
      </c>
      <c r="L189" t="s">
        <v>152</v>
      </c>
    </row>
    <row r="190" spans="9:12" x14ac:dyDescent="0.45">
      <c r="I190" t="s">
        <v>171</v>
      </c>
      <c r="J190" t="s">
        <v>208</v>
      </c>
      <c r="K190">
        <v>0</v>
      </c>
      <c r="L190" t="s">
        <v>152</v>
      </c>
    </row>
    <row r="191" spans="9:12" x14ac:dyDescent="0.45">
      <c r="I191" t="s">
        <v>172</v>
      </c>
      <c r="J191" t="s">
        <v>151</v>
      </c>
      <c r="K191">
        <v>4.3288761959496764E-3</v>
      </c>
      <c r="L191" t="s">
        <v>152</v>
      </c>
    </row>
    <row r="192" spans="9:12" x14ac:dyDescent="0.45">
      <c r="I192" t="s">
        <v>172</v>
      </c>
      <c r="J192" t="s">
        <v>153</v>
      </c>
      <c r="K192">
        <v>9.6555855979746814E-3</v>
      </c>
      <c r="L192" t="s">
        <v>152</v>
      </c>
    </row>
    <row r="193" spans="9:12" x14ac:dyDescent="0.45">
      <c r="I193" t="s">
        <v>172</v>
      </c>
      <c r="J193" t="s">
        <v>154</v>
      </c>
      <c r="K193">
        <v>0.1160608941701568</v>
      </c>
      <c r="L193" t="s">
        <v>152</v>
      </c>
    </row>
    <row r="194" spans="9:12" x14ac:dyDescent="0.45">
      <c r="I194" t="s">
        <v>172</v>
      </c>
      <c r="J194" t="s">
        <v>203</v>
      </c>
      <c r="K194">
        <v>4.2983290646424971E-3</v>
      </c>
      <c r="L194" t="s">
        <v>152</v>
      </c>
    </row>
    <row r="195" spans="9:12" x14ac:dyDescent="0.45">
      <c r="I195" t="s">
        <v>172</v>
      </c>
      <c r="J195" t="s">
        <v>204</v>
      </c>
      <c r="K195">
        <v>0</v>
      </c>
      <c r="L195" t="s">
        <v>152</v>
      </c>
    </row>
    <row r="196" spans="9:12" x14ac:dyDescent="0.45">
      <c r="I196" t="s">
        <v>172</v>
      </c>
      <c r="J196" t="s">
        <v>205</v>
      </c>
      <c r="K196">
        <v>0</v>
      </c>
      <c r="L196" t="s">
        <v>152</v>
      </c>
    </row>
    <row r="197" spans="9:12" x14ac:dyDescent="0.45">
      <c r="I197" t="s">
        <v>172</v>
      </c>
      <c r="J197" t="s">
        <v>155</v>
      </c>
      <c r="K197">
        <v>4.7907759092335217E-2</v>
      </c>
      <c r="L197" t="s">
        <v>152</v>
      </c>
    </row>
    <row r="198" spans="9:12" x14ac:dyDescent="0.45">
      <c r="I198" t="s">
        <v>172</v>
      </c>
      <c r="J198" t="s">
        <v>156</v>
      </c>
      <c r="K198">
        <v>6.4315008899430093E-2</v>
      </c>
      <c r="L198" t="s">
        <v>152</v>
      </c>
    </row>
    <row r="199" spans="9:12" x14ac:dyDescent="0.45">
      <c r="I199" t="s">
        <v>172</v>
      </c>
      <c r="J199" t="s">
        <v>157</v>
      </c>
      <c r="K199">
        <v>0.73034686567826224</v>
      </c>
      <c r="L199" t="s">
        <v>152</v>
      </c>
    </row>
    <row r="200" spans="9:12" x14ac:dyDescent="0.45">
      <c r="I200" t="s">
        <v>172</v>
      </c>
      <c r="J200" t="s">
        <v>206</v>
      </c>
      <c r="K200">
        <v>2.3086681301247754E-2</v>
      </c>
      <c r="L200" t="s">
        <v>152</v>
      </c>
    </row>
    <row r="201" spans="9:12" x14ac:dyDescent="0.45">
      <c r="I201" t="s">
        <v>172</v>
      </c>
      <c r="J201" t="s">
        <v>207</v>
      </c>
      <c r="K201">
        <v>0</v>
      </c>
      <c r="L201" t="s">
        <v>152</v>
      </c>
    </row>
    <row r="202" spans="9:12" x14ac:dyDescent="0.45">
      <c r="I202" t="s">
        <v>172</v>
      </c>
      <c r="J202" t="s">
        <v>208</v>
      </c>
      <c r="K202">
        <v>0</v>
      </c>
      <c r="L202" t="s">
        <v>152</v>
      </c>
    </row>
    <row r="203" spans="9:12" x14ac:dyDescent="0.45">
      <c r="I203" t="s">
        <v>173</v>
      </c>
      <c r="J203" t="s">
        <v>151</v>
      </c>
      <c r="K203">
        <v>5.0150052579514773E-3</v>
      </c>
      <c r="L203" t="s">
        <v>152</v>
      </c>
    </row>
    <row r="204" spans="9:12" x14ac:dyDescent="0.45">
      <c r="I204" t="s">
        <v>173</v>
      </c>
      <c r="J204" t="s">
        <v>153</v>
      </c>
      <c r="K204">
        <v>1.0194677278194364E-2</v>
      </c>
      <c r="L204" t="s">
        <v>152</v>
      </c>
    </row>
    <row r="205" spans="9:12" x14ac:dyDescent="0.45">
      <c r="I205" t="s">
        <v>173</v>
      </c>
      <c r="J205" t="s">
        <v>154</v>
      </c>
      <c r="K205">
        <v>0.11300668387459682</v>
      </c>
      <c r="L205" t="s">
        <v>152</v>
      </c>
    </row>
    <row r="206" spans="9:12" x14ac:dyDescent="0.45">
      <c r="I206" t="s">
        <v>173</v>
      </c>
      <c r="J206" t="s">
        <v>203</v>
      </c>
      <c r="K206">
        <v>4.2342225126892463E-3</v>
      </c>
      <c r="L206" t="s">
        <v>152</v>
      </c>
    </row>
    <row r="207" spans="9:12" x14ac:dyDescent="0.45">
      <c r="I207" t="s">
        <v>173</v>
      </c>
      <c r="J207" t="s">
        <v>204</v>
      </c>
      <c r="K207">
        <v>1.2784872789649469E-3</v>
      </c>
      <c r="L207" t="s">
        <v>152</v>
      </c>
    </row>
    <row r="208" spans="9:12" x14ac:dyDescent="0.45">
      <c r="I208" t="s">
        <v>173</v>
      </c>
      <c r="J208" t="s">
        <v>205</v>
      </c>
      <c r="K208">
        <v>0</v>
      </c>
      <c r="L208" t="s">
        <v>152</v>
      </c>
    </row>
    <row r="209" spans="9:12" x14ac:dyDescent="0.45">
      <c r="I209" t="s">
        <v>173</v>
      </c>
      <c r="J209" t="s">
        <v>155</v>
      </c>
      <c r="K209">
        <v>5.4173286682282877E-2</v>
      </c>
      <c r="L209" t="s">
        <v>152</v>
      </c>
    </row>
    <row r="210" spans="9:12" x14ac:dyDescent="0.45">
      <c r="I210" t="s">
        <v>173</v>
      </c>
      <c r="J210" t="s">
        <v>156</v>
      </c>
      <c r="K210">
        <v>6.726710939665044E-2</v>
      </c>
      <c r="L210" t="s">
        <v>152</v>
      </c>
    </row>
    <row r="211" spans="9:12" x14ac:dyDescent="0.45">
      <c r="I211" t="s">
        <v>173</v>
      </c>
      <c r="J211" t="s">
        <v>157</v>
      </c>
      <c r="K211">
        <v>0.71835344186022876</v>
      </c>
      <c r="L211" t="s">
        <v>152</v>
      </c>
    </row>
    <row r="212" spans="9:12" x14ac:dyDescent="0.45">
      <c r="I212" t="s">
        <v>173</v>
      </c>
      <c r="J212" t="s">
        <v>206</v>
      </c>
      <c r="K212">
        <v>2.4029996937691336E-2</v>
      </c>
      <c r="L212" t="s">
        <v>152</v>
      </c>
    </row>
    <row r="213" spans="9:12" x14ac:dyDescent="0.45">
      <c r="I213" t="s">
        <v>173</v>
      </c>
      <c r="J213" t="s">
        <v>207</v>
      </c>
      <c r="K213">
        <v>2.4470889207477723E-3</v>
      </c>
      <c r="L213" t="s">
        <v>152</v>
      </c>
    </row>
    <row r="214" spans="9:12" x14ac:dyDescent="0.45">
      <c r="I214" t="s">
        <v>173</v>
      </c>
      <c r="J214" t="s">
        <v>208</v>
      </c>
      <c r="K214">
        <v>0</v>
      </c>
      <c r="L214" t="s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FFAD-3274-470D-8157-5D6DF32E4D97}">
  <dimension ref="A9:AN28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119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149</v>
      </c>
      <c r="L10" t="s">
        <v>30</v>
      </c>
      <c r="N10" t="s">
        <v>13</v>
      </c>
      <c r="O10" t="s">
        <v>115</v>
      </c>
      <c r="P10" t="s">
        <v>149</v>
      </c>
      <c r="Q10" t="s">
        <v>30</v>
      </c>
      <c r="S10" t="s">
        <v>13</v>
      </c>
      <c r="T10" t="s">
        <v>115</v>
      </c>
      <c r="U10" t="s">
        <v>149</v>
      </c>
      <c r="V10" t="s">
        <v>30</v>
      </c>
      <c r="X10" t="s">
        <v>190</v>
      </c>
      <c r="Y10" t="s">
        <v>149</v>
      </c>
      <c r="Z10" t="s">
        <v>115</v>
      </c>
      <c r="AA10" t="s">
        <v>13</v>
      </c>
      <c r="AC10" t="s">
        <v>13</v>
      </c>
      <c r="AD10" t="s">
        <v>115</v>
      </c>
      <c r="AE10" t="s">
        <v>149</v>
      </c>
      <c r="AG10" t="s">
        <v>13</v>
      </c>
      <c r="AH10" t="s">
        <v>115</v>
      </c>
      <c r="AI10" t="s">
        <v>196</v>
      </c>
      <c r="AK10" t="s">
        <v>47</v>
      </c>
      <c r="AL10" t="s">
        <v>115</v>
      </c>
      <c r="AM10" t="s">
        <v>197</v>
      </c>
      <c r="AN10" t="s">
        <v>198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145</v>
      </c>
      <c r="G11" t="s">
        <v>143</v>
      </c>
      <c r="I11" t="s">
        <v>150</v>
      </c>
      <c r="J11" t="s">
        <v>151</v>
      </c>
      <c r="K11">
        <v>0</v>
      </c>
      <c r="L11" t="s">
        <v>152</v>
      </c>
      <c r="N11" t="s">
        <v>174</v>
      </c>
      <c r="O11" t="s">
        <v>151</v>
      </c>
      <c r="P11">
        <v>6.4247372997157548E-2</v>
      </c>
      <c r="Q11" t="s">
        <v>152</v>
      </c>
      <c r="S11" t="s">
        <v>180</v>
      </c>
      <c r="T11" t="s">
        <v>151</v>
      </c>
      <c r="U11">
        <v>9.4487458929703227E-2</v>
      </c>
      <c r="V11" t="s">
        <v>152</v>
      </c>
      <c r="X11">
        <v>4.0753424657534246E-2</v>
      </c>
      <c r="Y11">
        <v>1.6094274420107902E-2</v>
      </c>
      <c r="Z11" t="s">
        <v>151</v>
      </c>
      <c r="AA11" t="s">
        <v>25</v>
      </c>
      <c r="AC11" t="s">
        <v>22</v>
      </c>
      <c r="AD11" t="s">
        <v>151</v>
      </c>
      <c r="AE11">
        <v>2.5812151581834218E-2</v>
      </c>
      <c r="AG11" t="s">
        <v>96</v>
      </c>
      <c r="AH11" t="s">
        <v>151</v>
      </c>
      <c r="AI11">
        <v>9.0589667438591093E-2</v>
      </c>
    </row>
    <row r="12" spans="1:40" x14ac:dyDescent="0.45">
      <c r="C12" t="s">
        <v>146</v>
      </c>
      <c r="E12" t="s">
        <v>147</v>
      </c>
      <c r="G12" t="s">
        <v>143</v>
      </c>
      <c r="I12" t="s">
        <v>150</v>
      </c>
      <c r="J12" t="s">
        <v>153</v>
      </c>
      <c r="K12">
        <v>2.7678585263187804E-3</v>
      </c>
      <c r="L12" t="s">
        <v>152</v>
      </c>
      <c r="N12" t="s">
        <v>174</v>
      </c>
      <c r="O12" t="s">
        <v>153</v>
      </c>
      <c r="P12">
        <v>8.5034693263345701E-3</v>
      </c>
      <c r="Q12" t="s">
        <v>152</v>
      </c>
      <c r="S12" t="s">
        <v>180</v>
      </c>
      <c r="T12" t="s">
        <v>153</v>
      </c>
      <c r="U12">
        <v>1.3842327731980377E-2</v>
      </c>
      <c r="V12" t="s">
        <v>152</v>
      </c>
      <c r="X12">
        <v>5.8219178082191785E-3</v>
      </c>
      <c r="Y12">
        <v>9.7208065037416407E-3</v>
      </c>
      <c r="Z12" t="s">
        <v>153</v>
      </c>
      <c r="AA12" t="s">
        <v>25</v>
      </c>
      <c r="AC12" t="s">
        <v>22</v>
      </c>
      <c r="AD12" t="s">
        <v>153</v>
      </c>
      <c r="AE12">
        <v>4.7420011577424233E-3</v>
      </c>
      <c r="AG12" t="s">
        <v>96</v>
      </c>
      <c r="AH12" t="s">
        <v>153</v>
      </c>
      <c r="AI12">
        <v>7.5728887191720107E-2</v>
      </c>
    </row>
    <row r="13" spans="1:40" x14ac:dyDescent="0.45">
      <c r="E13" t="s">
        <v>148</v>
      </c>
      <c r="G13" t="s">
        <v>143</v>
      </c>
      <c r="I13" t="s">
        <v>150</v>
      </c>
      <c r="J13" t="s">
        <v>154</v>
      </c>
      <c r="K13">
        <v>6.1926762384803321E-3</v>
      </c>
      <c r="L13" t="s">
        <v>152</v>
      </c>
      <c r="N13" t="s">
        <v>174</v>
      </c>
      <c r="O13" t="s">
        <v>154</v>
      </c>
      <c r="P13">
        <v>8.5259030714991395E-3</v>
      </c>
      <c r="Q13" t="s">
        <v>152</v>
      </c>
      <c r="S13" t="s">
        <v>180</v>
      </c>
      <c r="T13" t="s">
        <v>154</v>
      </c>
      <c r="U13">
        <v>1.4422801395452824E-2</v>
      </c>
      <c r="V13" t="s">
        <v>152</v>
      </c>
      <c r="X13">
        <v>5.8219178082191785E-3</v>
      </c>
      <c r="Y13">
        <v>7.4385301941675185E-3</v>
      </c>
      <c r="Z13" t="s">
        <v>154</v>
      </c>
      <c r="AA13" t="s">
        <v>25</v>
      </c>
      <c r="AC13" t="s">
        <v>22</v>
      </c>
      <c r="AD13" t="s">
        <v>154</v>
      </c>
      <c r="AE13">
        <v>5.3511156869060997E-3</v>
      </c>
      <c r="AG13" t="s">
        <v>96</v>
      </c>
      <c r="AH13" t="s">
        <v>154</v>
      </c>
      <c r="AI13">
        <v>9.1039262771404506E-2</v>
      </c>
    </row>
    <row r="14" spans="1:40" x14ac:dyDescent="0.45">
      <c r="E14" t="s">
        <v>199</v>
      </c>
      <c r="G14" t="s">
        <v>143</v>
      </c>
      <c r="I14" t="s">
        <v>150</v>
      </c>
      <c r="J14" t="s">
        <v>203</v>
      </c>
      <c r="K14">
        <v>9.2649565584059304E-2</v>
      </c>
      <c r="L14" t="s">
        <v>152</v>
      </c>
      <c r="N14" t="s">
        <v>174</v>
      </c>
      <c r="O14" t="s">
        <v>203</v>
      </c>
      <c r="P14">
        <v>7.771337857290074E-2</v>
      </c>
      <c r="Q14" t="s">
        <v>152</v>
      </c>
      <c r="S14" t="s">
        <v>180</v>
      </c>
      <c r="T14" t="s">
        <v>203</v>
      </c>
      <c r="U14">
        <v>9.3628332332664196E-2</v>
      </c>
      <c r="V14" t="s">
        <v>152</v>
      </c>
      <c r="X14">
        <v>4.0753424657534246E-2</v>
      </c>
      <c r="Y14">
        <v>5.3050244884767429E-2</v>
      </c>
      <c r="Z14" t="s">
        <v>203</v>
      </c>
      <c r="AA14" t="s">
        <v>25</v>
      </c>
      <c r="AC14" t="s">
        <v>22</v>
      </c>
      <c r="AD14" t="s">
        <v>203</v>
      </c>
      <c r="AE14">
        <v>3.9083874136717225E-2</v>
      </c>
      <c r="AG14" t="s">
        <v>96</v>
      </c>
      <c r="AH14" t="s">
        <v>203</v>
      </c>
      <c r="AI14">
        <v>0.10253522600577414</v>
      </c>
    </row>
    <row r="15" spans="1:40" x14ac:dyDescent="0.45">
      <c r="E15" t="s">
        <v>200</v>
      </c>
      <c r="G15" t="s">
        <v>143</v>
      </c>
      <c r="I15" t="s">
        <v>150</v>
      </c>
      <c r="J15" t="s">
        <v>204</v>
      </c>
      <c r="K15">
        <v>1.0894596706533904E-2</v>
      </c>
      <c r="L15" t="s">
        <v>152</v>
      </c>
      <c r="N15" t="s">
        <v>174</v>
      </c>
      <c r="O15" t="s">
        <v>204</v>
      </c>
      <c r="P15">
        <v>1.5826282209390408E-2</v>
      </c>
      <c r="Q15" t="s">
        <v>152</v>
      </c>
      <c r="S15" t="s">
        <v>180</v>
      </c>
      <c r="T15" t="s">
        <v>204</v>
      </c>
      <c r="U15">
        <v>1.3209523627871119E-2</v>
      </c>
      <c r="V15" t="s">
        <v>152</v>
      </c>
      <c r="X15">
        <v>5.8219178082191785E-3</v>
      </c>
      <c r="Y15">
        <v>1.1326852795664172E-2</v>
      </c>
      <c r="Z15" t="s">
        <v>204</v>
      </c>
      <c r="AA15" t="s">
        <v>25</v>
      </c>
      <c r="AC15" t="s">
        <v>22</v>
      </c>
      <c r="AD15" t="s">
        <v>204</v>
      </c>
      <c r="AE15">
        <v>5.6971819210109732E-3</v>
      </c>
      <c r="AG15" t="s">
        <v>96</v>
      </c>
      <c r="AH15" t="s">
        <v>204</v>
      </c>
      <c r="AI15">
        <v>8.9860384256936099E-2</v>
      </c>
    </row>
    <row r="16" spans="1:40" x14ac:dyDescent="0.45">
      <c r="E16" t="s">
        <v>201</v>
      </c>
      <c r="G16" t="s">
        <v>143</v>
      </c>
      <c r="I16" t="s">
        <v>150</v>
      </c>
      <c r="J16" t="s">
        <v>205</v>
      </c>
      <c r="K16">
        <v>8.5730708043728343E-3</v>
      </c>
      <c r="L16" t="s">
        <v>152</v>
      </c>
      <c r="N16" t="s">
        <v>174</v>
      </c>
      <c r="O16" t="s">
        <v>205</v>
      </c>
      <c r="P16">
        <v>1.5902043606509465E-2</v>
      </c>
      <c r="Q16" t="s">
        <v>152</v>
      </c>
      <c r="S16" t="s">
        <v>180</v>
      </c>
      <c r="T16" t="s">
        <v>205</v>
      </c>
      <c r="U16">
        <v>1.1508038778334497E-2</v>
      </c>
      <c r="V16" t="s">
        <v>152</v>
      </c>
      <c r="X16">
        <v>5.8219178082191785E-3</v>
      </c>
      <c r="Y16">
        <v>1.1326852795664172E-2</v>
      </c>
      <c r="Z16" t="s">
        <v>205</v>
      </c>
      <c r="AA16" t="s">
        <v>25</v>
      </c>
      <c r="AC16" t="s">
        <v>22</v>
      </c>
      <c r="AD16" t="s">
        <v>205</v>
      </c>
      <c r="AE16">
        <v>5.8257129530155322E-3</v>
      </c>
      <c r="AG16" t="s">
        <v>96</v>
      </c>
      <c r="AH16" t="s">
        <v>205</v>
      </c>
      <c r="AI16">
        <v>8.6489628127065066E-2</v>
      </c>
    </row>
    <row r="17" spans="5:35" x14ac:dyDescent="0.45">
      <c r="E17" t="s">
        <v>214</v>
      </c>
      <c r="G17" t="s">
        <v>143</v>
      </c>
      <c r="I17" t="s">
        <v>150</v>
      </c>
      <c r="J17" t="s">
        <v>216</v>
      </c>
      <c r="K17">
        <v>5.1316774211729501E-3</v>
      </c>
      <c r="L17" t="s">
        <v>152</v>
      </c>
      <c r="N17" t="s">
        <v>174</v>
      </c>
      <c r="O17" t="s">
        <v>216</v>
      </c>
      <c r="P17">
        <v>1.6650094246527632E-2</v>
      </c>
      <c r="Q17" t="s">
        <v>152</v>
      </c>
      <c r="S17" t="s">
        <v>180</v>
      </c>
      <c r="T17" t="s">
        <v>216</v>
      </c>
      <c r="U17">
        <v>1.2444661995880282E-2</v>
      </c>
      <c r="V17" t="s">
        <v>152</v>
      </c>
      <c r="X17">
        <v>5.8219178082191785E-3</v>
      </c>
      <c r="Y17">
        <v>8.7909902294707049E-3</v>
      </c>
      <c r="Z17" t="s">
        <v>216</v>
      </c>
      <c r="AA17" t="s">
        <v>25</v>
      </c>
      <c r="AC17" t="s">
        <v>22</v>
      </c>
      <c r="AD17" t="s">
        <v>216</v>
      </c>
      <c r="AE17">
        <v>6.2619007870121013E-3</v>
      </c>
      <c r="AG17" t="s">
        <v>96</v>
      </c>
      <c r="AH17" t="s">
        <v>216</v>
      </c>
      <c r="AI17">
        <v>0.11058013881011908</v>
      </c>
    </row>
    <row r="18" spans="5:35" x14ac:dyDescent="0.45">
      <c r="E18" t="s">
        <v>215</v>
      </c>
      <c r="G18" t="s">
        <v>143</v>
      </c>
      <c r="I18" t="s">
        <v>150</v>
      </c>
      <c r="J18" t="s">
        <v>217</v>
      </c>
      <c r="K18">
        <v>0</v>
      </c>
      <c r="L18" t="s">
        <v>152</v>
      </c>
      <c r="N18" t="s">
        <v>174</v>
      </c>
      <c r="O18" t="s">
        <v>217</v>
      </c>
      <c r="P18">
        <v>7.7670222531444802E-2</v>
      </c>
      <c r="Q18" t="s">
        <v>152</v>
      </c>
      <c r="S18" t="s">
        <v>180</v>
      </c>
      <c r="T18" t="s">
        <v>217</v>
      </c>
      <c r="U18">
        <v>7.1139560782605915E-2</v>
      </c>
      <c r="V18" t="s">
        <v>152</v>
      </c>
      <c r="X18">
        <v>2.9109589041095889E-2</v>
      </c>
      <c r="Y18">
        <v>2.1977475573676755E-2</v>
      </c>
      <c r="Z18" t="s">
        <v>217</v>
      </c>
      <c r="AA18" t="s">
        <v>25</v>
      </c>
      <c r="AC18" t="s">
        <v>22</v>
      </c>
      <c r="AD18" t="s">
        <v>217</v>
      </c>
      <c r="AE18">
        <v>2.9042717777579965E-2</v>
      </c>
      <c r="AG18" t="s">
        <v>96</v>
      </c>
      <c r="AH18" t="s">
        <v>217</v>
      </c>
      <c r="AI18">
        <v>0.16066344285262346</v>
      </c>
    </row>
    <row r="19" spans="5:35" x14ac:dyDescent="0.45">
      <c r="I19" t="s">
        <v>150</v>
      </c>
      <c r="J19" t="s">
        <v>155</v>
      </c>
      <c r="K19">
        <v>0</v>
      </c>
      <c r="L19" t="s">
        <v>152</v>
      </c>
      <c r="N19" t="s">
        <v>174</v>
      </c>
      <c r="O19" t="s">
        <v>155</v>
      </c>
      <c r="P19">
        <v>0.19669072180712363</v>
      </c>
      <c r="Q19" t="s">
        <v>152</v>
      </c>
      <c r="S19" t="s">
        <v>180</v>
      </c>
      <c r="T19" t="s">
        <v>155</v>
      </c>
      <c r="U19">
        <v>0.19570876152147135</v>
      </c>
      <c r="V19" t="s">
        <v>152</v>
      </c>
      <c r="X19">
        <v>0.2509132420091324</v>
      </c>
      <c r="Y19">
        <v>9.9090238586546697E-2</v>
      </c>
      <c r="Z19" t="s">
        <v>155</v>
      </c>
      <c r="AA19" t="s">
        <v>25</v>
      </c>
      <c r="AC19" t="s">
        <v>22</v>
      </c>
      <c r="AD19" t="s">
        <v>155</v>
      </c>
      <c r="AE19">
        <v>0.18021192190351942</v>
      </c>
      <c r="AG19" t="s">
        <v>96</v>
      </c>
      <c r="AH19" t="s">
        <v>155</v>
      </c>
      <c r="AI19">
        <v>0.28757910819021526</v>
      </c>
    </row>
    <row r="20" spans="5:35" x14ac:dyDescent="0.45">
      <c r="I20" t="s">
        <v>150</v>
      </c>
      <c r="J20" t="s">
        <v>156</v>
      </c>
      <c r="K20">
        <v>2.7412021288315998E-2</v>
      </c>
      <c r="L20" t="s">
        <v>152</v>
      </c>
      <c r="N20" t="s">
        <v>174</v>
      </c>
      <c r="O20" t="s">
        <v>156</v>
      </c>
      <c r="P20">
        <v>3.0317676431668241E-2</v>
      </c>
      <c r="Q20" t="s">
        <v>152</v>
      </c>
      <c r="S20" t="s">
        <v>180</v>
      </c>
      <c r="T20" t="s">
        <v>156</v>
      </c>
      <c r="U20">
        <v>2.7448399523243121E-2</v>
      </c>
      <c r="V20" t="s">
        <v>152</v>
      </c>
      <c r="X20">
        <v>3.5844748858447489E-2</v>
      </c>
      <c r="Y20">
        <v>5.984967141519363E-2</v>
      </c>
      <c r="Z20" t="s">
        <v>156</v>
      </c>
      <c r="AA20" t="s">
        <v>25</v>
      </c>
      <c r="AC20" t="s">
        <v>22</v>
      </c>
      <c r="AD20" t="s">
        <v>156</v>
      </c>
      <c r="AE20">
        <v>3.0877789504461201E-2</v>
      </c>
      <c r="AG20" t="s">
        <v>96</v>
      </c>
      <c r="AH20" t="s">
        <v>156</v>
      </c>
      <c r="AI20">
        <v>0.14286812520631131</v>
      </c>
    </row>
    <row r="21" spans="5:35" x14ac:dyDescent="0.45">
      <c r="I21" t="s">
        <v>150</v>
      </c>
      <c r="J21" t="s">
        <v>157</v>
      </c>
      <c r="K21">
        <v>5.1266747348514677E-2</v>
      </c>
      <c r="L21" t="s">
        <v>152</v>
      </c>
      <c r="N21" t="s">
        <v>174</v>
      </c>
      <c r="O21" t="s">
        <v>157</v>
      </c>
      <c r="P21">
        <v>2.972932639660561E-2</v>
      </c>
      <c r="Q21" t="s">
        <v>152</v>
      </c>
      <c r="S21" t="s">
        <v>180</v>
      </c>
      <c r="T21" t="s">
        <v>157</v>
      </c>
      <c r="U21">
        <v>2.7623354593054091E-2</v>
      </c>
      <c r="V21" t="s">
        <v>152</v>
      </c>
      <c r="X21">
        <v>3.5844748858447489E-2</v>
      </c>
      <c r="Y21">
        <v>4.5798009430756889E-2</v>
      </c>
      <c r="Z21" t="s">
        <v>157</v>
      </c>
      <c r="AA21" t="s">
        <v>25</v>
      </c>
      <c r="AC21" t="s">
        <v>22</v>
      </c>
      <c r="AD21" t="s">
        <v>157</v>
      </c>
      <c r="AE21">
        <v>3.6328638654533271E-2</v>
      </c>
      <c r="AG21" t="s">
        <v>96</v>
      </c>
      <c r="AH21" t="s">
        <v>157</v>
      </c>
      <c r="AI21">
        <v>0.16290388703147096</v>
      </c>
    </row>
    <row r="22" spans="5:35" x14ac:dyDescent="0.45">
      <c r="I22" t="s">
        <v>150</v>
      </c>
      <c r="J22" t="s">
        <v>206</v>
      </c>
      <c r="K22">
        <v>0.64701235439833538</v>
      </c>
      <c r="L22" t="s">
        <v>152</v>
      </c>
      <c r="N22" t="s">
        <v>174</v>
      </c>
      <c r="O22" t="s">
        <v>206</v>
      </c>
      <c r="P22">
        <v>0.21926865366912571</v>
      </c>
      <c r="Q22" t="s">
        <v>152</v>
      </c>
      <c r="S22" t="s">
        <v>180</v>
      </c>
      <c r="T22" t="s">
        <v>206</v>
      </c>
      <c r="U22">
        <v>0.20118144616998573</v>
      </c>
      <c r="V22" t="s">
        <v>152</v>
      </c>
      <c r="X22">
        <v>0.2509132420091324</v>
      </c>
      <c r="Y22">
        <v>0.32662307634935239</v>
      </c>
      <c r="Z22" t="s">
        <v>206</v>
      </c>
      <c r="AA22" t="s">
        <v>25</v>
      </c>
      <c r="AC22" t="s">
        <v>22</v>
      </c>
      <c r="AD22" t="s">
        <v>206</v>
      </c>
      <c r="AE22">
        <v>0.29303926069270597</v>
      </c>
      <c r="AG22" t="s">
        <v>96</v>
      </c>
      <c r="AH22" t="s">
        <v>206</v>
      </c>
      <c r="AI22">
        <v>0.2727442065652681</v>
      </c>
    </row>
    <row r="23" spans="5:35" x14ac:dyDescent="0.45">
      <c r="I23" t="s">
        <v>150</v>
      </c>
      <c r="J23" t="s">
        <v>207</v>
      </c>
      <c r="K23">
        <v>6.7931692978277017E-2</v>
      </c>
      <c r="L23" t="s">
        <v>152</v>
      </c>
      <c r="N23" t="s">
        <v>174</v>
      </c>
      <c r="O23" t="s">
        <v>207</v>
      </c>
      <c r="P23">
        <v>3.1876841164428904E-2</v>
      </c>
      <c r="Q23" t="s">
        <v>152</v>
      </c>
      <c r="S23" t="s">
        <v>180</v>
      </c>
      <c r="T23" t="s">
        <v>207</v>
      </c>
      <c r="U23">
        <v>2.9537212617944838E-2</v>
      </c>
      <c r="V23" t="s">
        <v>152</v>
      </c>
      <c r="X23">
        <v>3.5844748858447489E-2</v>
      </c>
      <c r="Y23">
        <v>6.9737877996834327E-2</v>
      </c>
      <c r="Z23" t="s">
        <v>207</v>
      </c>
      <c r="AA23" t="s">
        <v>25</v>
      </c>
      <c r="AC23" t="s">
        <v>22</v>
      </c>
      <c r="AD23" t="s">
        <v>207</v>
      </c>
      <c r="AE23">
        <v>4.3016642221540134E-2</v>
      </c>
      <c r="AG23" t="s">
        <v>96</v>
      </c>
      <c r="AH23" t="s">
        <v>207</v>
      </c>
      <c r="AI23">
        <v>0.24969357941349624</v>
      </c>
    </row>
    <row r="24" spans="5:35" x14ac:dyDescent="0.45">
      <c r="I24" t="s">
        <v>150</v>
      </c>
      <c r="J24" t="s">
        <v>208</v>
      </c>
      <c r="K24">
        <v>4.98279182409977E-2</v>
      </c>
      <c r="L24" t="s">
        <v>152</v>
      </c>
      <c r="N24" t="s">
        <v>174</v>
      </c>
      <c r="O24" t="s">
        <v>208</v>
      </c>
      <c r="P24">
        <v>3.1182580780989833E-2</v>
      </c>
      <c r="Q24" t="s">
        <v>152</v>
      </c>
      <c r="S24" t="s">
        <v>180</v>
      </c>
      <c r="T24" t="s">
        <v>208</v>
      </c>
      <c r="U24">
        <v>2.7664705749387918E-2</v>
      </c>
      <c r="V24" t="s">
        <v>152</v>
      </c>
      <c r="X24">
        <v>3.5844748858447489E-2</v>
      </c>
      <c r="Y24">
        <v>6.9737877996834327E-2</v>
      </c>
      <c r="Z24" t="s">
        <v>208</v>
      </c>
      <c r="AA24" t="s">
        <v>25</v>
      </c>
      <c r="AC24" t="s">
        <v>22</v>
      </c>
      <c r="AD24" t="s">
        <v>208</v>
      </c>
      <c r="AE24">
        <v>4.3451889995549643E-2</v>
      </c>
      <c r="AG24" t="s">
        <v>96</v>
      </c>
      <c r="AH24" t="s">
        <v>208</v>
      </c>
      <c r="AI24">
        <v>0.24855204971852118</v>
      </c>
    </row>
    <row r="25" spans="5:35" x14ac:dyDescent="0.45">
      <c r="I25" t="s">
        <v>150</v>
      </c>
      <c r="J25" t="s">
        <v>218</v>
      </c>
      <c r="K25">
        <v>3.0339820464620304E-2</v>
      </c>
      <c r="L25" t="s">
        <v>152</v>
      </c>
      <c r="N25" t="s">
        <v>174</v>
      </c>
      <c r="O25" t="s">
        <v>218</v>
      </c>
      <c r="P25">
        <v>3.0231308824505445E-2</v>
      </c>
      <c r="Q25" t="s">
        <v>152</v>
      </c>
      <c r="S25" t="s">
        <v>180</v>
      </c>
      <c r="T25" t="s">
        <v>218</v>
      </c>
      <c r="U25">
        <v>2.7654619178181319E-2</v>
      </c>
      <c r="V25" t="s">
        <v>152</v>
      </c>
      <c r="X25">
        <v>3.5844748858447489E-2</v>
      </c>
      <c r="Y25">
        <v>5.4124920236349024E-2</v>
      </c>
      <c r="Z25" t="s">
        <v>218</v>
      </c>
      <c r="AA25" t="s">
        <v>25</v>
      </c>
      <c r="AC25" t="s">
        <v>22</v>
      </c>
      <c r="AD25" t="s">
        <v>218</v>
      </c>
      <c r="AE25">
        <v>4.4602789474426321E-2</v>
      </c>
      <c r="AG25" t="s">
        <v>96</v>
      </c>
      <c r="AH25" t="s">
        <v>218</v>
      </c>
      <c r="AI25">
        <v>0.19666380440619791</v>
      </c>
    </row>
    <row r="26" spans="5:35" x14ac:dyDescent="0.45">
      <c r="I26" t="s">
        <v>150</v>
      </c>
      <c r="J26" t="s">
        <v>219</v>
      </c>
      <c r="K26">
        <v>0</v>
      </c>
      <c r="L26" t="s">
        <v>152</v>
      </c>
      <c r="N26" t="s">
        <v>174</v>
      </c>
      <c r="O26" t="s">
        <v>219</v>
      </c>
      <c r="P26">
        <v>0.14566412436378867</v>
      </c>
      <c r="Q26" t="s">
        <v>152</v>
      </c>
      <c r="S26" t="s">
        <v>180</v>
      </c>
      <c r="T26" t="s">
        <v>219</v>
      </c>
      <c r="U26">
        <v>0.13849879507223928</v>
      </c>
      <c r="V26" t="s">
        <v>152</v>
      </c>
      <c r="X26">
        <v>0.17922374429223745</v>
      </c>
      <c r="Y26">
        <v>0.13531230059087257</v>
      </c>
      <c r="Z26" t="s">
        <v>219</v>
      </c>
      <c r="AA26" t="s">
        <v>25</v>
      </c>
      <c r="AC26" t="s">
        <v>22</v>
      </c>
      <c r="AD26" t="s">
        <v>219</v>
      </c>
      <c r="AE26">
        <v>0.20665441155144554</v>
      </c>
      <c r="AG26" t="s">
        <v>96</v>
      </c>
      <c r="AH26" t="s">
        <v>219</v>
      </c>
      <c r="AI26">
        <v>0.25042194404008455</v>
      </c>
    </row>
    <row r="27" spans="5:35" x14ac:dyDescent="0.45">
      <c r="I27" t="s">
        <v>158</v>
      </c>
      <c r="J27" t="s">
        <v>151</v>
      </c>
      <c r="K27">
        <v>0</v>
      </c>
      <c r="L27" t="s">
        <v>152</v>
      </c>
      <c r="N27" t="s">
        <v>175</v>
      </c>
      <c r="O27" t="s">
        <v>151</v>
      </c>
      <c r="P27">
        <v>5.7263772623110783E-2</v>
      </c>
      <c r="Q27" t="s">
        <v>152</v>
      </c>
      <c r="S27" t="s">
        <v>181</v>
      </c>
      <c r="T27" t="s">
        <v>151</v>
      </c>
      <c r="U27">
        <v>8.2056912993670197E-2</v>
      </c>
      <c r="V27" t="s">
        <v>152</v>
      </c>
      <c r="AC27" t="s">
        <v>19</v>
      </c>
      <c r="AD27" t="s">
        <v>151</v>
      </c>
      <c r="AE27">
        <v>4.0147805891577328E-2</v>
      </c>
    </row>
    <row r="28" spans="5:35" x14ac:dyDescent="0.45">
      <c r="I28" t="s">
        <v>158</v>
      </c>
      <c r="J28" t="s">
        <v>153</v>
      </c>
      <c r="K28">
        <v>2.6105737471608199E-3</v>
      </c>
      <c r="L28" t="s">
        <v>152</v>
      </c>
      <c r="N28" t="s">
        <v>175</v>
      </c>
      <c r="O28" t="s">
        <v>153</v>
      </c>
      <c r="P28">
        <v>7.50045791364357E-3</v>
      </c>
      <c r="Q28" t="s">
        <v>152</v>
      </c>
      <c r="S28" t="s">
        <v>181</v>
      </c>
      <c r="T28" t="s">
        <v>153</v>
      </c>
      <c r="U28">
        <v>1.2193493436251699E-2</v>
      </c>
      <c r="V28" t="s">
        <v>152</v>
      </c>
      <c r="AC28" t="s">
        <v>19</v>
      </c>
      <c r="AD28" t="s">
        <v>153</v>
      </c>
      <c r="AE28">
        <v>5.7968421638717425E-3</v>
      </c>
    </row>
    <row r="29" spans="5:35" x14ac:dyDescent="0.45">
      <c r="I29" t="s">
        <v>158</v>
      </c>
      <c r="J29" t="s">
        <v>154</v>
      </c>
      <c r="K29">
        <v>6.6122758261874942E-3</v>
      </c>
      <c r="L29" t="s">
        <v>152</v>
      </c>
      <c r="N29" t="s">
        <v>175</v>
      </c>
      <c r="O29" t="s">
        <v>154</v>
      </c>
      <c r="P29">
        <v>7.9313166200002741E-3</v>
      </c>
      <c r="Q29" t="s">
        <v>152</v>
      </c>
      <c r="S29" t="s">
        <v>181</v>
      </c>
      <c r="T29" t="s">
        <v>154</v>
      </c>
      <c r="U29">
        <v>1.258455896892691E-2</v>
      </c>
      <c r="V29" t="s">
        <v>152</v>
      </c>
      <c r="AC29" t="s">
        <v>19</v>
      </c>
      <c r="AD29" t="s">
        <v>154</v>
      </c>
      <c r="AE29">
        <v>5.8323310159760552E-3</v>
      </c>
    </row>
    <row r="30" spans="5:35" x14ac:dyDescent="0.45">
      <c r="I30" t="s">
        <v>158</v>
      </c>
      <c r="J30" t="s">
        <v>203</v>
      </c>
      <c r="K30">
        <v>9.7614175176249443E-2</v>
      </c>
      <c r="L30" t="s">
        <v>152</v>
      </c>
      <c r="N30" t="s">
        <v>175</v>
      </c>
      <c r="O30" t="s">
        <v>203</v>
      </c>
      <c r="P30">
        <v>7.3264866711357651E-2</v>
      </c>
      <c r="Q30" t="s">
        <v>152</v>
      </c>
      <c r="S30" t="s">
        <v>181</v>
      </c>
      <c r="T30" t="s">
        <v>203</v>
      </c>
      <c r="U30">
        <v>9.1783262422878514E-2</v>
      </c>
      <c r="V30" t="s">
        <v>152</v>
      </c>
      <c r="AC30" t="s">
        <v>19</v>
      </c>
      <c r="AD30" t="s">
        <v>203</v>
      </c>
      <c r="AE30">
        <v>4.0921056530609699E-2</v>
      </c>
    </row>
    <row r="31" spans="5:35" x14ac:dyDescent="0.45">
      <c r="I31" t="s">
        <v>158</v>
      </c>
      <c r="J31" t="s">
        <v>204</v>
      </c>
      <c r="K31">
        <v>1.1211837381462527E-2</v>
      </c>
      <c r="L31" t="s">
        <v>152</v>
      </c>
      <c r="N31" t="s">
        <v>175</v>
      </c>
      <c r="O31" t="s">
        <v>204</v>
      </c>
      <c r="P31">
        <v>1.3198844791171659E-2</v>
      </c>
      <c r="Q31" t="s">
        <v>152</v>
      </c>
      <c r="S31" t="s">
        <v>181</v>
      </c>
      <c r="T31" t="s">
        <v>204</v>
      </c>
      <c r="U31">
        <v>1.3281881149011717E-2</v>
      </c>
      <c r="V31" t="s">
        <v>152</v>
      </c>
      <c r="AC31" t="s">
        <v>19</v>
      </c>
      <c r="AD31" t="s">
        <v>204</v>
      </c>
      <c r="AE31">
        <v>5.8524938799571638E-3</v>
      </c>
    </row>
    <row r="32" spans="5:35" x14ac:dyDescent="0.45">
      <c r="I32" t="s">
        <v>158</v>
      </c>
      <c r="J32" t="s">
        <v>205</v>
      </c>
      <c r="K32">
        <v>8.5694512344746503E-3</v>
      </c>
      <c r="L32" t="s">
        <v>152</v>
      </c>
      <c r="N32" t="s">
        <v>175</v>
      </c>
      <c r="O32" t="s">
        <v>205</v>
      </c>
      <c r="P32">
        <v>1.2166434197076028E-2</v>
      </c>
      <c r="Q32" t="s">
        <v>152</v>
      </c>
      <c r="S32" t="s">
        <v>181</v>
      </c>
      <c r="T32" t="s">
        <v>205</v>
      </c>
      <c r="U32">
        <v>1.1054127159801452E-2</v>
      </c>
      <c r="V32" t="s">
        <v>152</v>
      </c>
      <c r="AC32" t="s">
        <v>19</v>
      </c>
      <c r="AD32" t="s">
        <v>205</v>
      </c>
      <c r="AE32">
        <v>5.8599824860685419E-3</v>
      </c>
    </row>
    <row r="33" spans="9:31" x14ac:dyDescent="0.45">
      <c r="I33" t="s">
        <v>158</v>
      </c>
      <c r="J33" t="s">
        <v>216</v>
      </c>
      <c r="K33">
        <v>5.1654834002157627E-3</v>
      </c>
      <c r="L33" t="s">
        <v>152</v>
      </c>
      <c r="N33" t="s">
        <v>175</v>
      </c>
      <c r="O33" t="s">
        <v>216</v>
      </c>
      <c r="P33">
        <v>1.2314803858221698E-2</v>
      </c>
      <c r="Q33" t="s">
        <v>152</v>
      </c>
      <c r="S33" t="s">
        <v>181</v>
      </c>
      <c r="T33" t="s">
        <v>216</v>
      </c>
      <c r="U33">
        <v>1.2408579736756133E-2</v>
      </c>
      <c r="V33" t="s">
        <v>152</v>
      </c>
      <c r="AC33" t="s">
        <v>19</v>
      </c>
      <c r="AD33" t="s">
        <v>216</v>
      </c>
      <c r="AE33">
        <v>5.8853961066427539E-3</v>
      </c>
    </row>
    <row r="34" spans="9:31" x14ac:dyDescent="0.45">
      <c r="I34" t="s">
        <v>158</v>
      </c>
      <c r="J34" t="s">
        <v>217</v>
      </c>
      <c r="K34">
        <v>0</v>
      </c>
      <c r="L34" t="s">
        <v>152</v>
      </c>
      <c r="N34" t="s">
        <v>175</v>
      </c>
      <c r="O34" t="s">
        <v>217</v>
      </c>
      <c r="P34">
        <v>5.9305663906330353E-2</v>
      </c>
      <c r="Q34" t="s">
        <v>152</v>
      </c>
      <c r="S34" t="s">
        <v>181</v>
      </c>
      <c r="T34" t="s">
        <v>217</v>
      </c>
      <c r="U34">
        <v>6.7655488282055934E-2</v>
      </c>
      <c r="V34" t="s">
        <v>152</v>
      </c>
      <c r="AC34" t="s">
        <v>19</v>
      </c>
      <c r="AD34" t="s">
        <v>217</v>
      </c>
      <c r="AE34">
        <v>2.9294910725577782E-2</v>
      </c>
    </row>
    <row r="35" spans="9:31" x14ac:dyDescent="0.45">
      <c r="I35" t="s">
        <v>158</v>
      </c>
      <c r="J35" t="s">
        <v>155</v>
      </c>
      <c r="K35">
        <v>0</v>
      </c>
      <c r="L35" t="s">
        <v>152</v>
      </c>
      <c r="N35" t="s">
        <v>175</v>
      </c>
      <c r="O35" t="s">
        <v>155</v>
      </c>
      <c r="P35">
        <v>0.20305575164516756</v>
      </c>
      <c r="Q35" t="s">
        <v>152</v>
      </c>
      <c r="S35" t="s">
        <v>181</v>
      </c>
      <c r="T35" t="s">
        <v>155</v>
      </c>
      <c r="U35">
        <v>0.19867922062978377</v>
      </c>
      <c r="V35" t="s">
        <v>152</v>
      </c>
      <c r="AC35" t="s">
        <v>19</v>
      </c>
      <c r="AD35" t="s">
        <v>155</v>
      </c>
      <c r="AE35">
        <v>0.24652906464033858</v>
      </c>
    </row>
    <row r="36" spans="9:31" x14ac:dyDescent="0.45">
      <c r="I36" t="s">
        <v>158</v>
      </c>
      <c r="J36" t="s">
        <v>156</v>
      </c>
      <c r="K36">
        <v>2.6494467636245446E-2</v>
      </c>
      <c r="L36" t="s">
        <v>152</v>
      </c>
      <c r="N36" t="s">
        <v>175</v>
      </c>
      <c r="O36" t="s">
        <v>156</v>
      </c>
      <c r="P36">
        <v>2.8360897073259707E-2</v>
      </c>
      <c r="Q36" t="s">
        <v>152</v>
      </c>
      <c r="S36" t="s">
        <v>181</v>
      </c>
      <c r="T36" t="s">
        <v>156</v>
      </c>
      <c r="U36">
        <v>3.0348679031650561E-2</v>
      </c>
      <c r="V36" t="s">
        <v>152</v>
      </c>
      <c r="AC36" t="s">
        <v>19</v>
      </c>
      <c r="AD36" t="s">
        <v>156</v>
      </c>
      <c r="AE36">
        <v>3.5517515244123728E-2</v>
      </c>
    </row>
    <row r="37" spans="9:31" x14ac:dyDescent="0.45">
      <c r="I37" t="s">
        <v>158</v>
      </c>
      <c r="J37" t="s">
        <v>157</v>
      </c>
      <c r="K37">
        <v>5.0508539274042835E-2</v>
      </c>
      <c r="L37" t="s">
        <v>152</v>
      </c>
      <c r="N37" t="s">
        <v>175</v>
      </c>
      <c r="O37" t="s">
        <v>157</v>
      </c>
      <c r="P37">
        <v>2.7980691529785984E-2</v>
      </c>
      <c r="Q37" t="s">
        <v>152</v>
      </c>
      <c r="S37" t="s">
        <v>181</v>
      </c>
      <c r="T37" t="s">
        <v>157</v>
      </c>
      <c r="U37">
        <v>3.1181907600636487E-2</v>
      </c>
      <c r="V37" t="s">
        <v>152</v>
      </c>
      <c r="AC37" t="s">
        <v>19</v>
      </c>
      <c r="AD37" t="s">
        <v>157</v>
      </c>
      <c r="AE37">
        <v>3.5835098178149991E-2</v>
      </c>
    </row>
    <row r="38" spans="9:31" x14ac:dyDescent="0.45">
      <c r="I38" t="s">
        <v>158</v>
      </c>
      <c r="J38" t="s">
        <v>206</v>
      </c>
      <c r="K38">
        <v>0.64951396432577824</v>
      </c>
      <c r="L38" t="s">
        <v>152</v>
      </c>
      <c r="N38" t="s">
        <v>175</v>
      </c>
      <c r="O38" t="s">
        <v>206</v>
      </c>
      <c r="P38">
        <v>0.23548762883729157</v>
      </c>
      <c r="Q38" t="s">
        <v>152</v>
      </c>
      <c r="S38" t="s">
        <v>181</v>
      </c>
      <c r="T38" t="s">
        <v>206</v>
      </c>
      <c r="U38">
        <v>0.21668423661549613</v>
      </c>
      <c r="V38" t="s">
        <v>152</v>
      </c>
      <c r="AC38" t="s">
        <v>19</v>
      </c>
      <c r="AD38" t="s">
        <v>206</v>
      </c>
      <c r="AE38">
        <v>0.25310272615701646</v>
      </c>
    </row>
    <row r="39" spans="9:31" x14ac:dyDescent="0.45">
      <c r="I39" t="s">
        <v>158</v>
      </c>
      <c r="J39" t="s">
        <v>207</v>
      </c>
      <c r="K39">
        <v>6.4809271810197425E-2</v>
      </c>
      <c r="L39" t="s">
        <v>152</v>
      </c>
      <c r="N39" t="s">
        <v>175</v>
      </c>
      <c r="O39" t="s">
        <v>207</v>
      </c>
      <c r="P39">
        <v>3.5170990613888856E-2</v>
      </c>
      <c r="Q39" t="s">
        <v>152</v>
      </c>
      <c r="S39" t="s">
        <v>181</v>
      </c>
      <c r="T39" t="s">
        <v>207</v>
      </c>
      <c r="U39">
        <v>2.8618750753382393E-2</v>
      </c>
      <c r="V39" t="s">
        <v>152</v>
      </c>
      <c r="AC39" t="s">
        <v>19</v>
      </c>
      <c r="AD39" t="s">
        <v>207</v>
      </c>
      <c r="AE39">
        <v>3.6224761464935334E-2</v>
      </c>
    </row>
    <row r="40" spans="9:31" x14ac:dyDescent="0.45">
      <c r="I40" t="s">
        <v>158</v>
      </c>
      <c r="J40" t="s">
        <v>208</v>
      </c>
      <c r="K40">
        <v>4.7846683231909694E-2</v>
      </c>
      <c r="L40" t="s">
        <v>152</v>
      </c>
      <c r="N40" t="s">
        <v>175</v>
      </c>
      <c r="O40" t="s">
        <v>208</v>
      </c>
      <c r="P40">
        <v>3.355863450111804E-2</v>
      </c>
      <c r="Q40" t="s">
        <v>152</v>
      </c>
      <c r="S40" t="s">
        <v>181</v>
      </c>
      <c r="T40" t="s">
        <v>208</v>
      </c>
      <c r="U40">
        <v>2.5609490729772467E-2</v>
      </c>
      <c r="V40" t="s">
        <v>152</v>
      </c>
      <c r="AC40" t="s">
        <v>19</v>
      </c>
      <c r="AD40" t="s">
        <v>208</v>
      </c>
      <c r="AE40">
        <v>3.625012031477555E-2</v>
      </c>
    </row>
    <row r="41" spans="9:31" x14ac:dyDescent="0.45">
      <c r="I41" t="s">
        <v>158</v>
      </c>
      <c r="J41" t="s">
        <v>218</v>
      </c>
      <c r="K41">
        <v>2.9043276956076704E-2</v>
      </c>
      <c r="L41" t="s">
        <v>152</v>
      </c>
      <c r="N41" t="s">
        <v>175</v>
      </c>
      <c r="O41" t="s">
        <v>218</v>
      </c>
      <c r="P41">
        <v>3.305046389950686E-2</v>
      </c>
      <c r="Q41" t="s">
        <v>152</v>
      </c>
      <c r="S41" t="s">
        <v>181</v>
      </c>
      <c r="T41" t="s">
        <v>218</v>
      </c>
      <c r="U41">
        <v>2.6856963314114645E-2</v>
      </c>
      <c r="V41" t="s">
        <v>152</v>
      </c>
      <c r="AC41" t="s">
        <v>19</v>
      </c>
      <c r="AD41" t="s">
        <v>218</v>
      </c>
      <c r="AE41">
        <v>3.6317175194337963E-2</v>
      </c>
    </row>
    <row r="42" spans="9:31" x14ac:dyDescent="0.45">
      <c r="I42" t="s">
        <v>158</v>
      </c>
      <c r="J42" t="s">
        <v>219</v>
      </c>
      <c r="K42">
        <v>0</v>
      </c>
      <c r="L42" t="s">
        <v>152</v>
      </c>
      <c r="N42" t="s">
        <v>175</v>
      </c>
      <c r="O42" t="s">
        <v>219</v>
      </c>
      <c r="P42">
        <v>0.16038878127907438</v>
      </c>
      <c r="Q42" t="s">
        <v>152</v>
      </c>
      <c r="S42" t="s">
        <v>181</v>
      </c>
      <c r="T42" t="s">
        <v>219</v>
      </c>
      <c r="U42">
        <v>0.13900244717581051</v>
      </c>
      <c r="V42" t="s">
        <v>152</v>
      </c>
      <c r="AC42" t="s">
        <v>19</v>
      </c>
      <c r="AD42" t="s">
        <v>219</v>
      </c>
      <c r="AE42">
        <v>0.1806327200060413</v>
      </c>
    </row>
    <row r="43" spans="9:31" x14ac:dyDescent="0.45">
      <c r="I43" t="s">
        <v>159</v>
      </c>
      <c r="J43" t="s">
        <v>151</v>
      </c>
      <c r="K43">
        <v>0</v>
      </c>
      <c r="L43" t="s">
        <v>152</v>
      </c>
      <c r="N43" t="s">
        <v>176</v>
      </c>
      <c r="O43" t="s">
        <v>151</v>
      </c>
      <c r="P43">
        <v>3.9114019514826522E-2</v>
      </c>
      <c r="Q43" t="s">
        <v>152</v>
      </c>
      <c r="S43" t="s">
        <v>182</v>
      </c>
      <c r="T43" t="s">
        <v>151</v>
      </c>
      <c r="U43">
        <v>7.2794536901519727E-2</v>
      </c>
      <c r="V43" t="s">
        <v>152</v>
      </c>
    </row>
    <row r="44" spans="9:31" x14ac:dyDescent="0.45">
      <c r="I44" t="s">
        <v>159</v>
      </c>
      <c r="J44" t="s">
        <v>153</v>
      </c>
      <c r="K44">
        <v>3.2663649024960535E-6</v>
      </c>
      <c r="L44" t="s">
        <v>152</v>
      </c>
      <c r="N44" t="s">
        <v>176</v>
      </c>
      <c r="O44" t="s">
        <v>153</v>
      </c>
      <c r="P44">
        <v>4.2507115804646485E-3</v>
      </c>
      <c r="Q44" t="s">
        <v>152</v>
      </c>
      <c r="S44" t="s">
        <v>182</v>
      </c>
      <c r="T44" t="s">
        <v>153</v>
      </c>
      <c r="U44">
        <v>1.1334548442894124E-2</v>
      </c>
      <c r="V44" t="s">
        <v>152</v>
      </c>
    </row>
    <row r="45" spans="9:31" x14ac:dyDescent="0.45">
      <c r="I45" t="s">
        <v>159</v>
      </c>
      <c r="J45" t="s">
        <v>154</v>
      </c>
      <c r="K45">
        <v>5.8962636489932243E-3</v>
      </c>
      <c r="L45" t="s">
        <v>152</v>
      </c>
      <c r="N45" t="s">
        <v>176</v>
      </c>
      <c r="O45" t="s">
        <v>154</v>
      </c>
      <c r="P45">
        <v>4.4196220659466351E-3</v>
      </c>
      <c r="Q45" t="s">
        <v>152</v>
      </c>
      <c r="S45" t="s">
        <v>182</v>
      </c>
      <c r="T45" t="s">
        <v>154</v>
      </c>
      <c r="U45">
        <v>1.1955341356095845E-2</v>
      </c>
      <c r="V45" t="s">
        <v>152</v>
      </c>
    </row>
    <row r="46" spans="9:31" x14ac:dyDescent="0.45">
      <c r="I46" t="s">
        <v>159</v>
      </c>
      <c r="J46" t="s">
        <v>203</v>
      </c>
      <c r="K46">
        <v>9.3063613218539981E-2</v>
      </c>
      <c r="L46" t="s">
        <v>152</v>
      </c>
      <c r="N46" t="s">
        <v>176</v>
      </c>
      <c r="O46" t="s">
        <v>203</v>
      </c>
      <c r="P46">
        <v>6.6219840532442356E-2</v>
      </c>
      <c r="Q46" t="s">
        <v>152</v>
      </c>
      <c r="S46" t="s">
        <v>182</v>
      </c>
      <c r="T46" t="s">
        <v>203</v>
      </c>
      <c r="U46">
        <v>8.7425567067990567E-2</v>
      </c>
      <c r="V46" t="s">
        <v>152</v>
      </c>
    </row>
    <row r="47" spans="9:31" x14ac:dyDescent="0.45">
      <c r="I47" t="s">
        <v>159</v>
      </c>
      <c r="J47" t="s">
        <v>204</v>
      </c>
      <c r="K47">
        <v>1.135878229480794E-2</v>
      </c>
      <c r="L47" t="s">
        <v>152</v>
      </c>
      <c r="N47" t="s">
        <v>176</v>
      </c>
      <c r="O47" t="s">
        <v>204</v>
      </c>
      <c r="P47">
        <v>1.2496307235467947E-2</v>
      </c>
      <c r="Q47" t="s">
        <v>152</v>
      </c>
      <c r="S47" t="s">
        <v>182</v>
      </c>
      <c r="T47" t="s">
        <v>204</v>
      </c>
      <c r="U47">
        <v>1.2600206398966122E-2</v>
      </c>
      <c r="V47" t="s">
        <v>152</v>
      </c>
    </row>
    <row r="48" spans="9:31" x14ac:dyDescent="0.45">
      <c r="I48" t="s">
        <v>159</v>
      </c>
      <c r="J48" t="s">
        <v>205</v>
      </c>
      <c r="K48">
        <v>8.734362957202365E-3</v>
      </c>
      <c r="L48" t="s">
        <v>152</v>
      </c>
      <c r="N48" t="s">
        <v>176</v>
      </c>
      <c r="O48" t="s">
        <v>205</v>
      </c>
      <c r="P48">
        <v>1.2465779198140313E-2</v>
      </c>
      <c r="Q48" t="s">
        <v>152</v>
      </c>
      <c r="S48" t="s">
        <v>182</v>
      </c>
      <c r="T48" t="s">
        <v>205</v>
      </c>
      <c r="U48">
        <v>1.039010461085612E-2</v>
      </c>
      <c r="V48" t="s">
        <v>152</v>
      </c>
    </row>
    <row r="49" spans="9:22" x14ac:dyDescent="0.45">
      <c r="I49" t="s">
        <v>159</v>
      </c>
      <c r="J49" t="s">
        <v>216</v>
      </c>
      <c r="K49">
        <v>5.2726266901975544E-3</v>
      </c>
      <c r="L49" t="s">
        <v>152</v>
      </c>
      <c r="N49" t="s">
        <v>176</v>
      </c>
      <c r="O49" t="s">
        <v>216</v>
      </c>
      <c r="P49">
        <v>1.013808350731419E-2</v>
      </c>
      <c r="Q49" t="s">
        <v>152</v>
      </c>
      <c r="S49" t="s">
        <v>182</v>
      </c>
      <c r="T49" t="s">
        <v>216</v>
      </c>
      <c r="U49">
        <v>1.1415394432106594E-2</v>
      </c>
      <c r="V49" t="s">
        <v>152</v>
      </c>
    </row>
    <row r="50" spans="9:22" x14ac:dyDescent="0.45">
      <c r="I50" t="s">
        <v>159</v>
      </c>
      <c r="J50" t="s">
        <v>217</v>
      </c>
      <c r="K50">
        <v>0</v>
      </c>
      <c r="L50" t="s">
        <v>152</v>
      </c>
      <c r="N50" t="s">
        <v>176</v>
      </c>
      <c r="O50" t="s">
        <v>217</v>
      </c>
      <c r="P50">
        <v>4.5327640818189997E-2</v>
      </c>
      <c r="Q50" t="s">
        <v>152</v>
      </c>
      <c r="S50" t="s">
        <v>182</v>
      </c>
      <c r="T50" t="s">
        <v>217</v>
      </c>
      <c r="U50">
        <v>6.036560105457147E-2</v>
      </c>
      <c r="V50" t="s">
        <v>152</v>
      </c>
    </row>
    <row r="51" spans="9:22" x14ac:dyDescent="0.45">
      <c r="I51" t="s">
        <v>159</v>
      </c>
      <c r="J51" t="s">
        <v>155</v>
      </c>
      <c r="K51">
        <v>0</v>
      </c>
      <c r="L51" t="s">
        <v>152</v>
      </c>
      <c r="N51" t="s">
        <v>176</v>
      </c>
      <c r="O51" t="s">
        <v>155</v>
      </c>
      <c r="P51">
        <v>0.19807510472965564</v>
      </c>
      <c r="Q51" t="s">
        <v>152</v>
      </c>
      <c r="S51" t="s">
        <v>182</v>
      </c>
      <c r="T51" t="s">
        <v>155</v>
      </c>
      <c r="U51">
        <v>0.20824431860637022</v>
      </c>
      <c r="V51" t="s">
        <v>152</v>
      </c>
    </row>
    <row r="52" spans="9:22" x14ac:dyDescent="0.45">
      <c r="I52" t="s">
        <v>159</v>
      </c>
      <c r="J52" t="s">
        <v>156</v>
      </c>
      <c r="K52">
        <v>2.6657486538795315E-2</v>
      </c>
      <c r="L52" t="s">
        <v>152</v>
      </c>
      <c r="N52" t="s">
        <v>176</v>
      </c>
      <c r="O52" t="s">
        <v>156</v>
      </c>
      <c r="P52">
        <v>2.6456721490459217E-2</v>
      </c>
      <c r="Q52" t="s">
        <v>152</v>
      </c>
      <c r="S52" t="s">
        <v>182</v>
      </c>
      <c r="T52" t="s">
        <v>156</v>
      </c>
      <c r="U52">
        <v>3.1240643823912406E-2</v>
      </c>
      <c r="V52" t="s">
        <v>152</v>
      </c>
    </row>
    <row r="53" spans="9:22" x14ac:dyDescent="0.45">
      <c r="I53" t="s">
        <v>159</v>
      </c>
      <c r="J53" t="s">
        <v>157</v>
      </c>
      <c r="K53">
        <v>5.0348624962172184E-2</v>
      </c>
      <c r="L53" t="s">
        <v>152</v>
      </c>
      <c r="N53" t="s">
        <v>176</v>
      </c>
      <c r="O53" t="s">
        <v>157</v>
      </c>
      <c r="P53">
        <v>2.4649936485331616E-2</v>
      </c>
      <c r="Q53" t="s">
        <v>152</v>
      </c>
      <c r="S53" t="s">
        <v>182</v>
      </c>
      <c r="T53" t="s">
        <v>157</v>
      </c>
      <c r="U53">
        <v>3.2092409008874022E-2</v>
      </c>
      <c r="V53" t="s">
        <v>152</v>
      </c>
    </row>
    <row r="54" spans="9:22" x14ac:dyDescent="0.45">
      <c r="I54" t="s">
        <v>159</v>
      </c>
      <c r="J54" t="s">
        <v>206</v>
      </c>
      <c r="K54">
        <v>0.64824174575517812</v>
      </c>
      <c r="L54" t="s">
        <v>152</v>
      </c>
      <c r="N54" t="s">
        <v>176</v>
      </c>
      <c r="O54" t="s">
        <v>206</v>
      </c>
      <c r="P54">
        <v>0.26499804563416679</v>
      </c>
      <c r="Q54" t="s">
        <v>152</v>
      </c>
      <c r="S54" t="s">
        <v>182</v>
      </c>
      <c r="T54" t="s">
        <v>206</v>
      </c>
      <c r="U54">
        <v>0.22459485486967601</v>
      </c>
      <c r="V54" t="s">
        <v>152</v>
      </c>
    </row>
    <row r="55" spans="9:22" x14ac:dyDescent="0.45">
      <c r="I55" t="s">
        <v>159</v>
      </c>
      <c r="J55" t="s">
        <v>207</v>
      </c>
      <c r="K55">
        <v>6.872998181918516E-2</v>
      </c>
      <c r="L55" t="s">
        <v>152</v>
      </c>
      <c r="N55" t="s">
        <v>176</v>
      </c>
      <c r="O55" t="s">
        <v>207</v>
      </c>
      <c r="P55">
        <v>4.4010242570897695E-2</v>
      </c>
      <c r="Q55" t="s">
        <v>152</v>
      </c>
      <c r="S55" t="s">
        <v>182</v>
      </c>
      <c r="T55" t="s">
        <v>207</v>
      </c>
      <c r="U55">
        <v>2.9847233829320162E-2</v>
      </c>
      <c r="V55" t="s">
        <v>152</v>
      </c>
    </row>
    <row r="56" spans="9:22" x14ac:dyDescent="0.45">
      <c r="I56" t="s">
        <v>159</v>
      </c>
      <c r="J56" t="s">
        <v>208</v>
      </c>
      <c r="K56">
        <v>5.1197139848281302E-2</v>
      </c>
      <c r="L56" t="s">
        <v>152</v>
      </c>
      <c r="N56" t="s">
        <v>176</v>
      </c>
      <c r="O56" t="s">
        <v>208</v>
      </c>
      <c r="P56">
        <v>4.0920827605118747E-2</v>
      </c>
      <c r="Q56" t="s">
        <v>152</v>
      </c>
      <c r="S56" t="s">
        <v>182</v>
      </c>
      <c r="T56" t="s">
        <v>208</v>
      </c>
      <c r="U56">
        <v>2.6620020728711447E-2</v>
      </c>
      <c r="V56" t="s">
        <v>152</v>
      </c>
    </row>
    <row r="57" spans="9:22" x14ac:dyDescent="0.45">
      <c r="I57" t="s">
        <v>159</v>
      </c>
      <c r="J57" t="s">
        <v>218</v>
      </c>
      <c r="K57">
        <v>3.049610590174142E-2</v>
      </c>
      <c r="L57" t="s">
        <v>152</v>
      </c>
      <c r="N57" t="s">
        <v>176</v>
      </c>
      <c r="O57" t="s">
        <v>218</v>
      </c>
      <c r="P57">
        <v>3.8928906144928013E-2</v>
      </c>
      <c r="Q57" t="s">
        <v>152</v>
      </c>
      <c r="S57" t="s">
        <v>182</v>
      </c>
      <c r="T57" t="s">
        <v>218</v>
      </c>
      <c r="U57">
        <v>2.7632453775148242E-2</v>
      </c>
      <c r="V57" t="s">
        <v>152</v>
      </c>
    </row>
    <row r="58" spans="9:22" x14ac:dyDescent="0.45">
      <c r="I58" t="s">
        <v>159</v>
      </c>
      <c r="J58" t="s">
        <v>219</v>
      </c>
      <c r="K58">
        <v>0</v>
      </c>
      <c r="L58" t="s">
        <v>152</v>
      </c>
      <c r="N58" t="s">
        <v>176</v>
      </c>
      <c r="O58" t="s">
        <v>219</v>
      </c>
      <c r="P58">
        <v>0.16752821088664796</v>
      </c>
      <c r="Q58" t="s">
        <v>152</v>
      </c>
      <c r="S58" t="s">
        <v>182</v>
      </c>
      <c r="T58" t="s">
        <v>219</v>
      </c>
      <c r="U58">
        <v>0.14144676509298448</v>
      </c>
      <c r="V58" t="s">
        <v>152</v>
      </c>
    </row>
    <row r="59" spans="9:22" x14ac:dyDescent="0.45">
      <c r="I59" t="s">
        <v>160</v>
      </c>
      <c r="J59" t="s">
        <v>151</v>
      </c>
      <c r="K59">
        <v>0</v>
      </c>
      <c r="L59" t="s">
        <v>152</v>
      </c>
      <c r="N59" t="s">
        <v>177</v>
      </c>
      <c r="O59" t="s">
        <v>151</v>
      </c>
      <c r="P59">
        <v>5.1462623165095665E-2</v>
      </c>
      <c r="Q59" t="s">
        <v>152</v>
      </c>
      <c r="S59" t="s">
        <v>183</v>
      </c>
      <c r="T59" t="s">
        <v>151</v>
      </c>
      <c r="U59">
        <v>6.1431163791180722E-2</v>
      </c>
      <c r="V59" t="s">
        <v>152</v>
      </c>
    </row>
    <row r="60" spans="9:22" x14ac:dyDescent="0.45">
      <c r="I60" t="s">
        <v>160</v>
      </c>
      <c r="J60" t="s">
        <v>153</v>
      </c>
      <c r="K60">
        <v>1.1898017255940938E-4</v>
      </c>
      <c r="L60" t="s">
        <v>152</v>
      </c>
      <c r="N60" t="s">
        <v>177</v>
      </c>
      <c r="O60" t="s">
        <v>153</v>
      </c>
      <c r="P60">
        <v>6.0650534068236676E-3</v>
      </c>
      <c r="Q60" t="s">
        <v>152</v>
      </c>
      <c r="S60" t="s">
        <v>183</v>
      </c>
      <c r="T60" t="s">
        <v>153</v>
      </c>
      <c r="U60">
        <v>8.6173960660601914E-3</v>
      </c>
      <c r="V60" t="s">
        <v>152</v>
      </c>
    </row>
    <row r="61" spans="9:22" x14ac:dyDescent="0.45">
      <c r="I61" t="s">
        <v>160</v>
      </c>
      <c r="J61" t="s">
        <v>154</v>
      </c>
      <c r="K61">
        <v>5.494622273445075E-3</v>
      </c>
      <c r="L61" t="s">
        <v>152</v>
      </c>
      <c r="N61" t="s">
        <v>177</v>
      </c>
      <c r="O61" t="s">
        <v>154</v>
      </c>
      <c r="P61">
        <v>6.4079977823589479E-3</v>
      </c>
      <c r="Q61" t="s">
        <v>152</v>
      </c>
      <c r="S61" t="s">
        <v>183</v>
      </c>
      <c r="T61" t="s">
        <v>154</v>
      </c>
      <c r="U61">
        <v>9.0816594358831566E-3</v>
      </c>
      <c r="V61" t="s">
        <v>152</v>
      </c>
    </row>
    <row r="62" spans="9:22" x14ac:dyDescent="0.45">
      <c r="I62" t="s">
        <v>160</v>
      </c>
      <c r="J62" t="s">
        <v>203</v>
      </c>
      <c r="K62">
        <v>0.10063723919885992</v>
      </c>
      <c r="L62" t="s">
        <v>152</v>
      </c>
      <c r="N62" t="s">
        <v>177</v>
      </c>
      <c r="O62" t="s">
        <v>203</v>
      </c>
      <c r="P62">
        <v>5.577218529763335E-2</v>
      </c>
      <c r="Q62" t="s">
        <v>152</v>
      </c>
      <c r="S62" t="s">
        <v>183</v>
      </c>
      <c r="T62" t="s">
        <v>203</v>
      </c>
      <c r="U62">
        <v>6.5634676466208949E-2</v>
      </c>
      <c r="V62" t="s">
        <v>152</v>
      </c>
    </row>
    <row r="63" spans="9:22" x14ac:dyDescent="0.45">
      <c r="I63" t="s">
        <v>160</v>
      </c>
      <c r="J63" t="s">
        <v>204</v>
      </c>
      <c r="K63">
        <v>1.1702608057283811E-2</v>
      </c>
      <c r="L63" t="s">
        <v>152</v>
      </c>
      <c r="N63" t="s">
        <v>177</v>
      </c>
      <c r="O63" t="s">
        <v>204</v>
      </c>
      <c r="P63">
        <v>9.5501748665844897E-3</v>
      </c>
      <c r="Q63" t="s">
        <v>152</v>
      </c>
      <c r="S63" t="s">
        <v>183</v>
      </c>
      <c r="T63" t="s">
        <v>204</v>
      </c>
      <c r="U63">
        <v>1.0825151435327519E-2</v>
      </c>
      <c r="V63" t="s">
        <v>152</v>
      </c>
    </row>
    <row r="64" spans="9:22" x14ac:dyDescent="0.45">
      <c r="I64" t="s">
        <v>160</v>
      </c>
      <c r="J64" t="s">
        <v>205</v>
      </c>
      <c r="K64">
        <v>8.5904874762845283E-3</v>
      </c>
      <c r="L64" t="s">
        <v>152</v>
      </c>
      <c r="N64" t="s">
        <v>177</v>
      </c>
      <c r="O64" t="s">
        <v>205</v>
      </c>
      <c r="P64">
        <v>9.9768172780975144E-3</v>
      </c>
      <c r="Q64" t="s">
        <v>152</v>
      </c>
      <c r="S64" t="s">
        <v>183</v>
      </c>
      <c r="T64" t="s">
        <v>205</v>
      </c>
      <c r="U64">
        <v>9.4391218419462835E-3</v>
      </c>
      <c r="V64" t="s">
        <v>152</v>
      </c>
    </row>
    <row r="65" spans="9:22" x14ac:dyDescent="0.45">
      <c r="I65" t="s">
        <v>160</v>
      </c>
      <c r="J65" t="s">
        <v>216</v>
      </c>
      <c r="K65">
        <v>5.0881388842531376E-3</v>
      </c>
      <c r="L65" t="s">
        <v>152</v>
      </c>
      <c r="N65" t="s">
        <v>177</v>
      </c>
      <c r="O65" t="s">
        <v>216</v>
      </c>
      <c r="P65">
        <v>8.1417137749026629E-3</v>
      </c>
      <c r="Q65" t="s">
        <v>152</v>
      </c>
      <c r="S65" t="s">
        <v>183</v>
      </c>
      <c r="T65" t="s">
        <v>216</v>
      </c>
      <c r="U65">
        <v>1.026054319229305E-2</v>
      </c>
      <c r="V65" t="s">
        <v>152</v>
      </c>
    </row>
    <row r="66" spans="9:22" x14ac:dyDescent="0.45">
      <c r="I66" t="s">
        <v>160</v>
      </c>
      <c r="J66" t="s">
        <v>217</v>
      </c>
      <c r="K66">
        <v>0</v>
      </c>
      <c r="L66" t="s">
        <v>152</v>
      </c>
      <c r="N66" t="s">
        <v>177</v>
      </c>
      <c r="O66" t="s">
        <v>217</v>
      </c>
      <c r="P66">
        <v>4.4303178845568565E-2</v>
      </c>
      <c r="Q66" t="s">
        <v>152</v>
      </c>
      <c r="S66" t="s">
        <v>183</v>
      </c>
      <c r="T66" t="s">
        <v>217</v>
      </c>
      <c r="U66">
        <v>5.4688209958017875E-2</v>
      </c>
      <c r="V66" t="s">
        <v>152</v>
      </c>
    </row>
    <row r="67" spans="9:22" x14ac:dyDescent="0.45">
      <c r="I67" t="s">
        <v>160</v>
      </c>
      <c r="J67" t="s">
        <v>155</v>
      </c>
      <c r="K67">
        <v>0</v>
      </c>
      <c r="L67" t="s">
        <v>152</v>
      </c>
      <c r="N67" t="s">
        <v>177</v>
      </c>
      <c r="O67" t="s">
        <v>155</v>
      </c>
      <c r="P67">
        <v>0.22594330818458194</v>
      </c>
      <c r="Q67" t="s">
        <v>152</v>
      </c>
      <c r="S67" t="s">
        <v>183</v>
      </c>
      <c r="T67" t="s">
        <v>155</v>
      </c>
      <c r="U67">
        <v>0.22234263408502261</v>
      </c>
      <c r="V67" t="s">
        <v>152</v>
      </c>
    </row>
    <row r="68" spans="9:22" x14ac:dyDescent="0.45">
      <c r="I68" t="s">
        <v>160</v>
      </c>
      <c r="J68" t="s">
        <v>156</v>
      </c>
      <c r="K68">
        <v>1.8992326428216889E-2</v>
      </c>
      <c r="L68" t="s">
        <v>152</v>
      </c>
      <c r="N68" t="s">
        <v>177</v>
      </c>
      <c r="O68" t="s">
        <v>156</v>
      </c>
      <c r="P68">
        <v>2.9322889091111019E-2</v>
      </c>
      <c r="Q68" t="s">
        <v>152</v>
      </c>
      <c r="S68" t="s">
        <v>183</v>
      </c>
      <c r="T68" t="s">
        <v>156</v>
      </c>
      <c r="U68">
        <v>3.2601481413571831E-2</v>
      </c>
      <c r="V68" t="s">
        <v>152</v>
      </c>
    </row>
    <row r="69" spans="9:22" x14ac:dyDescent="0.45">
      <c r="I69" t="s">
        <v>160</v>
      </c>
      <c r="J69" t="s">
        <v>157</v>
      </c>
      <c r="K69">
        <v>4.1031917221825441E-2</v>
      </c>
      <c r="L69" t="s">
        <v>152</v>
      </c>
      <c r="N69" t="s">
        <v>177</v>
      </c>
      <c r="O69" t="s">
        <v>157</v>
      </c>
      <c r="P69">
        <v>2.9079210253447799E-2</v>
      </c>
      <c r="Q69" t="s">
        <v>152</v>
      </c>
      <c r="S69" t="s">
        <v>183</v>
      </c>
      <c r="T69" t="s">
        <v>157</v>
      </c>
      <c r="U69">
        <v>3.237935095029925E-2</v>
      </c>
      <c r="V69" t="s">
        <v>152</v>
      </c>
    </row>
    <row r="70" spans="9:22" x14ac:dyDescent="0.45">
      <c r="I70" t="s">
        <v>160</v>
      </c>
      <c r="J70" t="s">
        <v>206</v>
      </c>
      <c r="K70">
        <v>0.67233535065600614</v>
      </c>
      <c r="L70" t="s">
        <v>152</v>
      </c>
      <c r="N70" t="s">
        <v>177</v>
      </c>
      <c r="O70" t="s">
        <v>206</v>
      </c>
      <c r="P70">
        <v>0.2314152869460912</v>
      </c>
      <c r="Q70" t="s">
        <v>152</v>
      </c>
      <c r="S70" t="s">
        <v>183</v>
      </c>
      <c r="T70" t="s">
        <v>206</v>
      </c>
      <c r="U70">
        <v>0.22559270830596256</v>
      </c>
      <c r="V70" t="s">
        <v>152</v>
      </c>
    </row>
    <row r="71" spans="9:22" x14ac:dyDescent="0.45">
      <c r="I71" t="s">
        <v>160</v>
      </c>
      <c r="J71" t="s">
        <v>207</v>
      </c>
      <c r="K71">
        <v>6.8345417998189606E-2</v>
      </c>
      <c r="L71" t="s">
        <v>152</v>
      </c>
      <c r="N71" t="s">
        <v>177</v>
      </c>
      <c r="O71" t="s">
        <v>207</v>
      </c>
      <c r="P71">
        <v>3.960949815792493E-2</v>
      </c>
      <c r="Q71" t="s">
        <v>152</v>
      </c>
      <c r="S71" t="s">
        <v>183</v>
      </c>
      <c r="T71" t="s">
        <v>207</v>
      </c>
      <c r="U71">
        <v>3.4290240202564923E-2</v>
      </c>
      <c r="V71" t="s">
        <v>152</v>
      </c>
    </row>
    <row r="72" spans="9:22" x14ac:dyDescent="0.45">
      <c r="I72" t="s">
        <v>160</v>
      </c>
      <c r="J72" t="s">
        <v>208</v>
      </c>
      <c r="K72">
        <v>4.3558180910665642E-2</v>
      </c>
      <c r="L72" t="s">
        <v>152</v>
      </c>
      <c r="N72" t="s">
        <v>177</v>
      </c>
      <c r="O72" t="s">
        <v>208</v>
      </c>
      <c r="P72">
        <v>3.8826072214813843E-2</v>
      </c>
      <c r="Q72" t="s">
        <v>152</v>
      </c>
      <c r="S72" t="s">
        <v>183</v>
      </c>
      <c r="T72" t="s">
        <v>208</v>
      </c>
      <c r="U72">
        <v>3.1899775259897241E-2</v>
      </c>
      <c r="V72" t="s">
        <v>152</v>
      </c>
    </row>
    <row r="73" spans="9:22" x14ac:dyDescent="0.45">
      <c r="I73" t="s">
        <v>160</v>
      </c>
      <c r="J73" t="s">
        <v>218</v>
      </c>
      <c r="K73">
        <v>2.4104730722409762E-2</v>
      </c>
      <c r="L73" t="s">
        <v>152</v>
      </c>
      <c r="N73" t="s">
        <v>177</v>
      </c>
      <c r="O73" t="s">
        <v>218</v>
      </c>
      <c r="P73">
        <v>3.6121596754123936E-2</v>
      </c>
      <c r="Q73" t="s">
        <v>152</v>
      </c>
      <c r="S73" t="s">
        <v>183</v>
      </c>
      <c r="T73" t="s">
        <v>218</v>
      </c>
      <c r="U73">
        <v>3.1378095786009849E-2</v>
      </c>
      <c r="V73" t="s">
        <v>152</v>
      </c>
    </row>
    <row r="74" spans="9:22" x14ac:dyDescent="0.45">
      <c r="I74" t="s">
        <v>160</v>
      </c>
      <c r="J74" t="s">
        <v>219</v>
      </c>
      <c r="K74">
        <v>0</v>
      </c>
      <c r="L74" t="s">
        <v>152</v>
      </c>
      <c r="N74" t="s">
        <v>177</v>
      </c>
      <c r="O74" t="s">
        <v>219</v>
      </c>
      <c r="P74">
        <v>0.17800239398083834</v>
      </c>
      <c r="Q74" t="s">
        <v>152</v>
      </c>
      <c r="S74" t="s">
        <v>183</v>
      </c>
      <c r="T74" t="s">
        <v>219</v>
      </c>
      <c r="U74">
        <v>0.15953779180975006</v>
      </c>
      <c r="V74" t="s">
        <v>152</v>
      </c>
    </row>
    <row r="75" spans="9:22" x14ac:dyDescent="0.45">
      <c r="I75" t="s">
        <v>161</v>
      </c>
      <c r="J75" t="s">
        <v>151</v>
      </c>
      <c r="K75">
        <v>0</v>
      </c>
      <c r="L75" t="s">
        <v>152</v>
      </c>
      <c r="N75" t="s">
        <v>178</v>
      </c>
      <c r="O75" t="s">
        <v>151</v>
      </c>
      <c r="P75">
        <v>5.6928035965070789E-2</v>
      </c>
      <c r="Q75" t="s">
        <v>152</v>
      </c>
      <c r="S75" t="s">
        <v>184</v>
      </c>
      <c r="T75" t="s">
        <v>151</v>
      </c>
      <c r="U75">
        <v>4.9483200909593725E-2</v>
      </c>
      <c r="V75" t="s">
        <v>152</v>
      </c>
    </row>
    <row r="76" spans="9:22" x14ac:dyDescent="0.45">
      <c r="I76" t="s">
        <v>161</v>
      </c>
      <c r="J76" t="s">
        <v>153</v>
      </c>
      <c r="K76">
        <v>1.1360037127075476E-4</v>
      </c>
      <c r="L76" t="s">
        <v>152</v>
      </c>
      <c r="N76" t="s">
        <v>178</v>
      </c>
      <c r="O76" t="s">
        <v>153</v>
      </c>
      <c r="P76">
        <v>6.1909783398024307E-3</v>
      </c>
      <c r="Q76" t="s">
        <v>152</v>
      </c>
      <c r="S76" t="s">
        <v>184</v>
      </c>
      <c r="T76" t="s">
        <v>153</v>
      </c>
      <c r="U76">
        <v>6.2710897070759374E-3</v>
      </c>
      <c r="V76" t="s">
        <v>152</v>
      </c>
    </row>
    <row r="77" spans="9:22" x14ac:dyDescent="0.45">
      <c r="I77" t="s">
        <v>161</v>
      </c>
      <c r="J77" t="s">
        <v>154</v>
      </c>
      <c r="K77">
        <v>4.5560923564468853E-3</v>
      </c>
      <c r="L77" t="s">
        <v>152</v>
      </c>
      <c r="N77" t="s">
        <v>178</v>
      </c>
      <c r="O77" t="s">
        <v>154</v>
      </c>
      <c r="P77">
        <v>6.5293583706603998E-3</v>
      </c>
      <c r="Q77" t="s">
        <v>152</v>
      </c>
      <c r="S77" t="s">
        <v>184</v>
      </c>
      <c r="T77" t="s">
        <v>154</v>
      </c>
      <c r="U77">
        <v>6.7562498067678554E-3</v>
      </c>
      <c r="V77" t="s">
        <v>152</v>
      </c>
    </row>
    <row r="78" spans="9:22" x14ac:dyDescent="0.45">
      <c r="I78" t="s">
        <v>161</v>
      </c>
      <c r="J78" t="s">
        <v>203</v>
      </c>
      <c r="K78">
        <v>8.9959665631734409E-2</v>
      </c>
      <c r="L78" t="s">
        <v>152</v>
      </c>
      <c r="N78" t="s">
        <v>178</v>
      </c>
      <c r="O78" t="s">
        <v>203</v>
      </c>
      <c r="P78">
        <v>6.2748347298902732E-2</v>
      </c>
      <c r="Q78" t="s">
        <v>152</v>
      </c>
      <c r="S78" t="s">
        <v>184</v>
      </c>
      <c r="T78" t="s">
        <v>203</v>
      </c>
      <c r="U78">
        <v>5.1251442107134289E-2</v>
      </c>
      <c r="V78" t="s">
        <v>152</v>
      </c>
    </row>
    <row r="79" spans="9:22" x14ac:dyDescent="0.45">
      <c r="I79" t="s">
        <v>161</v>
      </c>
      <c r="J79" t="s">
        <v>204</v>
      </c>
      <c r="K79">
        <v>1.0486126953333027E-2</v>
      </c>
      <c r="L79" t="s">
        <v>152</v>
      </c>
      <c r="N79" t="s">
        <v>178</v>
      </c>
      <c r="O79" t="s">
        <v>204</v>
      </c>
      <c r="P79">
        <v>1.1537747229740374E-2</v>
      </c>
      <c r="Q79" t="s">
        <v>152</v>
      </c>
      <c r="S79" t="s">
        <v>184</v>
      </c>
      <c r="T79" t="s">
        <v>204</v>
      </c>
      <c r="U79">
        <v>7.916050965554762E-3</v>
      </c>
      <c r="V79" t="s">
        <v>152</v>
      </c>
    </row>
    <row r="80" spans="9:22" x14ac:dyDescent="0.45">
      <c r="I80" t="s">
        <v>161</v>
      </c>
      <c r="J80" t="s">
        <v>205</v>
      </c>
      <c r="K80">
        <v>7.9593157046278576E-3</v>
      </c>
      <c r="L80" t="s">
        <v>152</v>
      </c>
      <c r="N80" t="s">
        <v>178</v>
      </c>
      <c r="O80" t="s">
        <v>205</v>
      </c>
      <c r="P80">
        <v>1.1755969883317768E-2</v>
      </c>
      <c r="Q80" t="s">
        <v>152</v>
      </c>
      <c r="S80" t="s">
        <v>184</v>
      </c>
      <c r="T80" t="s">
        <v>205</v>
      </c>
      <c r="U80">
        <v>8.7021471437944229E-3</v>
      </c>
      <c r="V80" t="s">
        <v>152</v>
      </c>
    </row>
    <row r="81" spans="9:22" x14ac:dyDescent="0.45">
      <c r="I81" t="s">
        <v>161</v>
      </c>
      <c r="J81" t="s">
        <v>216</v>
      </c>
      <c r="K81">
        <v>4.7252526398624808E-3</v>
      </c>
      <c r="L81" t="s">
        <v>152</v>
      </c>
      <c r="N81" t="s">
        <v>178</v>
      </c>
      <c r="O81" t="s">
        <v>216</v>
      </c>
      <c r="P81">
        <v>9.1042549366198294E-3</v>
      </c>
      <c r="Q81" t="s">
        <v>152</v>
      </c>
      <c r="S81" t="s">
        <v>184</v>
      </c>
      <c r="T81" t="s">
        <v>216</v>
      </c>
      <c r="U81">
        <v>7.2012972530994647E-3</v>
      </c>
      <c r="V81" t="s">
        <v>152</v>
      </c>
    </row>
    <row r="82" spans="9:22" x14ac:dyDescent="0.45">
      <c r="I82" t="s">
        <v>161</v>
      </c>
      <c r="J82" t="s">
        <v>217</v>
      </c>
      <c r="K82">
        <v>0</v>
      </c>
      <c r="L82" t="s">
        <v>152</v>
      </c>
      <c r="N82" t="s">
        <v>178</v>
      </c>
      <c r="O82" t="s">
        <v>217</v>
      </c>
      <c r="P82">
        <v>5.0673658517892149E-2</v>
      </c>
      <c r="Q82" t="s">
        <v>152</v>
      </c>
      <c r="S82" t="s">
        <v>184</v>
      </c>
      <c r="T82" t="s">
        <v>217</v>
      </c>
      <c r="U82">
        <v>4.175299306799763E-2</v>
      </c>
      <c r="V82" t="s">
        <v>152</v>
      </c>
    </row>
    <row r="83" spans="9:22" x14ac:dyDescent="0.45">
      <c r="I83" t="s">
        <v>161</v>
      </c>
      <c r="J83" t="s">
        <v>155</v>
      </c>
      <c r="K83">
        <v>0</v>
      </c>
      <c r="L83" t="s">
        <v>152</v>
      </c>
      <c r="N83" t="s">
        <v>178</v>
      </c>
      <c r="O83" t="s">
        <v>155</v>
      </c>
      <c r="P83">
        <v>0.21352978334868644</v>
      </c>
      <c r="Q83" t="s">
        <v>152</v>
      </c>
      <c r="S83" t="s">
        <v>184</v>
      </c>
      <c r="T83" t="s">
        <v>155</v>
      </c>
      <c r="U83">
        <v>0.23831337521489696</v>
      </c>
      <c r="V83" t="s">
        <v>152</v>
      </c>
    </row>
    <row r="84" spans="9:22" x14ac:dyDescent="0.45">
      <c r="I84" t="s">
        <v>161</v>
      </c>
      <c r="J84" t="s">
        <v>156</v>
      </c>
      <c r="K84">
        <v>2.3517104822630756E-2</v>
      </c>
      <c r="L84" t="s">
        <v>152</v>
      </c>
      <c r="N84" t="s">
        <v>178</v>
      </c>
      <c r="O84" t="s">
        <v>156</v>
      </c>
      <c r="P84">
        <v>2.355229852912381E-2</v>
      </c>
      <c r="Q84" t="s">
        <v>152</v>
      </c>
      <c r="S84" t="s">
        <v>184</v>
      </c>
      <c r="T84" t="s">
        <v>156</v>
      </c>
      <c r="U84">
        <v>3.2881157162085312E-2</v>
      </c>
      <c r="V84" t="s">
        <v>152</v>
      </c>
    </row>
    <row r="85" spans="9:22" x14ac:dyDescent="0.45">
      <c r="I85" t="s">
        <v>161</v>
      </c>
      <c r="J85" t="s">
        <v>157</v>
      </c>
      <c r="K85">
        <v>4.8210193106412273E-2</v>
      </c>
      <c r="L85" t="s">
        <v>152</v>
      </c>
      <c r="N85" t="s">
        <v>178</v>
      </c>
      <c r="O85" t="s">
        <v>157</v>
      </c>
      <c r="P85">
        <v>2.3401329120072357E-2</v>
      </c>
      <c r="Q85" t="s">
        <v>152</v>
      </c>
      <c r="S85" t="s">
        <v>184</v>
      </c>
      <c r="T85" t="s">
        <v>157</v>
      </c>
      <c r="U85">
        <v>3.357354855437622E-2</v>
      </c>
      <c r="V85" t="s">
        <v>152</v>
      </c>
    </row>
    <row r="86" spans="9:22" x14ac:dyDescent="0.45">
      <c r="I86" t="s">
        <v>161</v>
      </c>
      <c r="J86" t="s">
        <v>206</v>
      </c>
      <c r="K86">
        <v>0.68089265133604027</v>
      </c>
      <c r="L86" t="s">
        <v>152</v>
      </c>
      <c r="N86" t="s">
        <v>178</v>
      </c>
      <c r="O86" t="s">
        <v>206</v>
      </c>
      <c r="P86">
        <v>0.21194595524415211</v>
      </c>
      <c r="Q86" t="s">
        <v>152</v>
      </c>
      <c r="S86" t="s">
        <v>184</v>
      </c>
      <c r="T86" t="s">
        <v>206</v>
      </c>
      <c r="U86">
        <v>0.24335138602767681</v>
      </c>
      <c r="V86" t="s">
        <v>152</v>
      </c>
    </row>
    <row r="87" spans="9:22" x14ac:dyDescent="0.45">
      <c r="I87" t="s">
        <v>161</v>
      </c>
      <c r="J87" t="s">
        <v>207</v>
      </c>
      <c r="K87">
        <v>6.417702314603467E-2</v>
      </c>
      <c r="L87" t="s">
        <v>152</v>
      </c>
      <c r="N87" t="s">
        <v>178</v>
      </c>
      <c r="O87" t="s">
        <v>207</v>
      </c>
      <c r="P87">
        <v>4.1655137030589928E-2</v>
      </c>
      <c r="Q87" t="s">
        <v>152</v>
      </c>
      <c r="S87" t="s">
        <v>184</v>
      </c>
      <c r="T87" t="s">
        <v>207</v>
      </c>
      <c r="U87">
        <v>3.5296356798055546E-2</v>
      </c>
      <c r="V87" t="s">
        <v>152</v>
      </c>
    </row>
    <row r="88" spans="9:22" x14ac:dyDescent="0.45">
      <c r="I88" t="s">
        <v>161</v>
      </c>
      <c r="J88" t="s">
        <v>208</v>
      </c>
      <c r="K88">
        <v>4.201058050676993E-2</v>
      </c>
      <c r="L88" t="s">
        <v>152</v>
      </c>
      <c r="N88" t="s">
        <v>178</v>
      </c>
      <c r="O88" t="s">
        <v>208</v>
      </c>
      <c r="P88">
        <v>4.1082040579085967E-2</v>
      </c>
      <c r="Q88" t="s">
        <v>152</v>
      </c>
      <c r="S88" t="s">
        <v>184</v>
      </c>
      <c r="T88" t="s">
        <v>208</v>
      </c>
      <c r="U88">
        <v>3.5761029335980077E-2</v>
      </c>
      <c r="V88" t="s">
        <v>152</v>
      </c>
    </row>
    <row r="89" spans="9:22" x14ac:dyDescent="0.45">
      <c r="I89" t="s">
        <v>161</v>
      </c>
      <c r="J89" t="s">
        <v>218</v>
      </c>
      <c r="K89">
        <v>2.3392393424836056E-2</v>
      </c>
      <c r="L89" t="s">
        <v>152</v>
      </c>
      <c r="N89" t="s">
        <v>178</v>
      </c>
      <c r="O89" t="s">
        <v>218</v>
      </c>
      <c r="P89">
        <v>3.8875816052818139E-2</v>
      </c>
      <c r="Q89" t="s">
        <v>152</v>
      </c>
      <c r="S89" t="s">
        <v>184</v>
      </c>
      <c r="T89" t="s">
        <v>218</v>
      </c>
      <c r="U89">
        <v>3.296933621865162E-2</v>
      </c>
      <c r="V89" t="s">
        <v>152</v>
      </c>
    </row>
    <row r="90" spans="9:22" x14ac:dyDescent="0.45">
      <c r="I90" t="s">
        <v>161</v>
      </c>
      <c r="J90" t="s">
        <v>219</v>
      </c>
      <c r="K90">
        <v>0</v>
      </c>
      <c r="L90" t="s">
        <v>152</v>
      </c>
      <c r="N90" t="s">
        <v>178</v>
      </c>
      <c r="O90" t="s">
        <v>219</v>
      </c>
      <c r="P90">
        <v>0.19048928955346328</v>
      </c>
      <c r="Q90" t="s">
        <v>152</v>
      </c>
      <c r="S90" t="s">
        <v>184</v>
      </c>
      <c r="T90" t="s">
        <v>219</v>
      </c>
      <c r="U90">
        <v>0.16851933972725994</v>
      </c>
      <c r="V90" t="s">
        <v>152</v>
      </c>
    </row>
    <row r="91" spans="9:22" x14ac:dyDescent="0.45">
      <c r="I91" t="s">
        <v>162</v>
      </c>
      <c r="J91" t="s">
        <v>151</v>
      </c>
      <c r="K91">
        <v>0</v>
      </c>
      <c r="L91" t="s">
        <v>152</v>
      </c>
      <c r="N91" t="s">
        <v>179</v>
      </c>
      <c r="O91" t="s">
        <v>151</v>
      </c>
      <c r="P91">
        <v>7.0937072531930559E-2</v>
      </c>
      <c r="Q91" t="s">
        <v>152</v>
      </c>
      <c r="S91" t="s">
        <v>185</v>
      </c>
      <c r="T91" t="s">
        <v>151</v>
      </c>
      <c r="U91">
        <v>5.2235963782633017E-2</v>
      </c>
      <c r="V91" t="s">
        <v>152</v>
      </c>
    </row>
    <row r="92" spans="9:22" x14ac:dyDescent="0.45">
      <c r="I92" t="s">
        <v>162</v>
      </c>
      <c r="J92" t="s">
        <v>153</v>
      </c>
      <c r="K92">
        <v>4.1996016938872062E-3</v>
      </c>
      <c r="L92" t="s">
        <v>152</v>
      </c>
      <c r="N92" t="s">
        <v>179</v>
      </c>
      <c r="O92" t="s">
        <v>153</v>
      </c>
      <c r="P92">
        <v>7.9719855554888676E-3</v>
      </c>
      <c r="Q92" t="s">
        <v>152</v>
      </c>
      <c r="S92" t="s">
        <v>185</v>
      </c>
      <c r="T92" t="s">
        <v>153</v>
      </c>
      <c r="U92">
        <v>7.4620072411720698E-3</v>
      </c>
      <c r="V92" t="s">
        <v>152</v>
      </c>
    </row>
    <row r="93" spans="9:22" x14ac:dyDescent="0.45">
      <c r="I93" t="s">
        <v>162</v>
      </c>
      <c r="J93" t="s">
        <v>154</v>
      </c>
      <c r="K93">
        <v>8.480922767144879E-3</v>
      </c>
      <c r="L93" t="s">
        <v>152</v>
      </c>
      <c r="N93" t="s">
        <v>179</v>
      </c>
      <c r="O93" t="s">
        <v>154</v>
      </c>
      <c r="P93">
        <v>8.5224223852315359E-3</v>
      </c>
      <c r="Q93" t="s">
        <v>152</v>
      </c>
      <c r="S93" t="s">
        <v>185</v>
      </c>
      <c r="T93" t="s">
        <v>154</v>
      </c>
      <c r="U93">
        <v>7.9818593177901683E-3</v>
      </c>
      <c r="V93" t="s">
        <v>152</v>
      </c>
    </row>
    <row r="94" spans="9:22" x14ac:dyDescent="0.45">
      <c r="I94" t="s">
        <v>162</v>
      </c>
      <c r="J94" t="s">
        <v>203</v>
      </c>
      <c r="K94">
        <v>0.1039083550255059</v>
      </c>
      <c r="L94" t="s">
        <v>152</v>
      </c>
      <c r="N94" t="s">
        <v>179</v>
      </c>
      <c r="O94" t="s">
        <v>203</v>
      </c>
      <c r="P94">
        <v>7.1821317945554575E-2</v>
      </c>
      <c r="Q94" t="s">
        <v>152</v>
      </c>
      <c r="S94" t="s">
        <v>185</v>
      </c>
      <c r="T94" t="s">
        <v>203</v>
      </c>
      <c r="U94">
        <v>5.8116076627813019E-2</v>
      </c>
      <c r="V94" t="s">
        <v>152</v>
      </c>
    </row>
    <row r="95" spans="9:22" x14ac:dyDescent="0.45">
      <c r="I95" t="s">
        <v>162</v>
      </c>
      <c r="J95" t="s">
        <v>204</v>
      </c>
      <c r="K95">
        <v>8.842516171147001E-3</v>
      </c>
      <c r="L95" t="s">
        <v>152</v>
      </c>
      <c r="N95" t="s">
        <v>179</v>
      </c>
      <c r="O95" t="s">
        <v>204</v>
      </c>
      <c r="P95">
        <v>1.2814145643602575E-2</v>
      </c>
      <c r="Q95" t="s">
        <v>152</v>
      </c>
      <c r="S95" t="s">
        <v>185</v>
      </c>
      <c r="T95" t="s">
        <v>204</v>
      </c>
      <c r="U95">
        <v>9.1120121820497078E-3</v>
      </c>
      <c r="V95" t="s">
        <v>152</v>
      </c>
    </row>
    <row r="96" spans="9:22" x14ac:dyDescent="0.45">
      <c r="I96" t="s">
        <v>162</v>
      </c>
      <c r="J96" t="s">
        <v>205</v>
      </c>
      <c r="K96">
        <v>5.3187778866288452E-3</v>
      </c>
      <c r="L96" t="s">
        <v>152</v>
      </c>
      <c r="N96" t="s">
        <v>179</v>
      </c>
      <c r="O96" t="s">
        <v>205</v>
      </c>
      <c r="P96">
        <v>1.3287991068160329E-2</v>
      </c>
      <c r="Q96" t="s">
        <v>152</v>
      </c>
      <c r="S96" t="s">
        <v>185</v>
      </c>
      <c r="T96" t="s">
        <v>205</v>
      </c>
      <c r="U96">
        <v>7.7669738974458311E-3</v>
      </c>
      <c r="V96" t="s">
        <v>152</v>
      </c>
    </row>
    <row r="97" spans="9:22" x14ac:dyDescent="0.45">
      <c r="I97" t="s">
        <v>162</v>
      </c>
      <c r="J97" t="s">
        <v>216</v>
      </c>
      <c r="K97">
        <v>2.4603981080922629E-3</v>
      </c>
      <c r="L97" t="s">
        <v>152</v>
      </c>
      <c r="N97" t="s">
        <v>179</v>
      </c>
      <c r="O97" t="s">
        <v>216</v>
      </c>
      <c r="P97">
        <v>1.1009324042796047E-2</v>
      </c>
      <c r="Q97" t="s">
        <v>152</v>
      </c>
      <c r="S97" t="s">
        <v>185</v>
      </c>
      <c r="T97" t="s">
        <v>216</v>
      </c>
      <c r="U97">
        <v>8.5843315026478545E-3</v>
      </c>
      <c r="V97" t="s">
        <v>152</v>
      </c>
    </row>
    <row r="98" spans="9:22" x14ac:dyDescent="0.45">
      <c r="I98" t="s">
        <v>162</v>
      </c>
      <c r="J98" t="s">
        <v>217</v>
      </c>
      <c r="K98">
        <v>0</v>
      </c>
      <c r="L98" t="s">
        <v>152</v>
      </c>
      <c r="N98" t="s">
        <v>179</v>
      </c>
      <c r="O98" t="s">
        <v>217</v>
      </c>
      <c r="P98">
        <v>6.2702793106683599E-2</v>
      </c>
      <c r="Q98" t="s">
        <v>152</v>
      </c>
      <c r="S98" t="s">
        <v>185</v>
      </c>
      <c r="T98" t="s">
        <v>217</v>
      </c>
      <c r="U98">
        <v>4.6517239352810297E-2</v>
      </c>
      <c r="V98" t="s">
        <v>152</v>
      </c>
    </row>
    <row r="99" spans="9:22" x14ac:dyDescent="0.45">
      <c r="I99" t="s">
        <v>162</v>
      </c>
      <c r="J99" t="s">
        <v>155</v>
      </c>
      <c r="K99">
        <v>9.7043305865670438E-3</v>
      </c>
      <c r="L99" t="s">
        <v>152</v>
      </c>
      <c r="N99" t="s">
        <v>179</v>
      </c>
      <c r="O99" t="s">
        <v>155</v>
      </c>
      <c r="P99">
        <v>0.21738593696766881</v>
      </c>
      <c r="Q99" t="s">
        <v>152</v>
      </c>
      <c r="S99" t="s">
        <v>185</v>
      </c>
      <c r="T99" t="s">
        <v>155</v>
      </c>
      <c r="U99">
        <v>0.23100568344932587</v>
      </c>
      <c r="V99" t="s">
        <v>152</v>
      </c>
    </row>
    <row r="100" spans="9:22" x14ac:dyDescent="0.45">
      <c r="I100" t="s">
        <v>162</v>
      </c>
      <c r="J100" t="s">
        <v>156</v>
      </c>
      <c r="K100">
        <v>3.3778853080590303E-2</v>
      </c>
      <c r="L100" t="s">
        <v>152</v>
      </c>
      <c r="N100" t="s">
        <v>179</v>
      </c>
      <c r="O100" t="s">
        <v>156</v>
      </c>
      <c r="P100">
        <v>2.4466701975784405E-2</v>
      </c>
      <c r="Q100" t="s">
        <v>152</v>
      </c>
      <c r="S100" t="s">
        <v>185</v>
      </c>
      <c r="T100" t="s">
        <v>156</v>
      </c>
      <c r="U100">
        <v>3.3586404312707159E-2</v>
      </c>
      <c r="V100" t="s">
        <v>152</v>
      </c>
    </row>
    <row r="101" spans="9:22" x14ac:dyDescent="0.45">
      <c r="I101" t="s">
        <v>162</v>
      </c>
      <c r="J101" t="s">
        <v>157</v>
      </c>
      <c r="K101">
        <v>6.0584658094186596E-2</v>
      </c>
      <c r="L101" t="s">
        <v>152</v>
      </c>
      <c r="N101" t="s">
        <v>179</v>
      </c>
      <c r="O101" t="s">
        <v>157</v>
      </c>
      <c r="P101">
        <v>2.4537313148812048E-2</v>
      </c>
      <c r="Q101" t="s">
        <v>152</v>
      </c>
      <c r="S101" t="s">
        <v>185</v>
      </c>
      <c r="T101" t="s">
        <v>157</v>
      </c>
      <c r="U101">
        <v>3.3802055879572128E-2</v>
      </c>
      <c r="V101" t="s">
        <v>152</v>
      </c>
    </row>
    <row r="102" spans="9:22" x14ac:dyDescent="0.45">
      <c r="I102" t="s">
        <v>162</v>
      </c>
      <c r="J102" t="s">
        <v>206</v>
      </c>
      <c r="K102">
        <v>0.6715008170990957</v>
      </c>
      <c r="L102" t="s">
        <v>152</v>
      </c>
      <c r="N102" t="s">
        <v>179</v>
      </c>
      <c r="O102" t="s">
        <v>206</v>
      </c>
      <c r="P102">
        <v>0.17437017367332924</v>
      </c>
      <c r="Q102" t="s">
        <v>152</v>
      </c>
      <c r="S102" t="s">
        <v>185</v>
      </c>
      <c r="T102" t="s">
        <v>206</v>
      </c>
      <c r="U102">
        <v>0.23902573878652481</v>
      </c>
      <c r="V102" t="s">
        <v>152</v>
      </c>
    </row>
    <row r="103" spans="9:22" x14ac:dyDescent="0.45">
      <c r="I103" t="s">
        <v>162</v>
      </c>
      <c r="J103" t="s">
        <v>207</v>
      </c>
      <c r="K103">
        <v>5.3387489985696049E-2</v>
      </c>
      <c r="L103" t="s">
        <v>152</v>
      </c>
      <c r="N103" t="s">
        <v>179</v>
      </c>
      <c r="O103" t="s">
        <v>207</v>
      </c>
      <c r="P103">
        <v>3.5153646543636057E-2</v>
      </c>
      <c r="Q103" t="s">
        <v>152</v>
      </c>
      <c r="S103" t="s">
        <v>185</v>
      </c>
      <c r="T103" t="s">
        <v>207</v>
      </c>
      <c r="U103">
        <v>3.4957118561225568E-2</v>
      </c>
      <c r="V103" t="s">
        <v>152</v>
      </c>
    </row>
    <row r="104" spans="9:22" x14ac:dyDescent="0.45">
      <c r="I104" t="s">
        <v>162</v>
      </c>
      <c r="J104" t="s">
        <v>208</v>
      </c>
      <c r="K104">
        <v>2.9724569220192742E-2</v>
      </c>
      <c r="L104" t="s">
        <v>152</v>
      </c>
      <c r="N104" t="s">
        <v>179</v>
      </c>
      <c r="O104" t="s">
        <v>208</v>
      </c>
      <c r="P104">
        <v>3.6199083878466584E-2</v>
      </c>
      <c r="Q104" t="s">
        <v>152</v>
      </c>
      <c r="S104" t="s">
        <v>185</v>
      </c>
      <c r="T104" t="s">
        <v>208</v>
      </c>
      <c r="U104">
        <v>3.2547559014249536E-2</v>
      </c>
      <c r="V104" t="s">
        <v>152</v>
      </c>
    </row>
    <row r="105" spans="9:22" x14ac:dyDescent="0.45">
      <c r="I105" t="s">
        <v>162</v>
      </c>
      <c r="J105" t="s">
        <v>218</v>
      </c>
      <c r="K105">
        <v>8.1087102812675976E-3</v>
      </c>
      <c r="L105" t="s">
        <v>152</v>
      </c>
      <c r="N105" t="s">
        <v>179</v>
      </c>
      <c r="O105" t="s">
        <v>218</v>
      </c>
      <c r="P105">
        <v>3.5517371599009827E-2</v>
      </c>
      <c r="Q105" t="s">
        <v>152</v>
      </c>
      <c r="S105" t="s">
        <v>185</v>
      </c>
      <c r="T105" t="s">
        <v>218</v>
      </c>
      <c r="U105">
        <v>3.2353018945845406E-2</v>
      </c>
      <c r="V105" t="s">
        <v>152</v>
      </c>
    </row>
    <row r="106" spans="9:22" x14ac:dyDescent="0.45">
      <c r="I106" t="s">
        <v>162</v>
      </c>
      <c r="J106" t="s">
        <v>219</v>
      </c>
      <c r="K106">
        <v>0</v>
      </c>
      <c r="L106" t="s">
        <v>152</v>
      </c>
      <c r="N106" t="s">
        <v>179</v>
      </c>
      <c r="O106" t="s">
        <v>219</v>
      </c>
      <c r="P106">
        <v>0.19330271993384782</v>
      </c>
      <c r="Q106" t="s">
        <v>152</v>
      </c>
      <c r="S106" t="s">
        <v>185</v>
      </c>
      <c r="T106" t="s">
        <v>219</v>
      </c>
      <c r="U106">
        <v>0.16494595714618981</v>
      </c>
      <c r="V106" t="s">
        <v>152</v>
      </c>
    </row>
    <row r="107" spans="9:22" x14ac:dyDescent="0.45">
      <c r="I107" t="s">
        <v>163</v>
      </c>
      <c r="J107" t="s">
        <v>151</v>
      </c>
      <c r="K107">
        <v>0</v>
      </c>
      <c r="L107" t="s">
        <v>152</v>
      </c>
      <c r="S107" t="s">
        <v>186</v>
      </c>
      <c r="T107" t="s">
        <v>151</v>
      </c>
      <c r="U107">
        <v>8.3252943304757701E-2</v>
      </c>
      <c r="V107" t="s">
        <v>152</v>
      </c>
    </row>
    <row r="108" spans="9:22" x14ac:dyDescent="0.45">
      <c r="I108" t="s">
        <v>163</v>
      </c>
      <c r="J108" t="s">
        <v>153</v>
      </c>
      <c r="K108">
        <v>3.7241575716921013E-3</v>
      </c>
      <c r="L108" t="s">
        <v>152</v>
      </c>
      <c r="S108" t="s">
        <v>186</v>
      </c>
      <c r="T108" t="s">
        <v>153</v>
      </c>
      <c r="U108">
        <v>1.2034968947270871E-2</v>
      </c>
      <c r="V108" t="s">
        <v>152</v>
      </c>
    </row>
    <row r="109" spans="9:22" x14ac:dyDescent="0.45">
      <c r="I109" t="s">
        <v>163</v>
      </c>
      <c r="J109" t="s">
        <v>154</v>
      </c>
      <c r="K109">
        <v>7.7241468801417289E-3</v>
      </c>
      <c r="L109" t="s">
        <v>152</v>
      </c>
      <c r="S109" t="s">
        <v>186</v>
      </c>
      <c r="T109" t="s">
        <v>154</v>
      </c>
      <c r="U109">
        <v>1.2338448986777998E-2</v>
      </c>
      <c r="V109" t="s">
        <v>152</v>
      </c>
    </row>
    <row r="110" spans="9:22" x14ac:dyDescent="0.45">
      <c r="I110" t="s">
        <v>163</v>
      </c>
      <c r="J110" t="s">
        <v>203</v>
      </c>
      <c r="K110">
        <v>9.8004474732625635E-2</v>
      </c>
      <c r="L110" t="s">
        <v>152</v>
      </c>
      <c r="S110" t="s">
        <v>186</v>
      </c>
      <c r="T110" t="s">
        <v>203</v>
      </c>
      <c r="U110">
        <v>7.9790289620822283E-2</v>
      </c>
      <c r="V110" t="s">
        <v>152</v>
      </c>
    </row>
    <row r="111" spans="9:22" x14ac:dyDescent="0.45">
      <c r="I111" t="s">
        <v>163</v>
      </c>
      <c r="J111" t="s">
        <v>204</v>
      </c>
      <c r="K111">
        <v>9.1560103400665088E-3</v>
      </c>
      <c r="L111" t="s">
        <v>152</v>
      </c>
      <c r="S111" t="s">
        <v>186</v>
      </c>
      <c r="T111" t="s">
        <v>204</v>
      </c>
      <c r="U111">
        <v>1.2110509938761178E-2</v>
      </c>
      <c r="V111" t="s">
        <v>152</v>
      </c>
    </row>
    <row r="112" spans="9:22" x14ac:dyDescent="0.45">
      <c r="I112" t="s">
        <v>163</v>
      </c>
      <c r="J112" t="s">
        <v>205</v>
      </c>
      <c r="K112">
        <v>6.2733439348584075E-3</v>
      </c>
      <c r="L112" t="s">
        <v>152</v>
      </c>
      <c r="S112" t="s">
        <v>186</v>
      </c>
      <c r="T112" t="s">
        <v>205</v>
      </c>
      <c r="U112">
        <v>1.0861972988912826E-2</v>
      </c>
      <c r="V112" t="s">
        <v>152</v>
      </c>
    </row>
    <row r="113" spans="9:22" x14ac:dyDescent="0.45">
      <c r="I113" t="s">
        <v>163</v>
      </c>
      <c r="J113" t="s">
        <v>216</v>
      </c>
      <c r="K113">
        <v>2.8383798404137545E-3</v>
      </c>
      <c r="L113" t="s">
        <v>152</v>
      </c>
      <c r="S113" t="s">
        <v>186</v>
      </c>
      <c r="T113" t="s">
        <v>216</v>
      </c>
      <c r="U113">
        <v>1.1726611453057919E-2</v>
      </c>
      <c r="V113" t="s">
        <v>152</v>
      </c>
    </row>
    <row r="114" spans="9:22" x14ac:dyDescent="0.45">
      <c r="I114" t="s">
        <v>163</v>
      </c>
      <c r="J114" t="s">
        <v>217</v>
      </c>
      <c r="K114">
        <v>0</v>
      </c>
      <c r="L114" t="s">
        <v>152</v>
      </c>
      <c r="S114" t="s">
        <v>186</v>
      </c>
      <c r="T114" t="s">
        <v>217</v>
      </c>
      <c r="U114">
        <v>6.2854630647500881E-2</v>
      </c>
      <c r="V114" t="s">
        <v>152</v>
      </c>
    </row>
    <row r="115" spans="9:22" x14ac:dyDescent="0.45">
      <c r="I115" t="s">
        <v>163</v>
      </c>
      <c r="J115" t="s">
        <v>155</v>
      </c>
      <c r="K115">
        <v>1.3570949917125273E-3</v>
      </c>
      <c r="L115" t="s">
        <v>152</v>
      </c>
      <c r="S115" t="s">
        <v>186</v>
      </c>
      <c r="T115" t="s">
        <v>155</v>
      </c>
      <c r="U115">
        <v>0.20919832388496817</v>
      </c>
      <c r="V115" t="s">
        <v>152</v>
      </c>
    </row>
    <row r="116" spans="9:22" x14ac:dyDescent="0.45">
      <c r="I116" t="s">
        <v>163</v>
      </c>
      <c r="J116" t="s">
        <v>156</v>
      </c>
      <c r="K116">
        <v>3.0939490918235731E-2</v>
      </c>
      <c r="L116" t="s">
        <v>152</v>
      </c>
      <c r="S116" t="s">
        <v>186</v>
      </c>
      <c r="T116" t="s">
        <v>156</v>
      </c>
      <c r="U116">
        <v>3.142296237610024E-2</v>
      </c>
      <c r="V116" t="s">
        <v>152</v>
      </c>
    </row>
    <row r="117" spans="9:22" x14ac:dyDescent="0.45">
      <c r="I117" t="s">
        <v>163</v>
      </c>
      <c r="J117" t="s">
        <v>157</v>
      </c>
      <c r="K117">
        <v>5.8874301466554833E-2</v>
      </c>
      <c r="L117" t="s">
        <v>152</v>
      </c>
      <c r="S117" t="s">
        <v>186</v>
      </c>
      <c r="T117" t="s">
        <v>157</v>
      </c>
      <c r="U117">
        <v>3.1839629808346773E-2</v>
      </c>
      <c r="V117" t="s">
        <v>152</v>
      </c>
    </row>
    <row r="118" spans="9:22" x14ac:dyDescent="0.45">
      <c r="I118" t="s">
        <v>163</v>
      </c>
      <c r="J118" t="s">
        <v>206</v>
      </c>
      <c r="K118">
        <v>0.67456822335227129</v>
      </c>
      <c r="L118" t="s">
        <v>152</v>
      </c>
      <c r="S118" t="s">
        <v>186</v>
      </c>
      <c r="T118" t="s">
        <v>206</v>
      </c>
      <c r="U118">
        <v>0.2131849782195972</v>
      </c>
      <c r="V118" t="s">
        <v>152</v>
      </c>
    </row>
    <row r="119" spans="9:22" x14ac:dyDescent="0.45">
      <c r="I119" t="s">
        <v>163</v>
      </c>
      <c r="J119" t="s">
        <v>207</v>
      </c>
      <c r="K119">
        <v>5.5694814194755977E-2</v>
      </c>
      <c r="L119" t="s">
        <v>152</v>
      </c>
      <c r="S119" t="s">
        <v>186</v>
      </c>
      <c r="T119" t="s">
        <v>207</v>
      </c>
      <c r="U119">
        <v>2.9841802310702194E-2</v>
      </c>
      <c r="V119" t="s">
        <v>152</v>
      </c>
    </row>
    <row r="120" spans="9:22" x14ac:dyDescent="0.45">
      <c r="I120" t="s">
        <v>163</v>
      </c>
      <c r="J120" t="s">
        <v>208</v>
      </c>
      <c r="K120">
        <v>3.4089480287949052E-2</v>
      </c>
      <c r="L120" t="s">
        <v>152</v>
      </c>
      <c r="S120" t="s">
        <v>186</v>
      </c>
      <c r="T120" t="s">
        <v>208</v>
      </c>
      <c r="U120">
        <v>2.7729357394142062E-2</v>
      </c>
      <c r="V120" t="s">
        <v>152</v>
      </c>
    </row>
    <row r="121" spans="9:22" x14ac:dyDescent="0.45">
      <c r="I121" t="s">
        <v>163</v>
      </c>
      <c r="J121" t="s">
        <v>218</v>
      </c>
      <c r="K121">
        <v>1.6756081488721847E-2</v>
      </c>
      <c r="L121" t="s">
        <v>152</v>
      </c>
      <c r="S121" t="s">
        <v>186</v>
      </c>
      <c r="T121" t="s">
        <v>218</v>
      </c>
      <c r="U121">
        <v>2.8283152611238455E-2</v>
      </c>
      <c r="V121" t="s">
        <v>152</v>
      </c>
    </row>
    <row r="122" spans="9:22" x14ac:dyDescent="0.45">
      <c r="I122" t="s">
        <v>163</v>
      </c>
      <c r="J122" t="s">
        <v>219</v>
      </c>
      <c r="K122">
        <v>0</v>
      </c>
      <c r="L122" t="s">
        <v>152</v>
      </c>
      <c r="S122" t="s">
        <v>186</v>
      </c>
      <c r="T122" t="s">
        <v>219</v>
      </c>
      <c r="U122">
        <v>0.14352941750704332</v>
      </c>
      <c r="V122" t="s">
        <v>152</v>
      </c>
    </row>
    <row r="123" spans="9:22" x14ac:dyDescent="0.45">
      <c r="I123" t="s">
        <v>164</v>
      </c>
      <c r="J123" t="s">
        <v>151</v>
      </c>
      <c r="K123">
        <v>0</v>
      </c>
      <c r="L123" t="s">
        <v>152</v>
      </c>
      <c r="S123" t="s">
        <v>187</v>
      </c>
      <c r="T123" t="s">
        <v>151</v>
      </c>
      <c r="U123">
        <v>7.4133135312086929E-2</v>
      </c>
      <c r="V123" t="s">
        <v>152</v>
      </c>
    </row>
    <row r="124" spans="9:22" x14ac:dyDescent="0.45">
      <c r="I124" t="s">
        <v>164</v>
      </c>
      <c r="J124" t="s">
        <v>153</v>
      </c>
      <c r="K124">
        <v>4.038509137104334E-3</v>
      </c>
      <c r="L124" t="s">
        <v>152</v>
      </c>
      <c r="S124" t="s">
        <v>187</v>
      </c>
      <c r="T124" t="s">
        <v>153</v>
      </c>
      <c r="U124">
        <v>1.0544813485068897E-2</v>
      </c>
      <c r="V124" t="s">
        <v>152</v>
      </c>
    </row>
    <row r="125" spans="9:22" x14ac:dyDescent="0.45">
      <c r="I125" t="s">
        <v>164</v>
      </c>
      <c r="J125" t="s">
        <v>154</v>
      </c>
      <c r="K125">
        <v>8.6400651544978786E-3</v>
      </c>
      <c r="L125" t="s">
        <v>152</v>
      </c>
      <c r="S125" t="s">
        <v>187</v>
      </c>
      <c r="T125" t="s">
        <v>154</v>
      </c>
      <c r="U125">
        <v>1.0838442600272682E-2</v>
      </c>
      <c r="V125" t="s">
        <v>152</v>
      </c>
    </row>
    <row r="126" spans="9:22" x14ac:dyDescent="0.45">
      <c r="I126" t="s">
        <v>164</v>
      </c>
      <c r="J126" t="s">
        <v>203</v>
      </c>
      <c r="K126">
        <v>0.10099847556407933</v>
      </c>
      <c r="L126" t="s">
        <v>152</v>
      </c>
      <c r="S126" t="s">
        <v>187</v>
      </c>
      <c r="T126" t="s">
        <v>203</v>
      </c>
      <c r="U126">
        <v>7.1466098925931282E-2</v>
      </c>
      <c r="V126" t="s">
        <v>152</v>
      </c>
    </row>
    <row r="127" spans="9:22" x14ac:dyDescent="0.45">
      <c r="I127" t="s">
        <v>164</v>
      </c>
      <c r="J127" t="s">
        <v>204</v>
      </c>
      <c r="K127">
        <v>8.9419874388157791E-3</v>
      </c>
      <c r="L127" t="s">
        <v>152</v>
      </c>
      <c r="S127" t="s">
        <v>187</v>
      </c>
      <c r="T127" t="s">
        <v>204</v>
      </c>
      <c r="U127">
        <v>1.0099801269959541E-2</v>
      </c>
      <c r="V127" t="s">
        <v>152</v>
      </c>
    </row>
    <row r="128" spans="9:22" x14ac:dyDescent="0.45">
      <c r="I128" t="s">
        <v>164</v>
      </c>
      <c r="J128" t="s">
        <v>205</v>
      </c>
      <c r="K128">
        <v>5.2167225535420057E-3</v>
      </c>
      <c r="L128" t="s">
        <v>152</v>
      </c>
      <c r="S128" t="s">
        <v>187</v>
      </c>
      <c r="T128" t="s">
        <v>205</v>
      </c>
      <c r="U128">
        <v>8.5728188722727691E-3</v>
      </c>
      <c r="V128" t="s">
        <v>152</v>
      </c>
    </row>
    <row r="129" spans="9:22" x14ac:dyDescent="0.45">
      <c r="I129" t="s">
        <v>164</v>
      </c>
      <c r="J129" t="s">
        <v>216</v>
      </c>
      <c r="K129">
        <v>2.6563069168033036E-3</v>
      </c>
      <c r="L129" t="s">
        <v>152</v>
      </c>
      <c r="S129" t="s">
        <v>187</v>
      </c>
      <c r="T129" t="s">
        <v>216</v>
      </c>
      <c r="U129">
        <v>9.4252941745179494E-3</v>
      </c>
      <c r="V129" t="s">
        <v>152</v>
      </c>
    </row>
    <row r="130" spans="9:22" x14ac:dyDescent="0.45">
      <c r="I130" t="s">
        <v>164</v>
      </c>
      <c r="J130" t="s">
        <v>217</v>
      </c>
      <c r="K130">
        <v>0</v>
      </c>
      <c r="L130" t="s">
        <v>152</v>
      </c>
      <c r="S130" t="s">
        <v>187</v>
      </c>
      <c r="T130" t="s">
        <v>217</v>
      </c>
      <c r="U130">
        <v>5.4164219115885759E-2</v>
      </c>
      <c r="V130" t="s">
        <v>152</v>
      </c>
    </row>
    <row r="131" spans="9:22" x14ac:dyDescent="0.45">
      <c r="I131" t="s">
        <v>164</v>
      </c>
      <c r="J131" t="s">
        <v>155</v>
      </c>
      <c r="K131">
        <v>4.4601634201023701E-3</v>
      </c>
      <c r="L131" t="s">
        <v>152</v>
      </c>
      <c r="S131" t="s">
        <v>187</v>
      </c>
      <c r="T131" t="s">
        <v>155</v>
      </c>
      <c r="U131">
        <v>0.21949750434856571</v>
      </c>
      <c r="V131" t="s">
        <v>152</v>
      </c>
    </row>
    <row r="132" spans="9:22" x14ac:dyDescent="0.45">
      <c r="I132" t="s">
        <v>164</v>
      </c>
      <c r="J132" t="s">
        <v>156</v>
      </c>
      <c r="K132">
        <v>3.0626159885142088E-2</v>
      </c>
      <c r="L132" t="s">
        <v>152</v>
      </c>
      <c r="S132" t="s">
        <v>187</v>
      </c>
      <c r="T132" t="s">
        <v>156</v>
      </c>
      <c r="U132">
        <v>3.2416607481240735E-2</v>
      </c>
      <c r="V132" t="s">
        <v>152</v>
      </c>
    </row>
    <row r="133" spans="9:22" x14ac:dyDescent="0.45">
      <c r="I133" t="s">
        <v>164</v>
      </c>
      <c r="J133" t="s">
        <v>157</v>
      </c>
      <c r="K133">
        <v>5.5810902451230437E-2</v>
      </c>
      <c r="L133" t="s">
        <v>152</v>
      </c>
      <c r="S133" t="s">
        <v>187</v>
      </c>
      <c r="T133" t="s">
        <v>157</v>
      </c>
      <c r="U133">
        <v>3.2453621317031035E-2</v>
      </c>
      <c r="V133" t="s">
        <v>152</v>
      </c>
    </row>
    <row r="134" spans="9:22" x14ac:dyDescent="0.45">
      <c r="I134" t="s">
        <v>164</v>
      </c>
      <c r="J134" t="s">
        <v>206</v>
      </c>
      <c r="K134">
        <v>0.66908702106049933</v>
      </c>
      <c r="L134" t="s">
        <v>152</v>
      </c>
      <c r="S134" t="s">
        <v>187</v>
      </c>
      <c r="T134" t="s">
        <v>206</v>
      </c>
      <c r="U134">
        <v>0.22379383212975681</v>
      </c>
      <c r="V134" t="s">
        <v>152</v>
      </c>
    </row>
    <row r="135" spans="9:22" x14ac:dyDescent="0.45">
      <c r="I135" t="s">
        <v>164</v>
      </c>
      <c r="J135" t="s">
        <v>207</v>
      </c>
      <c r="K135">
        <v>5.9050295096744448E-2</v>
      </c>
      <c r="L135" t="s">
        <v>152</v>
      </c>
      <c r="S135" t="s">
        <v>187</v>
      </c>
      <c r="T135" t="s">
        <v>207</v>
      </c>
      <c r="U135">
        <v>3.1989849877112571E-2</v>
      </c>
      <c r="V135" t="s">
        <v>152</v>
      </c>
    </row>
    <row r="136" spans="9:22" x14ac:dyDescent="0.45">
      <c r="I136" t="s">
        <v>164</v>
      </c>
      <c r="J136" t="s">
        <v>208</v>
      </c>
      <c r="K136">
        <v>3.5938190696013866E-2</v>
      </c>
      <c r="L136" t="s">
        <v>152</v>
      </c>
      <c r="S136" t="s">
        <v>187</v>
      </c>
      <c r="T136" t="s">
        <v>208</v>
      </c>
      <c r="U136">
        <v>2.9135250009519765E-2</v>
      </c>
      <c r="V136" t="s">
        <v>152</v>
      </c>
    </row>
    <row r="137" spans="9:22" x14ac:dyDescent="0.45">
      <c r="I137" t="s">
        <v>164</v>
      </c>
      <c r="J137" t="s">
        <v>218</v>
      </c>
      <c r="K137">
        <v>1.4535200625421097E-2</v>
      </c>
      <c r="L137" t="s">
        <v>152</v>
      </c>
      <c r="S137" t="s">
        <v>187</v>
      </c>
      <c r="T137" t="s">
        <v>218</v>
      </c>
      <c r="U137">
        <v>2.9308470256655693E-2</v>
      </c>
      <c r="V137" t="s">
        <v>152</v>
      </c>
    </row>
    <row r="138" spans="9:22" x14ac:dyDescent="0.45">
      <c r="I138" t="s">
        <v>164</v>
      </c>
      <c r="J138" t="s">
        <v>219</v>
      </c>
      <c r="K138">
        <v>0</v>
      </c>
      <c r="L138" t="s">
        <v>152</v>
      </c>
      <c r="S138" t="s">
        <v>187</v>
      </c>
      <c r="T138" t="s">
        <v>219</v>
      </c>
      <c r="U138">
        <v>0.15216024082412061</v>
      </c>
      <c r="V138" t="s">
        <v>152</v>
      </c>
    </row>
    <row r="139" spans="9:22" x14ac:dyDescent="0.45">
      <c r="I139" t="s">
        <v>165</v>
      </c>
      <c r="J139" t="s">
        <v>151</v>
      </c>
      <c r="K139">
        <v>0</v>
      </c>
      <c r="L139" t="s">
        <v>152</v>
      </c>
      <c r="S139" t="s">
        <v>188</v>
      </c>
      <c r="T139" t="s">
        <v>151</v>
      </c>
      <c r="U139">
        <v>7.0751084208091092E-2</v>
      </c>
      <c r="V139" t="s">
        <v>152</v>
      </c>
    </row>
    <row r="140" spans="9:22" x14ac:dyDescent="0.45">
      <c r="I140" t="s">
        <v>165</v>
      </c>
      <c r="J140" t="s">
        <v>153</v>
      </c>
      <c r="K140">
        <v>3.7855537617834767E-3</v>
      </c>
      <c r="L140" t="s">
        <v>152</v>
      </c>
      <c r="S140" t="s">
        <v>188</v>
      </c>
      <c r="T140" t="s">
        <v>153</v>
      </c>
      <c r="U140">
        <v>9.8785447059698047E-3</v>
      </c>
      <c r="V140" t="s">
        <v>152</v>
      </c>
    </row>
    <row r="141" spans="9:22" x14ac:dyDescent="0.45">
      <c r="I141" t="s">
        <v>165</v>
      </c>
      <c r="J141" t="s">
        <v>154</v>
      </c>
      <c r="K141">
        <v>8.6894535559264643E-3</v>
      </c>
      <c r="L141" t="s">
        <v>152</v>
      </c>
      <c r="S141" t="s">
        <v>188</v>
      </c>
      <c r="T141" t="s">
        <v>154</v>
      </c>
      <c r="U141">
        <v>1.0171572184906797E-2</v>
      </c>
      <c r="V141" t="s">
        <v>152</v>
      </c>
    </row>
    <row r="142" spans="9:22" x14ac:dyDescent="0.45">
      <c r="I142" t="s">
        <v>165</v>
      </c>
      <c r="J142" t="s">
        <v>203</v>
      </c>
      <c r="K142">
        <v>0.10305832280650477</v>
      </c>
      <c r="L142" t="s">
        <v>152</v>
      </c>
      <c r="S142" t="s">
        <v>188</v>
      </c>
      <c r="T142" t="s">
        <v>203</v>
      </c>
      <c r="U142">
        <v>6.7862885562779973E-2</v>
      </c>
      <c r="V142" t="s">
        <v>152</v>
      </c>
    </row>
    <row r="143" spans="9:22" x14ac:dyDescent="0.45">
      <c r="I143" t="s">
        <v>165</v>
      </c>
      <c r="J143" t="s">
        <v>204</v>
      </c>
      <c r="K143">
        <v>8.6114032697505918E-3</v>
      </c>
      <c r="L143" t="s">
        <v>152</v>
      </c>
      <c r="S143" t="s">
        <v>188</v>
      </c>
      <c r="T143" t="s">
        <v>204</v>
      </c>
      <c r="U143">
        <v>9.743389613908077E-3</v>
      </c>
      <c r="V143" t="s">
        <v>152</v>
      </c>
    </row>
    <row r="144" spans="9:22" x14ac:dyDescent="0.45">
      <c r="I144" t="s">
        <v>165</v>
      </c>
      <c r="J144" t="s">
        <v>205</v>
      </c>
      <c r="K144">
        <v>4.7073337068401118E-3</v>
      </c>
      <c r="L144" t="s">
        <v>152</v>
      </c>
      <c r="S144" t="s">
        <v>188</v>
      </c>
      <c r="T144" t="s">
        <v>205</v>
      </c>
      <c r="U144">
        <v>8.1040557990907317E-3</v>
      </c>
      <c r="V144" t="s">
        <v>152</v>
      </c>
    </row>
    <row r="145" spans="9:22" x14ac:dyDescent="0.45">
      <c r="I145" t="s">
        <v>165</v>
      </c>
      <c r="J145" t="s">
        <v>216</v>
      </c>
      <c r="K145">
        <v>2.1965319142438241E-3</v>
      </c>
      <c r="L145" t="s">
        <v>152</v>
      </c>
      <c r="S145" t="s">
        <v>188</v>
      </c>
      <c r="T145" t="s">
        <v>216</v>
      </c>
      <c r="U145">
        <v>8.9360888003990127E-3</v>
      </c>
      <c r="V145" t="s">
        <v>152</v>
      </c>
    </row>
    <row r="146" spans="9:22" x14ac:dyDescent="0.45">
      <c r="I146" t="s">
        <v>165</v>
      </c>
      <c r="J146" t="s">
        <v>217</v>
      </c>
      <c r="K146">
        <v>0</v>
      </c>
      <c r="L146" t="s">
        <v>152</v>
      </c>
      <c r="S146" t="s">
        <v>188</v>
      </c>
      <c r="T146" t="s">
        <v>217</v>
      </c>
      <c r="U146">
        <v>5.2644042099262246E-2</v>
      </c>
      <c r="V146" t="s">
        <v>152</v>
      </c>
    </row>
    <row r="147" spans="9:22" x14ac:dyDescent="0.45">
      <c r="I147" t="s">
        <v>165</v>
      </c>
      <c r="J147" t="s">
        <v>155</v>
      </c>
      <c r="K147">
        <v>6.7469228536556555E-3</v>
      </c>
      <c r="L147" t="s">
        <v>152</v>
      </c>
      <c r="S147" t="s">
        <v>188</v>
      </c>
      <c r="T147" t="s">
        <v>155</v>
      </c>
      <c r="U147">
        <v>0.22336224172036692</v>
      </c>
      <c r="V147" t="s">
        <v>152</v>
      </c>
    </row>
    <row r="148" spans="9:22" x14ac:dyDescent="0.45">
      <c r="I148" t="s">
        <v>165</v>
      </c>
      <c r="J148" t="s">
        <v>156</v>
      </c>
      <c r="K148">
        <v>3.4179560391938583E-2</v>
      </c>
      <c r="L148" t="s">
        <v>152</v>
      </c>
      <c r="S148" t="s">
        <v>188</v>
      </c>
      <c r="T148" t="s">
        <v>156</v>
      </c>
      <c r="U148">
        <v>3.2177022095983131E-2</v>
      </c>
      <c r="V148" t="s">
        <v>152</v>
      </c>
    </row>
    <row r="149" spans="9:22" x14ac:dyDescent="0.45">
      <c r="I149" t="s">
        <v>165</v>
      </c>
      <c r="J149" t="s">
        <v>157</v>
      </c>
      <c r="K149">
        <v>6.201847959896218E-2</v>
      </c>
      <c r="L149" t="s">
        <v>152</v>
      </c>
      <c r="S149" t="s">
        <v>188</v>
      </c>
      <c r="T149" t="s">
        <v>157</v>
      </c>
      <c r="U149">
        <v>3.3286195268040407E-2</v>
      </c>
      <c r="V149" t="s">
        <v>152</v>
      </c>
    </row>
    <row r="150" spans="9:22" x14ac:dyDescent="0.45">
      <c r="I150" t="s">
        <v>165</v>
      </c>
      <c r="J150" t="s">
        <v>206</v>
      </c>
      <c r="K150">
        <v>0.67169492977637624</v>
      </c>
      <c r="L150" t="s">
        <v>152</v>
      </c>
      <c r="S150" t="s">
        <v>188</v>
      </c>
      <c r="T150" t="s">
        <v>206</v>
      </c>
      <c r="U150">
        <v>0.2293301914515555</v>
      </c>
      <c r="V150" t="s">
        <v>152</v>
      </c>
    </row>
    <row r="151" spans="9:22" x14ac:dyDescent="0.45">
      <c r="I151" t="s">
        <v>165</v>
      </c>
      <c r="J151" t="s">
        <v>207</v>
      </c>
      <c r="K151">
        <v>5.3847754897714879E-2</v>
      </c>
      <c r="L151" t="s">
        <v>152</v>
      </c>
      <c r="S151" t="s">
        <v>188</v>
      </c>
      <c r="T151" t="s">
        <v>207</v>
      </c>
      <c r="U151">
        <v>3.2572931630271112E-2</v>
      </c>
      <c r="V151" t="s">
        <v>152</v>
      </c>
    </row>
    <row r="152" spans="9:22" x14ac:dyDescent="0.45">
      <c r="I152" t="s">
        <v>165</v>
      </c>
      <c r="J152" t="s">
        <v>208</v>
      </c>
      <c r="K152">
        <v>3.0547216339088735E-2</v>
      </c>
      <c r="L152" t="s">
        <v>152</v>
      </c>
      <c r="S152" t="s">
        <v>188</v>
      </c>
      <c r="T152" t="s">
        <v>208</v>
      </c>
      <c r="U152">
        <v>2.9266788126291153E-2</v>
      </c>
      <c r="V152" t="s">
        <v>152</v>
      </c>
    </row>
    <row r="153" spans="9:22" x14ac:dyDescent="0.45">
      <c r="I153" t="s">
        <v>165</v>
      </c>
      <c r="J153" t="s">
        <v>218</v>
      </c>
      <c r="K153">
        <v>9.9165371272182754E-3</v>
      </c>
      <c r="L153" t="s">
        <v>152</v>
      </c>
      <c r="S153" t="s">
        <v>188</v>
      </c>
      <c r="T153" t="s">
        <v>218</v>
      </c>
      <c r="U153">
        <v>2.9555328198178934E-2</v>
      </c>
      <c r="V153" t="s">
        <v>152</v>
      </c>
    </row>
    <row r="154" spans="9:22" x14ac:dyDescent="0.45">
      <c r="I154" t="s">
        <v>165</v>
      </c>
      <c r="J154" t="s">
        <v>219</v>
      </c>
      <c r="K154">
        <v>0</v>
      </c>
      <c r="L154" t="s">
        <v>152</v>
      </c>
      <c r="S154" t="s">
        <v>188</v>
      </c>
      <c r="T154" t="s">
        <v>219</v>
      </c>
      <c r="U154">
        <v>0.15235763853490336</v>
      </c>
      <c r="V154" t="s">
        <v>152</v>
      </c>
    </row>
    <row r="155" spans="9:22" x14ac:dyDescent="0.45">
      <c r="I155" t="s">
        <v>166</v>
      </c>
      <c r="J155" t="s">
        <v>151</v>
      </c>
      <c r="K155">
        <v>0</v>
      </c>
      <c r="L155" t="s">
        <v>152</v>
      </c>
      <c r="S155" t="s">
        <v>189</v>
      </c>
      <c r="T155" t="s">
        <v>151</v>
      </c>
      <c r="U155">
        <v>7.2183396024405141E-2</v>
      </c>
      <c r="V155" t="s">
        <v>152</v>
      </c>
    </row>
    <row r="156" spans="9:22" x14ac:dyDescent="0.45">
      <c r="I156" t="s">
        <v>166</v>
      </c>
      <c r="J156" t="s">
        <v>153</v>
      </c>
      <c r="K156">
        <v>3.620989899015411E-3</v>
      </c>
      <c r="L156" t="s">
        <v>152</v>
      </c>
      <c r="S156" t="s">
        <v>189</v>
      </c>
      <c r="T156" t="s">
        <v>153</v>
      </c>
      <c r="U156">
        <v>1.022246840350269E-2</v>
      </c>
      <c r="V156" t="s">
        <v>152</v>
      </c>
    </row>
    <row r="157" spans="9:22" x14ac:dyDescent="0.45">
      <c r="I157" t="s">
        <v>166</v>
      </c>
      <c r="J157" t="s">
        <v>154</v>
      </c>
      <c r="K157">
        <v>8.4868033715687647E-3</v>
      </c>
      <c r="L157" t="s">
        <v>152</v>
      </c>
      <c r="S157" t="s">
        <v>189</v>
      </c>
      <c r="T157" t="s">
        <v>154</v>
      </c>
      <c r="U157">
        <v>1.0732231556800365E-2</v>
      </c>
      <c r="V157" t="s">
        <v>152</v>
      </c>
    </row>
    <row r="158" spans="9:22" x14ac:dyDescent="0.45">
      <c r="I158" t="s">
        <v>166</v>
      </c>
      <c r="J158" t="s">
        <v>203</v>
      </c>
      <c r="K158">
        <v>0.10198956147927268</v>
      </c>
      <c r="L158" t="s">
        <v>152</v>
      </c>
      <c r="S158" t="s">
        <v>189</v>
      </c>
      <c r="T158" t="s">
        <v>203</v>
      </c>
      <c r="U158">
        <v>7.1061103693054156E-2</v>
      </c>
      <c r="V158" t="s">
        <v>152</v>
      </c>
    </row>
    <row r="159" spans="9:22" x14ac:dyDescent="0.45">
      <c r="I159" t="s">
        <v>166</v>
      </c>
      <c r="J159" t="s">
        <v>204</v>
      </c>
      <c r="K159">
        <v>9.2266122278050478E-3</v>
      </c>
      <c r="L159" t="s">
        <v>152</v>
      </c>
      <c r="S159" t="s">
        <v>189</v>
      </c>
      <c r="T159" t="s">
        <v>204</v>
      </c>
      <c r="U159">
        <v>1.0325398407153385E-2</v>
      </c>
      <c r="V159" t="s">
        <v>152</v>
      </c>
    </row>
    <row r="160" spans="9:22" x14ac:dyDescent="0.45">
      <c r="I160" t="s">
        <v>166</v>
      </c>
      <c r="J160" t="s">
        <v>205</v>
      </c>
      <c r="K160">
        <v>5.7615485311266089E-3</v>
      </c>
      <c r="L160" t="s">
        <v>152</v>
      </c>
      <c r="S160" t="s">
        <v>189</v>
      </c>
      <c r="T160" t="s">
        <v>205</v>
      </c>
      <c r="U160">
        <v>8.8024782214063055E-3</v>
      </c>
      <c r="V160" t="s">
        <v>152</v>
      </c>
    </row>
    <row r="161" spans="9:22" x14ac:dyDescent="0.45">
      <c r="I161" t="s">
        <v>166</v>
      </c>
      <c r="J161" t="s">
        <v>216</v>
      </c>
      <c r="K161">
        <v>2.5490599691559614E-3</v>
      </c>
      <c r="L161" t="s">
        <v>152</v>
      </c>
      <c r="S161" t="s">
        <v>189</v>
      </c>
      <c r="T161" t="s">
        <v>216</v>
      </c>
      <c r="U161">
        <v>9.5825229768880405E-3</v>
      </c>
      <c r="V161" t="s">
        <v>152</v>
      </c>
    </row>
    <row r="162" spans="9:22" x14ac:dyDescent="0.45">
      <c r="I162" t="s">
        <v>166</v>
      </c>
      <c r="J162" t="s">
        <v>217</v>
      </c>
      <c r="K162">
        <v>0</v>
      </c>
      <c r="L162" t="s">
        <v>152</v>
      </c>
      <c r="S162" t="s">
        <v>189</v>
      </c>
      <c r="T162" t="s">
        <v>217</v>
      </c>
      <c r="U162">
        <v>5.5058609990711944E-2</v>
      </c>
      <c r="V162" t="s">
        <v>152</v>
      </c>
    </row>
    <row r="163" spans="9:22" x14ac:dyDescent="0.45">
      <c r="I163" t="s">
        <v>166</v>
      </c>
      <c r="J163" t="s">
        <v>155</v>
      </c>
      <c r="K163">
        <v>4.0191760323786399E-3</v>
      </c>
      <c r="L163" t="s">
        <v>152</v>
      </c>
      <c r="S163" t="s">
        <v>189</v>
      </c>
      <c r="T163" t="s">
        <v>155</v>
      </c>
      <c r="U163">
        <v>0.21937080192720412</v>
      </c>
      <c r="V163" t="s">
        <v>152</v>
      </c>
    </row>
    <row r="164" spans="9:22" x14ac:dyDescent="0.45">
      <c r="I164" t="s">
        <v>166</v>
      </c>
      <c r="J164" t="s">
        <v>156</v>
      </c>
      <c r="K164">
        <v>3.1419875388763237E-2</v>
      </c>
      <c r="L164" t="s">
        <v>152</v>
      </c>
      <c r="S164" t="s">
        <v>189</v>
      </c>
      <c r="T164" t="s">
        <v>156</v>
      </c>
      <c r="U164">
        <v>3.2351183937368584E-2</v>
      </c>
      <c r="V164" t="s">
        <v>152</v>
      </c>
    </row>
    <row r="165" spans="9:22" x14ac:dyDescent="0.45">
      <c r="I165" t="s">
        <v>166</v>
      </c>
      <c r="J165" t="s">
        <v>157</v>
      </c>
      <c r="K165">
        <v>5.8705269754552487E-2</v>
      </c>
      <c r="L165" t="s">
        <v>152</v>
      </c>
      <c r="S165" t="s">
        <v>189</v>
      </c>
      <c r="T165" t="s">
        <v>157</v>
      </c>
      <c r="U165">
        <v>3.2761310537097438E-2</v>
      </c>
      <c r="V165" t="s">
        <v>152</v>
      </c>
    </row>
    <row r="166" spans="9:22" x14ac:dyDescent="0.45">
      <c r="I166" t="s">
        <v>166</v>
      </c>
      <c r="J166" t="s">
        <v>206</v>
      </c>
      <c r="K166">
        <v>0.66845654247913322</v>
      </c>
      <c r="L166" t="s">
        <v>152</v>
      </c>
      <c r="S166" t="s">
        <v>189</v>
      </c>
      <c r="T166" t="s">
        <v>206</v>
      </c>
      <c r="U166">
        <v>0.2270603615086198</v>
      </c>
      <c r="V166" t="s">
        <v>152</v>
      </c>
    </row>
    <row r="167" spans="9:22" x14ac:dyDescent="0.45">
      <c r="I167" t="s">
        <v>166</v>
      </c>
      <c r="J167" t="s">
        <v>207</v>
      </c>
      <c r="K167">
        <v>5.8668685896806329E-2</v>
      </c>
      <c r="L167" t="s">
        <v>152</v>
      </c>
      <c r="S167" t="s">
        <v>189</v>
      </c>
      <c r="T167" t="s">
        <v>207</v>
      </c>
      <c r="U167">
        <v>3.2450083472154029E-2</v>
      </c>
      <c r="V167" t="s">
        <v>152</v>
      </c>
    </row>
    <row r="168" spans="9:22" x14ac:dyDescent="0.45">
      <c r="I168" t="s">
        <v>166</v>
      </c>
      <c r="J168" t="s">
        <v>208</v>
      </c>
      <c r="K168">
        <v>3.3716564553437571E-2</v>
      </c>
      <c r="L168" t="s">
        <v>152</v>
      </c>
      <c r="S168" t="s">
        <v>189</v>
      </c>
      <c r="T168" t="s">
        <v>208</v>
      </c>
      <c r="U168">
        <v>2.8923640690684354E-2</v>
      </c>
      <c r="V168" t="s">
        <v>152</v>
      </c>
    </row>
    <row r="169" spans="9:22" x14ac:dyDescent="0.45">
      <c r="I169" t="s">
        <v>166</v>
      </c>
      <c r="J169" t="s">
        <v>218</v>
      </c>
      <c r="K169">
        <v>1.3379310416984914E-2</v>
      </c>
      <c r="L169" t="s">
        <v>152</v>
      </c>
      <c r="S169" t="s">
        <v>189</v>
      </c>
      <c r="T169" t="s">
        <v>218</v>
      </c>
      <c r="U169">
        <v>2.9208312856243035E-2</v>
      </c>
      <c r="V169" t="s">
        <v>152</v>
      </c>
    </row>
    <row r="170" spans="9:22" x14ac:dyDescent="0.45">
      <c r="I170" t="s">
        <v>166</v>
      </c>
      <c r="J170" t="s">
        <v>219</v>
      </c>
      <c r="K170">
        <v>0</v>
      </c>
      <c r="L170" t="s">
        <v>152</v>
      </c>
      <c r="S170" t="s">
        <v>189</v>
      </c>
      <c r="T170" t="s">
        <v>219</v>
      </c>
      <c r="U170">
        <v>0.14990609579670636</v>
      </c>
      <c r="V170" t="s">
        <v>152</v>
      </c>
    </row>
    <row r="171" spans="9:22" x14ac:dyDescent="0.45">
      <c r="I171" t="s">
        <v>167</v>
      </c>
      <c r="J171" t="s">
        <v>151</v>
      </c>
      <c r="K171">
        <v>0</v>
      </c>
      <c r="L171" t="s">
        <v>152</v>
      </c>
    </row>
    <row r="172" spans="9:22" x14ac:dyDescent="0.45">
      <c r="I172" t="s">
        <v>167</v>
      </c>
      <c r="J172" t="s">
        <v>153</v>
      </c>
      <c r="K172">
        <v>6.6526404675532379E-3</v>
      </c>
      <c r="L172" t="s">
        <v>152</v>
      </c>
    </row>
    <row r="173" spans="9:22" x14ac:dyDescent="0.45">
      <c r="I173" t="s">
        <v>167</v>
      </c>
      <c r="J173" t="s">
        <v>154</v>
      </c>
      <c r="K173">
        <v>1.0969740908431651E-2</v>
      </c>
      <c r="L173" t="s">
        <v>152</v>
      </c>
    </row>
    <row r="174" spans="9:22" x14ac:dyDescent="0.45">
      <c r="I174" t="s">
        <v>167</v>
      </c>
      <c r="J174" t="s">
        <v>203</v>
      </c>
      <c r="K174">
        <v>0.10541598730637933</v>
      </c>
      <c r="L174" t="s">
        <v>152</v>
      </c>
    </row>
    <row r="175" spans="9:22" x14ac:dyDescent="0.45">
      <c r="I175" t="s">
        <v>167</v>
      </c>
      <c r="J175" t="s">
        <v>204</v>
      </c>
      <c r="K175">
        <v>8.4527876401881367E-3</v>
      </c>
      <c r="L175" t="s">
        <v>152</v>
      </c>
    </row>
    <row r="176" spans="9:22" x14ac:dyDescent="0.45">
      <c r="I176" t="s">
        <v>167</v>
      </c>
      <c r="J176" t="s">
        <v>205</v>
      </c>
      <c r="K176">
        <v>5.0942012742850075E-3</v>
      </c>
      <c r="L176" t="s">
        <v>152</v>
      </c>
    </row>
    <row r="177" spans="9:12" x14ac:dyDescent="0.45">
      <c r="I177" t="s">
        <v>167</v>
      </c>
      <c r="J177" t="s">
        <v>216</v>
      </c>
      <c r="K177">
        <v>0</v>
      </c>
      <c r="L177" t="s">
        <v>152</v>
      </c>
    </row>
    <row r="178" spans="9:12" x14ac:dyDescent="0.45">
      <c r="I178" t="s">
        <v>167</v>
      </c>
      <c r="J178" t="s">
        <v>217</v>
      </c>
      <c r="K178">
        <v>0</v>
      </c>
      <c r="L178" t="s">
        <v>152</v>
      </c>
    </row>
    <row r="179" spans="9:12" x14ac:dyDescent="0.45">
      <c r="I179" t="s">
        <v>167</v>
      </c>
      <c r="J179" t="s">
        <v>155</v>
      </c>
      <c r="K179">
        <v>2.3186887310566406E-2</v>
      </c>
      <c r="L179" t="s">
        <v>152</v>
      </c>
    </row>
    <row r="180" spans="9:12" x14ac:dyDescent="0.45">
      <c r="I180" t="s">
        <v>167</v>
      </c>
      <c r="J180" t="s">
        <v>156</v>
      </c>
      <c r="K180">
        <v>4.8037964055596113E-2</v>
      </c>
      <c r="L180" t="s">
        <v>152</v>
      </c>
    </row>
    <row r="181" spans="9:12" x14ac:dyDescent="0.45">
      <c r="I181" t="s">
        <v>167</v>
      </c>
      <c r="J181" t="s">
        <v>157</v>
      </c>
      <c r="K181">
        <v>7.4270632732678199E-2</v>
      </c>
      <c r="L181" t="s">
        <v>152</v>
      </c>
    </row>
    <row r="182" spans="9:12" x14ac:dyDescent="0.45">
      <c r="I182" t="s">
        <v>167</v>
      </c>
      <c r="J182" t="s">
        <v>206</v>
      </c>
      <c r="K182">
        <v>0.65336452374867227</v>
      </c>
      <c r="L182" t="s">
        <v>152</v>
      </c>
    </row>
    <row r="183" spans="9:12" x14ac:dyDescent="0.45">
      <c r="I183" t="s">
        <v>167</v>
      </c>
      <c r="J183" t="s">
        <v>207</v>
      </c>
      <c r="K183">
        <v>4.1882144737784899E-2</v>
      </c>
      <c r="L183" t="s">
        <v>152</v>
      </c>
    </row>
    <row r="184" spans="9:12" x14ac:dyDescent="0.45">
      <c r="I184" t="s">
        <v>167</v>
      </c>
      <c r="J184" t="s">
        <v>208</v>
      </c>
      <c r="K184">
        <v>2.2630813966987958E-2</v>
      </c>
      <c r="L184" t="s">
        <v>152</v>
      </c>
    </row>
    <row r="185" spans="9:12" x14ac:dyDescent="0.45">
      <c r="I185" t="s">
        <v>167</v>
      </c>
      <c r="J185" t="s">
        <v>218</v>
      </c>
      <c r="K185">
        <v>4.1675850875563472E-5</v>
      </c>
      <c r="L185" t="s">
        <v>152</v>
      </c>
    </row>
    <row r="186" spans="9:12" x14ac:dyDescent="0.45">
      <c r="I186" t="s">
        <v>167</v>
      </c>
      <c r="J186" t="s">
        <v>219</v>
      </c>
      <c r="K186">
        <v>0</v>
      </c>
      <c r="L186" t="s">
        <v>152</v>
      </c>
    </row>
    <row r="187" spans="9:12" x14ac:dyDescent="0.45">
      <c r="I187" t="s">
        <v>168</v>
      </c>
      <c r="J187" t="s">
        <v>151</v>
      </c>
      <c r="K187">
        <v>1.9135880730894716E-8</v>
      </c>
      <c r="L187" t="s">
        <v>152</v>
      </c>
    </row>
    <row r="188" spans="9:12" x14ac:dyDescent="0.45">
      <c r="I188" t="s">
        <v>168</v>
      </c>
      <c r="J188" t="s">
        <v>153</v>
      </c>
      <c r="K188">
        <v>6.7858279792238829E-3</v>
      </c>
      <c r="L188" t="s">
        <v>152</v>
      </c>
    </row>
    <row r="189" spans="9:12" x14ac:dyDescent="0.45">
      <c r="I189" t="s">
        <v>168</v>
      </c>
      <c r="J189" t="s">
        <v>154</v>
      </c>
      <c r="K189">
        <v>1.1698861494350985E-2</v>
      </c>
      <c r="L189" t="s">
        <v>152</v>
      </c>
    </row>
    <row r="190" spans="9:12" x14ac:dyDescent="0.45">
      <c r="I190" t="s">
        <v>168</v>
      </c>
      <c r="J190" t="s">
        <v>203</v>
      </c>
      <c r="K190">
        <v>0.10460593844577196</v>
      </c>
      <c r="L190" t="s">
        <v>152</v>
      </c>
    </row>
    <row r="191" spans="9:12" x14ac:dyDescent="0.45">
      <c r="I191" t="s">
        <v>168</v>
      </c>
      <c r="J191" t="s">
        <v>204</v>
      </c>
      <c r="K191">
        <v>7.6757433323305837E-3</v>
      </c>
      <c r="L191" t="s">
        <v>152</v>
      </c>
    </row>
    <row r="192" spans="9:12" x14ac:dyDescent="0.45">
      <c r="I192" t="s">
        <v>168</v>
      </c>
      <c r="J192" t="s">
        <v>205</v>
      </c>
      <c r="K192">
        <v>4.4950234326651527E-3</v>
      </c>
      <c r="L192" t="s">
        <v>152</v>
      </c>
    </row>
    <row r="193" spans="9:12" x14ac:dyDescent="0.45">
      <c r="I193" t="s">
        <v>168</v>
      </c>
      <c r="J193" t="s">
        <v>216</v>
      </c>
      <c r="K193">
        <v>0</v>
      </c>
      <c r="L193" t="s">
        <v>152</v>
      </c>
    </row>
    <row r="194" spans="9:12" x14ac:dyDescent="0.45">
      <c r="I194" t="s">
        <v>168</v>
      </c>
      <c r="J194" t="s">
        <v>217</v>
      </c>
      <c r="K194">
        <v>0</v>
      </c>
      <c r="L194" t="s">
        <v>152</v>
      </c>
    </row>
    <row r="195" spans="9:12" x14ac:dyDescent="0.45">
      <c r="I195" t="s">
        <v>168</v>
      </c>
      <c r="J195" t="s">
        <v>155</v>
      </c>
      <c r="K195">
        <v>2.206729108653457E-2</v>
      </c>
      <c r="L195" t="s">
        <v>152</v>
      </c>
    </row>
    <row r="196" spans="9:12" x14ac:dyDescent="0.45">
      <c r="I196" t="s">
        <v>168</v>
      </c>
      <c r="J196" t="s">
        <v>156</v>
      </c>
      <c r="K196">
        <v>4.7556437093430465E-2</v>
      </c>
      <c r="L196" t="s">
        <v>152</v>
      </c>
    </row>
    <row r="197" spans="9:12" x14ac:dyDescent="0.45">
      <c r="I197" t="s">
        <v>168</v>
      </c>
      <c r="J197" t="s">
        <v>157</v>
      </c>
      <c r="K197">
        <v>7.3642068914395536E-2</v>
      </c>
      <c r="L197" t="s">
        <v>152</v>
      </c>
    </row>
    <row r="198" spans="9:12" x14ac:dyDescent="0.45">
      <c r="I198" t="s">
        <v>168</v>
      </c>
      <c r="J198" t="s">
        <v>206</v>
      </c>
      <c r="K198">
        <v>0.65802134224878528</v>
      </c>
      <c r="L198" t="s">
        <v>152</v>
      </c>
    </row>
    <row r="199" spans="9:12" x14ac:dyDescent="0.45">
      <c r="I199" t="s">
        <v>168</v>
      </c>
      <c r="J199" t="s">
        <v>207</v>
      </c>
      <c r="K199">
        <v>4.1661160870661351E-2</v>
      </c>
      <c r="L199" t="s">
        <v>152</v>
      </c>
    </row>
    <row r="200" spans="9:12" x14ac:dyDescent="0.45">
      <c r="I200" t="s">
        <v>168</v>
      </c>
      <c r="J200" t="s">
        <v>208</v>
      </c>
      <c r="K200">
        <v>2.1446099729593115E-2</v>
      </c>
      <c r="L200" t="s">
        <v>152</v>
      </c>
    </row>
    <row r="201" spans="9:12" x14ac:dyDescent="0.45">
      <c r="I201" t="s">
        <v>168</v>
      </c>
      <c r="J201" t="s">
        <v>218</v>
      </c>
      <c r="K201">
        <v>3.44186236380419E-4</v>
      </c>
      <c r="L201" t="s">
        <v>152</v>
      </c>
    </row>
    <row r="202" spans="9:12" x14ac:dyDescent="0.45">
      <c r="I202" t="s">
        <v>168</v>
      </c>
      <c r="J202" t="s">
        <v>219</v>
      </c>
      <c r="K202">
        <v>0</v>
      </c>
      <c r="L202" t="s">
        <v>152</v>
      </c>
    </row>
    <row r="203" spans="9:12" x14ac:dyDescent="0.45">
      <c r="I203" t="s">
        <v>169</v>
      </c>
      <c r="J203" t="s">
        <v>151</v>
      </c>
      <c r="K203">
        <v>0</v>
      </c>
      <c r="L203" t="s">
        <v>152</v>
      </c>
    </row>
    <row r="204" spans="9:12" x14ac:dyDescent="0.45">
      <c r="I204" t="s">
        <v>169</v>
      </c>
      <c r="J204" t="s">
        <v>153</v>
      </c>
      <c r="K204">
        <v>3.5334511312899645E-3</v>
      </c>
      <c r="L204" t="s">
        <v>152</v>
      </c>
    </row>
    <row r="205" spans="9:12" x14ac:dyDescent="0.45">
      <c r="I205" t="s">
        <v>169</v>
      </c>
      <c r="J205" t="s">
        <v>154</v>
      </c>
      <c r="K205">
        <v>8.2115939386234078E-3</v>
      </c>
      <c r="L205" t="s">
        <v>152</v>
      </c>
    </row>
    <row r="206" spans="9:12" x14ac:dyDescent="0.45">
      <c r="I206" t="s">
        <v>169</v>
      </c>
      <c r="J206" t="s">
        <v>203</v>
      </c>
      <c r="K206">
        <v>0.10766708865114946</v>
      </c>
      <c r="L206" t="s">
        <v>152</v>
      </c>
    </row>
    <row r="207" spans="9:12" x14ac:dyDescent="0.45">
      <c r="I207" t="s">
        <v>169</v>
      </c>
      <c r="J207" t="s">
        <v>204</v>
      </c>
      <c r="K207">
        <v>9.6151269844624975E-3</v>
      </c>
      <c r="L207" t="s">
        <v>152</v>
      </c>
    </row>
    <row r="208" spans="9:12" x14ac:dyDescent="0.45">
      <c r="I208" t="s">
        <v>169</v>
      </c>
      <c r="J208" t="s">
        <v>205</v>
      </c>
      <c r="K208">
        <v>4.6888606717142827E-3</v>
      </c>
      <c r="L208" t="s">
        <v>152</v>
      </c>
    </row>
    <row r="209" spans="9:12" x14ac:dyDescent="0.45">
      <c r="I209" t="s">
        <v>169</v>
      </c>
      <c r="J209" t="s">
        <v>216</v>
      </c>
      <c r="K209">
        <v>1.774789227605939E-3</v>
      </c>
      <c r="L209" t="s">
        <v>152</v>
      </c>
    </row>
    <row r="210" spans="9:12" x14ac:dyDescent="0.45">
      <c r="I210" t="s">
        <v>169</v>
      </c>
      <c r="J210" t="s">
        <v>217</v>
      </c>
      <c r="K210">
        <v>0</v>
      </c>
      <c r="L210" t="s">
        <v>152</v>
      </c>
    </row>
    <row r="211" spans="9:12" x14ac:dyDescent="0.45">
      <c r="I211" t="s">
        <v>169</v>
      </c>
      <c r="J211" t="s">
        <v>155</v>
      </c>
      <c r="K211">
        <v>9.5964913173181947E-3</v>
      </c>
      <c r="L211" t="s">
        <v>152</v>
      </c>
    </row>
    <row r="212" spans="9:12" x14ac:dyDescent="0.45">
      <c r="I212" t="s">
        <v>169</v>
      </c>
      <c r="J212" t="s">
        <v>156</v>
      </c>
      <c r="K212">
        <v>3.137424602311089E-2</v>
      </c>
      <c r="L212" t="s">
        <v>152</v>
      </c>
    </row>
    <row r="213" spans="9:12" x14ac:dyDescent="0.45">
      <c r="I213" t="s">
        <v>169</v>
      </c>
      <c r="J213" t="s">
        <v>157</v>
      </c>
      <c r="K213">
        <v>5.9682806496552804E-2</v>
      </c>
      <c r="L213" t="s">
        <v>152</v>
      </c>
    </row>
    <row r="214" spans="9:12" x14ac:dyDescent="0.45">
      <c r="I214" t="s">
        <v>169</v>
      </c>
      <c r="J214" t="s">
        <v>206</v>
      </c>
      <c r="K214">
        <v>0.67757730463249888</v>
      </c>
      <c r="L214" t="s">
        <v>152</v>
      </c>
    </row>
    <row r="215" spans="9:12" x14ac:dyDescent="0.45">
      <c r="I215" t="s">
        <v>169</v>
      </c>
      <c r="J215" t="s">
        <v>207</v>
      </c>
      <c r="K215">
        <v>5.372928721711244E-2</v>
      </c>
      <c r="L215" t="s">
        <v>152</v>
      </c>
    </row>
    <row r="216" spans="9:12" x14ac:dyDescent="0.45">
      <c r="I216" t="s">
        <v>169</v>
      </c>
      <c r="J216" t="s">
        <v>208</v>
      </c>
      <c r="K216">
        <v>2.7368413935006636E-2</v>
      </c>
      <c r="L216" t="s">
        <v>152</v>
      </c>
    </row>
    <row r="217" spans="9:12" x14ac:dyDescent="0.45">
      <c r="I217" t="s">
        <v>169</v>
      </c>
      <c r="J217" t="s">
        <v>218</v>
      </c>
      <c r="K217">
        <v>5.1805397735534874E-3</v>
      </c>
      <c r="L217" t="s">
        <v>152</v>
      </c>
    </row>
    <row r="218" spans="9:12" x14ac:dyDescent="0.45">
      <c r="I218" t="s">
        <v>169</v>
      </c>
      <c r="J218" t="s">
        <v>219</v>
      </c>
      <c r="K218">
        <v>0</v>
      </c>
      <c r="L218" t="s">
        <v>152</v>
      </c>
    </row>
    <row r="219" spans="9:12" x14ac:dyDescent="0.45">
      <c r="I219" t="s">
        <v>170</v>
      </c>
      <c r="J219" t="s">
        <v>151</v>
      </c>
      <c r="K219">
        <v>0</v>
      </c>
      <c r="L219" t="s">
        <v>152</v>
      </c>
    </row>
    <row r="220" spans="9:12" x14ac:dyDescent="0.45">
      <c r="I220" t="s">
        <v>170</v>
      </c>
      <c r="J220" t="s">
        <v>153</v>
      </c>
      <c r="K220">
        <v>3.9866255151623708E-3</v>
      </c>
      <c r="L220" t="s">
        <v>152</v>
      </c>
    </row>
    <row r="221" spans="9:12" x14ac:dyDescent="0.45">
      <c r="I221" t="s">
        <v>170</v>
      </c>
      <c r="J221" t="s">
        <v>154</v>
      </c>
      <c r="K221">
        <v>9.0530197116051678E-3</v>
      </c>
      <c r="L221" t="s">
        <v>152</v>
      </c>
    </row>
    <row r="222" spans="9:12" x14ac:dyDescent="0.45">
      <c r="I222" t="s">
        <v>170</v>
      </c>
      <c r="J222" t="s">
        <v>203</v>
      </c>
      <c r="K222">
        <v>0.11129390201056706</v>
      </c>
      <c r="L222" t="s">
        <v>152</v>
      </c>
    </row>
    <row r="223" spans="9:12" x14ac:dyDescent="0.45">
      <c r="I223" t="s">
        <v>170</v>
      </c>
      <c r="J223" t="s">
        <v>204</v>
      </c>
      <c r="K223">
        <v>8.5950784540310896E-3</v>
      </c>
      <c r="L223" t="s">
        <v>152</v>
      </c>
    </row>
    <row r="224" spans="9:12" x14ac:dyDescent="0.45">
      <c r="I224" t="s">
        <v>170</v>
      </c>
      <c r="J224" t="s">
        <v>205</v>
      </c>
      <c r="K224">
        <v>4.3996064180733237E-3</v>
      </c>
      <c r="L224" t="s">
        <v>152</v>
      </c>
    </row>
    <row r="225" spans="9:12" x14ac:dyDescent="0.45">
      <c r="I225" t="s">
        <v>170</v>
      </c>
      <c r="J225" t="s">
        <v>216</v>
      </c>
      <c r="K225">
        <v>8.0716646137268626E-4</v>
      </c>
      <c r="L225" t="s">
        <v>152</v>
      </c>
    </row>
    <row r="226" spans="9:12" x14ac:dyDescent="0.45">
      <c r="I226" t="s">
        <v>170</v>
      </c>
      <c r="J226" t="s">
        <v>217</v>
      </c>
      <c r="K226">
        <v>0</v>
      </c>
      <c r="L226" t="s">
        <v>152</v>
      </c>
    </row>
    <row r="227" spans="9:12" x14ac:dyDescent="0.45">
      <c r="I227" t="s">
        <v>170</v>
      </c>
      <c r="J227" t="s">
        <v>155</v>
      </c>
      <c r="K227">
        <v>1.4751249170948253E-2</v>
      </c>
      <c r="L227" t="s">
        <v>152</v>
      </c>
    </row>
    <row r="228" spans="9:12" x14ac:dyDescent="0.45">
      <c r="I228" t="s">
        <v>170</v>
      </c>
      <c r="J228" t="s">
        <v>156</v>
      </c>
      <c r="K228">
        <v>3.4194025657097754E-2</v>
      </c>
      <c r="L228" t="s">
        <v>152</v>
      </c>
    </row>
    <row r="229" spans="9:12" x14ac:dyDescent="0.45">
      <c r="I229" t="s">
        <v>170</v>
      </c>
      <c r="J229" t="s">
        <v>157</v>
      </c>
      <c r="K229">
        <v>6.2327000346239725E-2</v>
      </c>
      <c r="L229" t="s">
        <v>152</v>
      </c>
    </row>
    <row r="230" spans="9:12" x14ac:dyDescent="0.45">
      <c r="I230" t="s">
        <v>170</v>
      </c>
      <c r="J230" t="s">
        <v>206</v>
      </c>
      <c r="K230">
        <v>0.67656682993891903</v>
      </c>
      <c r="L230" t="s">
        <v>152</v>
      </c>
    </row>
    <row r="231" spans="9:12" x14ac:dyDescent="0.45">
      <c r="I231" t="s">
        <v>170</v>
      </c>
      <c r="J231" t="s">
        <v>207</v>
      </c>
      <c r="K231">
        <v>4.8872618786791271E-2</v>
      </c>
      <c r="L231" t="s">
        <v>152</v>
      </c>
    </row>
    <row r="232" spans="9:12" x14ac:dyDescent="0.45">
      <c r="I232" t="s">
        <v>170</v>
      </c>
      <c r="J232" t="s">
        <v>208</v>
      </c>
      <c r="K232">
        <v>2.4975433505718927E-2</v>
      </c>
      <c r="L232" t="s">
        <v>152</v>
      </c>
    </row>
    <row r="233" spans="9:12" x14ac:dyDescent="0.45">
      <c r="I233" t="s">
        <v>170</v>
      </c>
      <c r="J233" t="s">
        <v>218</v>
      </c>
      <c r="K233">
        <v>1.7744402347171854E-4</v>
      </c>
      <c r="L233" t="s">
        <v>152</v>
      </c>
    </row>
    <row r="234" spans="9:12" x14ac:dyDescent="0.45">
      <c r="I234" t="s">
        <v>170</v>
      </c>
      <c r="J234" t="s">
        <v>219</v>
      </c>
      <c r="K234">
        <v>0</v>
      </c>
      <c r="L234" t="s">
        <v>152</v>
      </c>
    </row>
    <row r="235" spans="9:12" x14ac:dyDescent="0.45">
      <c r="I235" t="s">
        <v>171</v>
      </c>
      <c r="J235" t="s">
        <v>151</v>
      </c>
      <c r="K235">
        <v>0</v>
      </c>
      <c r="L235" t="s">
        <v>152</v>
      </c>
    </row>
    <row r="236" spans="9:12" x14ac:dyDescent="0.45">
      <c r="I236" t="s">
        <v>171</v>
      </c>
      <c r="J236" t="s">
        <v>153</v>
      </c>
      <c r="K236">
        <v>6.0249653909370095E-3</v>
      </c>
      <c r="L236" t="s">
        <v>152</v>
      </c>
    </row>
    <row r="237" spans="9:12" x14ac:dyDescent="0.45">
      <c r="I237" t="s">
        <v>171</v>
      </c>
      <c r="J237" t="s">
        <v>154</v>
      </c>
      <c r="K237">
        <v>1.0617991349959716E-2</v>
      </c>
      <c r="L237" t="s">
        <v>152</v>
      </c>
    </row>
    <row r="238" spans="9:12" x14ac:dyDescent="0.45">
      <c r="I238" t="s">
        <v>171</v>
      </c>
      <c r="J238" t="s">
        <v>203</v>
      </c>
      <c r="K238">
        <v>0.10336808285524618</v>
      </c>
      <c r="L238" t="s">
        <v>152</v>
      </c>
    </row>
    <row r="239" spans="9:12" x14ac:dyDescent="0.45">
      <c r="I239" t="s">
        <v>171</v>
      </c>
      <c r="J239" t="s">
        <v>204</v>
      </c>
      <c r="K239">
        <v>8.1420802349377371E-3</v>
      </c>
      <c r="L239" t="s">
        <v>152</v>
      </c>
    </row>
    <row r="240" spans="9:12" x14ac:dyDescent="0.45">
      <c r="I240" t="s">
        <v>171</v>
      </c>
      <c r="J240" t="s">
        <v>205</v>
      </c>
      <c r="K240">
        <v>4.4101203040705752E-3</v>
      </c>
      <c r="L240" t="s">
        <v>152</v>
      </c>
    </row>
    <row r="241" spans="9:12" x14ac:dyDescent="0.45">
      <c r="I241" t="s">
        <v>171</v>
      </c>
      <c r="J241" t="s">
        <v>216</v>
      </c>
      <c r="K241">
        <v>8.1176132377013129E-4</v>
      </c>
      <c r="L241" t="s">
        <v>152</v>
      </c>
    </row>
    <row r="242" spans="9:12" x14ac:dyDescent="0.45">
      <c r="I242" t="s">
        <v>171</v>
      </c>
      <c r="J242" t="s">
        <v>217</v>
      </c>
      <c r="K242">
        <v>0</v>
      </c>
      <c r="L242" t="s">
        <v>152</v>
      </c>
    </row>
    <row r="243" spans="9:12" x14ac:dyDescent="0.45">
      <c r="I243" t="s">
        <v>171</v>
      </c>
      <c r="J243" t="s">
        <v>155</v>
      </c>
      <c r="K243">
        <v>1.8907754223287082E-2</v>
      </c>
      <c r="L243" t="s">
        <v>152</v>
      </c>
    </row>
    <row r="244" spans="9:12" x14ac:dyDescent="0.45">
      <c r="I244" t="s">
        <v>171</v>
      </c>
      <c r="J244" t="s">
        <v>156</v>
      </c>
      <c r="K244">
        <v>4.2985726751215425E-2</v>
      </c>
      <c r="L244" t="s">
        <v>152</v>
      </c>
    </row>
    <row r="245" spans="9:12" x14ac:dyDescent="0.45">
      <c r="I245" t="s">
        <v>171</v>
      </c>
      <c r="J245" t="s">
        <v>157</v>
      </c>
      <c r="K245">
        <v>6.8231343848937226E-2</v>
      </c>
      <c r="L245" t="s">
        <v>152</v>
      </c>
    </row>
    <row r="246" spans="9:12" x14ac:dyDescent="0.45">
      <c r="I246" t="s">
        <v>171</v>
      </c>
      <c r="J246" t="s">
        <v>206</v>
      </c>
      <c r="K246">
        <v>0.66296830752484037</v>
      </c>
      <c r="L246" t="s">
        <v>152</v>
      </c>
    </row>
    <row r="247" spans="9:12" x14ac:dyDescent="0.45">
      <c r="I247" t="s">
        <v>171</v>
      </c>
      <c r="J247" t="s">
        <v>207</v>
      </c>
      <c r="K247">
        <v>4.5921736950244332E-2</v>
      </c>
      <c r="L247" t="s">
        <v>152</v>
      </c>
    </row>
    <row r="248" spans="9:12" x14ac:dyDescent="0.45">
      <c r="I248" t="s">
        <v>171</v>
      </c>
      <c r="J248" t="s">
        <v>208</v>
      </c>
      <c r="K248">
        <v>2.4275149961980713E-2</v>
      </c>
      <c r="L248" t="s">
        <v>152</v>
      </c>
    </row>
    <row r="249" spans="9:12" x14ac:dyDescent="0.45">
      <c r="I249" t="s">
        <v>171</v>
      </c>
      <c r="J249" t="s">
        <v>218</v>
      </c>
      <c r="K249">
        <v>3.3349792805764228E-3</v>
      </c>
      <c r="L249" t="s">
        <v>152</v>
      </c>
    </row>
    <row r="250" spans="9:12" x14ac:dyDescent="0.45">
      <c r="I250" t="s">
        <v>171</v>
      </c>
      <c r="J250" t="s">
        <v>219</v>
      </c>
      <c r="K250">
        <v>0</v>
      </c>
      <c r="L250" t="s">
        <v>152</v>
      </c>
    </row>
    <row r="251" spans="9:12" x14ac:dyDescent="0.45">
      <c r="I251" t="s">
        <v>172</v>
      </c>
      <c r="J251" t="s">
        <v>151</v>
      </c>
      <c r="K251">
        <v>0</v>
      </c>
      <c r="L251" t="s">
        <v>152</v>
      </c>
    </row>
    <row r="252" spans="9:12" x14ac:dyDescent="0.45">
      <c r="I252" t="s">
        <v>172</v>
      </c>
      <c r="J252" t="s">
        <v>153</v>
      </c>
      <c r="K252">
        <v>4.3288761959496764E-3</v>
      </c>
      <c r="L252" t="s">
        <v>152</v>
      </c>
    </row>
    <row r="253" spans="9:12" x14ac:dyDescent="0.45">
      <c r="I253" t="s">
        <v>172</v>
      </c>
      <c r="J253" t="s">
        <v>154</v>
      </c>
      <c r="K253">
        <v>9.6555855979746814E-3</v>
      </c>
      <c r="L253" t="s">
        <v>152</v>
      </c>
    </row>
    <row r="254" spans="9:12" x14ac:dyDescent="0.45">
      <c r="I254" t="s">
        <v>172</v>
      </c>
      <c r="J254" t="s">
        <v>203</v>
      </c>
      <c r="K254">
        <v>0.10751222204722491</v>
      </c>
      <c r="L254" t="s">
        <v>152</v>
      </c>
    </row>
    <row r="255" spans="9:12" x14ac:dyDescent="0.45">
      <c r="I255" t="s">
        <v>172</v>
      </c>
      <c r="J255" t="s">
        <v>204</v>
      </c>
      <c r="K255">
        <v>8.5486721229318923E-3</v>
      </c>
      <c r="L255" t="s">
        <v>152</v>
      </c>
    </row>
    <row r="256" spans="9:12" x14ac:dyDescent="0.45">
      <c r="I256" t="s">
        <v>172</v>
      </c>
      <c r="J256" t="s">
        <v>205</v>
      </c>
      <c r="K256">
        <v>4.2983290646424971E-3</v>
      </c>
      <c r="L256" t="s">
        <v>152</v>
      </c>
    </row>
    <row r="257" spans="9:12" x14ac:dyDescent="0.45">
      <c r="I257" t="s">
        <v>172</v>
      </c>
      <c r="J257" t="s">
        <v>216</v>
      </c>
      <c r="K257">
        <v>0</v>
      </c>
      <c r="L257" t="s">
        <v>152</v>
      </c>
    </row>
    <row r="258" spans="9:12" x14ac:dyDescent="0.45">
      <c r="I258" t="s">
        <v>172</v>
      </c>
      <c r="J258" t="s">
        <v>217</v>
      </c>
      <c r="K258">
        <v>0</v>
      </c>
      <c r="L258" t="s">
        <v>152</v>
      </c>
    </row>
    <row r="259" spans="9:12" x14ac:dyDescent="0.45">
      <c r="I259" t="s">
        <v>172</v>
      </c>
      <c r="J259" t="s">
        <v>155</v>
      </c>
      <c r="K259">
        <v>1.3584646422022615E-2</v>
      </c>
      <c r="L259" t="s">
        <v>152</v>
      </c>
    </row>
    <row r="260" spans="9:12" x14ac:dyDescent="0.45">
      <c r="I260" t="s">
        <v>172</v>
      </c>
      <c r="J260" t="s">
        <v>156</v>
      </c>
      <c r="K260">
        <v>3.43231126703126E-2</v>
      </c>
      <c r="L260" t="s">
        <v>152</v>
      </c>
    </row>
    <row r="261" spans="9:12" x14ac:dyDescent="0.45">
      <c r="I261" t="s">
        <v>172</v>
      </c>
      <c r="J261" t="s">
        <v>157</v>
      </c>
      <c r="K261">
        <v>6.4315008899430093E-2</v>
      </c>
      <c r="L261" t="s">
        <v>152</v>
      </c>
    </row>
    <row r="262" spans="9:12" x14ac:dyDescent="0.45">
      <c r="I262" t="s">
        <v>172</v>
      </c>
      <c r="J262" t="s">
        <v>206</v>
      </c>
      <c r="K262">
        <v>0.68487435964394683</v>
      </c>
      <c r="L262" t="s">
        <v>152</v>
      </c>
    </row>
    <row r="263" spans="9:12" x14ac:dyDescent="0.45">
      <c r="I263" t="s">
        <v>172</v>
      </c>
      <c r="J263" t="s">
        <v>207</v>
      </c>
      <c r="K263">
        <v>4.5472506034315463E-2</v>
      </c>
      <c r="L263" t="s">
        <v>152</v>
      </c>
    </row>
    <row r="264" spans="9:12" x14ac:dyDescent="0.45">
      <c r="I264" t="s">
        <v>172</v>
      </c>
      <c r="J264" t="s">
        <v>208</v>
      </c>
      <c r="K264">
        <v>2.3086681301247754E-2</v>
      </c>
      <c r="L264" t="s">
        <v>152</v>
      </c>
    </row>
    <row r="265" spans="9:12" x14ac:dyDescent="0.45">
      <c r="I265" t="s">
        <v>172</v>
      </c>
      <c r="J265" t="s">
        <v>218</v>
      </c>
      <c r="K265">
        <v>0</v>
      </c>
      <c r="L265" t="s">
        <v>152</v>
      </c>
    </row>
    <row r="266" spans="9:12" x14ac:dyDescent="0.45">
      <c r="I266" t="s">
        <v>172</v>
      </c>
      <c r="J266" t="s">
        <v>219</v>
      </c>
      <c r="K266">
        <v>0</v>
      </c>
      <c r="L266" t="s">
        <v>152</v>
      </c>
    </row>
    <row r="267" spans="9:12" x14ac:dyDescent="0.45">
      <c r="I267" t="s">
        <v>173</v>
      </c>
      <c r="J267" t="s">
        <v>151</v>
      </c>
      <c r="K267">
        <v>0</v>
      </c>
      <c r="L267" t="s">
        <v>152</v>
      </c>
    </row>
    <row r="268" spans="9:12" x14ac:dyDescent="0.45">
      <c r="I268" t="s">
        <v>173</v>
      </c>
      <c r="J268" t="s">
        <v>153</v>
      </c>
      <c r="K268">
        <v>5.0150052579514773E-3</v>
      </c>
      <c r="L268" t="s">
        <v>152</v>
      </c>
    </row>
    <row r="269" spans="9:12" x14ac:dyDescent="0.45">
      <c r="I269" t="s">
        <v>173</v>
      </c>
      <c r="J269" t="s">
        <v>154</v>
      </c>
      <c r="K269">
        <v>1.0194677278194364E-2</v>
      </c>
      <c r="L269" t="s">
        <v>152</v>
      </c>
    </row>
    <row r="270" spans="9:12" x14ac:dyDescent="0.45">
      <c r="I270" t="s">
        <v>173</v>
      </c>
      <c r="J270" t="s">
        <v>203</v>
      </c>
      <c r="K270">
        <v>0.10503340158974958</v>
      </c>
      <c r="L270" t="s">
        <v>152</v>
      </c>
    </row>
    <row r="271" spans="9:12" x14ac:dyDescent="0.45">
      <c r="I271" t="s">
        <v>173</v>
      </c>
      <c r="J271" t="s">
        <v>204</v>
      </c>
      <c r="K271">
        <v>7.9732822848472412E-3</v>
      </c>
      <c r="L271" t="s">
        <v>152</v>
      </c>
    </row>
    <row r="272" spans="9:12" x14ac:dyDescent="0.45">
      <c r="I272" t="s">
        <v>173</v>
      </c>
      <c r="J272" t="s">
        <v>205</v>
      </c>
      <c r="K272">
        <v>4.2342225126892463E-3</v>
      </c>
      <c r="L272" t="s">
        <v>152</v>
      </c>
    </row>
    <row r="273" spans="9:12" x14ac:dyDescent="0.45">
      <c r="I273" t="s">
        <v>173</v>
      </c>
      <c r="J273" t="s">
        <v>216</v>
      </c>
      <c r="K273">
        <v>1.2784872789649469E-3</v>
      </c>
      <c r="L273" t="s">
        <v>152</v>
      </c>
    </row>
    <row r="274" spans="9:12" x14ac:dyDescent="0.45">
      <c r="I274" t="s">
        <v>173</v>
      </c>
      <c r="J274" t="s">
        <v>217</v>
      </c>
      <c r="K274">
        <v>0</v>
      </c>
      <c r="L274" t="s">
        <v>152</v>
      </c>
    </row>
    <row r="275" spans="9:12" x14ac:dyDescent="0.45">
      <c r="I275" t="s">
        <v>173</v>
      </c>
      <c r="J275" t="s">
        <v>155</v>
      </c>
      <c r="K275">
        <v>1.5123353057222946E-2</v>
      </c>
      <c r="L275" t="s">
        <v>152</v>
      </c>
    </row>
    <row r="276" spans="9:12" x14ac:dyDescent="0.45">
      <c r="I276" t="s">
        <v>173</v>
      </c>
      <c r="J276" t="s">
        <v>156</v>
      </c>
      <c r="K276">
        <v>3.9049933625059929E-2</v>
      </c>
      <c r="L276" t="s">
        <v>152</v>
      </c>
    </row>
    <row r="277" spans="9:12" x14ac:dyDescent="0.45">
      <c r="I277" t="s">
        <v>173</v>
      </c>
      <c r="J277" t="s">
        <v>157</v>
      </c>
      <c r="K277">
        <v>6.726710939665044E-2</v>
      </c>
      <c r="L277" t="s">
        <v>152</v>
      </c>
    </row>
    <row r="278" spans="9:12" x14ac:dyDescent="0.45">
      <c r="I278" t="s">
        <v>173</v>
      </c>
      <c r="J278" t="s">
        <v>206</v>
      </c>
      <c r="K278">
        <v>0.67169906913475441</v>
      </c>
      <c r="L278" t="s">
        <v>152</v>
      </c>
    </row>
    <row r="279" spans="9:12" x14ac:dyDescent="0.45">
      <c r="I279" t="s">
        <v>173</v>
      </c>
      <c r="J279" t="s">
        <v>207</v>
      </c>
      <c r="K279">
        <v>4.665437272547443E-2</v>
      </c>
      <c r="L279" t="s">
        <v>152</v>
      </c>
    </row>
    <row r="280" spans="9:12" x14ac:dyDescent="0.45">
      <c r="I280" t="s">
        <v>173</v>
      </c>
      <c r="J280" t="s">
        <v>208</v>
      </c>
      <c r="K280">
        <v>2.4029996937691336E-2</v>
      </c>
      <c r="L280" t="s">
        <v>152</v>
      </c>
    </row>
    <row r="281" spans="9:12" x14ac:dyDescent="0.45">
      <c r="I281" t="s">
        <v>173</v>
      </c>
      <c r="J281" t="s">
        <v>218</v>
      </c>
      <c r="K281">
        <v>2.4470889207477723E-3</v>
      </c>
      <c r="L281" t="s">
        <v>152</v>
      </c>
    </row>
    <row r="282" spans="9:12" x14ac:dyDescent="0.45">
      <c r="I282" t="s">
        <v>173</v>
      </c>
      <c r="J282" t="s">
        <v>219</v>
      </c>
      <c r="K282">
        <v>0</v>
      </c>
      <c r="L282" t="s">
        <v>152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8BA13-DC45-454D-9EA0-9A70BC108B32}">
  <dimension ref="A9:AN27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103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149</v>
      </c>
      <c r="L10" t="s">
        <v>30</v>
      </c>
      <c r="N10" t="s">
        <v>13</v>
      </c>
      <c r="O10" t="s">
        <v>115</v>
      </c>
      <c r="P10" t="s">
        <v>149</v>
      </c>
      <c r="Q10" t="s">
        <v>30</v>
      </c>
      <c r="S10" t="s">
        <v>13</v>
      </c>
      <c r="T10" t="s">
        <v>115</v>
      </c>
      <c r="U10" t="s">
        <v>149</v>
      </c>
      <c r="V10" t="s">
        <v>30</v>
      </c>
      <c r="X10" t="s">
        <v>190</v>
      </c>
      <c r="Y10" t="s">
        <v>149</v>
      </c>
      <c r="Z10" t="s">
        <v>115</v>
      </c>
      <c r="AA10" t="s">
        <v>13</v>
      </c>
      <c r="AC10" t="s">
        <v>13</v>
      </c>
      <c r="AD10" t="s">
        <v>115</v>
      </c>
      <c r="AE10" t="s">
        <v>149</v>
      </c>
      <c r="AG10" t="s">
        <v>13</v>
      </c>
      <c r="AH10" t="s">
        <v>115</v>
      </c>
      <c r="AI10" t="s">
        <v>196</v>
      </c>
      <c r="AK10" t="s">
        <v>47</v>
      </c>
      <c r="AL10" t="s">
        <v>115</v>
      </c>
      <c r="AM10" t="s">
        <v>197</v>
      </c>
      <c r="AN10" t="s">
        <v>198</v>
      </c>
    </row>
    <row r="11" spans="1:40" x14ac:dyDescent="0.45">
      <c r="A11" t="str">
        <f>IFERROR(IF(Veda!D5=A10,"ok","x"),"")</f>
        <v>ok</v>
      </c>
      <c r="C11" t="s">
        <v>222</v>
      </c>
      <c r="D11" t="s">
        <v>143</v>
      </c>
      <c r="E11" t="s">
        <v>223</v>
      </c>
      <c r="F11" t="s">
        <v>222</v>
      </c>
      <c r="G11" t="s">
        <v>143</v>
      </c>
      <c r="I11" t="s">
        <v>150</v>
      </c>
      <c r="J11" t="s">
        <v>224</v>
      </c>
      <c r="K11">
        <v>0.99999999999999922</v>
      </c>
      <c r="L11" t="s">
        <v>152</v>
      </c>
      <c r="N11" t="s">
        <v>174</v>
      </c>
      <c r="O11" t="s">
        <v>224</v>
      </c>
      <c r="P11">
        <v>1.0000000000000004</v>
      </c>
      <c r="Q11" t="s">
        <v>152</v>
      </c>
      <c r="S11" t="s">
        <v>180</v>
      </c>
      <c r="T11" t="s">
        <v>224</v>
      </c>
      <c r="U11">
        <v>1</v>
      </c>
      <c r="V11" t="s">
        <v>152</v>
      </c>
      <c r="X11">
        <v>1</v>
      </c>
      <c r="Y11">
        <v>1.0000000000000002</v>
      </c>
      <c r="Z11" t="s">
        <v>224</v>
      </c>
      <c r="AA11" t="s">
        <v>25</v>
      </c>
      <c r="AC11" t="s">
        <v>22</v>
      </c>
      <c r="AD11" t="s">
        <v>224</v>
      </c>
      <c r="AE11">
        <v>1</v>
      </c>
      <c r="AG11" t="s">
        <v>96</v>
      </c>
      <c r="AH11" t="s">
        <v>224</v>
      </c>
      <c r="AI11">
        <v>0.40234945987323956</v>
      </c>
    </row>
    <row r="12" spans="1:40" x14ac:dyDescent="0.45">
      <c r="I12" t="s">
        <v>158</v>
      </c>
      <c r="J12" t="s">
        <v>224</v>
      </c>
      <c r="K12">
        <v>1.0000000000000011</v>
      </c>
      <c r="L12" t="s">
        <v>152</v>
      </c>
      <c r="N12" t="s">
        <v>175</v>
      </c>
      <c r="O12" t="s">
        <v>224</v>
      </c>
      <c r="P12">
        <v>1.0000000000000049</v>
      </c>
      <c r="Q12" t="s">
        <v>152</v>
      </c>
      <c r="S12" t="s">
        <v>181</v>
      </c>
      <c r="T12" t="s">
        <v>224</v>
      </c>
      <c r="U12">
        <v>0.99999999999999956</v>
      </c>
      <c r="V12" t="s">
        <v>152</v>
      </c>
      <c r="AC12" t="s">
        <v>19</v>
      </c>
      <c r="AD12" t="s">
        <v>224</v>
      </c>
      <c r="AE12">
        <v>1</v>
      </c>
    </row>
    <row r="13" spans="1:40" x14ac:dyDescent="0.45">
      <c r="I13" t="s">
        <v>159</v>
      </c>
      <c r="J13" t="s">
        <v>224</v>
      </c>
      <c r="K13">
        <v>0.999999999999997</v>
      </c>
      <c r="L13" t="s">
        <v>152</v>
      </c>
      <c r="N13" t="s">
        <v>176</v>
      </c>
      <c r="O13" t="s">
        <v>224</v>
      </c>
      <c r="P13">
        <v>0.99999999999999833</v>
      </c>
      <c r="Q13" t="s">
        <v>152</v>
      </c>
      <c r="S13" t="s">
        <v>182</v>
      </c>
      <c r="T13" t="s">
        <v>224</v>
      </c>
      <c r="U13">
        <v>0.99999999999999756</v>
      </c>
      <c r="V13" t="s">
        <v>152</v>
      </c>
    </row>
    <row r="14" spans="1:40" x14ac:dyDescent="0.45">
      <c r="I14" t="s">
        <v>160</v>
      </c>
      <c r="J14" t="s">
        <v>224</v>
      </c>
      <c r="K14">
        <v>0.99999999999999944</v>
      </c>
      <c r="L14" t="s">
        <v>152</v>
      </c>
      <c r="N14" t="s">
        <v>177</v>
      </c>
      <c r="O14" t="s">
        <v>224</v>
      </c>
      <c r="P14">
        <v>0.99999999999999789</v>
      </c>
      <c r="Q14" t="s">
        <v>152</v>
      </c>
      <c r="S14" t="s">
        <v>183</v>
      </c>
      <c r="T14" t="s">
        <v>224</v>
      </c>
      <c r="U14">
        <v>0.99999999999999611</v>
      </c>
      <c r="V14" t="s">
        <v>152</v>
      </c>
    </row>
    <row r="15" spans="1:40" x14ac:dyDescent="0.45">
      <c r="I15" t="s">
        <v>161</v>
      </c>
      <c r="J15" t="s">
        <v>224</v>
      </c>
      <c r="K15">
        <v>0.99999999999999933</v>
      </c>
      <c r="L15" t="s">
        <v>152</v>
      </c>
      <c r="N15" t="s">
        <v>178</v>
      </c>
      <c r="O15" t="s">
        <v>224</v>
      </c>
      <c r="P15">
        <v>0.99999999999999856</v>
      </c>
      <c r="Q15" t="s">
        <v>152</v>
      </c>
      <c r="S15" t="s">
        <v>184</v>
      </c>
      <c r="T15" t="s">
        <v>224</v>
      </c>
      <c r="U15">
        <v>1.0000000000000007</v>
      </c>
      <c r="V15" t="s">
        <v>152</v>
      </c>
    </row>
    <row r="16" spans="1:40" x14ac:dyDescent="0.45">
      <c r="I16" t="s">
        <v>162</v>
      </c>
      <c r="J16" t="s">
        <v>224</v>
      </c>
      <c r="K16">
        <v>1.0000000000000022</v>
      </c>
      <c r="L16" t="s">
        <v>152</v>
      </c>
      <c r="N16" t="s">
        <v>179</v>
      </c>
      <c r="O16" t="s">
        <v>224</v>
      </c>
      <c r="P16">
        <v>1.0000000000000029</v>
      </c>
      <c r="Q16" t="s">
        <v>152</v>
      </c>
      <c r="S16" t="s">
        <v>185</v>
      </c>
      <c r="T16" t="s">
        <v>224</v>
      </c>
      <c r="U16">
        <v>1.0000000000000022</v>
      </c>
      <c r="V16" t="s">
        <v>152</v>
      </c>
    </row>
    <row r="17" spans="9:22" x14ac:dyDescent="0.45">
      <c r="I17" t="s">
        <v>163</v>
      </c>
      <c r="J17" t="s">
        <v>224</v>
      </c>
      <c r="K17">
        <v>0.99999999999999933</v>
      </c>
      <c r="L17" t="s">
        <v>152</v>
      </c>
      <c r="S17" t="s">
        <v>186</v>
      </c>
      <c r="T17" t="s">
        <v>224</v>
      </c>
      <c r="U17">
        <v>1</v>
      </c>
      <c r="V17" t="s">
        <v>152</v>
      </c>
    </row>
    <row r="18" spans="9:22" x14ac:dyDescent="0.45">
      <c r="I18" t="s">
        <v>164</v>
      </c>
      <c r="J18" t="s">
        <v>224</v>
      </c>
      <c r="K18">
        <v>0.99999999999999623</v>
      </c>
      <c r="L18" t="s">
        <v>152</v>
      </c>
      <c r="S18" t="s">
        <v>187</v>
      </c>
      <c r="T18" t="s">
        <v>224</v>
      </c>
      <c r="U18">
        <v>0.99999999999999878</v>
      </c>
      <c r="V18" t="s">
        <v>152</v>
      </c>
    </row>
    <row r="19" spans="9:22" x14ac:dyDescent="0.45">
      <c r="I19" t="s">
        <v>165</v>
      </c>
      <c r="J19" t="s">
        <v>224</v>
      </c>
      <c r="K19">
        <v>1.0000000000000038</v>
      </c>
      <c r="L19" t="s">
        <v>152</v>
      </c>
      <c r="S19" t="s">
        <v>188</v>
      </c>
      <c r="T19" t="s">
        <v>224</v>
      </c>
      <c r="U19">
        <v>0.99999999999999822</v>
      </c>
      <c r="V19" t="s">
        <v>152</v>
      </c>
    </row>
    <row r="20" spans="9:22" x14ac:dyDescent="0.45">
      <c r="I20" t="s">
        <v>166</v>
      </c>
      <c r="J20" t="s">
        <v>224</v>
      </c>
      <c r="K20">
        <v>1.0000000000000009</v>
      </c>
      <c r="L20" t="s">
        <v>152</v>
      </c>
      <c r="S20" t="s">
        <v>189</v>
      </c>
      <c r="T20" t="s">
        <v>224</v>
      </c>
      <c r="U20">
        <v>0.99999999999999978</v>
      </c>
      <c r="V20" t="s">
        <v>152</v>
      </c>
    </row>
    <row r="21" spans="9:22" x14ac:dyDescent="0.45">
      <c r="I21" t="s">
        <v>167</v>
      </c>
      <c r="J21" t="s">
        <v>224</v>
      </c>
      <c r="K21">
        <v>0.99999999999999878</v>
      </c>
      <c r="L21" t="s">
        <v>152</v>
      </c>
    </row>
    <row r="22" spans="9:22" x14ac:dyDescent="0.45">
      <c r="I22" t="s">
        <v>168</v>
      </c>
      <c r="J22" t="s">
        <v>224</v>
      </c>
      <c r="K22">
        <v>1.000000000000004</v>
      </c>
      <c r="L22" t="s">
        <v>152</v>
      </c>
    </row>
    <row r="23" spans="9:22" x14ac:dyDescent="0.45">
      <c r="I23" t="s">
        <v>169</v>
      </c>
      <c r="J23" t="s">
        <v>224</v>
      </c>
      <c r="K23">
        <v>0.99999999999999889</v>
      </c>
      <c r="L23" t="s">
        <v>152</v>
      </c>
    </row>
    <row r="24" spans="9:22" x14ac:dyDescent="0.45">
      <c r="I24" t="s">
        <v>170</v>
      </c>
      <c r="J24" t="s">
        <v>224</v>
      </c>
      <c r="K24">
        <v>0.99999999999999833</v>
      </c>
      <c r="L24" t="s">
        <v>152</v>
      </c>
    </row>
    <row r="25" spans="9:22" x14ac:dyDescent="0.45">
      <c r="I25" t="s">
        <v>171</v>
      </c>
      <c r="J25" t="s">
        <v>224</v>
      </c>
      <c r="K25">
        <v>1.0000000000000029</v>
      </c>
      <c r="L25" t="s">
        <v>152</v>
      </c>
    </row>
    <row r="26" spans="9:22" x14ac:dyDescent="0.45">
      <c r="I26" t="s">
        <v>172</v>
      </c>
      <c r="J26" t="s">
        <v>224</v>
      </c>
      <c r="K26">
        <v>0.999999999999999</v>
      </c>
      <c r="L26" t="s">
        <v>152</v>
      </c>
    </row>
    <row r="27" spans="9:22" x14ac:dyDescent="0.45">
      <c r="I27" t="s">
        <v>173</v>
      </c>
      <c r="J27" t="s">
        <v>224</v>
      </c>
      <c r="K27">
        <v>0.99999999999999811</v>
      </c>
      <c r="L27" t="s">
        <v>152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A6435-B735-4013-9369-9AF08D7B7BAC}">
  <dimension ref="A9:AN214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120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149</v>
      </c>
      <c r="L10" t="s">
        <v>30</v>
      </c>
      <c r="N10" t="s">
        <v>13</v>
      </c>
      <c r="O10" t="s">
        <v>115</v>
      </c>
      <c r="P10" t="s">
        <v>149</v>
      </c>
      <c r="Q10" t="s">
        <v>30</v>
      </c>
      <c r="S10" t="s">
        <v>13</v>
      </c>
      <c r="T10" t="s">
        <v>115</v>
      </c>
      <c r="U10" t="s">
        <v>149</v>
      </c>
      <c r="V10" t="s">
        <v>30</v>
      </c>
      <c r="X10" t="s">
        <v>190</v>
      </c>
      <c r="Y10" t="s">
        <v>149</v>
      </c>
      <c r="Z10" t="s">
        <v>115</v>
      </c>
      <c r="AA10" t="s">
        <v>13</v>
      </c>
      <c r="AC10" t="s">
        <v>13</v>
      </c>
      <c r="AD10" t="s">
        <v>115</v>
      </c>
      <c r="AE10" t="s">
        <v>149</v>
      </c>
      <c r="AG10" t="s">
        <v>13</v>
      </c>
      <c r="AH10" t="s">
        <v>115</v>
      </c>
      <c r="AI10" t="s">
        <v>196</v>
      </c>
      <c r="AK10" t="s">
        <v>47</v>
      </c>
      <c r="AL10" t="s">
        <v>115</v>
      </c>
      <c r="AM10" t="s">
        <v>197</v>
      </c>
      <c r="AN10" t="s">
        <v>198</v>
      </c>
    </row>
    <row r="11" spans="1:40" x14ac:dyDescent="0.45">
      <c r="A11" t="str">
        <f>IFERROR(IF(Veda!D5=A10,"ok","x"),"")</f>
        <v>x</v>
      </c>
      <c r="C11" t="s">
        <v>225</v>
      </c>
      <c r="D11" t="s">
        <v>143</v>
      </c>
      <c r="E11" t="s">
        <v>192</v>
      </c>
      <c r="F11" t="s">
        <v>226</v>
      </c>
      <c r="G11" t="s">
        <v>143</v>
      </c>
      <c r="I11" t="s">
        <v>150</v>
      </c>
      <c r="J11" t="s">
        <v>231</v>
      </c>
      <c r="K11">
        <v>0.23564738138654504</v>
      </c>
      <c r="L11" t="s">
        <v>152</v>
      </c>
      <c r="N11" t="s">
        <v>174</v>
      </c>
      <c r="O11" t="s">
        <v>231</v>
      </c>
      <c r="P11">
        <v>0.13346860960901435</v>
      </c>
      <c r="Q11" t="s">
        <v>152</v>
      </c>
      <c r="S11" t="s">
        <v>180</v>
      </c>
      <c r="T11" t="s">
        <v>231</v>
      </c>
      <c r="U11">
        <v>8.3514322197576929E-2</v>
      </c>
      <c r="V11" t="s">
        <v>152</v>
      </c>
      <c r="X11">
        <v>0.11426940639269406</v>
      </c>
      <c r="Y11">
        <v>0.16087081189037786</v>
      </c>
      <c r="Z11" t="s">
        <v>231</v>
      </c>
      <c r="AA11" t="s">
        <v>25</v>
      </c>
      <c r="AC11" t="s">
        <v>22</v>
      </c>
      <c r="AD11" t="s">
        <v>231</v>
      </c>
      <c r="AE11">
        <v>0.10133657350993462</v>
      </c>
      <c r="AG11" t="s">
        <v>96</v>
      </c>
      <c r="AH11" t="s">
        <v>231</v>
      </c>
      <c r="AI11">
        <v>9.8520279975178982E-2</v>
      </c>
    </row>
    <row r="12" spans="1:40" x14ac:dyDescent="0.45">
      <c r="C12" t="s">
        <v>227</v>
      </c>
      <c r="E12" t="s">
        <v>194</v>
      </c>
      <c r="G12" t="s">
        <v>143</v>
      </c>
      <c r="I12" t="s">
        <v>150</v>
      </c>
      <c r="J12" t="s">
        <v>232</v>
      </c>
      <c r="K12">
        <v>0</v>
      </c>
      <c r="L12" t="s">
        <v>152</v>
      </c>
      <c r="N12" t="s">
        <v>174</v>
      </c>
      <c r="O12" t="s">
        <v>232</v>
      </c>
      <c r="P12">
        <v>0.11354466887851007</v>
      </c>
      <c r="Q12" t="s">
        <v>152</v>
      </c>
      <c r="S12" t="s">
        <v>180</v>
      </c>
      <c r="T12" t="s">
        <v>232</v>
      </c>
      <c r="U12">
        <v>7.6484277529004496E-2</v>
      </c>
      <c r="V12" t="s">
        <v>152</v>
      </c>
      <c r="X12">
        <v>0.11426940639269406</v>
      </c>
      <c r="Y12">
        <v>5.2547713165767528E-2</v>
      </c>
      <c r="Z12" t="s">
        <v>232</v>
      </c>
      <c r="AA12" t="s">
        <v>25</v>
      </c>
      <c r="AC12" t="s">
        <v>22</v>
      </c>
      <c r="AD12" t="s">
        <v>232</v>
      </c>
      <c r="AE12">
        <v>8.6706455405257205E-2</v>
      </c>
      <c r="AG12" t="s">
        <v>96</v>
      </c>
      <c r="AH12" t="s">
        <v>232</v>
      </c>
      <c r="AI12">
        <v>0.2896619596017671</v>
      </c>
    </row>
    <row r="13" spans="1:40" x14ac:dyDescent="0.45">
      <c r="C13" t="s">
        <v>228</v>
      </c>
      <c r="E13" t="s">
        <v>229</v>
      </c>
      <c r="G13" t="s">
        <v>143</v>
      </c>
      <c r="I13" t="s">
        <v>150</v>
      </c>
      <c r="J13" t="s">
        <v>233</v>
      </c>
      <c r="K13">
        <v>2.0504764997930691E-2</v>
      </c>
      <c r="L13" t="s">
        <v>152</v>
      </c>
      <c r="N13" t="s">
        <v>174</v>
      </c>
      <c r="O13" t="s">
        <v>233</v>
      </c>
      <c r="P13">
        <v>2.1266776620752249E-2</v>
      </c>
      <c r="Q13" t="s">
        <v>152</v>
      </c>
      <c r="S13" t="s">
        <v>180</v>
      </c>
      <c r="T13" t="s">
        <v>233</v>
      </c>
      <c r="U13">
        <v>1.5202677110286972E-2</v>
      </c>
      <c r="V13" t="s">
        <v>152</v>
      </c>
      <c r="X13">
        <v>2.0776255707762557E-2</v>
      </c>
      <c r="Y13">
        <v>3.5896543437005365E-2</v>
      </c>
      <c r="Z13" t="s">
        <v>233</v>
      </c>
      <c r="AA13" t="s">
        <v>25</v>
      </c>
      <c r="AC13" t="s">
        <v>22</v>
      </c>
      <c r="AD13" t="s">
        <v>233</v>
      </c>
      <c r="AE13">
        <v>2.0856885249070506E-2</v>
      </c>
      <c r="AG13" t="s">
        <v>96</v>
      </c>
      <c r="AH13" t="s">
        <v>233</v>
      </c>
      <c r="AI13">
        <v>0.10791282251962131</v>
      </c>
    </row>
    <row r="14" spans="1:40" x14ac:dyDescent="0.45">
      <c r="C14" t="s">
        <v>230</v>
      </c>
      <c r="I14" t="s">
        <v>150</v>
      </c>
      <c r="J14" t="s">
        <v>234</v>
      </c>
      <c r="K14">
        <v>0.24475858113944624</v>
      </c>
      <c r="L14" t="s">
        <v>152</v>
      </c>
      <c r="N14" t="s">
        <v>174</v>
      </c>
      <c r="O14" t="s">
        <v>234</v>
      </c>
      <c r="P14">
        <v>4.6913987338732373E-2</v>
      </c>
      <c r="Q14" t="s">
        <v>152</v>
      </c>
      <c r="S14" t="s">
        <v>180</v>
      </c>
      <c r="T14" t="s">
        <v>234</v>
      </c>
      <c r="U14">
        <v>3.709193825951853E-2</v>
      </c>
      <c r="V14" t="s">
        <v>152</v>
      </c>
      <c r="X14">
        <v>0.11552511415525114</v>
      </c>
      <c r="Y14">
        <v>0.16263862301005233</v>
      </c>
      <c r="Z14" t="s">
        <v>234</v>
      </c>
      <c r="AA14" t="s">
        <v>25</v>
      </c>
      <c r="AC14" t="s">
        <v>22</v>
      </c>
      <c r="AD14" t="s">
        <v>234</v>
      </c>
      <c r="AE14">
        <v>0.14656319961878755</v>
      </c>
      <c r="AG14" t="s">
        <v>96</v>
      </c>
      <c r="AH14" t="s">
        <v>234</v>
      </c>
      <c r="AI14">
        <v>0.17277073181674951</v>
      </c>
    </row>
    <row r="15" spans="1:40" x14ac:dyDescent="0.45">
      <c r="I15" t="s">
        <v>150</v>
      </c>
      <c r="J15" t="s">
        <v>235</v>
      </c>
      <c r="K15">
        <v>0</v>
      </c>
      <c r="L15" t="s">
        <v>152</v>
      </c>
      <c r="N15" t="s">
        <v>174</v>
      </c>
      <c r="O15" t="s">
        <v>235</v>
      </c>
      <c r="P15">
        <v>6.2845007886448423E-2</v>
      </c>
      <c r="Q15" t="s">
        <v>152</v>
      </c>
      <c r="S15" t="s">
        <v>180</v>
      </c>
      <c r="T15" t="s">
        <v>235</v>
      </c>
      <c r="U15">
        <v>4.015816103517901E-2</v>
      </c>
      <c r="V15" t="s">
        <v>152</v>
      </c>
      <c r="X15">
        <v>0.11552511415525114</v>
      </c>
      <c r="Y15">
        <v>5.3125160563193538E-2</v>
      </c>
      <c r="Z15" t="s">
        <v>235</v>
      </c>
      <c r="AA15" t="s">
        <v>25</v>
      </c>
      <c r="AC15" t="s">
        <v>22</v>
      </c>
      <c r="AD15" t="s">
        <v>235</v>
      </c>
      <c r="AE15">
        <v>0.12059785592710263</v>
      </c>
      <c r="AG15" t="s">
        <v>96</v>
      </c>
      <c r="AH15" t="s">
        <v>235</v>
      </c>
      <c r="AI15">
        <v>0.27619707949259142</v>
      </c>
    </row>
    <row r="16" spans="1:40" x14ac:dyDescent="0.45">
      <c r="I16" t="s">
        <v>150</v>
      </c>
      <c r="J16" t="s">
        <v>236</v>
      </c>
      <c r="K16">
        <v>2.7305698148957117E-2</v>
      </c>
      <c r="L16" t="s">
        <v>152</v>
      </c>
      <c r="N16" t="s">
        <v>174</v>
      </c>
      <c r="O16" t="s">
        <v>236</v>
      </c>
      <c r="P16">
        <v>1.3505430071959227E-2</v>
      </c>
      <c r="Q16" t="s">
        <v>152</v>
      </c>
      <c r="S16" t="s">
        <v>180</v>
      </c>
      <c r="T16" t="s">
        <v>236</v>
      </c>
      <c r="U16">
        <v>6.2743301744117644E-3</v>
      </c>
      <c r="V16" t="s">
        <v>152</v>
      </c>
      <c r="X16">
        <v>2.1004566210045664E-2</v>
      </c>
      <c r="Y16">
        <v>3.6291010947302131E-2</v>
      </c>
      <c r="Z16" t="s">
        <v>236</v>
      </c>
      <c r="AA16" t="s">
        <v>25</v>
      </c>
      <c r="AC16" t="s">
        <v>22</v>
      </c>
      <c r="AD16" t="s">
        <v>236</v>
      </c>
      <c r="AE16">
        <v>2.9796891768839436E-2</v>
      </c>
      <c r="AG16" t="s">
        <v>96</v>
      </c>
      <c r="AH16" t="s">
        <v>236</v>
      </c>
      <c r="AI16">
        <v>8.831386586845591E-2</v>
      </c>
    </row>
    <row r="17" spans="9:35" x14ac:dyDescent="0.45">
      <c r="I17" t="s">
        <v>150</v>
      </c>
      <c r="J17" t="s">
        <v>237</v>
      </c>
      <c r="K17">
        <v>0.21476173412248634</v>
      </c>
      <c r="L17" t="s">
        <v>152</v>
      </c>
      <c r="N17" t="s">
        <v>174</v>
      </c>
      <c r="O17" t="s">
        <v>237</v>
      </c>
      <c r="P17">
        <v>0.13224004217176979</v>
      </c>
      <c r="Q17" t="s">
        <v>152</v>
      </c>
      <c r="S17" t="s">
        <v>180</v>
      </c>
      <c r="T17" t="s">
        <v>237</v>
      </c>
      <c r="U17">
        <v>8.3226542085515831E-2</v>
      </c>
      <c r="V17" t="s">
        <v>152</v>
      </c>
      <c r="X17">
        <v>0.11552511415525114</v>
      </c>
      <c r="Y17">
        <v>0.16263862301005233</v>
      </c>
      <c r="Z17" t="s">
        <v>237</v>
      </c>
      <c r="AA17" t="s">
        <v>25</v>
      </c>
      <c r="AC17" t="s">
        <v>22</v>
      </c>
      <c r="AD17" t="s">
        <v>237</v>
      </c>
      <c r="AE17">
        <v>0.14028293521681379</v>
      </c>
      <c r="AG17" t="s">
        <v>96</v>
      </c>
      <c r="AH17" t="s">
        <v>237</v>
      </c>
      <c r="AI17">
        <v>0.24500253017268814</v>
      </c>
    </row>
    <row r="18" spans="9:35" x14ac:dyDescent="0.45">
      <c r="I18" t="s">
        <v>150</v>
      </c>
      <c r="J18" t="s">
        <v>238</v>
      </c>
      <c r="K18">
        <v>0</v>
      </c>
      <c r="L18" t="s">
        <v>152</v>
      </c>
      <c r="N18" t="s">
        <v>174</v>
      </c>
      <c r="O18" t="s">
        <v>238</v>
      </c>
      <c r="P18">
        <v>9.2447874427110069E-2</v>
      </c>
      <c r="Q18" t="s">
        <v>152</v>
      </c>
      <c r="S18" t="s">
        <v>180</v>
      </c>
      <c r="T18" t="s">
        <v>238</v>
      </c>
      <c r="U18">
        <v>7.128681763674416E-2</v>
      </c>
      <c r="V18" t="s">
        <v>152</v>
      </c>
      <c r="X18">
        <v>0.11552511415525114</v>
      </c>
      <c r="Y18">
        <v>5.3125160563193538E-2</v>
      </c>
      <c r="Z18" t="s">
        <v>238</v>
      </c>
      <c r="AA18" t="s">
        <v>25</v>
      </c>
      <c r="AC18" t="s">
        <v>22</v>
      </c>
      <c r="AD18" t="s">
        <v>238</v>
      </c>
      <c r="AE18">
        <v>0.11603694350448357</v>
      </c>
      <c r="AG18" t="s">
        <v>96</v>
      </c>
      <c r="AH18" t="s">
        <v>238</v>
      </c>
      <c r="AI18">
        <v>0.36199236920503841</v>
      </c>
    </row>
    <row r="19" spans="9:35" x14ac:dyDescent="0.45">
      <c r="I19" t="s">
        <v>150</v>
      </c>
      <c r="J19" t="s">
        <v>239</v>
      </c>
      <c r="K19">
        <v>2.1797503882104254E-2</v>
      </c>
      <c r="L19" t="s">
        <v>152</v>
      </c>
      <c r="N19" t="s">
        <v>174</v>
      </c>
      <c r="O19" t="s">
        <v>239</v>
      </c>
      <c r="P19">
        <v>1.7201839157771993E-2</v>
      </c>
      <c r="Q19" t="s">
        <v>152</v>
      </c>
      <c r="S19" t="s">
        <v>180</v>
      </c>
      <c r="T19" t="s">
        <v>239</v>
      </c>
      <c r="U19">
        <v>1.4388536898632474E-2</v>
      </c>
      <c r="V19" t="s">
        <v>152</v>
      </c>
      <c r="X19">
        <v>2.1004566210045664E-2</v>
      </c>
      <c r="Y19">
        <v>3.6291010947302131E-2</v>
      </c>
      <c r="Z19" t="s">
        <v>239</v>
      </c>
      <c r="AA19" t="s">
        <v>25</v>
      </c>
      <c r="AC19" t="s">
        <v>22</v>
      </c>
      <c r="AD19" t="s">
        <v>239</v>
      </c>
      <c r="AE19">
        <v>2.8772945800236656E-2</v>
      </c>
      <c r="AG19" t="s">
        <v>96</v>
      </c>
      <c r="AH19" t="s">
        <v>239</v>
      </c>
      <c r="AI19">
        <v>0.15665157722872536</v>
      </c>
    </row>
    <row r="20" spans="9:35" x14ac:dyDescent="0.45">
      <c r="I20" t="s">
        <v>150</v>
      </c>
      <c r="J20" t="s">
        <v>240</v>
      </c>
      <c r="K20">
        <v>0.21095981642035783</v>
      </c>
      <c r="L20" t="s">
        <v>152</v>
      </c>
      <c r="N20" t="s">
        <v>174</v>
      </c>
      <c r="O20" t="s">
        <v>240</v>
      </c>
      <c r="P20">
        <v>0.14825493268986983</v>
      </c>
      <c r="Q20" t="s">
        <v>152</v>
      </c>
      <c r="S20" t="s">
        <v>180</v>
      </c>
      <c r="T20" t="s">
        <v>240</v>
      </c>
      <c r="U20">
        <v>0.25768554102482011</v>
      </c>
      <c r="V20" t="s">
        <v>152</v>
      </c>
      <c r="X20">
        <v>0.11301369863013698</v>
      </c>
      <c r="Y20">
        <v>0.15910300077070333</v>
      </c>
      <c r="Z20" t="s">
        <v>240</v>
      </c>
      <c r="AA20" t="s">
        <v>25</v>
      </c>
      <c r="AC20" t="s">
        <v>22</v>
      </c>
      <c r="AD20" t="s">
        <v>240</v>
      </c>
      <c r="AE20">
        <v>0.10137109246257843</v>
      </c>
      <c r="AG20" t="s">
        <v>96</v>
      </c>
      <c r="AH20" t="s">
        <v>240</v>
      </c>
      <c r="AI20">
        <v>0.14399650334909952</v>
      </c>
    </row>
    <row r="21" spans="9:35" x14ac:dyDescent="0.45">
      <c r="I21" t="s">
        <v>150</v>
      </c>
      <c r="J21" t="s">
        <v>241</v>
      </c>
      <c r="K21">
        <v>0</v>
      </c>
      <c r="L21" t="s">
        <v>152</v>
      </c>
      <c r="N21" t="s">
        <v>174</v>
      </c>
      <c r="O21" t="s">
        <v>241</v>
      </c>
      <c r="P21">
        <v>0.17631884954001303</v>
      </c>
      <c r="Q21" t="s">
        <v>152</v>
      </c>
      <c r="S21" t="s">
        <v>180</v>
      </c>
      <c r="T21" t="s">
        <v>241</v>
      </c>
      <c r="U21">
        <v>0.27128037452985698</v>
      </c>
      <c r="V21" t="s">
        <v>152</v>
      </c>
      <c r="X21">
        <v>0.11301369863013698</v>
      </c>
      <c r="Y21">
        <v>5.197026576834151E-2</v>
      </c>
      <c r="Z21" t="s">
        <v>241</v>
      </c>
      <c r="AA21" t="s">
        <v>25</v>
      </c>
      <c r="AC21" t="s">
        <v>22</v>
      </c>
      <c r="AD21" t="s">
        <v>241</v>
      </c>
      <c r="AE21">
        <v>8.6962651145038677E-2</v>
      </c>
      <c r="AG21" t="s">
        <v>96</v>
      </c>
      <c r="AH21" t="s">
        <v>241</v>
      </c>
      <c r="AI21">
        <v>0.33730783140857024</v>
      </c>
    </row>
    <row r="22" spans="9:35" x14ac:dyDescent="0.45">
      <c r="I22" t="s">
        <v>150</v>
      </c>
      <c r="J22" t="s">
        <v>242</v>
      </c>
      <c r="K22">
        <v>2.4264519902171728E-2</v>
      </c>
      <c r="L22" t="s">
        <v>152</v>
      </c>
      <c r="N22" t="s">
        <v>174</v>
      </c>
      <c r="O22" t="s">
        <v>242</v>
      </c>
      <c r="P22">
        <v>4.1991981608048908E-2</v>
      </c>
      <c r="Q22" t="s">
        <v>152</v>
      </c>
      <c r="S22" t="s">
        <v>180</v>
      </c>
      <c r="T22" t="s">
        <v>242</v>
      </c>
      <c r="U22">
        <v>4.3406481518452805E-2</v>
      </c>
      <c r="V22" t="s">
        <v>152</v>
      </c>
      <c r="X22">
        <v>2.0547945205479451E-2</v>
      </c>
      <c r="Y22">
        <v>3.5502075926708607E-2</v>
      </c>
      <c r="Z22" t="s">
        <v>242</v>
      </c>
      <c r="AA22" t="s">
        <v>25</v>
      </c>
      <c r="AC22" t="s">
        <v>22</v>
      </c>
      <c r="AD22" t="s">
        <v>242</v>
      </c>
      <c r="AE22">
        <v>2.0715570391857001E-2</v>
      </c>
      <c r="AG22" t="s">
        <v>96</v>
      </c>
      <c r="AH22" t="s">
        <v>242</v>
      </c>
      <c r="AI22">
        <v>0.15310287037487313</v>
      </c>
    </row>
    <row r="23" spans="9:35" x14ac:dyDescent="0.45">
      <c r="I23" t="s">
        <v>158</v>
      </c>
      <c r="J23" t="s">
        <v>231</v>
      </c>
      <c r="K23">
        <v>0.23720014255239452</v>
      </c>
      <c r="L23" t="s">
        <v>152</v>
      </c>
      <c r="N23" t="s">
        <v>175</v>
      </c>
      <c r="O23" t="s">
        <v>231</v>
      </c>
      <c r="P23">
        <v>0.14576243391899674</v>
      </c>
      <c r="Q23" t="s">
        <v>152</v>
      </c>
      <c r="S23" t="s">
        <v>181</v>
      </c>
      <c r="T23" t="s">
        <v>231</v>
      </c>
      <c r="U23">
        <v>9.0828204231132012E-2</v>
      </c>
      <c r="V23" t="s">
        <v>152</v>
      </c>
      <c r="AC23" t="s">
        <v>19</v>
      </c>
      <c r="AD23" t="s">
        <v>231</v>
      </c>
      <c r="AE23">
        <v>0.1144915418917503</v>
      </c>
    </row>
    <row r="24" spans="9:35" x14ac:dyDescent="0.45">
      <c r="I24" t="s">
        <v>158</v>
      </c>
      <c r="J24" t="s">
        <v>232</v>
      </c>
      <c r="K24">
        <v>0</v>
      </c>
      <c r="L24" t="s">
        <v>152</v>
      </c>
      <c r="N24" t="s">
        <v>175</v>
      </c>
      <c r="O24" t="s">
        <v>232</v>
      </c>
      <c r="P24">
        <v>0.12850858399892809</v>
      </c>
      <c r="Q24" t="s">
        <v>152</v>
      </c>
      <c r="S24" t="s">
        <v>181</v>
      </c>
      <c r="T24" t="s">
        <v>232</v>
      </c>
      <c r="U24">
        <v>8.6420556770508417E-2</v>
      </c>
      <c r="V24" t="s">
        <v>152</v>
      </c>
      <c r="AC24" t="s">
        <v>19</v>
      </c>
      <c r="AD24" t="s">
        <v>232</v>
      </c>
      <c r="AE24">
        <v>0.11363914702538845</v>
      </c>
    </row>
    <row r="25" spans="9:35" x14ac:dyDescent="0.45">
      <c r="I25" t="s">
        <v>158</v>
      </c>
      <c r="J25" t="s">
        <v>233</v>
      </c>
      <c r="K25">
        <v>1.9411170548603918E-2</v>
      </c>
      <c r="L25" t="s">
        <v>152</v>
      </c>
      <c r="N25" t="s">
        <v>175</v>
      </c>
      <c r="O25" t="s">
        <v>233</v>
      </c>
      <c r="P25">
        <v>2.4141588991774172E-2</v>
      </c>
      <c r="Q25" t="s">
        <v>152</v>
      </c>
      <c r="S25" t="s">
        <v>181</v>
      </c>
      <c r="T25" t="s">
        <v>233</v>
      </c>
      <c r="U25">
        <v>1.4947041889025573E-2</v>
      </c>
      <c r="V25" t="s">
        <v>152</v>
      </c>
      <c r="AC25" t="s">
        <v>19</v>
      </c>
      <c r="AD25" t="s">
        <v>233</v>
      </c>
      <c r="AE25">
        <v>2.0958342774224491E-2</v>
      </c>
    </row>
    <row r="26" spans="9:35" x14ac:dyDescent="0.45">
      <c r="I26" t="s">
        <v>158</v>
      </c>
      <c r="J26" t="s">
        <v>234</v>
      </c>
      <c r="K26">
        <v>0.24131909294331341</v>
      </c>
      <c r="L26" t="s">
        <v>152</v>
      </c>
      <c r="N26" t="s">
        <v>175</v>
      </c>
      <c r="O26" t="s">
        <v>234</v>
      </c>
      <c r="P26">
        <v>4.428881051119142E-2</v>
      </c>
      <c r="Q26" t="s">
        <v>152</v>
      </c>
      <c r="S26" t="s">
        <v>181</v>
      </c>
      <c r="T26" t="s">
        <v>234</v>
      </c>
      <c r="U26">
        <v>4.703598255269504E-2</v>
      </c>
      <c r="V26" t="s">
        <v>152</v>
      </c>
      <c r="AC26" t="s">
        <v>19</v>
      </c>
      <c r="AD26" t="s">
        <v>234</v>
      </c>
      <c r="AE26">
        <v>0.1162495028957609</v>
      </c>
    </row>
    <row r="27" spans="9:35" x14ac:dyDescent="0.45">
      <c r="I27" t="s">
        <v>158</v>
      </c>
      <c r="J27" t="s">
        <v>235</v>
      </c>
      <c r="K27">
        <v>0</v>
      </c>
      <c r="L27" t="s">
        <v>152</v>
      </c>
      <c r="N27" t="s">
        <v>175</v>
      </c>
      <c r="O27" t="s">
        <v>235</v>
      </c>
      <c r="P27">
        <v>5.9750505519929283E-2</v>
      </c>
      <c r="Q27" t="s">
        <v>152</v>
      </c>
      <c r="S27" t="s">
        <v>181</v>
      </c>
      <c r="T27" t="s">
        <v>235</v>
      </c>
      <c r="U27">
        <v>4.404471141880191E-2</v>
      </c>
      <c r="V27" t="s">
        <v>152</v>
      </c>
      <c r="AC27" t="s">
        <v>19</v>
      </c>
      <c r="AD27" t="s">
        <v>235</v>
      </c>
      <c r="AE27">
        <v>0.11473668355228363</v>
      </c>
    </row>
    <row r="28" spans="9:35" x14ac:dyDescent="0.45">
      <c r="I28" t="s">
        <v>158</v>
      </c>
      <c r="J28" t="s">
        <v>236</v>
      </c>
      <c r="K28">
        <v>2.5058769464949494E-2</v>
      </c>
      <c r="L28" t="s">
        <v>152</v>
      </c>
      <c r="N28" t="s">
        <v>175</v>
      </c>
      <c r="O28" t="s">
        <v>236</v>
      </c>
      <c r="P28">
        <v>1.2875062015754125E-2</v>
      </c>
      <c r="Q28" t="s">
        <v>152</v>
      </c>
      <c r="S28" t="s">
        <v>181</v>
      </c>
      <c r="T28" t="s">
        <v>236</v>
      </c>
      <c r="U28">
        <v>7.4550751526433322E-3</v>
      </c>
      <c r="V28" t="s">
        <v>152</v>
      </c>
      <c r="AC28" t="s">
        <v>19</v>
      </c>
      <c r="AD28" t="s">
        <v>236</v>
      </c>
      <c r="AE28">
        <v>2.1319745677105185E-2</v>
      </c>
    </row>
    <row r="29" spans="9:35" x14ac:dyDescent="0.45">
      <c r="I29" t="s">
        <v>158</v>
      </c>
      <c r="J29" t="s">
        <v>237</v>
      </c>
      <c r="K29">
        <v>0.21443070106449136</v>
      </c>
      <c r="L29" t="s">
        <v>152</v>
      </c>
      <c r="N29" t="s">
        <v>175</v>
      </c>
      <c r="O29" t="s">
        <v>237</v>
      </c>
      <c r="P29">
        <v>0.12799837950511561</v>
      </c>
      <c r="Q29" t="s">
        <v>152</v>
      </c>
      <c r="S29" t="s">
        <v>181</v>
      </c>
      <c r="T29" t="s">
        <v>237</v>
      </c>
      <c r="U29">
        <v>6.9746881784889567E-2</v>
      </c>
      <c r="V29" t="s">
        <v>152</v>
      </c>
      <c r="AC29" t="s">
        <v>19</v>
      </c>
      <c r="AD29" t="s">
        <v>237</v>
      </c>
      <c r="AE29">
        <v>0.11617002553577602</v>
      </c>
    </row>
    <row r="30" spans="9:35" x14ac:dyDescent="0.45">
      <c r="I30" t="s">
        <v>158</v>
      </c>
      <c r="J30" t="s">
        <v>238</v>
      </c>
      <c r="K30">
        <v>0</v>
      </c>
      <c r="L30" t="s">
        <v>152</v>
      </c>
      <c r="N30" t="s">
        <v>175</v>
      </c>
      <c r="O30" t="s">
        <v>238</v>
      </c>
      <c r="P30">
        <v>9.6198151118936551E-2</v>
      </c>
      <c r="Q30" t="s">
        <v>152</v>
      </c>
      <c r="S30" t="s">
        <v>181</v>
      </c>
      <c r="T30" t="s">
        <v>238</v>
      </c>
      <c r="U30">
        <v>4.4963953918862862E-2</v>
      </c>
      <c r="V30" t="s">
        <v>152</v>
      </c>
      <c r="AC30" t="s">
        <v>19</v>
      </c>
      <c r="AD30" t="s">
        <v>238</v>
      </c>
      <c r="AE30">
        <v>0.11475738083136762</v>
      </c>
    </row>
    <row r="31" spans="9:35" x14ac:dyDescent="0.45">
      <c r="I31" t="s">
        <v>158</v>
      </c>
      <c r="J31" t="s">
        <v>239</v>
      </c>
      <c r="K31">
        <v>2.1448914630254501E-2</v>
      </c>
      <c r="L31" t="s">
        <v>152</v>
      </c>
      <c r="N31" t="s">
        <v>175</v>
      </c>
      <c r="O31" t="s">
        <v>239</v>
      </c>
      <c r="P31">
        <v>1.9845889962865272E-2</v>
      </c>
      <c r="Q31" t="s">
        <v>152</v>
      </c>
      <c r="S31" t="s">
        <v>181</v>
      </c>
      <c r="T31" t="s">
        <v>239</v>
      </c>
      <c r="U31">
        <v>7.3690266709164655E-3</v>
      </c>
      <c r="V31" t="s">
        <v>152</v>
      </c>
      <c r="AC31" t="s">
        <v>19</v>
      </c>
      <c r="AD31" t="s">
        <v>239</v>
      </c>
      <c r="AE31">
        <v>2.1312165640037389E-2</v>
      </c>
    </row>
    <row r="32" spans="9:35" x14ac:dyDescent="0.45">
      <c r="I32" t="s">
        <v>158</v>
      </c>
      <c r="J32" t="s">
        <v>240</v>
      </c>
      <c r="K32">
        <v>0.21642516861712496</v>
      </c>
      <c r="L32" t="s">
        <v>152</v>
      </c>
      <c r="N32" t="s">
        <v>175</v>
      </c>
      <c r="O32" t="s">
        <v>240</v>
      </c>
      <c r="P32">
        <v>0.14722389987341772</v>
      </c>
      <c r="Q32" t="s">
        <v>152</v>
      </c>
      <c r="S32" t="s">
        <v>181</v>
      </c>
      <c r="T32" t="s">
        <v>240</v>
      </c>
      <c r="U32">
        <v>0.27050346276007486</v>
      </c>
      <c r="V32" t="s">
        <v>152</v>
      </c>
      <c r="AC32" t="s">
        <v>19</v>
      </c>
      <c r="AD32" t="s">
        <v>240</v>
      </c>
      <c r="AE32">
        <v>0.11324126173654386</v>
      </c>
    </row>
    <row r="33" spans="9:31" x14ac:dyDescent="0.45">
      <c r="I33" t="s">
        <v>158</v>
      </c>
      <c r="J33" t="s">
        <v>241</v>
      </c>
      <c r="K33">
        <v>0</v>
      </c>
      <c r="L33" t="s">
        <v>152</v>
      </c>
      <c r="N33" t="s">
        <v>175</v>
      </c>
      <c r="O33" t="s">
        <v>241</v>
      </c>
      <c r="P33">
        <v>0.15917889909756694</v>
      </c>
      <c r="Q33" t="s">
        <v>152</v>
      </c>
      <c r="S33" t="s">
        <v>181</v>
      </c>
      <c r="T33" t="s">
        <v>241</v>
      </c>
      <c r="U33">
        <v>0.27052708562259015</v>
      </c>
      <c r="V33" t="s">
        <v>152</v>
      </c>
      <c r="AC33" t="s">
        <v>19</v>
      </c>
      <c r="AD33" t="s">
        <v>241</v>
      </c>
      <c r="AE33">
        <v>0.11240178242930435</v>
      </c>
    </row>
    <row r="34" spans="9:31" x14ac:dyDescent="0.45">
      <c r="I34" t="s">
        <v>158</v>
      </c>
      <c r="J34" t="s">
        <v>242</v>
      </c>
      <c r="K34">
        <v>2.4706040178868897E-2</v>
      </c>
      <c r="L34" t="s">
        <v>152</v>
      </c>
      <c r="N34" t="s">
        <v>175</v>
      </c>
      <c r="O34" t="s">
        <v>242</v>
      </c>
      <c r="P34">
        <v>3.4227795485529053E-2</v>
      </c>
      <c r="Q34" t="s">
        <v>152</v>
      </c>
      <c r="S34" t="s">
        <v>181</v>
      </c>
      <c r="T34" t="s">
        <v>242</v>
      </c>
      <c r="U34">
        <v>4.6158017227859324E-2</v>
      </c>
      <c r="V34" t="s">
        <v>152</v>
      </c>
      <c r="AC34" t="s">
        <v>19</v>
      </c>
      <c r="AD34" t="s">
        <v>242</v>
      </c>
      <c r="AE34">
        <v>2.0722420010457737E-2</v>
      </c>
    </row>
    <row r="35" spans="9:31" x14ac:dyDescent="0.45">
      <c r="I35" t="s">
        <v>159</v>
      </c>
      <c r="J35" t="s">
        <v>231</v>
      </c>
      <c r="K35">
        <v>0.22715028667321169</v>
      </c>
      <c r="L35" t="s">
        <v>152</v>
      </c>
      <c r="N35" t="s">
        <v>176</v>
      </c>
      <c r="O35" t="s">
        <v>231</v>
      </c>
      <c r="P35">
        <v>0.17476348442206938</v>
      </c>
      <c r="Q35" t="s">
        <v>152</v>
      </c>
      <c r="S35" t="s">
        <v>182</v>
      </c>
      <c r="T35" t="s">
        <v>231</v>
      </c>
      <c r="U35">
        <v>0.10537205810699674</v>
      </c>
      <c r="V35" t="s">
        <v>152</v>
      </c>
    </row>
    <row r="36" spans="9:31" x14ac:dyDescent="0.45">
      <c r="I36" t="s">
        <v>159</v>
      </c>
      <c r="J36" t="s">
        <v>232</v>
      </c>
      <c r="K36">
        <v>0</v>
      </c>
      <c r="L36" t="s">
        <v>152</v>
      </c>
      <c r="N36" t="s">
        <v>176</v>
      </c>
      <c r="O36" t="s">
        <v>232</v>
      </c>
      <c r="P36">
        <v>0.14907212741814968</v>
      </c>
      <c r="Q36" t="s">
        <v>152</v>
      </c>
      <c r="S36" t="s">
        <v>182</v>
      </c>
      <c r="T36" t="s">
        <v>232</v>
      </c>
      <c r="U36">
        <v>0.10463140223964812</v>
      </c>
      <c r="V36" t="s">
        <v>152</v>
      </c>
    </row>
    <row r="37" spans="9:31" x14ac:dyDescent="0.45">
      <c r="I37" t="s">
        <v>159</v>
      </c>
      <c r="J37" t="s">
        <v>233</v>
      </c>
      <c r="K37">
        <v>1.9775901156543426E-2</v>
      </c>
      <c r="L37" t="s">
        <v>152</v>
      </c>
      <c r="N37" t="s">
        <v>176</v>
      </c>
      <c r="O37" t="s">
        <v>233</v>
      </c>
      <c r="P37">
        <v>3.2636327381903578E-2</v>
      </c>
      <c r="Q37" t="s">
        <v>152</v>
      </c>
      <c r="S37" t="s">
        <v>182</v>
      </c>
      <c r="T37" t="s">
        <v>233</v>
      </c>
      <c r="U37">
        <v>1.7902774685420533E-2</v>
      </c>
      <c r="V37" t="s">
        <v>152</v>
      </c>
    </row>
    <row r="38" spans="9:31" x14ac:dyDescent="0.45">
      <c r="I38" t="s">
        <v>159</v>
      </c>
      <c r="J38" t="s">
        <v>234</v>
      </c>
      <c r="K38">
        <v>0.2533219086288811</v>
      </c>
      <c r="L38" t="s">
        <v>152</v>
      </c>
      <c r="N38" t="s">
        <v>176</v>
      </c>
      <c r="O38" t="s">
        <v>234</v>
      </c>
      <c r="P38">
        <v>4.2541005601618706E-2</v>
      </c>
      <c r="Q38" t="s">
        <v>152</v>
      </c>
      <c r="S38" t="s">
        <v>182</v>
      </c>
      <c r="T38" t="s">
        <v>234</v>
      </c>
      <c r="U38">
        <v>5.1416136141043067E-2</v>
      </c>
      <c r="V38" t="s">
        <v>152</v>
      </c>
    </row>
    <row r="39" spans="9:31" x14ac:dyDescent="0.45">
      <c r="I39" t="s">
        <v>159</v>
      </c>
      <c r="J39" t="s">
        <v>235</v>
      </c>
      <c r="K39">
        <v>0</v>
      </c>
      <c r="L39" t="s">
        <v>152</v>
      </c>
      <c r="N39" t="s">
        <v>176</v>
      </c>
      <c r="O39" t="s">
        <v>235</v>
      </c>
      <c r="P39">
        <v>4.7560815424910606E-2</v>
      </c>
      <c r="Q39" t="s">
        <v>152</v>
      </c>
      <c r="S39" t="s">
        <v>182</v>
      </c>
      <c r="T39" t="s">
        <v>235</v>
      </c>
      <c r="U39">
        <v>4.491327805829945E-2</v>
      </c>
      <c r="V39" t="s">
        <v>152</v>
      </c>
    </row>
    <row r="40" spans="9:31" x14ac:dyDescent="0.45">
      <c r="I40" t="s">
        <v>159</v>
      </c>
      <c r="J40" t="s">
        <v>236</v>
      </c>
      <c r="K40">
        <v>2.875151215758642E-2</v>
      </c>
      <c r="L40" t="s">
        <v>152</v>
      </c>
      <c r="N40" t="s">
        <v>176</v>
      </c>
      <c r="O40" t="s">
        <v>236</v>
      </c>
      <c r="P40">
        <v>1.1403266760804519E-2</v>
      </c>
      <c r="Q40" t="s">
        <v>152</v>
      </c>
      <c r="S40" t="s">
        <v>182</v>
      </c>
      <c r="T40" t="s">
        <v>236</v>
      </c>
      <c r="U40">
        <v>7.6671250549483986E-3</v>
      </c>
      <c r="V40" t="s">
        <v>152</v>
      </c>
    </row>
    <row r="41" spans="9:31" x14ac:dyDescent="0.45">
      <c r="I41" t="s">
        <v>159</v>
      </c>
      <c r="J41" t="s">
        <v>237</v>
      </c>
      <c r="K41">
        <v>0.21645249406482717</v>
      </c>
      <c r="L41" t="s">
        <v>152</v>
      </c>
      <c r="N41" t="s">
        <v>176</v>
      </c>
      <c r="O41" t="s">
        <v>237</v>
      </c>
      <c r="P41">
        <v>0.13691390049872898</v>
      </c>
      <c r="Q41" t="s">
        <v>152</v>
      </c>
      <c r="S41" t="s">
        <v>182</v>
      </c>
      <c r="T41" t="s">
        <v>237</v>
      </c>
      <c r="U41">
        <v>7.0870034513319871E-2</v>
      </c>
      <c r="V41" t="s">
        <v>152</v>
      </c>
    </row>
    <row r="42" spans="9:31" x14ac:dyDescent="0.45">
      <c r="I42" t="s">
        <v>159</v>
      </c>
      <c r="J42" t="s">
        <v>238</v>
      </c>
      <c r="K42">
        <v>0</v>
      </c>
      <c r="L42" t="s">
        <v>152</v>
      </c>
      <c r="N42" t="s">
        <v>176</v>
      </c>
      <c r="O42" t="s">
        <v>238</v>
      </c>
      <c r="P42">
        <v>0.10679775927743775</v>
      </c>
      <c r="Q42" t="s">
        <v>152</v>
      </c>
      <c r="S42" t="s">
        <v>182</v>
      </c>
      <c r="T42" t="s">
        <v>238</v>
      </c>
      <c r="U42">
        <v>4.8694920614187766E-2</v>
      </c>
      <c r="V42" t="s">
        <v>152</v>
      </c>
    </row>
    <row r="43" spans="9:31" x14ac:dyDescent="0.45">
      <c r="I43" t="s">
        <v>159</v>
      </c>
      <c r="J43" t="s">
        <v>239</v>
      </c>
      <c r="K43">
        <v>2.3176329346884916E-2</v>
      </c>
      <c r="L43" t="s">
        <v>152</v>
      </c>
      <c r="N43" t="s">
        <v>176</v>
      </c>
      <c r="O43" t="s">
        <v>239</v>
      </c>
      <c r="P43">
        <v>2.7498736946597286E-2</v>
      </c>
      <c r="Q43" t="s">
        <v>152</v>
      </c>
      <c r="S43" t="s">
        <v>182</v>
      </c>
      <c r="T43" t="s">
        <v>239</v>
      </c>
      <c r="U43">
        <v>7.7972261528726034E-3</v>
      </c>
      <c r="V43" t="s">
        <v>152</v>
      </c>
    </row>
    <row r="44" spans="9:31" x14ac:dyDescent="0.45">
      <c r="I44" t="s">
        <v>159</v>
      </c>
      <c r="J44" t="s">
        <v>240</v>
      </c>
      <c r="K44">
        <v>0.20737507523565443</v>
      </c>
      <c r="L44" t="s">
        <v>152</v>
      </c>
      <c r="N44" t="s">
        <v>176</v>
      </c>
      <c r="O44" t="s">
        <v>240</v>
      </c>
      <c r="P44">
        <v>0.12360092817138787</v>
      </c>
      <c r="Q44" t="s">
        <v>152</v>
      </c>
      <c r="S44" t="s">
        <v>182</v>
      </c>
      <c r="T44" t="s">
        <v>240</v>
      </c>
      <c r="U44">
        <v>0.25470790503533125</v>
      </c>
      <c r="V44" t="s">
        <v>152</v>
      </c>
    </row>
    <row r="45" spans="9:31" x14ac:dyDescent="0.45">
      <c r="I45" t="s">
        <v>159</v>
      </c>
      <c r="J45" t="s">
        <v>241</v>
      </c>
      <c r="K45">
        <v>0</v>
      </c>
      <c r="L45" t="s">
        <v>152</v>
      </c>
      <c r="N45" t="s">
        <v>176</v>
      </c>
      <c r="O45" t="s">
        <v>241</v>
      </c>
      <c r="P45">
        <v>0.11629638273019406</v>
      </c>
      <c r="Q45" t="s">
        <v>152</v>
      </c>
      <c r="S45" t="s">
        <v>182</v>
      </c>
      <c r="T45" t="s">
        <v>241</v>
      </c>
      <c r="U45">
        <v>0.24333629174434887</v>
      </c>
      <c r="V45" t="s">
        <v>152</v>
      </c>
    </row>
    <row r="46" spans="9:31" x14ac:dyDescent="0.45">
      <c r="I46" t="s">
        <v>159</v>
      </c>
      <c r="J46" t="s">
        <v>242</v>
      </c>
      <c r="K46">
        <v>2.399649273640788E-2</v>
      </c>
      <c r="L46" t="s">
        <v>152</v>
      </c>
      <c r="N46" t="s">
        <v>176</v>
      </c>
      <c r="O46" t="s">
        <v>242</v>
      </c>
      <c r="P46">
        <v>3.091526536619588E-2</v>
      </c>
      <c r="Q46" t="s">
        <v>152</v>
      </c>
      <c r="S46" t="s">
        <v>182</v>
      </c>
      <c r="T46" t="s">
        <v>242</v>
      </c>
      <c r="U46">
        <v>4.2690847653580867E-2</v>
      </c>
      <c r="V46" t="s">
        <v>152</v>
      </c>
    </row>
    <row r="47" spans="9:31" x14ac:dyDescent="0.45">
      <c r="I47" t="s">
        <v>160</v>
      </c>
      <c r="J47" t="s">
        <v>231</v>
      </c>
      <c r="K47">
        <v>0.23717004969169658</v>
      </c>
      <c r="L47" t="s">
        <v>152</v>
      </c>
      <c r="N47" t="s">
        <v>177</v>
      </c>
      <c r="O47" t="s">
        <v>231</v>
      </c>
      <c r="P47">
        <v>0.1518512946171979</v>
      </c>
      <c r="Q47" t="s">
        <v>152</v>
      </c>
      <c r="S47" t="s">
        <v>183</v>
      </c>
      <c r="T47" t="s">
        <v>231</v>
      </c>
      <c r="U47">
        <v>0.13192543147700353</v>
      </c>
      <c r="V47" t="s">
        <v>152</v>
      </c>
    </row>
    <row r="48" spans="9:31" x14ac:dyDescent="0.45">
      <c r="I48" t="s">
        <v>160</v>
      </c>
      <c r="J48" t="s">
        <v>232</v>
      </c>
      <c r="K48">
        <v>0</v>
      </c>
      <c r="L48" t="s">
        <v>152</v>
      </c>
      <c r="N48" t="s">
        <v>177</v>
      </c>
      <c r="O48" t="s">
        <v>232</v>
      </c>
      <c r="P48">
        <v>0.1503844327467258</v>
      </c>
      <c r="Q48" t="s">
        <v>152</v>
      </c>
      <c r="S48" t="s">
        <v>183</v>
      </c>
      <c r="T48" t="s">
        <v>232</v>
      </c>
      <c r="U48">
        <v>0.12030982025690201</v>
      </c>
      <c r="V48" t="s">
        <v>152</v>
      </c>
    </row>
    <row r="49" spans="9:22" x14ac:dyDescent="0.45">
      <c r="I49" t="s">
        <v>160</v>
      </c>
      <c r="J49" t="s">
        <v>233</v>
      </c>
      <c r="K49">
        <v>1.6510147788115839E-2</v>
      </c>
      <c r="L49" t="s">
        <v>152</v>
      </c>
      <c r="N49" t="s">
        <v>177</v>
      </c>
      <c r="O49" t="s">
        <v>233</v>
      </c>
      <c r="P49">
        <v>2.9632131770442161E-2</v>
      </c>
      <c r="Q49" t="s">
        <v>152</v>
      </c>
      <c r="S49" t="s">
        <v>183</v>
      </c>
      <c r="T49" t="s">
        <v>233</v>
      </c>
      <c r="U49">
        <v>2.2579229936051732E-2</v>
      </c>
      <c r="V49" t="s">
        <v>152</v>
      </c>
    </row>
    <row r="50" spans="9:22" x14ac:dyDescent="0.45">
      <c r="I50" t="s">
        <v>160</v>
      </c>
      <c r="J50" t="s">
        <v>234</v>
      </c>
      <c r="K50">
        <v>0.24235736418003681</v>
      </c>
      <c r="L50" t="s">
        <v>152</v>
      </c>
      <c r="N50" t="s">
        <v>177</v>
      </c>
      <c r="O50" t="s">
        <v>234</v>
      </c>
      <c r="P50">
        <v>5.0632971846428364E-2</v>
      </c>
      <c r="Q50" t="s">
        <v>152</v>
      </c>
      <c r="S50" t="s">
        <v>183</v>
      </c>
      <c r="T50" t="s">
        <v>234</v>
      </c>
      <c r="U50">
        <v>5.0498057227105861E-2</v>
      </c>
      <c r="V50" t="s">
        <v>152</v>
      </c>
    </row>
    <row r="51" spans="9:22" x14ac:dyDescent="0.45">
      <c r="I51" t="s">
        <v>160</v>
      </c>
      <c r="J51" t="s">
        <v>235</v>
      </c>
      <c r="K51">
        <v>0</v>
      </c>
      <c r="L51" t="s">
        <v>152</v>
      </c>
      <c r="N51" t="s">
        <v>177</v>
      </c>
      <c r="O51" t="s">
        <v>235</v>
      </c>
      <c r="P51">
        <v>6.4255305796390855E-2</v>
      </c>
      <c r="Q51" t="s">
        <v>152</v>
      </c>
      <c r="S51" t="s">
        <v>183</v>
      </c>
      <c r="T51" t="s">
        <v>235</v>
      </c>
      <c r="U51">
        <v>7.0022254412260676E-2</v>
      </c>
      <c r="V51" t="s">
        <v>152</v>
      </c>
    </row>
    <row r="52" spans="9:22" x14ac:dyDescent="0.45">
      <c r="I52" t="s">
        <v>160</v>
      </c>
      <c r="J52" t="s">
        <v>236</v>
      </c>
      <c r="K52">
        <v>2.2976849648580398E-2</v>
      </c>
      <c r="L52" t="s">
        <v>152</v>
      </c>
      <c r="N52" t="s">
        <v>177</v>
      </c>
      <c r="O52" t="s">
        <v>236</v>
      </c>
      <c r="P52">
        <v>1.2166028220884204E-2</v>
      </c>
      <c r="Q52" t="s">
        <v>152</v>
      </c>
      <c r="S52" t="s">
        <v>183</v>
      </c>
      <c r="T52" t="s">
        <v>236</v>
      </c>
      <c r="U52">
        <v>1.1782925887427987E-2</v>
      </c>
      <c r="V52" t="s">
        <v>152</v>
      </c>
    </row>
    <row r="53" spans="9:22" x14ac:dyDescent="0.45">
      <c r="I53" t="s">
        <v>160</v>
      </c>
      <c r="J53" t="s">
        <v>237</v>
      </c>
      <c r="K53">
        <v>0.22433406910452705</v>
      </c>
      <c r="L53" t="s">
        <v>152</v>
      </c>
      <c r="N53" t="s">
        <v>177</v>
      </c>
      <c r="O53" t="s">
        <v>237</v>
      </c>
      <c r="P53">
        <v>0.11403619527546398</v>
      </c>
      <c r="Q53" t="s">
        <v>152</v>
      </c>
      <c r="S53" t="s">
        <v>183</v>
      </c>
      <c r="T53" t="s">
        <v>237</v>
      </c>
      <c r="U53">
        <v>0.12244407279354534</v>
      </c>
      <c r="V53" t="s">
        <v>152</v>
      </c>
    </row>
    <row r="54" spans="9:22" x14ac:dyDescent="0.45">
      <c r="I54" t="s">
        <v>160</v>
      </c>
      <c r="J54" t="s">
        <v>238</v>
      </c>
      <c r="K54">
        <v>0</v>
      </c>
      <c r="L54" t="s">
        <v>152</v>
      </c>
      <c r="N54" t="s">
        <v>177</v>
      </c>
      <c r="O54" t="s">
        <v>238</v>
      </c>
      <c r="P54">
        <v>0.11220487749326624</v>
      </c>
      <c r="Q54" t="s">
        <v>152</v>
      </c>
      <c r="S54" t="s">
        <v>183</v>
      </c>
      <c r="T54" t="s">
        <v>238</v>
      </c>
      <c r="U54">
        <v>9.6539178475105639E-2</v>
      </c>
      <c r="V54" t="s">
        <v>152</v>
      </c>
    </row>
    <row r="55" spans="9:22" x14ac:dyDescent="0.45">
      <c r="I55" t="s">
        <v>160</v>
      </c>
      <c r="J55" t="s">
        <v>239</v>
      </c>
      <c r="K55">
        <v>1.9419860969920821E-2</v>
      </c>
      <c r="L55" t="s">
        <v>152</v>
      </c>
      <c r="N55" t="s">
        <v>177</v>
      </c>
      <c r="O55" t="s">
        <v>239</v>
      </c>
      <c r="P55">
        <v>2.4120680464485511E-2</v>
      </c>
      <c r="Q55" t="s">
        <v>152</v>
      </c>
      <c r="S55" t="s">
        <v>183</v>
      </c>
      <c r="T55" t="s">
        <v>239</v>
      </c>
      <c r="U55">
        <v>1.8764489824024292E-2</v>
      </c>
      <c r="V55" t="s">
        <v>152</v>
      </c>
    </row>
    <row r="56" spans="9:22" x14ac:dyDescent="0.45">
      <c r="I56" t="s">
        <v>160</v>
      </c>
      <c r="J56" t="s">
        <v>240</v>
      </c>
      <c r="K56">
        <v>0.21479697903012593</v>
      </c>
      <c r="L56" t="s">
        <v>152</v>
      </c>
      <c r="N56" t="s">
        <v>177</v>
      </c>
      <c r="O56" t="s">
        <v>240</v>
      </c>
      <c r="P56">
        <v>0.12542836790070178</v>
      </c>
      <c r="Q56" t="s">
        <v>152</v>
      </c>
      <c r="S56" t="s">
        <v>183</v>
      </c>
      <c r="T56" t="s">
        <v>240</v>
      </c>
      <c r="U56">
        <v>0.15452134852732324</v>
      </c>
      <c r="V56" t="s">
        <v>152</v>
      </c>
    </row>
    <row r="57" spans="9:22" x14ac:dyDescent="0.45">
      <c r="I57" t="s">
        <v>160</v>
      </c>
      <c r="J57" t="s">
        <v>241</v>
      </c>
      <c r="K57">
        <v>0</v>
      </c>
      <c r="L57" t="s">
        <v>152</v>
      </c>
      <c r="N57" t="s">
        <v>177</v>
      </c>
      <c r="O57" t="s">
        <v>241</v>
      </c>
      <c r="P57">
        <v>0.13814035430188504</v>
      </c>
      <c r="Q57" t="s">
        <v>152</v>
      </c>
      <c r="S57" t="s">
        <v>183</v>
      </c>
      <c r="T57" t="s">
        <v>241</v>
      </c>
      <c r="U57">
        <v>0.17076230075060334</v>
      </c>
      <c r="V57" t="s">
        <v>152</v>
      </c>
    </row>
    <row r="58" spans="9:22" x14ac:dyDescent="0.45">
      <c r="I58" t="s">
        <v>160</v>
      </c>
      <c r="J58" t="s">
        <v>242</v>
      </c>
      <c r="K58">
        <v>2.243467958699601E-2</v>
      </c>
      <c r="L58" t="s">
        <v>152</v>
      </c>
      <c r="N58" t="s">
        <v>177</v>
      </c>
      <c r="O58" t="s">
        <v>242</v>
      </c>
      <c r="P58">
        <v>2.7147359566126079E-2</v>
      </c>
      <c r="Q58" t="s">
        <v>152</v>
      </c>
      <c r="S58" t="s">
        <v>183</v>
      </c>
      <c r="T58" t="s">
        <v>242</v>
      </c>
      <c r="U58">
        <v>2.9850890432642413E-2</v>
      </c>
      <c r="V58" t="s">
        <v>152</v>
      </c>
    </row>
    <row r="59" spans="9:22" x14ac:dyDescent="0.45">
      <c r="I59" t="s">
        <v>161</v>
      </c>
      <c r="J59" t="s">
        <v>231</v>
      </c>
      <c r="K59">
        <v>0.24067780608726402</v>
      </c>
      <c r="L59" t="s">
        <v>152</v>
      </c>
      <c r="N59" t="s">
        <v>178</v>
      </c>
      <c r="O59" t="s">
        <v>231</v>
      </c>
      <c r="P59">
        <v>0.14327729976235862</v>
      </c>
      <c r="Q59" t="s">
        <v>152</v>
      </c>
      <c r="S59" t="s">
        <v>184</v>
      </c>
      <c r="T59" t="s">
        <v>231</v>
      </c>
      <c r="U59">
        <v>0.1474639830956323</v>
      </c>
      <c r="V59" t="s">
        <v>152</v>
      </c>
    </row>
    <row r="60" spans="9:22" x14ac:dyDescent="0.45">
      <c r="I60" t="s">
        <v>161</v>
      </c>
      <c r="J60" t="s">
        <v>232</v>
      </c>
      <c r="K60">
        <v>0</v>
      </c>
      <c r="L60" t="s">
        <v>152</v>
      </c>
      <c r="N60" t="s">
        <v>178</v>
      </c>
      <c r="O60" t="s">
        <v>232</v>
      </c>
      <c r="P60">
        <v>0.16070620189762003</v>
      </c>
      <c r="Q60" t="s">
        <v>152</v>
      </c>
      <c r="S60" t="s">
        <v>184</v>
      </c>
      <c r="T60" t="s">
        <v>232</v>
      </c>
      <c r="U60">
        <v>0.13616141689682171</v>
      </c>
      <c r="V60" t="s">
        <v>152</v>
      </c>
    </row>
    <row r="61" spans="9:22" x14ac:dyDescent="0.45">
      <c r="I61" t="s">
        <v>161</v>
      </c>
      <c r="J61" t="s">
        <v>233</v>
      </c>
      <c r="K61">
        <v>1.5050704755439098E-2</v>
      </c>
      <c r="L61" t="s">
        <v>152</v>
      </c>
      <c r="N61" t="s">
        <v>178</v>
      </c>
      <c r="O61" t="s">
        <v>233</v>
      </c>
      <c r="P61">
        <v>3.5129609433096239E-2</v>
      </c>
      <c r="Q61" t="s">
        <v>152</v>
      </c>
      <c r="S61" t="s">
        <v>184</v>
      </c>
      <c r="T61" t="s">
        <v>233</v>
      </c>
      <c r="U61">
        <v>2.634506703499483E-2</v>
      </c>
      <c r="V61" t="s">
        <v>152</v>
      </c>
    </row>
    <row r="62" spans="9:22" x14ac:dyDescent="0.45">
      <c r="I62" t="s">
        <v>161</v>
      </c>
      <c r="J62" t="s">
        <v>234</v>
      </c>
      <c r="K62">
        <v>0.25430064860434459</v>
      </c>
      <c r="L62" t="s">
        <v>152</v>
      </c>
      <c r="N62" t="s">
        <v>178</v>
      </c>
      <c r="O62" t="s">
        <v>234</v>
      </c>
      <c r="P62">
        <v>6.3469602132313882E-2</v>
      </c>
      <c r="Q62" t="s">
        <v>152</v>
      </c>
      <c r="S62" t="s">
        <v>184</v>
      </c>
      <c r="T62" t="s">
        <v>234</v>
      </c>
      <c r="U62">
        <v>5.0833586617778787E-2</v>
      </c>
      <c r="V62" t="s">
        <v>152</v>
      </c>
    </row>
    <row r="63" spans="9:22" x14ac:dyDescent="0.45">
      <c r="I63" t="s">
        <v>161</v>
      </c>
      <c r="J63" t="s">
        <v>235</v>
      </c>
      <c r="K63">
        <v>0</v>
      </c>
      <c r="L63" t="s">
        <v>152</v>
      </c>
      <c r="N63" t="s">
        <v>178</v>
      </c>
      <c r="O63" t="s">
        <v>235</v>
      </c>
      <c r="P63">
        <v>7.018159864280718E-2</v>
      </c>
      <c r="Q63" t="s">
        <v>152</v>
      </c>
      <c r="S63" t="s">
        <v>184</v>
      </c>
      <c r="T63" t="s">
        <v>235</v>
      </c>
      <c r="U63">
        <v>6.2988430731086911E-2</v>
      </c>
      <c r="V63" t="s">
        <v>152</v>
      </c>
    </row>
    <row r="64" spans="9:22" x14ac:dyDescent="0.45">
      <c r="I64" t="s">
        <v>161</v>
      </c>
      <c r="J64" t="s">
        <v>236</v>
      </c>
      <c r="K64">
        <v>2.318084152281466E-2</v>
      </c>
      <c r="L64" t="s">
        <v>152</v>
      </c>
      <c r="N64" t="s">
        <v>178</v>
      </c>
      <c r="O64" t="s">
        <v>236</v>
      </c>
      <c r="P64">
        <v>1.3119453394527567E-2</v>
      </c>
      <c r="Q64" t="s">
        <v>152</v>
      </c>
      <c r="S64" t="s">
        <v>184</v>
      </c>
      <c r="T64" t="s">
        <v>236</v>
      </c>
      <c r="U64">
        <v>9.5014646537945838E-3</v>
      </c>
      <c r="V64" t="s">
        <v>152</v>
      </c>
    </row>
    <row r="65" spans="9:22" x14ac:dyDescent="0.45">
      <c r="I65" t="s">
        <v>161</v>
      </c>
      <c r="J65" t="s">
        <v>237</v>
      </c>
      <c r="K65">
        <v>0.22689032251387903</v>
      </c>
      <c r="L65" t="s">
        <v>152</v>
      </c>
      <c r="N65" t="s">
        <v>178</v>
      </c>
      <c r="O65" t="s">
        <v>237</v>
      </c>
      <c r="P65">
        <v>7.990904185133052E-2</v>
      </c>
      <c r="Q65" t="s">
        <v>152</v>
      </c>
      <c r="S65" t="s">
        <v>184</v>
      </c>
      <c r="T65" t="s">
        <v>237</v>
      </c>
      <c r="U65">
        <v>0.13496547415401855</v>
      </c>
      <c r="V65" t="s">
        <v>152</v>
      </c>
    </row>
    <row r="66" spans="9:22" x14ac:dyDescent="0.45">
      <c r="I66" t="s">
        <v>161</v>
      </c>
      <c r="J66" t="s">
        <v>238</v>
      </c>
      <c r="K66">
        <v>0</v>
      </c>
      <c r="L66" t="s">
        <v>152</v>
      </c>
      <c r="N66" t="s">
        <v>178</v>
      </c>
      <c r="O66" t="s">
        <v>238</v>
      </c>
      <c r="P66">
        <v>0.11024503995528045</v>
      </c>
      <c r="Q66" t="s">
        <v>152</v>
      </c>
      <c r="S66" t="s">
        <v>184</v>
      </c>
      <c r="T66" t="s">
        <v>238</v>
      </c>
      <c r="U66">
        <v>0.12579691847926294</v>
      </c>
      <c r="V66" t="s">
        <v>152</v>
      </c>
    </row>
    <row r="67" spans="9:22" x14ac:dyDescent="0.45">
      <c r="I67" t="s">
        <v>161</v>
      </c>
      <c r="J67" t="s">
        <v>239</v>
      </c>
      <c r="K67">
        <v>1.8605344477966176E-2</v>
      </c>
      <c r="L67" t="s">
        <v>152</v>
      </c>
      <c r="N67" t="s">
        <v>178</v>
      </c>
      <c r="O67" t="s">
        <v>239</v>
      </c>
      <c r="P67">
        <v>2.4132705457468259E-2</v>
      </c>
      <c r="Q67" t="s">
        <v>152</v>
      </c>
      <c r="S67" t="s">
        <v>184</v>
      </c>
      <c r="T67" t="s">
        <v>239</v>
      </c>
      <c r="U67">
        <v>2.4464079398794438E-2</v>
      </c>
      <c r="V67" t="s">
        <v>152</v>
      </c>
    </row>
    <row r="68" spans="9:22" x14ac:dyDescent="0.45">
      <c r="I68" t="s">
        <v>161</v>
      </c>
      <c r="J68" t="s">
        <v>240</v>
      </c>
      <c r="K68">
        <v>0.2000436805184154</v>
      </c>
      <c r="L68" t="s">
        <v>152</v>
      </c>
      <c r="N68" t="s">
        <v>178</v>
      </c>
      <c r="O68" t="s">
        <v>240</v>
      </c>
      <c r="P68">
        <v>0.13043526100701958</v>
      </c>
      <c r="Q68" t="s">
        <v>152</v>
      </c>
      <c r="S68" t="s">
        <v>184</v>
      </c>
      <c r="T68" t="s">
        <v>240</v>
      </c>
      <c r="U68">
        <v>0.12187269301098545</v>
      </c>
      <c r="V68" t="s">
        <v>152</v>
      </c>
    </row>
    <row r="69" spans="9:22" x14ac:dyDescent="0.45">
      <c r="I69" t="s">
        <v>161</v>
      </c>
      <c r="J69" t="s">
        <v>241</v>
      </c>
      <c r="K69">
        <v>0</v>
      </c>
      <c r="L69" t="s">
        <v>152</v>
      </c>
      <c r="N69" t="s">
        <v>178</v>
      </c>
      <c r="O69" t="s">
        <v>241</v>
      </c>
      <c r="P69">
        <v>0.14095787329942658</v>
      </c>
      <c r="Q69" t="s">
        <v>152</v>
      </c>
      <c r="S69" t="s">
        <v>184</v>
      </c>
      <c r="T69" t="s">
        <v>241</v>
      </c>
      <c r="U69">
        <v>0.13528368706288835</v>
      </c>
      <c r="V69" t="s">
        <v>152</v>
      </c>
    </row>
    <row r="70" spans="9:22" x14ac:dyDescent="0.45">
      <c r="I70" t="s">
        <v>161</v>
      </c>
      <c r="J70" t="s">
        <v>242</v>
      </c>
      <c r="K70">
        <v>2.1250651519876387E-2</v>
      </c>
      <c r="L70" t="s">
        <v>152</v>
      </c>
      <c r="N70" t="s">
        <v>178</v>
      </c>
      <c r="O70" t="s">
        <v>242</v>
      </c>
      <c r="P70">
        <v>2.843631316674964E-2</v>
      </c>
      <c r="Q70" t="s">
        <v>152</v>
      </c>
      <c r="S70" t="s">
        <v>184</v>
      </c>
      <c r="T70" t="s">
        <v>242</v>
      </c>
      <c r="U70">
        <v>2.4323198863941731E-2</v>
      </c>
      <c r="V70" t="s">
        <v>152</v>
      </c>
    </row>
    <row r="71" spans="9:22" x14ac:dyDescent="0.45">
      <c r="I71" t="s">
        <v>162</v>
      </c>
      <c r="J71" t="s">
        <v>231</v>
      </c>
      <c r="K71">
        <v>0.24430695290498114</v>
      </c>
      <c r="L71" t="s">
        <v>152</v>
      </c>
      <c r="N71" t="s">
        <v>179</v>
      </c>
      <c r="O71" t="s">
        <v>231</v>
      </c>
      <c r="P71">
        <v>0.11963556925615437</v>
      </c>
      <c r="Q71" t="s">
        <v>152</v>
      </c>
      <c r="S71" t="s">
        <v>185</v>
      </c>
      <c r="T71" t="s">
        <v>231</v>
      </c>
      <c r="U71">
        <v>0.14015052143777343</v>
      </c>
      <c r="V71" t="s">
        <v>152</v>
      </c>
    </row>
    <row r="72" spans="9:22" x14ac:dyDescent="0.45">
      <c r="I72" t="s">
        <v>162</v>
      </c>
      <c r="J72" t="s">
        <v>232</v>
      </c>
      <c r="K72">
        <v>0</v>
      </c>
      <c r="L72" t="s">
        <v>152</v>
      </c>
      <c r="N72" t="s">
        <v>179</v>
      </c>
      <c r="O72" t="s">
        <v>232</v>
      </c>
      <c r="P72">
        <v>0.16728964565155063</v>
      </c>
      <c r="Q72" t="s">
        <v>152</v>
      </c>
      <c r="S72" t="s">
        <v>185</v>
      </c>
      <c r="T72" t="s">
        <v>232</v>
      </c>
      <c r="U72">
        <v>0.12450867799467497</v>
      </c>
      <c r="V72" t="s">
        <v>152</v>
      </c>
    </row>
    <row r="73" spans="9:22" x14ac:dyDescent="0.45">
      <c r="I73" t="s">
        <v>162</v>
      </c>
      <c r="J73" t="s">
        <v>233</v>
      </c>
      <c r="K73">
        <v>6.6891924637804299E-3</v>
      </c>
      <c r="L73" t="s">
        <v>152</v>
      </c>
      <c r="N73" t="s">
        <v>179</v>
      </c>
      <c r="O73" t="s">
        <v>233</v>
      </c>
      <c r="P73">
        <v>3.2846613872066201E-2</v>
      </c>
      <c r="Q73" t="s">
        <v>152</v>
      </c>
      <c r="S73" t="s">
        <v>185</v>
      </c>
      <c r="T73" t="s">
        <v>233</v>
      </c>
      <c r="U73">
        <v>2.4125162343986786E-2</v>
      </c>
      <c r="V73" t="s">
        <v>152</v>
      </c>
    </row>
    <row r="74" spans="9:22" x14ac:dyDescent="0.45">
      <c r="I74" t="s">
        <v>162</v>
      </c>
      <c r="J74" t="s">
        <v>234</v>
      </c>
      <c r="K74">
        <v>0.24888118276239082</v>
      </c>
      <c r="L74" t="s">
        <v>152</v>
      </c>
      <c r="N74" t="s">
        <v>179</v>
      </c>
      <c r="O74" t="s">
        <v>234</v>
      </c>
      <c r="P74">
        <v>5.9553898013138276E-2</v>
      </c>
      <c r="Q74" t="s">
        <v>152</v>
      </c>
      <c r="S74" t="s">
        <v>185</v>
      </c>
      <c r="T74" t="s">
        <v>234</v>
      </c>
      <c r="U74">
        <v>5.2120300731522136E-2</v>
      </c>
      <c r="V74" t="s">
        <v>152</v>
      </c>
    </row>
    <row r="75" spans="9:22" x14ac:dyDescent="0.45">
      <c r="I75" t="s">
        <v>162</v>
      </c>
      <c r="J75" t="s">
        <v>235</v>
      </c>
      <c r="K75">
        <v>0</v>
      </c>
      <c r="L75" t="s">
        <v>152</v>
      </c>
      <c r="N75" t="s">
        <v>179</v>
      </c>
      <c r="O75" t="s">
        <v>235</v>
      </c>
      <c r="P75">
        <v>7.2417919096144007E-2</v>
      </c>
      <c r="Q75" t="s">
        <v>152</v>
      </c>
      <c r="S75" t="s">
        <v>185</v>
      </c>
      <c r="T75" t="s">
        <v>235</v>
      </c>
      <c r="U75">
        <v>6.5321535648896353E-2</v>
      </c>
      <c r="V75" t="s">
        <v>152</v>
      </c>
    </row>
    <row r="76" spans="9:22" x14ac:dyDescent="0.45">
      <c r="I76" t="s">
        <v>162</v>
      </c>
      <c r="J76" t="s">
        <v>236</v>
      </c>
      <c r="K76">
        <v>1.1638953881372451E-2</v>
      </c>
      <c r="L76" t="s">
        <v>152</v>
      </c>
      <c r="N76" t="s">
        <v>179</v>
      </c>
      <c r="O76" t="s">
        <v>236</v>
      </c>
      <c r="P76">
        <v>1.3264628291865827E-2</v>
      </c>
      <c r="Q76" t="s">
        <v>152</v>
      </c>
      <c r="S76" t="s">
        <v>185</v>
      </c>
      <c r="T76" t="s">
        <v>236</v>
      </c>
      <c r="U76">
        <v>9.7418686675807206E-3</v>
      </c>
      <c r="V76" t="s">
        <v>152</v>
      </c>
    </row>
    <row r="77" spans="9:22" x14ac:dyDescent="0.45">
      <c r="I77" t="s">
        <v>162</v>
      </c>
      <c r="J77" t="s">
        <v>237</v>
      </c>
      <c r="K77">
        <v>0.25105852887406543</v>
      </c>
      <c r="L77" t="s">
        <v>152</v>
      </c>
      <c r="N77" t="s">
        <v>179</v>
      </c>
      <c r="O77" t="s">
        <v>237</v>
      </c>
      <c r="P77">
        <v>7.3098044888542532E-2</v>
      </c>
      <c r="Q77" t="s">
        <v>152</v>
      </c>
      <c r="S77" t="s">
        <v>185</v>
      </c>
      <c r="T77" t="s">
        <v>237</v>
      </c>
      <c r="U77">
        <v>0.13213958187912153</v>
      </c>
      <c r="V77" t="s">
        <v>152</v>
      </c>
    </row>
    <row r="78" spans="9:22" x14ac:dyDescent="0.45">
      <c r="I78" t="s">
        <v>162</v>
      </c>
      <c r="J78" t="s">
        <v>238</v>
      </c>
      <c r="K78">
        <v>0</v>
      </c>
      <c r="L78" t="s">
        <v>152</v>
      </c>
      <c r="N78" t="s">
        <v>179</v>
      </c>
      <c r="O78" t="s">
        <v>238</v>
      </c>
      <c r="P78">
        <v>0.10879808602795439</v>
      </c>
      <c r="Q78" t="s">
        <v>152</v>
      </c>
      <c r="S78" t="s">
        <v>185</v>
      </c>
      <c r="T78" t="s">
        <v>238</v>
      </c>
      <c r="U78">
        <v>0.11552567982291309</v>
      </c>
      <c r="V78" t="s">
        <v>152</v>
      </c>
    </row>
    <row r="79" spans="9:22" x14ac:dyDescent="0.45">
      <c r="I79" t="s">
        <v>162</v>
      </c>
      <c r="J79" t="s">
        <v>239</v>
      </c>
      <c r="K79">
        <v>1.6671080528220441E-2</v>
      </c>
      <c r="L79" t="s">
        <v>152</v>
      </c>
      <c r="N79" t="s">
        <v>179</v>
      </c>
      <c r="O79" t="s">
        <v>239</v>
      </c>
      <c r="P79">
        <v>1.8656733454502864E-2</v>
      </c>
      <c r="Q79" t="s">
        <v>152</v>
      </c>
      <c r="S79" t="s">
        <v>185</v>
      </c>
      <c r="T79" t="s">
        <v>239</v>
      </c>
      <c r="U79">
        <v>2.2014050121147308E-2</v>
      </c>
      <c r="V79" t="s">
        <v>152</v>
      </c>
    </row>
    <row r="80" spans="9:22" x14ac:dyDescent="0.45">
      <c r="I80" t="s">
        <v>162</v>
      </c>
      <c r="J80" t="s">
        <v>240</v>
      </c>
      <c r="K80">
        <v>0.21014087996238329</v>
      </c>
      <c r="L80" t="s">
        <v>152</v>
      </c>
      <c r="N80" t="s">
        <v>179</v>
      </c>
      <c r="O80" t="s">
        <v>240</v>
      </c>
      <c r="P80">
        <v>0.1389133280582536</v>
      </c>
      <c r="Q80" t="s">
        <v>152</v>
      </c>
      <c r="S80" t="s">
        <v>185</v>
      </c>
      <c r="T80" t="s">
        <v>240</v>
      </c>
      <c r="U80">
        <v>0.13971993703673891</v>
      </c>
      <c r="V80" t="s">
        <v>152</v>
      </c>
    </row>
    <row r="81" spans="9:22" x14ac:dyDescent="0.45">
      <c r="I81" t="s">
        <v>162</v>
      </c>
      <c r="J81" t="s">
        <v>241</v>
      </c>
      <c r="K81">
        <v>0</v>
      </c>
      <c r="L81" t="s">
        <v>152</v>
      </c>
      <c r="N81" t="s">
        <v>179</v>
      </c>
      <c r="O81" t="s">
        <v>241</v>
      </c>
      <c r="P81">
        <v>0.16427973841983229</v>
      </c>
      <c r="Q81" t="s">
        <v>152</v>
      </c>
      <c r="S81" t="s">
        <v>185</v>
      </c>
      <c r="T81" t="s">
        <v>241</v>
      </c>
      <c r="U81">
        <v>0.14926188208817318</v>
      </c>
      <c r="V81" t="s">
        <v>152</v>
      </c>
    </row>
    <row r="82" spans="9:22" x14ac:dyDescent="0.45">
      <c r="I82" t="s">
        <v>162</v>
      </c>
      <c r="J82" t="s">
        <v>242</v>
      </c>
      <c r="K82">
        <v>1.0613228622808129E-2</v>
      </c>
      <c r="L82" t="s">
        <v>152</v>
      </c>
      <c r="N82" t="s">
        <v>179</v>
      </c>
      <c r="O82" t="s">
        <v>242</v>
      </c>
      <c r="P82">
        <v>3.1245794969997895E-2</v>
      </c>
      <c r="Q82" t="s">
        <v>152</v>
      </c>
      <c r="S82" t="s">
        <v>185</v>
      </c>
      <c r="T82" t="s">
        <v>242</v>
      </c>
      <c r="U82">
        <v>2.5370802227473819E-2</v>
      </c>
      <c r="V82" t="s">
        <v>152</v>
      </c>
    </row>
    <row r="83" spans="9:22" x14ac:dyDescent="0.45">
      <c r="I83" t="s">
        <v>163</v>
      </c>
      <c r="J83" t="s">
        <v>231</v>
      </c>
      <c r="K83">
        <v>0.23511185278364627</v>
      </c>
      <c r="L83" t="s">
        <v>152</v>
      </c>
      <c r="S83" t="s">
        <v>186</v>
      </c>
      <c r="T83" t="s">
        <v>231</v>
      </c>
      <c r="U83">
        <v>0.10414506709863652</v>
      </c>
      <c r="V83" t="s">
        <v>152</v>
      </c>
    </row>
    <row r="84" spans="9:22" x14ac:dyDescent="0.45">
      <c r="I84" t="s">
        <v>163</v>
      </c>
      <c r="J84" t="s">
        <v>232</v>
      </c>
      <c r="K84">
        <v>0</v>
      </c>
      <c r="L84" t="s">
        <v>152</v>
      </c>
      <c r="S84" t="s">
        <v>186</v>
      </c>
      <c r="T84" t="s">
        <v>232</v>
      </c>
      <c r="U84">
        <v>9.2527690603417354E-2</v>
      </c>
      <c r="V84" t="s">
        <v>152</v>
      </c>
    </row>
    <row r="85" spans="9:22" x14ac:dyDescent="0.45">
      <c r="I85" t="s">
        <v>163</v>
      </c>
      <c r="J85" t="s">
        <v>233</v>
      </c>
      <c r="K85">
        <v>8.6340096795848587E-3</v>
      </c>
      <c r="L85" t="s">
        <v>152</v>
      </c>
      <c r="S85" t="s">
        <v>186</v>
      </c>
      <c r="T85" t="s">
        <v>233</v>
      </c>
      <c r="U85">
        <v>1.6446328620456266E-2</v>
      </c>
      <c r="V85" t="s">
        <v>152</v>
      </c>
    </row>
    <row r="86" spans="9:22" x14ac:dyDescent="0.45">
      <c r="I86" t="s">
        <v>163</v>
      </c>
      <c r="J86" t="s">
        <v>234</v>
      </c>
      <c r="K86">
        <v>0.24736891299978489</v>
      </c>
      <c r="L86" t="s">
        <v>152</v>
      </c>
      <c r="S86" t="s">
        <v>186</v>
      </c>
      <c r="T86" t="s">
        <v>234</v>
      </c>
      <c r="U86">
        <v>4.2585333930059185E-2</v>
      </c>
      <c r="V86" t="s">
        <v>152</v>
      </c>
    </row>
    <row r="87" spans="9:22" x14ac:dyDescent="0.45">
      <c r="I87" t="s">
        <v>163</v>
      </c>
      <c r="J87" t="s">
        <v>235</v>
      </c>
      <c r="K87">
        <v>0</v>
      </c>
      <c r="L87" t="s">
        <v>152</v>
      </c>
      <c r="S87" t="s">
        <v>186</v>
      </c>
      <c r="T87" t="s">
        <v>235</v>
      </c>
      <c r="U87">
        <v>4.9838327952723978E-2</v>
      </c>
      <c r="V87" t="s">
        <v>152</v>
      </c>
    </row>
    <row r="88" spans="9:22" x14ac:dyDescent="0.45">
      <c r="I88" t="s">
        <v>163</v>
      </c>
      <c r="J88" t="s">
        <v>236</v>
      </c>
      <c r="K88">
        <v>1.8579170454598382E-2</v>
      </c>
      <c r="L88" t="s">
        <v>152</v>
      </c>
      <c r="S88" t="s">
        <v>186</v>
      </c>
      <c r="T88" t="s">
        <v>236</v>
      </c>
      <c r="U88">
        <v>7.313002516355905E-3</v>
      </c>
      <c r="V88" t="s">
        <v>152</v>
      </c>
    </row>
    <row r="89" spans="9:22" x14ac:dyDescent="0.45">
      <c r="I89" t="s">
        <v>163</v>
      </c>
      <c r="J89" t="s">
        <v>237</v>
      </c>
      <c r="K89">
        <v>0.25765893143228225</v>
      </c>
      <c r="L89" t="s">
        <v>152</v>
      </c>
      <c r="S89" t="s">
        <v>186</v>
      </c>
      <c r="T89" t="s">
        <v>237</v>
      </c>
      <c r="U89">
        <v>0.11679970894978631</v>
      </c>
      <c r="V89" t="s">
        <v>152</v>
      </c>
    </row>
    <row r="90" spans="9:22" x14ac:dyDescent="0.45">
      <c r="I90" t="s">
        <v>163</v>
      </c>
      <c r="J90" t="s">
        <v>238</v>
      </c>
      <c r="K90">
        <v>0</v>
      </c>
      <c r="L90" t="s">
        <v>152</v>
      </c>
      <c r="S90" t="s">
        <v>186</v>
      </c>
      <c r="T90" t="s">
        <v>238</v>
      </c>
      <c r="U90">
        <v>9.5659712285428425E-2</v>
      </c>
      <c r="V90" t="s">
        <v>152</v>
      </c>
    </row>
    <row r="91" spans="9:22" x14ac:dyDescent="0.45">
      <c r="I91" t="s">
        <v>163</v>
      </c>
      <c r="J91" t="s">
        <v>239</v>
      </c>
      <c r="K91">
        <v>2.0888863649608798E-2</v>
      </c>
      <c r="L91" t="s">
        <v>152</v>
      </c>
      <c r="S91" t="s">
        <v>186</v>
      </c>
      <c r="T91" t="s">
        <v>239</v>
      </c>
      <c r="U91">
        <v>1.9101575578271291E-2</v>
      </c>
      <c r="V91" t="s">
        <v>152</v>
      </c>
    </row>
    <row r="92" spans="9:22" x14ac:dyDescent="0.45">
      <c r="I92" t="s">
        <v>163</v>
      </c>
      <c r="J92" t="s">
        <v>240</v>
      </c>
      <c r="K92">
        <v>0.19990301723234288</v>
      </c>
      <c r="L92" t="s">
        <v>152</v>
      </c>
      <c r="S92" t="s">
        <v>186</v>
      </c>
      <c r="T92" t="s">
        <v>240</v>
      </c>
      <c r="U92">
        <v>0.20153772931357442</v>
      </c>
      <c r="V92" t="s">
        <v>152</v>
      </c>
    </row>
    <row r="93" spans="9:22" x14ac:dyDescent="0.45">
      <c r="I93" t="s">
        <v>163</v>
      </c>
      <c r="J93" t="s">
        <v>241</v>
      </c>
      <c r="K93">
        <v>0</v>
      </c>
      <c r="L93" t="s">
        <v>152</v>
      </c>
      <c r="S93" t="s">
        <v>186</v>
      </c>
      <c r="T93" t="s">
        <v>241</v>
      </c>
      <c r="U93">
        <v>0.21830533541902264</v>
      </c>
      <c r="V93" t="s">
        <v>152</v>
      </c>
    </row>
    <row r="94" spans="9:22" x14ac:dyDescent="0.45">
      <c r="I94" t="s">
        <v>163</v>
      </c>
      <c r="J94" t="s">
        <v>242</v>
      </c>
      <c r="K94">
        <v>1.1855241768151024E-2</v>
      </c>
      <c r="L94" t="s">
        <v>152</v>
      </c>
      <c r="S94" t="s">
        <v>186</v>
      </c>
      <c r="T94" t="s">
        <v>242</v>
      </c>
      <c r="U94">
        <v>3.5740187732267802E-2</v>
      </c>
      <c r="V94" t="s">
        <v>152</v>
      </c>
    </row>
    <row r="95" spans="9:22" x14ac:dyDescent="0.45">
      <c r="I95" t="s">
        <v>164</v>
      </c>
      <c r="J95" t="s">
        <v>231</v>
      </c>
      <c r="K95">
        <v>0.23723957801456214</v>
      </c>
      <c r="L95" t="s">
        <v>152</v>
      </c>
      <c r="S95" t="s">
        <v>187</v>
      </c>
      <c r="T95" t="s">
        <v>231</v>
      </c>
      <c r="U95">
        <v>0.11461497433700077</v>
      </c>
      <c r="V95" t="s">
        <v>152</v>
      </c>
    </row>
    <row r="96" spans="9:22" x14ac:dyDescent="0.45">
      <c r="I96" t="s">
        <v>164</v>
      </c>
      <c r="J96" t="s">
        <v>232</v>
      </c>
      <c r="K96">
        <v>0</v>
      </c>
      <c r="L96" t="s">
        <v>152</v>
      </c>
      <c r="S96" t="s">
        <v>187</v>
      </c>
      <c r="T96" t="s">
        <v>232</v>
      </c>
      <c r="U96">
        <v>0.10592936952109601</v>
      </c>
      <c r="V96" t="s">
        <v>152</v>
      </c>
    </row>
    <row r="97" spans="9:22" x14ac:dyDescent="0.45">
      <c r="I97" t="s">
        <v>164</v>
      </c>
      <c r="J97" t="s">
        <v>233</v>
      </c>
      <c r="K97">
        <v>8.052421384936094E-3</v>
      </c>
      <c r="L97" t="s">
        <v>152</v>
      </c>
      <c r="S97" t="s">
        <v>187</v>
      </c>
      <c r="T97" t="s">
        <v>233</v>
      </c>
      <c r="U97">
        <v>1.8778175104772286E-2</v>
      </c>
      <c r="V97" t="s">
        <v>152</v>
      </c>
    </row>
    <row r="98" spans="9:22" x14ac:dyDescent="0.45">
      <c r="I98" t="s">
        <v>164</v>
      </c>
      <c r="J98" t="s">
        <v>234</v>
      </c>
      <c r="K98">
        <v>0.2502433614932455</v>
      </c>
      <c r="L98" t="s">
        <v>152</v>
      </c>
      <c r="S98" t="s">
        <v>187</v>
      </c>
      <c r="T98" t="s">
        <v>234</v>
      </c>
      <c r="U98">
        <v>3.7195424737756964E-2</v>
      </c>
      <c r="V98" t="s">
        <v>152</v>
      </c>
    </row>
    <row r="99" spans="9:22" x14ac:dyDescent="0.45">
      <c r="I99" t="s">
        <v>164</v>
      </c>
      <c r="J99" t="s">
        <v>235</v>
      </c>
      <c r="K99">
        <v>0</v>
      </c>
      <c r="L99" t="s">
        <v>152</v>
      </c>
      <c r="S99" t="s">
        <v>187</v>
      </c>
      <c r="T99" t="s">
        <v>235</v>
      </c>
      <c r="U99">
        <v>4.1711464929330935E-2</v>
      </c>
      <c r="V99" t="s">
        <v>152</v>
      </c>
    </row>
    <row r="100" spans="9:22" x14ac:dyDescent="0.45">
      <c r="I100" t="s">
        <v>164</v>
      </c>
      <c r="J100" t="s">
        <v>236</v>
      </c>
      <c r="K100">
        <v>1.822196308015795E-2</v>
      </c>
      <c r="L100" t="s">
        <v>152</v>
      </c>
      <c r="S100" t="s">
        <v>187</v>
      </c>
      <c r="T100" t="s">
        <v>236</v>
      </c>
      <c r="U100">
        <v>5.7419583709167436E-3</v>
      </c>
      <c r="V100" t="s">
        <v>152</v>
      </c>
    </row>
    <row r="101" spans="9:22" x14ac:dyDescent="0.45">
      <c r="I101" t="s">
        <v>164</v>
      </c>
      <c r="J101" t="s">
        <v>237</v>
      </c>
      <c r="K101">
        <v>0.25107117853269545</v>
      </c>
      <c r="L101" t="s">
        <v>152</v>
      </c>
      <c r="S101" t="s">
        <v>187</v>
      </c>
      <c r="T101" t="s">
        <v>237</v>
      </c>
      <c r="U101">
        <v>0.1269524329432006</v>
      </c>
      <c r="V101" t="s">
        <v>152</v>
      </c>
    </row>
    <row r="102" spans="9:22" x14ac:dyDescent="0.45">
      <c r="I102" t="s">
        <v>164</v>
      </c>
      <c r="J102" t="s">
        <v>238</v>
      </c>
      <c r="K102">
        <v>0</v>
      </c>
      <c r="L102" t="s">
        <v>152</v>
      </c>
      <c r="S102" t="s">
        <v>187</v>
      </c>
      <c r="T102" t="s">
        <v>238</v>
      </c>
      <c r="U102">
        <v>0.11464065402701654</v>
      </c>
      <c r="V102" t="s">
        <v>152</v>
      </c>
    </row>
    <row r="103" spans="9:22" x14ac:dyDescent="0.45">
      <c r="I103" t="s">
        <v>164</v>
      </c>
      <c r="J103" t="s">
        <v>239</v>
      </c>
      <c r="K103">
        <v>2.1230811491841167E-2</v>
      </c>
      <c r="L103" t="s">
        <v>152</v>
      </c>
      <c r="S103" t="s">
        <v>187</v>
      </c>
      <c r="T103" t="s">
        <v>239</v>
      </c>
      <c r="U103">
        <v>2.0750595497986184E-2</v>
      </c>
      <c r="V103" t="s">
        <v>152</v>
      </c>
    </row>
    <row r="104" spans="9:22" x14ac:dyDescent="0.45">
      <c r="I104" t="s">
        <v>164</v>
      </c>
      <c r="J104" t="s">
        <v>240</v>
      </c>
      <c r="K104">
        <v>0.20309946116771282</v>
      </c>
      <c r="L104" t="s">
        <v>152</v>
      </c>
      <c r="S104" t="s">
        <v>187</v>
      </c>
      <c r="T104" t="s">
        <v>240</v>
      </c>
      <c r="U104">
        <v>0.18714842047500616</v>
      </c>
      <c r="V104" t="s">
        <v>152</v>
      </c>
    </row>
    <row r="105" spans="9:22" x14ac:dyDescent="0.45">
      <c r="I105" t="s">
        <v>164</v>
      </c>
      <c r="J105" t="s">
        <v>241</v>
      </c>
      <c r="K105">
        <v>0</v>
      </c>
      <c r="L105" t="s">
        <v>152</v>
      </c>
      <c r="S105" t="s">
        <v>187</v>
      </c>
      <c r="T105" t="s">
        <v>241</v>
      </c>
      <c r="U105">
        <v>0.19536542571662463</v>
      </c>
      <c r="V105" t="s">
        <v>152</v>
      </c>
    </row>
    <row r="106" spans="9:22" x14ac:dyDescent="0.45">
      <c r="I106" t="s">
        <v>164</v>
      </c>
      <c r="J106" t="s">
        <v>242</v>
      </c>
      <c r="K106">
        <v>1.0841224834845058E-2</v>
      </c>
      <c r="L106" t="s">
        <v>152</v>
      </c>
      <c r="S106" t="s">
        <v>187</v>
      </c>
      <c r="T106" t="s">
        <v>242</v>
      </c>
      <c r="U106">
        <v>3.1171104339290965E-2</v>
      </c>
      <c r="V106" t="s">
        <v>152</v>
      </c>
    </row>
    <row r="107" spans="9:22" x14ac:dyDescent="0.45">
      <c r="I107" t="s">
        <v>165</v>
      </c>
      <c r="J107" t="s">
        <v>231</v>
      </c>
      <c r="K107">
        <v>0.24643940227204936</v>
      </c>
      <c r="L107" t="s">
        <v>152</v>
      </c>
      <c r="S107" t="s">
        <v>188</v>
      </c>
      <c r="T107" t="s">
        <v>231</v>
      </c>
      <c r="U107">
        <v>0.12415792841335961</v>
      </c>
      <c r="V107" t="s">
        <v>152</v>
      </c>
    </row>
    <row r="108" spans="9:22" x14ac:dyDescent="0.45">
      <c r="I108" t="s">
        <v>165</v>
      </c>
      <c r="J108" t="s">
        <v>232</v>
      </c>
      <c r="K108">
        <v>0</v>
      </c>
      <c r="L108" t="s">
        <v>152</v>
      </c>
      <c r="S108" t="s">
        <v>188</v>
      </c>
      <c r="T108" t="s">
        <v>232</v>
      </c>
      <c r="U108">
        <v>0.11389574349615958</v>
      </c>
      <c r="V108" t="s">
        <v>152</v>
      </c>
    </row>
    <row r="109" spans="9:22" x14ac:dyDescent="0.45">
      <c r="I109" t="s">
        <v>165</v>
      </c>
      <c r="J109" t="s">
        <v>233</v>
      </c>
      <c r="K109">
        <v>6.9476389967174455E-3</v>
      </c>
      <c r="L109" t="s">
        <v>152</v>
      </c>
      <c r="S109" t="s">
        <v>188</v>
      </c>
      <c r="T109" t="s">
        <v>233</v>
      </c>
      <c r="U109">
        <v>1.9880810887676167E-2</v>
      </c>
      <c r="V109" t="s">
        <v>152</v>
      </c>
    </row>
    <row r="110" spans="9:22" x14ac:dyDescent="0.45">
      <c r="I110" t="s">
        <v>165</v>
      </c>
      <c r="J110" t="s">
        <v>234</v>
      </c>
      <c r="K110">
        <v>0.24535571712418594</v>
      </c>
      <c r="L110" t="s">
        <v>152</v>
      </c>
      <c r="S110" t="s">
        <v>188</v>
      </c>
      <c r="T110" t="s">
        <v>234</v>
      </c>
      <c r="U110">
        <v>3.8704425584260072E-2</v>
      </c>
      <c r="V110" t="s">
        <v>152</v>
      </c>
    </row>
    <row r="111" spans="9:22" x14ac:dyDescent="0.45">
      <c r="I111" t="s">
        <v>165</v>
      </c>
      <c r="J111" t="s">
        <v>235</v>
      </c>
      <c r="K111">
        <v>0</v>
      </c>
      <c r="L111" t="s">
        <v>152</v>
      </c>
      <c r="S111" t="s">
        <v>188</v>
      </c>
      <c r="T111" t="s">
        <v>235</v>
      </c>
      <c r="U111">
        <v>4.3993519994289215E-2</v>
      </c>
      <c r="V111" t="s">
        <v>152</v>
      </c>
    </row>
    <row r="112" spans="9:22" x14ac:dyDescent="0.45">
      <c r="I112" t="s">
        <v>165</v>
      </c>
      <c r="J112" t="s">
        <v>236</v>
      </c>
      <c r="K112">
        <v>1.2186910827577334E-2</v>
      </c>
      <c r="L112" t="s">
        <v>152</v>
      </c>
      <c r="S112" t="s">
        <v>188</v>
      </c>
      <c r="T112" t="s">
        <v>236</v>
      </c>
      <c r="U112">
        <v>5.5023641128560197E-3</v>
      </c>
      <c r="V112" t="s">
        <v>152</v>
      </c>
    </row>
    <row r="113" spans="9:22" x14ac:dyDescent="0.45">
      <c r="I113" t="s">
        <v>165</v>
      </c>
      <c r="J113" t="s">
        <v>237</v>
      </c>
      <c r="K113">
        <v>0.25441381658346357</v>
      </c>
      <c r="L113" t="s">
        <v>152</v>
      </c>
      <c r="S113" t="s">
        <v>188</v>
      </c>
      <c r="T113" t="s">
        <v>237</v>
      </c>
      <c r="U113">
        <v>0.13229748507310859</v>
      </c>
      <c r="V113" t="s">
        <v>152</v>
      </c>
    </row>
    <row r="114" spans="9:22" x14ac:dyDescent="0.45">
      <c r="I114" t="s">
        <v>165</v>
      </c>
      <c r="J114" t="s">
        <v>238</v>
      </c>
      <c r="K114">
        <v>0</v>
      </c>
      <c r="L114" t="s">
        <v>152</v>
      </c>
      <c r="S114" t="s">
        <v>188</v>
      </c>
      <c r="T114" t="s">
        <v>238</v>
      </c>
      <c r="U114">
        <v>0.11906319026638407</v>
      </c>
      <c r="V114" t="s">
        <v>152</v>
      </c>
    </row>
    <row r="115" spans="9:22" x14ac:dyDescent="0.45">
      <c r="I115" t="s">
        <v>165</v>
      </c>
      <c r="J115" t="s">
        <v>239</v>
      </c>
      <c r="K115">
        <v>1.8226068187893883E-2</v>
      </c>
      <c r="L115" t="s">
        <v>152</v>
      </c>
      <c r="S115" t="s">
        <v>188</v>
      </c>
      <c r="T115" t="s">
        <v>239</v>
      </c>
      <c r="U115">
        <v>2.2133167750341142E-2</v>
      </c>
      <c r="V115" t="s">
        <v>152</v>
      </c>
    </row>
    <row r="116" spans="9:22" x14ac:dyDescent="0.45">
      <c r="I116" t="s">
        <v>165</v>
      </c>
      <c r="J116" t="s">
        <v>240</v>
      </c>
      <c r="K116">
        <v>0.20642344493291404</v>
      </c>
      <c r="L116" t="s">
        <v>152</v>
      </c>
      <c r="S116" t="s">
        <v>188</v>
      </c>
      <c r="T116" t="s">
        <v>240</v>
      </c>
      <c r="U116">
        <v>0.17096981304335293</v>
      </c>
      <c r="V116" t="s">
        <v>152</v>
      </c>
    </row>
    <row r="117" spans="9:22" x14ac:dyDescent="0.45">
      <c r="I117" t="s">
        <v>165</v>
      </c>
      <c r="J117" t="s">
        <v>241</v>
      </c>
      <c r="K117">
        <v>0</v>
      </c>
      <c r="L117" t="s">
        <v>152</v>
      </c>
      <c r="S117" t="s">
        <v>188</v>
      </c>
      <c r="T117" t="s">
        <v>241</v>
      </c>
      <c r="U117">
        <v>0.18105563320512436</v>
      </c>
      <c r="V117" t="s">
        <v>152</v>
      </c>
    </row>
    <row r="118" spans="9:22" x14ac:dyDescent="0.45">
      <c r="I118" t="s">
        <v>165</v>
      </c>
      <c r="J118" t="s">
        <v>242</v>
      </c>
      <c r="K118">
        <v>1.0007001075202283E-2</v>
      </c>
      <c r="L118" t="s">
        <v>152</v>
      </c>
      <c r="S118" t="s">
        <v>188</v>
      </c>
      <c r="T118" t="s">
        <v>242</v>
      </c>
      <c r="U118">
        <v>2.8345918173086505E-2</v>
      </c>
      <c r="V118" t="s">
        <v>152</v>
      </c>
    </row>
    <row r="119" spans="9:22" x14ac:dyDescent="0.45">
      <c r="I119" t="s">
        <v>166</v>
      </c>
      <c r="J119" t="s">
        <v>231</v>
      </c>
      <c r="K119">
        <v>0.24153503929741282</v>
      </c>
      <c r="L119" t="s">
        <v>152</v>
      </c>
      <c r="S119" t="s">
        <v>189</v>
      </c>
      <c r="T119" t="s">
        <v>231</v>
      </c>
      <c r="U119">
        <v>0.11686386739872758</v>
      </c>
      <c r="V119" t="s">
        <v>152</v>
      </c>
    </row>
    <row r="120" spans="9:22" x14ac:dyDescent="0.45">
      <c r="I120" t="s">
        <v>166</v>
      </c>
      <c r="J120" t="s">
        <v>232</v>
      </c>
      <c r="K120">
        <v>0</v>
      </c>
      <c r="L120" t="s">
        <v>152</v>
      </c>
      <c r="S120" t="s">
        <v>189</v>
      </c>
      <c r="T120" t="s">
        <v>232</v>
      </c>
      <c r="U120">
        <v>0.10597588559413273</v>
      </c>
      <c r="V120" t="s">
        <v>152</v>
      </c>
    </row>
    <row r="121" spans="9:22" x14ac:dyDescent="0.45">
      <c r="I121" t="s">
        <v>166</v>
      </c>
      <c r="J121" t="s">
        <v>233</v>
      </c>
      <c r="K121">
        <v>7.8306006829183053E-3</v>
      </c>
      <c r="L121" t="s">
        <v>152</v>
      </c>
      <c r="S121" t="s">
        <v>189</v>
      </c>
      <c r="T121" t="s">
        <v>233</v>
      </c>
      <c r="U121">
        <v>1.9048154681436339E-2</v>
      </c>
      <c r="V121" t="s">
        <v>152</v>
      </c>
    </row>
    <row r="122" spans="9:22" x14ac:dyDescent="0.45">
      <c r="I122" t="s">
        <v>166</v>
      </c>
      <c r="J122" t="s">
        <v>234</v>
      </c>
      <c r="K122">
        <v>0.24287334212958972</v>
      </c>
      <c r="L122" t="s">
        <v>152</v>
      </c>
      <c r="S122" t="s">
        <v>189</v>
      </c>
      <c r="T122" t="s">
        <v>234</v>
      </c>
      <c r="U122">
        <v>4.2914452369693754E-2</v>
      </c>
      <c r="V122" t="s">
        <v>152</v>
      </c>
    </row>
    <row r="123" spans="9:22" x14ac:dyDescent="0.45">
      <c r="I123" t="s">
        <v>166</v>
      </c>
      <c r="J123" t="s">
        <v>235</v>
      </c>
      <c r="K123">
        <v>0</v>
      </c>
      <c r="L123" t="s">
        <v>152</v>
      </c>
      <c r="S123" t="s">
        <v>189</v>
      </c>
      <c r="T123" t="s">
        <v>235</v>
      </c>
      <c r="U123">
        <v>4.8453583853842366E-2</v>
      </c>
      <c r="V123" t="s">
        <v>152</v>
      </c>
    </row>
    <row r="124" spans="9:22" x14ac:dyDescent="0.45">
      <c r="I124" t="s">
        <v>166</v>
      </c>
      <c r="J124" t="s">
        <v>236</v>
      </c>
      <c r="K124">
        <v>1.640579328401974E-2</v>
      </c>
      <c r="L124" t="s">
        <v>152</v>
      </c>
      <c r="S124" t="s">
        <v>189</v>
      </c>
      <c r="T124" t="s">
        <v>236</v>
      </c>
      <c r="U124">
        <v>6.3606991920818721E-3</v>
      </c>
      <c r="V124" t="s">
        <v>152</v>
      </c>
    </row>
    <row r="125" spans="9:22" x14ac:dyDescent="0.45">
      <c r="I125" t="s">
        <v>166</v>
      </c>
      <c r="J125" t="s">
        <v>237</v>
      </c>
      <c r="K125">
        <v>0.25084373490874762</v>
      </c>
      <c r="L125" t="s">
        <v>152</v>
      </c>
      <c r="S125" t="s">
        <v>189</v>
      </c>
      <c r="T125" t="s">
        <v>237</v>
      </c>
      <c r="U125">
        <v>0.13067664645209462</v>
      </c>
      <c r="V125" t="s">
        <v>152</v>
      </c>
    </row>
    <row r="126" spans="9:22" x14ac:dyDescent="0.45">
      <c r="I126" t="s">
        <v>166</v>
      </c>
      <c r="J126" t="s">
        <v>238</v>
      </c>
      <c r="K126">
        <v>0</v>
      </c>
      <c r="L126" t="s">
        <v>152</v>
      </c>
      <c r="S126" t="s">
        <v>189</v>
      </c>
      <c r="T126" t="s">
        <v>238</v>
      </c>
      <c r="U126">
        <v>0.11154430120276147</v>
      </c>
      <c r="V126" t="s">
        <v>152</v>
      </c>
    </row>
    <row r="127" spans="9:22" x14ac:dyDescent="0.45">
      <c r="I127" t="s">
        <v>166</v>
      </c>
      <c r="J127" t="s">
        <v>239</v>
      </c>
      <c r="K127">
        <v>1.964204335085892E-2</v>
      </c>
      <c r="L127" t="s">
        <v>152</v>
      </c>
      <c r="S127" t="s">
        <v>189</v>
      </c>
      <c r="T127" t="s">
        <v>239</v>
      </c>
      <c r="U127">
        <v>2.1419261634220175E-2</v>
      </c>
      <c r="V127" t="s">
        <v>152</v>
      </c>
    </row>
    <row r="128" spans="9:22" x14ac:dyDescent="0.45">
      <c r="I128" t="s">
        <v>166</v>
      </c>
      <c r="J128" t="s">
        <v>240</v>
      </c>
      <c r="K128">
        <v>0.20934140019354563</v>
      </c>
      <c r="L128" t="s">
        <v>152</v>
      </c>
      <c r="S128" t="s">
        <v>189</v>
      </c>
      <c r="T128" t="s">
        <v>240</v>
      </c>
      <c r="U128">
        <v>0.17809040294139519</v>
      </c>
      <c r="V128" t="s">
        <v>152</v>
      </c>
    </row>
    <row r="129" spans="9:22" x14ac:dyDescent="0.45">
      <c r="I129" t="s">
        <v>166</v>
      </c>
      <c r="J129" t="s">
        <v>241</v>
      </c>
      <c r="K129">
        <v>0</v>
      </c>
      <c r="L129" t="s">
        <v>152</v>
      </c>
      <c r="S129" t="s">
        <v>189</v>
      </c>
      <c r="T129" t="s">
        <v>241</v>
      </c>
      <c r="U129">
        <v>0.18896390544213035</v>
      </c>
      <c r="V129" t="s">
        <v>152</v>
      </c>
    </row>
    <row r="130" spans="9:22" x14ac:dyDescent="0.45">
      <c r="I130" t="s">
        <v>166</v>
      </c>
      <c r="J130" t="s">
        <v>242</v>
      </c>
      <c r="K130">
        <v>1.1528046152908087E-2</v>
      </c>
      <c r="L130" t="s">
        <v>152</v>
      </c>
      <c r="S130" t="s">
        <v>189</v>
      </c>
      <c r="T130" t="s">
        <v>242</v>
      </c>
      <c r="U130">
        <v>2.9688839237483351E-2</v>
      </c>
      <c r="V130" t="s">
        <v>152</v>
      </c>
    </row>
    <row r="131" spans="9:22" x14ac:dyDescent="0.45">
      <c r="I131" t="s">
        <v>167</v>
      </c>
      <c r="J131" t="s">
        <v>231</v>
      </c>
      <c r="K131">
        <v>0.24142143921982057</v>
      </c>
      <c r="L131" t="s">
        <v>152</v>
      </c>
    </row>
    <row r="132" spans="9:22" x14ac:dyDescent="0.45">
      <c r="I132" t="s">
        <v>167</v>
      </c>
      <c r="J132" t="s">
        <v>232</v>
      </c>
      <c r="K132">
        <v>0</v>
      </c>
      <c r="L132" t="s">
        <v>152</v>
      </c>
    </row>
    <row r="133" spans="9:22" x14ac:dyDescent="0.45">
      <c r="I133" t="s">
        <v>167</v>
      </c>
      <c r="J133" t="s">
        <v>233</v>
      </c>
      <c r="K133">
        <v>5.1209643278473131E-3</v>
      </c>
      <c r="L133" t="s">
        <v>152</v>
      </c>
    </row>
    <row r="134" spans="9:22" x14ac:dyDescent="0.45">
      <c r="I134" t="s">
        <v>167</v>
      </c>
      <c r="J134" t="s">
        <v>234</v>
      </c>
      <c r="K134">
        <v>0.25934600979607314</v>
      </c>
      <c r="L134" t="s">
        <v>152</v>
      </c>
    </row>
    <row r="135" spans="9:22" x14ac:dyDescent="0.45">
      <c r="I135" t="s">
        <v>167</v>
      </c>
      <c r="J135" t="s">
        <v>235</v>
      </c>
      <c r="K135">
        <v>0</v>
      </c>
      <c r="L135" t="s">
        <v>152</v>
      </c>
    </row>
    <row r="136" spans="9:22" x14ac:dyDescent="0.45">
      <c r="I136" t="s">
        <v>167</v>
      </c>
      <c r="J136" t="s">
        <v>236</v>
      </c>
      <c r="K136">
        <v>7.926767701114331E-3</v>
      </c>
      <c r="L136" t="s">
        <v>152</v>
      </c>
    </row>
    <row r="137" spans="9:22" x14ac:dyDescent="0.45">
      <c r="I137" t="s">
        <v>167</v>
      </c>
      <c r="J137" t="s">
        <v>237</v>
      </c>
      <c r="K137">
        <v>0.23918132089721822</v>
      </c>
      <c r="L137" t="s">
        <v>152</v>
      </c>
    </row>
    <row r="138" spans="9:22" x14ac:dyDescent="0.45">
      <c r="I138" t="s">
        <v>167</v>
      </c>
      <c r="J138" t="s">
        <v>238</v>
      </c>
      <c r="K138">
        <v>0</v>
      </c>
      <c r="L138" t="s">
        <v>152</v>
      </c>
    </row>
    <row r="139" spans="9:22" x14ac:dyDescent="0.45">
      <c r="I139" t="s">
        <v>167</v>
      </c>
      <c r="J139" t="s">
        <v>239</v>
      </c>
      <c r="K139">
        <v>7.2359685998595073E-3</v>
      </c>
      <c r="L139" t="s">
        <v>152</v>
      </c>
    </row>
    <row r="140" spans="9:22" x14ac:dyDescent="0.45">
      <c r="I140" t="s">
        <v>167</v>
      </c>
      <c r="J140" t="s">
        <v>240</v>
      </c>
      <c r="K140">
        <v>0.23228453899473833</v>
      </c>
      <c r="L140" t="s">
        <v>152</v>
      </c>
    </row>
    <row r="141" spans="9:22" x14ac:dyDescent="0.45">
      <c r="I141" t="s">
        <v>167</v>
      </c>
      <c r="J141" t="s">
        <v>241</v>
      </c>
      <c r="K141">
        <v>0</v>
      </c>
      <c r="L141" t="s">
        <v>152</v>
      </c>
    </row>
    <row r="142" spans="9:22" x14ac:dyDescent="0.45">
      <c r="I142" t="s">
        <v>167</v>
      </c>
      <c r="J142" t="s">
        <v>242</v>
      </c>
      <c r="K142">
        <v>7.4829904633273783E-3</v>
      </c>
      <c r="L142" t="s">
        <v>152</v>
      </c>
    </row>
    <row r="143" spans="9:22" x14ac:dyDescent="0.45">
      <c r="I143" t="s">
        <v>168</v>
      </c>
      <c r="J143" t="s">
        <v>231</v>
      </c>
      <c r="K143">
        <v>0.24614049705818072</v>
      </c>
      <c r="L143" t="s">
        <v>152</v>
      </c>
    </row>
    <row r="144" spans="9:22" x14ac:dyDescent="0.45">
      <c r="I144" t="s">
        <v>168</v>
      </c>
      <c r="J144" t="s">
        <v>232</v>
      </c>
      <c r="K144">
        <v>0</v>
      </c>
      <c r="L144" t="s">
        <v>152</v>
      </c>
    </row>
    <row r="145" spans="9:12" x14ac:dyDescent="0.45">
      <c r="I145" t="s">
        <v>168</v>
      </c>
      <c r="J145" t="s">
        <v>233</v>
      </c>
      <c r="K145">
        <v>4.9685082767862146E-3</v>
      </c>
      <c r="L145" t="s">
        <v>152</v>
      </c>
    </row>
    <row r="146" spans="9:12" x14ac:dyDescent="0.45">
      <c r="I146" t="s">
        <v>168</v>
      </c>
      <c r="J146" t="s">
        <v>234</v>
      </c>
      <c r="K146">
        <v>0.25173365332593323</v>
      </c>
      <c r="L146" t="s">
        <v>152</v>
      </c>
    </row>
    <row r="147" spans="9:12" x14ac:dyDescent="0.45">
      <c r="I147" t="s">
        <v>168</v>
      </c>
      <c r="J147" t="s">
        <v>235</v>
      </c>
      <c r="K147">
        <v>0</v>
      </c>
      <c r="L147" t="s">
        <v>152</v>
      </c>
    </row>
    <row r="148" spans="9:12" x14ac:dyDescent="0.45">
      <c r="I148" t="s">
        <v>168</v>
      </c>
      <c r="J148" t="s">
        <v>236</v>
      </c>
      <c r="K148">
        <v>6.611151226698528E-3</v>
      </c>
      <c r="L148" t="s">
        <v>152</v>
      </c>
    </row>
    <row r="149" spans="9:12" x14ac:dyDescent="0.45">
      <c r="I149" t="s">
        <v>168</v>
      </c>
      <c r="J149" t="s">
        <v>237</v>
      </c>
      <c r="K149">
        <v>0.24828993322597806</v>
      </c>
      <c r="L149" t="s">
        <v>152</v>
      </c>
    </row>
    <row r="150" spans="9:12" x14ac:dyDescent="0.45">
      <c r="I150" t="s">
        <v>168</v>
      </c>
      <c r="J150" t="s">
        <v>238</v>
      </c>
      <c r="K150">
        <v>0</v>
      </c>
      <c r="L150" t="s">
        <v>152</v>
      </c>
    </row>
    <row r="151" spans="9:12" x14ac:dyDescent="0.45">
      <c r="I151" t="s">
        <v>168</v>
      </c>
      <c r="J151" t="s">
        <v>239</v>
      </c>
      <c r="K151">
        <v>8.3085119690864979E-3</v>
      </c>
      <c r="L151" t="s">
        <v>152</v>
      </c>
    </row>
    <row r="152" spans="9:12" x14ac:dyDescent="0.45">
      <c r="I152" t="s">
        <v>168</v>
      </c>
      <c r="J152" t="s">
        <v>240</v>
      </c>
      <c r="K152">
        <v>0.22755060699127333</v>
      </c>
      <c r="L152" t="s">
        <v>152</v>
      </c>
    </row>
    <row r="153" spans="9:12" x14ac:dyDescent="0.45">
      <c r="I153" t="s">
        <v>168</v>
      </c>
      <c r="J153" t="s">
        <v>241</v>
      </c>
      <c r="K153">
        <v>0</v>
      </c>
      <c r="L153" t="s">
        <v>152</v>
      </c>
    </row>
    <row r="154" spans="9:12" x14ac:dyDescent="0.45">
      <c r="I154" t="s">
        <v>168</v>
      </c>
      <c r="J154" t="s">
        <v>242</v>
      </c>
      <c r="K154">
        <v>6.3971379260674456E-3</v>
      </c>
      <c r="L154" t="s">
        <v>152</v>
      </c>
    </row>
    <row r="155" spans="9:12" x14ac:dyDescent="0.45">
      <c r="I155" t="s">
        <v>169</v>
      </c>
      <c r="J155" t="s">
        <v>231</v>
      </c>
      <c r="K155">
        <v>0.24815154123642646</v>
      </c>
      <c r="L155" t="s">
        <v>152</v>
      </c>
    </row>
    <row r="156" spans="9:12" x14ac:dyDescent="0.45">
      <c r="I156" t="s">
        <v>169</v>
      </c>
      <c r="J156" t="s">
        <v>232</v>
      </c>
      <c r="K156">
        <v>0</v>
      </c>
      <c r="L156" t="s">
        <v>152</v>
      </c>
    </row>
    <row r="157" spans="9:12" x14ac:dyDescent="0.45">
      <c r="I157" t="s">
        <v>169</v>
      </c>
      <c r="J157" t="s">
        <v>233</v>
      </c>
      <c r="K157">
        <v>6.1883369777014259E-3</v>
      </c>
      <c r="L157" t="s">
        <v>152</v>
      </c>
    </row>
    <row r="158" spans="9:12" x14ac:dyDescent="0.45">
      <c r="I158" t="s">
        <v>169</v>
      </c>
      <c r="J158" t="s">
        <v>234</v>
      </c>
      <c r="K158">
        <v>0.24399395399633811</v>
      </c>
      <c r="L158" t="s">
        <v>152</v>
      </c>
    </row>
    <row r="159" spans="9:12" x14ac:dyDescent="0.45">
      <c r="I159" t="s">
        <v>169</v>
      </c>
      <c r="J159" t="s">
        <v>235</v>
      </c>
      <c r="K159">
        <v>0</v>
      </c>
      <c r="L159" t="s">
        <v>152</v>
      </c>
    </row>
    <row r="160" spans="9:12" x14ac:dyDescent="0.45">
      <c r="I160" t="s">
        <v>169</v>
      </c>
      <c r="J160" t="s">
        <v>236</v>
      </c>
      <c r="K160">
        <v>9.336017805341195E-3</v>
      </c>
      <c r="L160" t="s">
        <v>152</v>
      </c>
    </row>
    <row r="161" spans="9:12" x14ac:dyDescent="0.45">
      <c r="I161" t="s">
        <v>169</v>
      </c>
      <c r="J161" t="s">
        <v>237</v>
      </c>
      <c r="K161">
        <v>0.2511648321867529</v>
      </c>
      <c r="L161" t="s">
        <v>152</v>
      </c>
    </row>
    <row r="162" spans="9:12" x14ac:dyDescent="0.45">
      <c r="I162" t="s">
        <v>169</v>
      </c>
      <c r="J162" t="s">
        <v>238</v>
      </c>
      <c r="K162">
        <v>0</v>
      </c>
      <c r="L162" t="s">
        <v>152</v>
      </c>
    </row>
    <row r="163" spans="9:12" x14ac:dyDescent="0.45">
      <c r="I163" t="s">
        <v>169</v>
      </c>
      <c r="J163" t="s">
        <v>239</v>
      </c>
      <c r="K163">
        <v>1.386423578059532E-2</v>
      </c>
      <c r="L163" t="s">
        <v>152</v>
      </c>
    </row>
    <row r="164" spans="9:12" x14ac:dyDescent="0.45">
      <c r="I164" t="s">
        <v>169</v>
      </c>
      <c r="J164" t="s">
        <v>240</v>
      </c>
      <c r="K164">
        <v>0.21767706897260108</v>
      </c>
      <c r="L164" t="s">
        <v>152</v>
      </c>
    </row>
    <row r="165" spans="9:12" x14ac:dyDescent="0.45">
      <c r="I165" t="s">
        <v>169</v>
      </c>
      <c r="J165" t="s">
        <v>241</v>
      </c>
      <c r="K165">
        <v>0</v>
      </c>
      <c r="L165" t="s">
        <v>152</v>
      </c>
    </row>
    <row r="166" spans="9:12" x14ac:dyDescent="0.45">
      <c r="I166" t="s">
        <v>169</v>
      </c>
      <c r="J166" t="s">
        <v>242</v>
      </c>
      <c r="K166">
        <v>9.6240130442424038E-3</v>
      </c>
      <c r="L166" t="s">
        <v>152</v>
      </c>
    </row>
    <row r="167" spans="9:12" x14ac:dyDescent="0.45">
      <c r="I167" t="s">
        <v>170</v>
      </c>
      <c r="J167" t="s">
        <v>231</v>
      </c>
      <c r="K167">
        <v>0.24882161936243516</v>
      </c>
      <c r="L167" t="s">
        <v>152</v>
      </c>
    </row>
    <row r="168" spans="9:12" x14ac:dyDescent="0.45">
      <c r="I168" t="s">
        <v>170</v>
      </c>
      <c r="J168" t="s">
        <v>232</v>
      </c>
      <c r="K168">
        <v>0</v>
      </c>
      <c r="L168" t="s">
        <v>152</v>
      </c>
    </row>
    <row r="169" spans="9:12" x14ac:dyDescent="0.45">
      <c r="I169" t="s">
        <v>170</v>
      </c>
      <c r="J169" t="s">
        <v>233</v>
      </c>
      <c r="K169">
        <v>6.0962878974763863E-3</v>
      </c>
      <c r="L169" t="s">
        <v>152</v>
      </c>
    </row>
    <row r="170" spans="9:12" x14ac:dyDescent="0.45">
      <c r="I170" t="s">
        <v>170</v>
      </c>
      <c r="J170" t="s">
        <v>234</v>
      </c>
      <c r="K170">
        <v>0.23837837204724968</v>
      </c>
      <c r="L170" t="s">
        <v>152</v>
      </c>
    </row>
    <row r="171" spans="9:12" x14ac:dyDescent="0.45">
      <c r="I171" t="s">
        <v>170</v>
      </c>
      <c r="J171" t="s">
        <v>235</v>
      </c>
      <c r="K171">
        <v>0</v>
      </c>
      <c r="L171" t="s">
        <v>152</v>
      </c>
    </row>
    <row r="172" spans="9:12" x14ac:dyDescent="0.45">
      <c r="I172" t="s">
        <v>170</v>
      </c>
      <c r="J172" t="s">
        <v>236</v>
      </c>
      <c r="K172">
        <v>7.180588751349015E-3</v>
      </c>
      <c r="L172" t="s">
        <v>152</v>
      </c>
    </row>
    <row r="173" spans="9:12" x14ac:dyDescent="0.45">
      <c r="I173" t="s">
        <v>170</v>
      </c>
      <c r="J173" t="s">
        <v>237</v>
      </c>
      <c r="K173">
        <v>0.25192927618350036</v>
      </c>
      <c r="L173" t="s">
        <v>152</v>
      </c>
    </row>
    <row r="174" spans="9:12" x14ac:dyDescent="0.45">
      <c r="I174" t="s">
        <v>170</v>
      </c>
      <c r="J174" t="s">
        <v>238</v>
      </c>
      <c r="K174">
        <v>0</v>
      </c>
      <c r="L174" t="s">
        <v>152</v>
      </c>
    </row>
    <row r="175" spans="9:12" x14ac:dyDescent="0.45">
      <c r="I175" t="s">
        <v>170</v>
      </c>
      <c r="J175" t="s">
        <v>239</v>
      </c>
      <c r="K175">
        <v>9.1477108857376289E-3</v>
      </c>
      <c r="L175" t="s">
        <v>152</v>
      </c>
    </row>
    <row r="176" spans="9:12" x14ac:dyDescent="0.45">
      <c r="I176" t="s">
        <v>170</v>
      </c>
      <c r="J176" t="s">
        <v>240</v>
      </c>
      <c r="K176">
        <v>0.23051108199817649</v>
      </c>
      <c r="L176" t="s">
        <v>152</v>
      </c>
    </row>
    <row r="177" spans="9:12" x14ac:dyDescent="0.45">
      <c r="I177" t="s">
        <v>170</v>
      </c>
      <c r="J177" t="s">
        <v>241</v>
      </c>
      <c r="K177">
        <v>0</v>
      </c>
      <c r="L177" t="s">
        <v>152</v>
      </c>
    </row>
    <row r="178" spans="9:12" x14ac:dyDescent="0.45">
      <c r="I178" t="s">
        <v>170</v>
      </c>
      <c r="J178" t="s">
        <v>242</v>
      </c>
      <c r="K178">
        <v>7.9350628740736256E-3</v>
      </c>
      <c r="L178" t="s">
        <v>152</v>
      </c>
    </row>
    <row r="179" spans="9:12" x14ac:dyDescent="0.45">
      <c r="I179" t="s">
        <v>171</v>
      </c>
      <c r="J179" t="s">
        <v>231</v>
      </c>
      <c r="K179">
        <v>0.24310586932970571</v>
      </c>
      <c r="L179" t="s">
        <v>152</v>
      </c>
    </row>
    <row r="180" spans="9:12" x14ac:dyDescent="0.45">
      <c r="I180" t="s">
        <v>171</v>
      </c>
      <c r="J180" t="s">
        <v>232</v>
      </c>
      <c r="K180">
        <v>0</v>
      </c>
      <c r="L180" t="s">
        <v>152</v>
      </c>
    </row>
    <row r="181" spans="9:12" x14ac:dyDescent="0.45">
      <c r="I181" t="s">
        <v>171</v>
      </c>
      <c r="J181" t="s">
        <v>233</v>
      </c>
      <c r="K181">
        <v>5.7950810310586059E-3</v>
      </c>
      <c r="L181" t="s">
        <v>152</v>
      </c>
    </row>
    <row r="182" spans="9:12" x14ac:dyDescent="0.45">
      <c r="I182" t="s">
        <v>171</v>
      </c>
      <c r="J182" t="s">
        <v>234</v>
      </c>
      <c r="K182">
        <v>0.25743619310724292</v>
      </c>
      <c r="L182" t="s">
        <v>152</v>
      </c>
    </row>
    <row r="183" spans="9:12" x14ac:dyDescent="0.45">
      <c r="I183" t="s">
        <v>171</v>
      </c>
      <c r="J183" t="s">
        <v>235</v>
      </c>
      <c r="K183">
        <v>0</v>
      </c>
      <c r="L183" t="s">
        <v>152</v>
      </c>
    </row>
    <row r="184" spans="9:12" x14ac:dyDescent="0.45">
      <c r="I184" t="s">
        <v>171</v>
      </c>
      <c r="J184" t="s">
        <v>236</v>
      </c>
      <c r="K184">
        <v>7.6774990170819591E-3</v>
      </c>
      <c r="L184" t="s">
        <v>152</v>
      </c>
    </row>
    <row r="185" spans="9:12" x14ac:dyDescent="0.45">
      <c r="I185" t="s">
        <v>171</v>
      </c>
      <c r="J185" t="s">
        <v>237</v>
      </c>
      <c r="K185">
        <v>0.24813841725492153</v>
      </c>
      <c r="L185" t="s">
        <v>152</v>
      </c>
    </row>
    <row r="186" spans="9:12" x14ac:dyDescent="0.45">
      <c r="I186" t="s">
        <v>171</v>
      </c>
      <c r="J186" t="s">
        <v>238</v>
      </c>
      <c r="K186">
        <v>0</v>
      </c>
      <c r="L186" t="s">
        <v>152</v>
      </c>
    </row>
    <row r="187" spans="9:12" x14ac:dyDescent="0.45">
      <c r="I187" t="s">
        <v>171</v>
      </c>
      <c r="J187" t="s">
        <v>239</v>
      </c>
      <c r="K187">
        <v>1.2046667826006406E-2</v>
      </c>
      <c r="L187" t="s">
        <v>152</v>
      </c>
    </row>
    <row r="188" spans="9:12" x14ac:dyDescent="0.45">
      <c r="I188" t="s">
        <v>171</v>
      </c>
      <c r="J188" t="s">
        <v>240</v>
      </c>
      <c r="K188">
        <v>0.21848750943773498</v>
      </c>
      <c r="L188" t="s">
        <v>152</v>
      </c>
    </row>
    <row r="189" spans="9:12" x14ac:dyDescent="0.45">
      <c r="I189" t="s">
        <v>171</v>
      </c>
      <c r="J189" t="s">
        <v>241</v>
      </c>
      <c r="K189">
        <v>0</v>
      </c>
      <c r="L189" t="s">
        <v>152</v>
      </c>
    </row>
    <row r="190" spans="9:12" x14ac:dyDescent="0.45">
      <c r="I190" t="s">
        <v>171</v>
      </c>
      <c r="J190" t="s">
        <v>242</v>
      </c>
      <c r="K190">
        <v>7.3127629962508713E-3</v>
      </c>
      <c r="L190" t="s">
        <v>152</v>
      </c>
    </row>
    <row r="191" spans="9:12" x14ac:dyDescent="0.45">
      <c r="I191" t="s">
        <v>172</v>
      </c>
      <c r="J191" t="s">
        <v>231</v>
      </c>
      <c r="K191">
        <v>0.24903906826236924</v>
      </c>
      <c r="L191" t="s">
        <v>152</v>
      </c>
    </row>
    <row r="192" spans="9:12" x14ac:dyDescent="0.45">
      <c r="I192" t="s">
        <v>172</v>
      </c>
      <c r="J192" t="s">
        <v>232</v>
      </c>
      <c r="K192">
        <v>0</v>
      </c>
      <c r="L192" t="s">
        <v>152</v>
      </c>
    </row>
    <row r="193" spans="9:12" x14ac:dyDescent="0.45">
      <c r="I193" t="s">
        <v>172</v>
      </c>
      <c r="J193" t="s">
        <v>233</v>
      </c>
      <c r="K193">
        <v>5.742356185227452E-3</v>
      </c>
      <c r="L193" t="s">
        <v>152</v>
      </c>
    </row>
    <row r="194" spans="9:12" x14ac:dyDescent="0.45">
      <c r="I194" t="s">
        <v>172</v>
      </c>
      <c r="J194" t="s">
        <v>234</v>
      </c>
      <c r="K194">
        <v>0.24598705588251624</v>
      </c>
      <c r="L194" t="s">
        <v>152</v>
      </c>
    </row>
    <row r="195" spans="9:12" x14ac:dyDescent="0.45">
      <c r="I195" t="s">
        <v>172</v>
      </c>
      <c r="J195" t="s">
        <v>235</v>
      </c>
      <c r="K195">
        <v>0</v>
      </c>
      <c r="L195" t="s">
        <v>152</v>
      </c>
    </row>
    <row r="196" spans="9:12" x14ac:dyDescent="0.45">
      <c r="I196" t="s">
        <v>172</v>
      </c>
      <c r="J196" t="s">
        <v>236</v>
      </c>
      <c r="K196">
        <v>6.7714657608265493E-3</v>
      </c>
      <c r="L196" t="s">
        <v>152</v>
      </c>
    </row>
    <row r="197" spans="9:12" x14ac:dyDescent="0.45">
      <c r="I197" t="s">
        <v>172</v>
      </c>
      <c r="J197" t="s">
        <v>237</v>
      </c>
      <c r="K197">
        <v>0.24936065472964858</v>
      </c>
      <c r="L197" t="s">
        <v>152</v>
      </c>
    </row>
    <row r="198" spans="9:12" x14ac:dyDescent="0.45">
      <c r="I198" t="s">
        <v>172</v>
      </c>
      <c r="J198" t="s">
        <v>238</v>
      </c>
      <c r="K198">
        <v>0</v>
      </c>
      <c r="L198" t="s">
        <v>152</v>
      </c>
    </row>
    <row r="199" spans="9:12" x14ac:dyDescent="0.45">
      <c r="I199" t="s">
        <v>172</v>
      </c>
      <c r="J199" t="s">
        <v>239</v>
      </c>
      <c r="K199">
        <v>7.9587921011535067E-3</v>
      </c>
      <c r="L199" t="s">
        <v>152</v>
      </c>
    </row>
    <row r="200" spans="9:12" x14ac:dyDescent="0.45">
      <c r="I200" t="s">
        <v>172</v>
      </c>
      <c r="J200" t="s">
        <v>240</v>
      </c>
      <c r="K200">
        <v>0.22822821075957467</v>
      </c>
      <c r="L200" t="s">
        <v>152</v>
      </c>
    </row>
    <row r="201" spans="9:12" x14ac:dyDescent="0.45">
      <c r="I201" t="s">
        <v>172</v>
      </c>
      <c r="J201" t="s">
        <v>241</v>
      </c>
      <c r="K201">
        <v>0</v>
      </c>
      <c r="L201" t="s">
        <v>152</v>
      </c>
    </row>
    <row r="202" spans="9:12" x14ac:dyDescent="0.45">
      <c r="I202" t="s">
        <v>172</v>
      </c>
      <c r="J202" t="s">
        <v>242</v>
      </c>
      <c r="K202">
        <v>6.9123963186827429E-3</v>
      </c>
      <c r="L202" t="s">
        <v>152</v>
      </c>
    </row>
    <row r="203" spans="9:12" x14ac:dyDescent="0.45">
      <c r="I203" t="s">
        <v>173</v>
      </c>
      <c r="J203" t="s">
        <v>231</v>
      </c>
      <c r="K203">
        <v>0.24963730070454349</v>
      </c>
      <c r="L203" t="s">
        <v>152</v>
      </c>
    </row>
    <row r="204" spans="9:12" x14ac:dyDescent="0.45">
      <c r="I204" t="s">
        <v>173</v>
      </c>
      <c r="J204" t="s">
        <v>232</v>
      </c>
      <c r="K204">
        <v>0</v>
      </c>
      <c r="L204" t="s">
        <v>152</v>
      </c>
    </row>
    <row r="205" spans="9:12" x14ac:dyDescent="0.45">
      <c r="I205" t="s">
        <v>173</v>
      </c>
      <c r="J205" t="s">
        <v>233</v>
      </c>
      <c r="K205">
        <v>5.7860340609330813E-3</v>
      </c>
      <c r="L205" t="s">
        <v>152</v>
      </c>
    </row>
    <row r="206" spans="9:12" x14ac:dyDescent="0.45">
      <c r="I206" t="s">
        <v>173</v>
      </c>
      <c r="J206" t="s">
        <v>234</v>
      </c>
      <c r="K206">
        <v>0.24825650023944598</v>
      </c>
      <c r="L206" t="s">
        <v>152</v>
      </c>
    </row>
    <row r="207" spans="9:12" x14ac:dyDescent="0.45">
      <c r="I207" t="s">
        <v>173</v>
      </c>
      <c r="J207" t="s">
        <v>235</v>
      </c>
      <c r="K207">
        <v>0</v>
      </c>
      <c r="L207" t="s">
        <v>152</v>
      </c>
    </row>
    <row r="208" spans="9:12" x14ac:dyDescent="0.45">
      <c r="I208" t="s">
        <v>173</v>
      </c>
      <c r="J208" t="s">
        <v>236</v>
      </c>
      <c r="K208">
        <v>7.3085286610363289E-3</v>
      </c>
      <c r="L208" t="s">
        <v>152</v>
      </c>
    </row>
    <row r="209" spans="9:12" x14ac:dyDescent="0.45">
      <c r="I209" t="s">
        <v>173</v>
      </c>
      <c r="J209" t="s">
        <v>237</v>
      </c>
      <c r="K209">
        <v>0.2513975672096862</v>
      </c>
      <c r="L209" t="s">
        <v>152</v>
      </c>
    </row>
    <row r="210" spans="9:12" x14ac:dyDescent="0.45">
      <c r="I210" t="s">
        <v>173</v>
      </c>
      <c r="J210" t="s">
        <v>238</v>
      </c>
      <c r="K210">
        <v>0</v>
      </c>
      <c r="L210" t="s">
        <v>152</v>
      </c>
    </row>
    <row r="211" spans="9:12" x14ac:dyDescent="0.45">
      <c r="I211" t="s">
        <v>173</v>
      </c>
      <c r="J211" t="s">
        <v>239</v>
      </c>
      <c r="K211">
        <v>1.0816504780903223E-2</v>
      </c>
      <c r="L211" t="s">
        <v>152</v>
      </c>
    </row>
    <row r="212" spans="9:12" x14ac:dyDescent="0.45">
      <c r="I212" t="s">
        <v>173</v>
      </c>
      <c r="J212" t="s">
        <v>240</v>
      </c>
      <c r="K212">
        <v>0.21871883619622912</v>
      </c>
      <c r="L212" t="s">
        <v>152</v>
      </c>
    </row>
    <row r="213" spans="9:12" x14ac:dyDescent="0.45">
      <c r="I213" t="s">
        <v>173</v>
      </c>
      <c r="J213" t="s">
        <v>241</v>
      </c>
      <c r="K213">
        <v>0</v>
      </c>
      <c r="L213" t="s">
        <v>152</v>
      </c>
    </row>
    <row r="214" spans="9:12" x14ac:dyDescent="0.45">
      <c r="I214" t="s">
        <v>173</v>
      </c>
      <c r="J214" t="s">
        <v>242</v>
      </c>
      <c r="K214">
        <v>8.0787281472206665E-3</v>
      </c>
      <c r="L214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Veda</vt:lpstr>
      <vt:lpstr>fuel_prices</vt:lpstr>
      <vt:lpstr>iea_data</vt:lpstr>
      <vt:lpstr>ar6_r10</vt:lpstr>
      <vt:lpstr>ev_charging_uc</vt:lpstr>
      <vt:lpstr>ts_012</vt:lpstr>
      <vt:lpstr>ts_024</vt:lpstr>
      <vt:lpstr>ts_036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2026-05-06T17:44:23Z</dcterms:modified>
</cp:coreProperties>
</file>