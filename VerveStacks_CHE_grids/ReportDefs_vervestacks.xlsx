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"/>
    </mc:Choice>
  </mc:AlternateContent>
  <xr:revisionPtr revIDLastSave="0" documentId="8_{1385FB93-2A09-4918-9009-91A36D020CD1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ScenMap_OLD" sheetId="70" r:id="rId1"/>
    <sheet name="ScenMap" sheetId="56" r:id="rId2"/>
    <sheet name="TS_Defs" sheetId="27" r:id="rId3"/>
    <sheet name="TS_ratios" sheetId="68" r:id="rId4"/>
    <sheet name="geolocation" sheetId="72" r:id="rId5"/>
    <sheet name="process_map_geo" sheetId="71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2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9" l="1"/>
  <c r="G16" i="69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I59" i="56"/>
  <c r="J59" i="56"/>
  <c r="I60" i="56"/>
  <c r="J60" i="56"/>
  <c r="I6" i="56"/>
  <c r="J6" i="56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A27" i="70" l="1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H60" i="56"/>
  <c r="C60" i="56" s="1"/>
  <c r="H58" i="56"/>
  <c r="C58" i="56" s="1"/>
  <c r="H8" i="56"/>
  <c r="H9" i="56"/>
  <c r="H10" i="56"/>
  <c r="H12" i="56"/>
  <c r="H15" i="56"/>
  <c r="H34" i="56"/>
  <c r="H6" i="56"/>
  <c r="H7" i="56"/>
  <c r="H26" i="56" l="1"/>
  <c r="A33" i="70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H59" i="56"/>
  <c r="C59" i="56" s="1"/>
  <c r="H57" i="56"/>
  <c r="C57" i="56" s="1"/>
  <c r="H46" i="56"/>
  <c r="C46" i="56" s="1"/>
  <c r="H41" i="56"/>
  <c r="C41" i="56" s="1"/>
  <c r="H36" i="56"/>
  <c r="H16" i="56"/>
  <c r="H21" i="56"/>
  <c r="H31" i="56"/>
  <c r="H11" i="56"/>
  <c r="H42" i="56"/>
  <c r="C42" i="56" s="1"/>
  <c r="H17" i="56"/>
  <c r="H27" i="56"/>
  <c r="H52" i="56"/>
  <c r="C52" i="56" s="1"/>
  <c r="H22" i="56"/>
  <c r="H32" i="56"/>
  <c r="H37" i="56"/>
  <c r="H47" i="56"/>
  <c r="C47" i="56" s="1"/>
  <c r="H18" i="56"/>
  <c r="H43" i="56"/>
  <c r="C43" i="56" s="1"/>
  <c r="H28" i="56"/>
  <c r="H33" i="56"/>
  <c r="H48" i="56"/>
  <c r="C48" i="56" s="1"/>
  <c r="H23" i="56"/>
  <c r="H38" i="56"/>
  <c r="H13" i="56"/>
  <c r="H19" i="56"/>
  <c r="H29" i="56"/>
  <c r="H14" i="56"/>
  <c r="H44" i="56"/>
  <c r="C44" i="56" s="1"/>
  <c r="H39" i="56"/>
  <c r="H24" i="56"/>
  <c r="H49" i="56"/>
  <c r="C49" i="56" s="1"/>
  <c r="H54" i="56"/>
  <c r="H45" i="56"/>
  <c r="C45" i="56" s="1"/>
  <c r="H20" i="56"/>
  <c r="H35" i="56"/>
  <c r="H30" i="56"/>
  <c r="H50" i="56"/>
  <c r="C50" i="56" s="1"/>
  <c r="H40" i="56"/>
  <c r="H25" i="56"/>
  <c r="H55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H51" i="56" l="1"/>
  <c r="H56" i="56"/>
  <c r="C56" i="56" s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H53" i="56"/>
  <c r="C53" i="56" s="1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<sst xmlns="http://schemas.openxmlformats.org/spreadsheetml/2006/main" count="1408" uniqueCount="483">
  <si>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</si>
  <si>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</si>
  <si>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</si>
  <si>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</si>
  <si>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</si>
  <si>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</si>
  <si>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</si>
  <si>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</si>
  <si>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</si>
  <si>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</si>
  <si>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</si>
  <si>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</si>
  <si>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</si>
  <si>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</si>
  <si>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</si>
  <si>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</si>
  <si>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</si>
  <si>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</si>
  <si>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</si>
  <si>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</si>
  <si>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</si>
  <si>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</si>
  <si>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</si>
  <si>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</si>
  <si>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</si>
  <si>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</si>
  <si>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</si>
  <si>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</si>
  <si>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</si>
  <si>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</si>
  <si>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</si>
  <si>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</si>
  <si>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</si>
  <si>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</si>
  <si>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</si>
  <si>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</si>
  <si>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</si>
  <si>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</si>
  <si>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</si>
  <si>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</si>
  <si>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</si>
  <si>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</si>
  <si>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</si>
  <si>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</si>
  <si>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</si>
  <si>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</si>
  <si>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</si>
  <si>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</si>
  <si>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</si>
  <si>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</si>
  <si>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</si>
  <si>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</si>
  <si>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</si>
  <si>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</si>
  <si>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</si>
  <si>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</si>
  <si>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</si>
  <si>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</si>
  <si>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</si>
  <si>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</si>
  <si>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</si>
  <si>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</si>
  <si>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</si>
  <si>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</si>
  <si>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</si>
  <si>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</si>
  <si>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</si>
  <si>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</si>
  <si>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</si>
  <si>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</si>
  <si>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</si>
  <si>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</si>
  <si>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</si>
  <si>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</si>
  <si>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</si>
  <si>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</si>
  <si>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</si>
  <si>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</si>
  <si>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</si>
  <si>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</si>
  <si>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</si>
  <si>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</si>
  <si>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</si>
  <si>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</si>
  <si>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</si>
  <si>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</si>
  <si>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</si>
  <si>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</si>
  <si>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</si>
  <si>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</si>
  <si>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</si>
  <si>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</si>
  <si>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</si>
  <si>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</si>
  <si>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</si>
  <si>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</si>
  <si>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</si>
  <si>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</si>
  <si>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</si>
  <si>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</si>
  <si>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</si>
  <si>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</si>
  <si>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</si>
  <si>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</si>
  <si>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</si>
  <si>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</si>
  <si>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</si>
  <si>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</si>
  <si>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</si>
  <si>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</si>
  <si>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</si>
  <si>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</si>
  <si>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</si>
  <si>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</si>
  <si>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</si>
  <si>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</si>
  <si>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</si>
  <si>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</si>
  <si>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</si>
  <si>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</si>
  <si>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</si>
  <si>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</si>
  <si>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</si>
  <si>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</si>
  <si>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</si>
  <si>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</si>
  <si>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</si>
  <si>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</si>
  <si>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</si>
  <si>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</si>
  <si>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</si>
  <si>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</si>
  <si>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</si>
  <si>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</si>
  <si>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</si>
  <si>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</si>
  <si>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</si>
  <si>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</si>
  <si>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</si>
  <si>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</si>
  <si>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</si>
  <si>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</si>
  <si>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</si>
  <si>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</si>
  <si>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</si>
  <si>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</si>
  <si>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</si>
  <si>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</si>
  <si>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</si>
  <si>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</si>
  <si>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</si>
  <si>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</si>
  <si>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</si>
  <si>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</si>
  <si>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</si>
  <si>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</si>
  <si>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</si>
  <si>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</si>
  <si>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</si>
  <si>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</si>
  <si>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</si>
  <si>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</si>
  <si>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</si>
  <si>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</si>
  <si>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</si>
  <si>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</si>
  <si>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</si>
  <si>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</si>
  <si>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</si>
  <si>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</si>
  <si>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</si>
  <si>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</si>
  <si>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</si>
  <si>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</si>
  <si>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</si>
  <si>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</si>
  <si>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</si>
  <si>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</si>
  <si>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</si>
  <si>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</si>
  <si>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</si>
  <si>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</si>
  <si>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</si>
  <si>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</si>
  <si>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</si>
  <si>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</si>
  <si>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</si>
  <si>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</si>
  <si>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</si>
  <si>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</si>
  <si>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</si>
  <si>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</si>
  <si>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</si>
  <si>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</si>
  <si>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</si>
  <si>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</si>
  <si>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</si>
  <si>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</si>
  <si>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</si>
  <si>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</si>
  <si>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</si>
  <si>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</si>
  <si>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</si>
  <si>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</si>
  <si>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</si>
  <si>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</si>
  <si>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</si>
  <si>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</si>
  <si>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</si>
  <si>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</si>
  <si>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</si>
  <si>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</si>
  <si>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</si>
  <si>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</si>
  <si>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</si>
  <si>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</si>
  <si>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</si>
  <si>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</si>
  <si>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</si>
  <si>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</si>
  <si>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</si>
  <si>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</si>
  <si>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</si>
  <si>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</si>
  <si>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</si>
  <si>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</si>
  <si>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</si>
  <si>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</si>
  <si>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</si>
  <si>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</si>
  <si>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</si>
  <si>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</si>
  <si>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</si>
  <si>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</si>
  <si>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</si>
  <si>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</si>
  <si>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</si>
  <si>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</si>
  <si>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</si>
  <si>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</si>
  <si>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</si>
  <si>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</si>
  <si>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</si>
  <si>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</si>
  <si>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</si>
  <si>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</si>
  <si>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</si>
  <si>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</si>
  <si>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</si>
  <si>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</si>
  <si>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</si>
  <si>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</si>
  <si>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</si>
  <si>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</si>
  <si>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</si>
  <si>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</si>
  <si>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</si>
  <si>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</si>
  <si>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</si>
  <si>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</si>
  <si>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</si>
  <si>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ELC,ELC_???-???*,e[_]*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</si>
  <si>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</si>
  <si>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</si>
  <si>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</si>
  <si>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</si>
  <si>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</si>
  <si>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</si>
  <si>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</si>
  <si>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</si>
  <si>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</si>
  <si>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</si>
  <si>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</si>
  <si>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</si>
  <si>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</si>
  <si>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</si>
  <si>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</si>
  <si>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</si>
  <si>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</si>
  <si>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</si>
  <si>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</si>
  <si>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</si>
  <si>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</si>
  <si>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</si>
  <si>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</si>
  <si>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</si>
  <si>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</si>
  <si>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</si>
  <si>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</si>
  <si>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</si>
  <si>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</si>
  <si>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</si>
  <si>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</si>
  <si>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</si>
  <si>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</si>
  <si>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f1d</t>
  </si>
  <si>
    <t>DeACT TS_Defs: Snk_attr=SANKEY Grid Flows</t>
  </si>
  <si>
    <t>grid_node</t>
  </si>
  <si>
    <t>p_CH1</t>
  </si>
  <si>
    <t>p_CH11</t>
  </si>
  <si>
    <t>p_CH12</t>
  </si>
  <si>
    <t>p_CH13</t>
  </si>
  <si>
    <t>p_CH14</t>
  </si>
  <si>
    <t>p_CH15</t>
  </si>
  <si>
    <t>p_CH16</t>
  </si>
  <si>
    <t>p_CH17</t>
  </si>
  <si>
    <t>p_CH18</t>
  </si>
  <si>
    <t>p_CH19</t>
  </si>
  <si>
    <t>p_CH2</t>
  </si>
  <si>
    <t>p_CH20</t>
  </si>
  <si>
    <t>p_CH21</t>
  </si>
  <si>
    <t>p_CH22</t>
  </si>
  <si>
    <t>p_CH23</t>
  </si>
  <si>
    <t>p_CH24</t>
  </si>
  <si>
    <t>p_CH25</t>
  </si>
  <si>
    <t>p_CH26</t>
  </si>
  <si>
    <t>p_CH27</t>
  </si>
  <si>
    <t>p_CH28</t>
  </si>
  <si>
    <t>p_CH29</t>
  </si>
  <si>
    <t>p_CH3</t>
  </si>
  <si>
    <t>p_CH30</t>
  </si>
  <si>
    <t>p_CH31</t>
  </si>
  <si>
    <t>p_CH32</t>
  </si>
  <si>
    <t>p_CH33</t>
  </si>
  <si>
    <t>p_CH34</t>
  </si>
  <si>
    <t>p_CH35</t>
  </si>
  <si>
    <t>p_CH36</t>
  </si>
  <si>
    <t>p_CH37</t>
  </si>
  <si>
    <t>p_CH38</t>
  </si>
  <si>
    <t>p_CH39</t>
  </si>
  <si>
    <t>p_CH4</t>
  </si>
  <si>
    <t>p_CH40</t>
  </si>
  <si>
    <t>p_CH41</t>
  </si>
  <si>
    <t>p_CH42</t>
  </si>
  <si>
    <t>p_CH43</t>
  </si>
  <si>
    <t>p_CH44</t>
  </si>
  <si>
    <t>p_CH45</t>
  </si>
  <si>
    <t>p_CH46</t>
  </si>
  <si>
    <t>p_CH47</t>
  </si>
  <si>
    <t>p_CH48</t>
  </si>
  <si>
    <t>p_CH49</t>
  </si>
  <si>
    <t>p_CH5</t>
  </si>
  <si>
    <t>p_CH50</t>
  </si>
  <si>
    <t>p_CH51</t>
  </si>
  <si>
    <t>p_CH52</t>
  </si>
  <si>
    <t>p_CH53</t>
  </si>
  <si>
    <t>p_CH56</t>
  </si>
  <si>
    <t>p_CH57</t>
  </si>
  <si>
    <t>p_CH58</t>
  </si>
  <si>
    <t>p_CH59</t>
  </si>
  <si>
    <t>p_CH6</t>
  </si>
  <si>
    <t>p_CH60</t>
  </si>
  <si>
    <t>p_CH7</t>
  </si>
  <si>
    <t>p_CH9</t>
  </si>
  <si>
    <t>p_r5378910</t>
  </si>
  <si>
    <t>p_r7933294</t>
  </si>
  <si>
    <t>p_r9310861</t>
  </si>
  <si>
    <t>p_w100662075</t>
  </si>
  <si>
    <t>p_w108257952</t>
  </si>
  <si>
    <t>p_w1086214433</t>
  </si>
  <si>
    <t>p_w109037817</t>
  </si>
  <si>
    <t>p_w1092884227</t>
  </si>
  <si>
    <t>p_w1105061707</t>
  </si>
  <si>
    <t>p_w111162936</t>
  </si>
  <si>
    <t>p_w11282314</t>
  </si>
  <si>
    <t>p_w1208713169</t>
  </si>
  <si>
    <t>p_w122720993</t>
  </si>
  <si>
    <t>p_w127004407</t>
  </si>
  <si>
    <t>p_w1284913429</t>
  </si>
  <si>
    <t>p_w130198336</t>
  </si>
  <si>
    <t>p_w132373704</t>
  </si>
  <si>
    <t>p_w1327084723</t>
  </si>
  <si>
    <t>p_w140873735</t>
  </si>
  <si>
    <t>p_w146225999</t>
  </si>
  <si>
    <t>p_w147557680</t>
  </si>
  <si>
    <t>p_w147714395</t>
  </si>
  <si>
    <t>p_w148015471</t>
  </si>
  <si>
    <t>p_w159527493</t>
  </si>
  <si>
    <t>p_w161853746</t>
  </si>
  <si>
    <t>p_w165254212</t>
  </si>
  <si>
    <t>p_w165513396</t>
  </si>
  <si>
    <t>p_w177392130</t>
  </si>
  <si>
    <t>p_w190819048</t>
  </si>
  <si>
    <t>p_w192677427</t>
  </si>
  <si>
    <t>p_w194258388</t>
  </si>
  <si>
    <t>p_w207991759</t>
  </si>
  <si>
    <t>p_w207993342</t>
  </si>
  <si>
    <t>p_w208780268</t>
  </si>
  <si>
    <t>p_w209324991</t>
  </si>
  <si>
    <t>p_w210568055</t>
  </si>
  <si>
    <t>p_w211907009</t>
  </si>
  <si>
    <t>p_w212498548</t>
  </si>
  <si>
    <t>p_w212722603</t>
  </si>
  <si>
    <t>p_w228003081</t>
  </si>
  <si>
    <t>p_w22899676</t>
  </si>
  <si>
    <t>p_w232662311</t>
  </si>
  <si>
    <t>p_w234983117</t>
  </si>
  <si>
    <t>p_w236819191</t>
  </si>
  <si>
    <t>p_w238138373</t>
  </si>
  <si>
    <t>p_w239937062</t>
  </si>
  <si>
    <t>p_w240575085</t>
  </si>
  <si>
    <t>p_w240959264</t>
  </si>
  <si>
    <t>p_w242269161</t>
  </si>
  <si>
    <t>p_w260211728</t>
  </si>
  <si>
    <t>p_w26166640</t>
  </si>
  <si>
    <t>p_w26843160</t>
  </si>
  <si>
    <t>p_w27107779</t>
  </si>
  <si>
    <t>p_w27435934</t>
  </si>
  <si>
    <t>p_w281799252</t>
  </si>
  <si>
    <t>p_w281800404</t>
  </si>
  <si>
    <t>p_w281803398</t>
  </si>
  <si>
    <t>p_w281804158</t>
  </si>
  <si>
    <t>p_w281809991</t>
  </si>
  <si>
    <t>p_w281815404</t>
  </si>
  <si>
    <t>p_w281822905</t>
  </si>
  <si>
    <t>p_w30350721</t>
  </si>
  <si>
    <t>p_w31308888</t>
  </si>
  <si>
    <t>p_w33271433</t>
  </si>
  <si>
    <t>p_w35002638</t>
  </si>
  <si>
    <t>p_w35487135</t>
  </si>
  <si>
    <t>p_w356292116</t>
  </si>
  <si>
    <t>p_w35840165</t>
  </si>
  <si>
    <t>p_w36348118</t>
  </si>
  <si>
    <t>p_w364949845</t>
  </si>
  <si>
    <t>p_w365556107</t>
  </si>
  <si>
    <t>p_w391576135</t>
  </si>
  <si>
    <t>p_w391577741</t>
  </si>
  <si>
    <t>p_w397960460</t>
  </si>
  <si>
    <t>p_w402053379</t>
  </si>
  <si>
    <t>p_w402055336</t>
  </si>
  <si>
    <t>p_w431234146</t>
  </si>
  <si>
    <t>p_w44496892</t>
  </si>
  <si>
    <t>p_w455120191</t>
  </si>
  <si>
    <t>p_w50319857</t>
  </si>
  <si>
    <t>p_w50561341</t>
  </si>
  <si>
    <t>p_w52738225</t>
  </si>
  <si>
    <t>p_w55695765</t>
  </si>
  <si>
    <t>p_w55698557</t>
  </si>
  <si>
    <t>p_w71500123</t>
  </si>
  <si>
    <t>p_w758315582</t>
  </si>
  <si>
    <t>p_w758943072</t>
  </si>
  <si>
    <t>p_w802058337</t>
  </si>
  <si>
    <t>p_w83861269</t>
  </si>
  <si>
    <t>p_w87281514</t>
  </si>
  <si>
    <t>p_w88901626</t>
  </si>
  <si>
    <t>p_w89405664</t>
  </si>
  <si>
    <t>p_w89977424</t>
  </si>
  <si>
    <t>p_w92798668</t>
  </si>
  <si>
    <t>p_w92873516</t>
  </si>
  <si>
    <t>p_w936521586</t>
  </si>
  <si>
    <t>p_w969811258</t>
  </si>
  <si>
    <t>p_w969819301</t>
  </si>
  <si>
    <t>p_w97941869</t>
  </si>
  <si>
    <t>p_w98648381</t>
  </si>
  <si>
    <t>rez_CHE_0</t>
  </si>
  <si>
    <t>rez_CHE_1</t>
  </si>
  <si>
    <t>rez_CHE_2</t>
  </si>
  <si>
    <t>rez_CHE_3</t>
  </si>
  <si>
    <t>rez_CHE_4</t>
  </si>
  <si>
    <t>rez_CHE_5</t>
  </si>
  <si>
    <t>rez_CHE_6</t>
  </si>
  <si>
    <t>rez_CHE_7</t>
  </si>
  <si>
    <t>rez_CHE_8</t>
  </si>
  <si>
    <t>rez_CHE_9</t>
  </si>
  <si>
    <t>rez_CHE_10</t>
  </si>
  <si>
    <t>rez_CHE_11</t>
  </si>
  <si>
    <t>rez_CHE_12</t>
  </si>
  <si>
    <t>rez_CHE_13</t>
  </si>
  <si>
    <t>rez_CHE_14</t>
  </si>
  <si>
    <t>rez_CHE_15</t>
  </si>
  <si>
    <t>rez_CHE_17</t>
  </si>
  <si>
    <t>rez_CHE_18</t>
  </si>
  <si>
    <t>rez_CHE_19</t>
  </si>
  <si>
    <t>rez_CHE_20</t>
  </si>
  <si>
    <t>rez_CHE_21</t>
  </si>
  <si>
    <t>rez_CHE_22</t>
  </si>
  <si>
    <t>rez_CHE_23</t>
  </si>
  <si>
    <t>rez_CHE_24</t>
  </si>
  <si>
    <t>rez_CHE_25</t>
  </si>
  <si>
    <t>~geolocation</t>
  </si>
  <si>
    <t>region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</si>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</sst>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263</v>
      </c>
      <c r="U16" t="s">
        <v>264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0"/>
  <sheetViews>
    <sheetView topLeftCell="G1" zoomScaleNormal="100" workbookViewId="0">
      <selection activeCell="U16" sqref="U16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2.73046875" bestFit="1" customWidth="1"/>
    <col min="17" max="17" width="4.66406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2:24">
      <c r="B6" t="str">
        <f>"vs~"&amp;TEXT(O6,"0000")</f>
        <v>vs~0001</v>
      </c>
      <c r="C6" t="str">
        <f>H6</f>
        <v>e 1.5 deg no OS.e3d</v>
      </c>
      <c r="H6" t="str">
        <f>_xlfn.TEXTJOIN(".",TRUE,I6:J6)</f>
        <v>e 1.5 deg no OS.e3d</v>
      </c>
      <c r="I6" t="str">
        <f>VLOOKUP(Q6,$W$6:$X$12,2,FALSE)</f>
        <v>e 1.5 deg no OS</v>
      </c>
      <c r="J6" t="str">
        <f>VLOOKUP(P6,$T$6:$U$16,2,FALSE)</f>
        <v>e3d</v>
      </c>
      <c r="L6" t="s">
        <v>250</v>
      </c>
      <c r="O6">
        <v>1</v>
      </c>
      <c r="P6" t="s">
        <v>230</v>
      </c>
      <c r="Q6" t="s">
        <v>285</v>
      </c>
      <c r="S6">
        <v>1</v>
      </c>
      <c r="T6" t="s">
        <v>230</v>
      </c>
      <c r="U6" t="s">
        <v>244</v>
      </c>
      <c r="W6" t="s">
        <v>285</v>
      </c>
      <c r="X6" t="s">
        <v>258</v>
      </c>
    </row>
    <row r="7" spans="2:24">
      <c r="B7" t="str">
        <f t="shared" ref="B7:B60" si="0">"vs~"&amp;TEXT(O7,"0000")</f>
        <v>vs~0002</v>
      </c>
      <c r="C7" t="str">
        <f t="shared" ref="C7:C26" si="1">H7</f>
        <v>e 1.5 deg no OS.d9d</v>
      </c>
      <c r="H7" t="str">
        <f t="shared" ref="H7:H55" si="2">_xlfn.TEXTJOIN(".",TRUE,I7:J7)</f>
        <v>e 1.5 deg no OS.d9d</v>
      </c>
      <c r="I7" t="str">
        <f t="shared" ref="I7:I60" si="3">VLOOKUP(Q7,$W$6:$X$12,2,FALSE)</f>
        <v>e 1.5 deg no OS</v>
      </c>
      <c r="J7" t="str">
        <f t="shared" ref="J7:J60" si="4">VLOOKUP(P7,$T$6:$U$16,2,FALSE)</f>
        <v>d9d</v>
      </c>
      <c r="L7" t="s">
        <v>251</v>
      </c>
      <c r="O7">
        <v>2</v>
      </c>
      <c r="P7" t="s">
        <v>231</v>
      </c>
      <c r="Q7" t="s">
        <v>285</v>
      </c>
      <c r="S7">
        <v>2</v>
      </c>
      <c r="T7" t="s">
        <v>231</v>
      </c>
      <c r="U7" t="s">
        <v>241</v>
      </c>
      <c r="W7" t="s">
        <v>286</v>
      </c>
      <c r="X7" t="s">
        <v>257</v>
      </c>
    </row>
    <row r="8" spans="2:24">
      <c r="B8" t="str">
        <f t="shared" si="0"/>
        <v>vs~0003</v>
      </c>
      <c r="C8" t="str">
        <f t="shared" si="1"/>
        <v>e 1.5 deg no OS.b2w</v>
      </c>
      <c r="H8" t="str">
        <f t="shared" si="2"/>
        <v>e 1.5 deg no OS.b2w</v>
      </c>
      <c r="I8" t="str">
        <f t="shared" si="3"/>
        <v>e 1.5 deg no OS</v>
      </c>
      <c r="J8" t="str">
        <f t="shared" si="4"/>
        <v>b2w</v>
      </c>
      <c r="L8" t="s">
        <v>252</v>
      </c>
      <c r="O8">
        <v>3</v>
      </c>
      <c r="P8" t="s">
        <v>232</v>
      </c>
      <c r="Q8" t="s">
        <v>285</v>
      </c>
      <c r="S8">
        <v>3</v>
      </c>
      <c r="T8" t="s">
        <v>232</v>
      </c>
      <c r="U8" t="s">
        <v>242</v>
      </c>
      <c r="W8" t="s">
        <v>287</v>
      </c>
      <c r="X8" t="s">
        <v>256</v>
      </c>
    </row>
    <row r="9" spans="2:24">
      <c r="B9" t="str">
        <f t="shared" si="0"/>
        <v>vs~0004</v>
      </c>
      <c r="C9" t="str">
        <f t="shared" si="1"/>
        <v>e 1.5 deg no OS.a2w2d</v>
      </c>
      <c r="H9" t="str">
        <f t="shared" si="2"/>
        <v>e 1.5 deg no OS.a2w2d</v>
      </c>
      <c r="I9" t="str">
        <f t="shared" si="3"/>
        <v>e 1.5 deg no OS</v>
      </c>
      <c r="J9" t="str">
        <f t="shared" si="4"/>
        <v>a2w2d</v>
      </c>
      <c r="L9" t="s">
        <v>253</v>
      </c>
      <c r="O9">
        <v>4</v>
      </c>
      <c r="P9" t="s">
        <v>233</v>
      </c>
      <c r="Q9" t="s">
        <v>285</v>
      </c>
      <c r="S9">
        <v>4</v>
      </c>
      <c r="T9" t="s">
        <v>233</v>
      </c>
      <c r="U9" t="s">
        <v>240</v>
      </c>
      <c r="W9" t="s">
        <v>288</v>
      </c>
      <c r="X9" t="s">
        <v>255</v>
      </c>
    </row>
    <row r="10" spans="2:24">
      <c r="B10" t="str">
        <f t="shared" si="0"/>
        <v>vs~0005</v>
      </c>
      <c r="C10" t="str">
        <f t="shared" si="1"/>
        <v>e 1.5 deg no OS.hTS12c</v>
      </c>
      <c r="H10" t="str">
        <f t="shared" si="2"/>
        <v>e 1.5 deg no OS.hTS12c</v>
      </c>
      <c r="I10" t="str">
        <f t="shared" si="3"/>
        <v>e 1.5 deg no OS</v>
      </c>
      <c r="J10" t="str">
        <f t="shared" si="4"/>
        <v>hTS12c</v>
      </c>
      <c r="L10" t="s">
        <v>254</v>
      </c>
      <c r="O10">
        <v>5</v>
      </c>
      <c r="P10" t="s">
        <v>234</v>
      </c>
      <c r="Q10" t="s">
        <v>285</v>
      </c>
      <c r="S10">
        <v>5</v>
      </c>
      <c r="T10" t="s">
        <v>234</v>
      </c>
      <c r="U10" t="s">
        <v>247</v>
      </c>
      <c r="W10" t="s">
        <v>289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OS.gTS24c</v>
      </c>
      <c r="H11" t="str">
        <f t="shared" si="2"/>
        <v>e 1.5 deg no OS.gTS24c</v>
      </c>
      <c r="I11" t="str">
        <f t="shared" si="3"/>
        <v>e 1.5 deg no OS</v>
      </c>
      <c r="J11" t="str">
        <f t="shared" si="4"/>
        <v>gTS24c</v>
      </c>
      <c r="O11">
        <v>6</v>
      </c>
      <c r="P11" t="s">
        <v>235</v>
      </c>
      <c r="Q11" t="s">
        <v>285</v>
      </c>
      <c r="S11">
        <v>6</v>
      </c>
      <c r="T11" t="s">
        <v>235</v>
      </c>
      <c r="U11" t="s">
        <v>246</v>
      </c>
    </row>
    <row r="12" spans="2:24">
      <c r="B12" t="str">
        <f t="shared" si="0"/>
        <v>vs~0007</v>
      </c>
      <c r="C12" t="str">
        <f t="shared" si="1"/>
        <v>e 1.5 deg no OS.fTS48c</v>
      </c>
      <c r="H12" t="str">
        <f t="shared" si="2"/>
        <v>e 1.5 deg no OS.fTS48c</v>
      </c>
      <c r="I12" t="str">
        <f t="shared" si="3"/>
        <v>e 1.5 deg no OS</v>
      </c>
      <c r="J12" t="str">
        <f t="shared" si="4"/>
        <v>fTS48c</v>
      </c>
      <c r="O12">
        <v>7</v>
      </c>
      <c r="P12" t="s">
        <v>236</v>
      </c>
      <c r="Q12" t="s">
        <v>285</v>
      </c>
      <c r="S12">
        <v>7</v>
      </c>
      <c r="T12" t="s">
        <v>236</v>
      </c>
      <c r="U12" t="s">
        <v>245</v>
      </c>
    </row>
    <row r="13" spans="2:24">
      <c r="B13" t="str">
        <f t="shared" si="0"/>
        <v>vs~0008</v>
      </c>
      <c r="C13" t="str">
        <f t="shared" si="1"/>
        <v>e 1.5 deg no OS.c15d</v>
      </c>
      <c r="H13" t="str">
        <f t="shared" si="2"/>
        <v>e 1.5 deg no OS.c15d</v>
      </c>
      <c r="I13" t="str">
        <f t="shared" si="3"/>
        <v>e 1.5 deg no OS</v>
      </c>
      <c r="J13" t="str">
        <f t="shared" si="4"/>
        <v>c15d</v>
      </c>
      <c r="O13">
        <v>8</v>
      </c>
      <c r="P13" t="s">
        <v>237</v>
      </c>
      <c r="Q13" t="s">
        <v>285</v>
      </c>
      <c r="S13">
        <v>8</v>
      </c>
      <c r="T13" t="s">
        <v>237</v>
      </c>
      <c r="U13" t="s">
        <v>243</v>
      </c>
    </row>
    <row r="14" spans="2:24">
      <c r="B14" t="str">
        <f t="shared" si="0"/>
        <v>vs~0009</v>
      </c>
      <c r="C14" t="str">
        <f t="shared" si="1"/>
        <v>e 1.5 deg no OS.f1d</v>
      </c>
      <c r="H14" t="str">
        <f t="shared" si="2"/>
        <v>e 1.5 deg no OS.f1d</v>
      </c>
      <c r="I14" t="str">
        <f t="shared" si="3"/>
        <v>e 1.5 deg no OS</v>
      </c>
      <c r="J14" t="str">
        <f t="shared" si="4"/>
        <v>f1d</v>
      </c>
      <c r="O14">
        <v>9</v>
      </c>
      <c r="P14" t="s">
        <v>263</v>
      </c>
      <c r="Q14" t="s">
        <v>285</v>
      </c>
      <c r="S14">
        <v>9</v>
      </c>
      <c r="T14" t="s">
        <v>239</v>
      </c>
      <c r="U14" t="s">
        <v>248</v>
      </c>
    </row>
    <row r="15" spans="2:24">
      <c r="B15" t="str">
        <f t="shared" si="0"/>
        <v>vs~0010</v>
      </c>
      <c r="C15" t="str">
        <f t="shared" si="1"/>
        <v>e 1.5 deg no OS.jAnn</v>
      </c>
      <c r="H15" t="str">
        <f t="shared" si="2"/>
        <v>e 1.5 deg no OS.jAnn</v>
      </c>
      <c r="I15" t="str">
        <f t="shared" si="3"/>
        <v>e 1.5 deg no OS</v>
      </c>
      <c r="J15" t="str">
        <f t="shared" si="4"/>
        <v>jAnn</v>
      </c>
      <c r="O15">
        <v>10</v>
      </c>
      <c r="P15" t="s">
        <v>238</v>
      </c>
      <c r="Q15" t="s">
        <v>285</v>
      </c>
      <c r="S15">
        <v>10</v>
      </c>
      <c r="T15" t="s">
        <v>238</v>
      </c>
      <c r="U15" t="s">
        <v>249</v>
      </c>
    </row>
    <row r="16" spans="2:24">
      <c r="B16" t="str">
        <f t="shared" si="0"/>
        <v>vs~0011</v>
      </c>
      <c r="C16" t="str">
        <f t="shared" si="1"/>
        <v>e 1.5 deg no OS.iTS12</v>
      </c>
      <c r="H16" t="str">
        <f t="shared" si="2"/>
        <v>e 1.5 deg no OS.iTS12</v>
      </c>
      <c r="I16" t="str">
        <f t="shared" si="3"/>
        <v>e 1.5 deg no OS</v>
      </c>
      <c r="J16" t="str">
        <f t="shared" si="4"/>
        <v>iTS12</v>
      </c>
      <c r="O16">
        <v>11</v>
      </c>
      <c r="P16" t="s">
        <v>239</v>
      </c>
      <c r="Q16" t="s">
        <v>285</v>
      </c>
      <c r="S16">
        <v>11</v>
      </c>
      <c r="T16" t="s">
        <v>263</v>
      </c>
      <c r="U16" t="s">
        <v>295</v>
      </c>
    </row>
    <row r="17" spans="2:17">
      <c r="B17" t="str">
        <f t="shared" si="0"/>
        <v>vs~0012</v>
      </c>
      <c r="C17" t="str">
        <f t="shared" si="1"/>
        <v>d 1.5 deg OS.e3d</v>
      </c>
      <c r="H17" t="str">
        <f t="shared" si="2"/>
        <v>d 1.5 deg OS.e3d</v>
      </c>
      <c r="I17" t="str">
        <f t="shared" si="3"/>
        <v>d 1.5 deg OS</v>
      </c>
      <c r="J17" t="str">
        <f t="shared" si="4"/>
        <v>e3d</v>
      </c>
      <c r="O17">
        <v>12</v>
      </c>
      <c r="P17" t="s">
        <v>230</v>
      </c>
      <c r="Q17" t="s">
        <v>286</v>
      </c>
    </row>
    <row r="18" spans="2:17">
      <c r="B18" t="str">
        <f t="shared" si="0"/>
        <v>vs~0013</v>
      </c>
      <c r="C18" t="str">
        <f t="shared" si="1"/>
        <v>d 1.5 deg OS.d9d</v>
      </c>
      <c r="H18" t="str">
        <f t="shared" si="2"/>
        <v>d 1.5 deg OS.d9d</v>
      </c>
      <c r="I18" t="str">
        <f t="shared" si="3"/>
        <v>d 1.5 deg OS</v>
      </c>
      <c r="J18" t="str">
        <f t="shared" si="4"/>
        <v>d9d</v>
      </c>
      <c r="O18">
        <v>13</v>
      </c>
      <c r="P18" t="s">
        <v>231</v>
      </c>
      <c r="Q18" t="s">
        <v>286</v>
      </c>
    </row>
    <row r="19" spans="2:17">
      <c r="B19" t="str">
        <f t="shared" si="0"/>
        <v>vs~0014</v>
      </c>
      <c r="C19" t="str">
        <f t="shared" si="1"/>
        <v>d 1.5 deg OS.b2w</v>
      </c>
      <c r="H19" t="str">
        <f t="shared" si="2"/>
        <v>d 1.5 deg OS.b2w</v>
      </c>
      <c r="I19" t="str">
        <f t="shared" si="3"/>
        <v>d 1.5 deg OS</v>
      </c>
      <c r="J19" t="str">
        <f t="shared" si="4"/>
        <v>b2w</v>
      </c>
      <c r="O19">
        <v>14</v>
      </c>
      <c r="P19" t="s">
        <v>232</v>
      </c>
      <c r="Q19" t="s">
        <v>286</v>
      </c>
    </row>
    <row r="20" spans="2:17">
      <c r="B20" t="str">
        <f t="shared" si="0"/>
        <v>vs~0015</v>
      </c>
      <c r="C20" t="str">
        <f t="shared" si="1"/>
        <v>d 1.5 deg OS.a2w2d</v>
      </c>
      <c r="H20" t="str">
        <f t="shared" si="2"/>
        <v>d 1.5 deg OS.a2w2d</v>
      </c>
      <c r="I20" t="str">
        <f t="shared" si="3"/>
        <v>d 1.5 deg OS</v>
      </c>
      <c r="J20" t="str">
        <f t="shared" si="4"/>
        <v>a2w2d</v>
      </c>
      <c r="O20">
        <v>15</v>
      </c>
      <c r="P20" t="s">
        <v>233</v>
      </c>
      <c r="Q20" t="s">
        <v>286</v>
      </c>
    </row>
    <row r="21" spans="2:17">
      <c r="B21" t="str">
        <f t="shared" si="0"/>
        <v>vs~0016</v>
      </c>
      <c r="C21" t="str">
        <f t="shared" si="1"/>
        <v>d 1.5 deg OS.hTS12c</v>
      </c>
      <c r="H21" t="str">
        <f t="shared" si="2"/>
        <v>d 1.5 deg OS.hTS12c</v>
      </c>
      <c r="I21" t="str">
        <f t="shared" si="3"/>
        <v>d 1.5 deg OS</v>
      </c>
      <c r="J21" t="str">
        <f t="shared" si="4"/>
        <v>hTS12c</v>
      </c>
      <c r="O21">
        <v>16</v>
      </c>
      <c r="P21" t="s">
        <v>234</v>
      </c>
      <c r="Q21" t="s">
        <v>286</v>
      </c>
    </row>
    <row r="22" spans="2:17">
      <c r="B22" t="str">
        <f t="shared" si="0"/>
        <v>vs~0017</v>
      </c>
      <c r="C22" t="str">
        <f t="shared" si="1"/>
        <v>d 1.5 deg OS.gTS24c</v>
      </c>
      <c r="H22" t="str">
        <f t="shared" si="2"/>
        <v>d 1.5 deg OS.gTS24c</v>
      </c>
      <c r="I22" t="str">
        <f t="shared" si="3"/>
        <v>d 1.5 deg OS</v>
      </c>
      <c r="J22" t="str">
        <f t="shared" si="4"/>
        <v>gTS24c</v>
      </c>
      <c r="O22">
        <v>17</v>
      </c>
      <c r="P22" t="s">
        <v>235</v>
      </c>
      <c r="Q22" t="s">
        <v>286</v>
      </c>
    </row>
    <row r="23" spans="2:17">
      <c r="B23" t="str">
        <f t="shared" si="0"/>
        <v>vs~0018</v>
      </c>
      <c r="C23" t="str">
        <f t="shared" si="1"/>
        <v>d 1.5 deg OS.fTS48c</v>
      </c>
      <c r="H23" t="str">
        <f t="shared" si="2"/>
        <v>d 1.5 deg OS.fTS48c</v>
      </c>
      <c r="I23" t="str">
        <f t="shared" si="3"/>
        <v>d 1.5 deg OS</v>
      </c>
      <c r="J23" t="str">
        <f t="shared" si="4"/>
        <v>fTS48c</v>
      </c>
      <c r="O23">
        <v>18</v>
      </c>
      <c r="P23" t="s">
        <v>236</v>
      </c>
      <c r="Q23" t="s">
        <v>286</v>
      </c>
    </row>
    <row r="24" spans="2:17">
      <c r="B24" t="str">
        <f t="shared" si="0"/>
        <v>vs~0019</v>
      </c>
      <c r="C24" t="str">
        <f t="shared" si="1"/>
        <v>d 1.5 deg OS.c15d</v>
      </c>
      <c r="H24" t="str">
        <f t="shared" si="2"/>
        <v>d 1.5 deg OS.c15d</v>
      </c>
      <c r="I24" t="str">
        <f t="shared" si="3"/>
        <v>d 1.5 deg OS</v>
      </c>
      <c r="J24" t="str">
        <f t="shared" si="4"/>
        <v>c15d</v>
      </c>
      <c r="O24">
        <v>19</v>
      </c>
      <c r="P24" t="s">
        <v>237</v>
      </c>
      <c r="Q24" t="s">
        <v>286</v>
      </c>
    </row>
    <row r="25" spans="2:17">
      <c r="B25" t="str">
        <f t="shared" si="0"/>
        <v>vs~0020</v>
      </c>
      <c r="C25" t="str">
        <f t="shared" si="1"/>
        <v>d 1.5 deg OS.f1d</v>
      </c>
      <c r="H25" t="str">
        <f t="shared" si="2"/>
        <v>d 1.5 deg OS.f1d</v>
      </c>
      <c r="I25" t="str">
        <f t="shared" si="3"/>
        <v>d 1.5 deg OS</v>
      </c>
      <c r="J25" t="str">
        <f t="shared" si="4"/>
        <v>f1d</v>
      </c>
      <c r="O25">
        <v>20</v>
      </c>
      <c r="P25" t="s">
        <v>263</v>
      </c>
      <c r="Q25" t="s">
        <v>286</v>
      </c>
    </row>
    <row r="26" spans="2:17">
      <c r="B26" t="str">
        <f t="shared" si="0"/>
        <v>vs~0021</v>
      </c>
      <c r="C26" t="str">
        <f t="shared" si="1"/>
        <v>d 1.5 deg OS.jAnn</v>
      </c>
      <c r="H26" t="str">
        <f t="shared" si="2"/>
        <v>d 1.5 deg OS.jAnn</v>
      </c>
      <c r="I26" t="str">
        <f t="shared" si="3"/>
        <v>d 1.5 deg OS</v>
      </c>
      <c r="J26" t="str">
        <f t="shared" si="4"/>
        <v>jAnn</v>
      </c>
      <c r="O26">
        <v>21</v>
      </c>
      <c r="P26" t="s">
        <v>238</v>
      </c>
      <c r="Q26" t="s">
        <v>286</v>
      </c>
    </row>
    <row r="27" spans="2:17">
      <c r="B27" t="str">
        <f t="shared" si="0"/>
        <v>vs~0022</v>
      </c>
      <c r="C27" t="str">
        <f t="shared" ref="C27:C40" si="5">H27</f>
        <v>d 1.5 deg OS.iTS12</v>
      </c>
      <c r="H27" t="str">
        <f t="shared" si="2"/>
        <v>d 1.5 deg OS.iTS12</v>
      </c>
      <c r="I27" t="str">
        <f t="shared" si="3"/>
        <v>d 1.5 deg OS</v>
      </c>
      <c r="J27" t="str">
        <f t="shared" si="4"/>
        <v>iTS12</v>
      </c>
      <c r="O27">
        <v>22</v>
      </c>
      <c r="P27" t="s">
        <v>239</v>
      </c>
      <c r="Q27" t="s">
        <v>286</v>
      </c>
    </row>
    <row r="28" spans="2:17">
      <c r="B28" t="str">
        <f t="shared" si="0"/>
        <v>vs~0023</v>
      </c>
      <c r="C28" t="str">
        <f t="shared" si="5"/>
        <v>c 2 deg (67%).e3d</v>
      </c>
      <c r="H28" t="str">
        <f t="shared" si="2"/>
        <v>c 2 deg (67%).e3d</v>
      </c>
      <c r="I28" t="str">
        <f t="shared" si="3"/>
        <v>c 2 deg (67%)</v>
      </c>
      <c r="J28" t="str">
        <f t="shared" si="4"/>
        <v>e3d</v>
      </c>
      <c r="O28">
        <v>23</v>
      </c>
      <c r="P28" t="s">
        <v>230</v>
      </c>
      <c r="Q28" t="s">
        <v>287</v>
      </c>
    </row>
    <row r="29" spans="2:17">
      <c r="B29" t="str">
        <f t="shared" si="0"/>
        <v>vs~0024</v>
      </c>
      <c r="C29" t="str">
        <f t="shared" si="5"/>
        <v>c 2 deg (67%).d9d</v>
      </c>
      <c r="H29" t="str">
        <f t="shared" si="2"/>
        <v>c 2 deg (67%).d9d</v>
      </c>
      <c r="I29" t="str">
        <f t="shared" si="3"/>
        <v>c 2 deg (67%)</v>
      </c>
      <c r="J29" t="str">
        <f t="shared" si="4"/>
        <v>d9d</v>
      </c>
      <c r="O29">
        <v>24</v>
      </c>
      <c r="P29" t="s">
        <v>231</v>
      </c>
      <c r="Q29" t="s">
        <v>287</v>
      </c>
    </row>
    <row r="30" spans="2:17">
      <c r="B30" t="str">
        <f t="shared" si="0"/>
        <v>vs~0025</v>
      </c>
      <c r="C30" t="str">
        <f t="shared" si="5"/>
        <v>c 2 deg (67%).b2w</v>
      </c>
      <c r="H30" t="str">
        <f t="shared" si="2"/>
        <v>c 2 deg (67%).b2w</v>
      </c>
      <c r="I30" t="str">
        <f t="shared" si="3"/>
        <v>c 2 deg (67%)</v>
      </c>
      <c r="J30" t="str">
        <f t="shared" si="4"/>
        <v>b2w</v>
      </c>
      <c r="O30">
        <v>25</v>
      </c>
      <c r="P30" t="s">
        <v>232</v>
      </c>
      <c r="Q30" t="s">
        <v>287</v>
      </c>
    </row>
    <row r="31" spans="2:17">
      <c r="B31" t="str">
        <f t="shared" si="0"/>
        <v>vs~0026</v>
      </c>
      <c r="C31" t="str">
        <f t="shared" si="5"/>
        <v>c 2 deg (67%).a2w2d</v>
      </c>
      <c r="H31" t="str">
        <f t="shared" si="2"/>
        <v>c 2 deg (67%).a2w2d</v>
      </c>
      <c r="I31" t="str">
        <f t="shared" si="3"/>
        <v>c 2 deg (67%)</v>
      </c>
      <c r="J31" t="str">
        <f t="shared" si="4"/>
        <v>a2w2d</v>
      </c>
      <c r="O31">
        <v>26</v>
      </c>
      <c r="P31" t="s">
        <v>233</v>
      </c>
      <c r="Q31" t="s">
        <v>287</v>
      </c>
    </row>
    <row r="32" spans="2:17">
      <c r="B32" t="str">
        <f t="shared" si="0"/>
        <v>vs~0027</v>
      </c>
      <c r="C32" t="str">
        <f t="shared" si="5"/>
        <v>c 2 deg (67%).hTS12c</v>
      </c>
      <c r="H32" t="str">
        <f t="shared" si="2"/>
        <v>c 2 deg (67%).hTS12c</v>
      </c>
      <c r="I32" t="str">
        <f t="shared" si="3"/>
        <v>c 2 deg (67%)</v>
      </c>
      <c r="J32" t="str">
        <f t="shared" si="4"/>
        <v>hTS12c</v>
      </c>
      <c r="O32">
        <v>27</v>
      </c>
      <c r="P32" t="s">
        <v>234</v>
      </c>
      <c r="Q32" t="s">
        <v>287</v>
      </c>
    </row>
    <row r="33" spans="2:17">
      <c r="B33" t="str">
        <f t="shared" si="0"/>
        <v>vs~0028</v>
      </c>
      <c r="C33" t="str">
        <f t="shared" si="5"/>
        <v>c 2 deg (67%).gTS24c</v>
      </c>
      <c r="H33" t="str">
        <f t="shared" si="2"/>
        <v>c 2 deg (67%).gTS24c</v>
      </c>
      <c r="I33" t="str">
        <f t="shared" si="3"/>
        <v>c 2 deg (67%)</v>
      </c>
      <c r="J33" t="str">
        <f t="shared" si="4"/>
        <v>gTS24c</v>
      </c>
      <c r="O33">
        <v>28</v>
      </c>
      <c r="P33" t="s">
        <v>235</v>
      </c>
      <c r="Q33" t="s">
        <v>287</v>
      </c>
    </row>
    <row r="34" spans="2:17">
      <c r="B34" t="str">
        <f t="shared" si="0"/>
        <v>vs~0029</v>
      </c>
      <c r="C34" t="str">
        <f t="shared" si="5"/>
        <v>c 2 deg (67%).fTS48c</v>
      </c>
      <c r="H34" t="str">
        <f t="shared" si="2"/>
        <v>c 2 deg (67%).fTS48c</v>
      </c>
      <c r="I34" t="str">
        <f t="shared" si="3"/>
        <v>c 2 deg (67%)</v>
      </c>
      <c r="J34" t="str">
        <f t="shared" si="4"/>
        <v>fTS48c</v>
      </c>
      <c r="O34">
        <v>29</v>
      </c>
      <c r="P34" t="s">
        <v>236</v>
      </c>
      <c r="Q34" t="s">
        <v>287</v>
      </c>
    </row>
    <row r="35" spans="2:17">
      <c r="B35" t="str">
        <f t="shared" si="0"/>
        <v>vs~0030</v>
      </c>
      <c r="C35" t="str">
        <f t="shared" si="5"/>
        <v>c 2 deg (67%).c15d</v>
      </c>
      <c r="H35" t="str">
        <f t="shared" si="2"/>
        <v>c 2 deg (67%).c15d</v>
      </c>
      <c r="I35" t="str">
        <f t="shared" si="3"/>
        <v>c 2 deg (67%)</v>
      </c>
      <c r="J35" t="str">
        <f t="shared" si="4"/>
        <v>c15d</v>
      </c>
      <c r="O35">
        <v>30</v>
      </c>
      <c r="P35" t="s">
        <v>237</v>
      </c>
      <c r="Q35" t="s">
        <v>287</v>
      </c>
    </row>
    <row r="36" spans="2:17">
      <c r="B36" t="str">
        <f t="shared" si="0"/>
        <v>vs~0031</v>
      </c>
      <c r="C36" t="str">
        <f t="shared" si="5"/>
        <v>c 2 deg (67%).f1d</v>
      </c>
      <c r="H36" t="str">
        <f t="shared" si="2"/>
        <v>c 2 deg (67%).f1d</v>
      </c>
      <c r="I36" t="str">
        <f t="shared" si="3"/>
        <v>c 2 deg (67%)</v>
      </c>
      <c r="J36" t="str">
        <f t="shared" si="4"/>
        <v>f1d</v>
      </c>
      <c r="O36">
        <v>31</v>
      </c>
      <c r="P36" t="s">
        <v>263</v>
      </c>
      <c r="Q36" t="s">
        <v>287</v>
      </c>
    </row>
    <row r="37" spans="2:17">
      <c r="B37" t="str">
        <f t="shared" si="0"/>
        <v>vs~0032</v>
      </c>
      <c r="C37" t="str">
        <f t="shared" si="5"/>
        <v>c 2 deg (67%).jAnn</v>
      </c>
      <c r="H37" t="str">
        <f t="shared" si="2"/>
        <v>c 2 deg (67%).jAnn</v>
      </c>
      <c r="I37" t="str">
        <f t="shared" si="3"/>
        <v>c 2 deg (67%)</v>
      </c>
      <c r="J37" t="str">
        <f t="shared" si="4"/>
        <v>jAnn</v>
      </c>
      <c r="O37">
        <v>32</v>
      </c>
      <c r="P37" t="s">
        <v>238</v>
      </c>
      <c r="Q37" t="s">
        <v>287</v>
      </c>
    </row>
    <row r="38" spans="2:17">
      <c r="B38" t="str">
        <f t="shared" si="0"/>
        <v>vs~0033</v>
      </c>
      <c r="C38" t="str">
        <f t="shared" si="5"/>
        <v>c 2 deg (67%).iTS12</v>
      </c>
      <c r="H38" t="str">
        <f t="shared" si="2"/>
        <v>c 2 deg (67%).iTS12</v>
      </c>
      <c r="I38" t="str">
        <f t="shared" si="3"/>
        <v>c 2 deg (67%)</v>
      </c>
      <c r="J38" t="str">
        <f t="shared" si="4"/>
        <v>iTS12</v>
      </c>
      <c r="O38">
        <v>33</v>
      </c>
      <c r="P38" t="s">
        <v>239</v>
      </c>
      <c r="Q38" t="s">
        <v>287</v>
      </c>
    </row>
    <row r="39" spans="2:17">
      <c r="B39" t="str">
        <f t="shared" si="0"/>
        <v>vs~0034</v>
      </c>
      <c r="C39" t="str">
        <f t="shared" si="5"/>
        <v>b 2 deg (50%).e3d</v>
      </c>
      <c r="H39" t="str">
        <f t="shared" si="2"/>
        <v>b 2 deg (50%).e3d</v>
      </c>
      <c r="I39" t="str">
        <f t="shared" si="3"/>
        <v>b 2 deg (50%)</v>
      </c>
      <c r="J39" t="str">
        <f t="shared" si="4"/>
        <v>e3d</v>
      </c>
      <c r="O39">
        <v>34</v>
      </c>
      <c r="P39" t="s">
        <v>230</v>
      </c>
      <c r="Q39" t="s">
        <v>288</v>
      </c>
    </row>
    <row r="40" spans="2:17">
      <c r="B40" t="str">
        <f t="shared" si="0"/>
        <v>vs~0035</v>
      </c>
      <c r="C40" t="str">
        <f t="shared" si="5"/>
        <v>b 2 deg (50%).d9d</v>
      </c>
      <c r="H40" t="str">
        <f t="shared" si="2"/>
        <v>b 2 deg (50%).d9d</v>
      </c>
      <c r="I40" t="str">
        <f t="shared" si="3"/>
        <v>b 2 deg (50%)</v>
      </c>
      <c r="J40" t="str">
        <f t="shared" si="4"/>
        <v>d9d</v>
      </c>
      <c r="O40">
        <v>35</v>
      </c>
      <c r="P40" t="s">
        <v>231</v>
      </c>
      <c r="Q40" t="s">
        <v>288</v>
      </c>
    </row>
    <row r="41" spans="2:17">
      <c r="B41" t="str">
        <f t="shared" si="0"/>
        <v>vs~0036</v>
      </c>
      <c r="C41" t="str">
        <f t="shared" ref="C41:C55" si="6">H41</f>
        <v>b 2 deg (50%).b2w</v>
      </c>
      <c r="H41" t="str">
        <f t="shared" si="2"/>
        <v>b 2 deg (50%).b2w</v>
      </c>
      <c r="I41" t="str">
        <f t="shared" si="3"/>
        <v>b 2 deg (50%)</v>
      </c>
      <c r="J41" t="str">
        <f t="shared" si="4"/>
        <v>b2w</v>
      </c>
      <c r="O41">
        <v>36</v>
      </c>
      <c r="P41" t="s">
        <v>232</v>
      </c>
      <c r="Q41" t="s">
        <v>288</v>
      </c>
    </row>
    <row r="42" spans="2:17">
      <c r="B42" t="str">
        <f t="shared" si="0"/>
        <v>vs~0037</v>
      </c>
      <c r="C42" t="str">
        <f t="shared" si="6"/>
        <v>b 2 deg (50%).a2w2d</v>
      </c>
      <c r="H42" t="str">
        <f t="shared" si="2"/>
        <v>b 2 deg (50%).a2w2d</v>
      </c>
      <c r="I42" t="str">
        <f t="shared" si="3"/>
        <v>b 2 deg (50%)</v>
      </c>
      <c r="J42" t="str">
        <f t="shared" si="4"/>
        <v>a2w2d</v>
      </c>
      <c r="O42">
        <v>37</v>
      </c>
      <c r="P42" t="s">
        <v>233</v>
      </c>
      <c r="Q42" t="s">
        <v>288</v>
      </c>
    </row>
    <row r="43" spans="2:17">
      <c r="B43" t="str">
        <f t="shared" si="0"/>
        <v>vs~0038</v>
      </c>
      <c r="C43" t="str">
        <f t="shared" si="6"/>
        <v>b 2 deg (50%).hTS12c</v>
      </c>
      <c r="H43" t="str">
        <f t="shared" si="2"/>
        <v>b 2 deg (50%).hTS12c</v>
      </c>
      <c r="I43" t="str">
        <f t="shared" si="3"/>
        <v>b 2 deg (50%)</v>
      </c>
      <c r="J43" t="str">
        <f t="shared" si="4"/>
        <v>hTS12c</v>
      </c>
      <c r="O43">
        <v>38</v>
      </c>
      <c r="P43" t="s">
        <v>234</v>
      </c>
      <c r="Q43" t="s">
        <v>288</v>
      </c>
    </row>
    <row r="44" spans="2:17">
      <c r="B44" t="str">
        <f t="shared" si="0"/>
        <v>vs~0039</v>
      </c>
      <c r="C44" t="str">
        <f t="shared" si="6"/>
        <v>b 2 deg (50%).gTS24c</v>
      </c>
      <c r="H44" t="str">
        <f t="shared" si="2"/>
        <v>b 2 deg (50%).gTS24c</v>
      </c>
      <c r="I44" t="str">
        <f t="shared" si="3"/>
        <v>b 2 deg (50%)</v>
      </c>
      <c r="J44" t="str">
        <f t="shared" si="4"/>
        <v>gTS24c</v>
      </c>
      <c r="O44">
        <v>39</v>
      </c>
      <c r="P44" t="s">
        <v>235</v>
      </c>
      <c r="Q44" t="s">
        <v>288</v>
      </c>
    </row>
    <row r="45" spans="2:17">
      <c r="B45" t="str">
        <f t="shared" si="0"/>
        <v>vs~0040</v>
      </c>
      <c r="C45" t="str">
        <f t="shared" si="6"/>
        <v>b 2 deg (50%).fTS48c</v>
      </c>
      <c r="H45" t="str">
        <f t="shared" si="2"/>
        <v>b 2 deg (50%).fTS48c</v>
      </c>
      <c r="I45" t="str">
        <f t="shared" si="3"/>
        <v>b 2 deg (50%)</v>
      </c>
      <c r="J45" t="str">
        <f t="shared" si="4"/>
        <v>fTS48c</v>
      </c>
      <c r="O45">
        <v>40</v>
      </c>
      <c r="P45" t="s">
        <v>236</v>
      </c>
      <c r="Q45" t="s">
        <v>288</v>
      </c>
    </row>
    <row r="46" spans="2:17">
      <c r="B46" t="str">
        <f t="shared" si="0"/>
        <v>vs~0041</v>
      </c>
      <c r="C46" t="str">
        <f t="shared" si="6"/>
        <v>b 2 deg (50%).c15d</v>
      </c>
      <c r="H46" t="str">
        <f t="shared" si="2"/>
        <v>b 2 deg (50%).c15d</v>
      </c>
      <c r="I46" t="str">
        <f t="shared" si="3"/>
        <v>b 2 deg (50%)</v>
      </c>
      <c r="J46" t="str">
        <f t="shared" si="4"/>
        <v>c15d</v>
      </c>
      <c r="O46">
        <v>41</v>
      </c>
      <c r="P46" t="s">
        <v>237</v>
      </c>
      <c r="Q46" t="s">
        <v>288</v>
      </c>
    </row>
    <row r="47" spans="2:17">
      <c r="B47" t="str">
        <f t="shared" si="0"/>
        <v>vs~0042</v>
      </c>
      <c r="C47" t="str">
        <f t="shared" si="6"/>
        <v>b 2 deg (50%).f1d</v>
      </c>
      <c r="H47" t="str">
        <f t="shared" si="2"/>
        <v>b 2 deg (50%).f1d</v>
      </c>
      <c r="I47" t="str">
        <f t="shared" si="3"/>
        <v>b 2 deg (50%)</v>
      </c>
      <c r="J47" t="str">
        <f t="shared" si="4"/>
        <v>f1d</v>
      </c>
      <c r="O47">
        <v>42</v>
      </c>
      <c r="P47" t="s">
        <v>263</v>
      </c>
      <c r="Q47" t="s">
        <v>288</v>
      </c>
    </row>
    <row r="48" spans="2:17">
      <c r="B48" t="str">
        <f t="shared" si="0"/>
        <v>vs~0043</v>
      </c>
      <c r="C48" t="str">
        <f t="shared" si="6"/>
        <v>b 2 deg (50%).jAnn</v>
      </c>
      <c r="H48" t="str">
        <f t="shared" si="2"/>
        <v>b 2 deg (50%).jAnn</v>
      </c>
      <c r="I48" t="str">
        <f t="shared" si="3"/>
        <v>b 2 deg (50%)</v>
      </c>
      <c r="J48" t="str">
        <f t="shared" si="4"/>
        <v>jAnn</v>
      </c>
      <c r="O48">
        <v>43</v>
      </c>
      <c r="P48" t="s">
        <v>238</v>
      </c>
      <c r="Q48" t="s">
        <v>288</v>
      </c>
    </row>
    <row r="49" spans="2:17">
      <c r="B49" t="str">
        <f t="shared" si="0"/>
        <v>vs~0044</v>
      </c>
      <c r="C49" t="str">
        <f t="shared" si="6"/>
        <v>b 2 deg (50%).iTS12</v>
      </c>
      <c r="H49" t="str">
        <f t="shared" si="2"/>
        <v>b 2 deg (50%).iTS12</v>
      </c>
      <c r="I49" t="str">
        <f t="shared" si="3"/>
        <v>b 2 deg (50%)</v>
      </c>
      <c r="J49" t="str">
        <f t="shared" si="4"/>
        <v>iTS12</v>
      </c>
      <c r="O49">
        <v>44</v>
      </c>
      <c r="P49" t="s">
        <v>239</v>
      </c>
      <c r="Q49" t="s">
        <v>288</v>
      </c>
    </row>
    <row r="50" spans="2:17">
      <c r="B50" t="str">
        <f t="shared" si="0"/>
        <v>vs~0045</v>
      </c>
      <c r="C50" t="str">
        <f t="shared" si="6"/>
        <v>a 3 deg.e3d</v>
      </c>
      <c r="H50" t="str">
        <f t="shared" si="2"/>
        <v>a 3 deg.e3d</v>
      </c>
      <c r="I50" t="str">
        <f t="shared" si="3"/>
        <v>a 3 deg</v>
      </c>
      <c r="J50" t="str">
        <f t="shared" si="4"/>
        <v>e3d</v>
      </c>
      <c r="O50">
        <v>45</v>
      </c>
      <c r="P50" t="s">
        <v>230</v>
      </c>
      <c r="Q50" t="s">
        <v>289</v>
      </c>
    </row>
    <row r="51" spans="2:17">
      <c r="B51" t="str">
        <f t="shared" si="0"/>
        <v>vs~0046</v>
      </c>
      <c r="C51" t="str">
        <f t="shared" si="6"/>
        <v>a 3 deg.d9d</v>
      </c>
      <c r="H51" t="str">
        <f t="shared" si="2"/>
        <v>a 3 deg.d9d</v>
      </c>
      <c r="I51" t="str">
        <f t="shared" si="3"/>
        <v>a 3 deg</v>
      </c>
      <c r="J51" t="str">
        <f t="shared" si="4"/>
        <v>d9d</v>
      </c>
      <c r="O51">
        <v>46</v>
      </c>
      <c r="P51" t="s">
        <v>231</v>
      </c>
      <c r="Q51" t="s">
        <v>289</v>
      </c>
    </row>
    <row r="52" spans="2:17">
      <c r="B52" t="str">
        <f t="shared" si="0"/>
        <v>vs~0047</v>
      </c>
      <c r="C52" t="str">
        <f t="shared" si="6"/>
        <v>a 3 deg.b2w</v>
      </c>
      <c r="H52" t="str">
        <f t="shared" si="2"/>
        <v>a 3 deg.b2w</v>
      </c>
      <c r="I52" t="str">
        <f t="shared" si="3"/>
        <v>a 3 deg</v>
      </c>
      <c r="J52" t="str">
        <f t="shared" si="4"/>
        <v>b2w</v>
      </c>
      <c r="O52">
        <v>47</v>
      </c>
      <c r="P52" t="s">
        <v>232</v>
      </c>
      <c r="Q52" t="s">
        <v>289</v>
      </c>
    </row>
    <row r="53" spans="2:17">
      <c r="B53" t="str">
        <f t="shared" si="0"/>
        <v>vs~0048</v>
      </c>
      <c r="C53" t="str">
        <f t="shared" si="6"/>
        <v>a 3 deg.a2w2d</v>
      </c>
      <c r="H53" t="str">
        <f t="shared" si="2"/>
        <v>a 3 deg.a2w2d</v>
      </c>
      <c r="I53" t="str">
        <f t="shared" si="3"/>
        <v>a 3 deg</v>
      </c>
      <c r="J53" t="str">
        <f t="shared" si="4"/>
        <v>a2w2d</v>
      </c>
      <c r="O53">
        <v>48</v>
      </c>
      <c r="P53" t="s">
        <v>233</v>
      </c>
      <c r="Q53" t="s">
        <v>289</v>
      </c>
    </row>
    <row r="54" spans="2:17">
      <c r="B54" t="str">
        <f t="shared" si="0"/>
        <v>vs~0049</v>
      </c>
      <c r="C54" t="str">
        <f t="shared" si="6"/>
        <v>a 3 deg.hTS12c</v>
      </c>
      <c r="H54" t="str">
        <f t="shared" si="2"/>
        <v>a 3 deg.hTS12c</v>
      </c>
      <c r="I54" t="str">
        <f t="shared" si="3"/>
        <v>a 3 deg</v>
      </c>
      <c r="J54" t="str">
        <f t="shared" si="4"/>
        <v>hTS12c</v>
      </c>
      <c r="O54">
        <v>49</v>
      </c>
      <c r="P54" t="s">
        <v>234</v>
      </c>
      <c r="Q54" t="s">
        <v>289</v>
      </c>
    </row>
    <row r="55" spans="2:17">
      <c r="B55" t="str">
        <f t="shared" si="0"/>
        <v>vs~0050</v>
      </c>
      <c r="C55" t="str">
        <f t="shared" si="6"/>
        <v>a 3 deg.gTS24c</v>
      </c>
      <c r="H55" t="str">
        <f t="shared" si="2"/>
        <v>a 3 deg.gTS24c</v>
      </c>
      <c r="I55" t="str">
        <f t="shared" si="3"/>
        <v>a 3 deg</v>
      </c>
      <c r="J55" t="str">
        <f t="shared" si="4"/>
        <v>gTS24c</v>
      </c>
      <c r="O55">
        <v>50</v>
      </c>
      <c r="P55" t="s">
        <v>235</v>
      </c>
      <c r="Q55" t="s">
        <v>289</v>
      </c>
    </row>
    <row r="56" spans="2:17">
      <c r="B56" t="str">
        <f t="shared" si="0"/>
        <v>vs~0051</v>
      </c>
      <c r="C56" t="str">
        <f t="shared" ref="C56:C60" si="7">H56</f>
        <v>a 3 deg.fTS48c</v>
      </c>
      <c r="H56" t="str">
        <f t="shared" ref="H56:H60" si="8">_xlfn.TEXTJOIN(".",TRUE,I56:J56)</f>
        <v>a 3 deg.fTS48c</v>
      </c>
      <c r="I56" t="str">
        <f t="shared" si="3"/>
        <v>a 3 deg</v>
      </c>
      <c r="J56" t="str">
        <f t="shared" si="4"/>
        <v>fTS48c</v>
      </c>
      <c r="O56">
        <v>51</v>
      </c>
      <c r="P56" t="s">
        <v>236</v>
      </c>
      <c r="Q56" t="s">
        <v>289</v>
      </c>
    </row>
    <row r="57" spans="2:17">
      <c r="B57" t="str">
        <f t="shared" si="0"/>
        <v>vs~0052</v>
      </c>
      <c r="C57" t="str">
        <f t="shared" si="7"/>
        <v>a 3 deg.c15d</v>
      </c>
      <c r="H57" t="str">
        <f t="shared" si="8"/>
        <v>a 3 deg.c15d</v>
      </c>
      <c r="I57" t="str">
        <f t="shared" si="3"/>
        <v>a 3 deg</v>
      </c>
      <c r="J57" t="str">
        <f t="shared" si="4"/>
        <v>c15d</v>
      </c>
      <c r="O57">
        <v>52</v>
      </c>
      <c r="P57" t="s">
        <v>237</v>
      </c>
      <c r="Q57" t="s">
        <v>289</v>
      </c>
    </row>
    <row r="58" spans="2:17">
      <c r="B58" t="str">
        <f t="shared" si="0"/>
        <v>vs~0053</v>
      </c>
      <c r="C58" t="str">
        <f t="shared" si="7"/>
        <v>a 3 deg.f1d</v>
      </c>
      <c r="H58" t="str">
        <f t="shared" si="8"/>
        <v>a 3 deg.f1d</v>
      </c>
      <c r="I58" t="str">
        <f t="shared" si="3"/>
        <v>a 3 deg</v>
      </c>
      <c r="J58" t="str">
        <f t="shared" si="4"/>
        <v>f1d</v>
      </c>
      <c r="O58">
        <v>53</v>
      </c>
      <c r="P58" t="s">
        <v>263</v>
      </c>
      <c r="Q58" t="s">
        <v>289</v>
      </c>
    </row>
    <row r="59" spans="2:17">
      <c r="B59" t="str">
        <f t="shared" si="0"/>
        <v>vs~0054</v>
      </c>
      <c r="C59" t="str">
        <f t="shared" si="7"/>
        <v>a 3 deg.jAnn</v>
      </c>
      <c r="H59" t="str">
        <f t="shared" si="8"/>
        <v>a 3 deg.jAnn</v>
      </c>
      <c r="I59" t="str">
        <f t="shared" si="3"/>
        <v>a 3 deg</v>
      </c>
      <c r="J59" t="str">
        <f t="shared" si="4"/>
        <v>jAnn</v>
      </c>
      <c r="O59">
        <v>54</v>
      </c>
      <c r="P59" t="s">
        <v>238</v>
      </c>
      <c r="Q59" t="s">
        <v>289</v>
      </c>
    </row>
    <row r="60" spans="2:17">
      <c r="B60" t="str">
        <f t="shared" si="0"/>
        <v>vs~0055</v>
      </c>
      <c r="C60" t="str">
        <f t="shared" si="7"/>
        <v>a 3 deg.iTS12</v>
      </c>
      <c r="H60" t="str">
        <f t="shared" si="8"/>
        <v>a 3 deg.iTS12</v>
      </c>
      <c r="I60" t="str">
        <f t="shared" si="3"/>
        <v>a 3 deg</v>
      </c>
      <c r="J60" t="str">
        <f t="shared" si="4"/>
        <v>iTS12</v>
      </c>
      <c r="O60">
        <v>55</v>
      </c>
      <c r="P60" t="s">
        <v>239</v>
      </c>
      <c r="Q60" t="s">
        <v>289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5"/>
  <sheetViews>
    <sheetView zoomScaleNormal="100" workbookViewId="0">
      <pane ySplit="2" topLeftCell="A3" activePane="bottomLeft" state="frozen"/>
      <selection pane="bottomLeft" activeCell="N16" sqref="N16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261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292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290</v>
      </c>
      <c r="K14" t="s">
        <v>292</v>
      </c>
      <c r="N14" t="s">
        <v>293</v>
      </c>
      <c r="Q14" t="s">
        <v>50</v>
      </c>
    </row>
    <row r="15" spans="1:21">
      <c r="A15" s="4" t="s">
        <v>291</v>
      </c>
      <c r="K15" t="s">
        <v>292</v>
      </c>
      <c r="N15" t="s">
        <v>294</v>
      </c>
      <c r="Q15" t="s">
        <v>50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C458-788B-413F-BC1B-A343B65292BD}">
  <dimension ref="B9:D191"/>
  <sheetViews>
    <sheetView tabSelected="1" workbookViewId="0"/>
  </sheetViews>
  <sheetFormatPr defaultRowHeight="14.25"/>
  <sheetData>
    <row r="9" spans="2:4">
      <c r="B9" t="s">
        <v>479</v>
      </c>
    </row>
    <row r="10" spans="2:4">
      <c r="B10" t="s">
        <v>480</v>
      </c>
      <c r="C10" t="s">
        <v>481</v>
      </c>
      <c r="D10" t="s">
        <v>482</v>
      </c>
    </row>
    <row r="11" spans="2:4">
      <c r="B11" t="s">
        <v>298</v>
      </c>
      <c r="C11">
        <v>47.544890908098111</v>
      </c>
      <c r="D11">
        <v>7.9712762161849238</v>
      </c>
    </row>
    <row r="12" spans="2:4">
      <c r="B12" t="s">
        <v>299</v>
      </c>
      <c r="C12">
        <v>47.304724827935445</v>
      </c>
      <c r="D12">
        <v>7.7779031530618461</v>
      </c>
    </row>
    <row r="13" spans="2:4">
      <c r="B13" t="s">
        <v>300</v>
      </c>
      <c r="C13">
        <v>47.190849773284448</v>
      </c>
      <c r="D13">
        <v>8.98591839231268</v>
      </c>
    </row>
    <row r="14" spans="2:4">
      <c r="B14" t="s">
        <v>301</v>
      </c>
      <c r="C14">
        <v>47.178826311182746</v>
      </c>
      <c r="D14">
        <v>8.9144143549561985</v>
      </c>
    </row>
    <row r="15" spans="2:4">
      <c r="B15" t="s">
        <v>302</v>
      </c>
      <c r="C15">
        <v>47.092480331016233</v>
      </c>
      <c r="D15">
        <v>7.6486786287370201</v>
      </c>
    </row>
    <row r="16" spans="2:4">
      <c r="B16" t="s">
        <v>303</v>
      </c>
      <c r="C16">
        <v>47.075251392097968</v>
      </c>
      <c r="D16">
        <v>8.2262357999999978</v>
      </c>
    </row>
    <row r="17" spans="2:4">
      <c r="B17" t="s">
        <v>304</v>
      </c>
      <c r="C17">
        <v>46.998666392047838</v>
      </c>
      <c r="D17">
        <v>9.1028854000000017</v>
      </c>
    </row>
    <row r="18" spans="2:4">
      <c r="B18" t="s">
        <v>305</v>
      </c>
      <c r="C18">
        <v>46.948264900775179</v>
      </c>
      <c r="D18">
        <v>9.4806532222174642</v>
      </c>
    </row>
    <row r="19" spans="2:4">
      <c r="B19" t="s">
        <v>306</v>
      </c>
      <c r="C19">
        <v>46.881453574552602</v>
      </c>
      <c r="D19">
        <v>8.9862021733683619</v>
      </c>
    </row>
    <row r="20" spans="2:4">
      <c r="B20" t="s">
        <v>307</v>
      </c>
      <c r="C20">
        <v>46.810115191923131</v>
      </c>
      <c r="D20">
        <v>8.0932617000000064</v>
      </c>
    </row>
    <row r="21" spans="2:4">
      <c r="B21" t="s">
        <v>308</v>
      </c>
      <c r="C21">
        <v>47.539986892396122</v>
      </c>
      <c r="D21">
        <v>7.9955895999999997</v>
      </c>
    </row>
    <row r="22" spans="2:4">
      <c r="B22" t="s">
        <v>309</v>
      </c>
      <c r="C22">
        <v>46.788975991909084</v>
      </c>
      <c r="D22">
        <v>8.1290422999999965</v>
      </c>
    </row>
    <row r="23" spans="2:4">
      <c r="B23" t="s">
        <v>310</v>
      </c>
      <c r="C23">
        <v>46.786285291907262</v>
      </c>
      <c r="D23">
        <v>9.4018789000000034</v>
      </c>
    </row>
    <row r="24" spans="2:4">
      <c r="B24" t="s">
        <v>311</v>
      </c>
      <c r="C24">
        <v>46.664480125407628</v>
      </c>
      <c r="D24">
        <v>9.5632429943814046</v>
      </c>
    </row>
    <row r="25" spans="2:4">
      <c r="B25" t="s">
        <v>312</v>
      </c>
      <c r="C25">
        <v>46.655434346966651</v>
      </c>
      <c r="D25">
        <v>8.5931628753479483</v>
      </c>
    </row>
    <row r="26" spans="2:4">
      <c r="B26" t="s">
        <v>313</v>
      </c>
      <c r="C26">
        <v>46.649952591815854</v>
      </c>
      <c r="D26">
        <v>8.5784506999999994</v>
      </c>
    </row>
    <row r="27" spans="2:4">
      <c r="B27" t="s">
        <v>314</v>
      </c>
      <c r="C27">
        <v>46.644906911551253</v>
      </c>
      <c r="D27">
        <v>8.3005733260132732</v>
      </c>
    </row>
    <row r="28" spans="2:4">
      <c r="B28" t="s">
        <v>315</v>
      </c>
      <c r="C28">
        <v>46.623454943499027</v>
      </c>
      <c r="D28">
        <v>8.5532759599539414</v>
      </c>
    </row>
    <row r="29" spans="2:4">
      <c r="B29" t="s">
        <v>316</v>
      </c>
      <c r="C29">
        <v>46.618279365377013</v>
      </c>
      <c r="D29">
        <v>8.3074651919389026</v>
      </c>
    </row>
    <row r="30" spans="2:4">
      <c r="B30" t="s">
        <v>317</v>
      </c>
      <c r="C30">
        <v>46.612461191790615</v>
      </c>
      <c r="D30">
        <v>8.5613045000000074</v>
      </c>
    </row>
    <row r="31" spans="2:4">
      <c r="B31" t="s">
        <v>318</v>
      </c>
      <c r="C31">
        <v>46.581937628506168</v>
      </c>
      <c r="D31">
        <v>9.6114226583534901</v>
      </c>
    </row>
    <row r="32" spans="2:4">
      <c r="B32" t="s">
        <v>319</v>
      </c>
      <c r="C32">
        <v>47.446856248318333</v>
      </c>
      <c r="D32">
        <v>8.7203907336648729</v>
      </c>
    </row>
    <row r="33" spans="2:4">
      <c r="B33" t="s">
        <v>320</v>
      </c>
      <c r="C33">
        <v>46.568629391760908</v>
      </c>
      <c r="D33">
        <v>9.9176659999999917</v>
      </c>
    </row>
    <row r="34" spans="2:4">
      <c r="B34" t="s">
        <v>321</v>
      </c>
      <c r="C34">
        <v>46.56229679175663</v>
      </c>
      <c r="D34">
        <v>6.5602429000000066</v>
      </c>
    </row>
    <row r="35" spans="2:4">
      <c r="B35" t="s">
        <v>322</v>
      </c>
      <c r="C35">
        <v>46.534677991737887</v>
      </c>
      <c r="D35">
        <v>8.9442773999999901</v>
      </c>
    </row>
    <row r="36" spans="2:4">
      <c r="B36" t="s">
        <v>323</v>
      </c>
      <c r="C36">
        <v>46.526125791732063</v>
      </c>
      <c r="D36">
        <v>9.8856431000000047</v>
      </c>
    </row>
    <row r="37" spans="2:4">
      <c r="B37" t="s">
        <v>324</v>
      </c>
      <c r="C37">
        <v>46.497898379860622</v>
      </c>
      <c r="D37">
        <v>8.3151001429309765</v>
      </c>
    </row>
    <row r="38" spans="2:4">
      <c r="B38" t="s">
        <v>325</v>
      </c>
      <c r="C38">
        <v>46.488751691706611</v>
      </c>
      <c r="D38">
        <v>8.4733173999999973</v>
      </c>
    </row>
    <row r="39" spans="2:4">
      <c r="B39" t="s">
        <v>326</v>
      </c>
      <c r="C39">
        <v>46.484022953389079</v>
      </c>
      <c r="D39">
        <v>8.345911817931027</v>
      </c>
    </row>
    <row r="40" spans="2:4">
      <c r="B40" t="s">
        <v>327</v>
      </c>
      <c r="C40">
        <v>46.48232639170228</v>
      </c>
      <c r="D40">
        <v>9.9156705000000098</v>
      </c>
    </row>
    <row r="41" spans="2:4">
      <c r="B41" t="s">
        <v>328</v>
      </c>
      <c r="C41">
        <v>46.477333091698902</v>
      </c>
      <c r="D41">
        <v>8.4126624000000021</v>
      </c>
    </row>
    <row r="42" spans="2:4">
      <c r="B42" t="s">
        <v>329</v>
      </c>
      <c r="C42">
        <v>46.473546691696313</v>
      </c>
      <c r="D42">
        <v>8.3779117000000021</v>
      </c>
    </row>
    <row r="43" spans="2:4">
      <c r="B43" t="s">
        <v>330</v>
      </c>
      <c r="C43">
        <v>47.434850092329576</v>
      </c>
      <c r="D43">
        <v>9.4308717000000009</v>
      </c>
    </row>
    <row r="44" spans="2:4">
      <c r="B44" t="s">
        <v>331</v>
      </c>
      <c r="C44">
        <v>46.461142191687813</v>
      </c>
      <c r="D44">
        <v>8.4521007999999931</v>
      </c>
    </row>
    <row r="45" spans="2:4">
      <c r="B45" t="s">
        <v>332</v>
      </c>
      <c r="C45">
        <v>46.42086779166025</v>
      </c>
      <c r="D45">
        <v>9.2172236999999928</v>
      </c>
    </row>
    <row r="46" spans="2:4">
      <c r="B46" t="s">
        <v>333</v>
      </c>
      <c r="C46">
        <v>46.410782691653388</v>
      </c>
      <c r="D46">
        <v>8.6464327000000054</v>
      </c>
    </row>
    <row r="47" spans="2:4">
      <c r="B47" t="s">
        <v>334</v>
      </c>
      <c r="C47">
        <v>46.379313191631766</v>
      </c>
      <c r="D47">
        <v>7.2856905999999926</v>
      </c>
    </row>
    <row r="48" spans="2:4">
      <c r="B48" t="s">
        <v>335</v>
      </c>
      <c r="C48">
        <v>46.352076391613046</v>
      </c>
      <c r="D48">
        <v>7.2952704999999991</v>
      </c>
    </row>
    <row r="49" spans="2:4">
      <c r="B49" t="s">
        <v>336</v>
      </c>
      <c r="C49">
        <v>46.335742191601824</v>
      </c>
      <c r="D49">
        <v>9.515274700000008</v>
      </c>
    </row>
    <row r="50" spans="2:4">
      <c r="B50" t="s">
        <v>337</v>
      </c>
      <c r="C50">
        <v>46.332593945141092</v>
      </c>
      <c r="D50">
        <v>8.0099601184858678</v>
      </c>
    </row>
    <row r="51" spans="2:4">
      <c r="B51" t="s">
        <v>338</v>
      </c>
      <c r="C51">
        <v>46.300225691577296</v>
      </c>
      <c r="D51">
        <v>7.9090832000000049</v>
      </c>
    </row>
    <row r="52" spans="2:4">
      <c r="B52" t="s">
        <v>339</v>
      </c>
      <c r="C52">
        <v>46.265255891553082</v>
      </c>
      <c r="D52">
        <v>6.8250681999999925</v>
      </c>
    </row>
    <row r="53" spans="2:4">
      <c r="B53" t="s">
        <v>340</v>
      </c>
      <c r="C53">
        <v>46.258617991548483</v>
      </c>
      <c r="D53">
        <v>6.8503240000000041</v>
      </c>
    </row>
    <row r="54" spans="2:4">
      <c r="B54" t="s">
        <v>341</v>
      </c>
      <c r="C54">
        <v>47.417551492318573</v>
      </c>
      <c r="D54">
        <v>8.3560802000000063</v>
      </c>
    </row>
    <row r="55" spans="2:4">
      <c r="B55" t="s">
        <v>342</v>
      </c>
      <c r="C55">
        <v>46.242902191537631</v>
      </c>
      <c r="D55">
        <v>9.0158809000000044</v>
      </c>
    </row>
    <row r="56" spans="2:4">
      <c r="B56" t="s">
        <v>343</v>
      </c>
      <c r="C56">
        <v>46.238390468466378</v>
      </c>
      <c r="D56">
        <v>6.0514922014978874</v>
      </c>
    </row>
    <row r="57" spans="2:4">
      <c r="B57" t="s">
        <v>344</v>
      </c>
      <c r="C57">
        <v>46.235914155009169</v>
      </c>
      <c r="D57">
        <v>6.1174054082285867</v>
      </c>
    </row>
    <row r="58" spans="2:4">
      <c r="B58" t="s">
        <v>345</v>
      </c>
      <c r="C58">
        <v>46.224393391524778</v>
      </c>
      <c r="D58">
        <v>6.9826246999999961</v>
      </c>
    </row>
    <row r="59" spans="2:4">
      <c r="B59" t="s">
        <v>346</v>
      </c>
      <c r="C59">
        <v>46.194148141506382</v>
      </c>
      <c r="D59">
        <v>8.8493960000010343</v>
      </c>
    </row>
    <row r="60" spans="2:4">
      <c r="B60" t="s">
        <v>347</v>
      </c>
      <c r="C60">
        <v>46.186124268919009</v>
      </c>
      <c r="D60">
        <v>5.994340131372339</v>
      </c>
    </row>
    <row r="61" spans="2:4">
      <c r="B61" t="s">
        <v>348</v>
      </c>
      <c r="C61">
        <v>46.173823141643673</v>
      </c>
      <c r="D61">
        <v>8.8978103000914679</v>
      </c>
    </row>
    <row r="62" spans="2:4">
      <c r="B62" t="s">
        <v>349</v>
      </c>
      <c r="C62">
        <v>46.132986991479271</v>
      </c>
      <c r="D62">
        <v>8.718542699932085</v>
      </c>
    </row>
    <row r="63" spans="2:4">
      <c r="B63" t="s">
        <v>350</v>
      </c>
      <c r="C63">
        <v>47.388461918063442</v>
      </c>
      <c r="D63">
        <v>8.7320753615603035</v>
      </c>
    </row>
    <row r="64" spans="2:4">
      <c r="B64" t="s">
        <v>351</v>
      </c>
      <c r="C64">
        <v>46.119367580527111</v>
      </c>
      <c r="D64">
        <v>7.0694412517776462</v>
      </c>
    </row>
    <row r="65" spans="2:4">
      <c r="B65" t="s">
        <v>352</v>
      </c>
      <c r="C65">
        <v>47.346106146249483</v>
      </c>
      <c r="D65">
        <v>8.0436238635106729</v>
      </c>
    </row>
    <row r="66" spans="2:4">
      <c r="B66" t="s">
        <v>353</v>
      </c>
      <c r="C66">
        <v>47.328602392261772</v>
      </c>
      <c r="D66">
        <v>9.5426184000000038</v>
      </c>
    </row>
    <row r="67" spans="2:4">
      <c r="B67" t="s">
        <v>354</v>
      </c>
      <c r="C67">
        <v>46.974388444635309</v>
      </c>
      <c r="D67">
        <v>7.1904948515457114</v>
      </c>
    </row>
    <row r="68" spans="2:4">
      <c r="B68" t="s">
        <v>355</v>
      </c>
      <c r="C68">
        <v>46.804956344676071</v>
      </c>
      <c r="D68">
        <v>10.332156238823757</v>
      </c>
    </row>
    <row r="69" spans="2:4">
      <c r="B69" t="s">
        <v>356</v>
      </c>
      <c r="C69">
        <v>47.412318641275661</v>
      </c>
      <c r="D69">
        <v>8.5715564719984449</v>
      </c>
    </row>
    <row r="70" spans="2:4">
      <c r="B70" t="s">
        <v>357</v>
      </c>
      <c r="C70">
        <v>46.675294830039618</v>
      </c>
      <c r="D70">
        <v>8.7674518660095799</v>
      </c>
    </row>
    <row r="71" spans="2:4">
      <c r="B71" t="s">
        <v>358</v>
      </c>
      <c r="C71">
        <v>47.271158280917277</v>
      </c>
      <c r="D71">
        <v>8.4332838059847646</v>
      </c>
    </row>
    <row r="72" spans="2:4">
      <c r="B72" t="s">
        <v>359</v>
      </c>
      <c r="C72">
        <v>46.592025463687065</v>
      </c>
      <c r="D72">
        <v>8.3231337258397549</v>
      </c>
    </row>
    <row r="73" spans="2:4">
      <c r="B73" t="s">
        <v>360</v>
      </c>
      <c r="C73">
        <v>47.520027177779937</v>
      </c>
      <c r="D73">
        <v>7.6725301685729344</v>
      </c>
    </row>
    <row r="74" spans="2:4">
      <c r="B74" t="s">
        <v>361</v>
      </c>
      <c r="C74">
        <v>46.410514012428273</v>
      </c>
      <c r="D74">
        <v>8.5287472013709298</v>
      </c>
    </row>
    <row r="75" spans="2:4">
      <c r="B75" t="s">
        <v>362</v>
      </c>
      <c r="C75">
        <v>46.972086567773282</v>
      </c>
      <c r="D75">
        <v>7.282299486401616</v>
      </c>
    </row>
    <row r="76" spans="2:4">
      <c r="B76" t="s">
        <v>363</v>
      </c>
      <c r="C76">
        <v>46.557357312705733</v>
      </c>
      <c r="D76">
        <v>6.6139061630111931</v>
      </c>
    </row>
    <row r="77" spans="2:4">
      <c r="B77" t="s">
        <v>364</v>
      </c>
      <c r="C77">
        <v>47.378758073068163</v>
      </c>
      <c r="D77">
        <v>8.6247814788577859</v>
      </c>
    </row>
    <row r="78" spans="2:4">
      <c r="B78" t="s">
        <v>365</v>
      </c>
      <c r="C78">
        <v>46.590136747583571</v>
      </c>
      <c r="D78">
        <v>9.4208498140633523</v>
      </c>
    </row>
    <row r="79" spans="2:4">
      <c r="B79" t="s">
        <v>366</v>
      </c>
      <c r="C79">
        <v>46.766603972636261</v>
      </c>
      <c r="D79">
        <v>7.1256953875579114</v>
      </c>
    </row>
    <row r="80" spans="2:4">
      <c r="B80" t="s">
        <v>367</v>
      </c>
      <c r="C80">
        <v>47.337522798960869</v>
      </c>
      <c r="D80">
        <v>7.2588732640160751</v>
      </c>
    </row>
    <row r="81" spans="2:4">
      <c r="B81" t="s">
        <v>368</v>
      </c>
      <c r="C81">
        <v>47.436744661689957</v>
      </c>
      <c r="D81">
        <v>8.2162002170923429</v>
      </c>
    </row>
    <row r="82" spans="2:4">
      <c r="B82" t="s">
        <v>369</v>
      </c>
      <c r="C82">
        <v>46.667290772141591</v>
      </c>
      <c r="D82">
        <v>8.58387184139076</v>
      </c>
    </row>
    <row r="83" spans="2:4">
      <c r="B83" t="s">
        <v>370</v>
      </c>
      <c r="C83">
        <v>46.366800843099547</v>
      </c>
      <c r="D83">
        <v>6.1959931237841124</v>
      </c>
    </row>
    <row r="84" spans="2:4">
      <c r="B84" t="s">
        <v>371</v>
      </c>
      <c r="C84">
        <v>46.35035364659204</v>
      </c>
      <c r="D84">
        <v>8.5954343817427024</v>
      </c>
    </row>
    <row r="85" spans="2:4">
      <c r="B85" t="s">
        <v>372</v>
      </c>
      <c r="C85">
        <v>46.770135591197366</v>
      </c>
      <c r="D85">
        <v>8.6679070270868852</v>
      </c>
    </row>
    <row r="86" spans="2:4">
      <c r="B86" t="s">
        <v>373</v>
      </c>
      <c r="C86">
        <v>47.185453772379887</v>
      </c>
      <c r="D86">
        <v>8.1207667742378131</v>
      </c>
    </row>
    <row r="87" spans="2:4">
      <c r="B87" t="s">
        <v>374</v>
      </c>
      <c r="C87">
        <v>47.23246302223221</v>
      </c>
      <c r="D87">
        <v>7.6158921048685695</v>
      </c>
    </row>
    <row r="88" spans="2:4">
      <c r="B88" t="s">
        <v>375</v>
      </c>
      <c r="C88">
        <v>47.466610199741339</v>
      </c>
      <c r="D88">
        <v>8.6524389852250962</v>
      </c>
    </row>
    <row r="89" spans="2:4">
      <c r="B89" t="s">
        <v>376</v>
      </c>
      <c r="C89">
        <v>47.422793373651899</v>
      </c>
      <c r="D89">
        <v>8.5552286743996788</v>
      </c>
    </row>
    <row r="90" spans="2:4">
      <c r="B90" t="s">
        <v>377</v>
      </c>
      <c r="C90">
        <v>46.822356911553562</v>
      </c>
      <c r="D90">
        <v>8.1738143462569646</v>
      </c>
    </row>
    <row r="91" spans="2:4">
      <c r="B91" t="s">
        <v>378</v>
      </c>
      <c r="C91">
        <v>46.949503324895758</v>
      </c>
      <c r="D91">
        <v>7.1526297591744381</v>
      </c>
    </row>
    <row r="92" spans="2:4">
      <c r="B92" t="s">
        <v>379</v>
      </c>
      <c r="C92">
        <v>47.174970614196077</v>
      </c>
      <c r="D92">
        <v>7.5753719705379048</v>
      </c>
    </row>
    <row r="93" spans="2:4">
      <c r="B93" t="s">
        <v>380</v>
      </c>
      <c r="C93">
        <v>47.426405935677117</v>
      </c>
      <c r="D93">
        <v>8.2183855607953387</v>
      </c>
    </row>
    <row r="94" spans="2:4">
      <c r="B94" t="s">
        <v>381</v>
      </c>
      <c r="C94">
        <v>46.191060824589286</v>
      </c>
      <c r="D94">
        <v>6.0263528951053331</v>
      </c>
    </row>
    <row r="95" spans="2:4">
      <c r="B95" t="s">
        <v>382</v>
      </c>
      <c r="C95">
        <v>47.317528275969032</v>
      </c>
      <c r="D95">
        <v>7.9466109226610806</v>
      </c>
    </row>
    <row r="96" spans="2:4">
      <c r="B96" t="s">
        <v>383</v>
      </c>
      <c r="C96">
        <v>47.220028502558506</v>
      </c>
      <c r="D96">
        <v>8.9741608765490568</v>
      </c>
    </row>
    <row r="97" spans="2:4">
      <c r="B97" t="s">
        <v>384</v>
      </c>
      <c r="C97">
        <v>46.611103814178406</v>
      </c>
      <c r="D97">
        <v>7.1119095241485661</v>
      </c>
    </row>
    <row r="98" spans="2:4">
      <c r="B98" t="s">
        <v>385</v>
      </c>
      <c r="C98">
        <v>46.34885054673623</v>
      </c>
      <c r="D98">
        <v>10.062555293517526</v>
      </c>
    </row>
    <row r="99" spans="2:4">
      <c r="B99" t="s">
        <v>386</v>
      </c>
      <c r="C99">
        <v>46.704671298611736</v>
      </c>
      <c r="D99">
        <v>9.4671012537392354</v>
      </c>
    </row>
    <row r="100" spans="2:4">
      <c r="B100" t="s">
        <v>387</v>
      </c>
      <c r="C100">
        <v>46.669437648312751</v>
      </c>
      <c r="D100">
        <v>9.6896555979430463</v>
      </c>
    </row>
    <row r="101" spans="2:4">
      <c r="B101" t="s">
        <v>388</v>
      </c>
      <c r="C101">
        <v>46.670304209093366</v>
      </c>
      <c r="D101">
        <v>7.8586620471824489</v>
      </c>
    </row>
    <row r="102" spans="2:4">
      <c r="B102" t="s">
        <v>389</v>
      </c>
      <c r="C102">
        <v>46.751315983062611</v>
      </c>
      <c r="D102">
        <v>9.0427987835648143</v>
      </c>
    </row>
    <row r="103" spans="2:4">
      <c r="B103" t="s">
        <v>390</v>
      </c>
      <c r="C103">
        <v>46.977408013673561</v>
      </c>
      <c r="D103">
        <v>9.5391741699870458</v>
      </c>
    </row>
    <row r="104" spans="2:4">
      <c r="B104" t="s">
        <v>391</v>
      </c>
      <c r="C104">
        <v>46.530313679899571</v>
      </c>
      <c r="D104">
        <v>9.4339157546528778</v>
      </c>
    </row>
    <row r="105" spans="2:4">
      <c r="B105" t="s">
        <v>392</v>
      </c>
      <c r="C105">
        <v>46.287036690944227</v>
      </c>
      <c r="D105">
        <v>7.5577983541354428</v>
      </c>
    </row>
    <row r="106" spans="2:4">
      <c r="B106" t="s">
        <v>393</v>
      </c>
      <c r="C106">
        <v>46.083826692351948</v>
      </c>
      <c r="D106">
        <v>7.956552648739204</v>
      </c>
    </row>
    <row r="107" spans="2:4">
      <c r="B107" t="s">
        <v>394</v>
      </c>
      <c r="C107">
        <v>47.480988674223049</v>
      </c>
      <c r="D107">
        <v>8.705750623710184</v>
      </c>
    </row>
    <row r="108" spans="2:4">
      <c r="B108" t="s">
        <v>395</v>
      </c>
      <c r="C108">
        <v>46.756029375970002</v>
      </c>
      <c r="D108">
        <v>6.5540699286344619</v>
      </c>
    </row>
    <row r="109" spans="2:4">
      <c r="B109" t="s">
        <v>396</v>
      </c>
      <c r="C109">
        <v>46.185370247486951</v>
      </c>
      <c r="D109">
        <v>7.2493006931109596</v>
      </c>
    </row>
    <row r="110" spans="2:4">
      <c r="B110" t="s">
        <v>397</v>
      </c>
      <c r="C110">
        <v>46.23792888408876</v>
      </c>
      <c r="D110">
        <v>7.8746708803832934</v>
      </c>
    </row>
    <row r="111" spans="2:4">
      <c r="B111" t="s">
        <v>398</v>
      </c>
      <c r="C111">
        <v>46.066166211545358</v>
      </c>
      <c r="D111">
        <v>6.9015998074716354</v>
      </c>
    </row>
    <row r="112" spans="2:4">
      <c r="B112" t="s">
        <v>399</v>
      </c>
      <c r="C112">
        <v>46.249132718394094</v>
      </c>
      <c r="D112">
        <v>6.1334444282890637</v>
      </c>
    </row>
    <row r="113" spans="2:4">
      <c r="B113" t="s">
        <v>400</v>
      </c>
      <c r="C113">
        <v>47.330633116676246</v>
      </c>
      <c r="D113">
        <v>8.7565727921394849</v>
      </c>
    </row>
    <row r="114" spans="2:4">
      <c r="B114" t="s">
        <v>401</v>
      </c>
      <c r="C114">
        <v>46.702305741170029</v>
      </c>
      <c r="D114">
        <v>8.2346739749028277</v>
      </c>
    </row>
    <row r="115" spans="2:4">
      <c r="B115" t="s">
        <v>402</v>
      </c>
      <c r="C115">
        <v>47.111263596162431</v>
      </c>
      <c r="D115">
        <v>7.9702987999010633</v>
      </c>
    </row>
    <row r="116" spans="2:4">
      <c r="B116" t="s">
        <v>403</v>
      </c>
      <c r="C116">
        <v>46.050896100089638</v>
      </c>
      <c r="D116">
        <v>6.949838605733583</v>
      </c>
    </row>
    <row r="117" spans="2:4">
      <c r="B117" t="s">
        <v>404</v>
      </c>
      <c r="C117">
        <v>46.778607821978291</v>
      </c>
      <c r="D117">
        <v>7.5141567559463658</v>
      </c>
    </row>
    <row r="118" spans="2:4">
      <c r="B118" t="s">
        <v>405</v>
      </c>
      <c r="C118">
        <v>47.559810348453667</v>
      </c>
      <c r="D118">
        <v>9.0926775269382958</v>
      </c>
    </row>
    <row r="119" spans="2:4">
      <c r="B119" t="s">
        <v>406</v>
      </c>
      <c r="C119">
        <v>47.573740583075264</v>
      </c>
      <c r="D119">
        <v>8.4736401094130844</v>
      </c>
    </row>
    <row r="120" spans="2:4">
      <c r="B120" t="s">
        <v>407</v>
      </c>
      <c r="C120">
        <v>47.503332863504447</v>
      </c>
      <c r="D120">
        <v>7.5770135285257956</v>
      </c>
    </row>
    <row r="121" spans="2:4">
      <c r="B121" t="s">
        <v>408</v>
      </c>
      <c r="C121">
        <v>47.192525806627415</v>
      </c>
      <c r="D121">
        <v>8.5025953004376724</v>
      </c>
    </row>
    <row r="122" spans="2:4">
      <c r="B122" t="s">
        <v>409</v>
      </c>
      <c r="C122">
        <v>46.197778440184173</v>
      </c>
      <c r="D122">
        <v>8.7492453882474219</v>
      </c>
    </row>
    <row r="123" spans="2:4">
      <c r="B123" t="s">
        <v>410</v>
      </c>
      <c r="C123">
        <v>46.333583205772456</v>
      </c>
      <c r="D123">
        <v>8.9793979537338995</v>
      </c>
    </row>
    <row r="124" spans="2:4">
      <c r="B124" t="s">
        <v>411</v>
      </c>
      <c r="C124">
        <v>46.340257020596965</v>
      </c>
      <c r="D124">
        <v>9.2127758729274198</v>
      </c>
    </row>
    <row r="125" spans="2:4">
      <c r="B125" t="s">
        <v>412</v>
      </c>
      <c r="C125">
        <v>47.497542653552287</v>
      </c>
      <c r="D125">
        <v>8.9315918186612357</v>
      </c>
    </row>
    <row r="126" spans="2:4">
      <c r="B126" t="s">
        <v>413</v>
      </c>
      <c r="C126">
        <v>46.162021135169752</v>
      </c>
      <c r="D126">
        <v>8.9122525816708951</v>
      </c>
    </row>
    <row r="127" spans="2:4">
      <c r="B127" t="s">
        <v>414</v>
      </c>
      <c r="C127">
        <v>46.411435336637261</v>
      </c>
      <c r="D127">
        <v>8.6126265598333376</v>
      </c>
    </row>
    <row r="128" spans="2:4">
      <c r="B128" t="s">
        <v>415</v>
      </c>
      <c r="C128">
        <v>47.472181885969455</v>
      </c>
      <c r="D128">
        <v>7.862020493690677</v>
      </c>
    </row>
    <row r="129" spans="2:4">
      <c r="B129" t="s">
        <v>416</v>
      </c>
      <c r="C129">
        <v>47.452839734944206</v>
      </c>
      <c r="D129">
        <v>8.4518037652382549</v>
      </c>
    </row>
    <row r="130" spans="2:4">
      <c r="B130" t="s">
        <v>417</v>
      </c>
      <c r="C130">
        <v>47.378105927066514</v>
      </c>
      <c r="D130">
        <v>8.2848809002281207</v>
      </c>
    </row>
    <row r="131" spans="2:4">
      <c r="B131" t="s">
        <v>418</v>
      </c>
      <c r="C131">
        <v>47.115092797975542</v>
      </c>
      <c r="D131">
        <v>8.3367437842075223</v>
      </c>
    </row>
    <row r="132" spans="2:4">
      <c r="B132" t="s">
        <v>419</v>
      </c>
      <c r="C132">
        <v>46.028484492512405</v>
      </c>
      <c r="D132">
        <v>8.9205901102955742</v>
      </c>
    </row>
    <row r="133" spans="2:4">
      <c r="B133" t="s">
        <v>420</v>
      </c>
      <c r="C133">
        <v>47.365499855192191</v>
      </c>
      <c r="D133">
        <v>7.9731469676031752</v>
      </c>
    </row>
    <row r="134" spans="2:4">
      <c r="B134" t="s">
        <v>421</v>
      </c>
      <c r="C134">
        <v>47.598960217274261</v>
      </c>
      <c r="D134">
        <v>8.1833885380782423</v>
      </c>
    </row>
    <row r="135" spans="2:4">
      <c r="B135" t="s">
        <v>422</v>
      </c>
      <c r="C135">
        <v>46.765219065594323</v>
      </c>
      <c r="D135">
        <v>9.4186944777386383</v>
      </c>
    </row>
    <row r="136" spans="2:4">
      <c r="B136" t="s">
        <v>423</v>
      </c>
      <c r="C136">
        <v>46.395764934452949</v>
      </c>
      <c r="D136">
        <v>8.1308582732979851</v>
      </c>
    </row>
    <row r="137" spans="2:4">
      <c r="B137" t="s">
        <v>424</v>
      </c>
      <c r="C137">
        <v>46.774712160461192</v>
      </c>
      <c r="D137">
        <v>9.1952002264269037</v>
      </c>
    </row>
    <row r="138" spans="2:4">
      <c r="B138" t="s">
        <v>425</v>
      </c>
      <c r="C138">
        <v>46.167302808465202</v>
      </c>
      <c r="D138">
        <v>8.1183564066559004</v>
      </c>
    </row>
    <row r="139" spans="2:4">
      <c r="B139" t="s">
        <v>426</v>
      </c>
      <c r="C139">
        <v>46.188234494031683</v>
      </c>
      <c r="D139">
        <v>8.0701490996033112</v>
      </c>
    </row>
    <row r="140" spans="2:4">
      <c r="B140" t="s">
        <v>427</v>
      </c>
      <c r="C140">
        <v>47.539015634556947</v>
      </c>
      <c r="D140">
        <v>7.7524068439336924</v>
      </c>
    </row>
    <row r="141" spans="2:4">
      <c r="B141" t="s">
        <v>428</v>
      </c>
      <c r="C141">
        <v>47.154942264585237</v>
      </c>
      <c r="D141">
        <v>7.7918813512983336</v>
      </c>
    </row>
    <row r="142" spans="2:4">
      <c r="B142" t="s">
        <v>429</v>
      </c>
      <c r="C142">
        <v>46.491577066054226</v>
      </c>
      <c r="D142">
        <v>7.2732837108404942</v>
      </c>
    </row>
    <row r="143" spans="2:4">
      <c r="B143" t="s">
        <v>430</v>
      </c>
      <c r="C143">
        <v>46.526902581268999</v>
      </c>
      <c r="D143">
        <v>8.5970130861268519</v>
      </c>
    </row>
    <row r="144" spans="2:4">
      <c r="B144" t="s">
        <v>431</v>
      </c>
      <c r="C144">
        <v>46.546200095956507</v>
      </c>
      <c r="D144">
        <v>6.5707150506742265</v>
      </c>
    </row>
    <row r="145" spans="2:4">
      <c r="B145" t="s">
        <v>432</v>
      </c>
      <c r="C145">
        <v>47.302672807623779</v>
      </c>
      <c r="D145">
        <v>9.5558757704346071</v>
      </c>
    </row>
    <row r="146" spans="2:4">
      <c r="B146" t="s">
        <v>433</v>
      </c>
      <c r="C146">
        <v>47.549929778349131</v>
      </c>
      <c r="D146">
        <v>8.0505862642923702</v>
      </c>
    </row>
    <row r="147" spans="2:4">
      <c r="B147" t="s">
        <v>434</v>
      </c>
      <c r="C147">
        <v>47.534182026511104</v>
      </c>
      <c r="D147">
        <v>8.6975363672935035</v>
      </c>
    </row>
    <row r="148" spans="2:4">
      <c r="B148" t="s">
        <v>435</v>
      </c>
      <c r="C148">
        <v>47.186874616216762</v>
      </c>
      <c r="D148">
        <v>8.6845093233496922</v>
      </c>
    </row>
    <row r="149" spans="2:4">
      <c r="B149" t="s">
        <v>436</v>
      </c>
      <c r="C149">
        <v>46.541607589484336</v>
      </c>
      <c r="D149">
        <v>6.4691836479843738</v>
      </c>
    </row>
    <row r="150" spans="2:4">
      <c r="B150" t="s">
        <v>437</v>
      </c>
      <c r="C150">
        <v>46.266170983209811</v>
      </c>
      <c r="D150">
        <v>6.9744475162681168</v>
      </c>
    </row>
    <row r="151" spans="2:4">
      <c r="B151" t="s">
        <v>438</v>
      </c>
      <c r="C151">
        <v>46.811139511097466</v>
      </c>
      <c r="D151">
        <v>9.378873087203484</v>
      </c>
    </row>
    <row r="152" spans="2:4">
      <c r="B152" t="s">
        <v>439</v>
      </c>
      <c r="C152">
        <v>46.680751374315896</v>
      </c>
      <c r="D152">
        <v>7.6548635065014201</v>
      </c>
    </row>
    <row r="153" spans="2:4">
      <c r="B153" t="s">
        <v>440</v>
      </c>
      <c r="C153">
        <v>46.0317529216154</v>
      </c>
      <c r="D153">
        <v>7.3084509725129267</v>
      </c>
    </row>
    <row r="154" spans="2:4">
      <c r="B154" t="s">
        <v>441</v>
      </c>
      <c r="C154">
        <v>46.15852172448291</v>
      </c>
      <c r="D154">
        <v>7.2094009496203837</v>
      </c>
    </row>
    <row r="155" spans="2:4">
      <c r="B155" t="s">
        <v>442</v>
      </c>
      <c r="C155">
        <v>47.339117940297619</v>
      </c>
      <c r="D155">
        <v>9.5780970318362559</v>
      </c>
    </row>
    <row r="156" spans="2:4">
      <c r="B156" t="s">
        <v>443</v>
      </c>
      <c r="C156">
        <v>47.657573790258297</v>
      </c>
      <c r="D156">
        <v>8.7754632624143429</v>
      </c>
    </row>
    <row r="157" spans="2:4">
      <c r="B157" t="s">
        <v>444</v>
      </c>
      <c r="C157">
        <v>47.585912287118212</v>
      </c>
      <c r="D157">
        <v>7.8435782904311289</v>
      </c>
    </row>
    <row r="158" spans="2:4">
      <c r="B158" t="s">
        <v>445</v>
      </c>
      <c r="C158">
        <v>47.406318762945403</v>
      </c>
      <c r="D158">
        <v>8.105761472055045</v>
      </c>
    </row>
    <row r="159" spans="2:4">
      <c r="B159" t="s">
        <v>446</v>
      </c>
      <c r="C159">
        <v>47.427363293638969</v>
      </c>
      <c r="D159">
        <v>8.3803937353034943</v>
      </c>
    </row>
    <row r="160" spans="2:4">
      <c r="B160" t="s">
        <v>447</v>
      </c>
      <c r="C160">
        <v>47.397732455842615</v>
      </c>
      <c r="D160">
        <v>9.3025128506927892</v>
      </c>
    </row>
    <row r="161" spans="2:4">
      <c r="B161" t="s">
        <v>448</v>
      </c>
      <c r="C161">
        <v>47.481915935925542</v>
      </c>
      <c r="D161">
        <v>9.4326555268370722</v>
      </c>
    </row>
    <row r="162" spans="2:4">
      <c r="B162" t="s">
        <v>449</v>
      </c>
      <c r="C162">
        <v>46.110634293306326</v>
      </c>
      <c r="D162">
        <v>7.0612643589312309</v>
      </c>
    </row>
    <row r="163" spans="2:4">
      <c r="B163" t="s">
        <v>450</v>
      </c>
      <c r="C163">
        <v>46.44140479554256</v>
      </c>
      <c r="D163">
        <v>8.8374874894540767</v>
      </c>
    </row>
    <row r="164" spans="2:4">
      <c r="B164" t="s">
        <v>451</v>
      </c>
      <c r="C164">
        <v>46.350910363932599</v>
      </c>
      <c r="D164">
        <v>8.0409180183520075</v>
      </c>
    </row>
    <row r="165" spans="2:4">
      <c r="B165" t="s">
        <v>452</v>
      </c>
      <c r="C165">
        <v>47.058633982952401</v>
      </c>
      <c r="D165">
        <v>8.2563745533433206</v>
      </c>
    </row>
    <row r="166" spans="2:4">
      <c r="B166" t="s">
        <v>453</v>
      </c>
      <c r="C166">
        <v>47.555988773696292</v>
      </c>
      <c r="D166">
        <v>8.2320077689227631</v>
      </c>
    </row>
    <row r="167" spans="2:4">
      <c r="B167" t="s">
        <v>454</v>
      </c>
      <c r="C167">
        <v>46.138009727206594</v>
      </c>
      <c r="D167">
        <v>6.289697641356212</v>
      </c>
    </row>
    <row r="168" spans="2:4">
      <c r="B168" t="s">
        <v>455</v>
      </c>
      <c r="C168">
        <v>46.587669909068872</v>
      </c>
      <c r="D168">
        <v>6.289697641356212</v>
      </c>
    </row>
    <row r="169" spans="2:4">
      <c r="B169" t="s">
        <v>456</v>
      </c>
      <c r="C169">
        <v>47.037330090931135</v>
      </c>
      <c r="D169">
        <v>6.289697641356212</v>
      </c>
    </row>
    <row r="170" spans="2:4">
      <c r="B170" t="s">
        <v>457</v>
      </c>
      <c r="C170">
        <v>46.138009727206594</v>
      </c>
      <c r="D170">
        <v>6.9349650942374748</v>
      </c>
    </row>
    <row r="171" spans="2:4">
      <c r="B171" t="s">
        <v>458</v>
      </c>
      <c r="C171">
        <v>46.587669909068872</v>
      </c>
      <c r="D171">
        <v>6.9349650942374748</v>
      </c>
    </row>
    <row r="172" spans="2:4">
      <c r="B172" t="s">
        <v>459</v>
      </c>
      <c r="C172">
        <v>47.037330090931135</v>
      </c>
      <c r="D172">
        <v>6.9349650942374748</v>
      </c>
    </row>
    <row r="173" spans="2:4">
      <c r="B173" t="s">
        <v>460</v>
      </c>
      <c r="C173">
        <v>47.486990272793413</v>
      </c>
      <c r="D173">
        <v>6.9349650942374748</v>
      </c>
    </row>
    <row r="174" spans="2:4">
      <c r="B174" t="s">
        <v>461</v>
      </c>
      <c r="C174">
        <v>46.138009727206594</v>
      </c>
      <c r="D174">
        <v>7.5802325471187393</v>
      </c>
    </row>
    <row r="175" spans="2:4">
      <c r="B175" t="s">
        <v>462</v>
      </c>
      <c r="C175">
        <v>46.587669909068872</v>
      </c>
      <c r="D175">
        <v>7.5802325471187393</v>
      </c>
    </row>
    <row r="176" spans="2:4">
      <c r="B176" t="s">
        <v>463</v>
      </c>
      <c r="C176">
        <v>47.037330090931135</v>
      </c>
      <c r="D176">
        <v>7.5802325471187393</v>
      </c>
    </row>
    <row r="177" spans="2:4">
      <c r="B177" t="s">
        <v>464</v>
      </c>
      <c r="C177">
        <v>47.486990272793413</v>
      </c>
      <c r="D177">
        <v>7.5802325471187393</v>
      </c>
    </row>
    <row r="178" spans="2:4">
      <c r="B178" t="s">
        <v>465</v>
      </c>
      <c r="C178">
        <v>46.138009727206594</v>
      </c>
      <c r="D178">
        <v>8.225500000000002</v>
      </c>
    </row>
    <row r="179" spans="2:4">
      <c r="B179" t="s">
        <v>466</v>
      </c>
      <c r="C179">
        <v>46.587669909068872</v>
      </c>
      <c r="D179">
        <v>8.225500000000002</v>
      </c>
    </row>
    <row r="180" spans="2:4">
      <c r="B180" t="s">
        <v>467</v>
      </c>
      <c r="C180">
        <v>47.037330090931135</v>
      </c>
      <c r="D180">
        <v>8.225500000000002</v>
      </c>
    </row>
    <row r="181" spans="2:4">
      <c r="B181" t="s">
        <v>468</v>
      </c>
      <c r="C181">
        <v>47.486990272793413</v>
      </c>
      <c r="D181">
        <v>8.225500000000002</v>
      </c>
    </row>
    <row r="182" spans="2:4">
      <c r="B182" t="s">
        <v>469</v>
      </c>
      <c r="C182">
        <v>46.138009727206594</v>
      </c>
      <c r="D182">
        <v>8.8707674528812674</v>
      </c>
    </row>
    <row r="183" spans="2:4">
      <c r="B183" t="s">
        <v>470</v>
      </c>
      <c r="C183">
        <v>47.037330090931135</v>
      </c>
      <c r="D183">
        <v>8.8707674528812674</v>
      </c>
    </row>
    <row r="184" spans="2:4">
      <c r="B184" t="s">
        <v>471</v>
      </c>
      <c r="C184">
        <v>47.486990272793413</v>
      </c>
      <c r="D184">
        <v>8.8707674528812674</v>
      </c>
    </row>
    <row r="185" spans="2:4">
      <c r="B185" t="s">
        <v>472</v>
      </c>
      <c r="C185">
        <v>46.138009727206594</v>
      </c>
      <c r="D185">
        <v>9.5160349057625293</v>
      </c>
    </row>
    <row r="186" spans="2:4">
      <c r="B186" t="s">
        <v>473</v>
      </c>
      <c r="C186">
        <v>46.587669909068872</v>
      </c>
      <c r="D186">
        <v>9.5160349057625293</v>
      </c>
    </row>
    <row r="187" spans="2:4">
      <c r="B187" t="s">
        <v>474</v>
      </c>
      <c r="C187">
        <v>47.037330090931135</v>
      </c>
      <c r="D187">
        <v>9.5160349057625293</v>
      </c>
    </row>
    <row r="188" spans="2:4">
      <c r="B188" t="s">
        <v>475</v>
      </c>
      <c r="C188">
        <v>47.486990272793413</v>
      </c>
      <c r="D188">
        <v>9.5160349057625293</v>
      </c>
    </row>
    <row r="189" spans="2:4">
      <c r="B189" t="s">
        <v>476</v>
      </c>
      <c r="C189">
        <v>46.138009727206594</v>
      </c>
      <c r="D189">
        <v>10.161302358643791</v>
      </c>
    </row>
    <row r="190" spans="2:4">
      <c r="B190" t="s">
        <v>477</v>
      </c>
      <c r="C190">
        <v>46.587669909068872</v>
      </c>
      <c r="D190">
        <v>10.161302358643791</v>
      </c>
    </row>
    <row r="191" spans="2:4">
      <c r="B191" t="s">
        <v>478</v>
      </c>
      <c r="C191">
        <v>47.037330090931135</v>
      </c>
      <c r="D191">
        <v>10.161302358643791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CEA5-F12D-4C98-88D1-876BAA6D0A49}">
  <dimension ref="B2:D184"/>
  <sheetViews>
    <sheetView workbookViewId="0"/>
  </sheetViews>
  <sheetFormatPr defaultRowHeight="14.25"/>
  <sheetData>
    <row r="2" spans="2:4">
      <c r="B2" t="s">
        <v>64</v>
      </c>
    </row>
    <row r="3" spans="2:4">
      <c r="B3" t="s">
        <v>53</v>
      </c>
      <c r="C3" t="s">
        <v>55</v>
      </c>
      <c r="D3" t="s">
        <v>65</v>
      </c>
    </row>
    <row r="4" spans="2:4">
      <c r="B4" t="s">
        <v>297</v>
      </c>
      <c r="C4" t="s">
        <v>298</v>
      </c>
      <c r="D4" t="s">
        <v>298</v>
      </c>
    </row>
    <row r="5" spans="2:4">
      <c r="B5" t="s">
        <v>297</v>
      </c>
      <c r="C5" t="s">
        <v>299</v>
      </c>
      <c r="D5" t="s">
        <v>299</v>
      </c>
    </row>
    <row r="6" spans="2:4">
      <c r="B6" t="s">
        <v>297</v>
      </c>
      <c r="C6" t="s">
        <v>300</v>
      </c>
      <c r="D6" t="s">
        <v>300</v>
      </c>
    </row>
    <row r="7" spans="2:4">
      <c r="B7" t="s">
        <v>297</v>
      </c>
      <c r="C7" t="s">
        <v>301</v>
      </c>
      <c r="D7" t="s">
        <v>301</v>
      </c>
    </row>
    <row r="8" spans="2:4">
      <c r="B8" t="s">
        <v>297</v>
      </c>
      <c r="C8" t="s">
        <v>302</v>
      </c>
      <c r="D8" t="s">
        <v>302</v>
      </c>
    </row>
    <row r="9" spans="2:4">
      <c r="B9" t="s">
        <v>297</v>
      </c>
      <c r="C9" t="s">
        <v>303</v>
      </c>
      <c r="D9" t="s">
        <v>303</v>
      </c>
    </row>
    <row r="10" spans="2:4">
      <c r="B10" t="s">
        <v>297</v>
      </c>
      <c r="C10" t="s">
        <v>304</v>
      </c>
      <c r="D10" t="s">
        <v>304</v>
      </c>
    </row>
    <row r="11" spans="2:4">
      <c r="B11" t="s">
        <v>297</v>
      </c>
      <c r="C11" t="s">
        <v>305</v>
      </c>
      <c r="D11" t="s">
        <v>305</v>
      </c>
    </row>
    <row r="12" spans="2:4">
      <c r="B12" t="s">
        <v>297</v>
      </c>
      <c r="C12" t="s">
        <v>306</v>
      </c>
      <c r="D12" t="s">
        <v>306</v>
      </c>
    </row>
    <row r="13" spans="2:4">
      <c r="B13" t="s">
        <v>297</v>
      </c>
      <c r="C13" t="s">
        <v>307</v>
      </c>
      <c r="D13" t="s">
        <v>307</v>
      </c>
    </row>
    <row r="14" spans="2:4">
      <c r="B14" t="s">
        <v>297</v>
      </c>
      <c r="C14" t="s">
        <v>308</v>
      </c>
      <c r="D14" t="s">
        <v>308</v>
      </c>
    </row>
    <row r="15" spans="2:4">
      <c r="B15" t="s">
        <v>297</v>
      </c>
      <c r="C15" t="s">
        <v>309</v>
      </c>
      <c r="D15" t="s">
        <v>309</v>
      </c>
    </row>
    <row r="16" spans="2:4">
      <c r="B16" t="s">
        <v>297</v>
      </c>
      <c r="C16" t="s">
        <v>310</v>
      </c>
      <c r="D16" t="s">
        <v>310</v>
      </c>
    </row>
    <row r="17" spans="2:4">
      <c r="B17" t="s">
        <v>297</v>
      </c>
      <c r="C17" t="s">
        <v>311</v>
      </c>
      <c r="D17" t="s">
        <v>311</v>
      </c>
    </row>
    <row r="18" spans="2:4">
      <c r="B18" t="s">
        <v>297</v>
      </c>
      <c r="C18" t="s">
        <v>312</v>
      </c>
      <c r="D18" t="s">
        <v>312</v>
      </c>
    </row>
    <row r="19" spans="2:4">
      <c r="B19" t="s">
        <v>297</v>
      </c>
      <c r="C19" t="s">
        <v>313</v>
      </c>
      <c r="D19" t="s">
        <v>313</v>
      </c>
    </row>
    <row r="20" spans="2:4">
      <c r="B20" t="s">
        <v>297</v>
      </c>
      <c r="C20" t="s">
        <v>314</v>
      </c>
      <c r="D20" t="s">
        <v>314</v>
      </c>
    </row>
    <row r="21" spans="2:4">
      <c r="B21" t="s">
        <v>297</v>
      </c>
      <c r="C21" t="s">
        <v>315</v>
      </c>
      <c r="D21" t="s">
        <v>315</v>
      </c>
    </row>
    <row r="22" spans="2:4">
      <c r="B22" t="s">
        <v>297</v>
      </c>
      <c r="C22" t="s">
        <v>316</v>
      </c>
      <c r="D22" t="s">
        <v>316</v>
      </c>
    </row>
    <row r="23" spans="2:4">
      <c r="B23" t="s">
        <v>297</v>
      </c>
      <c r="C23" t="s">
        <v>317</v>
      </c>
      <c r="D23" t="s">
        <v>317</v>
      </c>
    </row>
    <row r="24" spans="2:4">
      <c r="B24" t="s">
        <v>297</v>
      </c>
      <c r="C24" t="s">
        <v>318</v>
      </c>
      <c r="D24" t="s">
        <v>318</v>
      </c>
    </row>
    <row r="25" spans="2:4">
      <c r="B25" t="s">
        <v>297</v>
      </c>
      <c r="C25" t="s">
        <v>319</v>
      </c>
      <c r="D25" t="s">
        <v>319</v>
      </c>
    </row>
    <row r="26" spans="2:4">
      <c r="B26" t="s">
        <v>297</v>
      </c>
      <c r="C26" t="s">
        <v>320</v>
      </c>
      <c r="D26" t="s">
        <v>320</v>
      </c>
    </row>
    <row r="27" spans="2:4">
      <c r="B27" t="s">
        <v>297</v>
      </c>
      <c r="C27" t="s">
        <v>321</v>
      </c>
      <c r="D27" t="s">
        <v>321</v>
      </c>
    </row>
    <row r="28" spans="2:4">
      <c r="B28" t="s">
        <v>297</v>
      </c>
      <c r="C28" t="s">
        <v>322</v>
      </c>
      <c r="D28" t="s">
        <v>322</v>
      </c>
    </row>
    <row r="29" spans="2:4">
      <c r="B29" t="s">
        <v>297</v>
      </c>
      <c r="C29" t="s">
        <v>323</v>
      </c>
      <c r="D29" t="s">
        <v>323</v>
      </c>
    </row>
    <row r="30" spans="2:4">
      <c r="B30" t="s">
        <v>297</v>
      </c>
      <c r="C30" t="s">
        <v>324</v>
      </c>
      <c r="D30" t="s">
        <v>324</v>
      </c>
    </row>
    <row r="31" spans="2:4">
      <c r="B31" t="s">
        <v>297</v>
      </c>
      <c r="C31" t="s">
        <v>325</v>
      </c>
      <c r="D31" t="s">
        <v>325</v>
      </c>
    </row>
    <row r="32" spans="2:4">
      <c r="B32" t="s">
        <v>297</v>
      </c>
      <c r="C32" t="s">
        <v>326</v>
      </c>
      <c r="D32" t="s">
        <v>326</v>
      </c>
    </row>
    <row r="33" spans="2:4">
      <c r="B33" t="s">
        <v>297</v>
      </c>
      <c r="C33" t="s">
        <v>327</v>
      </c>
      <c r="D33" t="s">
        <v>327</v>
      </c>
    </row>
    <row r="34" spans="2:4">
      <c r="B34" t="s">
        <v>297</v>
      </c>
      <c r="C34" t="s">
        <v>328</v>
      </c>
      <c r="D34" t="s">
        <v>328</v>
      </c>
    </row>
    <row r="35" spans="2:4">
      <c r="B35" t="s">
        <v>297</v>
      </c>
      <c r="C35" t="s">
        <v>329</v>
      </c>
      <c r="D35" t="s">
        <v>329</v>
      </c>
    </row>
    <row r="36" spans="2:4">
      <c r="B36" t="s">
        <v>297</v>
      </c>
      <c r="C36" t="s">
        <v>330</v>
      </c>
      <c r="D36" t="s">
        <v>330</v>
      </c>
    </row>
    <row r="37" spans="2:4">
      <c r="B37" t="s">
        <v>297</v>
      </c>
      <c r="C37" t="s">
        <v>331</v>
      </c>
      <c r="D37" t="s">
        <v>331</v>
      </c>
    </row>
    <row r="38" spans="2:4">
      <c r="B38" t="s">
        <v>297</v>
      </c>
      <c r="C38" t="s">
        <v>332</v>
      </c>
      <c r="D38" t="s">
        <v>332</v>
      </c>
    </row>
    <row r="39" spans="2:4">
      <c r="B39" t="s">
        <v>297</v>
      </c>
      <c r="C39" t="s">
        <v>333</v>
      </c>
      <c r="D39" t="s">
        <v>333</v>
      </c>
    </row>
    <row r="40" spans="2:4">
      <c r="B40" t="s">
        <v>297</v>
      </c>
      <c r="C40" t="s">
        <v>334</v>
      </c>
      <c r="D40" t="s">
        <v>334</v>
      </c>
    </row>
    <row r="41" spans="2:4">
      <c r="B41" t="s">
        <v>297</v>
      </c>
      <c r="C41" t="s">
        <v>335</v>
      </c>
      <c r="D41" t="s">
        <v>335</v>
      </c>
    </row>
    <row r="42" spans="2:4">
      <c r="B42" t="s">
        <v>297</v>
      </c>
      <c r="C42" t="s">
        <v>336</v>
      </c>
      <c r="D42" t="s">
        <v>336</v>
      </c>
    </row>
    <row r="43" spans="2:4">
      <c r="B43" t="s">
        <v>297</v>
      </c>
      <c r="C43" t="s">
        <v>337</v>
      </c>
      <c r="D43" t="s">
        <v>337</v>
      </c>
    </row>
    <row r="44" spans="2:4">
      <c r="B44" t="s">
        <v>297</v>
      </c>
      <c r="C44" t="s">
        <v>338</v>
      </c>
      <c r="D44" t="s">
        <v>338</v>
      </c>
    </row>
    <row r="45" spans="2:4">
      <c r="B45" t="s">
        <v>297</v>
      </c>
      <c r="C45" t="s">
        <v>339</v>
      </c>
      <c r="D45" t="s">
        <v>339</v>
      </c>
    </row>
    <row r="46" spans="2:4">
      <c r="B46" t="s">
        <v>297</v>
      </c>
      <c r="C46" t="s">
        <v>340</v>
      </c>
      <c r="D46" t="s">
        <v>340</v>
      </c>
    </row>
    <row r="47" spans="2:4">
      <c r="B47" t="s">
        <v>297</v>
      </c>
      <c r="C47" t="s">
        <v>341</v>
      </c>
      <c r="D47" t="s">
        <v>341</v>
      </c>
    </row>
    <row r="48" spans="2:4">
      <c r="B48" t="s">
        <v>297</v>
      </c>
      <c r="C48" t="s">
        <v>342</v>
      </c>
      <c r="D48" t="s">
        <v>342</v>
      </c>
    </row>
    <row r="49" spans="2:4">
      <c r="B49" t="s">
        <v>297</v>
      </c>
      <c r="C49" t="s">
        <v>343</v>
      </c>
      <c r="D49" t="s">
        <v>343</v>
      </c>
    </row>
    <row r="50" spans="2:4">
      <c r="B50" t="s">
        <v>297</v>
      </c>
      <c r="C50" t="s">
        <v>344</v>
      </c>
      <c r="D50" t="s">
        <v>344</v>
      </c>
    </row>
    <row r="51" spans="2:4">
      <c r="B51" t="s">
        <v>297</v>
      </c>
      <c r="C51" t="s">
        <v>345</v>
      </c>
      <c r="D51" t="s">
        <v>345</v>
      </c>
    </row>
    <row r="52" spans="2:4">
      <c r="B52" t="s">
        <v>297</v>
      </c>
      <c r="C52" t="s">
        <v>346</v>
      </c>
      <c r="D52" t="s">
        <v>346</v>
      </c>
    </row>
    <row r="53" spans="2:4">
      <c r="B53" t="s">
        <v>297</v>
      </c>
      <c r="C53" t="s">
        <v>347</v>
      </c>
      <c r="D53" t="s">
        <v>347</v>
      </c>
    </row>
    <row r="54" spans="2:4">
      <c r="B54" t="s">
        <v>297</v>
      </c>
      <c r="C54" t="s">
        <v>348</v>
      </c>
      <c r="D54" t="s">
        <v>348</v>
      </c>
    </row>
    <row r="55" spans="2:4">
      <c r="B55" t="s">
        <v>297</v>
      </c>
      <c r="C55" t="s">
        <v>349</v>
      </c>
      <c r="D55" t="s">
        <v>349</v>
      </c>
    </row>
    <row r="56" spans="2:4">
      <c r="B56" t="s">
        <v>297</v>
      </c>
      <c r="C56" t="s">
        <v>350</v>
      </c>
      <c r="D56" t="s">
        <v>350</v>
      </c>
    </row>
    <row r="57" spans="2:4">
      <c r="B57" t="s">
        <v>297</v>
      </c>
      <c r="C57" t="s">
        <v>351</v>
      </c>
      <c r="D57" t="s">
        <v>351</v>
      </c>
    </row>
    <row r="58" spans="2:4">
      <c r="B58" t="s">
        <v>297</v>
      </c>
      <c r="C58" t="s">
        <v>352</v>
      </c>
      <c r="D58" t="s">
        <v>352</v>
      </c>
    </row>
    <row r="59" spans="2:4">
      <c r="B59" t="s">
        <v>297</v>
      </c>
      <c r="C59" t="s">
        <v>353</v>
      </c>
      <c r="D59" t="s">
        <v>353</v>
      </c>
    </row>
    <row r="60" spans="2:4">
      <c r="B60" t="s">
        <v>297</v>
      </c>
      <c r="C60" t="s">
        <v>354</v>
      </c>
      <c r="D60" t="s">
        <v>354</v>
      </c>
    </row>
    <row r="61" spans="2:4">
      <c r="B61" t="s">
        <v>297</v>
      </c>
      <c r="C61" t="s">
        <v>355</v>
      </c>
      <c r="D61" t="s">
        <v>355</v>
      </c>
    </row>
    <row r="62" spans="2:4">
      <c r="B62" t="s">
        <v>297</v>
      </c>
      <c r="C62" t="s">
        <v>356</v>
      </c>
      <c r="D62" t="s">
        <v>356</v>
      </c>
    </row>
    <row r="63" spans="2:4">
      <c r="B63" t="s">
        <v>297</v>
      </c>
      <c r="C63" t="s">
        <v>357</v>
      </c>
      <c r="D63" t="s">
        <v>357</v>
      </c>
    </row>
    <row r="64" spans="2:4">
      <c r="B64" t="s">
        <v>297</v>
      </c>
      <c r="C64" t="s">
        <v>358</v>
      </c>
      <c r="D64" t="s">
        <v>358</v>
      </c>
    </row>
    <row r="65" spans="2:4">
      <c r="B65" t="s">
        <v>297</v>
      </c>
      <c r="C65" t="s">
        <v>359</v>
      </c>
      <c r="D65" t="s">
        <v>359</v>
      </c>
    </row>
    <row r="66" spans="2:4">
      <c r="B66" t="s">
        <v>297</v>
      </c>
      <c r="C66" t="s">
        <v>360</v>
      </c>
      <c r="D66" t="s">
        <v>360</v>
      </c>
    </row>
    <row r="67" spans="2:4">
      <c r="B67" t="s">
        <v>297</v>
      </c>
      <c r="C67" t="s">
        <v>361</v>
      </c>
      <c r="D67" t="s">
        <v>361</v>
      </c>
    </row>
    <row r="68" spans="2:4">
      <c r="B68" t="s">
        <v>297</v>
      </c>
      <c r="C68" t="s">
        <v>362</v>
      </c>
      <c r="D68" t="s">
        <v>362</v>
      </c>
    </row>
    <row r="69" spans="2:4">
      <c r="B69" t="s">
        <v>297</v>
      </c>
      <c r="C69" t="s">
        <v>363</v>
      </c>
      <c r="D69" t="s">
        <v>363</v>
      </c>
    </row>
    <row r="70" spans="2:4">
      <c r="B70" t="s">
        <v>297</v>
      </c>
      <c r="C70" t="s">
        <v>364</v>
      </c>
      <c r="D70" t="s">
        <v>364</v>
      </c>
    </row>
    <row r="71" spans="2:4">
      <c r="B71" t="s">
        <v>297</v>
      </c>
      <c r="C71" t="s">
        <v>365</v>
      </c>
      <c r="D71" t="s">
        <v>365</v>
      </c>
    </row>
    <row r="72" spans="2:4">
      <c r="B72" t="s">
        <v>297</v>
      </c>
      <c r="C72" t="s">
        <v>366</v>
      </c>
      <c r="D72" t="s">
        <v>366</v>
      </c>
    </row>
    <row r="73" spans="2:4">
      <c r="B73" t="s">
        <v>297</v>
      </c>
      <c r="C73" t="s">
        <v>367</v>
      </c>
      <c r="D73" t="s">
        <v>367</v>
      </c>
    </row>
    <row r="74" spans="2:4">
      <c r="B74" t="s">
        <v>297</v>
      </c>
      <c r="C74" t="s">
        <v>368</v>
      </c>
      <c r="D74" t="s">
        <v>368</v>
      </c>
    </row>
    <row r="75" spans="2:4">
      <c r="B75" t="s">
        <v>297</v>
      </c>
      <c r="C75" t="s">
        <v>369</v>
      </c>
      <c r="D75" t="s">
        <v>369</v>
      </c>
    </row>
    <row r="76" spans="2:4">
      <c r="B76" t="s">
        <v>297</v>
      </c>
      <c r="C76" t="s">
        <v>370</v>
      </c>
      <c r="D76" t="s">
        <v>370</v>
      </c>
    </row>
    <row r="77" spans="2:4">
      <c r="B77" t="s">
        <v>297</v>
      </c>
      <c r="C77" t="s">
        <v>371</v>
      </c>
      <c r="D77" t="s">
        <v>371</v>
      </c>
    </row>
    <row r="78" spans="2:4">
      <c r="B78" t="s">
        <v>297</v>
      </c>
      <c r="C78" t="s">
        <v>372</v>
      </c>
      <c r="D78" t="s">
        <v>372</v>
      </c>
    </row>
    <row r="79" spans="2:4">
      <c r="B79" t="s">
        <v>297</v>
      </c>
      <c r="C79" t="s">
        <v>373</v>
      </c>
      <c r="D79" t="s">
        <v>373</v>
      </c>
    </row>
    <row r="80" spans="2:4">
      <c r="B80" t="s">
        <v>297</v>
      </c>
      <c r="C80" t="s">
        <v>374</v>
      </c>
      <c r="D80" t="s">
        <v>374</v>
      </c>
    </row>
    <row r="81" spans="2:4">
      <c r="B81" t="s">
        <v>297</v>
      </c>
      <c r="C81" t="s">
        <v>375</v>
      </c>
      <c r="D81" t="s">
        <v>375</v>
      </c>
    </row>
    <row r="82" spans="2:4">
      <c r="B82" t="s">
        <v>297</v>
      </c>
      <c r="C82" t="s">
        <v>376</v>
      </c>
      <c r="D82" t="s">
        <v>376</v>
      </c>
    </row>
    <row r="83" spans="2:4">
      <c r="B83" t="s">
        <v>297</v>
      </c>
      <c r="C83" t="s">
        <v>377</v>
      </c>
      <c r="D83" t="s">
        <v>377</v>
      </c>
    </row>
    <row r="84" spans="2:4">
      <c r="B84" t="s">
        <v>297</v>
      </c>
      <c r="C84" t="s">
        <v>378</v>
      </c>
      <c r="D84" t="s">
        <v>378</v>
      </c>
    </row>
    <row r="85" spans="2:4">
      <c r="B85" t="s">
        <v>297</v>
      </c>
      <c r="C85" t="s">
        <v>379</v>
      </c>
      <c r="D85" t="s">
        <v>379</v>
      </c>
    </row>
    <row r="86" spans="2:4">
      <c r="B86" t="s">
        <v>297</v>
      </c>
      <c r="C86" t="s">
        <v>380</v>
      </c>
      <c r="D86" t="s">
        <v>380</v>
      </c>
    </row>
    <row r="87" spans="2:4">
      <c r="B87" t="s">
        <v>297</v>
      </c>
      <c r="C87" t="s">
        <v>381</v>
      </c>
      <c r="D87" t="s">
        <v>381</v>
      </c>
    </row>
    <row r="88" spans="2:4">
      <c r="B88" t="s">
        <v>297</v>
      </c>
      <c r="C88" t="s">
        <v>382</v>
      </c>
      <c r="D88" t="s">
        <v>382</v>
      </c>
    </row>
    <row r="89" spans="2:4">
      <c r="B89" t="s">
        <v>297</v>
      </c>
      <c r="C89" t="s">
        <v>383</v>
      </c>
      <c r="D89" t="s">
        <v>383</v>
      </c>
    </row>
    <row r="90" spans="2:4">
      <c r="B90" t="s">
        <v>297</v>
      </c>
      <c r="C90" t="s">
        <v>384</v>
      </c>
      <c r="D90" t="s">
        <v>384</v>
      </c>
    </row>
    <row r="91" spans="2:4">
      <c r="B91" t="s">
        <v>297</v>
      </c>
      <c r="C91" t="s">
        <v>385</v>
      </c>
      <c r="D91" t="s">
        <v>385</v>
      </c>
    </row>
    <row r="92" spans="2:4">
      <c r="B92" t="s">
        <v>297</v>
      </c>
      <c r="C92" t="s">
        <v>386</v>
      </c>
      <c r="D92" t="s">
        <v>386</v>
      </c>
    </row>
    <row r="93" spans="2:4">
      <c r="B93" t="s">
        <v>297</v>
      </c>
      <c r="C93" t="s">
        <v>387</v>
      </c>
      <c r="D93" t="s">
        <v>387</v>
      </c>
    </row>
    <row r="94" spans="2:4">
      <c r="B94" t="s">
        <v>297</v>
      </c>
      <c r="C94" t="s">
        <v>388</v>
      </c>
      <c r="D94" t="s">
        <v>388</v>
      </c>
    </row>
    <row r="95" spans="2:4">
      <c r="B95" t="s">
        <v>297</v>
      </c>
      <c r="C95" t="s">
        <v>389</v>
      </c>
      <c r="D95" t="s">
        <v>389</v>
      </c>
    </row>
    <row r="96" spans="2:4">
      <c r="B96" t="s">
        <v>297</v>
      </c>
      <c r="C96" t="s">
        <v>390</v>
      </c>
      <c r="D96" t="s">
        <v>390</v>
      </c>
    </row>
    <row r="97" spans="2:4">
      <c r="B97" t="s">
        <v>297</v>
      </c>
      <c r="C97" t="s">
        <v>391</v>
      </c>
      <c r="D97" t="s">
        <v>391</v>
      </c>
    </row>
    <row r="98" spans="2:4">
      <c r="B98" t="s">
        <v>297</v>
      </c>
      <c r="C98" t="s">
        <v>392</v>
      </c>
      <c r="D98" t="s">
        <v>392</v>
      </c>
    </row>
    <row r="99" spans="2:4">
      <c r="B99" t="s">
        <v>297</v>
      </c>
      <c r="C99" t="s">
        <v>393</v>
      </c>
      <c r="D99" t="s">
        <v>393</v>
      </c>
    </row>
    <row r="100" spans="2:4">
      <c r="B100" t="s">
        <v>297</v>
      </c>
      <c r="C100" t="s">
        <v>394</v>
      </c>
      <c r="D100" t="s">
        <v>394</v>
      </c>
    </row>
    <row r="101" spans="2:4">
      <c r="B101" t="s">
        <v>297</v>
      </c>
      <c r="C101" t="s">
        <v>395</v>
      </c>
      <c r="D101" t="s">
        <v>395</v>
      </c>
    </row>
    <row r="102" spans="2:4">
      <c r="B102" t="s">
        <v>297</v>
      </c>
      <c r="C102" t="s">
        <v>396</v>
      </c>
      <c r="D102" t="s">
        <v>396</v>
      </c>
    </row>
    <row r="103" spans="2:4">
      <c r="B103" t="s">
        <v>297</v>
      </c>
      <c r="C103" t="s">
        <v>397</v>
      </c>
      <c r="D103" t="s">
        <v>397</v>
      </c>
    </row>
    <row r="104" spans="2:4">
      <c r="B104" t="s">
        <v>297</v>
      </c>
      <c r="C104" t="s">
        <v>398</v>
      </c>
      <c r="D104" t="s">
        <v>398</v>
      </c>
    </row>
    <row r="105" spans="2:4">
      <c r="B105" t="s">
        <v>297</v>
      </c>
      <c r="C105" t="s">
        <v>399</v>
      </c>
      <c r="D105" t="s">
        <v>399</v>
      </c>
    </row>
    <row r="106" spans="2:4">
      <c r="B106" t="s">
        <v>297</v>
      </c>
      <c r="C106" t="s">
        <v>400</v>
      </c>
      <c r="D106" t="s">
        <v>400</v>
      </c>
    </row>
    <row r="107" spans="2:4">
      <c r="B107" t="s">
        <v>297</v>
      </c>
      <c r="C107" t="s">
        <v>401</v>
      </c>
      <c r="D107" t="s">
        <v>401</v>
      </c>
    </row>
    <row r="108" spans="2:4">
      <c r="B108" t="s">
        <v>297</v>
      </c>
      <c r="C108" t="s">
        <v>402</v>
      </c>
      <c r="D108" t="s">
        <v>402</v>
      </c>
    </row>
    <row r="109" spans="2:4">
      <c r="B109" t="s">
        <v>297</v>
      </c>
      <c r="C109" t="s">
        <v>403</v>
      </c>
      <c r="D109" t="s">
        <v>403</v>
      </c>
    </row>
    <row r="110" spans="2:4">
      <c r="B110" t="s">
        <v>297</v>
      </c>
      <c r="C110" t="s">
        <v>404</v>
      </c>
      <c r="D110" t="s">
        <v>404</v>
      </c>
    </row>
    <row r="111" spans="2:4">
      <c r="B111" t="s">
        <v>297</v>
      </c>
      <c r="C111" t="s">
        <v>405</v>
      </c>
      <c r="D111" t="s">
        <v>405</v>
      </c>
    </row>
    <row r="112" spans="2:4">
      <c r="B112" t="s">
        <v>297</v>
      </c>
      <c r="C112" t="s">
        <v>406</v>
      </c>
      <c r="D112" t="s">
        <v>406</v>
      </c>
    </row>
    <row r="113" spans="2:4">
      <c r="B113" t="s">
        <v>297</v>
      </c>
      <c r="C113" t="s">
        <v>407</v>
      </c>
      <c r="D113" t="s">
        <v>407</v>
      </c>
    </row>
    <row r="114" spans="2:4">
      <c r="B114" t="s">
        <v>297</v>
      </c>
      <c r="C114" t="s">
        <v>408</v>
      </c>
      <c r="D114" t="s">
        <v>408</v>
      </c>
    </row>
    <row r="115" spans="2:4">
      <c r="B115" t="s">
        <v>297</v>
      </c>
      <c r="C115" t="s">
        <v>409</v>
      </c>
      <c r="D115" t="s">
        <v>409</v>
      </c>
    </row>
    <row r="116" spans="2:4">
      <c r="B116" t="s">
        <v>297</v>
      </c>
      <c r="C116" t="s">
        <v>410</v>
      </c>
      <c r="D116" t="s">
        <v>410</v>
      </c>
    </row>
    <row r="117" spans="2:4">
      <c r="B117" t="s">
        <v>297</v>
      </c>
      <c r="C117" t="s">
        <v>411</v>
      </c>
      <c r="D117" t="s">
        <v>411</v>
      </c>
    </row>
    <row r="118" spans="2:4">
      <c r="B118" t="s">
        <v>297</v>
      </c>
      <c r="C118" t="s">
        <v>412</v>
      </c>
      <c r="D118" t="s">
        <v>412</v>
      </c>
    </row>
    <row r="119" spans="2:4">
      <c r="B119" t="s">
        <v>297</v>
      </c>
      <c r="C119" t="s">
        <v>413</v>
      </c>
      <c r="D119" t="s">
        <v>413</v>
      </c>
    </row>
    <row r="120" spans="2:4">
      <c r="B120" t="s">
        <v>297</v>
      </c>
      <c r="C120" t="s">
        <v>414</v>
      </c>
      <c r="D120" t="s">
        <v>414</v>
      </c>
    </row>
    <row r="121" spans="2:4">
      <c r="B121" t="s">
        <v>297</v>
      </c>
      <c r="C121" t="s">
        <v>415</v>
      </c>
      <c r="D121" t="s">
        <v>415</v>
      </c>
    </row>
    <row r="122" spans="2:4">
      <c r="B122" t="s">
        <v>297</v>
      </c>
      <c r="C122" t="s">
        <v>416</v>
      </c>
      <c r="D122" t="s">
        <v>416</v>
      </c>
    </row>
    <row r="123" spans="2:4">
      <c r="B123" t="s">
        <v>297</v>
      </c>
      <c r="C123" t="s">
        <v>417</v>
      </c>
      <c r="D123" t="s">
        <v>417</v>
      </c>
    </row>
    <row r="124" spans="2:4">
      <c r="B124" t="s">
        <v>297</v>
      </c>
      <c r="C124" t="s">
        <v>418</v>
      </c>
      <c r="D124" t="s">
        <v>418</v>
      </c>
    </row>
    <row r="125" spans="2:4">
      <c r="B125" t="s">
        <v>297</v>
      </c>
      <c r="C125" t="s">
        <v>419</v>
      </c>
      <c r="D125" t="s">
        <v>419</v>
      </c>
    </row>
    <row r="126" spans="2:4">
      <c r="B126" t="s">
        <v>297</v>
      </c>
      <c r="C126" t="s">
        <v>420</v>
      </c>
      <c r="D126" t="s">
        <v>420</v>
      </c>
    </row>
    <row r="127" spans="2:4">
      <c r="B127" t="s">
        <v>297</v>
      </c>
      <c r="C127" t="s">
        <v>421</v>
      </c>
      <c r="D127" t="s">
        <v>421</v>
      </c>
    </row>
    <row r="128" spans="2:4">
      <c r="B128" t="s">
        <v>297</v>
      </c>
      <c r="C128" t="s">
        <v>422</v>
      </c>
      <c r="D128" t="s">
        <v>422</v>
      </c>
    </row>
    <row r="129" spans="2:4">
      <c r="B129" t="s">
        <v>297</v>
      </c>
      <c r="C129" t="s">
        <v>423</v>
      </c>
      <c r="D129" t="s">
        <v>423</v>
      </c>
    </row>
    <row r="130" spans="2:4">
      <c r="B130" t="s">
        <v>297</v>
      </c>
      <c r="C130" t="s">
        <v>424</v>
      </c>
      <c r="D130" t="s">
        <v>424</v>
      </c>
    </row>
    <row r="131" spans="2:4">
      <c r="B131" t="s">
        <v>297</v>
      </c>
      <c r="C131" t="s">
        <v>425</v>
      </c>
      <c r="D131" t="s">
        <v>425</v>
      </c>
    </row>
    <row r="132" spans="2:4">
      <c r="B132" t="s">
        <v>297</v>
      </c>
      <c r="C132" t="s">
        <v>426</v>
      </c>
      <c r="D132" t="s">
        <v>426</v>
      </c>
    </row>
    <row r="133" spans="2:4">
      <c r="B133" t="s">
        <v>297</v>
      </c>
      <c r="C133" t="s">
        <v>427</v>
      </c>
      <c r="D133" t="s">
        <v>427</v>
      </c>
    </row>
    <row r="134" spans="2:4">
      <c r="B134" t="s">
        <v>297</v>
      </c>
      <c r="C134" t="s">
        <v>428</v>
      </c>
      <c r="D134" t="s">
        <v>428</v>
      </c>
    </row>
    <row r="135" spans="2:4">
      <c r="B135" t="s">
        <v>297</v>
      </c>
      <c r="C135" t="s">
        <v>429</v>
      </c>
      <c r="D135" t="s">
        <v>429</v>
      </c>
    </row>
    <row r="136" spans="2:4">
      <c r="B136" t="s">
        <v>297</v>
      </c>
      <c r="C136" t="s">
        <v>430</v>
      </c>
      <c r="D136" t="s">
        <v>430</v>
      </c>
    </row>
    <row r="137" spans="2:4">
      <c r="B137" t="s">
        <v>297</v>
      </c>
      <c r="C137" t="s">
        <v>431</v>
      </c>
      <c r="D137" t="s">
        <v>431</v>
      </c>
    </row>
    <row r="138" spans="2:4">
      <c r="B138" t="s">
        <v>297</v>
      </c>
      <c r="C138" t="s">
        <v>432</v>
      </c>
      <c r="D138" t="s">
        <v>432</v>
      </c>
    </row>
    <row r="139" spans="2:4">
      <c r="B139" t="s">
        <v>297</v>
      </c>
      <c r="C139" t="s">
        <v>433</v>
      </c>
      <c r="D139" t="s">
        <v>433</v>
      </c>
    </row>
    <row r="140" spans="2:4">
      <c r="B140" t="s">
        <v>297</v>
      </c>
      <c r="C140" t="s">
        <v>434</v>
      </c>
      <c r="D140" t="s">
        <v>434</v>
      </c>
    </row>
    <row r="141" spans="2:4">
      <c r="B141" t="s">
        <v>297</v>
      </c>
      <c r="C141" t="s">
        <v>435</v>
      </c>
      <c r="D141" t="s">
        <v>435</v>
      </c>
    </row>
    <row r="142" spans="2:4">
      <c r="B142" t="s">
        <v>297</v>
      </c>
      <c r="C142" t="s">
        <v>436</v>
      </c>
      <c r="D142" t="s">
        <v>436</v>
      </c>
    </row>
    <row r="143" spans="2:4">
      <c r="B143" t="s">
        <v>297</v>
      </c>
      <c r="C143" t="s">
        <v>437</v>
      </c>
      <c r="D143" t="s">
        <v>437</v>
      </c>
    </row>
    <row r="144" spans="2:4">
      <c r="B144" t="s">
        <v>297</v>
      </c>
      <c r="C144" t="s">
        <v>438</v>
      </c>
      <c r="D144" t="s">
        <v>438</v>
      </c>
    </row>
    <row r="145" spans="2:4">
      <c r="B145" t="s">
        <v>297</v>
      </c>
      <c r="C145" t="s">
        <v>439</v>
      </c>
      <c r="D145" t="s">
        <v>439</v>
      </c>
    </row>
    <row r="146" spans="2:4">
      <c r="B146" t="s">
        <v>297</v>
      </c>
      <c r="C146" t="s">
        <v>440</v>
      </c>
      <c r="D146" t="s">
        <v>440</v>
      </c>
    </row>
    <row r="147" spans="2:4">
      <c r="B147" t="s">
        <v>297</v>
      </c>
      <c r="C147" t="s">
        <v>441</v>
      </c>
      <c r="D147" t="s">
        <v>441</v>
      </c>
    </row>
    <row r="148" spans="2:4">
      <c r="B148" t="s">
        <v>297</v>
      </c>
      <c r="C148" t="s">
        <v>442</v>
      </c>
      <c r="D148" t="s">
        <v>442</v>
      </c>
    </row>
    <row r="149" spans="2:4">
      <c r="B149" t="s">
        <v>297</v>
      </c>
      <c r="C149" t="s">
        <v>443</v>
      </c>
      <c r="D149" t="s">
        <v>443</v>
      </c>
    </row>
    <row r="150" spans="2:4">
      <c r="B150" t="s">
        <v>297</v>
      </c>
      <c r="C150" t="s">
        <v>444</v>
      </c>
      <c r="D150" t="s">
        <v>444</v>
      </c>
    </row>
    <row r="151" spans="2:4">
      <c r="B151" t="s">
        <v>297</v>
      </c>
      <c r="C151" t="s">
        <v>445</v>
      </c>
      <c r="D151" t="s">
        <v>445</v>
      </c>
    </row>
    <row r="152" spans="2:4">
      <c r="B152" t="s">
        <v>297</v>
      </c>
      <c r="C152" t="s">
        <v>446</v>
      </c>
      <c r="D152" t="s">
        <v>446</v>
      </c>
    </row>
    <row r="153" spans="2:4">
      <c r="B153" t="s">
        <v>297</v>
      </c>
      <c r="C153" t="s">
        <v>447</v>
      </c>
      <c r="D153" t="s">
        <v>447</v>
      </c>
    </row>
    <row r="154" spans="2:4">
      <c r="B154" t="s">
        <v>297</v>
      </c>
      <c r="C154" t="s">
        <v>448</v>
      </c>
      <c r="D154" t="s">
        <v>448</v>
      </c>
    </row>
    <row r="155" spans="2:4">
      <c r="B155" t="s">
        <v>297</v>
      </c>
      <c r="C155" t="s">
        <v>449</v>
      </c>
      <c r="D155" t="s">
        <v>449</v>
      </c>
    </row>
    <row r="156" spans="2:4">
      <c r="B156" t="s">
        <v>297</v>
      </c>
      <c r="C156" t="s">
        <v>450</v>
      </c>
      <c r="D156" t="s">
        <v>450</v>
      </c>
    </row>
    <row r="157" spans="2:4">
      <c r="B157" t="s">
        <v>297</v>
      </c>
      <c r="C157" t="s">
        <v>451</v>
      </c>
      <c r="D157" t="s">
        <v>451</v>
      </c>
    </row>
    <row r="158" spans="2:4">
      <c r="B158" t="s">
        <v>297</v>
      </c>
      <c r="C158" t="s">
        <v>452</v>
      </c>
      <c r="D158" t="s">
        <v>452</v>
      </c>
    </row>
    <row r="159" spans="2:4">
      <c r="B159" t="s">
        <v>297</v>
      </c>
      <c r="C159" t="s">
        <v>453</v>
      </c>
      <c r="D159" t="s">
        <v>453</v>
      </c>
    </row>
    <row r="160" spans="2:4">
      <c r="B160" t="s">
        <v>297</v>
      </c>
      <c r="C160" t="s">
        <v>454</v>
      </c>
      <c r="D160" t="s">
        <v>454</v>
      </c>
    </row>
    <row r="161" spans="2:4">
      <c r="B161" t="s">
        <v>297</v>
      </c>
      <c r="C161" t="s">
        <v>455</v>
      </c>
      <c r="D161" t="s">
        <v>455</v>
      </c>
    </row>
    <row r="162" spans="2:4">
      <c r="B162" t="s">
        <v>297</v>
      </c>
      <c r="C162" t="s">
        <v>456</v>
      </c>
      <c r="D162" t="s">
        <v>456</v>
      </c>
    </row>
    <row r="163" spans="2:4">
      <c r="B163" t="s">
        <v>297</v>
      </c>
      <c r="C163" t="s">
        <v>457</v>
      </c>
      <c r="D163" t="s">
        <v>457</v>
      </c>
    </row>
    <row r="164" spans="2:4">
      <c r="B164" t="s">
        <v>297</v>
      </c>
      <c r="C164" t="s">
        <v>458</v>
      </c>
      <c r="D164" t="s">
        <v>458</v>
      </c>
    </row>
    <row r="165" spans="2:4">
      <c r="B165" t="s">
        <v>297</v>
      </c>
      <c r="C165" t="s">
        <v>459</v>
      </c>
      <c r="D165" t="s">
        <v>459</v>
      </c>
    </row>
    <row r="166" spans="2:4">
      <c r="B166" t="s">
        <v>297</v>
      </c>
      <c r="C166" t="s">
        <v>460</v>
      </c>
      <c r="D166" t="s">
        <v>460</v>
      </c>
    </row>
    <row r="167" spans="2:4">
      <c r="B167" t="s">
        <v>297</v>
      </c>
      <c r="C167" t="s">
        <v>461</v>
      </c>
      <c r="D167" t="s">
        <v>461</v>
      </c>
    </row>
    <row r="168" spans="2:4">
      <c r="B168" t="s">
        <v>297</v>
      </c>
      <c r="C168" t="s">
        <v>462</v>
      </c>
      <c r="D168" t="s">
        <v>462</v>
      </c>
    </row>
    <row r="169" spans="2:4">
      <c r="B169" t="s">
        <v>297</v>
      </c>
      <c r="C169" t="s">
        <v>463</v>
      </c>
      <c r="D169" t="s">
        <v>463</v>
      </c>
    </row>
    <row r="170" spans="2:4">
      <c r="B170" t="s">
        <v>297</v>
      </c>
      <c r="C170" t="s">
        <v>464</v>
      </c>
      <c r="D170" t="s">
        <v>464</v>
      </c>
    </row>
    <row r="171" spans="2:4">
      <c r="B171" t="s">
        <v>297</v>
      </c>
      <c r="C171" t="s">
        <v>465</v>
      </c>
      <c r="D171" t="s">
        <v>465</v>
      </c>
    </row>
    <row r="172" spans="2:4">
      <c r="B172" t="s">
        <v>297</v>
      </c>
      <c r="C172" t="s">
        <v>466</v>
      </c>
      <c r="D172" t="s">
        <v>466</v>
      </c>
    </row>
    <row r="173" spans="2:4">
      <c r="B173" t="s">
        <v>297</v>
      </c>
      <c r="C173" t="s">
        <v>467</v>
      </c>
      <c r="D173" t="s">
        <v>467</v>
      </c>
    </row>
    <row r="174" spans="2:4">
      <c r="B174" t="s">
        <v>297</v>
      </c>
      <c r="C174" t="s">
        <v>468</v>
      </c>
      <c r="D174" t="s">
        <v>468</v>
      </c>
    </row>
    <row r="175" spans="2:4">
      <c r="B175" t="s">
        <v>297</v>
      </c>
      <c r="C175" t="s">
        <v>469</v>
      </c>
      <c r="D175" t="s">
        <v>469</v>
      </c>
    </row>
    <row r="176" spans="2:4">
      <c r="B176" t="s">
        <v>297</v>
      </c>
      <c r="C176" t="s">
        <v>470</v>
      </c>
      <c r="D176" t="s">
        <v>470</v>
      </c>
    </row>
    <row r="177" spans="2:4">
      <c r="B177" t="s">
        <v>297</v>
      </c>
      <c r="C177" t="s">
        <v>471</v>
      </c>
      <c r="D177" t="s">
        <v>471</v>
      </c>
    </row>
    <row r="178" spans="2:4">
      <c r="B178" t="s">
        <v>297</v>
      </c>
      <c r="C178" t="s">
        <v>472</v>
      </c>
      <c r="D178" t="s">
        <v>472</v>
      </c>
    </row>
    <row r="179" spans="2:4">
      <c r="B179" t="s">
        <v>297</v>
      </c>
      <c r="C179" t="s">
        <v>473</v>
      </c>
      <c r="D179" t="s">
        <v>473</v>
      </c>
    </row>
    <row r="180" spans="2:4">
      <c r="B180" t="s">
        <v>297</v>
      </c>
      <c r="C180" t="s">
        <v>474</v>
      </c>
      <c r="D180" t="s">
        <v>474</v>
      </c>
    </row>
    <row r="181" spans="2:4">
      <c r="B181" t="s">
        <v>297</v>
      </c>
      <c r="C181" t="s">
        <v>475</v>
      </c>
      <c r="D181" t="s">
        <v>475</v>
      </c>
    </row>
    <row r="182" spans="2:4">
      <c r="B182" t="s">
        <v>297</v>
      </c>
      <c r="C182" t="s">
        <v>476</v>
      </c>
      <c r="D182" t="s">
        <v>476</v>
      </c>
    </row>
    <row r="183" spans="2:4">
      <c r="B183" t="s">
        <v>297</v>
      </c>
      <c r="C183" t="s">
        <v>477</v>
      </c>
      <c r="D183" t="s">
        <v>477</v>
      </c>
    </row>
    <row r="184" spans="2:4">
      <c r="B184" t="s">
        <v>297</v>
      </c>
      <c r="C184" t="s">
        <v>478</v>
      </c>
      <c r="D184" t="s">
        <v>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296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265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279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274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275</v>
      </c>
      <c r="S14">
        <v>-1</v>
      </c>
    </row>
    <row r="15" spans="1:19">
      <c r="A15" t="s">
        <v>120</v>
      </c>
      <c r="B15" s="4" t="s">
        <v>276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282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283</v>
      </c>
      <c r="S17">
        <v>-1</v>
      </c>
    </row>
    <row r="18" spans="1:19">
      <c r="A18" t="s">
        <v>120</v>
      </c>
      <c r="B18" s="4" t="s">
        <v>277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274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284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278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280</v>
      </c>
    </row>
    <row r="13" spans="1:3">
      <c r="A13" t="s">
        <v>95</v>
      </c>
      <c r="B13" t="s">
        <v>281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276</v>
      </c>
    </row>
    <row r="25" spans="1:2">
      <c r="A25" t="s">
        <v>203</v>
      </c>
      <c r="B25" t="s">
        <v>276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276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266</v>
      </c>
      <c r="B6" t="str">
        <f t="shared" si="0"/>
        <v>geothermal</v>
      </c>
    </row>
    <row r="7" spans="1:3">
      <c r="A7" t="s">
        <v>267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268</v>
      </c>
      <c r="B10" t="str">
        <f t="shared" si="0"/>
        <v>oil</v>
      </c>
    </row>
    <row r="11" spans="1:3">
      <c r="A11" t="s">
        <v>269</v>
      </c>
      <c r="B11" t="str">
        <f t="shared" si="0"/>
        <v>solar</v>
      </c>
    </row>
    <row r="12" spans="1:3">
      <c r="A12" t="s">
        <v>270</v>
      </c>
      <c r="B12" t="s">
        <v>272</v>
      </c>
    </row>
    <row r="13" spans="1:3">
      <c r="A13" t="s">
        <v>271</v>
      </c>
      <c r="B13" t="s">
        <v>273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6"/>
  <sheetViews>
    <sheetView workbookViewId="0">
      <pane ySplit="2" topLeftCell="A39" activePane="bottomLeft" state="frozen"/>
      <selection pane="bottomLeft" activeCell="B39" sqref="B39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262</v>
      </c>
      <c r="C50" t="s">
        <v>132</v>
      </c>
      <c r="E50" t="s">
        <v>136</v>
      </c>
    </row>
    <row r="51" spans="1:5">
      <c r="A51" t="s">
        <v>69</v>
      </c>
      <c r="B51" t="s">
        <v>262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TS_Defs</vt:lpstr>
      <vt:lpstr>TS_ratios</vt:lpstr>
      <vt:lpstr>geolocation</vt:lpstr>
      <vt:lpstr>process_map_geo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2025-09-08T18:50:47Z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