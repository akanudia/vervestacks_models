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\SuppXLS\"/>
    </mc:Choice>
  </mc:AlternateContent>
  <xr:revisionPtr revIDLastSave="0" documentId="8_{AB71A57C-E87F-4A90-B142-4014866A0E5A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12_clu" sheetId="7" r:id="rId6"/>
    <sheet name="ts_annual" sheetId="8" r:id="rId7"/>
    <sheet name="ts_12" sheetId="9" r:id="rId8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9" l="1"/>
  <c r="AG9" i="9"/>
  <c r="AC9" i="9"/>
  <c r="A10" i="6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B10" i="1"/>
  <c r="B11" i="1"/>
  <c r="B12" i="1"/>
  <c r="B13" i="1"/>
  <c r="B9" i="1"/>
  <c r="D2" i="1" l="1"/>
  <c r="H48" i="1"/>
  <c r="H47" i="1"/>
  <c r="H46" i="1"/>
  <c r="H45" i="1"/>
  <c r="H24" i="6"/>
  <c r="H23" i="6"/>
  <c r="D5" i="1"/>
  <c r="E54" i="1"/>
  <c r="E43" i="1"/>
  <c r="E32" i="1"/>
  <c r="E21" i="1"/>
  <c r="E14" i="1"/>
  <c r="D30" i="1"/>
  <c r="D41" i="1" s="1"/>
  <c r="D52" i="1" s="1"/>
  <c r="D63" i="1" s="1"/>
  <c r="D29" i="1"/>
  <c r="D40" i="1" s="1"/>
  <c r="D51" i="1" s="1"/>
  <c r="D62" i="1" s="1"/>
  <c r="D28" i="1"/>
  <c r="D39" i="1" s="1"/>
  <c r="D50" i="1" s="1"/>
  <c r="D61" i="1" s="1"/>
  <c r="D27" i="1"/>
  <c r="D38" i="1" s="1"/>
  <c r="D49" i="1" s="1"/>
  <c r="D60" i="1" s="1"/>
  <c r="D26" i="1"/>
  <c r="D37" i="1" s="1"/>
  <c r="D48" i="1" s="1"/>
  <c r="D59" i="1" s="1"/>
  <c r="D25" i="1"/>
  <c r="D36" i="1" s="1"/>
  <c r="D47" i="1" s="1"/>
  <c r="D58" i="1" s="1"/>
  <c r="D24" i="1"/>
  <c r="D35" i="1" s="1"/>
  <c r="D46" i="1" s="1"/>
  <c r="D57" i="1" s="1"/>
  <c r="D23" i="1"/>
  <c r="D34" i="1" s="1"/>
  <c r="D45" i="1" s="1"/>
  <c r="D56" i="1" s="1"/>
  <c r="D22" i="1"/>
  <c r="D33" i="1" s="1"/>
  <c r="D44" i="1" s="1"/>
  <c r="D55" i="1" s="1"/>
  <c r="D21" i="1"/>
  <c r="D32" i="1" s="1"/>
  <c r="D43" i="1" s="1"/>
  <c r="D54" i="1" s="1"/>
  <c r="D20" i="1"/>
  <c r="H21" i="6" l="1"/>
  <c r="E15" i="1"/>
  <c r="B14" i="1"/>
  <c r="E22" i="1"/>
  <c r="B21" i="1"/>
  <c r="E33" i="1"/>
  <c r="B32" i="1"/>
  <c r="E44" i="1"/>
  <c r="B43" i="1"/>
  <c r="E55" i="1"/>
  <c r="B54" i="1"/>
  <c r="D31" i="1"/>
  <c r="B20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D42" i="1" l="1"/>
  <c r="B31" i="1"/>
  <c r="E56" i="1"/>
  <c r="B55" i="1"/>
  <c r="E45" i="1"/>
  <c r="B44" i="1"/>
  <c r="E34" i="1"/>
  <c r="B33" i="1"/>
  <c r="K40" i="1"/>
  <c r="E23" i="1"/>
  <c r="B22" i="1"/>
  <c r="E16" i="1"/>
  <c r="B15" i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K48" i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E17" i="1" l="1"/>
  <c r="B16" i="1"/>
  <c r="E24" i="1"/>
  <c r="B23" i="1"/>
  <c r="E35" i="1"/>
  <c r="B34" i="1"/>
  <c r="E46" i="1"/>
  <c r="B45" i="1"/>
  <c r="E57" i="1"/>
  <c r="B56" i="1"/>
  <c r="D53" i="1"/>
  <c r="B53" i="1" s="1"/>
  <c r="B42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47" i="1" l="1"/>
  <c r="B46" i="1"/>
  <c r="E36" i="1"/>
  <c r="B35" i="1"/>
  <c r="E58" i="1"/>
  <c r="B57" i="1"/>
  <c r="E25" i="1"/>
  <c r="B24" i="1"/>
  <c r="E18" i="1"/>
  <c r="B17" i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E19" i="1" l="1"/>
  <c r="B19" i="1" s="1"/>
  <c r="B18" i="1"/>
  <c r="E59" i="1"/>
  <c r="B58" i="1"/>
  <c r="E37" i="1"/>
  <c r="B36" i="1"/>
  <c r="E26" i="1"/>
  <c r="B25" i="1"/>
  <c r="E48" i="1"/>
  <c r="B47" i="1"/>
  <c r="U22" i="1"/>
  <c r="Y22" i="1"/>
  <c r="E38" i="1" l="1"/>
  <c r="B37" i="1"/>
  <c r="E60" i="1"/>
  <c r="B59" i="1"/>
  <c r="E49" i="1"/>
  <c r="B48" i="1"/>
  <c r="E27" i="1"/>
  <c r="B26" i="1"/>
  <c r="E28" i="1" l="1"/>
  <c r="B27" i="1"/>
  <c r="E50" i="1"/>
  <c r="B49" i="1"/>
  <c r="E61" i="1"/>
  <c r="B60" i="1"/>
  <c r="E39" i="1"/>
  <c r="B38" i="1"/>
  <c r="E40" i="1" l="1"/>
  <c r="B39" i="1"/>
  <c r="E62" i="1"/>
  <c r="B61" i="1"/>
  <c r="E51" i="1"/>
  <c r="B50" i="1"/>
  <c r="E29" i="1"/>
  <c r="B28" i="1"/>
  <c r="E30" i="1" l="1"/>
  <c r="B30" i="1" s="1"/>
  <c r="B29" i="1"/>
  <c r="E52" i="1"/>
  <c r="B52" i="1" s="1"/>
  <c r="B51" i="1"/>
  <c r="E63" i="1"/>
  <c r="B63" i="1" s="1"/>
  <c r="B62" i="1"/>
  <c r="E41" i="1"/>
  <c r="B41" i="1" s="1"/>
  <c r="B40" i="1"/>
</calcChain>
</file>

<file path=xl/sharedStrings.xml><?xml version="1.0" encoding="utf-8"?>
<sst xmlns="http://schemas.openxmlformats.org/spreadsheetml/2006/main" count="6260" uniqueCount="256">
  <si>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</si>
  <si>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</si>
  <si>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</si>
  <si>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</si>
  <si>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</si>
  <si>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</si>
  <si>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</si>
  <si>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</si>
  <si>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</si>
  <si>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</si>
  <si>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</si>
  <si>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</si>
  <si>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</si>
  <si>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</si>
  <si>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</si>
  <si>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</si>
  <si>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</si>
  <si>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</si>
  <si>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</si>
  <si>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</si>
  <si>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</si>
  <si>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</si>
  <si>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</si>
  <si>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</si>
  <si>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</si>
  <si>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</si>
  <si>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</si>
  <si>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</si>
  <si>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</si>
  <si>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</si>
  <si>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</si>
  <si>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</si>
  <si>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</si>
  <si>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</si>
  <si>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</si>
  <si>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</si>
  <si>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</si>
  <si>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</si>
  <si>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</si>
  <si>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</si>
  <si>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</si>
  <si>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</si>
  <si>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</si>
  <si>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</si>
  <si>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</si>
  <si>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</si>
  <si>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</si>
  <si>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</si>
  <si>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</si>
  <si>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</si>
  <si>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</si>
  <si>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</si>
  <si>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</si>
  <si>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</si>
  <si>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</si>
  <si>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</si>
  <si>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</si>
  <si>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</si>
  <si>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</si>
  <si>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</si>
  <si>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</si>
  <si>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</si>
  <si>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</si>
  <si>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</si>
  <si>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</si>
  <si>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</si>
  <si>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</si>
  <si>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</si>
  <si>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</si>
  <si>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</si>
  <si>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</si>
  <si>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</si>
  <si>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</si>
  <si>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</si>
  <si>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</si>
  <si>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</si>
  <si>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</si>
  <si>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</si>
  <si>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</si>
  <si>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</si>
  <si>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</si>
  <si>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</si>
  <si>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</si>
  <si>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</si>
  <si>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</si>
  <si>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</si>
  <si>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</si>
  <si>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</si>
  <si>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</si>
  <si>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</si>
  <si>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</si>
  <si>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</si>
  <si>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</si>
  <si>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</si>
  <si>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</si>
  <si>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</si>
  <si>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</si>
  <si>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</si>
  <si>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</si>
  <si>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</si>
  <si>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</si>
  <si>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</si>
  <si>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</si>
  <si>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</si>
  <si>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</si>
  <si>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</si>
  <si>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</si>
  <si>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</si>
  <si>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</si>
  <si>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</si>
  <si>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s1_d</t>
  </si>
  <si>
    <t>ts_annual</t>
  </si>
  <si>
    <t>ts_12</t>
  </si>
  <si>
    <t>pset_co</t>
  </si>
  <si>
    <t>1-55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</si>
  <si>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</si>
  <si>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</si>
  <si>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</si>
  <si>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</si>
  <si>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</si>
  <si>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</si>
  <si>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</si>
  <si>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</si>
  <si>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hTS12c</t>
  </si>
  <si>
    <t>a 3 deg</t>
  </si>
  <si>
    <t>gTS24c</t>
  </si>
  <si>
    <t>fTS48c</t>
  </si>
  <si>
    <t>c15d</t>
  </si>
  <si>
    <t>iTS12</t>
  </si>
  <si>
    <t>jAnn</t>
  </si>
  <si>
    <t>f1d</t>
  </si>
  <si>
    <t>~Scenmap</t>
  </si>
  <si>
    <t>scen</t>
  </si>
  <si>
    <t>case_no</t>
  </si>
  <si>
    <t>timeslice</t>
  </si>
  <si>
    <t>climate</t>
  </si>
  <si>
    <t>priority</t>
  </si>
  <si>
    <t>CHE</t>
  </si>
  <si>
    <t>R10EUROPE</t>
  </si>
  <si>
    <t>European pricing, forest resources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</si>
  <si>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</si>
  <si>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</si>
  <si>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</si>
  <si>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</si>
  <si>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</si>
  <si>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</si>
  <si>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</si>
  <si>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</si>
  <si>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</t>
  </si>
  <si>
    <t>S2</t>
  </si>
  <si>
    <t>H2</t>
  </si>
  <si>
    <t>S3</t>
  </si>
  <si>
    <t>H3</t>
  </si>
  <si>
    <t>H4</t>
  </si>
  <si>
    <t>H5</t>
  </si>
  <si>
    <t>com_fr</t>
  </si>
  <si>
    <t>elc_spv-CHE_0000</t>
  </si>
  <si>
    <t>S1aH1</t>
  </si>
  <si>
    <t>IMPNRGZ</t>
  </si>
  <si>
    <t>S1aH2</t>
  </si>
  <si>
    <t>S1aH3</t>
  </si>
  <si>
    <t>S1aH4</t>
  </si>
  <si>
    <t>S1aH5</t>
  </si>
  <si>
    <t>S2aH1</t>
  </si>
  <si>
    <t>S2aH2</t>
  </si>
  <si>
    <t>S2aH3</t>
  </si>
  <si>
    <t>S2aH4</t>
  </si>
  <si>
    <t>S2aH5</t>
  </si>
  <si>
    <t>S3aH1</t>
  </si>
  <si>
    <t>S3aH2</t>
  </si>
  <si>
    <t>S3aH3</t>
  </si>
  <si>
    <t>S3aH4</t>
  </si>
  <si>
    <t>S3aH5</t>
  </si>
  <si>
    <t>elc_spv-CHE_0001</t>
  </si>
  <si>
    <t>elc_spv-CHE_0010</t>
  </si>
  <si>
    <t>elc_spv-CHE_0011</t>
  </si>
  <si>
    <t>elc_spv-CHE_0012</t>
  </si>
  <si>
    <t>elc_spv-CHE_0013</t>
  </si>
  <si>
    <t>elc_spv-CHE_0014</t>
  </si>
  <si>
    <t>elc_spv-CHE_0015</t>
  </si>
  <si>
    <t>elc_spv-CHE_0017</t>
  </si>
  <si>
    <t>elc_spv-CHE_0018</t>
  </si>
  <si>
    <t>elc_spv-CHE_0019</t>
  </si>
  <si>
    <t>elc_spv-CHE_0002</t>
  </si>
  <si>
    <t>elc_spv-CHE_0020</t>
  </si>
  <si>
    <t>elc_spv-CHE_0021</t>
  </si>
  <si>
    <t>elc_spv-CHE_0022</t>
  </si>
  <si>
    <t>elc_spv-CHE_0023</t>
  </si>
  <si>
    <t>elc_spv-CHE_0024</t>
  </si>
  <si>
    <t>elc_spv-CHE_0025</t>
  </si>
  <si>
    <t>elc_spv-CHE_0003</t>
  </si>
  <si>
    <t>elc_spv-CHE_0004</t>
  </si>
  <si>
    <t>elc_spv-CHE_0005</t>
  </si>
  <si>
    <t>elc_spv-CHE_0006</t>
  </si>
  <si>
    <t>elc_spv-CHE_0007</t>
  </si>
  <si>
    <t>elc_spv-CHE_0008</t>
  </si>
  <si>
    <t>elc_spv-CHE_0009</t>
  </si>
  <si>
    <t>elc_won-CHE_0000</t>
  </si>
  <si>
    <t>elc_won-CHE_0001</t>
  </si>
  <si>
    <t>elc_won-CHE_0010</t>
  </si>
  <si>
    <t>elc_won-CHE_0011</t>
  </si>
  <si>
    <t>elc_won-CHE_0012</t>
  </si>
  <si>
    <t>elc_won-CHE_0013</t>
  </si>
  <si>
    <t>elc_won-CHE_0014</t>
  </si>
  <si>
    <t>elc_won-CHE_0015</t>
  </si>
  <si>
    <t>elc_won-CHE_0016</t>
  </si>
  <si>
    <t>elc_won-CHE_0017</t>
  </si>
  <si>
    <t>elc_won-CHE_0018</t>
  </si>
  <si>
    <t>elc_won-CHE_0019</t>
  </si>
  <si>
    <t>elc_won-CHE_0002</t>
  </si>
  <si>
    <t>elc_won-CHE_0020</t>
  </si>
  <si>
    <t>elc_won-CHE_0021</t>
  </si>
  <si>
    <t>elc_won-CHE_0022</t>
  </si>
  <si>
    <t>elc_won-CHE_0023</t>
  </si>
  <si>
    <t>elc_won-CHE_0024</t>
  </si>
  <si>
    <t>elc_won-CHE_0025</t>
  </si>
  <si>
    <t>elc_won-CHE_0003</t>
  </si>
  <si>
    <t>elc_won-CHE_0004</t>
  </si>
  <si>
    <t>elc_won-CHE_0005</t>
  </si>
  <si>
    <t>elc_won-CHE_0006</t>
  </si>
  <si>
    <t>elc_won-CHE_0007</t>
  </si>
  <si>
    <t>elc_won-CHE_0008</t>
  </si>
  <si>
    <t>elc_won-CHE_0009</t>
  </si>
  <si>
    <t>g_yrfr</t>
  </si>
  <si>
    <t>day_night</t>
  </si>
  <si>
    <t>D</t>
  </si>
  <si>
    <t>S1aH2,S2aH3,S3aH3,S1aH4,S2aH2,S2aH4,S3aH4,S1aH3,S3aH2</t>
  </si>
  <si>
    <t>N</t>
  </si>
  <si>
    <t>S1aH5,S2aH5,S1aH1,S3aH1,S3aH5,S2aH1</t>
  </si>
  <si>
    <t>com_pkflx</t>
  </si>
  <si>
    <t>ncap_afs</t>
  </si>
  <si>
    <t>pset_ci</t>
  </si>
  <si>
    <t>hydro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</si>
  <si>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</si>
  <si>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</si>
  <si>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</si>
  <si>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</si>
  <si>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</si>
  <si>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</si>
  <si>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</si>
  <si>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</si>
  <si>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</si>
  <si>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</si>
  <si>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</si>
  <si>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</si>
  <si>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</si>
  <si>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</si>
  <si>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</si>
  <si>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</si>
  <si>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</si>
  <si>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</si>
  <si>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</si>
  <si>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</si>
  <si>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</si>
  <si>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SaD,RaP,WaD,FaD,RaD,FaP,SaP,WaP</t>
  </si>
  <si>
    <t>FaP,SaP,FaN,RaP,SaN,WaN,RaN,WaP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</si>
</sst>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8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17" fontId="0" fillId="0" borderId="0" xfId="0" quotePrefix="1" applyNumberFormat="1"/>
    <xf numFmtId="0" fontId="9" fillId="0" borderId="0" xfId="0" applyFon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65.11999999999999</c:v>
                </c:pt>
                <c:pt idx="1">
                  <c:v>67.073599999999985</c:v>
                </c:pt>
                <c:pt idx="2">
                  <c:v>77.492799999999988</c:v>
                </c:pt>
                <c:pt idx="3">
                  <c:v>93.121599999999987</c:v>
                </c:pt>
                <c:pt idx="4">
                  <c:v>107.44799999999998</c:v>
                </c:pt>
                <c:pt idx="5">
                  <c:v>117.86719999999998</c:v>
                </c:pt>
                <c:pt idx="6">
                  <c:v>125.68159999999997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241.69</c:v>
                </c:pt>
                <c:pt idx="3">
                  <c:v>339.03</c:v>
                </c:pt>
                <c:pt idx="4">
                  <c:v>410.28</c:v>
                </c:pt>
                <c:pt idx="5">
                  <c:v>494.2</c:v>
                </c:pt>
                <c:pt idx="6">
                  <c:v>635.42999999999995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workbookViewId="0">
      <selection activeCell="B14" sqref="B14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</cols>
  <sheetData>
    <row r="1" spans="1:38" x14ac:dyDescent="0.45">
      <c r="G1" s="16" t="s">
        <v>114</v>
      </c>
    </row>
    <row r="2" spans="1:38" x14ac:dyDescent="0.45">
      <c r="D2" s="1" t="str">
        <f>"~Inputcell: "&amp;_xlfn.TEXTJOIN(",",TRUE,G1:EE1)</f>
        <v>~Inputcell: 1-55</v>
      </c>
    </row>
    <row r="3" spans="1:38" x14ac:dyDescent="0.45">
      <c r="D3" s="9">
        <v>3</v>
      </c>
    </row>
    <row r="5" spans="1:38" x14ac:dyDescent="0.45">
      <c r="D5" s="1" t="str">
        <f>VLOOKUP(D3,$C$9:$E$1001,2,FALSE)</f>
        <v>s2_w</v>
      </c>
      <c r="E5" s="1" t="str">
        <f>VLOOKUP(D3,$C$9:$E$1001,3,FALSE)</f>
        <v>C1</v>
      </c>
    </row>
    <row r="7" spans="1:38" x14ac:dyDescent="0.45">
      <c r="B7" s="17" t="s">
        <v>131</v>
      </c>
    </row>
    <row r="8" spans="1:38" ht="14.65" thickBot="1" x14ac:dyDescent="0.5">
      <c r="A8" s="4" t="s">
        <v>136</v>
      </c>
      <c r="B8" s="4" t="s">
        <v>132</v>
      </c>
      <c r="C8" s="4" t="s">
        <v>133</v>
      </c>
      <c r="D8" s="4" t="s">
        <v>134</v>
      </c>
      <c r="E8" s="4" t="s">
        <v>135</v>
      </c>
    </row>
    <row r="9" spans="1:38" x14ac:dyDescent="0.45">
      <c r="A9">
        <v>5</v>
      </c>
      <c r="B9" t="str">
        <f>VLOOKUP(E9,$AK$9:$AL$15,2,FALSE)&amp;"."&amp;VLOOKUP(D9,$AH$9:$AI$19,2,FALSE)</f>
        <v>e 1.5 deg no OS.e3d</v>
      </c>
      <c r="C9">
        <v>1</v>
      </c>
      <c r="D9" t="s">
        <v>102</v>
      </c>
      <c r="E9" t="s">
        <v>0</v>
      </c>
      <c r="G9" t="s">
        <v>1</v>
      </c>
      <c r="AH9" t="s">
        <v>102</v>
      </c>
      <c r="AI9" t="s">
        <v>115</v>
      </c>
      <c r="AK9" t="s">
        <v>0</v>
      </c>
      <c r="AL9" t="s">
        <v>116</v>
      </c>
    </row>
    <row r="10" spans="1:38" x14ac:dyDescent="0.45">
      <c r="A10">
        <v>5</v>
      </c>
      <c r="B10" t="str">
        <f t="shared" ref="B10:B63" si="0">VLOOKUP(E10,$AK$9:$AL$15,2,FALSE)&amp;"."&amp;VLOOKUP(D10,$AH$9:$AI$19,2,FALSE)</f>
        <v>e 1.5 deg no OS.d9d</v>
      </c>
      <c r="C10">
        <v>2</v>
      </c>
      <c r="D10" t="s">
        <v>103</v>
      </c>
      <c r="E10" t="s">
        <v>0</v>
      </c>
      <c r="G10" t="s">
        <v>3</v>
      </c>
      <c r="S10" t="s">
        <v>4</v>
      </c>
      <c r="AH10" t="s">
        <v>103</v>
      </c>
      <c r="AI10" t="s">
        <v>117</v>
      </c>
      <c r="AK10" t="s">
        <v>2</v>
      </c>
      <c r="AL10" t="s">
        <v>118</v>
      </c>
    </row>
    <row r="11" spans="1:38" x14ac:dyDescent="0.45">
      <c r="A11">
        <v>5</v>
      </c>
      <c r="B11" t="str">
        <f t="shared" si="0"/>
        <v>e 1.5 deg no OS.b2w</v>
      </c>
      <c r="C11">
        <v>3</v>
      </c>
      <c r="D11" t="s">
        <v>104</v>
      </c>
      <c r="E11" t="s">
        <v>0</v>
      </c>
      <c r="G11" t="s">
        <v>6</v>
      </c>
      <c r="S11" s="1">
        <v>2022</v>
      </c>
      <c r="AH11" t="s">
        <v>104</v>
      </c>
      <c r="AI11" t="s">
        <v>119</v>
      </c>
      <c r="AK11" t="s">
        <v>5</v>
      </c>
      <c r="AL11" t="s">
        <v>120</v>
      </c>
    </row>
    <row r="12" spans="1:38" ht="14.65" customHeight="1" thickBot="1" x14ac:dyDescent="0.5">
      <c r="A12">
        <v>5</v>
      </c>
      <c r="B12" t="str">
        <f t="shared" si="0"/>
        <v>e 1.5 deg no OS.a2w2d</v>
      </c>
      <c r="C12">
        <v>4</v>
      </c>
      <c r="D12" t="s">
        <v>105</v>
      </c>
      <c r="E12" t="s">
        <v>0</v>
      </c>
      <c r="G12" t="s">
        <v>8</v>
      </c>
      <c r="S12" s="3">
        <f>SUMIFS(iea_data!I3:I9999,iea_data!$B$3:$B$9999,Veda!$S$11)+T28-T29</f>
        <v>65.11999999999999</v>
      </c>
      <c r="T12" s="2" t="s">
        <v>57</v>
      </c>
      <c r="AH12" t="s">
        <v>105</v>
      </c>
      <c r="AI12" t="s">
        <v>121</v>
      </c>
      <c r="AK12" t="s">
        <v>7</v>
      </c>
      <c r="AL12" t="s">
        <v>122</v>
      </c>
    </row>
    <row r="13" spans="1:38" ht="14.65" customHeight="1" thickTop="1" x14ac:dyDescent="0.45">
      <c r="A13">
        <v>5</v>
      </c>
      <c r="B13" t="str">
        <f t="shared" si="0"/>
        <v>e 1.5 deg no OS.hTS12c</v>
      </c>
      <c r="C13">
        <v>5</v>
      </c>
      <c r="D13" t="s">
        <v>106</v>
      </c>
      <c r="E13" t="s">
        <v>0</v>
      </c>
      <c r="G13" t="s">
        <v>10</v>
      </c>
      <c r="AH13" t="s">
        <v>106</v>
      </c>
      <c r="AI13" t="s">
        <v>123</v>
      </c>
      <c r="AK13" t="s">
        <v>9</v>
      </c>
      <c r="AL13" t="s">
        <v>124</v>
      </c>
    </row>
    <row r="14" spans="1:38" x14ac:dyDescent="0.45">
      <c r="A14">
        <v>5</v>
      </c>
      <c r="B14" t="str">
        <f t="shared" si="0"/>
        <v>e 1.5 deg no OS.gTS24c</v>
      </c>
      <c r="C14">
        <v>6</v>
      </c>
      <c r="D14" t="s">
        <v>107</v>
      </c>
      <c r="E14" t="str">
        <f t="shared" ref="E14:E63" si="1">E13</f>
        <v>C1</v>
      </c>
      <c r="T14" s="8">
        <f>S12</f>
        <v>65.11999999999999</v>
      </c>
      <c r="U14" s="8">
        <f t="shared" ref="U14:Z14" si="2">$S$12*J15</f>
        <v>67.073599999999985</v>
      </c>
      <c r="V14" s="8">
        <f t="shared" si="2"/>
        <v>77.492799999999988</v>
      </c>
      <c r="W14" s="8">
        <f t="shared" si="2"/>
        <v>93.121599999999987</v>
      </c>
      <c r="X14" s="8">
        <f t="shared" si="2"/>
        <v>107.44799999999998</v>
      </c>
      <c r="Y14" s="8">
        <f t="shared" si="2"/>
        <v>117.86719999999998</v>
      </c>
      <c r="Z14" s="8">
        <f t="shared" si="2"/>
        <v>125.68159999999997</v>
      </c>
      <c r="AH14" t="s">
        <v>107</v>
      </c>
      <c r="AI14" t="s">
        <v>125</v>
      </c>
    </row>
    <row r="15" spans="1:38" x14ac:dyDescent="0.45">
      <c r="A15">
        <v>5</v>
      </c>
      <c r="B15" t="str">
        <f t="shared" si="0"/>
        <v>e 1.5 deg no OS.fTS48c</v>
      </c>
      <c r="C15">
        <v>7</v>
      </c>
      <c r="D15" t="s">
        <v>108</v>
      </c>
      <c r="E15" t="str">
        <f t="shared" si="1"/>
        <v>C1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1.03</v>
      </c>
      <c r="K15" s="11">
        <f>SUMIFS(ar6_r10!$F$2:$F$999,ar6_r10!$A$2:$A$999,Veda!$E$5,ar6_r10!$C$2:$C$999,Veda!K$17,ar6_r10!$M$2:$M$999,Veda!$G15)</f>
        <v>1.19</v>
      </c>
      <c r="L15" s="11">
        <f>SUMIFS(ar6_r10!$F$2:$F$999,ar6_r10!$A$2:$A$999,Veda!$E$5,ar6_r10!$C$2:$C$999,Veda!L$17,ar6_r10!$M$2:$M$999,Veda!$G15)</f>
        <v>1.43</v>
      </c>
      <c r="M15" s="11">
        <f>SUMIFS(ar6_r10!$F$2:$F$999,ar6_r10!$A$2:$A$999,Veda!$E$5,ar6_r10!$C$2:$C$999,Veda!M$17,ar6_r10!$M$2:$M$999,Veda!$G15)</f>
        <v>1.65</v>
      </c>
      <c r="N15" s="11">
        <f>SUMIFS(ar6_r10!$F$2:$F$999,ar6_r10!$A$2:$A$999,Veda!$E$5,ar6_r10!$C$2:$C$999,Veda!N$17,ar6_r10!$M$2:$M$999,Veda!$G15)</f>
        <v>1.81</v>
      </c>
      <c r="O15" s="11">
        <f>SUMIFS(ar6_r10!$F$2:$F$999,ar6_r10!$A$2:$A$999,Veda!$E$5,ar6_r10!$C$2:$C$999,Veda!O$17,ar6_r10!$M$2:$M$999,Veda!$G15)</f>
        <v>1.93</v>
      </c>
      <c r="AH15" t="s">
        <v>108</v>
      </c>
      <c r="AI15" t="s">
        <v>126</v>
      </c>
    </row>
    <row r="16" spans="1:38" ht="17.649999999999999" customHeight="1" thickBot="1" x14ac:dyDescent="0.6">
      <c r="A16">
        <v>5</v>
      </c>
      <c r="B16" t="str">
        <f t="shared" si="0"/>
        <v>e 1.5 deg no OS.c15d</v>
      </c>
      <c r="C16">
        <v>8</v>
      </c>
      <c r="D16" t="s">
        <v>109</v>
      </c>
      <c r="E16" t="str">
        <f t="shared" si="1"/>
        <v>C1</v>
      </c>
      <c r="S16" s="5" t="s">
        <v>12</v>
      </c>
      <c r="AH16" t="s">
        <v>109</v>
      </c>
      <c r="AI16" t="s">
        <v>127</v>
      </c>
    </row>
    <row r="17" spans="1:35" ht="15" customHeight="1" thickTop="1" thickBot="1" x14ac:dyDescent="0.5">
      <c r="A17">
        <v>5</v>
      </c>
      <c r="B17" t="str">
        <f t="shared" si="0"/>
        <v>e 1.5 deg no OS.f1d</v>
      </c>
      <c r="C17">
        <v>9</v>
      </c>
      <c r="D17" t="s">
        <v>110</v>
      </c>
      <c r="E17" t="str">
        <f t="shared" si="1"/>
        <v>C1</v>
      </c>
      <c r="I17" s="7">
        <v>2020</v>
      </c>
      <c r="J17" s="7">
        <f t="shared" ref="J17:O17" si="3">U17</f>
        <v>2025</v>
      </c>
      <c r="K17" s="7">
        <f t="shared" si="3"/>
        <v>2030</v>
      </c>
      <c r="L17" s="7">
        <f t="shared" si="3"/>
        <v>2035</v>
      </c>
      <c r="M17" s="7">
        <f t="shared" si="3"/>
        <v>2040</v>
      </c>
      <c r="N17" s="7">
        <f t="shared" si="3"/>
        <v>2045</v>
      </c>
      <c r="O17" s="7">
        <f t="shared" si="3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H17" t="s">
        <v>112</v>
      </c>
      <c r="AI17" t="s">
        <v>128</v>
      </c>
    </row>
    <row r="18" spans="1:35" x14ac:dyDescent="0.45">
      <c r="A18">
        <v>5</v>
      </c>
      <c r="B18" t="str">
        <f t="shared" si="0"/>
        <v>e 1.5 deg no OS.jAnn</v>
      </c>
      <c r="C18">
        <v>10</v>
      </c>
      <c r="D18" t="s">
        <v>111</v>
      </c>
      <c r="E18" t="str">
        <f t="shared" si="1"/>
        <v>C1</v>
      </c>
      <c r="G18" t="s">
        <v>15</v>
      </c>
      <c r="I18" s="11">
        <f>SUMIFS(ar6_r10!$F$2:$F$999,ar6_r10!$A$2:$A$999,Veda!$E$5,ar6_r10!$C$2:$C$999,Veda!I$17,ar6_r10!$M$2:$M$999,Veda!$G18)</f>
        <v>0.01</v>
      </c>
      <c r="J18" s="11">
        <f>SUMIFS(ar6_r10!$F$2:$F$999,ar6_r10!$A$2:$A$999,Veda!$E$5,ar6_r10!$C$2:$C$999,Veda!J$17,ar6_r10!$M$2:$M$999,Veda!$G18)</f>
        <v>0.01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0.03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0.04</v>
      </c>
      <c r="O18" s="11">
        <f>SUMIFS(ar6_r10!$F$2:$F$999,ar6_r10!$A$2:$A$999,Veda!$E$5,ar6_r10!$C$2:$C$999,Veda!O$17,ar6_r10!$M$2:$M$999,Veda!$G18)</f>
        <v>0.05</v>
      </c>
      <c r="S18" s="10" t="s">
        <v>16</v>
      </c>
      <c r="T18" s="6">
        <f t="shared" ref="T18:Z20" si="4">I18*T$14</f>
        <v>0.65119999999999989</v>
      </c>
      <c r="U18" s="6">
        <f t="shared" si="4"/>
        <v>0.67073599999999989</v>
      </c>
      <c r="V18" s="6">
        <f t="shared" si="4"/>
        <v>0.77492799999999995</v>
      </c>
      <c r="W18" s="6">
        <f t="shared" si="4"/>
        <v>2.7936479999999997</v>
      </c>
      <c r="X18" s="6">
        <f t="shared" si="4"/>
        <v>3.2234399999999992</v>
      </c>
      <c r="Y18" s="6">
        <f t="shared" si="4"/>
        <v>4.7146879999999998</v>
      </c>
      <c r="Z18" s="6">
        <f t="shared" si="4"/>
        <v>6.2840799999999994</v>
      </c>
      <c r="AA18" t="s">
        <v>17</v>
      </c>
      <c r="AC18" s="2"/>
      <c r="AH18" t="s">
        <v>111</v>
      </c>
      <c r="AI18" t="s">
        <v>129</v>
      </c>
    </row>
    <row r="19" spans="1:35" x14ac:dyDescent="0.45">
      <c r="A19">
        <v>5</v>
      </c>
      <c r="B19" t="str">
        <f t="shared" si="0"/>
        <v>e 1.5 deg no OS.iTS12</v>
      </c>
      <c r="C19">
        <v>11</v>
      </c>
      <c r="D19" t="s">
        <v>112</v>
      </c>
      <c r="E19" t="str">
        <f t="shared" si="1"/>
        <v>C1</v>
      </c>
      <c r="G19" t="s">
        <v>18</v>
      </c>
      <c r="I19" s="11">
        <f>SUMIFS(ar6_r10!$F$2:$F$999,ar6_r10!$A$2:$A$999,Veda!$E$5,ar6_r10!$C$2:$C$999,Veda!I$17,ar6_r10!$M$2:$M$999,Veda!$G19)</f>
        <v>0.35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0.3</v>
      </c>
      <c r="O19" s="11">
        <f>SUMIFS(ar6_r10!$F$2:$F$999,ar6_r10!$A$2:$A$999,Veda!$E$5,ar6_r10!$C$2:$C$999,Veda!O$17,ar6_r10!$M$2:$M$999,Veda!$G19)</f>
        <v>0.31</v>
      </c>
      <c r="S19" s="10" t="s">
        <v>19</v>
      </c>
      <c r="T19" s="6">
        <f t="shared" si="4"/>
        <v>22.791999999999994</v>
      </c>
      <c r="U19" s="6">
        <f t="shared" si="4"/>
        <v>21.463551999999996</v>
      </c>
      <c r="V19" s="6">
        <f t="shared" si="4"/>
        <v>23.247839999999997</v>
      </c>
      <c r="W19" s="6">
        <f t="shared" si="4"/>
        <v>27.005263999999993</v>
      </c>
      <c r="X19" s="6">
        <f t="shared" si="4"/>
        <v>31.159919999999993</v>
      </c>
      <c r="Y19" s="6">
        <f t="shared" si="4"/>
        <v>35.360159999999993</v>
      </c>
      <c r="Z19" s="6">
        <f t="shared" si="4"/>
        <v>38.96129599999999</v>
      </c>
      <c r="AA19" t="s">
        <v>17</v>
      </c>
      <c r="AH19" t="s">
        <v>110</v>
      </c>
      <c r="AI19" t="s">
        <v>130</v>
      </c>
    </row>
    <row r="20" spans="1:35" x14ac:dyDescent="0.45">
      <c r="A20">
        <v>5</v>
      </c>
      <c r="B20" t="str">
        <f t="shared" si="0"/>
        <v>d 1.5 deg OS.e3d</v>
      </c>
      <c r="C20">
        <v>12</v>
      </c>
      <c r="D20" t="str">
        <f>D9</f>
        <v>s1p1v1_d</v>
      </c>
      <c r="E20" t="s">
        <v>2</v>
      </c>
      <c r="G20" t="s">
        <v>21</v>
      </c>
      <c r="I20" s="11">
        <f>SUMIFS(ar6_r10!$F$2:$F$999,ar6_r10!$A$2:$A$999,Veda!$E$5,ar6_r10!$C$2:$C$999,Veda!I$17,ar6_r10!$M$2:$M$999,Veda!$G20)</f>
        <v>0.61</v>
      </c>
      <c r="J20" s="11">
        <f>SUMIFS(ar6_r10!$F$2:$F$999,ar6_r10!$A$2:$A$999,Veda!$E$5,ar6_r10!$C$2:$C$999,Veda!J$17,ar6_r10!$M$2:$M$999,Veda!$G20)</f>
        <v>0.62</v>
      </c>
      <c r="K20" s="11">
        <f>SUMIFS(ar6_r10!$F$2:$F$999,ar6_r10!$A$2:$A$999,Veda!$E$5,ar6_r10!$C$2:$C$999,Veda!K$17,ar6_r10!$M$2:$M$999,Veda!$G20)</f>
        <v>0.59</v>
      </c>
      <c r="L20" s="11">
        <f>SUMIFS(ar6_r10!$F$2:$F$999,ar6_r10!$A$2:$A$999,Veda!$E$5,ar6_r10!$C$2:$C$999,Veda!L$17,ar6_r10!$M$2:$M$999,Veda!$G20)</f>
        <v>0.56000000000000005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0.53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4"/>
        <v>39.723199999999991</v>
      </c>
      <c r="U20" s="6">
        <f t="shared" si="4"/>
        <v>41.58563199999999</v>
      </c>
      <c r="V20" s="6">
        <f t="shared" si="4"/>
        <v>45.72075199999999</v>
      </c>
      <c r="W20" s="6">
        <f t="shared" si="4"/>
        <v>52.148095999999995</v>
      </c>
      <c r="X20" s="6">
        <f t="shared" si="4"/>
        <v>58.021919999999994</v>
      </c>
      <c r="Y20" s="6">
        <f t="shared" si="4"/>
        <v>62.469615999999995</v>
      </c>
      <c r="Z20" s="6">
        <f t="shared" si="4"/>
        <v>66.611247999999989</v>
      </c>
      <c r="AA20" t="s">
        <v>17</v>
      </c>
    </row>
    <row r="21" spans="1:35" x14ac:dyDescent="0.45">
      <c r="A21">
        <v>5</v>
      </c>
      <c r="B21" t="str">
        <f t="shared" si="0"/>
        <v>d 1.5 deg OS.d9d</v>
      </c>
      <c r="C21">
        <v>13</v>
      </c>
      <c r="D21" t="str">
        <f t="shared" ref="D21:D63" si="5">D10</f>
        <v>s3p3v3_d</v>
      </c>
      <c r="E21" t="str">
        <f t="shared" si="1"/>
        <v>C2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0.1</v>
      </c>
      <c r="L21" s="11">
        <f>SUMIFS(ar6_r10!$F$2:$F$999,ar6_r10!$A$2:$A$999,Veda!$E$5,ar6_r10!$C$2:$C$999,Veda!L$17,ar6_r10!$M$2:$M$999,Veda!$G21)</f>
        <v>0.14000000000000001</v>
      </c>
      <c r="M21" s="11">
        <f>SUMIFS(ar6_r10!$F$2:$F$999,ar6_r10!$A$2:$A$999,Veda!$E$5,ar6_r10!$C$2:$C$999,Veda!M$17,ar6_r10!$M$2:$M$999,Veda!$G21)</f>
        <v>0.17</v>
      </c>
      <c r="N21" s="11">
        <f>SUMIFS(ar6_r10!$F$2:$F$999,ar6_r10!$A$2:$A$999,Veda!$E$5,ar6_r10!$C$2:$C$999,Veda!N$17,ar6_r10!$M$2:$M$999,Veda!$G21)</f>
        <v>0.19</v>
      </c>
      <c r="O21" s="11">
        <f>SUMIFS(ar6_r10!$F$2:$F$999,ar6_r10!$A$2:$A$999,Veda!$E$5,ar6_r10!$C$2:$C$999,Veda!O$17,ar6_r10!$M$2:$M$999,Veda!$G21)</f>
        <v>0.2</v>
      </c>
      <c r="S21" s="10" t="s">
        <v>24</v>
      </c>
      <c r="T21" s="6">
        <f>I21*T$14</f>
        <v>1.9535999999999996</v>
      </c>
      <c r="U21" s="6">
        <f t="shared" ref="U21:Z21" si="6">T21</f>
        <v>1.9535999999999996</v>
      </c>
      <c r="V21" s="6">
        <f t="shared" si="6"/>
        <v>1.9535999999999996</v>
      </c>
      <c r="W21" s="6">
        <f t="shared" si="6"/>
        <v>1.9535999999999996</v>
      </c>
      <c r="X21" s="6">
        <f t="shared" si="6"/>
        <v>1.9535999999999996</v>
      </c>
      <c r="Y21" s="6">
        <f t="shared" si="6"/>
        <v>1.9535999999999996</v>
      </c>
      <c r="Z21" s="6">
        <f t="shared" si="6"/>
        <v>1.9535999999999996</v>
      </c>
      <c r="AA21" t="s">
        <v>17</v>
      </c>
      <c r="AC21" s="2" t="s">
        <v>20</v>
      </c>
    </row>
    <row r="22" spans="1:35" x14ac:dyDescent="0.45">
      <c r="A22">
        <v>5</v>
      </c>
      <c r="B22" t="str">
        <f t="shared" si="0"/>
        <v>d 1.5 deg OS.b2w</v>
      </c>
      <c r="C22">
        <v>14</v>
      </c>
      <c r="D22" t="str">
        <f t="shared" si="5"/>
        <v>s2_w</v>
      </c>
      <c r="E22" t="str">
        <f t="shared" si="1"/>
        <v>C2</v>
      </c>
      <c r="S22" s="10" t="s">
        <v>25</v>
      </c>
      <c r="T22" s="6">
        <f t="shared" ref="T22:Z22" si="7">T14-SUM(T19:T21)</f>
        <v>0.65120000000000289</v>
      </c>
      <c r="U22" s="6">
        <f t="shared" si="7"/>
        <v>2.0708160000000078</v>
      </c>
      <c r="V22" s="6">
        <f t="shared" si="7"/>
        <v>6.5706080000000071</v>
      </c>
      <c r="W22" s="6">
        <f t="shared" si="7"/>
        <v>12.01464</v>
      </c>
      <c r="X22" s="6">
        <f t="shared" si="7"/>
        <v>16.312559999999991</v>
      </c>
      <c r="Y22" s="6">
        <f t="shared" si="7"/>
        <v>18.083824000000007</v>
      </c>
      <c r="Z22" s="6">
        <f t="shared" si="7"/>
        <v>18.155456000000001</v>
      </c>
      <c r="AA22" t="s">
        <v>17</v>
      </c>
    </row>
    <row r="23" spans="1:35" x14ac:dyDescent="0.45">
      <c r="A23">
        <v>5</v>
      </c>
      <c r="B23" t="str">
        <f t="shared" si="0"/>
        <v>d 1.5 deg OS.a2w2d</v>
      </c>
      <c r="C23">
        <v>15</v>
      </c>
      <c r="D23" t="str">
        <f t="shared" si="5"/>
        <v>s2_w_p2_d</v>
      </c>
      <c r="E23" t="str">
        <f t="shared" si="1"/>
        <v>C2</v>
      </c>
      <c r="S23" t="s">
        <v>26</v>
      </c>
    </row>
    <row r="24" spans="1:35" ht="14.65" customHeight="1" x14ac:dyDescent="0.45">
      <c r="A24">
        <v>5</v>
      </c>
      <c r="B24" t="str">
        <f t="shared" si="0"/>
        <v>d 1.5 deg OS.hTS12c</v>
      </c>
      <c r="C24">
        <v>16</v>
      </c>
      <c r="D24" t="str">
        <f t="shared" si="5"/>
        <v>ts12_clu</v>
      </c>
      <c r="E24" t="str">
        <f t="shared" si="1"/>
        <v>C2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241.69</v>
      </c>
      <c r="L24" s="8">
        <f>SUMIFS(ar6_r10!$F$2:$F$999,ar6_r10!$A$2:$A$999,Veda!$E$5,ar6_r10!$C$2:$C$999,Veda!L$17,ar6_r10!$M$2:$M$999,Veda!$G24)</f>
        <v>339.03</v>
      </c>
      <c r="M24" s="8">
        <f>SUMIFS(ar6_r10!$F$2:$F$999,ar6_r10!$A$2:$A$999,Veda!$E$5,ar6_r10!$C$2:$C$999,Veda!M$17,ar6_r10!$M$2:$M$999,Veda!$G24)</f>
        <v>410.28</v>
      </c>
      <c r="N24" s="8">
        <f>SUMIFS(ar6_r10!$F$2:$F$999,ar6_r10!$A$2:$A$999,Veda!$E$5,ar6_r10!$C$2:$C$999,Veda!N$17,ar6_r10!$M$2:$M$999,Veda!$G24)</f>
        <v>494.2</v>
      </c>
      <c r="O24" s="8">
        <f>SUMIFS(ar6_r10!$F$2:$F$999,ar6_r10!$A$2:$A$999,Veda!$E$5,ar6_r10!$C$2:$C$999,Veda!O$17,ar6_r10!$M$2:$M$999,Veda!$G24)</f>
        <v>635.42999999999995</v>
      </c>
      <c r="S24" t="s">
        <v>28</v>
      </c>
      <c r="U24">
        <v>0</v>
      </c>
      <c r="V24" s="11">
        <f>K24/1000</f>
        <v>0.24168999999999999</v>
      </c>
      <c r="W24" s="11">
        <f>L24/1000</f>
        <v>0.33903</v>
      </c>
      <c r="X24" s="11">
        <f>M24/1000</f>
        <v>0.41027999999999998</v>
      </c>
      <c r="Y24" s="11">
        <f>N24/1000</f>
        <v>0.49419999999999997</v>
      </c>
      <c r="Z24" s="11">
        <f>O24/1000</f>
        <v>0.63542999999999994</v>
      </c>
      <c r="AA24" t="s">
        <v>29</v>
      </c>
    </row>
    <row r="25" spans="1:35" ht="14.65" customHeight="1" x14ac:dyDescent="0.45">
      <c r="A25">
        <v>5</v>
      </c>
      <c r="B25" t="str">
        <f t="shared" si="0"/>
        <v>d 1.5 deg OS.gTS24c</v>
      </c>
      <c r="C25">
        <v>17</v>
      </c>
      <c r="D25" t="str">
        <f t="shared" si="5"/>
        <v>ts24_clu</v>
      </c>
      <c r="E25" t="str">
        <f t="shared" si="1"/>
        <v>C2</v>
      </c>
    </row>
    <row r="26" spans="1:35" ht="17.649999999999999" customHeight="1" thickBot="1" x14ac:dyDescent="0.6">
      <c r="A26">
        <v>5</v>
      </c>
      <c r="B26" t="str">
        <f t="shared" si="0"/>
        <v>d 1.5 deg OS.fTS48c</v>
      </c>
      <c r="C26">
        <v>18</v>
      </c>
      <c r="D26" t="str">
        <f t="shared" si="5"/>
        <v>ts48_clu</v>
      </c>
      <c r="E26" t="str">
        <f t="shared" si="1"/>
        <v>C2</v>
      </c>
      <c r="S26" s="5" t="s">
        <v>12</v>
      </c>
    </row>
    <row r="27" spans="1:35" ht="15" customHeight="1" thickTop="1" thickBot="1" x14ac:dyDescent="0.5">
      <c r="A27">
        <v>5</v>
      </c>
      <c r="B27" t="str">
        <f t="shared" si="0"/>
        <v>d 1.5 deg OS.c15d</v>
      </c>
      <c r="C27">
        <v>19</v>
      </c>
      <c r="D27" t="str">
        <f t="shared" si="5"/>
        <v>s5p5v5_d</v>
      </c>
      <c r="E27" t="str">
        <f t="shared" si="1"/>
        <v>C2</v>
      </c>
      <c r="S27" s="4" t="s">
        <v>30</v>
      </c>
      <c r="T27" s="4">
        <f t="shared" ref="T27:Z27" si="8">T17</f>
        <v>2022</v>
      </c>
      <c r="U27" s="4">
        <f t="shared" si="8"/>
        <v>2025</v>
      </c>
      <c r="V27" s="4">
        <f t="shared" si="8"/>
        <v>2030</v>
      </c>
      <c r="W27" s="4">
        <f t="shared" si="8"/>
        <v>2035</v>
      </c>
      <c r="X27" s="4">
        <f t="shared" si="8"/>
        <v>2040</v>
      </c>
      <c r="Y27" s="4">
        <f t="shared" si="8"/>
        <v>2045</v>
      </c>
      <c r="Z27" s="4">
        <f t="shared" si="8"/>
        <v>2050</v>
      </c>
      <c r="AA27" s="4" t="s">
        <v>14</v>
      </c>
      <c r="AB27" s="4" t="s">
        <v>31</v>
      </c>
    </row>
    <row r="28" spans="1:35" ht="14.65" customHeight="1" thickBot="1" x14ac:dyDescent="0.5">
      <c r="A28">
        <v>5</v>
      </c>
      <c r="B28" t="str">
        <f t="shared" si="0"/>
        <v>d 1.5 deg OS.f1d</v>
      </c>
      <c r="C28">
        <v>20</v>
      </c>
      <c r="D28" t="str">
        <f t="shared" si="5"/>
        <v>s1_d</v>
      </c>
      <c r="E28" t="str">
        <f t="shared" si="1"/>
        <v>C2</v>
      </c>
      <c r="Q28" s="3">
        <f>SUMIFS(iea_data!G3:G9999,iea_data!$B$3:$B$9999,Veda!$S$11)</f>
        <v>33.119999999999997</v>
      </c>
      <c r="S28" t="s">
        <v>32</v>
      </c>
      <c r="T28" s="3">
        <f>Q28</f>
        <v>33.119999999999997</v>
      </c>
      <c r="V28" s="6"/>
      <c r="W28" s="6"/>
      <c r="X28" s="6"/>
      <c r="Y28" s="6"/>
      <c r="Z28" s="6"/>
      <c r="AA28" t="s">
        <v>33</v>
      </c>
      <c r="AB28" t="s">
        <v>34</v>
      </c>
    </row>
    <row r="29" spans="1:35" ht="15" customHeight="1" thickTop="1" thickBot="1" x14ac:dyDescent="0.5">
      <c r="A29">
        <v>5</v>
      </c>
      <c r="B29" t="str">
        <f t="shared" si="0"/>
        <v>d 1.5 deg OS.jAnn</v>
      </c>
      <c r="C29">
        <v>21</v>
      </c>
      <c r="D29" t="str">
        <f t="shared" si="5"/>
        <v>ts_annual</v>
      </c>
      <c r="E29" t="str">
        <f t="shared" si="1"/>
        <v>C2</v>
      </c>
      <c r="Q29" s="3">
        <f>SUMIFS(iea_data!H3:H9999,iea_data!$B$3:$B$9999,Veda!$S$11)</f>
        <v>-29.73</v>
      </c>
      <c r="S29" t="s">
        <v>35</v>
      </c>
      <c r="T29" s="3">
        <f>-1*Q29</f>
        <v>29.73</v>
      </c>
      <c r="V29" s="6"/>
      <c r="W29" s="6"/>
      <c r="X29" s="6"/>
      <c r="Y29" s="6"/>
      <c r="Z29" s="6"/>
      <c r="AA29" t="s">
        <v>33</v>
      </c>
      <c r="AB29" t="s">
        <v>34</v>
      </c>
    </row>
    <row r="30" spans="1:35" ht="14.65" customHeight="1" thickTop="1" x14ac:dyDescent="0.45">
      <c r="A30">
        <v>5</v>
      </c>
      <c r="B30" t="str">
        <f t="shared" si="0"/>
        <v>d 1.5 deg OS.iTS12</v>
      </c>
      <c r="C30">
        <v>22</v>
      </c>
      <c r="D30" t="str">
        <f t="shared" si="5"/>
        <v>ts_12</v>
      </c>
      <c r="E30" t="str">
        <f t="shared" si="1"/>
        <v>C2</v>
      </c>
    </row>
    <row r="31" spans="1:35" x14ac:dyDescent="0.45">
      <c r="A31">
        <v>5</v>
      </c>
      <c r="B31" t="str">
        <f t="shared" si="0"/>
        <v>c 2 deg (67%).e3d</v>
      </c>
      <c r="C31">
        <v>23</v>
      </c>
      <c r="D31" t="str">
        <f t="shared" si="5"/>
        <v>s1p1v1_d</v>
      </c>
      <c r="E31" t="s">
        <v>5</v>
      </c>
    </row>
    <row r="32" spans="1:35" x14ac:dyDescent="0.45">
      <c r="A32">
        <v>5</v>
      </c>
      <c r="B32" t="str">
        <f t="shared" si="0"/>
        <v>c 2 deg (67%).d9d</v>
      </c>
      <c r="C32">
        <v>24</v>
      </c>
      <c r="D32" t="str">
        <f t="shared" si="5"/>
        <v>s3p3v3_d</v>
      </c>
      <c r="E32" t="str">
        <f t="shared" si="1"/>
        <v>C3</v>
      </c>
    </row>
    <row r="33" spans="1:19" x14ac:dyDescent="0.45">
      <c r="A33">
        <v>5</v>
      </c>
      <c r="B33" t="str">
        <f t="shared" si="0"/>
        <v>c 2 deg (67%).b2w</v>
      </c>
      <c r="C33">
        <v>25</v>
      </c>
      <c r="D33" t="str">
        <f t="shared" si="5"/>
        <v>s2_w</v>
      </c>
      <c r="E33" t="str">
        <f t="shared" si="1"/>
        <v>C3</v>
      </c>
    </row>
    <row r="34" spans="1:19" x14ac:dyDescent="0.45">
      <c r="A34">
        <v>5</v>
      </c>
      <c r="B34" t="str">
        <f t="shared" si="0"/>
        <v>c 2 deg (67%).a2w2d</v>
      </c>
      <c r="C34">
        <v>26</v>
      </c>
      <c r="D34" t="str">
        <f t="shared" si="5"/>
        <v>s2_w_p2_d</v>
      </c>
      <c r="E34" t="str">
        <f t="shared" si="1"/>
        <v>C3</v>
      </c>
    </row>
    <row r="35" spans="1:19" x14ac:dyDescent="0.45">
      <c r="A35">
        <v>5</v>
      </c>
      <c r="B35" t="str">
        <f t="shared" si="0"/>
        <v>c 2 deg (67%).hTS12c</v>
      </c>
      <c r="C35">
        <v>27</v>
      </c>
      <c r="D35" t="str">
        <f t="shared" si="5"/>
        <v>ts12_clu</v>
      </c>
      <c r="E35" t="str">
        <f t="shared" si="1"/>
        <v>C3</v>
      </c>
    </row>
    <row r="36" spans="1:19" x14ac:dyDescent="0.45">
      <c r="A36">
        <v>5</v>
      </c>
      <c r="B36" t="str">
        <f t="shared" si="0"/>
        <v>c 2 deg (67%).gTS24c</v>
      </c>
      <c r="C36">
        <v>28</v>
      </c>
      <c r="D36" t="str">
        <f t="shared" si="5"/>
        <v>ts24_clu</v>
      </c>
      <c r="E36" t="str">
        <f t="shared" si="1"/>
        <v>C3</v>
      </c>
      <c r="G36" s="2" t="s">
        <v>9</v>
      </c>
    </row>
    <row r="37" spans="1:19" x14ac:dyDescent="0.45">
      <c r="A37">
        <v>5</v>
      </c>
      <c r="B37" t="str">
        <f t="shared" si="0"/>
        <v>c 2 deg (67%).fTS48c</v>
      </c>
      <c r="C37">
        <v>29</v>
      </c>
      <c r="D37" t="str">
        <f t="shared" si="5"/>
        <v>ts48_clu</v>
      </c>
      <c r="E37" t="str">
        <f t="shared" si="1"/>
        <v>C3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</row>
    <row r="38" spans="1:19" x14ac:dyDescent="0.45">
      <c r="A38">
        <v>5</v>
      </c>
      <c r="B38" t="str">
        <f t="shared" si="0"/>
        <v>c 2 deg (67%).c15d</v>
      </c>
      <c r="C38">
        <v>30</v>
      </c>
      <c r="D38" t="str">
        <f t="shared" si="5"/>
        <v>s5p5v5_d</v>
      </c>
      <c r="E38" t="str">
        <f t="shared" si="1"/>
        <v>C3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</row>
    <row r="39" spans="1:19" x14ac:dyDescent="0.45">
      <c r="A39">
        <v>5</v>
      </c>
      <c r="B39" t="str">
        <f t="shared" si="0"/>
        <v>c 2 deg (67%).f1d</v>
      </c>
      <c r="C39">
        <v>31</v>
      </c>
      <c r="D39" t="str">
        <f t="shared" si="5"/>
        <v>s1_d</v>
      </c>
      <c r="E39" t="str">
        <f t="shared" si="1"/>
        <v>C3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</row>
    <row r="40" spans="1:19" x14ac:dyDescent="0.45">
      <c r="A40">
        <v>5</v>
      </c>
      <c r="B40" t="str">
        <f t="shared" si="0"/>
        <v>c 2 deg (67%).jAnn</v>
      </c>
      <c r="C40">
        <v>32</v>
      </c>
      <c r="D40" t="str">
        <f t="shared" si="5"/>
        <v>ts_annual</v>
      </c>
      <c r="E40" t="str">
        <f t="shared" si="1"/>
        <v>C3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</row>
    <row r="41" spans="1:19" x14ac:dyDescent="0.45">
      <c r="A41">
        <v>5</v>
      </c>
      <c r="B41" t="str">
        <f t="shared" si="0"/>
        <v>c 2 deg (67%).iTS12</v>
      </c>
      <c r="C41">
        <v>33</v>
      </c>
      <c r="D41" t="str">
        <f t="shared" si="5"/>
        <v>ts_12</v>
      </c>
      <c r="E41" t="str">
        <f t="shared" si="1"/>
        <v>C3</v>
      </c>
    </row>
    <row r="42" spans="1:19" x14ac:dyDescent="0.45">
      <c r="A42">
        <v>5</v>
      </c>
      <c r="B42" t="str">
        <f t="shared" si="0"/>
        <v>b 2 deg (50%).e3d</v>
      </c>
      <c r="C42">
        <v>34</v>
      </c>
      <c r="D42" t="str">
        <f t="shared" si="5"/>
        <v>s1p1v1_d</v>
      </c>
      <c r="E42" t="s">
        <v>7</v>
      </c>
    </row>
    <row r="43" spans="1:19" x14ac:dyDescent="0.45">
      <c r="A43">
        <v>5</v>
      </c>
      <c r="B43" t="str">
        <f t="shared" si="0"/>
        <v>b 2 deg (50%).d9d</v>
      </c>
      <c r="C43">
        <v>35</v>
      </c>
      <c r="D43" t="str">
        <f t="shared" si="5"/>
        <v>s3p3v3_d</v>
      </c>
      <c r="E43" t="str">
        <f t="shared" si="1"/>
        <v>C4</v>
      </c>
      <c r="G43" t="s">
        <v>84</v>
      </c>
    </row>
    <row r="44" spans="1:19" x14ac:dyDescent="0.45">
      <c r="A44">
        <v>5</v>
      </c>
      <c r="B44" t="str">
        <f t="shared" si="0"/>
        <v>b 2 deg (50%).b2w</v>
      </c>
      <c r="C44">
        <v>36</v>
      </c>
      <c r="D44" t="str">
        <f t="shared" si="5"/>
        <v>s2_w</v>
      </c>
      <c r="E44" t="str">
        <f t="shared" si="1"/>
        <v>C4</v>
      </c>
      <c r="G44" t="s">
        <v>13</v>
      </c>
      <c r="H44" t="s">
        <v>113</v>
      </c>
      <c r="I44">
        <v>2022</v>
      </c>
      <c r="J44">
        <f>J17</f>
        <v>2025</v>
      </c>
      <c r="K44">
        <f t="shared" ref="K44:O44" si="9">K17</f>
        <v>2030</v>
      </c>
      <c r="L44">
        <f t="shared" si="9"/>
        <v>2035</v>
      </c>
      <c r="M44">
        <f t="shared" si="9"/>
        <v>2040</v>
      </c>
      <c r="N44">
        <f t="shared" si="9"/>
        <v>2045</v>
      </c>
      <c r="O44">
        <f t="shared" si="9"/>
        <v>2050</v>
      </c>
      <c r="R44" t="s">
        <v>82</v>
      </c>
      <c r="S44" t="s">
        <v>83</v>
      </c>
    </row>
    <row r="45" spans="1:19" x14ac:dyDescent="0.45">
      <c r="A45">
        <v>5</v>
      </c>
      <c r="B45" t="str">
        <f t="shared" si="0"/>
        <v>b 2 deg (50%).a2w2d</v>
      </c>
      <c r="C45">
        <v>37</v>
      </c>
      <c r="D45" t="str">
        <f t="shared" si="5"/>
        <v>s2_w_p2_d</v>
      </c>
      <c r="E45" t="str">
        <f t="shared" si="1"/>
        <v>C4</v>
      </c>
      <c r="G45" t="s">
        <v>78</v>
      </c>
      <c r="H45" t="str">
        <f>G45</f>
        <v>Gas</v>
      </c>
      <c r="I45">
        <f t="shared" ref="I45:O48" si="10">AVERAGE($R45:$S45)*I37</f>
        <v>35.1</v>
      </c>
      <c r="J45">
        <f t="shared" si="10"/>
        <v>37.557000000000002</v>
      </c>
      <c r="K45">
        <f t="shared" si="10"/>
        <v>43.524000000000001</v>
      </c>
      <c r="L45">
        <f t="shared" si="10"/>
        <v>40.365000000000002</v>
      </c>
      <c r="M45">
        <f t="shared" si="10"/>
        <v>43.875</v>
      </c>
      <c r="N45">
        <f t="shared" si="10"/>
        <v>41.067</v>
      </c>
      <c r="O45">
        <f t="shared" si="10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</row>
    <row r="46" spans="1:19" x14ac:dyDescent="0.45">
      <c r="A46">
        <v>5</v>
      </c>
      <c r="B46" t="str">
        <f t="shared" si="0"/>
        <v>b 2 deg (50%).hTS12c</v>
      </c>
      <c r="C46">
        <v>38</v>
      </c>
      <c r="D46" t="str">
        <f t="shared" si="5"/>
        <v>ts12_clu</v>
      </c>
      <c r="E46" t="str">
        <f t="shared" si="1"/>
        <v>C4</v>
      </c>
      <c r="G46" t="s">
        <v>79</v>
      </c>
      <c r="H46" t="str">
        <f t="shared" ref="H46:H48" si="11">G46</f>
        <v>Coal</v>
      </c>
      <c r="I46">
        <f t="shared" si="10"/>
        <v>16.75</v>
      </c>
      <c r="J46">
        <f t="shared" si="10"/>
        <v>17.085000000000001</v>
      </c>
      <c r="K46">
        <f t="shared" si="10"/>
        <v>17.755000000000003</v>
      </c>
      <c r="L46">
        <f t="shared" si="10"/>
        <v>17.922499999999999</v>
      </c>
      <c r="M46">
        <f t="shared" si="10"/>
        <v>18.09</v>
      </c>
      <c r="N46">
        <f t="shared" si="10"/>
        <v>18.425000000000001</v>
      </c>
      <c r="O46">
        <f t="shared" si="10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</row>
    <row r="47" spans="1:19" x14ac:dyDescent="0.45">
      <c r="A47">
        <v>5</v>
      </c>
      <c r="B47" t="str">
        <f t="shared" si="0"/>
        <v>b 2 deg (50%).gTS24c</v>
      </c>
      <c r="C47">
        <v>39</v>
      </c>
      <c r="D47" t="str">
        <f t="shared" si="5"/>
        <v>ts24_clu</v>
      </c>
      <c r="E47" t="str">
        <f t="shared" si="1"/>
        <v>C4</v>
      </c>
      <c r="G47" t="s">
        <v>80</v>
      </c>
      <c r="H47" t="str">
        <f t="shared" si="11"/>
        <v>Oil</v>
      </c>
      <c r="I47">
        <f t="shared" si="10"/>
        <v>55</v>
      </c>
      <c r="J47">
        <f t="shared" si="10"/>
        <v>55.55</v>
      </c>
      <c r="K47">
        <f t="shared" si="10"/>
        <v>61.050000000000004</v>
      </c>
      <c r="L47">
        <f t="shared" si="10"/>
        <v>55.55</v>
      </c>
      <c r="M47">
        <f t="shared" si="10"/>
        <v>55.55</v>
      </c>
      <c r="N47">
        <f t="shared" si="10"/>
        <v>57.2</v>
      </c>
      <c r="O47">
        <f t="shared" si="10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</row>
    <row r="48" spans="1:19" x14ac:dyDescent="0.45">
      <c r="A48">
        <v>5</v>
      </c>
      <c r="B48" t="str">
        <f t="shared" si="0"/>
        <v>b 2 deg (50%).fTS48c</v>
      </c>
      <c r="C48">
        <v>40</v>
      </c>
      <c r="D48" t="str">
        <f t="shared" si="5"/>
        <v>ts48_clu</v>
      </c>
      <c r="E48" t="str">
        <f t="shared" si="1"/>
        <v>C4</v>
      </c>
      <c r="G48" t="s">
        <v>81</v>
      </c>
      <c r="H48" t="str">
        <f t="shared" si="11"/>
        <v>Bioenergy</v>
      </c>
      <c r="I48">
        <f t="shared" si="10"/>
        <v>32</v>
      </c>
      <c r="J48">
        <f t="shared" si="10"/>
        <v>30.72</v>
      </c>
      <c r="K48">
        <f t="shared" si="10"/>
        <v>33.28</v>
      </c>
      <c r="L48">
        <f t="shared" si="10"/>
        <v>33.28</v>
      </c>
      <c r="M48">
        <f t="shared" si="10"/>
        <v>31.36</v>
      </c>
      <c r="N48">
        <f t="shared" si="10"/>
        <v>31.68</v>
      </c>
      <c r="O48">
        <f t="shared" si="10"/>
        <v>32</v>
      </c>
      <c r="R48">
        <f>HLOOKUP($G48&amp;"_"&amp;R$44,fuel_prices!$B$10:$I$11,2,FALSE)</f>
        <v>28</v>
      </c>
      <c r="S48">
        <f>HLOOKUP($G48&amp;"_"&amp;S$44,fuel_prices!$B$10:$I$11,2,FALSE)</f>
        <v>36</v>
      </c>
    </row>
    <row r="49" spans="1:5" x14ac:dyDescent="0.45">
      <c r="A49">
        <v>5</v>
      </c>
      <c r="B49" t="str">
        <f t="shared" si="0"/>
        <v>b 2 deg (50%).c15d</v>
      </c>
      <c r="C49">
        <v>41</v>
      </c>
      <c r="D49" t="str">
        <f t="shared" si="5"/>
        <v>s5p5v5_d</v>
      </c>
      <c r="E49" t="str">
        <f t="shared" si="1"/>
        <v>C4</v>
      </c>
    </row>
    <row r="50" spans="1:5" x14ac:dyDescent="0.45">
      <c r="A50">
        <v>5</v>
      </c>
      <c r="B50" t="str">
        <f t="shared" si="0"/>
        <v>b 2 deg (50%).f1d</v>
      </c>
      <c r="C50">
        <v>42</v>
      </c>
      <c r="D50" t="str">
        <f t="shared" si="5"/>
        <v>s1_d</v>
      </c>
      <c r="E50" t="str">
        <f t="shared" si="1"/>
        <v>C4</v>
      </c>
    </row>
    <row r="51" spans="1:5" x14ac:dyDescent="0.45">
      <c r="A51">
        <v>5</v>
      </c>
      <c r="B51" t="str">
        <f t="shared" si="0"/>
        <v>b 2 deg (50%).jAnn</v>
      </c>
      <c r="C51">
        <v>43</v>
      </c>
      <c r="D51" t="str">
        <f t="shared" si="5"/>
        <v>ts_annual</v>
      </c>
      <c r="E51" t="str">
        <f t="shared" si="1"/>
        <v>C4</v>
      </c>
    </row>
    <row r="52" spans="1:5" x14ac:dyDescent="0.45">
      <c r="A52">
        <v>5</v>
      </c>
      <c r="B52" t="str">
        <f t="shared" si="0"/>
        <v>b 2 deg (50%).iTS12</v>
      </c>
      <c r="C52">
        <v>44</v>
      </c>
      <c r="D52" t="str">
        <f t="shared" si="5"/>
        <v>ts_12</v>
      </c>
      <c r="E52" t="str">
        <f t="shared" si="1"/>
        <v>C4</v>
      </c>
    </row>
    <row r="53" spans="1:5" x14ac:dyDescent="0.45">
      <c r="A53">
        <v>5</v>
      </c>
      <c r="B53" t="str">
        <f t="shared" si="0"/>
        <v>a 3 deg.e3d</v>
      </c>
      <c r="C53">
        <v>45</v>
      </c>
      <c r="D53" t="str">
        <f t="shared" si="5"/>
        <v>s1p1v1_d</v>
      </c>
      <c r="E53" t="s">
        <v>9</v>
      </c>
    </row>
    <row r="54" spans="1:5" x14ac:dyDescent="0.45">
      <c r="A54">
        <v>5</v>
      </c>
      <c r="B54" t="str">
        <f t="shared" si="0"/>
        <v>a 3 deg.d9d</v>
      </c>
      <c r="C54">
        <v>46</v>
      </c>
      <c r="D54" t="str">
        <f t="shared" si="5"/>
        <v>s3p3v3_d</v>
      </c>
      <c r="E54" t="str">
        <f t="shared" si="1"/>
        <v>C7</v>
      </c>
    </row>
    <row r="55" spans="1:5" x14ac:dyDescent="0.45">
      <c r="A55">
        <v>5</v>
      </c>
      <c r="B55" t="str">
        <f t="shared" si="0"/>
        <v>a 3 deg.b2w</v>
      </c>
      <c r="C55">
        <v>47</v>
      </c>
      <c r="D55" t="str">
        <f t="shared" si="5"/>
        <v>s2_w</v>
      </c>
      <c r="E55" t="str">
        <f t="shared" si="1"/>
        <v>C7</v>
      </c>
    </row>
    <row r="56" spans="1:5" x14ac:dyDescent="0.45">
      <c r="A56">
        <v>5</v>
      </c>
      <c r="B56" t="str">
        <f t="shared" si="0"/>
        <v>a 3 deg.a2w2d</v>
      </c>
      <c r="C56">
        <v>48</v>
      </c>
      <c r="D56" t="str">
        <f t="shared" si="5"/>
        <v>s2_w_p2_d</v>
      </c>
      <c r="E56" t="str">
        <f t="shared" si="1"/>
        <v>C7</v>
      </c>
    </row>
    <row r="57" spans="1:5" x14ac:dyDescent="0.45">
      <c r="A57">
        <v>5</v>
      </c>
      <c r="B57" t="str">
        <f t="shared" si="0"/>
        <v>a 3 deg.hTS12c</v>
      </c>
      <c r="C57">
        <v>49</v>
      </c>
      <c r="D57" t="str">
        <f t="shared" si="5"/>
        <v>ts12_clu</v>
      </c>
      <c r="E57" t="str">
        <f t="shared" si="1"/>
        <v>C7</v>
      </c>
    </row>
    <row r="58" spans="1:5" x14ac:dyDescent="0.45">
      <c r="A58">
        <v>5</v>
      </c>
      <c r="B58" t="str">
        <f t="shared" si="0"/>
        <v>a 3 deg.gTS24c</v>
      </c>
      <c r="C58">
        <v>50</v>
      </c>
      <c r="D58" t="str">
        <f t="shared" si="5"/>
        <v>ts24_clu</v>
      </c>
      <c r="E58" t="str">
        <f t="shared" si="1"/>
        <v>C7</v>
      </c>
    </row>
    <row r="59" spans="1:5" x14ac:dyDescent="0.45">
      <c r="A59">
        <v>5</v>
      </c>
      <c r="B59" t="str">
        <f t="shared" si="0"/>
        <v>a 3 deg.fTS48c</v>
      </c>
      <c r="C59">
        <v>51</v>
      </c>
      <c r="D59" t="str">
        <f t="shared" si="5"/>
        <v>ts48_clu</v>
      </c>
      <c r="E59" t="str">
        <f t="shared" si="1"/>
        <v>C7</v>
      </c>
    </row>
    <row r="60" spans="1:5" x14ac:dyDescent="0.45">
      <c r="A60">
        <v>5</v>
      </c>
      <c r="B60" t="str">
        <f t="shared" si="0"/>
        <v>a 3 deg.c15d</v>
      </c>
      <c r="C60">
        <v>52</v>
      </c>
      <c r="D60" t="str">
        <f t="shared" si="5"/>
        <v>s5p5v5_d</v>
      </c>
      <c r="E60" t="str">
        <f t="shared" si="1"/>
        <v>C7</v>
      </c>
    </row>
    <row r="61" spans="1:5" x14ac:dyDescent="0.45">
      <c r="A61">
        <v>5</v>
      </c>
      <c r="B61" t="str">
        <f t="shared" si="0"/>
        <v>a 3 deg.f1d</v>
      </c>
      <c r="C61">
        <v>53</v>
      </c>
      <c r="D61" t="str">
        <f t="shared" si="5"/>
        <v>s1_d</v>
      </c>
      <c r="E61" t="str">
        <f t="shared" si="1"/>
        <v>C7</v>
      </c>
    </row>
    <row r="62" spans="1:5" x14ac:dyDescent="0.45">
      <c r="A62">
        <v>5</v>
      </c>
      <c r="B62" t="str">
        <f t="shared" si="0"/>
        <v>a 3 deg.jAnn</v>
      </c>
      <c r="C62">
        <v>54</v>
      </c>
      <c r="D62" t="str">
        <f t="shared" si="5"/>
        <v>ts_annual</v>
      </c>
      <c r="E62" t="str">
        <f t="shared" si="1"/>
        <v>C7</v>
      </c>
    </row>
    <row r="63" spans="1:5" x14ac:dyDescent="0.45">
      <c r="A63">
        <v>5</v>
      </c>
      <c r="B63" t="str">
        <f t="shared" si="0"/>
        <v>a 3 deg.iTS12</v>
      </c>
      <c r="C63">
        <v>55</v>
      </c>
      <c r="D63" t="str">
        <f t="shared" si="5"/>
        <v>ts_12</v>
      </c>
      <c r="E63" t="str">
        <f t="shared" si="1"/>
        <v>C7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137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28</v>
      </c>
      <c r="I11">
        <v>36</v>
      </c>
      <c r="J11" t="s">
        <v>139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137</v>
      </c>
      <c r="B11">
        <v>2000</v>
      </c>
      <c r="C11">
        <v>24.13</v>
      </c>
      <c r="D11">
        <v>31.47</v>
      </c>
      <c r="E11">
        <v>2.64</v>
      </c>
      <c r="F11">
        <v>0</v>
      </c>
      <c r="G11">
        <v>24.33</v>
      </c>
      <c r="H11">
        <v>-31.4</v>
      </c>
      <c r="I11">
        <v>66.12</v>
      </c>
    </row>
    <row r="12" spans="1:9" x14ac:dyDescent="0.45">
      <c r="A12" t="s">
        <v>137</v>
      </c>
      <c r="B12">
        <v>2001</v>
      </c>
      <c r="C12">
        <v>24.59</v>
      </c>
      <c r="D12">
        <v>32.51</v>
      </c>
      <c r="E12">
        <v>2.7</v>
      </c>
      <c r="F12">
        <v>0</v>
      </c>
      <c r="G12">
        <v>24.1</v>
      </c>
      <c r="H12">
        <v>-34.54</v>
      </c>
      <c r="I12">
        <v>71.040000000000006</v>
      </c>
    </row>
    <row r="13" spans="1:9" x14ac:dyDescent="0.45">
      <c r="A13" t="s">
        <v>137</v>
      </c>
      <c r="B13">
        <v>2002</v>
      </c>
      <c r="C13">
        <v>24.31</v>
      </c>
      <c r="D13">
        <v>32.86</v>
      </c>
      <c r="E13">
        <v>2.8</v>
      </c>
      <c r="F13">
        <v>0</v>
      </c>
      <c r="G13">
        <v>27.8</v>
      </c>
      <c r="H13">
        <v>-32.31</v>
      </c>
      <c r="I13">
        <v>65.41</v>
      </c>
    </row>
    <row r="14" spans="1:9" x14ac:dyDescent="0.45">
      <c r="A14" t="s">
        <v>137</v>
      </c>
      <c r="B14">
        <v>2003</v>
      </c>
      <c r="C14">
        <v>24.5</v>
      </c>
      <c r="D14">
        <v>33.659999999999997</v>
      </c>
      <c r="E14">
        <v>2.98</v>
      </c>
      <c r="F14">
        <v>0</v>
      </c>
      <c r="G14">
        <v>30.08</v>
      </c>
      <c r="H14">
        <v>-33.200000000000003</v>
      </c>
      <c r="I14">
        <v>65.33</v>
      </c>
    </row>
    <row r="15" spans="1:9" x14ac:dyDescent="0.45">
      <c r="A15" t="s">
        <v>137</v>
      </c>
      <c r="B15">
        <v>2004</v>
      </c>
      <c r="C15">
        <v>24.87</v>
      </c>
      <c r="D15">
        <v>34.409999999999997</v>
      </c>
      <c r="E15">
        <v>2.94</v>
      </c>
      <c r="F15">
        <v>0</v>
      </c>
      <c r="G15">
        <v>27.06</v>
      </c>
      <c r="H15">
        <v>-27.76</v>
      </c>
      <c r="I15">
        <v>63.86</v>
      </c>
    </row>
    <row r="16" spans="1:9" x14ac:dyDescent="0.45">
      <c r="A16" t="s">
        <v>137</v>
      </c>
      <c r="B16">
        <v>2005</v>
      </c>
      <c r="C16">
        <v>24.88</v>
      </c>
      <c r="D16">
        <v>35.270000000000003</v>
      </c>
      <c r="E16">
        <v>2.98</v>
      </c>
      <c r="F16">
        <v>0</v>
      </c>
      <c r="G16">
        <v>38.35</v>
      </c>
      <c r="H16">
        <v>-32</v>
      </c>
      <c r="I16">
        <v>57.78</v>
      </c>
    </row>
    <row r="17" spans="1:9" x14ac:dyDescent="0.45">
      <c r="A17" t="s">
        <v>137</v>
      </c>
      <c r="B17">
        <v>2006</v>
      </c>
      <c r="C17">
        <v>25.2</v>
      </c>
      <c r="D17">
        <v>35.51</v>
      </c>
      <c r="E17">
        <v>3.09</v>
      </c>
      <c r="F17">
        <v>0</v>
      </c>
      <c r="G17">
        <v>33.799999999999997</v>
      </c>
      <c r="H17">
        <v>-31.1</v>
      </c>
      <c r="I17">
        <v>62.13</v>
      </c>
    </row>
    <row r="18" spans="1:9" x14ac:dyDescent="0.45">
      <c r="A18" t="s">
        <v>137</v>
      </c>
      <c r="B18">
        <v>2007</v>
      </c>
      <c r="C18">
        <v>25.27</v>
      </c>
      <c r="D18">
        <v>35.18</v>
      </c>
      <c r="E18">
        <v>3.08</v>
      </c>
      <c r="F18">
        <v>0</v>
      </c>
      <c r="G18">
        <v>34.82</v>
      </c>
      <c r="H18">
        <v>-36.880000000000003</v>
      </c>
      <c r="I18">
        <v>66.430000000000007</v>
      </c>
    </row>
    <row r="19" spans="1:9" x14ac:dyDescent="0.45">
      <c r="A19" t="s">
        <v>137</v>
      </c>
      <c r="B19">
        <v>2008</v>
      </c>
      <c r="C19">
        <v>25.62</v>
      </c>
      <c r="D19">
        <v>36.130000000000003</v>
      </c>
      <c r="E19">
        <v>3.14</v>
      </c>
      <c r="F19">
        <v>0</v>
      </c>
      <c r="G19">
        <v>31.6</v>
      </c>
      <c r="H19">
        <v>-32.74</v>
      </c>
      <c r="I19">
        <v>67.03</v>
      </c>
    </row>
    <row r="20" spans="1:9" x14ac:dyDescent="0.45">
      <c r="A20" t="s">
        <v>137</v>
      </c>
      <c r="B20">
        <v>2009</v>
      </c>
      <c r="C20">
        <v>24.44</v>
      </c>
      <c r="D20">
        <v>36.04</v>
      </c>
      <c r="E20">
        <v>3.06</v>
      </c>
      <c r="F20">
        <v>0</v>
      </c>
      <c r="G20">
        <v>31.37</v>
      </c>
      <c r="H20">
        <v>-33.520000000000003</v>
      </c>
      <c r="I20">
        <v>66.67</v>
      </c>
    </row>
    <row r="21" spans="1:9" x14ac:dyDescent="0.45">
      <c r="A21" t="s">
        <v>137</v>
      </c>
      <c r="B21">
        <v>2010</v>
      </c>
      <c r="C21">
        <v>25.27</v>
      </c>
      <c r="D21">
        <v>37.17</v>
      </c>
      <c r="E21">
        <v>3.16</v>
      </c>
      <c r="F21">
        <v>0</v>
      </c>
      <c r="G21">
        <v>33.4</v>
      </c>
      <c r="H21">
        <v>-32.880000000000003</v>
      </c>
      <c r="I21">
        <v>66.040000000000006</v>
      </c>
    </row>
    <row r="22" spans="1:9" x14ac:dyDescent="0.45">
      <c r="A22" t="s">
        <v>137</v>
      </c>
      <c r="B22">
        <v>2011</v>
      </c>
      <c r="C22">
        <v>25.29</v>
      </c>
      <c r="D22">
        <v>36.14</v>
      </c>
      <c r="E22">
        <v>3.06</v>
      </c>
      <c r="F22">
        <v>0.02</v>
      </c>
      <c r="G22">
        <v>34.82</v>
      </c>
      <c r="H22">
        <v>-32.24</v>
      </c>
      <c r="I22">
        <v>62.87</v>
      </c>
    </row>
    <row r="23" spans="1:9" x14ac:dyDescent="0.45">
      <c r="A23" t="s">
        <v>137</v>
      </c>
      <c r="B23">
        <v>2012</v>
      </c>
      <c r="C23">
        <v>25.23</v>
      </c>
      <c r="D23">
        <v>36.64</v>
      </c>
      <c r="E23">
        <v>3.09</v>
      </c>
      <c r="F23">
        <v>0.02</v>
      </c>
      <c r="G23">
        <v>31.55</v>
      </c>
      <c r="H23">
        <v>-33.75</v>
      </c>
      <c r="I23">
        <v>68.12</v>
      </c>
    </row>
    <row r="24" spans="1:9" x14ac:dyDescent="0.45">
      <c r="A24" t="s">
        <v>137</v>
      </c>
      <c r="B24">
        <v>2013</v>
      </c>
      <c r="C24">
        <v>25.08</v>
      </c>
      <c r="D24">
        <v>37.22</v>
      </c>
      <c r="E24">
        <v>3.14</v>
      </c>
      <c r="F24">
        <v>0.01</v>
      </c>
      <c r="G24">
        <v>29.87</v>
      </c>
      <c r="H24">
        <v>-32.270000000000003</v>
      </c>
      <c r="I24">
        <v>68.7</v>
      </c>
    </row>
    <row r="25" spans="1:9" x14ac:dyDescent="0.45">
      <c r="A25" t="s">
        <v>137</v>
      </c>
      <c r="B25">
        <v>2014</v>
      </c>
      <c r="C25">
        <v>24.39</v>
      </c>
      <c r="D25">
        <v>36.18</v>
      </c>
      <c r="E25">
        <v>3.07</v>
      </c>
      <c r="F25">
        <v>0.02</v>
      </c>
      <c r="G25">
        <v>28.53</v>
      </c>
      <c r="H25">
        <v>-34.020000000000003</v>
      </c>
      <c r="I25">
        <v>70.069999999999993</v>
      </c>
    </row>
    <row r="26" spans="1:9" x14ac:dyDescent="0.45">
      <c r="A26" t="s">
        <v>137</v>
      </c>
      <c r="B26">
        <v>2015</v>
      </c>
      <c r="C26">
        <v>24.04</v>
      </c>
      <c r="D26">
        <v>36.909999999999997</v>
      </c>
      <c r="E26">
        <v>3.14</v>
      </c>
      <c r="F26">
        <v>0.03</v>
      </c>
      <c r="G26">
        <v>34.03</v>
      </c>
      <c r="H26">
        <v>-35.07</v>
      </c>
      <c r="I26">
        <v>66.05</v>
      </c>
    </row>
    <row r="27" spans="1:9" x14ac:dyDescent="0.45">
      <c r="A27" t="s">
        <v>137</v>
      </c>
      <c r="B27">
        <v>2016</v>
      </c>
      <c r="C27">
        <v>23.63</v>
      </c>
      <c r="D27">
        <v>37.06</v>
      </c>
      <c r="E27">
        <v>3.2</v>
      </c>
      <c r="F27">
        <v>0.04</v>
      </c>
      <c r="G27">
        <v>34.1</v>
      </c>
      <c r="H27">
        <v>-30.17</v>
      </c>
      <c r="I27">
        <v>61.09</v>
      </c>
    </row>
    <row r="28" spans="1:9" x14ac:dyDescent="0.45">
      <c r="A28" t="s">
        <v>137</v>
      </c>
      <c r="B28">
        <v>2017</v>
      </c>
      <c r="C28">
        <v>23.84</v>
      </c>
      <c r="D28">
        <v>37.200000000000003</v>
      </c>
      <c r="E28">
        <v>3.15</v>
      </c>
      <c r="F28">
        <v>0.05</v>
      </c>
      <c r="G28">
        <v>36.5</v>
      </c>
      <c r="H28">
        <v>-30.95</v>
      </c>
      <c r="I28">
        <v>60.14</v>
      </c>
    </row>
    <row r="29" spans="1:9" x14ac:dyDescent="0.45">
      <c r="A29" t="s">
        <v>137</v>
      </c>
      <c r="B29">
        <v>2018</v>
      </c>
      <c r="C29">
        <v>23.14</v>
      </c>
      <c r="D29">
        <v>36.99</v>
      </c>
      <c r="E29">
        <v>3.09</v>
      </c>
      <c r="F29">
        <v>0.08</v>
      </c>
      <c r="G29">
        <v>31.02</v>
      </c>
      <c r="H29">
        <v>-32.61</v>
      </c>
      <c r="I29">
        <v>66.290000000000006</v>
      </c>
    </row>
    <row r="30" spans="1:9" x14ac:dyDescent="0.45">
      <c r="A30" t="s">
        <v>137</v>
      </c>
      <c r="B30">
        <v>2019</v>
      </c>
      <c r="C30">
        <v>23.1</v>
      </c>
      <c r="D30">
        <v>36.61</v>
      </c>
      <c r="E30">
        <v>3.04</v>
      </c>
      <c r="F30">
        <v>0.11</v>
      </c>
      <c r="G30">
        <v>29.5</v>
      </c>
      <c r="H30">
        <v>-35.76</v>
      </c>
      <c r="I30">
        <v>70.56</v>
      </c>
    </row>
    <row r="31" spans="1:9" x14ac:dyDescent="0.45">
      <c r="A31" t="s">
        <v>137</v>
      </c>
      <c r="B31">
        <v>2020</v>
      </c>
      <c r="C31">
        <v>22.54</v>
      </c>
      <c r="D31">
        <v>35.92</v>
      </c>
      <c r="E31">
        <v>2.8</v>
      </c>
      <c r="F31">
        <v>0.14000000000000001</v>
      </c>
      <c r="G31">
        <v>26.99</v>
      </c>
      <c r="H31">
        <v>-32.549999999999997</v>
      </c>
      <c r="I31">
        <v>68.5</v>
      </c>
    </row>
    <row r="32" spans="1:9" x14ac:dyDescent="0.45">
      <c r="A32" t="s">
        <v>137</v>
      </c>
      <c r="B32">
        <v>2021</v>
      </c>
      <c r="C32">
        <v>23.73</v>
      </c>
      <c r="D32">
        <v>37.19</v>
      </c>
      <c r="E32">
        <v>2.93</v>
      </c>
      <c r="F32">
        <v>0.22</v>
      </c>
      <c r="G32">
        <v>31.53</v>
      </c>
      <c r="H32">
        <v>-29.12</v>
      </c>
      <c r="I32">
        <v>63.11</v>
      </c>
    </row>
    <row r="33" spans="1:9" x14ac:dyDescent="0.45">
      <c r="A33" t="s">
        <v>137</v>
      </c>
      <c r="B33">
        <v>2022</v>
      </c>
      <c r="C33">
        <v>23.76</v>
      </c>
      <c r="D33">
        <v>36.15</v>
      </c>
      <c r="E33">
        <v>2.98</v>
      </c>
      <c r="F33">
        <v>0.35</v>
      </c>
      <c r="G33">
        <v>33.119999999999997</v>
      </c>
      <c r="H33">
        <v>-29.73</v>
      </c>
      <c r="I33">
        <v>61.73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138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138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138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138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138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138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138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138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138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138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138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138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138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138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138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138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138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138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138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138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138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138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138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138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138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138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138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138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138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138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138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138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138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138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138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138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138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138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138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138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138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138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138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138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138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138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138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138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138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138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138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138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138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138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138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138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138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138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138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138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138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138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138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138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138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138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138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138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138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138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138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138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138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138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138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138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138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138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138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138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138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138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138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138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138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138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138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138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138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138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138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138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138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138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138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138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138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138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138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138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138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138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138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138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138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138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138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138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138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138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138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138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138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138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138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138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138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138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138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138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138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138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138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138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138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138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138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138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138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138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138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138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138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138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138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138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138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138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138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138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138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138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138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138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138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138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138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138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138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138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138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138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138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138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138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138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138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138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138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138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138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138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138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138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138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138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138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138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138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138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138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138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138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138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138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138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138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138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138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138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138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138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138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138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138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138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138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138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138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138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138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138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138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138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138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138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138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138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138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138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138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138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138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138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138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138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138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138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138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138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138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138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138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138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138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138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138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138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138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138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138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138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138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138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138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138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138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138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138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138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138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138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138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138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138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138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138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138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138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138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138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138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138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138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138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138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138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138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138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138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138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138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138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138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138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138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138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138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138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138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138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138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138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138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138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138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138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138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138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138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138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138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138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138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138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138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138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138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138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138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138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138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138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138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138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138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138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138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138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138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138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138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138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138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138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138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138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138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138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138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138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138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138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138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138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138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138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138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138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138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138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138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138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138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138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138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138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138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138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138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138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138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138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138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138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138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138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138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138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138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138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138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138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138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138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138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138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138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138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138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138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138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138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138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138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138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138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138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138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138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0" x14ac:dyDescent="0.45">
      <c r="A10" t="str">
        <f>IFERROR(Veda!D5,"ts_12")</f>
        <v>s2_w</v>
      </c>
      <c r="B10" s="15"/>
      <c r="C10" s="15" t="s">
        <v>224</v>
      </c>
      <c r="D10" t="s">
        <v>106</v>
      </c>
      <c r="F10" t="s">
        <v>224</v>
      </c>
      <c r="G10" t="s">
        <v>111</v>
      </c>
      <c r="I10" t="s">
        <v>224</v>
      </c>
      <c r="J10" t="s">
        <v>112</v>
      </c>
    </row>
    <row r="11" spans="1:10" x14ac:dyDescent="0.45">
      <c r="B11" s="15"/>
      <c r="C11" s="15" t="s">
        <v>225</v>
      </c>
      <c r="D11" t="s">
        <v>226</v>
      </c>
      <c r="F11" t="s">
        <v>225</v>
      </c>
      <c r="G11" t="s">
        <v>235</v>
      </c>
      <c r="I11" t="s">
        <v>225</v>
      </c>
      <c r="J11" t="s">
        <v>254</v>
      </c>
    </row>
    <row r="12" spans="1:10" x14ac:dyDescent="0.45">
      <c r="B12" s="15"/>
      <c r="C12" s="15" t="s">
        <v>227</v>
      </c>
      <c r="D12" t="s">
        <v>228</v>
      </c>
      <c r="F12" t="s">
        <v>227</v>
      </c>
      <c r="G12" t="s">
        <v>235</v>
      </c>
      <c r="I12" t="s">
        <v>227</v>
      </c>
      <c r="J12" t="s">
        <v>255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e">
        <f>IF(H23=H24,"Not Required!","~UC_T: LO")</f>
        <v>#N/A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e">
        <f>HLOOKUP($A$10,$D$10:$CU$12,2,FALSE)</f>
        <v>#N/A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0542-EF07-4CF2-8306-F465489390D2}">
  <dimension ref="A9:AM400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106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223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229</v>
      </c>
      <c r="AK10" t="s">
        <v>134</v>
      </c>
      <c r="AL10" t="s">
        <v>230</v>
      </c>
      <c r="AM10" t="s">
        <v>231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146</v>
      </c>
      <c r="I11" t="s">
        <v>156</v>
      </c>
      <c r="J11" t="s">
        <v>157</v>
      </c>
      <c r="K11">
        <v>6.7007666185799996E-4</v>
      </c>
      <c r="L11" t="s">
        <v>158</v>
      </c>
      <c r="N11" t="s">
        <v>197</v>
      </c>
      <c r="O11" t="s">
        <v>157</v>
      </c>
      <c r="P11">
        <v>5.5432041095517248E-2</v>
      </c>
      <c r="Q11" t="s">
        <v>158</v>
      </c>
      <c r="X11">
        <v>5.3881278538812784E-2</v>
      </c>
      <c r="Y11">
        <v>2.9864505382492607E-2</v>
      </c>
      <c r="Z11" t="s">
        <v>157</v>
      </c>
      <c r="AA11" t="s">
        <v>25</v>
      </c>
      <c r="AC11" t="s">
        <v>22</v>
      </c>
      <c r="AD11" t="s">
        <v>157</v>
      </c>
      <c r="AE11">
        <v>5.8930625207687361E-2</v>
      </c>
      <c r="AG11" t="s">
        <v>97</v>
      </c>
      <c r="AH11" t="s">
        <v>157</v>
      </c>
      <c r="AI11">
        <v>0.21542971678086897</v>
      </c>
      <c r="AK11" t="s">
        <v>151</v>
      </c>
      <c r="AL11">
        <v>0.35506511836787058</v>
      </c>
      <c r="AM11" t="s">
        <v>232</v>
      </c>
    </row>
    <row r="12" spans="1:39" x14ac:dyDescent="0.45">
      <c r="C12" t="s">
        <v>149</v>
      </c>
      <c r="E12" t="s">
        <v>150</v>
      </c>
      <c r="G12" t="s">
        <v>146</v>
      </c>
      <c r="I12" t="s">
        <v>156</v>
      </c>
      <c r="J12" t="s">
        <v>159</v>
      </c>
      <c r="K12">
        <v>2.9990333217753656E-2</v>
      </c>
      <c r="L12" t="s">
        <v>158</v>
      </c>
      <c r="N12" t="s">
        <v>197</v>
      </c>
      <c r="O12" t="s">
        <v>159</v>
      </c>
      <c r="P12">
        <v>1.9174673123702309E-2</v>
      </c>
      <c r="Q12" t="s">
        <v>158</v>
      </c>
      <c r="X12">
        <v>2.0205479452054795E-2</v>
      </c>
      <c r="Y12">
        <v>2.5444480355352253E-2</v>
      </c>
      <c r="Z12" t="s">
        <v>159</v>
      </c>
      <c r="AA12" t="s">
        <v>25</v>
      </c>
      <c r="AC12" t="s">
        <v>22</v>
      </c>
      <c r="AD12" t="s">
        <v>159</v>
      </c>
      <c r="AE12">
        <v>2.6521046359627348E-2</v>
      </c>
      <c r="AG12" t="s">
        <v>97</v>
      </c>
      <c r="AH12" t="s">
        <v>159</v>
      </c>
      <c r="AI12">
        <v>6.4420394445824813E-2</v>
      </c>
      <c r="AK12" t="s">
        <v>149</v>
      </c>
      <c r="AL12">
        <v>0.6684031564765508</v>
      </c>
      <c r="AM12" t="s">
        <v>232</v>
      </c>
    </row>
    <row r="13" spans="1:39" x14ac:dyDescent="0.45">
      <c r="C13" t="s">
        <v>151</v>
      </c>
      <c r="E13" t="s">
        <v>152</v>
      </c>
      <c r="G13" t="s">
        <v>146</v>
      </c>
      <c r="I13" t="s">
        <v>156</v>
      </c>
      <c r="J13" t="s">
        <v>160</v>
      </c>
      <c r="K13">
        <v>4.3836468043518401E-2</v>
      </c>
      <c r="L13" t="s">
        <v>158</v>
      </c>
      <c r="N13" t="s">
        <v>197</v>
      </c>
      <c r="O13" t="s">
        <v>160</v>
      </c>
      <c r="P13">
        <v>2.1009139007389037E-2</v>
      </c>
      <c r="Q13" t="s">
        <v>158</v>
      </c>
      <c r="X13">
        <v>2.0205479452054795E-2</v>
      </c>
      <c r="Y13">
        <v>2.5483595621079155E-2</v>
      </c>
      <c r="Z13" t="s">
        <v>160</v>
      </c>
      <c r="AA13" t="s">
        <v>25</v>
      </c>
      <c r="AC13" t="s">
        <v>22</v>
      </c>
      <c r="AD13" t="s">
        <v>160</v>
      </c>
      <c r="AE13">
        <v>2.631498204793439E-2</v>
      </c>
      <c r="AG13" t="s">
        <v>97</v>
      </c>
      <c r="AH13" t="s">
        <v>160</v>
      </c>
      <c r="AI13">
        <v>5.1447247440785215E-2</v>
      </c>
      <c r="AK13" t="s">
        <v>145</v>
      </c>
      <c r="AL13">
        <v>0.17653172515557836</v>
      </c>
      <c r="AM13" t="s">
        <v>232</v>
      </c>
    </row>
    <row r="14" spans="1:39" x14ac:dyDescent="0.45">
      <c r="E14" t="s">
        <v>153</v>
      </c>
      <c r="G14" t="s">
        <v>146</v>
      </c>
      <c r="I14" t="s">
        <v>156</v>
      </c>
      <c r="J14" t="s">
        <v>161</v>
      </c>
      <c r="K14">
        <v>3.8946236480307837E-2</v>
      </c>
      <c r="L14" t="s">
        <v>158</v>
      </c>
      <c r="N14" t="s">
        <v>197</v>
      </c>
      <c r="O14" t="s">
        <v>161</v>
      </c>
      <c r="P14">
        <v>3.778968661073126E-2</v>
      </c>
      <c r="Q14" t="s">
        <v>158</v>
      </c>
      <c r="X14">
        <v>2.6940639269406392E-2</v>
      </c>
      <c r="Y14">
        <v>4.5256362446030048E-2</v>
      </c>
      <c r="Z14" t="s">
        <v>161</v>
      </c>
      <c r="AA14" t="s">
        <v>25</v>
      </c>
      <c r="AC14" t="s">
        <v>22</v>
      </c>
      <c r="AD14" t="s">
        <v>161</v>
      </c>
      <c r="AE14">
        <v>3.5433128094308028E-2</v>
      </c>
      <c r="AG14" t="s">
        <v>97</v>
      </c>
      <c r="AH14" t="s">
        <v>161</v>
      </c>
      <c r="AI14">
        <v>4.8779532876089826E-2</v>
      </c>
    </row>
    <row r="15" spans="1:39" x14ac:dyDescent="0.45">
      <c r="E15" t="s">
        <v>154</v>
      </c>
      <c r="G15" t="s">
        <v>146</v>
      </c>
      <c r="I15" t="s">
        <v>156</v>
      </c>
      <c r="J15" t="s">
        <v>162</v>
      </c>
      <c r="K15">
        <v>0</v>
      </c>
      <c r="L15" t="s">
        <v>158</v>
      </c>
      <c r="N15" t="s">
        <v>197</v>
      </c>
      <c r="O15" t="s">
        <v>162</v>
      </c>
      <c r="P15">
        <v>5.343595234048016E-2</v>
      </c>
      <c r="Q15" t="s">
        <v>158</v>
      </c>
      <c r="X15">
        <v>4.041095890410959E-2</v>
      </c>
      <c r="Y15">
        <v>3.5594891811484314E-2</v>
      </c>
      <c r="Z15" t="s">
        <v>162</v>
      </c>
      <c r="AA15" t="s">
        <v>25</v>
      </c>
      <c r="AC15" t="s">
        <v>22</v>
      </c>
      <c r="AD15" t="s">
        <v>162</v>
      </c>
      <c r="AE15">
        <v>4.6056861814408621E-2</v>
      </c>
      <c r="AG15" t="s">
        <v>97</v>
      </c>
      <c r="AH15" t="s">
        <v>162</v>
      </c>
      <c r="AI15">
        <v>0.16015462206357989</v>
      </c>
    </row>
    <row r="16" spans="1:39" x14ac:dyDescent="0.45">
      <c r="I16" t="s">
        <v>156</v>
      </c>
      <c r="J16" t="s">
        <v>163</v>
      </c>
      <c r="K16">
        <v>6.0767211402164664E-2</v>
      </c>
      <c r="L16" t="s">
        <v>158</v>
      </c>
      <c r="N16" t="s">
        <v>197</v>
      </c>
      <c r="O16" t="s">
        <v>163</v>
      </c>
      <c r="P16">
        <v>8.7055569536840502E-2</v>
      </c>
      <c r="Q16" t="s">
        <v>158</v>
      </c>
      <c r="X16">
        <v>0.16803652968036531</v>
      </c>
      <c r="Y16">
        <v>9.3136762548790497E-2</v>
      </c>
      <c r="Z16" t="s">
        <v>163</v>
      </c>
      <c r="AA16" t="s">
        <v>25</v>
      </c>
      <c r="AC16" t="s">
        <v>22</v>
      </c>
      <c r="AD16" t="s">
        <v>163</v>
      </c>
      <c r="AE16">
        <v>0.13843819604337027</v>
      </c>
      <c r="AG16" t="s">
        <v>97</v>
      </c>
      <c r="AH16" t="s">
        <v>163</v>
      </c>
      <c r="AI16">
        <v>0.37286264980131256</v>
      </c>
    </row>
    <row r="17" spans="9:35" x14ac:dyDescent="0.45">
      <c r="I17" t="s">
        <v>156</v>
      </c>
      <c r="J17" t="s">
        <v>164</v>
      </c>
      <c r="K17">
        <v>0.17063043802077532</v>
      </c>
      <c r="L17" t="s">
        <v>158</v>
      </c>
      <c r="N17" t="s">
        <v>197</v>
      </c>
      <c r="O17" t="s">
        <v>164</v>
      </c>
      <c r="P17">
        <v>3.2364178500287132E-2</v>
      </c>
      <c r="Q17" t="s">
        <v>158</v>
      </c>
      <c r="X17">
        <v>6.3013698630136991E-2</v>
      </c>
      <c r="Y17">
        <v>7.9352277718386682E-2</v>
      </c>
      <c r="Z17" t="s">
        <v>164</v>
      </c>
      <c r="AA17" t="s">
        <v>25</v>
      </c>
      <c r="AC17" t="s">
        <v>22</v>
      </c>
      <c r="AD17" t="s">
        <v>164</v>
      </c>
      <c r="AE17">
        <v>6.658774910132427E-2</v>
      </c>
      <c r="AG17" t="s">
        <v>97</v>
      </c>
      <c r="AH17" t="s">
        <v>164</v>
      </c>
      <c r="AI17">
        <v>0.17060426614468516</v>
      </c>
    </row>
    <row r="18" spans="9:35" x14ac:dyDescent="0.45">
      <c r="I18" t="s">
        <v>156</v>
      </c>
      <c r="J18" t="s">
        <v>165</v>
      </c>
      <c r="K18">
        <v>0.18794321155441537</v>
      </c>
      <c r="L18" t="s">
        <v>158</v>
      </c>
      <c r="N18" t="s">
        <v>197</v>
      </c>
      <c r="O18" t="s">
        <v>165</v>
      </c>
      <c r="P18">
        <v>5.4532874626572143E-2</v>
      </c>
      <c r="Q18" t="s">
        <v>158</v>
      </c>
      <c r="X18">
        <v>6.3013698630136991E-2</v>
      </c>
      <c r="Y18">
        <v>7.9474264309806184E-2</v>
      </c>
      <c r="Z18" t="s">
        <v>165</v>
      </c>
      <c r="AA18" t="s">
        <v>25</v>
      </c>
      <c r="AC18" t="s">
        <v>22</v>
      </c>
      <c r="AD18" t="s">
        <v>165</v>
      </c>
      <c r="AE18">
        <v>6.6225447080635338E-2</v>
      </c>
      <c r="AG18" t="s">
        <v>97</v>
      </c>
      <c r="AH18" t="s">
        <v>165</v>
      </c>
      <c r="AI18">
        <v>0.17476491689885698</v>
      </c>
    </row>
    <row r="19" spans="9:35" x14ac:dyDescent="0.45">
      <c r="I19" t="s">
        <v>156</v>
      </c>
      <c r="J19" t="s">
        <v>166</v>
      </c>
      <c r="K19">
        <v>0.19420736183720549</v>
      </c>
      <c r="L19" t="s">
        <v>158</v>
      </c>
      <c r="N19" t="s">
        <v>197</v>
      </c>
      <c r="O19" t="s">
        <v>166</v>
      </c>
      <c r="P19">
        <v>9.0500657665736881E-2</v>
      </c>
      <c r="Q19" t="s">
        <v>158</v>
      </c>
      <c r="X19">
        <v>8.4018264840182655E-2</v>
      </c>
      <c r="Y19">
        <v>0.14113848627236492</v>
      </c>
      <c r="Z19" t="s">
        <v>166</v>
      </c>
      <c r="AA19" t="s">
        <v>25</v>
      </c>
      <c r="AC19" t="s">
        <v>22</v>
      </c>
      <c r="AD19" t="s">
        <v>166</v>
      </c>
      <c r="AE19">
        <v>8.7304759821149255E-2</v>
      </c>
      <c r="AG19" t="s">
        <v>97</v>
      </c>
      <c r="AH19" t="s">
        <v>166</v>
      </c>
      <c r="AI19">
        <v>0.19046174823709205</v>
      </c>
    </row>
    <row r="20" spans="9:35" x14ac:dyDescent="0.45">
      <c r="I20" t="s">
        <v>156</v>
      </c>
      <c r="J20" t="s">
        <v>167</v>
      </c>
      <c r="K20">
        <v>2.9348226180673405E-2</v>
      </c>
      <c r="L20" t="s">
        <v>158</v>
      </c>
      <c r="N20" t="s">
        <v>197</v>
      </c>
      <c r="O20" t="s">
        <v>167</v>
      </c>
      <c r="P20">
        <v>9.5181324105902826E-2</v>
      </c>
      <c r="Q20" t="s">
        <v>158</v>
      </c>
      <c r="X20">
        <v>0.12602739726027398</v>
      </c>
      <c r="Y20">
        <v>0.11100779819174771</v>
      </c>
      <c r="Z20" t="s">
        <v>167</v>
      </c>
      <c r="AA20" t="s">
        <v>25</v>
      </c>
      <c r="AC20" t="s">
        <v>22</v>
      </c>
      <c r="AD20" t="s">
        <v>167</v>
      </c>
      <c r="AE20">
        <v>0.11383459247621995</v>
      </c>
      <c r="AG20" t="s">
        <v>97</v>
      </c>
      <c r="AH20" t="s">
        <v>167</v>
      </c>
      <c r="AI20">
        <v>0.30418934791854846</v>
      </c>
    </row>
    <row r="21" spans="9:35" x14ac:dyDescent="0.45">
      <c r="I21" t="s">
        <v>156</v>
      </c>
      <c r="J21" t="s">
        <v>168</v>
      </c>
      <c r="K21">
        <v>7.1220075607637328E-3</v>
      </c>
      <c r="L21" t="s">
        <v>158</v>
      </c>
      <c r="N21" t="s">
        <v>197</v>
      </c>
      <c r="O21" t="s">
        <v>168</v>
      </c>
      <c r="P21">
        <v>0.1484999990652561</v>
      </c>
      <c r="Q21" t="s">
        <v>158</v>
      </c>
      <c r="X21">
        <v>0.11141552511415526</v>
      </c>
      <c r="Y21">
        <v>6.1753722994306731E-2</v>
      </c>
      <c r="Z21" t="s">
        <v>168</v>
      </c>
      <c r="AA21" t="s">
        <v>25</v>
      </c>
      <c r="AC21" t="s">
        <v>22</v>
      </c>
      <c r="AD21" t="s">
        <v>168</v>
      </c>
      <c r="AE21">
        <v>9.9006902235340408E-2</v>
      </c>
      <c r="AG21" t="s">
        <v>97</v>
      </c>
      <c r="AH21" t="s">
        <v>168</v>
      </c>
      <c r="AI21">
        <v>0.30743927820891548</v>
      </c>
    </row>
    <row r="22" spans="9:35" x14ac:dyDescent="0.45">
      <c r="I22" t="s">
        <v>156</v>
      </c>
      <c r="J22" t="s">
        <v>169</v>
      </c>
      <c r="K22">
        <v>6.8865073828290727E-2</v>
      </c>
      <c r="L22" t="s">
        <v>158</v>
      </c>
      <c r="N22" t="s">
        <v>197</v>
      </c>
      <c r="O22" t="s">
        <v>169</v>
      </c>
      <c r="P22">
        <v>5.6027697505334415E-2</v>
      </c>
      <c r="Q22" t="s">
        <v>158</v>
      </c>
      <c r="X22">
        <v>4.1780821917808221E-2</v>
      </c>
      <c r="Y22">
        <v>5.2614010226321603E-2</v>
      </c>
      <c r="Z22" t="s">
        <v>169</v>
      </c>
      <c r="AA22" t="s">
        <v>25</v>
      </c>
      <c r="AC22" t="s">
        <v>22</v>
      </c>
      <c r="AD22" t="s">
        <v>169</v>
      </c>
      <c r="AE22">
        <v>4.6634518599293594E-2</v>
      </c>
      <c r="AG22" t="s">
        <v>97</v>
      </c>
      <c r="AH22" t="s">
        <v>169</v>
      </c>
      <c r="AI22">
        <v>0.12898923061266232</v>
      </c>
    </row>
    <row r="23" spans="9:35" x14ac:dyDescent="0.45">
      <c r="I23" t="s">
        <v>156</v>
      </c>
      <c r="J23" t="s">
        <v>170</v>
      </c>
      <c r="K23">
        <v>8.6427805202244593E-2</v>
      </c>
      <c r="L23" t="s">
        <v>158</v>
      </c>
      <c r="N23" t="s">
        <v>197</v>
      </c>
      <c r="O23" t="s">
        <v>170</v>
      </c>
      <c r="P23">
        <v>6.0057905664841163E-2</v>
      </c>
      <c r="Q23" t="s">
        <v>158</v>
      </c>
      <c r="X23">
        <v>4.1780821917808221E-2</v>
      </c>
      <c r="Y23">
        <v>5.2694892640197576E-2</v>
      </c>
      <c r="Z23" t="s">
        <v>170</v>
      </c>
      <c r="AA23" t="s">
        <v>25</v>
      </c>
      <c r="AC23" t="s">
        <v>22</v>
      </c>
      <c r="AD23" t="s">
        <v>170</v>
      </c>
      <c r="AE23">
        <v>4.6088017279625693E-2</v>
      </c>
      <c r="AG23" t="s">
        <v>97</v>
      </c>
      <c r="AH23" t="s">
        <v>170</v>
      </c>
      <c r="AI23">
        <v>0.1375349933673069</v>
      </c>
    </row>
    <row r="24" spans="9:35" x14ac:dyDescent="0.45">
      <c r="I24" t="s">
        <v>156</v>
      </c>
      <c r="J24" t="s">
        <v>171</v>
      </c>
      <c r="K24">
        <v>7.9856668772882347E-2</v>
      </c>
      <c r="L24" t="s">
        <v>158</v>
      </c>
      <c r="N24" t="s">
        <v>197</v>
      </c>
      <c r="O24" t="s">
        <v>171</v>
      </c>
      <c r="P24">
        <v>7.810147483724908E-2</v>
      </c>
      <c r="Q24" t="s">
        <v>158</v>
      </c>
      <c r="X24">
        <v>5.5707762557077628E-2</v>
      </c>
      <c r="Y24">
        <v>9.3580952854502825E-2</v>
      </c>
      <c r="Z24" t="s">
        <v>171</v>
      </c>
      <c r="AA24" t="s">
        <v>25</v>
      </c>
      <c r="AC24" t="s">
        <v>22</v>
      </c>
      <c r="AD24" t="s">
        <v>171</v>
      </c>
      <c r="AE24">
        <v>6.1729031180240874E-2</v>
      </c>
      <c r="AG24" t="s">
        <v>97</v>
      </c>
      <c r="AH24" t="s">
        <v>171</v>
      </c>
      <c r="AI24">
        <v>0.14100991753149117</v>
      </c>
    </row>
    <row r="25" spans="9:35" x14ac:dyDescent="0.45">
      <c r="I25" t="s">
        <v>156</v>
      </c>
      <c r="J25" t="s">
        <v>172</v>
      </c>
      <c r="K25">
        <v>1.3888812369807053E-3</v>
      </c>
      <c r="L25" t="s">
        <v>158</v>
      </c>
      <c r="N25" t="s">
        <v>197</v>
      </c>
      <c r="O25" t="s">
        <v>172</v>
      </c>
      <c r="P25">
        <v>0.11083682631402568</v>
      </c>
      <c r="Q25" t="s">
        <v>158</v>
      </c>
      <c r="X25">
        <v>8.3561643835616442E-2</v>
      </c>
      <c r="Y25">
        <v>7.3602996627137054E-2</v>
      </c>
      <c r="Z25" t="s">
        <v>172</v>
      </c>
      <c r="AA25" t="s">
        <v>25</v>
      </c>
      <c r="AC25" t="s">
        <v>22</v>
      </c>
      <c r="AD25" t="s">
        <v>172</v>
      </c>
      <c r="AE25">
        <v>8.0894142658834531E-2</v>
      </c>
      <c r="AG25" t="s">
        <v>97</v>
      </c>
      <c r="AH25" t="s">
        <v>172</v>
      </c>
      <c r="AI25">
        <v>0.24743857084810039</v>
      </c>
    </row>
    <row r="26" spans="9:35" x14ac:dyDescent="0.45">
      <c r="I26" t="s">
        <v>173</v>
      </c>
      <c r="J26" t="s">
        <v>157</v>
      </c>
      <c r="K26">
        <v>4.839164617587E-4</v>
      </c>
      <c r="L26" t="s">
        <v>158</v>
      </c>
      <c r="N26" t="s">
        <v>198</v>
      </c>
      <c r="O26" t="s">
        <v>157</v>
      </c>
      <c r="P26">
        <v>5.8194255040857366E-2</v>
      </c>
      <c r="Q26" t="s">
        <v>158</v>
      </c>
      <c r="AC26" t="s">
        <v>19</v>
      </c>
      <c r="AD26" t="s">
        <v>157</v>
      </c>
      <c r="AE26">
        <v>5.3569943690195979E-2</v>
      </c>
    </row>
    <row r="27" spans="9:35" x14ac:dyDescent="0.45">
      <c r="I27" t="s">
        <v>173</v>
      </c>
      <c r="J27" t="s">
        <v>159</v>
      </c>
      <c r="K27">
        <v>2.6689466031683356E-2</v>
      </c>
      <c r="L27" t="s">
        <v>158</v>
      </c>
      <c r="N27" t="s">
        <v>198</v>
      </c>
      <c r="O27" t="s">
        <v>159</v>
      </c>
      <c r="P27">
        <v>2.0201823772995956E-2</v>
      </c>
      <c r="Q27" t="s">
        <v>158</v>
      </c>
      <c r="AC27" t="s">
        <v>19</v>
      </c>
      <c r="AD27" t="s">
        <v>159</v>
      </c>
      <c r="AE27">
        <v>2.0397037628813782E-2</v>
      </c>
    </row>
    <row r="28" spans="9:35" x14ac:dyDescent="0.45">
      <c r="I28" t="s">
        <v>173</v>
      </c>
      <c r="J28" t="s">
        <v>160</v>
      </c>
      <c r="K28">
        <v>4.1507300306761453E-2</v>
      </c>
      <c r="L28" t="s">
        <v>158</v>
      </c>
      <c r="N28" t="s">
        <v>198</v>
      </c>
      <c r="O28" t="s">
        <v>160</v>
      </c>
      <c r="P28">
        <v>1.9750619836317127E-2</v>
      </c>
      <c r="Q28" t="s">
        <v>158</v>
      </c>
      <c r="AC28" t="s">
        <v>19</v>
      </c>
      <c r="AD28" t="s">
        <v>160</v>
      </c>
      <c r="AE28">
        <v>2.0382670704364253E-2</v>
      </c>
    </row>
    <row r="29" spans="9:35" x14ac:dyDescent="0.45">
      <c r="I29" t="s">
        <v>173</v>
      </c>
      <c r="J29" t="s">
        <v>161</v>
      </c>
      <c r="K29">
        <v>3.6386500943336585E-2</v>
      </c>
      <c r="L29" t="s">
        <v>158</v>
      </c>
      <c r="N29" t="s">
        <v>198</v>
      </c>
      <c r="O29" t="s">
        <v>161</v>
      </c>
      <c r="P29">
        <v>3.4858104158282409E-2</v>
      </c>
      <c r="Q29" t="s">
        <v>158</v>
      </c>
      <c r="AC29" t="s">
        <v>19</v>
      </c>
      <c r="AD29" t="s">
        <v>161</v>
      </c>
      <c r="AE29">
        <v>2.7201051434891248E-2</v>
      </c>
    </row>
    <row r="30" spans="9:35" x14ac:dyDescent="0.45">
      <c r="I30" t="s">
        <v>173</v>
      </c>
      <c r="J30" t="s">
        <v>162</v>
      </c>
      <c r="K30">
        <v>0</v>
      </c>
      <c r="L30" t="s">
        <v>158</v>
      </c>
      <c r="N30" t="s">
        <v>198</v>
      </c>
      <c r="O30" t="s">
        <v>162</v>
      </c>
      <c r="P30">
        <v>5.4195892741797418E-2</v>
      </c>
      <c r="Q30" t="s">
        <v>158</v>
      </c>
      <c r="AC30" t="s">
        <v>19</v>
      </c>
      <c r="AD30" t="s">
        <v>162</v>
      </c>
      <c r="AE30">
        <v>4.0307060869507902E-2</v>
      </c>
    </row>
    <row r="31" spans="9:35" x14ac:dyDescent="0.45">
      <c r="I31" t="s">
        <v>173</v>
      </c>
      <c r="J31" t="s">
        <v>163</v>
      </c>
      <c r="K31">
        <v>6.2641459473061004E-2</v>
      </c>
      <c r="L31" t="s">
        <v>158</v>
      </c>
      <c r="N31" t="s">
        <v>198</v>
      </c>
      <c r="O31" t="s">
        <v>163</v>
      </c>
      <c r="P31">
        <v>9.7494843303796069E-2</v>
      </c>
      <c r="Q31" t="s">
        <v>158</v>
      </c>
      <c r="AC31" t="s">
        <v>19</v>
      </c>
      <c r="AD31" t="s">
        <v>163</v>
      </c>
      <c r="AE31">
        <v>0.166638519908474</v>
      </c>
    </row>
    <row r="32" spans="9:35" x14ac:dyDescent="0.45">
      <c r="I32" t="s">
        <v>173</v>
      </c>
      <c r="J32" t="s">
        <v>164</v>
      </c>
      <c r="K32">
        <v>0.17210886351944976</v>
      </c>
      <c r="L32" t="s">
        <v>158</v>
      </c>
      <c r="N32" t="s">
        <v>198</v>
      </c>
      <c r="O32" t="s">
        <v>164</v>
      </c>
      <c r="P32">
        <v>3.099315455708064E-2</v>
      </c>
      <c r="Q32" t="s">
        <v>158</v>
      </c>
      <c r="AC32" t="s">
        <v>19</v>
      </c>
      <c r="AD32" t="s">
        <v>164</v>
      </c>
      <c r="AE32">
        <v>6.3512484787878895E-2</v>
      </c>
    </row>
    <row r="33" spans="9:31" x14ac:dyDescent="0.45">
      <c r="I33" t="s">
        <v>173</v>
      </c>
      <c r="J33" t="s">
        <v>165</v>
      </c>
      <c r="K33">
        <v>0.19185513366391871</v>
      </c>
      <c r="L33" t="s">
        <v>158</v>
      </c>
      <c r="N33" t="s">
        <v>198</v>
      </c>
      <c r="O33" t="s">
        <v>165</v>
      </c>
      <c r="P33">
        <v>3.9406894817120307E-2</v>
      </c>
      <c r="Q33" t="s">
        <v>158</v>
      </c>
      <c r="AC33" t="s">
        <v>19</v>
      </c>
      <c r="AD33" t="s">
        <v>165</v>
      </c>
      <c r="AE33">
        <v>6.3487224878890358E-2</v>
      </c>
    </row>
    <row r="34" spans="9:31" x14ac:dyDescent="0.45">
      <c r="I34" t="s">
        <v>173</v>
      </c>
      <c r="J34" t="s">
        <v>166</v>
      </c>
      <c r="K34">
        <v>0.20153775402559831</v>
      </c>
      <c r="L34" t="s">
        <v>158</v>
      </c>
      <c r="N34" t="s">
        <v>198</v>
      </c>
      <c r="O34" t="s">
        <v>166</v>
      </c>
      <c r="P34">
        <v>6.6365384589608958E-2</v>
      </c>
      <c r="Q34" t="s">
        <v>158</v>
      </c>
      <c r="AC34" t="s">
        <v>19</v>
      </c>
      <c r="AD34" t="s">
        <v>166</v>
      </c>
      <c r="AE34">
        <v>8.4580202882966041E-2</v>
      </c>
    </row>
    <row r="35" spans="9:31" x14ac:dyDescent="0.45">
      <c r="I35" t="s">
        <v>173</v>
      </c>
      <c r="J35" t="s">
        <v>167</v>
      </c>
      <c r="K35">
        <v>3.1261563518200461E-2</v>
      </c>
      <c r="L35" t="s">
        <v>158</v>
      </c>
      <c r="N35" t="s">
        <v>198</v>
      </c>
      <c r="O35" t="s">
        <v>167</v>
      </c>
      <c r="P35">
        <v>8.9736846058086836E-2</v>
      </c>
      <c r="Q35" t="s">
        <v>158</v>
      </c>
      <c r="AC35" t="s">
        <v>19</v>
      </c>
      <c r="AD35" t="s">
        <v>167</v>
      </c>
      <c r="AE35">
        <v>0.12567651030557075</v>
      </c>
    </row>
    <row r="36" spans="9:31" x14ac:dyDescent="0.45">
      <c r="I36" t="s">
        <v>173</v>
      </c>
      <c r="J36" t="s">
        <v>168</v>
      </c>
      <c r="K36">
        <v>6.6908510954640605E-3</v>
      </c>
      <c r="L36" t="s">
        <v>158</v>
      </c>
      <c r="N36" t="s">
        <v>198</v>
      </c>
      <c r="O36" t="s">
        <v>168</v>
      </c>
      <c r="P36">
        <v>0.1684384921685487</v>
      </c>
      <c r="Q36" t="s">
        <v>158</v>
      </c>
      <c r="AC36" t="s">
        <v>19</v>
      </c>
      <c r="AD36" t="s">
        <v>168</v>
      </c>
      <c r="AE36">
        <v>0.11054816353967074</v>
      </c>
    </row>
    <row r="37" spans="9:31" x14ac:dyDescent="0.45">
      <c r="I37" t="s">
        <v>173</v>
      </c>
      <c r="J37" t="s">
        <v>169</v>
      </c>
      <c r="K37">
        <v>6.3142803425322427E-2</v>
      </c>
      <c r="L37" t="s">
        <v>158</v>
      </c>
      <c r="N37" t="s">
        <v>198</v>
      </c>
      <c r="O37" t="s">
        <v>169</v>
      </c>
      <c r="P37">
        <v>6.0692545859604236E-2</v>
      </c>
      <c r="Q37" t="s">
        <v>158</v>
      </c>
      <c r="AC37" t="s">
        <v>19</v>
      </c>
      <c r="AD37" t="s">
        <v>169</v>
      </c>
      <c r="AE37">
        <v>4.211839007091385E-2</v>
      </c>
    </row>
    <row r="38" spans="9:31" x14ac:dyDescent="0.45">
      <c r="I38" t="s">
        <v>173</v>
      </c>
      <c r="J38" t="s">
        <v>170</v>
      </c>
      <c r="K38">
        <v>8.5745031636414948E-2</v>
      </c>
      <c r="L38" t="s">
        <v>158</v>
      </c>
      <c r="N38" t="s">
        <v>198</v>
      </c>
      <c r="O38" t="s">
        <v>170</v>
      </c>
      <c r="P38">
        <v>5.8845190278391177E-2</v>
      </c>
      <c r="Q38" t="s">
        <v>158</v>
      </c>
      <c r="AC38" t="s">
        <v>19</v>
      </c>
      <c r="AD38" t="s">
        <v>170</v>
      </c>
      <c r="AE38">
        <v>4.2080287678962852E-2</v>
      </c>
    </row>
    <row r="39" spans="9:31" x14ac:dyDescent="0.45">
      <c r="I39" t="s">
        <v>173</v>
      </c>
      <c r="J39" t="s">
        <v>171</v>
      </c>
      <c r="K39">
        <v>7.8380441043087098E-2</v>
      </c>
      <c r="L39" t="s">
        <v>158</v>
      </c>
      <c r="N39" t="s">
        <v>198</v>
      </c>
      <c r="O39" t="s">
        <v>171</v>
      </c>
      <c r="P39">
        <v>7.8885335284710936E-2</v>
      </c>
      <c r="Q39" t="s">
        <v>158</v>
      </c>
      <c r="AC39" t="s">
        <v>19</v>
      </c>
      <c r="AD39" t="s">
        <v>171</v>
      </c>
      <c r="AE39">
        <v>5.6126456369141764E-2</v>
      </c>
    </row>
    <row r="40" spans="9:31" x14ac:dyDescent="0.45">
      <c r="I40" t="s">
        <v>173</v>
      </c>
      <c r="J40" t="s">
        <v>172</v>
      </c>
      <c r="K40">
        <v>1.5689148557766703E-3</v>
      </c>
      <c r="L40" t="s">
        <v>158</v>
      </c>
      <c r="N40" t="s">
        <v>198</v>
      </c>
      <c r="O40" t="s">
        <v>172</v>
      </c>
      <c r="P40">
        <v>0.12194061753266162</v>
      </c>
      <c r="Q40" t="s">
        <v>158</v>
      </c>
      <c r="AC40" t="s">
        <v>19</v>
      </c>
      <c r="AD40" t="s">
        <v>172</v>
      </c>
      <c r="AE40">
        <v>8.3373995249757499E-2</v>
      </c>
    </row>
    <row r="41" spans="9:31" x14ac:dyDescent="0.45">
      <c r="I41" t="s">
        <v>174</v>
      </c>
      <c r="J41" t="s">
        <v>157</v>
      </c>
      <c r="K41">
        <v>4.3570404126017716E-4</v>
      </c>
      <c r="L41" t="s">
        <v>158</v>
      </c>
      <c r="N41" t="s">
        <v>199</v>
      </c>
      <c r="O41" t="s">
        <v>157</v>
      </c>
      <c r="P41">
        <v>7.2644616825331396E-2</v>
      </c>
      <c r="Q41" t="s">
        <v>158</v>
      </c>
    </row>
    <row r="42" spans="9:31" x14ac:dyDescent="0.45">
      <c r="I42" t="s">
        <v>174</v>
      </c>
      <c r="J42" t="s">
        <v>159</v>
      </c>
      <c r="K42">
        <v>2.1642099002704855E-2</v>
      </c>
      <c r="L42" t="s">
        <v>158</v>
      </c>
      <c r="N42" t="s">
        <v>199</v>
      </c>
      <c r="O42" t="s">
        <v>159</v>
      </c>
      <c r="P42">
        <v>2.7162043335865999E-2</v>
      </c>
      <c r="Q42" t="s">
        <v>158</v>
      </c>
    </row>
    <row r="43" spans="9:31" x14ac:dyDescent="0.45">
      <c r="I43" t="s">
        <v>174</v>
      </c>
      <c r="J43" t="s">
        <v>160</v>
      </c>
      <c r="K43">
        <v>3.6402603371832418E-2</v>
      </c>
      <c r="L43" t="s">
        <v>158</v>
      </c>
      <c r="N43" t="s">
        <v>199</v>
      </c>
      <c r="O43" t="s">
        <v>160</v>
      </c>
      <c r="P43">
        <v>2.9389901969563832E-2</v>
      </c>
      <c r="Q43" t="s">
        <v>158</v>
      </c>
    </row>
    <row r="44" spans="9:31" x14ac:dyDescent="0.45">
      <c r="I44" t="s">
        <v>174</v>
      </c>
      <c r="J44" t="s">
        <v>161</v>
      </c>
      <c r="K44">
        <v>3.0950197382419428E-2</v>
      </c>
      <c r="L44" t="s">
        <v>158</v>
      </c>
      <c r="N44" t="s">
        <v>199</v>
      </c>
      <c r="O44" t="s">
        <v>161</v>
      </c>
      <c r="P44">
        <v>4.186577470410268E-2</v>
      </c>
      <c r="Q44" t="s">
        <v>158</v>
      </c>
    </row>
    <row r="45" spans="9:31" x14ac:dyDescent="0.45">
      <c r="I45" t="s">
        <v>174</v>
      </c>
      <c r="J45" t="s">
        <v>162</v>
      </c>
      <c r="K45">
        <v>0</v>
      </c>
      <c r="L45" t="s">
        <v>158</v>
      </c>
      <c r="N45" t="s">
        <v>199</v>
      </c>
      <c r="O45" t="s">
        <v>162</v>
      </c>
      <c r="P45">
        <v>6.6264479683337721E-2</v>
      </c>
      <c r="Q45" t="s">
        <v>158</v>
      </c>
    </row>
    <row r="46" spans="9:31" x14ac:dyDescent="0.45">
      <c r="I46" t="s">
        <v>174</v>
      </c>
      <c r="J46" t="s">
        <v>163</v>
      </c>
      <c r="K46">
        <v>7.4537290280402804E-2</v>
      </c>
      <c r="L46" t="s">
        <v>158</v>
      </c>
      <c r="N46" t="s">
        <v>199</v>
      </c>
      <c r="O46" t="s">
        <v>163</v>
      </c>
      <c r="P46">
        <v>0.10088246708051141</v>
      </c>
      <c r="Q46" t="s">
        <v>158</v>
      </c>
    </row>
    <row r="47" spans="9:31" x14ac:dyDescent="0.45">
      <c r="I47" t="s">
        <v>174</v>
      </c>
      <c r="J47" t="s">
        <v>164</v>
      </c>
      <c r="K47">
        <v>0.18000062236079337</v>
      </c>
      <c r="L47" t="s">
        <v>158</v>
      </c>
      <c r="N47" t="s">
        <v>199</v>
      </c>
      <c r="O47" t="s">
        <v>164</v>
      </c>
      <c r="P47">
        <v>3.4448350472582302E-2</v>
      </c>
      <c r="Q47" t="s">
        <v>158</v>
      </c>
    </row>
    <row r="48" spans="9:31" x14ac:dyDescent="0.45">
      <c r="I48" t="s">
        <v>174</v>
      </c>
      <c r="J48" t="s">
        <v>165</v>
      </c>
      <c r="K48">
        <v>0.19433015049701058</v>
      </c>
      <c r="L48" t="s">
        <v>158</v>
      </c>
      <c r="N48" t="s">
        <v>199</v>
      </c>
      <c r="O48" t="s">
        <v>165</v>
      </c>
      <c r="P48">
        <v>4.5610597303185112E-2</v>
      </c>
      <c r="Q48" t="s">
        <v>158</v>
      </c>
    </row>
    <row r="49" spans="9:17" x14ac:dyDescent="0.45">
      <c r="I49" t="s">
        <v>174</v>
      </c>
      <c r="J49" t="s">
        <v>166</v>
      </c>
      <c r="K49">
        <v>0.20211991009375721</v>
      </c>
      <c r="L49" t="s">
        <v>158</v>
      </c>
      <c r="N49" t="s">
        <v>199</v>
      </c>
      <c r="O49" t="s">
        <v>166</v>
      </c>
      <c r="P49">
        <v>6.8752638914934161E-2</v>
      </c>
      <c r="Q49" t="s">
        <v>158</v>
      </c>
    </row>
    <row r="50" spans="9:17" x14ac:dyDescent="0.45">
      <c r="I50" t="s">
        <v>174</v>
      </c>
      <c r="J50" t="s">
        <v>167</v>
      </c>
      <c r="K50">
        <v>3.0918701091588056E-2</v>
      </c>
      <c r="L50" t="s">
        <v>158</v>
      </c>
      <c r="N50" t="s">
        <v>199</v>
      </c>
      <c r="O50" t="s">
        <v>167</v>
      </c>
      <c r="P50">
        <v>9.5388521657696734E-2</v>
      </c>
      <c r="Q50" t="s">
        <v>158</v>
      </c>
    </row>
    <row r="51" spans="9:17" x14ac:dyDescent="0.45">
      <c r="I51" t="s">
        <v>174</v>
      </c>
      <c r="J51" t="s">
        <v>168</v>
      </c>
      <c r="K51">
        <v>8.2551139689857368E-3</v>
      </c>
      <c r="L51" t="s">
        <v>158</v>
      </c>
      <c r="N51" t="s">
        <v>199</v>
      </c>
      <c r="O51" t="s">
        <v>168</v>
      </c>
      <c r="P51">
        <v>0.13728595907832405</v>
      </c>
      <c r="Q51" t="s">
        <v>158</v>
      </c>
    </row>
    <row r="52" spans="9:17" x14ac:dyDescent="0.45">
      <c r="I52" t="s">
        <v>174</v>
      </c>
      <c r="J52" t="s">
        <v>169</v>
      </c>
      <c r="K52">
        <v>6.3743867819846936E-2</v>
      </c>
      <c r="L52" t="s">
        <v>158</v>
      </c>
      <c r="N52" t="s">
        <v>199</v>
      </c>
      <c r="O52" t="s">
        <v>169</v>
      </c>
      <c r="P52">
        <v>4.6220257504167715E-2</v>
      </c>
      <c r="Q52" t="s">
        <v>158</v>
      </c>
    </row>
    <row r="53" spans="9:17" x14ac:dyDescent="0.45">
      <c r="I53" t="s">
        <v>174</v>
      </c>
      <c r="J53" t="s">
        <v>170</v>
      </c>
      <c r="K53">
        <v>8.4539357854085992E-2</v>
      </c>
      <c r="L53" t="s">
        <v>158</v>
      </c>
      <c r="N53" t="s">
        <v>199</v>
      </c>
      <c r="O53" t="s">
        <v>170</v>
      </c>
      <c r="P53">
        <v>5.1614244391754285E-2</v>
      </c>
      <c r="Q53" t="s">
        <v>158</v>
      </c>
    </row>
    <row r="54" spans="9:17" x14ac:dyDescent="0.45">
      <c r="I54" t="s">
        <v>174</v>
      </c>
      <c r="J54" t="s">
        <v>171</v>
      </c>
      <c r="K54">
        <v>7.0752962805557804E-2</v>
      </c>
      <c r="L54" t="s">
        <v>158</v>
      </c>
      <c r="N54" t="s">
        <v>199</v>
      </c>
      <c r="O54" t="s">
        <v>171</v>
      </c>
      <c r="P54">
        <v>7.4102454523635439E-2</v>
      </c>
      <c r="Q54" t="s">
        <v>158</v>
      </c>
    </row>
    <row r="55" spans="9:17" x14ac:dyDescent="0.45">
      <c r="I55" t="s">
        <v>174</v>
      </c>
      <c r="J55" t="s">
        <v>172</v>
      </c>
      <c r="K55">
        <v>1.3714194295974E-3</v>
      </c>
      <c r="L55" t="s">
        <v>158</v>
      </c>
      <c r="N55" t="s">
        <v>199</v>
      </c>
      <c r="O55" t="s">
        <v>172</v>
      </c>
      <c r="P55">
        <v>0.10836769255488091</v>
      </c>
      <c r="Q55" t="s">
        <v>158</v>
      </c>
    </row>
    <row r="56" spans="9:17" x14ac:dyDescent="0.45">
      <c r="I56" t="s">
        <v>175</v>
      </c>
      <c r="J56" t="s">
        <v>157</v>
      </c>
      <c r="K56">
        <v>7.0355156849438445E-4</v>
      </c>
      <c r="L56" t="s">
        <v>158</v>
      </c>
      <c r="N56" t="s">
        <v>200</v>
      </c>
      <c r="O56" t="s">
        <v>157</v>
      </c>
      <c r="P56">
        <v>0.11469453567080855</v>
      </c>
      <c r="Q56" t="s">
        <v>158</v>
      </c>
    </row>
    <row r="57" spans="9:17" x14ac:dyDescent="0.45">
      <c r="I57" t="s">
        <v>175</v>
      </c>
      <c r="J57" t="s">
        <v>159</v>
      </c>
      <c r="K57">
        <v>3.5189661536626685E-2</v>
      </c>
      <c r="L57" t="s">
        <v>158</v>
      </c>
      <c r="N57" t="s">
        <v>200</v>
      </c>
      <c r="O57" t="s">
        <v>159</v>
      </c>
      <c r="P57">
        <v>3.5111897539031489E-2</v>
      </c>
      <c r="Q57" t="s">
        <v>158</v>
      </c>
    </row>
    <row r="58" spans="9:17" x14ac:dyDescent="0.45">
      <c r="I58" t="s">
        <v>175</v>
      </c>
      <c r="J58" t="s">
        <v>160</v>
      </c>
      <c r="K58">
        <v>4.5667755842212214E-2</v>
      </c>
      <c r="L58" t="s">
        <v>158</v>
      </c>
      <c r="N58" t="s">
        <v>200</v>
      </c>
      <c r="O58" t="s">
        <v>160</v>
      </c>
      <c r="P58">
        <v>3.2356688907408081E-2</v>
      </c>
      <c r="Q58" t="s">
        <v>158</v>
      </c>
    </row>
    <row r="59" spans="9:17" x14ac:dyDescent="0.45">
      <c r="I59" t="s">
        <v>175</v>
      </c>
      <c r="J59" t="s">
        <v>161</v>
      </c>
      <c r="K59">
        <v>4.1657880006442306E-2</v>
      </c>
      <c r="L59" t="s">
        <v>158</v>
      </c>
      <c r="N59" t="s">
        <v>200</v>
      </c>
      <c r="O59" t="s">
        <v>161</v>
      </c>
      <c r="P59">
        <v>5.5833642400574299E-2</v>
      </c>
      <c r="Q59" t="s">
        <v>158</v>
      </c>
    </row>
    <row r="60" spans="9:17" x14ac:dyDescent="0.45">
      <c r="I60" t="s">
        <v>175</v>
      </c>
      <c r="J60" t="s">
        <v>162</v>
      </c>
      <c r="K60">
        <v>0</v>
      </c>
      <c r="L60" t="s">
        <v>158</v>
      </c>
      <c r="N60" t="s">
        <v>200</v>
      </c>
      <c r="O60" t="s">
        <v>162</v>
      </c>
      <c r="P60">
        <v>8.5881315322356183E-2</v>
      </c>
      <c r="Q60" t="s">
        <v>158</v>
      </c>
    </row>
    <row r="61" spans="9:17" x14ac:dyDescent="0.45">
      <c r="I61" t="s">
        <v>175</v>
      </c>
      <c r="J61" t="s">
        <v>163</v>
      </c>
      <c r="K61">
        <v>5.9574379620198924E-2</v>
      </c>
      <c r="L61" t="s">
        <v>158</v>
      </c>
      <c r="N61" t="s">
        <v>200</v>
      </c>
      <c r="O61" t="s">
        <v>163</v>
      </c>
      <c r="P61">
        <v>0.12729835812107684</v>
      </c>
      <c r="Q61" t="s">
        <v>158</v>
      </c>
    </row>
    <row r="62" spans="9:17" x14ac:dyDescent="0.45">
      <c r="I62" t="s">
        <v>175</v>
      </c>
      <c r="J62" t="s">
        <v>164</v>
      </c>
      <c r="K62">
        <v>0.17161158386180345</v>
      </c>
      <c r="L62" t="s">
        <v>158</v>
      </c>
      <c r="N62" t="s">
        <v>200</v>
      </c>
      <c r="O62" t="s">
        <v>164</v>
      </c>
      <c r="P62">
        <v>3.0611025172017765E-2</v>
      </c>
      <c r="Q62" t="s">
        <v>158</v>
      </c>
    </row>
    <row r="63" spans="9:17" x14ac:dyDescent="0.45">
      <c r="I63" t="s">
        <v>175</v>
      </c>
      <c r="J63" t="s">
        <v>165</v>
      </c>
      <c r="K63">
        <v>0.18611627302691069</v>
      </c>
      <c r="L63" t="s">
        <v>158</v>
      </c>
      <c r="N63" t="s">
        <v>200</v>
      </c>
      <c r="O63" t="s">
        <v>165</v>
      </c>
      <c r="P63">
        <v>3.6006222989258464E-2</v>
      </c>
      <c r="Q63" t="s">
        <v>158</v>
      </c>
    </row>
    <row r="64" spans="9:17" x14ac:dyDescent="0.45">
      <c r="I64" t="s">
        <v>175</v>
      </c>
      <c r="J64" t="s">
        <v>166</v>
      </c>
      <c r="K64">
        <v>0.19516575951934523</v>
      </c>
      <c r="L64" t="s">
        <v>158</v>
      </c>
      <c r="N64" t="s">
        <v>200</v>
      </c>
      <c r="O64" t="s">
        <v>166</v>
      </c>
      <c r="P64">
        <v>5.7043753054830393E-2</v>
      </c>
      <c r="Q64" t="s">
        <v>158</v>
      </c>
    </row>
    <row r="65" spans="9:17" x14ac:dyDescent="0.45">
      <c r="I65" t="s">
        <v>175</v>
      </c>
      <c r="J65" t="s">
        <v>167</v>
      </c>
      <c r="K65">
        <v>2.8047855456922698E-2</v>
      </c>
      <c r="L65" t="s">
        <v>158</v>
      </c>
      <c r="N65" t="s">
        <v>200</v>
      </c>
      <c r="O65" t="s">
        <v>167</v>
      </c>
      <c r="P65">
        <v>9.2220030621841545E-2</v>
      </c>
      <c r="Q65" t="s">
        <v>158</v>
      </c>
    </row>
    <row r="66" spans="9:17" x14ac:dyDescent="0.45">
      <c r="I66" t="s">
        <v>175</v>
      </c>
      <c r="J66" t="s">
        <v>168</v>
      </c>
      <c r="K66">
        <v>9.1216604835624368E-3</v>
      </c>
      <c r="L66" t="s">
        <v>158</v>
      </c>
      <c r="N66" t="s">
        <v>200</v>
      </c>
      <c r="O66" t="s">
        <v>168</v>
      </c>
      <c r="P66">
        <v>0.13270454932931283</v>
      </c>
      <c r="Q66" t="s">
        <v>158</v>
      </c>
    </row>
    <row r="67" spans="9:17" x14ac:dyDescent="0.45">
      <c r="I67" t="s">
        <v>175</v>
      </c>
      <c r="J67" t="s">
        <v>169</v>
      </c>
      <c r="K67">
        <v>6.8784920003765751E-2</v>
      </c>
      <c r="L67" t="s">
        <v>158</v>
      </c>
      <c r="N67" t="s">
        <v>200</v>
      </c>
      <c r="O67" t="s">
        <v>169</v>
      </c>
      <c r="P67">
        <v>3.6922216419601271E-2</v>
      </c>
      <c r="Q67" t="s">
        <v>158</v>
      </c>
    </row>
    <row r="68" spans="9:17" x14ac:dyDescent="0.45">
      <c r="I68" t="s">
        <v>175</v>
      </c>
      <c r="J68" t="s">
        <v>170</v>
      </c>
      <c r="K68">
        <v>8.3654537027766152E-2</v>
      </c>
      <c r="L68" t="s">
        <v>158</v>
      </c>
      <c r="N68" t="s">
        <v>200</v>
      </c>
      <c r="O68" t="s">
        <v>170</v>
      </c>
      <c r="P68">
        <v>2.6844197011474502E-2</v>
      </c>
      <c r="Q68" t="s">
        <v>158</v>
      </c>
    </row>
    <row r="69" spans="9:17" x14ac:dyDescent="0.45">
      <c r="I69" t="s">
        <v>175</v>
      </c>
      <c r="J69" t="s">
        <v>171</v>
      </c>
      <c r="K69">
        <v>7.3263941814964831E-2</v>
      </c>
      <c r="L69" t="s">
        <v>158</v>
      </c>
      <c r="N69" t="s">
        <v>200</v>
      </c>
      <c r="O69" t="s">
        <v>171</v>
      </c>
      <c r="P69">
        <v>4.2261710066452463E-2</v>
      </c>
      <c r="Q69" t="s">
        <v>158</v>
      </c>
    </row>
    <row r="70" spans="9:17" x14ac:dyDescent="0.45">
      <c r="I70" t="s">
        <v>175</v>
      </c>
      <c r="J70" t="s">
        <v>172</v>
      </c>
      <c r="K70">
        <v>1.4402402308126294E-3</v>
      </c>
      <c r="L70" t="s">
        <v>158</v>
      </c>
      <c r="N70" t="s">
        <v>200</v>
      </c>
      <c r="O70" t="s">
        <v>172</v>
      </c>
      <c r="P70">
        <v>9.4209857373859118E-2</v>
      </c>
      <c r="Q70" t="s">
        <v>158</v>
      </c>
    </row>
    <row r="71" spans="9:17" x14ac:dyDescent="0.45">
      <c r="I71" t="s">
        <v>176</v>
      </c>
      <c r="J71" t="s">
        <v>157</v>
      </c>
      <c r="K71">
        <v>9.9768189590510948E-4</v>
      </c>
      <c r="L71" t="s">
        <v>158</v>
      </c>
      <c r="N71" t="s">
        <v>201</v>
      </c>
      <c r="O71" t="s">
        <v>157</v>
      </c>
      <c r="P71">
        <v>8.0252339449182267E-2</v>
      </c>
      <c r="Q71" t="s">
        <v>158</v>
      </c>
    </row>
    <row r="72" spans="9:17" x14ac:dyDescent="0.45">
      <c r="I72" t="s">
        <v>176</v>
      </c>
      <c r="J72" t="s">
        <v>159</v>
      </c>
      <c r="K72">
        <v>3.4251176279601891E-2</v>
      </c>
      <c r="L72" t="s">
        <v>158</v>
      </c>
      <c r="N72" t="s">
        <v>201</v>
      </c>
      <c r="O72" t="s">
        <v>159</v>
      </c>
      <c r="P72">
        <v>2.8787527428364029E-2</v>
      </c>
      <c r="Q72" t="s">
        <v>158</v>
      </c>
    </row>
    <row r="73" spans="9:17" x14ac:dyDescent="0.45">
      <c r="I73" t="s">
        <v>176</v>
      </c>
      <c r="J73" t="s">
        <v>160</v>
      </c>
      <c r="K73">
        <v>4.5317154565480633E-2</v>
      </c>
      <c r="L73" t="s">
        <v>158</v>
      </c>
      <c r="N73" t="s">
        <v>201</v>
      </c>
      <c r="O73" t="s">
        <v>160</v>
      </c>
      <c r="P73">
        <v>2.6028201117433935E-2</v>
      </c>
      <c r="Q73" t="s">
        <v>158</v>
      </c>
    </row>
    <row r="74" spans="9:17" x14ac:dyDescent="0.45">
      <c r="I74" t="s">
        <v>176</v>
      </c>
      <c r="J74" t="s">
        <v>161</v>
      </c>
      <c r="K74">
        <v>3.977773489825151E-2</v>
      </c>
      <c r="L74" t="s">
        <v>158</v>
      </c>
      <c r="N74" t="s">
        <v>201</v>
      </c>
      <c r="O74" t="s">
        <v>161</v>
      </c>
      <c r="P74">
        <v>4.1883427129117308E-2</v>
      </c>
      <c r="Q74" t="s">
        <v>158</v>
      </c>
    </row>
    <row r="75" spans="9:17" x14ac:dyDescent="0.45">
      <c r="I75" t="s">
        <v>176</v>
      </c>
      <c r="J75" t="s">
        <v>162</v>
      </c>
      <c r="K75">
        <v>0</v>
      </c>
      <c r="L75" t="s">
        <v>158</v>
      </c>
      <c r="N75" t="s">
        <v>201</v>
      </c>
      <c r="O75" t="s">
        <v>162</v>
      </c>
      <c r="P75">
        <v>6.5899178298240241E-2</v>
      </c>
      <c r="Q75" t="s">
        <v>158</v>
      </c>
    </row>
    <row r="76" spans="9:17" x14ac:dyDescent="0.45">
      <c r="I76" t="s">
        <v>176</v>
      </c>
      <c r="J76" t="s">
        <v>163</v>
      </c>
      <c r="K76">
        <v>5.9221528246272498E-2</v>
      </c>
      <c r="L76" t="s">
        <v>158</v>
      </c>
      <c r="N76" t="s">
        <v>201</v>
      </c>
      <c r="O76" t="s">
        <v>163</v>
      </c>
      <c r="P76">
        <v>0.10413096887355362</v>
      </c>
      <c r="Q76" t="s">
        <v>158</v>
      </c>
    </row>
    <row r="77" spans="9:17" x14ac:dyDescent="0.45">
      <c r="I77" t="s">
        <v>176</v>
      </c>
      <c r="J77" t="s">
        <v>164</v>
      </c>
      <c r="K77">
        <v>0.17564610862108856</v>
      </c>
      <c r="L77" t="s">
        <v>158</v>
      </c>
      <c r="N77" t="s">
        <v>201</v>
      </c>
      <c r="O77" t="s">
        <v>164</v>
      </c>
      <c r="P77">
        <v>4.2907588529927529E-2</v>
      </c>
      <c r="Q77" t="s">
        <v>158</v>
      </c>
    </row>
    <row r="78" spans="9:17" x14ac:dyDescent="0.45">
      <c r="I78" t="s">
        <v>176</v>
      </c>
      <c r="J78" t="s">
        <v>165</v>
      </c>
      <c r="K78">
        <v>0.18791051887034635</v>
      </c>
      <c r="L78" t="s">
        <v>158</v>
      </c>
      <c r="N78" t="s">
        <v>201</v>
      </c>
      <c r="O78" t="s">
        <v>165</v>
      </c>
      <c r="P78">
        <v>5.1874921539231081E-2</v>
      </c>
      <c r="Q78" t="s">
        <v>158</v>
      </c>
    </row>
    <row r="79" spans="9:17" x14ac:dyDescent="0.45">
      <c r="I79" t="s">
        <v>176</v>
      </c>
      <c r="J79" t="s">
        <v>166</v>
      </c>
      <c r="K79">
        <v>0.19067993927356977</v>
      </c>
      <c r="L79" t="s">
        <v>158</v>
      </c>
      <c r="N79" t="s">
        <v>201</v>
      </c>
      <c r="O79" t="s">
        <v>166</v>
      </c>
      <c r="P79">
        <v>7.563764171844875E-2</v>
      </c>
      <c r="Q79" t="s">
        <v>158</v>
      </c>
    </row>
    <row r="80" spans="9:17" x14ac:dyDescent="0.45">
      <c r="I80" t="s">
        <v>176</v>
      </c>
      <c r="J80" t="s">
        <v>167</v>
      </c>
      <c r="K80">
        <v>2.6122404344319835E-2</v>
      </c>
      <c r="L80" t="s">
        <v>158</v>
      </c>
      <c r="N80" t="s">
        <v>201</v>
      </c>
      <c r="O80" t="s">
        <v>167</v>
      </c>
      <c r="P80">
        <v>0.10038768027700845</v>
      </c>
      <c r="Q80" t="s">
        <v>158</v>
      </c>
    </row>
    <row r="81" spans="9:17" x14ac:dyDescent="0.45">
      <c r="I81" t="s">
        <v>176</v>
      </c>
      <c r="J81" t="s">
        <v>168</v>
      </c>
      <c r="K81">
        <v>8.8320028755443925E-3</v>
      </c>
      <c r="L81" t="s">
        <v>158</v>
      </c>
      <c r="N81" t="s">
        <v>201</v>
      </c>
      <c r="O81" t="s">
        <v>168</v>
      </c>
      <c r="P81">
        <v>0.13245717456852399</v>
      </c>
      <c r="Q81" t="s">
        <v>158</v>
      </c>
    </row>
    <row r="82" spans="9:17" x14ac:dyDescent="0.45">
      <c r="I82" t="s">
        <v>176</v>
      </c>
      <c r="J82" t="s">
        <v>169</v>
      </c>
      <c r="K82">
        <v>7.1409893902709701E-2</v>
      </c>
      <c r="L82" t="s">
        <v>158</v>
      </c>
      <c r="N82" t="s">
        <v>201</v>
      </c>
      <c r="O82" t="s">
        <v>169</v>
      </c>
      <c r="P82">
        <v>4.4928361208306553E-2</v>
      </c>
      <c r="Q82" t="s">
        <v>158</v>
      </c>
    </row>
    <row r="83" spans="9:17" x14ac:dyDescent="0.45">
      <c r="I83" t="s">
        <v>176</v>
      </c>
      <c r="J83" t="s">
        <v>170</v>
      </c>
      <c r="K83">
        <v>8.5879062392378275E-2</v>
      </c>
      <c r="L83" t="s">
        <v>158</v>
      </c>
      <c r="N83" t="s">
        <v>201</v>
      </c>
      <c r="O83" t="s">
        <v>170</v>
      </c>
      <c r="P83">
        <v>4.3968192653612216E-2</v>
      </c>
      <c r="Q83" t="s">
        <v>158</v>
      </c>
    </row>
    <row r="84" spans="9:17" x14ac:dyDescent="0.45">
      <c r="I84" t="s">
        <v>176</v>
      </c>
      <c r="J84" t="s">
        <v>171</v>
      </c>
      <c r="K84">
        <v>7.2722243367753167E-2</v>
      </c>
      <c r="L84" t="s">
        <v>158</v>
      </c>
      <c r="N84" t="s">
        <v>201</v>
      </c>
      <c r="O84" t="s">
        <v>171</v>
      </c>
      <c r="P84">
        <v>6.0675146853915243E-2</v>
      </c>
      <c r="Q84" t="s">
        <v>158</v>
      </c>
    </row>
    <row r="85" spans="9:17" x14ac:dyDescent="0.45">
      <c r="I85" t="s">
        <v>176</v>
      </c>
      <c r="J85" t="s">
        <v>172</v>
      </c>
      <c r="K85">
        <v>1.2325504666079125E-3</v>
      </c>
      <c r="L85" t="s">
        <v>158</v>
      </c>
      <c r="N85" t="s">
        <v>201</v>
      </c>
      <c r="O85" t="s">
        <v>172</v>
      </c>
      <c r="P85">
        <v>0.10018165035500454</v>
      </c>
      <c r="Q85" t="s">
        <v>158</v>
      </c>
    </row>
    <row r="86" spans="9:17" x14ac:dyDescent="0.45">
      <c r="I86" t="s">
        <v>177</v>
      </c>
      <c r="J86" t="s">
        <v>157</v>
      </c>
      <c r="K86">
        <v>9.7663766287830263E-4</v>
      </c>
      <c r="L86" t="s">
        <v>158</v>
      </c>
      <c r="N86" t="s">
        <v>202</v>
      </c>
      <c r="O86" t="s">
        <v>157</v>
      </c>
      <c r="P86">
        <v>6.7002956187906026E-2</v>
      </c>
      <c r="Q86" t="s">
        <v>158</v>
      </c>
    </row>
    <row r="87" spans="9:17" x14ac:dyDescent="0.45">
      <c r="I87" t="s">
        <v>177</v>
      </c>
      <c r="J87" t="s">
        <v>159</v>
      </c>
      <c r="K87">
        <v>2.7617434341986224E-2</v>
      </c>
      <c r="L87" t="s">
        <v>158</v>
      </c>
      <c r="N87" t="s">
        <v>202</v>
      </c>
      <c r="O87" t="s">
        <v>159</v>
      </c>
      <c r="P87">
        <v>2.4148303751882736E-2</v>
      </c>
      <c r="Q87" t="s">
        <v>158</v>
      </c>
    </row>
    <row r="88" spans="9:17" x14ac:dyDescent="0.45">
      <c r="I88" t="s">
        <v>177</v>
      </c>
      <c r="J88" t="s">
        <v>160</v>
      </c>
      <c r="K88">
        <v>4.0004569825824537E-2</v>
      </c>
      <c r="L88" t="s">
        <v>158</v>
      </c>
      <c r="N88" t="s">
        <v>202</v>
      </c>
      <c r="O88" t="s">
        <v>160</v>
      </c>
      <c r="P88">
        <v>2.6301767307580541E-2</v>
      </c>
      <c r="Q88" t="s">
        <v>158</v>
      </c>
    </row>
    <row r="89" spans="9:17" x14ac:dyDescent="0.45">
      <c r="I89" t="s">
        <v>177</v>
      </c>
      <c r="J89" t="s">
        <v>161</v>
      </c>
      <c r="K89">
        <v>3.5186684615970937E-2</v>
      </c>
      <c r="L89" t="s">
        <v>158</v>
      </c>
      <c r="N89" t="s">
        <v>202</v>
      </c>
      <c r="O89" t="s">
        <v>161</v>
      </c>
      <c r="P89">
        <v>4.5962342515512317E-2</v>
      </c>
      <c r="Q89" t="s">
        <v>158</v>
      </c>
    </row>
    <row r="90" spans="9:17" x14ac:dyDescent="0.45">
      <c r="I90" t="s">
        <v>177</v>
      </c>
      <c r="J90" t="s">
        <v>162</v>
      </c>
      <c r="K90">
        <v>0</v>
      </c>
      <c r="L90" t="s">
        <v>158</v>
      </c>
      <c r="N90" t="s">
        <v>202</v>
      </c>
      <c r="O90" t="s">
        <v>162</v>
      </c>
      <c r="P90">
        <v>6.9214799967299082E-2</v>
      </c>
      <c r="Q90" t="s">
        <v>158</v>
      </c>
    </row>
    <row r="91" spans="9:17" x14ac:dyDescent="0.45">
      <c r="I91" t="s">
        <v>177</v>
      </c>
      <c r="J91" t="s">
        <v>163</v>
      </c>
      <c r="K91">
        <v>6.5407516696432494E-2</v>
      </c>
      <c r="L91" t="s">
        <v>158</v>
      </c>
      <c r="N91" t="s">
        <v>202</v>
      </c>
      <c r="O91" t="s">
        <v>163</v>
      </c>
      <c r="P91">
        <v>8.4458810992848091E-2</v>
      </c>
      <c r="Q91" t="s">
        <v>158</v>
      </c>
    </row>
    <row r="92" spans="9:17" x14ac:dyDescent="0.45">
      <c r="I92" t="s">
        <v>177</v>
      </c>
      <c r="J92" t="s">
        <v>164</v>
      </c>
      <c r="K92">
        <v>0.17559973487135977</v>
      </c>
      <c r="L92" t="s">
        <v>158</v>
      </c>
      <c r="N92" t="s">
        <v>202</v>
      </c>
      <c r="O92" t="s">
        <v>164</v>
      </c>
      <c r="P92">
        <v>3.320259210918021E-2</v>
      </c>
      <c r="Q92" t="s">
        <v>158</v>
      </c>
    </row>
    <row r="93" spans="9:17" x14ac:dyDescent="0.45">
      <c r="I93" t="s">
        <v>177</v>
      </c>
      <c r="J93" t="s">
        <v>165</v>
      </c>
      <c r="K93">
        <v>0.1910072607272246</v>
      </c>
      <c r="L93" t="s">
        <v>158</v>
      </c>
      <c r="N93" t="s">
        <v>202</v>
      </c>
      <c r="O93" t="s">
        <v>165</v>
      </c>
      <c r="P93">
        <v>5.25868177680507E-2</v>
      </c>
      <c r="Q93" t="s">
        <v>158</v>
      </c>
    </row>
    <row r="94" spans="9:17" x14ac:dyDescent="0.45">
      <c r="I94" t="s">
        <v>177</v>
      </c>
      <c r="J94" t="s">
        <v>166</v>
      </c>
      <c r="K94">
        <v>0.19385504729573155</v>
      </c>
      <c r="L94" t="s">
        <v>158</v>
      </c>
      <c r="N94" t="s">
        <v>202</v>
      </c>
      <c r="O94" t="s">
        <v>166</v>
      </c>
      <c r="P94">
        <v>8.1306992196831074E-2</v>
      </c>
      <c r="Q94" t="s">
        <v>158</v>
      </c>
    </row>
    <row r="95" spans="9:17" x14ac:dyDescent="0.45">
      <c r="I95" t="s">
        <v>177</v>
      </c>
      <c r="J95" t="s">
        <v>167</v>
      </c>
      <c r="K95">
        <v>2.7234888755930747E-2</v>
      </c>
      <c r="L95" t="s">
        <v>158</v>
      </c>
      <c r="N95" t="s">
        <v>202</v>
      </c>
      <c r="O95" t="s">
        <v>167</v>
      </c>
      <c r="P95">
        <v>9.2752628886225055E-2</v>
      </c>
      <c r="Q95" t="s">
        <v>158</v>
      </c>
    </row>
    <row r="96" spans="9:17" x14ac:dyDescent="0.45">
      <c r="I96" t="s">
        <v>177</v>
      </c>
      <c r="J96" t="s">
        <v>168</v>
      </c>
      <c r="K96">
        <v>9.1836847783114562E-3</v>
      </c>
      <c r="L96" t="s">
        <v>158</v>
      </c>
      <c r="N96" t="s">
        <v>202</v>
      </c>
      <c r="O96" t="s">
        <v>168</v>
      </c>
      <c r="P96">
        <v>0.1319334569305238</v>
      </c>
      <c r="Q96" t="s">
        <v>158</v>
      </c>
    </row>
    <row r="97" spans="9:17" x14ac:dyDescent="0.45">
      <c r="I97" t="s">
        <v>177</v>
      </c>
      <c r="J97" t="s">
        <v>169</v>
      </c>
      <c r="K97">
        <v>7.0972562730170469E-2</v>
      </c>
      <c r="L97" t="s">
        <v>158</v>
      </c>
      <c r="N97" t="s">
        <v>202</v>
      </c>
      <c r="O97" t="s">
        <v>169</v>
      </c>
      <c r="P97">
        <v>5.2444713045578337E-2</v>
      </c>
      <c r="Q97" t="s">
        <v>158</v>
      </c>
    </row>
    <row r="98" spans="9:17" x14ac:dyDescent="0.45">
      <c r="I98" t="s">
        <v>177</v>
      </c>
      <c r="J98" t="s">
        <v>170</v>
      </c>
      <c r="K98">
        <v>8.7742450506920755E-2</v>
      </c>
      <c r="L98" t="s">
        <v>158</v>
      </c>
      <c r="N98" t="s">
        <v>202</v>
      </c>
      <c r="O98" t="s">
        <v>170</v>
      </c>
      <c r="P98">
        <v>6.5127262792575399E-2</v>
      </c>
      <c r="Q98" t="s">
        <v>158</v>
      </c>
    </row>
    <row r="99" spans="9:17" x14ac:dyDescent="0.45">
      <c r="I99" t="s">
        <v>177</v>
      </c>
      <c r="J99" t="s">
        <v>171</v>
      </c>
      <c r="K99">
        <v>7.3935708778748041E-2</v>
      </c>
      <c r="L99" t="s">
        <v>158</v>
      </c>
      <c r="N99" t="s">
        <v>202</v>
      </c>
      <c r="O99" t="s">
        <v>171</v>
      </c>
      <c r="P99">
        <v>7.3742925191537925E-2</v>
      </c>
      <c r="Q99" t="s">
        <v>158</v>
      </c>
    </row>
    <row r="100" spans="9:17" x14ac:dyDescent="0.45">
      <c r="I100" t="s">
        <v>177</v>
      </c>
      <c r="J100" t="s">
        <v>172</v>
      </c>
      <c r="K100">
        <v>1.2758184123391569E-3</v>
      </c>
      <c r="L100" t="s">
        <v>158</v>
      </c>
      <c r="N100" t="s">
        <v>202</v>
      </c>
      <c r="O100" t="s">
        <v>172</v>
      </c>
      <c r="P100">
        <v>9.9813630356359387E-2</v>
      </c>
      <c r="Q100" t="s">
        <v>158</v>
      </c>
    </row>
    <row r="101" spans="9:17" x14ac:dyDescent="0.45">
      <c r="I101" t="s">
        <v>178</v>
      </c>
      <c r="J101" t="s">
        <v>157</v>
      </c>
      <c r="K101">
        <v>5.4853641098065345E-4</v>
      </c>
      <c r="L101" t="s">
        <v>158</v>
      </c>
      <c r="N101" t="s">
        <v>203</v>
      </c>
      <c r="O101" t="s">
        <v>157</v>
      </c>
      <c r="P101">
        <v>7.3335428849761006E-2</v>
      </c>
      <c r="Q101" t="s">
        <v>158</v>
      </c>
    </row>
    <row r="102" spans="9:17" x14ac:dyDescent="0.45">
      <c r="I102" t="s">
        <v>178</v>
      </c>
      <c r="J102" t="s">
        <v>159</v>
      </c>
      <c r="K102">
        <v>2.164411379946116E-2</v>
      </c>
      <c r="L102" t="s">
        <v>158</v>
      </c>
      <c r="N102" t="s">
        <v>203</v>
      </c>
      <c r="O102" t="s">
        <v>159</v>
      </c>
      <c r="P102">
        <v>2.4450588587453883E-2</v>
      </c>
      <c r="Q102" t="s">
        <v>158</v>
      </c>
    </row>
    <row r="103" spans="9:17" x14ac:dyDescent="0.45">
      <c r="I103" t="s">
        <v>178</v>
      </c>
      <c r="J103" t="s">
        <v>160</v>
      </c>
      <c r="K103">
        <v>3.6331328678482211E-2</v>
      </c>
      <c r="L103" t="s">
        <v>158</v>
      </c>
      <c r="N103" t="s">
        <v>203</v>
      </c>
      <c r="O103" t="s">
        <v>160</v>
      </c>
      <c r="P103">
        <v>2.6538534822391491E-2</v>
      </c>
      <c r="Q103" t="s">
        <v>158</v>
      </c>
    </row>
    <row r="104" spans="9:17" x14ac:dyDescent="0.45">
      <c r="I104" t="s">
        <v>178</v>
      </c>
      <c r="J104" t="s">
        <v>161</v>
      </c>
      <c r="K104">
        <v>3.1287850293422993E-2</v>
      </c>
      <c r="L104" t="s">
        <v>158</v>
      </c>
      <c r="N104" t="s">
        <v>203</v>
      </c>
      <c r="O104" t="s">
        <v>161</v>
      </c>
      <c r="P104">
        <v>4.2818030701950574E-2</v>
      </c>
      <c r="Q104" t="s">
        <v>158</v>
      </c>
    </row>
    <row r="105" spans="9:17" x14ac:dyDescent="0.45">
      <c r="I105" t="s">
        <v>178</v>
      </c>
      <c r="J105" t="s">
        <v>162</v>
      </c>
      <c r="K105">
        <v>0</v>
      </c>
      <c r="L105" t="s">
        <v>158</v>
      </c>
      <c r="N105" t="s">
        <v>203</v>
      </c>
      <c r="O105" t="s">
        <v>162</v>
      </c>
      <c r="P105">
        <v>6.7605834944245755E-2</v>
      </c>
      <c r="Q105" t="s">
        <v>158</v>
      </c>
    </row>
    <row r="106" spans="9:17" x14ac:dyDescent="0.45">
      <c r="I106" t="s">
        <v>178</v>
      </c>
      <c r="J106" t="s">
        <v>163</v>
      </c>
      <c r="K106">
        <v>7.3858691866016124E-2</v>
      </c>
      <c r="L106" t="s">
        <v>158</v>
      </c>
      <c r="N106" t="s">
        <v>203</v>
      </c>
      <c r="O106" t="s">
        <v>163</v>
      </c>
      <c r="P106">
        <v>0.11717883185817064</v>
      </c>
      <c r="Q106" t="s">
        <v>158</v>
      </c>
    </row>
    <row r="107" spans="9:17" x14ac:dyDescent="0.45">
      <c r="I107" t="s">
        <v>178</v>
      </c>
      <c r="J107" t="s">
        <v>164</v>
      </c>
      <c r="K107">
        <v>0.17632426512765637</v>
      </c>
      <c r="L107" t="s">
        <v>158</v>
      </c>
      <c r="N107" t="s">
        <v>203</v>
      </c>
      <c r="O107" t="s">
        <v>164</v>
      </c>
      <c r="P107">
        <v>3.6417041732609623E-2</v>
      </c>
      <c r="Q107" t="s">
        <v>158</v>
      </c>
    </row>
    <row r="108" spans="9:17" x14ac:dyDescent="0.45">
      <c r="I108" t="s">
        <v>178</v>
      </c>
      <c r="J108" t="s">
        <v>165</v>
      </c>
      <c r="K108">
        <v>0.19404183387863894</v>
      </c>
      <c r="L108" t="s">
        <v>158</v>
      </c>
      <c r="N108" t="s">
        <v>203</v>
      </c>
      <c r="O108" t="s">
        <v>165</v>
      </c>
      <c r="P108">
        <v>4.8913167407349897E-2</v>
      </c>
      <c r="Q108" t="s">
        <v>158</v>
      </c>
    </row>
    <row r="109" spans="9:17" x14ac:dyDescent="0.45">
      <c r="I109" t="s">
        <v>178</v>
      </c>
      <c r="J109" t="s">
        <v>166</v>
      </c>
      <c r="K109">
        <v>0.20315033401910673</v>
      </c>
      <c r="L109" t="s">
        <v>158</v>
      </c>
      <c r="N109" t="s">
        <v>203</v>
      </c>
      <c r="O109" t="s">
        <v>166</v>
      </c>
      <c r="P109">
        <v>7.7446104181233683E-2</v>
      </c>
      <c r="Q109" t="s">
        <v>158</v>
      </c>
    </row>
    <row r="110" spans="9:17" x14ac:dyDescent="0.45">
      <c r="I110" t="s">
        <v>178</v>
      </c>
      <c r="J110" t="s">
        <v>167</v>
      </c>
      <c r="K110">
        <v>2.9636446852728683E-2</v>
      </c>
      <c r="L110" t="s">
        <v>158</v>
      </c>
      <c r="N110" t="s">
        <v>203</v>
      </c>
      <c r="O110" t="s">
        <v>167</v>
      </c>
      <c r="P110">
        <v>0.11139044648345138</v>
      </c>
      <c r="Q110" t="s">
        <v>158</v>
      </c>
    </row>
    <row r="111" spans="9:17" x14ac:dyDescent="0.45">
      <c r="I111" t="s">
        <v>178</v>
      </c>
      <c r="J111" t="s">
        <v>168</v>
      </c>
      <c r="K111">
        <v>9.3127605577741218E-3</v>
      </c>
      <c r="L111" t="s">
        <v>158</v>
      </c>
      <c r="N111" t="s">
        <v>203</v>
      </c>
      <c r="O111" t="s">
        <v>168</v>
      </c>
      <c r="P111">
        <v>0.11824274528696402</v>
      </c>
      <c r="Q111" t="s">
        <v>158</v>
      </c>
    </row>
    <row r="112" spans="9:17" x14ac:dyDescent="0.45">
      <c r="I112" t="s">
        <v>178</v>
      </c>
      <c r="J112" t="s">
        <v>169</v>
      </c>
      <c r="K112">
        <v>6.6033452458389777E-2</v>
      </c>
      <c r="L112" t="s">
        <v>158</v>
      </c>
      <c r="N112" t="s">
        <v>203</v>
      </c>
      <c r="O112" t="s">
        <v>169</v>
      </c>
      <c r="P112">
        <v>3.8483224865140817E-2</v>
      </c>
      <c r="Q112" t="s">
        <v>158</v>
      </c>
    </row>
    <row r="113" spans="9:17" x14ac:dyDescent="0.45">
      <c r="I113" t="s">
        <v>178</v>
      </c>
      <c r="J113" t="s">
        <v>170</v>
      </c>
      <c r="K113">
        <v>8.5201660563775705E-2</v>
      </c>
      <c r="L113" t="s">
        <v>158</v>
      </c>
      <c r="N113" t="s">
        <v>203</v>
      </c>
      <c r="O113" t="s">
        <v>170</v>
      </c>
      <c r="P113">
        <v>4.6799713937256494E-2</v>
      </c>
      <c r="Q113" t="s">
        <v>158</v>
      </c>
    </row>
    <row r="114" spans="9:17" x14ac:dyDescent="0.45">
      <c r="I114" t="s">
        <v>178</v>
      </c>
      <c r="J114" t="s">
        <v>171</v>
      </c>
      <c r="K114">
        <v>7.1298757519346501E-2</v>
      </c>
      <c r="L114" t="s">
        <v>158</v>
      </c>
      <c r="N114" t="s">
        <v>203</v>
      </c>
      <c r="O114" t="s">
        <v>171</v>
      </c>
      <c r="P114">
        <v>6.9575712691008595E-2</v>
      </c>
      <c r="Q114" t="s">
        <v>158</v>
      </c>
    </row>
    <row r="115" spans="9:17" x14ac:dyDescent="0.45">
      <c r="I115" t="s">
        <v>178</v>
      </c>
      <c r="J115" t="s">
        <v>172</v>
      </c>
      <c r="K115">
        <v>1.329967974054522E-3</v>
      </c>
      <c r="L115" t="s">
        <v>158</v>
      </c>
      <c r="N115" t="s">
        <v>203</v>
      </c>
      <c r="O115" t="s">
        <v>172</v>
      </c>
      <c r="P115">
        <v>0.10080459365088433</v>
      </c>
      <c r="Q115" t="s">
        <v>158</v>
      </c>
    </row>
    <row r="116" spans="9:17" x14ac:dyDescent="0.45">
      <c r="I116" t="s">
        <v>179</v>
      </c>
      <c r="J116" t="s">
        <v>157</v>
      </c>
      <c r="K116">
        <v>9.3022835700064721E-4</v>
      </c>
      <c r="L116" t="s">
        <v>158</v>
      </c>
      <c r="N116" t="s">
        <v>204</v>
      </c>
      <c r="O116" t="s">
        <v>157</v>
      </c>
      <c r="P116">
        <v>0.10880854887452425</v>
      </c>
      <c r="Q116" t="s">
        <v>158</v>
      </c>
    </row>
    <row r="117" spans="9:17" x14ac:dyDescent="0.45">
      <c r="I117" t="s">
        <v>179</v>
      </c>
      <c r="J117" t="s">
        <v>159</v>
      </c>
      <c r="K117">
        <v>3.6756211931959777E-2</v>
      </c>
      <c r="L117" t="s">
        <v>158</v>
      </c>
      <c r="N117" t="s">
        <v>204</v>
      </c>
      <c r="O117" t="s">
        <v>159</v>
      </c>
      <c r="P117">
        <v>3.201996526255687E-2</v>
      </c>
      <c r="Q117" t="s">
        <v>158</v>
      </c>
    </row>
    <row r="118" spans="9:17" x14ac:dyDescent="0.45">
      <c r="I118" t="s">
        <v>179</v>
      </c>
      <c r="J118" t="s">
        <v>160</v>
      </c>
      <c r="K118">
        <v>4.5350813745616246E-2</v>
      </c>
      <c r="L118" t="s">
        <v>158</v>
      </c>
      <c r="N118" t="s">
        <v>204</v>
      </c>
      <c r="O118" t="s">
        <v>160</v>
      </c>
      <c r="P118">
        <v>3.6731659530356106E-2</v>
      </c>
      <c r="Q118" t="s">
        <v>158</v>
      </c>
    </row>
    <row r="119" spans="9:17" x14ac:dyDescent="0.45">
      <c r="I119" t="s">
        <v>179</v>
      </c>
      <c r="J119" t="s">
        <v>161</v>
      </c>
      <c r="K119">
        <v>4.1677119102466874E-2</v>
      </c>
      <c r="L119" t="s">
        <v>158</v>
      </c>
      <c r="N119" t="s">
        <v>204</v>
      </c>
      <c r="O119" t="s">
        <v>161</v>
      </c>
      <c r="P119">
        <v>5.3496700256402102E-2</v>
      </c>
      <c r="Q119" t="s">
        <v>158</v>
      </c>
    </row>
    <row r="120" spans="9:17" x14ac:dyDescent="0.45">
      <c r="I120" t="s">
        <v>179</v>
      </c>
      <c r="J120" t="s">
        <v>162</v>
      </c>
      <c r="K120">
        <v>0</v>
      </c>
      <c r="L120" t="s">
        <v>158</v>
      </c>
      <c r="N120" t="s">
        <v>204</v>
      </c>
      <c r="O120" t="s">
        <v>162</v>
      </c>
      <c r="P120">
        <v>7.322712428362517E-2</v>
      </c>
      <c r="Q120" t="s">
        <v>158</v>
      </c>
    </row>
    <row r="121" spans="9:17" x14ac:dyDescent="0.45">
      <c r="I121" t="s">
        <v>179</v>
      </c>
      <c r="J121" t="s">
        <v>163</v>
      </c>
      <c r="K121">
        <v>6.6258169217818103E-2</v>
      </c>
      <c r="L121" t="s">
        <v>158</v>
      </c>
      <c r="N121" t="s">
        <v>204</v>
      </c>
      <c r="O121" t="s">
        <v>163</v>
      </c>
      <c r="P121">
        <v>0.13587573834590078</v>
      </c>
      <c r="Q121" t="s">
        <v>158</v>
      </c>
    </row>
    <row r="122" spans="9:17" x14ac:dyDescent="0.45">
      <c r="I122" t="s">
        <v>179</v>
      </c>
      <c r="J122" t="s">
        <v>164</v>
      </c>
      <c r="K122">
        <v>0.17409585808977615</v>
      </c>
      <c r="L122" t="s">
        <v>158</v>
      </c>
      <c r="N122" t="s">
        <v>204</v>
      </c>
      <c r="O122" t="s">
        <v>164</v>
      </c>
      <c r="P122">
        <v>3.8486334931740328E-2</v>
      </c>
      <c r="Q122" t="s">
        <v>158</v>
      </c>
    </row>
    <row r="123" spans="9:17" x14ac:dyDescent="0.45">
      <c r="I123" t="s">
        <v>179</v>
      </c>
      <c r="J123" t="s">
        <v>165</v>
      </c>
      <c r="K123">
        <v>0.18694829086326328</v>
      </c>
      <c r="L123" t="s">
        <v>158</v>
      </c>
      <c r="N123" t="s">
        <v>204</v>
      </c>
      <c r="O123" t="s">
        <v>165</v>
      </c>
      <c r="P123">
        <v>4.6872008841396529E-2</v>
      </c>
      <c r="Q123" t="s">
        <v>158</v>
      </c>
    </row>
    <row r="124" spans="9:17" x14ac:dyDescent="0.45">
      <c r="I124" t="s">
        <v>179</v>
      </c>
      <c r="J124" t="s">
        <v>166</v>
      </c>
      <c r="K124">
        <v>0.19112306216241259</v>
      </c>
      <c r="L124" t="s">
        <v>158</v>
      </c>
      <c r="N124" t="s">
        <v>204</v>
      </c>
      <c r="O124" t="s">
        <v>166</v>
      </c>
      <c r="P124">
        <v>6.7112645451500128E-2</v>
      </c>
      <c r="Q124" t="s">
        <v>158</v>
      </c>
    </row>
    <row r="125" spans="9:17" x14ac:dyDescent="0.45">
      <c r="I125" t="s">
        <v>179</v>
      </c>
      <c r="J125" t="s">
        <v>167</v>
      </c>
      <c r="K125">
        <v>2.6991447870762894E-2</v>
      </c>
      <c r="L125" t="s">
        <v>158</v>
      </c>
      <c r="N125" t="s">
        <v>204</v>
      </c>
      <c r="O125" t="s">
        <v>167</v>
      </c>
      <c r="P125">
        <v>9.7520179440167318E-2</v>
      </c>
      <c r="Q125" t="s">
        <v>158</v>
      </c>
    </row>
    <row r="126" spans="9:17" x14ac:dyDescent="0.45">
      <c r="I126" t="s">
        <v>179</v>
      </c>
      <c r="J126" t="s">
        <v>168</v>
      </c>
      <c r="K126">
        <v>9.8077490376354617E-3</v>
      </c>
      <c r="L126" t="s">
        <v>158</v>
      </c>
      <c r="N126" t="s">
        <v>204</v>
      </c>
      <c r="O126" t="s">
        <v>168</v>
      </c>
      <c r="P126">
        <v>0.12621203241320034</v>
      </c>
      <c r="Q126" t="s">
        <v>158</v>
      </c>
    </row>
    <row r="127" spans="9:17" x14ac:dyDescent="0.45">
      <c r="I127" t="s">
        <v>179</v>
      </c>
      <c r="J127" t="s">
        <v>169</v>
      </c>
      <c r="K127">
        <v>6.7749395921615357E-2</v>
      </c>
      <c r="L127" t="s">
        <v>158</v>
      </c>
      <c r="N127" t="s">
        <v>204</v>
      </c>
      <c r="O127" t="s">
        <v>169</v>
      </c>
      <c r="P127">
        <v>3.655946419214802E-2</v>
      </c>
      <c r="Q127" t="s">
        <v>158</v>
      </c>
    </row>
    <row r="128" spans="9:17" x14ac:dyDescent="0.45">
      <c r="I128" t="s">
        <v>179</v>
      </c>
      <c r="J128" t="s">
        <v>170</v>
      </c>
      <c r="K128">
        <v>8.1920313017974172E-2</v>
      </c>
      <c r="L128" t="s">
        <v>158</v>
      </c>
      <c r="N128" t="s">
        <v>204</v>
      </c>
      <c r="O128" t="s">
        <v>170</v>
      </c>
      <c r="P128">
        <v>2.7058239099388311E-2</v>
      </c>
      <c r="Q128" t="s">
        <v>158</v>
      </c>
    </row>
    <row r="129" spans="9:17" x14ac:dyDescent="0.45">
      <c r="I129" t="s">
        <v>179</v>
      </c>
      <c r="J129" t="s">
        <v>171</v>
      </c>
      <c r="K129">
        <v>6.8956331478362817E-2</v>
      </c>
      <c r="L129" t="s">
        <v>158</v>
      </c>
      <c r="N129" t="s">
        <v>204</v>
      </c>
      <c r="O129" t="s">
        <v>171</v>
      </c>
      <c r="P129">
        <v>3.4256050909026343E-2</v>
      </c>
      <c r="Q129" t="s">
        <v>158</v>
      </c>
    </row>
    <row r="130" spans="9:17" x14ac:dyDescent="0.45">
      <c r="I130" t="s">
        <v>179</v>
      </c>
      <c r="J130" t="s">
        <v>172</v>
      </c>
      <c r="K130">
        <v>1.4350092031685168E-3</v>
      </c>
      <c r="L130" t="s">
        <v>158</v>
      </c>
      <c r="N130" t="s">
        <v>204</v>
      </c>
      <c r="O130" t="s">
        <v>172</v>
      </c>
      <c r="P130">
        <v>8.5763308167985317E-2</v>
      </c>
      <c r="Q130" t="s">
        <v>158</v>
      </c>
    </row>
    <row r="131" spans="9:17" x14ac:dyDescent="0.45">
      <c r="I131" t="s">
        <v>180</v>
      </c>
      <c r="J131" t="s">
        <v>157</v>
      </c>
      <c r="K131">
        <v>1.113653599005392E-3</v>
      </c>
      <c r="L131" t="s">
        <v>158</v>
      </c>
      <c r="N131" t="s">
        <v>205</v>
      </c>
      <c r="O131" t="s">
        <v>157</v>
      </c>
      <c r="P131">
        <v>9.0790945037852136E-2</v>
      </c>
      <c r="Q131" t="s">
        <v>158</v>
      </c>
    </row>
    <row r="132" spans="9:17" x14ac:dyDescent="0.45">
      <c r="I132" t="s">
        <v>180</v>
      </c>
      <c r="J132" t="s">
        <v>159</v>
      </c>
      <c r="K132">
        <v>2.9225962784242124E-2</v>
      </c>
      <c r="L132" t="s">
        <v>158</v>
      </c>
      <c r="N132" t="s">
        <v>205</v>
      </c>
      <c r="O132" t="s">
        <v>159</v>
      </c>
      <c r="P132">
        <v>3.2604626248097172E-2</v>
      </c>
      <c r="Q132" t="s">
        <v>158</v>
      </c>
    </row>
    <row r="133" spans="9:17" x14ac:dyDescent="0.45">
      <c r="I133" t="s">
        <v>180</v>
      </c>
      <c r="J133" t="s">
        <v>160</v>
      </c>
      <c r="K133">
        <v>4.1282095263733644E-2</v>
      </c>
      <c r="L133" t="s">
        <v>158</v>
      </c>
      <c r="N133" t="s">
        <v>205</v>
      </c>
      <c r="O133" t="s">
        <v>160</v>
      </c>
      <c r="P133">
        <v>2.8392078392477021E-2</v>
      </c>
      <c r="Q133" t="s">
        <v>158</v>
      </c>
    </row>
    <row r="134" spans="9:17" x14ac:dyDescent="0.45">
      <c r="I134" t="s">
        <v>180</v>
      </c>
      <c r="J134" t="s">
        <v>161</v>
      </c>
      <c r="K134">
        <v>3.5287552620197955E-2</v>
      </c>
      <c r="L134" t="s">
        <v>158</v>
      </c>
      <c r="N134" t="s">
        <v>205</v>
      </c>
      <c r="O134" t="s">
        <v>161</v>
      </c>
      <c r="P134">
        <v>4.5626065824747479E-2</v>
      </c>
      <c r="Q134" t="s">
        <v>158</v>
      </c>
    </row>
    <row r="135" spans="9:17" x14ac:dyDescent="0.45">
      <c r="I135" t="s">
        <v>180</v>
      </c>
      <c r="J135" t="s">
        <v>162</v>
      </c>
      <c r="K135">
        <v>0</v>
      </c>
      <c r="L135" t="s">
        <v>158</v>
      </c>
      <c r="N135" t="s">
        <v>205</v>
      </c>
      <c r="O135" t="s">
        <v>162</v>
      </c>
      <c r="P135">
        <v>7.3186368718064068E-2</v>
      </c>
      <c r="Q135" t="s">
        <v>158</v>
      </c>
    </row>
    <row r="136" spans="9:17" x14ac:dyDescent="0.45">
      <c r="I136" t="s">
        <v>180</v>
      </c>
      <c r="J136" t="s">
        <v>163</v>
      </c>
      <c r="K136">
        <v>6.4004520710036039E-2</v>
      </c>
      <c r="L136" t="s">
        <v>158</v>
      </c>
      <c r="N136" t="s">
        <v>205</v>
      </c>
      <c r="O136" t="s">
        <v>163</v>
      </c>
      <c r="P136">
        <v>0.10530286683336393</v>
      </c>
      <c r="Q136" t="s">
        <v>158</v>
      </c>
    </row>
    <row r="137" spans="9:17" x14ac:dyDescent="0.45">
      <c r="I137" t="s">
        <v>180</v>
      </c>
      <c r="J137" t="s">
        <v>164</v>
      </c>
      <c r="K137">
        <v>0.1766312042470834</v>
      </c>
      <c r="L137" t="s">
        <v>158</v>
      </c>
      <c r="N137" t="s">
        <v>205</v>
      </c>
      <c r="O137" t="s">
        <v>164</v>
      </c>
      <c r="P137">
        <v>4.7259088540334733E-2</v>
      </c>
      <c r="Q137" t="s">
        <v>158</v>
      </c>
    </row>
    <row r="138" spans="9:17" x14ac:dyDescent="0.45">
      <c r="I138" t="s">
        <v>180</v>
      </c>
      <c r="J138" t="s">
        <v>165</v>
      </c>
      <c r="K138">
        <v>0.19147797073296893</v>
      </c>
      <c r="L138" t="s">
        <v>158</v>
      </c>
      <c r="N138" t="s">
        <v>205</v>
      </c>
      <c r="O138" t="s">
        <v>165</v>
      </c>
      <c r="P138">
        <v>5.4652409945505166E-2</v>
      </c>
      <c r="Q138" t="s">
        <v>158</v>
      </c>
    </row>
    <row r="139" spans="9:17" x14ac:dyDescent="0.45">
      <c r="I139" t="s">
        <v>180</v>
      </c>
      <c r="J139" t="s">
        <v>166</v>
      </c>
      <c r="K139">
        <v>0.1923478811363914</v>
      </c>
      <c r="L139" t="s">
        <v>158</v>
      </c>
      <c r="N139" t="s">
        <v>205</v>
      </c>
      <c r="O139" t="s">
        <v>166</v>
      </c>
      <c r="P139">
        <v>7.4113459171360627E-2</v>
      </c>
      <c r="Q139" t="s">
        <v>158</v>
      </c>
    </row>
    <row r="140" spans="9:17" x14ac:dyDescent="0.45">
      <c r="I140" t="s">
        <v>180</v>
      </c>
      <c r="J140" t="s">
        <v>167</v>
      </c>
      <c r="K140">
        <v>2.5644782155770159E-2</v>
      </c>
      <c r="L140" t="s">
        <v>158</v>
      </c>
      <c r="N140" t="s">
        <v>205</v>
      </c>
      <c r="O140" t="s">
        <v>167</v>
      </c>
      <c r="P140">
        <v>9.5475488755770069E-2</v>
      </c>
      <c r="Q140" t="s">
        <v>158</v>
      </c>
    </row>
    <row r="141" spans="9:17" x14ac:dyDescent="0.45">
      <c r="I141" t="s">
        <v>180</v>
      </c>
      <c r="J141" t="s">
        <v>168</v>
      </c>
      <c r="K141">
        <v>9.2877084246401117E-3</v>
      </c>
      <c r="L141" t="s">
        <v>158</v>
      </c>
      <c r="N141" t="s">
        <v>205</v>
      </c>
      <c r="O141" t="s">
        <v>168</v>
      </c>
      <c r="P141">
        <v>0.12658785590637212</v>
      </c>
      <c r="Q141" t="s">
        <v>158</v>
      </c>
    </row>
    <row r="142" spans="9:17" x14ac:dyDescent="0.45">
      <c r="I142" t="s">
        <v>180</v>
      </c>
      <c r="J142" t="s">
        <v>169</v>
      </c>
      <c r="K142">
        <v>7.1858642272808193E-2</v>
      </c>
      <c r="L142" t="s">
        <v>158</v>
      </c>
      <c r="N142" t="s">
        <v>205</v>
      </c>
      <c r="O142" t="s">
        <v>169</v>
      </c>
      <c r="P142">
        <v>4.2493815566994018E-2</v>
      </c>
      <c r="Q142" t="s">
        <v>158</v>
      </c>
    </row>
    <row r="143" spans="9:17" x14ac:dyDescent="0.45">
      <c r="I143" t="s">
        <v>180</v>
      </c>
      <c r="J143" t="s">
        <v>170</v>
      </c>
      <c r="K143">
        <v>8.8134821222912871E-2</v>
      </c>
      <c r="L143" t="s">
        <v>158</v>
      </c>
      <c r="N143" t="s">
        <v>205</v>
      </c>
      <c r="O143" t="s">
        <v>170</v>
      </c>
      <c r="P143">
        <v>3.5757386157470719E-2</v>
      </c>
      <c r="Q143" t="s">
        <v>158</v>
      </c>
    </row>
    <row r="144" spans="9:17" x14ac:dyDescent="0.45">
      <c r="I144" t="s">
        <v>180</v>
      </c>
      <c r="J144" t="s">
        <v>171</v>
      </c>
      <c r="K144">
        <v>7.2515922030163341E-2</v>
      </c>
      <c r="L144" t="s">
        <v>158</v>
      </c>
      <c r="N144" t="s">
        <v>205</v>
      </c>
      <c r="O144" t="s">
        <v>171</v>
      </c>
      <c r="P144">
        <v>5.2268471987703402E-2</v>
      </c>
      <c r="Q144" t="s">
        <v>158</v>
      </c>
    </row>
    <row r="145" spans="9:17" x14ac:dyDescent="0.45">
      <c r="I145" t="s">
        <v>180</v>
      </c>
      <c r="J145" t="s">
        <v>172</v>
      </c>
      <c r="K145">
        <v>1.1872827998764548E-3</v>
      </c>
      <c r="L145" t="s">
        <v>158</v>
      </c>
      <c r="N145" t="s">
        <v>205</v>
      </c>
      <c r="O145" t="s">
        <v>172</v>
      </c>
      <c r="P145">
        <v>9.5489072913756634E-2</v>
      </c>
      <c r="Q145" t="s">
        <v>158</v>
      </c>
    </row>
    <row r="146" spans="9:17" x14ac:dyDescent="0.45">
      <c r="I146" t="s">
        <v>181</v>
      </c>
      <c r="J146" t="s">
        <v>157</v>
      </c>
      <c r="K146">
        <v>6.824887421955294E-4</v>
      </c>
      <c r="L146" t="s">
        <v>158</v>
      </c>
      <c r="N146" t="s">
        <v>206</v>
      </c>
      <c r="O146" t="s">
        <v>157</v>
      </c>
      <c r="P146">
        <v>5.5544862753322537E-2</v>
      </c>
      <c r="Q146" t="s">
        <v>158</v>
      </c>
    </row>
    <row r="147" spans="9:17" x14ac:dyDescent="0.45">
      <c r="I147" t="s">
        <v>181</v>
      </c>
      <c r="J147" t="s">
        <v>159</v>
      </c>
      <c r="K147">
        <v>2.2699743315083468E-2</v>
      </c>
      <c r="L147" t="s">
        <v>158</v>
      </c>
      <c r="N147" t="s">
        <v>206</v>
      </c>
      <c r="O147" t="s">
        <v>159</v>
      </c>
      <c r="P147">
        <v>1.8771984125018234E-2</v>
      </c>
      <c r="Q147" t="s">
        <v>158</v>
      </c>
    </row>
    <row r="148" spans="9:17" x14ac:dyDescent="0.45">
      <c r="I148" t="s">
        <v>181</v>
      </c>
      <c r="J148" t="s">
        <v>160</v>
      </c>
      <c r="K148">
        <v>3.6484946897387058E-2</v>
      </c>
      <c r="L148" t="s">
        <v>158</v>
      </c>
      <c r="N148" t="s">
        <v>206</v>
      </c>
      <c r="O148" t="s">
        <v>160</v>
      </c>
      <c r="P148">
        <v>1.5178528185535665E-2</v>
      </c>
      <c r="Q148" t="s">
        <v>158</v>
      </c>
    </row>
    <row r="149" spans="9:17" x14ac:dyDescent="0.45">
      <c r="I149" t="s">
        <v>181</v>
      </c>
      <c r="J149" t="s">
        <v>161</v>
      </c>
      <c r="K149">
        <v>3.0790767454002384E-2</v>
      </c>
      <c r="L149" t="s">
        <v>158</v>
      </c>
      <c r="N149" t="s">
        <v>206</v>
      </c>
      <c r="O149" t="s">
        <v>161</v>
      </c>
      <c r="P149">
        <v>2.1428722968787499E-2</v>
      </c>
      <c r="Q149" t="s">
        <v>158</v>
      </c>
    </row>
    <row r="150" spans="9:17" x14ac:dyDescent="0.45">
      <c r="I150" t="s">
        <v>181</v>
      </c>
      <c r="J150" t="s">
        <v>162</v>
      </c>
      <c r="K150">
        <v>0</v>
      </c>
      <c r="L150" t="s">
        <v>158</v>
      </c>
      <c r="N150" t="s">
        <v>206</v>
      </c>
      <c r="O150" t="s">
        <v>162</v>
      </c>
      <c r="P150">
        <v>4.4899184244632281E-2</v>
      </c>
      <c r="Q150" t="s">
        <v>158</v>
      </c>
    </row>
    <row r="151" spans="9:17" x14ac:dyDescent="0.45">
      <c r="I151" t="s">
        <v>181</v>
      </c>
      <c r="J151" t="s">
        <v>163</v>
      </c>
      <c r="K151">
        <v>7.3436208941481715E-2</v>
      </c>
      <c r="L151" t="s">
        <v>158</v>
      </c>
      <c r="N151" t="s">
        <v>206</v>
      </c>
      <c r="O151" t="s">
        <v>163</v>
      </c>
      <c r="P151">
        <v>0.112483235182017</v>
      </c>
      <c r="Q151" t="s">
        <v>158</v>
      </c>
    </row>
    <row r="152" spans="9:17" x14ac:dyDescent="0.45">
      <c r="I152" t="s">
        <v>181</v>
      </c>
      <c r="J152" t="s">
        <v>164</v>
      </c>
      <c r="K152">
        <v>0.17436153414958475</v>
      </c>
      <c r="L152" t="s">
        <v>158</v>
      </c>
      <c r="N152" t="s">
        <v>206</v>
      </c>
      <c r="O152" t="s">
        <v>164</v>
      </c>
      <c r="P152">
        <v>3.4203639552870597E-2</v>
      </c>
      <c r="Q152" t="s">
        <v>158</v>
      </c>
    </row>
    <row r="153" spans="9:17" x14ac:dyDescent="0.45">
      <c r="I153" t="s">
        <v>181</v>
      </c>
      <c r="J153" t="s">
        <v>165</v>
      </c>
      <c r="K153">
        <v>0.19415216542375377</v>
      </c>
      <c r="L153" t="s">
        <v>158</v>
      </c>
      <c r="N153" t="s">
        <v>206</v>
      </c>
      <c r="O153" t="s">
        <v>165</v>
      </c>
      <c r="P153">
        <v>4.6805093644251117E-2</v>
      </c>
      <c r="Q153" t="s">
        <v>158</v>
      </c>
    </row>
    <row r="154" spans="9:17" x14ac:dyDescent="0.45">
      <c r="I154" t="s">
        <v>181</v>
      </c>
      <c r="J154" t="s">
        <v>166</v>
      </c>
      <c r="K154">
        <v>0.20239871538533272</v>
      </c>
      <c r="L154" t="s">
        <v>158</v>
      </c>
      <c r="N154" t="s">
        <v>206</v>
      </c>
      <c r="O154" t="s">
        <v>166</v>
      </c>
      <c r="P154">
        <v>6.6794141800560994E-2</v>
      </c>
      <c r="Q154" t="s">
        <v>158</v>
      </c>
    </row>
    <row r="155" spans="9:17" x14ac:dyDescent="0.45">
      <c r="I155" t="s">
        <v>181</v>
      </c>
      <c r="J155" t="s">
        <v>167</v>
      </c>
      <c r="K155">
        <v>2.8539098614843297E-2</v>
      </c>
      <c r="L155" t="s">
        <v>158</v>
      </c>
      <c r="N155" t="s">
        <v>206</v>
      </c>
      <c r="O155" t="s">
        <v>167</v>
      </c>
      <c r="P155">
        <v>9.5944769883894596E-2</v>
      </c>
      <c r="Q155" t="s">
        <v>158</v>
      </c>
    </row>
    <row r="156" spans="9:17" x14ac:dyDescent="0.45">
      <c r="I156" t="s">
        <v>181</v>
      </c>
      <c r="J156" t="s">
        <v>168</v>
      </c>
      <c r="K156">
        <v>9.9074554252038486E-3</v>
      </c>
      <c r="L156" t="s">
        <v>158</v>
      </c>
      <c r="N156" t="s">
        <v>206</v>
      </c>
      <c r="O156" t="s">
        <v>168</v>
      </c>
      <c r="P156">
        <v>0.18846238424717701</v>
      </c>
      <c r="Q156" t="s">
        <v>158</v>
      </c>
    </row>
    <row r="157" spans="9:17" x14ac:dyDescent="0.45">
      <c r="I157" t="s">
        <v>181</v>
      </c>
      <c r="J157" t="s">
        <v>169</v>
      </c>
      <c r="K157">
        <v>6.7652480355444869E-2</v>
      </c>
      <c r="L157" t="s">
        <v>158</v>
      </c>
      <c r="N157" t="s">
        <v>206</v>
      </c>
      <c r="O157" t="s">
        <v>169</v>
      </c>
      <c r="P157">
        <v>5.8248008476864337E-2</v>
      </c>
      <c r="Q157" t="s">
        <v>158</v>
      </c>
    </row>
    <row r="158" spans="9:17" x14ac:dyDescent="0.45">
      <c r="I158" t="s">
        <v>181</v>
      </c>
      <c r="J158" t="s">
        <v>170</v>
      </c>
      <c r="K158">
        <v>8.5795016756478867E-2</v>
      </c>
      <c r="L158" t="s">
        <v>158</v>
      </c>
      <c r="N158" t="s">
        <v>206</v>
      </c>
      <c r="O158" t="s">
        <v>170</v>
      </c>
      <c r="P158">
        <v>4.9121083890461444E-2</v>
      </c>
      <c r="Q158" t="s">
        <v>158</v>
      </c>
    </row>
    <row r="159" spans="9:17" x14ac:dyDescent="0.45">
      <c r="I159" t="s">
        <v>181</v>
      </c>
      <c r="J159" t="s">
        <v>171</v>
      </c>
      <c r="K159">
        <v>7.1831869571253246E-2</v>
      </c>
      <c r="L159" t="s">
        <v>158</v>
      </c>
      <c r="N159" t="s">
        <v>206</v>
      </c>
      <c r="O159" t="s">
        <v>171</v>
      </c>
      <c r="P159">
        <v>6.222009374182387E-2</v>
      </c>
      <c r="Q159" t="s">
        <v>158</v>
      </c>
    </row>
    <row r="160" spans="9:17" x14ac:dyDescent="0.45">
      <c r="I160" t="s">
        <v>181</v>
      </c>
      <c r="J160" t="s">
        <v>172</v>
      </c>
      <c r="K160">
        <v>1.2675089677976793E-3</v>
      </c>
      <c r="L160" t="s">
        <v>158</v>
      </c>
      <c r="N160" t="s">
        <v>206</v>
      </c>
      <c r="O160" t="s">
        <v>172</v>
      </c>
      <c r="P160">
        <v>0.1298942673027027</v>
      </c>
      <c r="Q160" t="s">
        <v>158</v>
      </c>
    </row>
    <row r="161" spans="9:17" x14ac:dyDescent="0.45">
      <c r="I161" t="s">
        <v>182</v>
      </c>
      <c r="J161" t="s">
        <v>157</v>
      </c>
      <c r="K161">
        <v>1.1889257959653034E-3</v>
      </c>
      <c r="L161" t="s">
        <v>158</v>
      </c>
      <c r="N161" t="s">
        <v>207</v>
      </c>
      <c r="O161" t="s">
        <v>157</v>
      </c>
      <c r="P161">
        <v>6.948537361450563E-2</v>
      </c>
      <c r="Q161" t="s">
        <v>158</v>
      </c>
    </row>
    <row r="162" spans="9:17" x14ac:dyDescent="0.45">
      <c r="I162" t="s">
        <v>182</v>
      </c>
      <c r="J162" t="s">
        <v>159</v>
      </c>
      <c r="K162">
        <v>3.8788574266962757E-2</v>
      </c>
      <c r="L162" t="s">
        <v>158</v>
      </c>
      <c r="N162" t="s">
        <v>207</v>
      </c>
      <c r="O162" t="s">
        <v>159</v>
      </c>
      <c r="P162">
        <v>2.0738016849446386E-2</v>
      </c>
      <c r="Q162" t="s">
        <v>158</v>
      </c>
    </row>
    <row r="163" spans="9:17" x14ac:dyDescent="0.45">
      <c r="I163" t="s">
        <v>182</v>
      </c>
      <c r="J163" t="s">
        <v>160</v>
      </c>
      <c r="K163">
        <v>4.5562975175293952E-2</v>
      </c>
      <c r="L163" t="s">
        <v>158</v>
      </c>
      <c r="N163" t="s">
        <v>207</v>
      </c>
      <c r="O163" t="s">
        <v>160</v>
      </c>
      <c r="P163">
        <v>2.4772416654649968E-2</v>
      </c>
      <c r="Q163" t="s">
        <v>158</v>
      </c>
    </row>
    <row r="164" spans="9:17" x14ac:dyDescent="0.45">
      <c r="I164" t="s">
        <v>182</v>
      </c>
      <c r="J164" t="s">
        <v>161</v>
      </c>
      <c r="K164">
        <v>4.0140472491160678E-2</v>
      </c>
      <c r="L164" t="s">
        <v>158</v>
      </c>
      <c r="N164" t="s">
        <v>207</v>
      </c>
      <c r="O164" t="s">
        <v>161</v>
      </c>
      <c r="P164">
        <v>4.3131759337304058E-2</v>
      </c>
      <c r="Q164" t="s">
        <v>158</v>
      </c>
    </row>
    <row r="165" spans="9:17" x14ac:dyDescent="0.45">
      <c r="I165" t="s">
        <v>182</v>
      </c>
      <c r="J165" t="s">
        <v>162</v>
      </c>
      <c r="K165">
        <v>0</v>
      </c>
      <c r="L165" t="s">
        <v>158</v>
      </c>
      <c r="N165" t="s">
        <v>207</v>
      </c>
      <c r="O165" t="s">
        <v>162</v>
      </c>
      <c r="P165">
        <v>6.6355246498550444E-2</v>
      </c>
      <c r="Q165" t="s">
        <v>158</v>
      </c>
    </row>
    <row r="166" spans="9:17" x14ac:dyDescent="0.45">
      <c r="I166" t="s">
        <v>182</v>
      </c>
      <c r="J166" t="s">
        <v>163</v>
      </c>
      <c r="K166">
        <v>7.2543336112642187E-2</v>
      </c>
      <c r="L166" t="s">
        <v>158</v>
      </c>
      <c r="N166" t="s">
        <v>207</v>
      </c>
      <c r="O166" t="s">
        <v>163</v>
      </c>
      <c r="P166">
        <v>0.11163179912123372</v>
      </c>
      <c r="Q166" t="s">
        <v>158</v>
      </c>
    </row>
    <row r="167" spans="9:17" x14ac:dyDescent="0.45">
      <c r="I167" t="s">
        <v>182</v>
      </c>
      <c r="J167" t="s">
        <v>164</v>
      </c>
      <c r="K167">
        <v>0.17916900292947005</v>
      </c>
      <c r="L167" t="s">
        <v>158</v>
      </c>
      <c r="N167" t="s">
        <v>207</v>
      </c>
      <c r="O167" t="s">
        <v>164</v>
      </c>
      <c r="P167">
        <v>4.0572376991623679E-2</v>
      </c>
      <c r="Q167" t="s">
        <v>158</v>
      </c>
    </row>
    <row r="168" spans="9:17" x14ac:dyDescent="0.45">
      <c r="I168" t="s">
        <v>182</v>
      </c>
      <c r="J168" t="s">
        <v>165</v>
      </c>
      <c r="K168">
        <v>0.18196160745338263</v>
      </c>
      <c r="L168" t="s">
        <v>158</v>
      </c>
      <c r="N168" t="s">
        <v>207</v>
      </c>
      <c r="O168" t="s">
        <v>165</v>
      </c>
      <c r="P168">
        <v>5.5126667759849646E-2</v>
      </c>
      <c r="Q168" t="s">
        <v>158</v>
      </c>
    </row>
    <row r="169" spans="9:17" x14ac:dyDescent="0.45">
      <c r="I169" t="s">
        <v>182</v>
      </c>
      <c r="J169" t="s">
        <v>166</v>
      </c>
      <c r="K169">
        <v>0.17498054453029888</v>
      </c>
      <c r="L169" t="s">
        <v>158</v>
      </c>
      <c r="N169" t="s">
        <v>207</v>
      </c>
      <c r="O169" t="s">
        <v>166</v>
      </c>
      <c r="P169">
        <v>8.440274805853408E-2</v>
      </c>
      <c r="Q169" t="s">
        <v>158</v>
      </c>
    </row>
    <row r="170" spans="9:17" x14ac:dyDescent="0.45">
      <c r="I170" t="s">
        <v>182</v>
      </c>
      <c r="J170" t="s">
        <v>167</v>
      </c>
      <c r="K170">
        <v>2.3952914102893588E-2</v>
      </c>
      <c r="L170" t="s">
        <v>158</v>
      </c>
      <c r="N170" t="s">
        <v>207</v>
      </c>
      <c r="O170" t="s">
        <v>167</v>
      </c>
      <c r="P170">
        <v>0.11940706109990358</v>
      </c>
      <c r="Q170" t="s">
        <v>158</v>
      </c>
    </row>
    <row r="171" spans="9:17" x14ac:dyDescent="0.45">
      <c r="I171" t="s">
        <v>182</v>
      </c>
      <c r="J171" t="s">
        <v>168</v>
      </c>
      <c r="K171">
        <v>1.1025652780143575E-2</v>
      </c>
      <c r="L171" t="s">
        <v>158</v>
      </c>
      <c r="N171" t="s">
        <v>207</v>
      </c>
      <c r="O171" t="s">
        <v>168</v>
      </c>
      <c r="P171">
        <v>0.11525911825455935</v>
      </c>
      <c r="Q171" t="s">
        <v>158</v>
      </c>
    </row>
    <row r="172" spans="9:17" x14ac:dyDescent="0.45">
      <c r="I172" t="s">
        <v>182</v>
      </c>
      <c r="J172" t="s">
        <v>169</v>
      </c>
      <c r="K172">
        <v>7.6193281636947219E-2</v>
      </c>
      <c r="L172" t="s">
        <v>158</v>
      </c>
      <c r="N172" t="s">
        <v>207</v>
      </c>
      <c r="O172" t="s">
        <v>169</v>
      </c>
      <c r="P172">
        <v>3.7990653540585957E-2</v>
      </c>
      <c r="Q172" t="s">
        <v>158</v>
      </c>
    </row>
    <row r="173" spans="9:17" x14ac:dyDescent="0.45">
      <c r="I173" t="s">
        <v>182</v>
      </c>
      <c r="J173" t="s">
        <v>170</v>
      </c>
      <c r="K173">
        <v>8.5241708694205567E-2</v>
      </c>
      <c r="L173" t="s">
        <v>158</v>
      </c>
      <c r="N173" t="s">
        <v>207</v>
      </c>
      <c r="O173" t="s">
        <v>170</v>
      </c>
      <c r="P173">
        <v>4.5266968812520361E-2</v>
      </c>
      <c r="Q173" t="s">
        <v>158</v>
      </c>
    </row>
    <row r="174" spans="9:17" x14ac:dyDescent="0.45">
      <c r="I174" t="s">
        <v>182</v>
      </c>
      <c r="J174" t="s">
        <v>171</v>
      </c>
      <c r="K174">
        <v>6.8047334030191781E-2</v>
      </c>
      <c r="L174" t="s">
        <v>158</v>
      </c>
      <c r="N174" t="s">
        <v>207</v>
      </c>
      <c r="O174" t="s">
        <v>171</v>
      </c>
      <c r="P174">
        <v>6.8432237141628063E-2</v>
      </c>
      <c r="Q174" t="s">
        <v>158</v>
      </c>
    </row>
    <row r="175" spans="9:17" x14ac:dyDescent="0.45">
      <c r="I175" t="s">
        <v>182</v>
      </c>
      <c r="J175" t="s">
        <v>172</v>
      </c>
      <c r="K175">
        <v>1.2036700002758169E-3</v>
      </c>
      <c r="L175" t="s">
        <v>158</v>
      </c>
      <c r="N175" t="s">
        <v>207</v>
      </c>
      <c r="O175" t="s">
        <v>172</v>
      </c>
      <c r="P175">
        <v>9.7427556264978427E-2</v>
      </c>
      <c r="Q175" t="s">
        <v>158</v>
      </c>
    </row>
    <row r="176" spans="9:17" x14ac:dyDescent="0.45">
      <c r="I176" t="s">
        <v>183</v>
      </c>
      <c r="J176" t="s">
        <v>157</v>
      </c>
      <c r="K176">
        <v>1.7882289915372422E-4</v>
      </c>
      <c r="L176" t="s">
        <v>158</v>
      </c>
      <c r="N176" t="s">
        <v>208</v>
      </c>
      <c r="O176" t="s">
        <v>157</v>
      </c>
      <c r="P176">
        <v>0.10516083667828108</v>
      </c>
      <c r="Q176" t="s">
        <v>158</v>
      </c>
    </row>
    <row r="177" spans="9:17" x14ac:dyDescent="0.45">
      <c r="I177" t="s">
        <v>183</v>
      </c>
      <c r="J177" t="s">
        <v>159</v>
      </c>
      <c r="K177">
        <v>2.5132365837227284E-2</v>
      </c>
      <c r="L177" t="s">
        <v>158</v>
      </c>
      <c r="N177" t="s">
        <v>208</v>
      </c>
      <c r="O177" t="s">
        <v>159</v>
      </c>
      <c r="P177">
        <v>3.4099819056155133E-2</v>
      </c>
      <c r="Q177" t="s">
        <v>158</v>
      </c>
    </row>
    <row r="178" spans="9:17" x14ac:dyDescent="0.45">
      <c r="I178" t="s">
        <v>183</v>
      </c>
      <c r="J178" t="s">
        <v>160</v>
      </c>
      <c r="K178">
        <v>3.8247225219784499E-2</v>
      </c>
      <c r="L178" t="s">
        <v>158</v>
      </c>
      <c r="N178" t="s">
        <v>208</v>
      </c>
      <c r="O178" t="s">
        <v>160</v>
      </c>
      <c r="P178">
        <v>2.6464812186854859E-2</v>
      </c>
      <c r="Q178" t="s">
        <v>158</v>
      </c>
    </row>
    <row r="179" spans="9:17" x14ac:dyDescent="0.45">
      <c r="I179" t="s">
        <v>183</v>
      </c>
      <c r="J179" t="s">
        <v>161</v>
      </c>
      <c r="K179">
        <v>3.2945249624003629E-2</v>
      </c>
      <c r="L179" t="s">
        <v>158</v>
      </c>
      <c r="N179" t="s">
        <v>208</v>
      </c>
      <c r="O179" t="s">
        <v>161</v>
      </c>
      <c r="P179">
        <v>4.6114608596759719E-2</v>
      </c>
      <c r="Q179" t="s">
        <v>158</v>
      </c>
    </row>
    <row r="180" spans="9:17" x14ac:dyDescent="0.45">
      <c r="I180" t="s">
        <v>183</v>
      </c>
      <c r="J180" t="s">
        <v>162</v>
      </c>
      <c r="K180">
        <v>0</v>
      </c>
      <c r="L180" t="s">
        <v>158</v>
      </c>
      <c r="N180" t="s">
        <v>208</v>
      </c>
      <c r="O180" t="s">
        <v>162</v>
      </c>
      <c r="P180">
        <v>7.3389682609249329E-2</v>
      </c>
      <c r="Q180" t="s">
        <v>158</v>
      </c>
    </row>
    <row r="181" spans="9:17" x14ac:dyDescent="0.45">
      <c r="I181" t="s">
        <v>183</v>
      </c>
      <c r="J181" t="s">
        <v>163</v>
      </c>
      <c r="K181">
        <v>6.6849643836460679E-2</v>
      </c>
      <c r="L181" t="s">
        <v>158</v>
      </c>
      <c r="N181" t="s">
        <v>208</v>
      </c>
      <c r="O181" t="s">
        <v>163</v>
      </c>
      <c r="P181">
        <v>0.12284180703240458</v>
      </c>
      <c r="Q181" t="s">
        <v>158</v>
      </c>
    </row>
    <row r="182" spans="9:17" x14ac:dyDescent="0.45">
      <c r="I182" t="s">
        <v>183</v>
      </c>
      <c r="J182" t="s">
        <v>164</v>
      </c>
      <c r="K182">
        <v>0.17594813941396975</v>
      </c>
      <c r="L182" t="s">
        <v>158</v>
      </c>
      <c r="N182" t="s">
        <v>208</v>
      </c>
      <c r="O182" t="s">
        <v>164</v>
      </c>
      <c r="P182">
        <v>3.80607701623739E-2</v>
      </c>
      <c r="Q182" t="s">
        <v>158</v>
      </c>
    </row>
    <row r="183" spans="9:17" x14ac:dyDescent="0.45">
      <c r="I183" t="s">
        <v>183</v>
      </c>
      <c r="J183" t="s">
        <v>165</v>
      </c>
      <c r="K183">
        <v>0.19404009565157138</v>
      </c>
      <c r="L183" t="s">
        <v>158</v>
      </c>
      <c r="N183" t="s">
        <v>208</v>
      </c>
      <c r="O183" t="s">
        <v>165</v>
      </c>
      <c r="P183">
        <v>5.5038695059322719E-2</v>
      </c>
      <c r="Q183" t="s">
        <v>158</v>
      </c>
    </row>
    <row r="184" spans="9:17" x14ac:dyDescent="0.45">
      <c r="I184" t="s">
        <v>183</v>
      </c>
      <c r="J184" t="s">
        <v>166</v>
      </c>
      <c r="K184">
        <v>0.20502024897164259</v>
      </c>
      <c r="L184" t="s">
        <v>158</v>
      </c>
      <c r="N184" t="s">
        <v>208</v>
      </c>
      <c r="O184" t="s">
        <v>166</v>
      </c>
      <c r="P184">
        <v>7.0567060202311752E-2</v>
      </c>
      <c r="Q184" t="s">
        <v>158</v>
      </c>
    </row>
    <row r="185" spans="9:17" x14ac:dyDescent="0.45">
      <c r="I185" t="s">
        <v>183</v>
      </c>
      <c r="J185" t="s">
        <v>167</v>
      </c>
      <c r="K185">
        <v>3.2479210554379703E-2</v>
      </c>
      <c r="L185" t="s">
        <v>158</v>
      </c>
      <c r="N185" t="s">
        <v>208</v>
      </c>
      <c r="O185" t="s">
        <v>167</v>
      </c>
      <c r="P185">
        <v>8.3721708352427329E-2</v>
      </c>
      <c r="Q185" t="s">
        <v>158</v>
      </c>
    </row>
    <row r="186" spans="9:17" x14ac:dyDescent="0.45">
      <c r="I186" t="s">
        <v>183</v>
      </c>
      <c r="J186" t="s">
        <v>168</v>
      </c>
      <c r="K186">
        <v>6.8526990113452931E-3</v>
      </c>
      <c r="L186" t="s">
        <v>158</v>
      </c>
      <c r="N186" t="s">
        <v>208</v>
      </c>
      <c r="O186" t="s">
        <v>168</v>
      </c>
      <c r="P186">
        <v>0.13848498541659088</v>
      </c>
      <c r="Q186" t="s">
        <v>158</v>
      </c>
    </row>
    <row r="187" spans="9:17" x14ac:dyDescent="0.45">
      <c r="I187" t="s">
        <v>183</v>
      </c>
      <c r="J187" t="s">
        <v>169</v>
      </c>
      <c r="K187">
        <v>6.1578340720806576E-2</v>
      </c>
      <c r="L187" t="s">
        <v>158</v>
      </c>
      <c r="N187" t="s">
        <v>208</v>
      </c>
      <c r="O187" t="s">
        <v>169</v>
      </c>
      <c r="P187">
        <v>4.0152166341806593E-2</v>
      </c>
      <c r="Q187" t="s">
        <v>158</v>
      </c>
    </row>
    <row r="188" spans="9:17" x14ac:dyDescent="0.45">
      <c r="I188" t="s">
        <v>183</v>
      </c>
      <c r="J188" t="s">
        <v>170</v>
      </c>
      <c r="K188">
        <v>8.4055808889412609E-2</v>
      </c>
      <c r="L188" t="s">
        <v>158</v>
      </c>
      <c r="N188" t="s">
        <v>208</v>
      </c>
      <c r="O188" t="s">
        <v>170</v>
      </c>
      <c r="P188">
        <v>3.0588744776353007E-2</v>
      </c>
      <c r="Q188" t="s">
        <v>158</v>
      </c>
    </row>
    <row r="189" spans="9:17" x14ac:dyDescent="0.45">
      <c r="I189" t="s">
        <v>183</v>
      </c>
      <c r="J189" t="s">
        <v>171</v>
      </c>
      <c r="K189">
        <v>7.4989658444225601E-2</v>
      </c>
      <c r="L189" t="s">
        <v>158</v>
      </c>
      <c r="N189" t="s">
        <v>208</v>
      </c>
      <c r="O189" t="s">
        <v>171</v>
      </c>
      <c r="P189">
        <v>4.028089267429405E-2</v>
      </c>
      <c r="Q189" t="s">
        <v>158</v>
      </c>
    </row>
    <row r="190" spans="9:17" x14ac:dyDescent="0.45">
      <c r="I190" t="s">
        <v>183</v>
      </c>
      <c r="J190" t="s">
        <v>172</v>
      </c>
      <c r="K190">
        <v>1.6824909258523397E-3</v>
      </c>
      <c r="L190" t="s">
        <v>158</v>
      </c>
      <c r="N190" t="s">
        <v>208</v>
      </c>
      <c r="O190" t="s">
        <v>172</v>
      </c>
      <c r="P190">
        <v>9.50334108547157E-2</v>
      </c>
      <c r="Q190" t="s">
        <v>158</v>
      </c>
    </row>
    <row r="191" spans="9:17" x14ac:dyDescent="0.45">
      <c r="I191" t="s">
        <v>184</v>
      </c>
      <c r="J191" t="s">
        <v>157</v>
      </c>
      <c r="K191">
        <v>1.1142563401170648E-3</v>
      </c>
      <c r="L191" t="s">
        <v>158</v>
      </c>
      <c r="N191" t="s">
        <v>209</v>
      </c>
      <c r="O191" t="s">
        <v>157</v>
      </c>
      <c r="P191">
        <v>6.1638718817850151E-2</v>
      </c>
      <c r="Q191" t="s">
        <v>158</v>
      </c>
    </row>
    <row r="192" spans="9:17" x14ac:dyDescent="0.45">
      <c r="I192" t="s">
        <v>184</v>
      </c>
      <c r="J192" t="s">
        <v>159</v>
      </c>
      <c r="K192">
        <v>3.6083940901444303E-2</v>
      </c>
      <c r="L192" t="s">
        <v>158</v>
      </c>
      <c r="N192" t="s">
        <v>209</v>
      </c>
      <c r="O192" t="s">
        <v>159</v>
      </c>
      <c r="P192">
        <v>2.1720069539515455E-2</v>
      </c>
      <c r="Q192" t="s">
        <v>158</v>
      </c>
    </row>
    <row r="193" spans="9:17" x14ac:dyDescent="0.45">
      <c r="I193" t="s">
        <v>184</v>
      </c>
      <c r="J193" t="s">
        <v>160</v>
      </c>
      <c r="K193">
        <v>4.5777783665973293E-2</v>
      </c>
      <c r="L193" t="s">
        <v>158</v>
      </c>
      <c r="N193" t="s">
        <v>209</v>
      </c>
      <c r="O193" t="s">
        <v>160</v>
      </c>
      <c r="P193">
        <v>2.089668734739298E-2</v>
      </c>
      <c r="Q193" t="s">
        <v>158</v>
      </c>
    </row>
    <row r="194" spans="9:17" x14ac:dyDescent="0.45">
      <c r="I194" t="s">
        <v>184</v>
      </c>
      <c r="J194" t="s">
        <v>161</v>
      </c>
      <c r="K194">
        <v>3.917438520751456E-2</v>
      </c>
      <c r="L194" t="s">
        <v>158</v>
      </c>
      <c r="N194" t="s">
        <v>209</v>
      </c>
      <c r="O194" t="s">
        <v>161</v>
      </c>
      <c r="P194">
        <v>3.3787224140991154E-2</v>
      </c>
      <c r="Q194" t="s">
        <v>158</v>
      </c>
    </row>
    <row r="195" spans="9:17" x14ac:dyDescent="0.45">
      <c r="I195" t="s">
        <v>184</v>
      </c>
      <c r="J195" t="s">
        <v>162</v>
      </c>
      <c r="K195">
        <v>0</v>
      </c>
      <c r="L195" t="s">
        <v>158</v>
      </c>
      <c r="N195" t="s">
        <v>209</v>
      </c>
      <c r="O195" t="s">
        <v>162</v>
      </c>
      <c r="P195">
        <v>5.4508124097832227E-2</v>
      </c>
      <c r="Q195" t="s">
        <v>158</v>
      </c>
    </row>
    <row r="196" spans="9:17" x14ac:dyDescent="0.45">
      <c r="I196" t="s">
        <v>184</v>
      </c>
      <c r="J196" t="s">
        <v>163</v>
      </c>
      <c r="K196">
        <v>6.292309405395323E-2</v>
      </c>
      <c r="L196" t="s">
        <v>158</v>
      </c>
      <c r="N196" t="s">
        <v>209</v>
      </c>
      <c r="O196" t="s">
        <v>163</v>
      </c>
      <c r="P196">
        <v>0.11145263926697942</v>
      </c>
      <c r="Q196" t="s">
        <v>158</v>
      </c>
    </row>
    <row r="197" spans="9:17" x14ac:dyDescent="0.45">
      <c r="I197" t="s">
        <v>184</v>
      </c>
      <c r="J197" t="s">
        <v>164</v>
      </c>
      <c r="K197">
        <v>0.18078393815220345</v>
      </c>
      <c r="L197" t="s">
        <v>158</v>
      </c>
      <c r="N197" t="s">
        <v>209</v>
      </c>
      <c r="O197" t="s">
        <v>164</v>
      </c>
      <c r="P197">
        <v>3.3244948068511117E-2</v>
      </c>
      <c r="Q197" t="s">
        <v>158</v>
      </c>
    </row>
    <row r="198" spans="9:17" x14ac:dyDescent="0.45">
      <c r="I198" t="s">
        <v>184</v>
      </c>
      <c r="J198" t="s">
        <v>165</v>
      </c>
      <c r="K198">
        <v>0.18596646159583199</v>
      </c>
      <c r="L198" t="s">
        <v>158</v>
      </c>
      <c r="N198" t="s">
        <v>209</v>
      </c>
      <c r="O198" t="s">
        <v>165</v>
      </c>
      <c r="P198">
        <v>3.5249105648643413E-2</v>
      </c>
      <c r="Q198" t="s">
        <v>158</v>
      </c>
    </row>
    <row r="199" spans="9:17" x14ac:dyDescent="0.45">
      <c r="I199" t="s">
        <v>184</v>
      </c>
      <c r="J199" t="s">
        <v>166</v>
      </c>
      <c r="K199">
        <v>0.17842281957564776</v>
      </c>
      <c r="L199" t="s">
        <v>158</v>
      </c>
      <c r="N199" t="s">
        <v>209</v>
      </c>
      <c r="O199" t="s">
        <v>166</v>
      </c>
      <c r="P199">
        <v>5.7049371657953235E-2</v>
      </c>
      <c r="Q199" t="s">
        <v>158</v>
      </c>
    </row>
    <row r="200" spans="9:17" x14ac:dyDescent="0.45">
      <c r="I200" t="s">
        <v>184</v>
      </c>
      <c r="J200" t="s">
        <v>167</v>
      </c>
      <c r="K200">
        <v>2.3394722360153313E-2</v>
      </c>
      <c r="L200" t="s">
        <v>158</v>
      </c>
      <c r="N200" t="s">
        <v>209</v>
      </c>
      <c r="O200" t="s">
        <v>167</v>
      </c>
      <c r="P200">
        <v>9.0336609814260824E-2</v>
      </c>
      <c r="Q200" t="s">
        <v>158</v>
      </c>
    </row>
    <row r="201" spans="9:17" x14ac:dyDescent="0.45">
      <c r="I201" t="s">
        <v>184</v>
      </c>
      <c r="J201" t="s">
        <v>168</v>
      </c>
      <c r="K201">
        <v>9.3491322583418631E-3</v>
      </c>
      <c r="L201" t="s">
        <v>158</v>
      </c>
      <c r="N201" t="s">
        <v>209</v>
      </c>
      <c r="O201" t="s">
        <v>168</v>
      </c>
      <c r="P201">
        <v>0.17056721955909529</v>
      </c>
      <c r="Q201" t="s">
        <v>158</v>
      </c>
    </row>
    <row r="202" spans="9:17" x14ac:dyDescent="0.45">
      <c r="I202" t="s">
        <v>184</v>
      </c>
      <c r="J202" t="s">
        <v>169</v>
      </c>
      <c r="K202">
        <v>7.6578770331318283E-2</v>
      </c>
      <c r="L202" t="s">
        <v>158</v>
      </c>
      <c r="N202" t="s">
        <v>209</v>
      </c>
      <c r="O202" t="s">
        <v>169</v>
      </c>
      <c r="P202">
        <v>5.6718903163786291E-2</v>
      </c>
      <c r="Q202" t="s">
        <v>158</v>
      </c>
    </row>
    <row r="203" spans="9:17" x14ac:dyDescent="0.45">
      <c r="I203" t="s">
        <v>184</v>
      </c>
      <c r="J203" t="s">
        <v>170</v>
      </c>
      <c r="K203">
        <v>8.9256977506311105E-2</v>
      </c>
      <c r="L203" t="s">
        <v>158</v>
      </c>
      <c r="N203" t="s">
        <v>209</v>
      </c>
      <c r="O203" t="s">
        <v>170</v>
      </c>
      <c r="P203">
        <v>5.309193210282627E-2</v>
      </c>
      <c r="Q203" t="s">
        <v>158</v>
      </c>
    </row>
    <row r="204" spans="9:17" x14ac:dyDescent="0.45">
      <c r="I204" t="s">
        <v>184</v>
      </c>
      <c r="J204" t="s">
        <v>171</v>
      </c>
      <c r="K204">
        <v>7.0039783928798116E-2</v>
      </c>
      <c r="L204" t="s">
        <v>158</v>
      </c>
      <c r="N204" t="s">
        <v>209</v>
      </c>
      <c r="O204" t="s">
        <v>171</v>
      </c>
      <c r="P204">
        <v>7.3176878998615053E-2</v>
      </c>
      <c r="Q204" t="s">
        <v>158</v>
      </c>
    </row>
    <row r="205" spans="9:17" x14ac:dyDescent="0.45">
      <c r="I205" t="s">
        <v>184</v>
      </c>
      <c r="J205" t="s">
        <v>172</v>
      </c>
      <c r="K205">
        <v>1.1339341222169337E-3</v>
      </c>
      <c r="L205" t="s">
        <v>158</v>
      </c>
      <c r="N205" t="s">
        <v>209</v>
      </c>
      <c r="O205" t="s">
        <v>172</v>
      </c>
      <c r="P205">
        <v>0.12656156777560243</v>
      </c>
      <c r="Q205" t="s">
        <v>158</v>
      </c>
    </row>
    <row r="206" spans="9:17" x14ac:dyDescent="0.45">
      <c r="I206" t="s">
        <v>185</v>
      </c>
      <c r="J206" t="s">
        <v>157</v>
      </c>
      <c r="K206">
        <v>1.157653839603165E-3</v>
      </c>
      <c r="L206" t="s">
        <v>158</v>
      </c>
      <c r="N206" t="s">
        <v>210</v>
      </c>
      <c r="O206" t="s">
        <v>157</v>
      </c>
      <c r="P206">
        <v>7.9519570195036193E-2</v>
      </c>
      <c r="Q206" t="s">
        <v>158</v>
      </c>
    </row>
    <row r="207" spans="9:17" x14ac:dyDescent="0.45">
      <c r="I207" t="s">
        <v>185</v>
      </c>
      <c r="J207" t="s">
        <v>159</v>
      </c>
      <c r="K207">
        <v>3.1244895320287572E-2</v>
      </c>
      <c r="L207" t="s">
        <v>158</v>
      </c>
      <c r="N207" t="s">
        <v>210</v>
      </c>
      <c r="O207" t="s">
        <v>159</v>
      </c>
      <c r="P207">
        <v>2.9880992920133406E-2</v>
      </c>
      <c r="Q207" t="s">
        <v>158</v>
      </c>
    </row>
    <row r="208" spans="9:17" x14ac:dyDescent="0.45">
      <c r="I208" t="s">
        <v>185</v>
      </c>
      <c r="J208" t="s">
        <v>160</v>
      </c>
      <c r="K208">
        <v>4.2711455712277357E-2</v>
      </c>
      <c r="L208" t="s">
        <v>158</v>
      </c>
      <c r="N208" t="s">
        <v>210</v>
      </c>
      <c r="O208" t="s">
        <v>160</v>
      </c>
      <c r="P208">
        <v>2.5803146412160704E-2</v>
      </c>
      <c r="Q208" t="s">
        <v>158</v>
      </c>
    </row>
    <row r="209" spans="9:17" x14ac:dyDescent="0.45">
      <c r="I209" t="s">
        <v>185</v>
      </c>
      <c r="J209" t="s">
        <v>161</v>
      </c>
      <c r="K209">
        <v>3.5657361929747118E-2</v>
      </c>
      <c r="L209" t="s">
        <v>158</v>
      </c>
      <c r="N209" t="s">
        <v>210</v>
      </c>
      <c r="O209" t="s">
        <v>161</v>
      </c>
      <c r="P209">
        <v>4.3162593987694731E-2</v>
      </c>
      <c r="Q209" t="s">
        <v>158</v>
      </c>
    </row>
    <row r="210" spans="9:17" x14ac:dyDescent="0.45">
      <c r="I210" t="s">
        <v>185</v>
      </c>
      <c r="J210" t="s">
        <v>162</v>
      </c>
      <c r="K210">
        <v>0</v>
      </c>
      <c r="L210" t="s">
        <v>158</v>
      </c>
      <c r="N210" t="s">
        <v>210</v>
      </c>
      <c r="O210" t="s">
        <v>162</v>
      </c>
      <c r="P210">
        <v>6.2960575760942009E-2</v>
      </c>
      <c r="Q210" t="s">
        <v>158</v>
      </c>
    </row>
    <row r="211" spans="9:17" x14ac:dyDescent="0.45">
      <c r="I211" t="s">
        <v>185</v>
      </c>
      <c r="J211" t="s">
        <v>163</v>
      </c>
      <c r="K211">
        <v>6.5140673036584121E-2</v>
      </c>
      <c r="L211" t="s">
        <v>158</v>
      </c>
      <c r="N211" t="s">
        <v>210</v>
      </c>
      <c r="O211" t="s">
        <v>163</v>
      </c>
      <c r="P211">
        <v>9.8586150382695623E-2</v>
      </c>
      <c r="Q211" t="s">
        <v>158</v>
      </c>
    </row>
    <row r="212" spans="9:17" x14ac:dyDescent="0.45">
      <c r="I212" t="s">
        <v>185</v>
      </c>
      <c r="J212" t="s">
        <v>164</v>
      </c>
      <c r="K212">
        <v>0.17815983579001901</v>
      </c>
      <c r="L212" t="s">
        <v>158</v>
      </c>
      <c r="N212" t="s">
        <v>210</v>
      </c>
      <c r="O212" t="s">
        <v>164</v>
      </c>
      <c r="P212">
        <v>5.2791990203567805E-2</v>
      </c>
      <c r="Q212" t="s">
        <v>158</v>
      </c>
    </row>
    <row r="213" spans="9:17" x14ac:dyDescent="0.45">
      <c r="I213" t="s">
        <v>185</v>
      </c>
      <c r="J213" t="s">
        <v>165</v>
      </c>
      <c r="K213">
        <v>0.18962109132343416</v>
      </c>
      <c r="L213" t="s">
        <v>158</v>
      </c>
      <c r="N213" t="s">
        <v>210</v>
      </c>
      <c r="O213" t="s">
        <v>165</v>
      </c>
      <c r="P213">
        <v>7.3017722328359583E-2</v>
      </c>
      <c r="Q213" t="s">
        <v>158</v>
      </c>
    </row>
    <row r="214" spans="9:17" x14ac:dyDescent="0.45">
      <c r="I214" t="s">
        <v>185</v>
      </c>
      <c r="J214" t="s">
        <v>166</v>
      </c>
      <c r="K214">
        <v>0.18514234177669381</v>
      </c>
      <c r="L214" t="s">
        <v>158</v>
      </c>
      <c r="N214" t="s">
        <v>210</v>
      </c>
      <c r="O214" t="s">
        <v>166</v>
      </c>
      <c r="P214">
        <v>9.2227203761789361E-2</v>
      </c>
      <c r="Q214" t="s">
        <v>158</v>
      </c>
    </row>
    <row r="215" spans="9:17" x14ac:dyDescent="0.45">
      <c r="I215" t="s">
        <v>185</v>
      </c>
      <c r="J215" t="s">
        <v>167</v>
      </c>
      <c r="K215">
        <v>2.4377115146299512E-2</v>
      </c>
      <c r="L215" t="s">
        <v>158</v>
      </c>
      <c r="N215" t="s">
        <v>210</v>
      </c>
      <c r="O215" t="s">
        <v>167</v>
      </c>
      <c r="P215">
        <v>9.7724090192402802E-2</v>
      </c>
      <c r="Q215" t="s">
        <v>158</v>
      </c>
    </row>
    <row r="216" spans="9:17" x14ac:dyDescent="0.45">
      <c r="I216" t="s">
        <v>185</v>
      </c>
      <c r="J216" t="s">
        <v>168</v>
      </c>
      <c r="K216">
        <v>9.3902373075541012E-3</v>
      </c>
      <c r="L216" t="s">
        <v>158</v>
      </c>
      <c r="N216" t="s">
        <v>210</v>
      </c>
      <c r="O216" t="s">
        <v>168</v>
      </c>
      <c r="P216">
        <v>0.12158703407935298</v>
      </c>
      <c r="Q216" t="s">
        <v>158</v>
      </c>
    </row>
    <row r="217" spans="9:17" x14ac:dyDescent="0.45">
      <c r="I217" t="s">
        <v>185</v>
      </c>
      <c r="J217" t="s">
        <v>169</v>
      </c>
      <c r="K217">
        <v>7.4506419943933047E-2</v>
      </c>
      <c r="L217" t="s">
        <v>158</v>
      </c>
      <c r="N217" t="s">
        <v>210</v>
      </c>
      <c r="O217" t="s">
        <v>169</v>
      </c>
      <c r="P217">
        <v>4.1692890212857929E-2</v>
      </c>
      <c r="Q217" t="s">
        <v>158</v>
      </c>
    </row>
    <row r="218" spans="9:17" x14ac:dyDescent="0.45">
      <c r="I218" t="s">
        <v>185</v>
      </c>
      <c r="J218" t="s">
        <v>170</v>
      </c>
      <c r="K218">
        <v>8.9782653466941822E-2</v>
      </c>
      <c r="L218" t="s">
        <v>158</v>
      </c>
      <c r="N218" t="s">
        <v>210</v>
      </c>
      <c r="O218" t="s">
        <v>170</v>
      </c>
      <c r="P218">
        <v>3.5745511694955906E-2</v>
      </c>
      <c r="Q218" t="s">
        <v>158</v>
      </c>
    </row>
    <row r="219" spans="9:17" x14ac:dyDescent="0.45">
      <c r="I219" t="s">
        <v>185</v>
      </c>
      <c r="J219" t="s">
        <v>171</v>
      </c>
      <c r="K219">
        <v>7.1963724601469548E-2</v>
      </c>
      <c r="L219" t="s">
        <v>158</v>
      </c>
      <c r="N219" t="s">
        <v>210</v>
      </c>
      <c r="O219" t="s">
        <v>171</v>
      </c>
      <c r="P219">
        <v>5.2083705575194025E-2</v>
      </c>
      <c r="Q219" t="s">
        <v>158</v>
      </c>
    </row>
    <row r="220" spans="9:17" x14ac:dyDescent="0.45">
      <c r="I220" t="s">
        <v>185</v>
      </c>
      <c r="J220" t="s">
        <v>172</v>
      </c>
      <c r="K220">
        <v>1.1445408049921093E-3</v>
      </c>
      <c r="L220" t="s">
        <v>158</v>
      </c>
      <c r="N220" t="s">
        <v>210</v>
      </c>
      <c r="O220" t="s">
        <v>172</v>
      </c>
      <c r="P220">
        <v>9.321682229272181E-2</v>
      </c>
      <c r="Q220" t="s">
        <v>158</v>
      </c>
    </row>
    <row r="221" spans="9:17" x14ac:dyDescent="0.45">
      <c r="I221" t="s">
        <v>186</v>
      </c>
      <c r="J221" t="s">
        <v>157</v>
      </c>
      <c r="K221">
        <v>9.8908904353042348E-4</v>
      </c>
      <c r="L221" t="s">
        <v>158</v>
      </c>
      <c r="N221" t="s">
        <v>211</v>
      </c>
      <c r="O221" t="s">
        <v>157</v>
      </c>
      <c r="P221">
        <v>5.691529436105517E-2</v>
      </c>
      <c r="Q221" t="s">
        <v>158</v>
      </c>
    </row>
    <row r="222" spans="9:17" x14ac:dyDescent="0.45">
      <c r="I222" t="s">
        <v>186</v>
      </c>
      <c r="J222" t="s">
        <v>159</v>
      </c>
      <c r="K222">
        <v>2.5598650775096814E-2</v>
      </c>
      <c r="L222" t="s">
        <v>158</v>
      </c>
      <c r="N222" t="s">
        <v>211</v>
      </c>
      <c r="O222" t="s">
        <v>159</v>
      </c>
      <c r="P222">
        <v>2.0315999606461476E-2</v>
      </c>
      <c r="Q222" t="s">
        <v>158</v>
      </c>
    </row>
    <row r="223" spans="9:17" x14ac:dyDescent="0.45">
      <c r="I223" t="s">
        <v>186</v>
      </c>
      <c r="J223" t="s">
        <v>160</v>
      </c>
      <c r="K223">
        <v>3.7995255796520272E-2</v>
      </c>
      <c r="L223" t="s">
        <v>158</v>
      </c>
      <c r="N223" t="s">
        <v>211</v>
      </c>
      <c r="O223" t="s">
        <v>160</v>
      </c>
      <c r="P223">
        <v>1.2462984736395039E-2</v>
      </c>
      <c r="Q223" t="s">
        <v>158</v>
      </c>
    </row>
    <row r="224" spans="9:17" x14ac:dyDescent="0.45">
      <c r="I224" t="s">
        <v>186</v>
      </c>
      <c r="J224" t="s">
        <v>161</v>
      </c>
      <c r="K224">
        <v>3.0404359937614745E-2</v>
      </c>
      <c r="L224" t="s">
        <v>158</v>
      </c>
      <c r="N224" t="s">
        <v>211</v>
      </c>
      <c r="O224" t="s">
        <v>161</v>
      </c>
      <c r="P224">
        <v>1.46454339873819E-2</v>
      </c>
      <c r="Q224" t="s">
        <v>158</v>
      </c>
    </row>
    <row r="225" spans="9:17" x14ac:dyDescent="0.45">
      <c r="I225" t="s">
        <v>186</v>
      </c>
      <c r="J225" t="s">
        <v>162</v>
      </c>
      <c r="K225">
        <v>0</v>
      </c>
      <c r="L225" t="s">
        <v>158</v>
      </c>
      <c r="N225" t="s">
        <v>211</v>
      </c>
      <c r="O225" t="s">
        <v>162</v>
      </c>
      <c r="P225">
        <v>3.6342398023758382E-2</v>
      </c>
      <c r="Q225" t="s">
        <v>158</v>
      </c>
    </row>
    <row r="226" spans="9:17" x14ac:dyDescent="0.45">
      <c r="I226" t="s">
        <v>186</v>
      </c>
      <c r="J226" t="s">
        <v>163</v>
      </c>
      <c r="K226">
        <v>7.4630615245799101E-2</v>
      </c>
      <c r="L226" t="s">
        <v>158</v>
      </c>
      <c r="N226" t="s">
        <v>211</v>
      </c>
      <c r="O226" t="s">
        <v>163</v>
      </c>
      <c r="P226">
        <v>0.11734092682219602</v>
      </c>
      <c r="Q226" t="s">
        <v>158</v>
      </c>
    </row>
    <row r="227" spans="9:17" x14ac:dyDescent="0.45">
      <c r="I227" t="s">
        <v>186</v>
      </c>
      <c r="J227" t="s">
        <v>164</v>
      </c>
      <c r="K227">
        <v>0.1767698115529367</v>
      </c>
      <c r="L227" t="s">
        <v>158</v>
      </c>
      <c r="N227" t="s">
        <v>211</v>
      </c>
      <c r="O227" t="s">
        <v>164</v>
      </c>
      <c r="P227">
        <v>3.3991798173062991E-2</v>
      </c>
      <c r="Q227" t="s">
        <v>158</v>
      </c>
    </row>
    <row r="228" spans="9:17" x14ac:dyDescent="0.45">
      <c r="I228" t="s">
        <v>186</v>
      </c>
      <c r="J228" t="s">
        <v>165</v>
      </c>
      <c r="K228">
        <v>0.19301356085049523</v>
      </c>
      <c r="L228" t="s">
        <v>158</v>
      </c>
      <c r="N228" t="s">
        <v>211</v>
      </c>
      <c r="O228" t="s">
        <v>165</v>
      </c>
      <c r="P228">
        <v>5.3432195929490445E-2</v>
      </c>
      <c r="Q228" t="s">
        <v>158</v>
      </c>
    </row>
    <row r="229" spans="9:17" x14ac:dyDescent="0.45">
      <c r="I229" t="s">
        <v>186</v>
      </c>
      <c r="J229" t="s">
        <v>166</v>
      </c>
      <c r="K229">
        <v>0.19308515710438737</v>
      </c>
      <c r="L229" t="s">
        <v>158</v>
      </c>
      <c r="N229" t="s">
        <v>211</v>
      </c>
      <c r="O229" t="s">
        <v>166</v>
      </c>
      <c r="P229">
        <v>6.5351280295984082E-2</v>
      </c>
      <c r="Q229" t="s">
        <v>158</v>
      </c>
    </row>
    <row r="230" spans="9:17" x14ac:dyDescent="0.45">
      <c r="I230" t="s">
        <v>186</v>
      </c>
      <c r="J230" t="s">
        <v>167</v>
      </c>
      <c r="K230">
        <v>2.611762756622368E-2</v>
      </c>
      <c r="L230" t="s">
        <v>158</v>
      </c>
      <c r="N230" t="s">
        <v>211</v>
      </c>
      <c r="O230" t="s">
        <v>167</v>
      </c>
      <c r="P230">
        <v>7.8221079339664421E-2</v>
      </c>
      <c r="Q230" t="s">
        <v>158</v>
      </c>
    </row>
    <row r="231" spans="9:17" x14ac:dyDescent="0.45">
      <c r="I231" t="s">
        <v>186</v>
      </c>
      <c r="J231" t="s">
        <v>168</v>
      </c>
      <c r="K231">
        <v>1.0327251898533748E-2</v>
      </c>
      <c r="L231" t="s">
        <v>158</v>
      </c>
      <c r="N231" t="s">
        <v>211</v>
      </c>
      <c r="O231" t="s">
        <v>168</v>
      </c>
      <c r="P231">
        <v>0.2128141591153371</v>
      </c>
      <c r="Q231" t="s">
        <v>158</v>
      </c>
    </row>
    <row r="232" spans="9:17" x14ac:dyDescent="0.45">
      <c r="I232" t="s">
        <v>186</v>
      </c>
      <c r="J232" t="s">
        <v>169</v>
      </c>
      <c r="K232">
        <v>7.0312042069682432E-2</v>
      </c>
      <c r="L232" t="s">
        <v>158</v>
      </c>
      <c r="N232" t="s">
        <v>211</v>
      </c>
      <c r="O232" t="s">
        <v>169</v>
      </c>
      <c r="P232">
        <v>6.6313724120817361E-2</v>
      </c>
      <c r="Q232" t="s">
        <v>158</v>
      </c>
    </row>
    <row r="233" spans="9:17" x14ac:dyDescent="0.45">
      <c r="I233" t="s">
        <v>186</v>
      </c>
      <c r="J233" t="s">
        <v>170</v>
      </c>
      <c r="K233">
        <v>8.7538048966593868E-2</v>
      </c>
      <c r="L233" t="s">
        <v>158</v>
      </c>
      <c r="N233" t="s">
        <v>211</v>
      </c>
      <c r="O233" t="s">
        <v>170</v>
      </c>
      <c r="P233">
        <v>4.0012545715003435E-2</v>
      </c>
      <c r="Q233" t="s">
        <v>158</v>
      </c>
    </row>
    <row r="234" spans="9:17" x14ac:dyDescent="0.45">
      <c r="I234" t="s">
        <v>186</v>
      </c>
      <c r="J234" t="s">
        <v>171</v>
      </c>
      <c r="K234">
        <v>7.2053491389370561E-2</v>
      </c>
      <c r="L234" t="s">
        <v>158</v>
      </c>
      <c r="N234" t="s">
        <v>211</v>
      </c>
      <c r="O234" t="s">
        <v>171</v>
      </c>
      <c r="P234">
        <v>5.7998994704180455E-2</v>
      </c>
      <c r="Q234" t="s">
        <v>158</v>
      </c>
    </row>
    <row r="235" spans="9:17" x14ac:dyDescent="0.45">
      <c r="I235" t="s">
        <v>186</v>
      </c>
      <c r="J235" t="s">
        <v>172</v>
      </c>
      <c r="K235">
        <v>1.1650378030549939E-3</v>
      </c>
      <c r="L235" t="s">
        <v>158</v>
      </c>
      <c r="N235" t="s">
        <v>211</v>
      </c>
      <c r="O235" t="s">
        <v>172</v>
      </c>
      <c r="P235">
        <v>0.13384118506913839</v>
      </c>
      <c r="Q235" t="s">
        <v>158</v>
      </c>
    </row>
    <row r="236" spans="9:17" x14ac:dyDescent="0.45">
      <c r="I236" t="s">
        <v>187</v>
      </c>
      <c r="J236" t="s">
        <v>157</v>
      </c>
      <c r="K236">
        <v>1.3973770025256535E-3</v>
      </c>
      <c r="L236" t="s">
        <v>158</v>
      </c>
      <c r="N236" t="s">
        <v>212</v>
      </c>
      <c r="O236" t="s">
        <v>157</v>
      </c>
      <c r="P236">
        <v>6.3609808945517127E-2</v>
      </c>
      <c r="Q236" t="s">
        <v>158</v>
      </c>
    </row>
    <row r="237" spans="9:17" x14ac:dyDescent="0.45">
      <c r="I237" t="s">
        <v>187</v>
      </c>
      <c r="J237" t="s">
        <v>159</v>
      </c>
      <c r="K237">
        <v>4.0398670453814581E-2</v>
      </c>
      <c r="L237" t="s">
        <v>158</v>
      </c>
      <c r="N237" t="s">
        <v>212</v>
      </c>
      <c r="O237" t="s">
        <v>159</v>
      </c>
      <c r="P237">
        <v>1.9064056829593848E-2</v>
      </c>
      <c r="Q237" t="s">
        <v>158</v>
      </c>
    </row>
    <row r="238" spans="9:17" x14ac:dyDescent="0.45">
      <c r="I238" t="s">
        <v>187</v>
      </c>
      <c r="J238" t="s">
        <v>160</v>
      </c>
      <c r="K238">
        <v>4.6924798008546917E-2</v>
      </c>
      <c r="L238" t="s">
        <v>158</v>
      </c>
      <c r="N238" t="s">
        <v>212</v>
      </c>
      <c r="O238" t="s">
        <v>160</v>
      </c>
      <c r="P238">
        <v>2.3429210300107171E-2</v>
      </c>
      <c r="Q238" t="s">
        <v>158</v>
      </c>
    </row>
    <row r="239" spans="9:17" x14ac:dyDescent="0.45">
      <c r="I239" t="s">
        <v>187</v>
      </c>
      <c r="J239" t="s">
        <v>161</v>
      </c>
      <c r="K239">
        <v>3.9725644848997411E-2</v>
      </c>
      <c r="L239" t="s">
        <v>158</v>
      </c>
      <c r="N239" t="s">
        <v>212</v>
      </c>
      <c r="O239" t="s">
        <v>161</v>
      </c>
      <c r="P239">
        <v>4.0022339316809534E-2</v>
      </c>
      <c r="Q239" t="s">
        <v>158</v>
      </c>
    </row>
    <row r="240" spans="9:17" x14ac:dyDescent="0.45">
      <c r="I240" t="s">
        <v>187</v>
      </c>
      <c r="J240" t="s">
        <v>162</v>
      </c>
      <c r="K240">
        <v>0</v>
      </c>
      <c r="L240" t="s">
        <v>158</v>
      </c>
      <c r="N240" t="s">
        <v>212</v>
      </c>
      <c r="O240" t="s">
        <v>162</v>
      </c>
      <c r="P240">
        <v>6.7642598104339535E-2</v>
      </c>
      <c r="Q240" t="s">
        <v>158</v>
      </c>
    </row>
    <row r="241" spans="9:17" x14ac:dyDescent="0.45">
      <c r="I241" t="s">
        <v>187</v>
      </c>
      <c r="J241" t="s">
        <v>163</v>
      </c>
      <c r="K241">
        <v>7.4906780619733909E-2</v>
      </c>
      <c r="L241" t="s">
        <v>158</v>
      </c>
      <c r="N241" t="s">
        <v>212</v>
      </c>
      <c r="O241" t="s">
        <v>163</v>
      </c>
      <c r="P241">
        <v>9.4663180780593895E-2</v>
      </c>
      <c r="Q241" t="s">
        <v>158</v>
      </c>
    </row>
    <row r="242" spans="9:17" x14ac:dyDescent="0.45">
      <c r="I242" t="s">
        <v>187</v>
      </c>
      <c r="J242" t="s">
        <v>164</v>
      </c>
      <c r="K242">
        <v>0.18184104281069335</v>
      </c>
      <c r="L242" t="s">
        <v>158</v>
      </c>
      <c r="N242" t="s">
        <v>212</v>
      </c>
      <c r="O242" t="s">
        <v>164</v>
      </c>
      <c r="P242">
        <v>4.0528016598745546E-2</v>
      </c>
      <c r="Q242" t="s">
        <v>158</v>
      </c>
    </row>
    <row r="243" spans="9:17" x14ac:dyDescent="0.45">
      <c r="I243" t="s">
        <v>187</v>
      </c>
      <c r="J243" t="s">
        <v>165</v>
      </c>
      <c r="K243">
        <v>0.17920777781223154</v>
      </c>
      <c r="L243" t="s">
        <v>158</v>
      </c>
      <c r="N243" t="s">
        <v>212</v>
      </c>
      <c r="O243" t="s">
        <v>165</v>
      </c>
      <c r="P243">
        <v>6.3350078484145492E-2</v>
      </c>
      <c r="Q243" t="s">
        <v>158</v>
      </c>
    </row>
    <row r="244" spans="9:17" x14ac:dyDescent="0.45">
      <c r="I244" t="s">
        <v>187</v>
      </c>
      <c r="J244" t="s">
        <v>166</v>
      </c>
      <c r="K244">
        <v>0.16606355999813027</v>
      </c>
      <c r="L244" t="s">
        <v>158</v>
      </c>
      <c r="N244" t="s">
        <v>212</v>
      </c>
      <c r="O244" t="s">
        <v>166</v>
      </c>
      <c r="P244">
        <v>8.8912842807104042E-2</v>
      </c>
      <c r="Q244" t="s">
        <v>158</v>
      </c>
    </row>
    <row r="245" spans="9:17" x14ac:dyDescent="0.45">
      <c r="I245" t="s">
        <v>187</v>
      </c>
      <c r="J245" t="s">
        <v>167</v>
      </c>
      <c r="K245">
        <v>2.1943933672932358E-2</v>
      </c>
      <c r="L245" t="s">
        <v>158</v>
      </c>
      <c r="N245" t="s">
        <v>212</v>
      </c>
      <c r="O245" t="s">
        <v>167</v>
      </c>
      <c r="P245">
        <v>0.11094783055411037</v>
      </c>
      <c r="Q245" t="s">
        <v>158</v>
      </c>
    </row>
    <row r="246" spans="9:17" x14ac:dyDescent="0.45">
      <c r="I246" t="s">
        <v>187</v>
      </c>
      <c r="J246" t="s">
        <v>168</v>
      </c>
      <c r="K246">
        <v>1.2069174146004953E-2</v>
      </c>
      <c r="L246" t="s">
        <v>158</v>
      </c>
      <c r="N246" t="s">
        <v>212</v>
      </c>
      <c r="O246" t="s">
        <v>168</v>
      </c>
      <c r="P246">
        <v>0.13061887362599578</v>
      </c>
      <c r="Q246" t="s">
        <v>158</v>
      </c>
    </row>
    <row r="247" spans="9:17" x14ac:dyDescent="0.45">
      <c r="I247" t="s">
        <v>187</v>
      </c>
      <c r="J247" t="s">
        <v>169</v>
      </c>
      <c r="K247">
        <v>7.9958664430191201E-2</v>
      </c>
      <c r="L247" t="s">
        <v>158</v>
      </c>
      <c r="N247" t="s">
        <v>212</v>
      </c>
      <c r="O247" t="s">
        <v>169</v>
      </c>
      <c r="P247">
        <v>3.8895784587691946E-2</v>
      </c>
      <c r="Q247" t="s">
        <v>158</v>
      </c>
    </row>
    <row r="248" spans="9:17" x14ac:dyDescent="0.45">
      <c r="I248" t="s">
        <v>187</v>
      </c>
      <c r="J248" t="s">
        <v>170</v>
      </c>
      <c r="K248">
        <v>8.6802870603369733E-2</v>
      </c>
      <c r="L248" t="s">
        <v>158</v>
      </c>
      <c r="N248" t="s">
        <v>212</v>
      </c>
      <c r="O248" t="s">
        <v>170</v>
      </c>
      <c r="P248">
        <v>4.3182917342257814E-2</v>
      </c>
      <c r="Q248" t="s">
        <v>158</v>
      </c>
    </row>
    <row r="249" spans="9:17" x14ac:dyDescent="0.45">
      <c r="I249" t="s">
        <v>187</v>
      </c>
      <c r="J249" t="s">
        <v>171</v>
      </c>
      <c r="K249">
        <v>6.7829391980933976E-2</v>
      </c>
      <c r="L249" t="s">
        <v>158</v>
      </c>
      <c r="N249" t="s">
        <v>212</v>
      </c>
      <c r="O249" t="s">
        <v>171</v>
      </c>
      <c r="P249">
        <v>7.3118763024765443E-2</v>
      </c>
      <c r="Q249" t="s">
        <v>158</v>
      </c>
    </row>
    <row r="250" spans="9:17" x14ac:dyDescent="0.45">
      <c r="I250" t="s">
        <v>187</v>
      </c>
      <c r="J250" t="s">
        <v>172</v>
      </c>
      <c r="K250">
        <v>9.3031361171920328E-4</v>
      </c>
      <c r="L250" t="s">
        <v>158</v>
      </c>
      <c r="N250" t="s">
        <v>212</v>
      </c>
      <c r="O250" t="s">
        <v>172</v>
      </c>
      <c r="P250">
        <v>0.10201369869811197</v>
      </c>
      <c r="Q250" t="s">
        <v>158</v>
      </c>
    </row>
    <row r="251" spans="9:17" x14ac:dyDescent="0.45">
      <c r="I251" t="s">
        <v>188</v>
      </c>
      <c r="J251" t="s">
        <v>157</v>
      </c>
      <c r="K251">
        <v>1.2574187110668219E-3</v>
      </c>
      <c r="L251" t="s">
        <v>158</v>
      </c>
      <c r="N251" t="s">
        <v>213</v>
      </c>
      <c r="O251" t="s">
        <v>157</v>
      </c>
      <c r="P251">
        <v>0.10609748482578492</v>
      </c>
      <c r="Q251" t="s">
        <v>158</v>
      </c>
    </row>
    <row r="252" spans="9:17" x14ac:dyDescent="0.45">
      <c r="I252" t="s">
        <v>188</v>
      </c>
      <c r="J252" t="s">
        <v>159</v>
      </c>
      <c r="K252">
        <v>3.5622226164583541E-2</v>
      </c>
      <c r="L252" t="s">
        <v>158</v>
      </c>
      <c r="N252" t="s">
        <v>213</v>
      </c>
      <c r="O252" t="s">
        <v>159</v>
      </c>
      <c r="P252">
        <v>3.7661235087093133E-2</v>
      </c>
      <c r="Q252" t="s">
        <v>158</v>
      </c>
    </row>
    <row r="253" spans="9:17" x14ac:dyDescent="0.45">
      <c r="I253" t="s">
        <v>188</v>
      </c>
      <c r="J253" t="s">
        <v>160</v>
      </c>
      <c r="K253">
        <v>4.5862172092667026E-2</v>
      </c>
      <c r="L253" t="s">
        <v>158</v>
      </c>
      <c r="N253" t="s">
        <v>213</v>
      </c>
      <c r="O253" t="s">
        <v>160</v>
      </c>
      <c r="P253">
        <v>2.0131515994660842E-2</v>
      </c>
      <c r="Q253" t="s">
        <v>158</v>
      </c>
    </row>
    <row r="254" spans="9:17" x14ac:dyDescent="0.45">
      <c r="I254" t="s">
        <v>188</v>
      </c>
      <c r="J254" t="s">
        <v>161</v>
      </c>
      <c r="K254">
        <v>3.9082392280540994E-2</v>
      </c>
      <c r="L254" t="s">
        <v>158</v>
      </c>
      <c r="N254" t="s">
        <v>213</v>
      </c>
      <c r="O254" t="s">
        <v>161</v>
      </c>
      <c r="P254">
        <v>3.9803533976695497E-2</v>
      </c>
      <c r="Q254" t="s">
        <v>158</v>
      </c>
    </row>
    <row r="255" spans="9:17" x14ac:dyDescent="0.45">
      <c r="I255" t="s">
        <v>188</v>
      </c>
      <c r="J255" t="s">
        <v>162</v>
      </c>
      <c r="K255">
        <v>0</v>
      </c>
      <c r="L255" t="s">
        <v>158</v>
      </c>
      <c r="N255" t="s">
        <v>213</v>
      </c>
      <c r="O255" t="s">
        <v>162</v>
      </c>
      <c r="P255">
        <v>7.6689791078833169E-2</v>
      </c>
      <c r="Q255" t="s">
        <v>158</v>
      </c>
    </row>
    <row r="256" spans="9:17" x14ac:dyDescent="0.45">
      <c r="I256" t="s">
        <v>188</v>
      </c>
      <c r="J256" t="s">
        <v>163</v>
      </c>
      <c r="K256">
        <v>6.3746296907139219E-2</v>
      </c>
      <c r="L256" t="s">
        <v>158</v>
      </c>
      <c r="N256" t="s">
        <v>213</v>
      </c>
      <c r="O256" t="s">
        <v>163</v>
      </c>
      <c r="P256">
        <v>0.11326157223377953</v>
      </c>
      <c r="Q256" t="s">
        <v>158</v>
      </c>
    </row>
    <row r="257" spans="9:17" x14ac:dyDescent="0.45">
      <c r="I257" t="s">
        <v>188</v>
      </c>
      <c r="J257" t="s">
        <v>164</v>
      </c>
      <c r="K257">
        <v>0.18218447895096243</v>
      </c>
      <c r="L257" t="s">
        <v>158</v>
      </c>
      <c r="N257" t="s">
        <v>213</v>
      </c>
      <c r="O257" t="s">
        <v>164</v>
      </c>
      <c r="P257">
        <v>3.9535812570797704E-2</v>
      </c>
      <c r="Q257" t="s">
        <v>158</v>
      </c>
    </row>
    <row r="258" spans="9:17" x14ac:dyDescent="0.45">
      <c r="I258" t="s">
        <v>188</v>
      </c>
      <c r="J258" t="s">
        <v>165</v>
      </c>
      <c r="K258">
        <v>0.18503607617283357</v>
      </c>
      <c r="L258" t="s">
        <v>158</v>
      </c>
      <c r="N258" t="s">
        <v>213</v>
      </c>
      <c r="O258" t="s">
        <v>165</v>
      </c>
      <c r="P258">
        <v>6.8594605354862254E-2</v>
      </c>
      <c r="Q258" t="s">
        <v>158</v>
      </c>
    </row>
    <row r="259" spans="9:17" x14ac:dyDescent="0.45">
      <c r="I259" t="s">
        <v>188</v>
      </c>
      <c r="J259" t="s">
        <v>166</v>
      </c>
      <c r="K259">
        <v>0.174511581187269</v>
      </c>
      <c r="L259" t="s">
        <v>158</v>
      </c>
      <c r="N259" t="s">
        <v>213</v>
      </c>
      <c r="O259" t="s">
        <v>166</v>
      </c>
      <c r="P259">
        <v>7.8215773024107468E-2</v>
      </c>
      <c r="Q259" t="s">
        <v>158</v>
      </c>
    </row>
    <row r="260" spans="9:17" x14ac:dyDescent="0.45">
      <c r="I260" t="s">
        <v>188</v>
      </c>
      <c r="J260" t="s">
        <v>167</v>
      </c>
      <c r="K260">
        <v>2.2739840815725328E-2</v>
      </c>
      <c r="L260" t="s">
        <v>158</v>
      </c>
      <c r="N260" t="s">
        <v>213</v>
      </c>
      <c r="O260" t="s">
        <v>167</v>
      </c>
      <c r="P260">
        <v>6.8183363795540783E-2</v>
      </c>
      <c r="Q260" t="s">
        <v>158</v>
      </c>
    </row>
    <row r="261" spans="9:17" x14ac:dyDescent="0.45">
      <c r="I261" t="s">
        <v>188</v>
      </c>
      <c r="J261" t="s">
        <v>168</v>
      </c>
      <c r="K261">
        <v>9.7916106513317273E-3</v>
      </c>
      <c r="L261" t="s">
        <v>158</v>
      </c>
      <c r="N261" t="s">
        <v>213</v>
      </c>
      <c r="O261" t="s">
        <v>168</v>
      </c>
      <c r="P261">
        <v>0.14840629971813266</v>
      </c>
      <c r="Q261" t="s">
        <v>158</v>
      </c>
    </row>
    <row r="262" spans="9:17" x14ac:dyDescent="0.45">
      <c r="I262" t="s">
        <v>188</v>
      </c>
      <c r="J262" t="s">
        <v>169</v>
      </c>
      <c r="K262">
        <v>7.7543405018818276E-2</v>
      </c>
      <c r="L262" t="s">
        <v>158</v>
      </c>
      <c r="N262" t="s">
        <v>213</v>
      </c>
      <c r="O262" t="s">
        <v>169</v>
      </c>
      <c r="P262">
        <v>4.5310810523367315E-2</v>
      </c>
      <c r="Q262" t="s">
        <v>158</v>
      </c>
    </row>
    <row r="263" spans="9:17" x14ac:dyDescent="0.45">
      <c r="I263" t="s">
        <v>188</v>
      </c>
      <c r="J263" t="s">
        <v>170</v>
      </c>
      <c r="K263">
        <v>9.0725957237463462E-2</v>
      </c>
      <c r="L263" t="s">
        <v>158</v>
      </c>
      <c r="N263" t="s">
        <v>213</v>
      </c>
      <c r="O263" t="s">
        <v>170</v>
      </c>
      <c r="P263">
        <v>2.8591317265417079E-2</v>
      </c>
      <c r="Q263" t="s">
        <v>158</v>
      </c>
    </row>
    <row r="264" spans="9:17" x14ac:dyDescent="0.45">
      <c r="I264" t="s">
        <v>188</v>
      </c>
      <c r="J264" t="s">
        <v>171</v>
      </c>
      <c r="K264">
        <v>7.092667697809478E-2</v>
      </c>
      <c r="L264" t="s">
        <v>158</v>
      </c>
      <c r="N264" t="s">
        <v>213</v>
      </c>
      <c r="O264" t="s">
        <v>171</v>
      </c>
      <c r="P264">
        <v>3.7937251933536878E-2</v>
      </c>
      <c r="Q264" t="s">
        <v>158</v>
      </c>
    </row>
    <row r="265" spans="9:17" x14ac:dyDescent="0.45">
      <c r="I265" t="s">
        <v>188</v>
      </c>
      <c r="J265" t="s">
        <v>172</v>
      </c>
      <c r="K265">
        <v>9.6986683132643141E-4</v>
      </c>
      <c r="L265" t="s">
        <v>158</v>
      </c>
      <c r="N265" t="s">
        <v>213</v>
      </c>
      <c r="O265" t="s">
        <v>172</v>
      </c>
      <c r="P265">
        <v>9.1579632617291754E-2</v>
      </c>
      <c r="Q265" t="s">
        <v>158</v>
      </c>
    </row>
    <row r="266" spans="9:17" x14ac:dyDescent="0.45">
      <c r="I266" t="s">
        <v>189</v>
      </c>
      <c r="J266" t="s">
        <v>157</v>
      </c>
      <c r="K266">
        <v>1.1450438736338856E-3</v>
      </c>
      <c r="L266" t="s">
        <v>158</v>
      </c>
      <c r="N266" t="s">
        <v>214</v>
      </c>
      <c r="O266" t="s">
        <v>157</v>
      </c>
      <c r="P266">
        <v>7.126082458899434E-2</v>
      </c>
      <c r="Q266" t="s">
        <v>158</v>
      </c>
    </row>
    <row r="267" spans="9:17" x14ac:dyDescent="0.45">
      <c r="I267" t="s">
        <v>189</v>
      </c>
      <c r="J267" t="s">
        <v>159</v>
      </c>
      <c r="K267">
        <v>3.105490106457048E-2</v>
      </c>
      <c r="L267" t="s">
        <v>158</v>
      </c>
      <c r="N267" t="s">
        <v>214</v>
      </c>
      <c r="O267" t="s">
        <v>159</v>
      </c>
      <c r="P267">
        <v>2.9243797617344532E-2</v>
      </c>
      <c r="Q267" t="s">
        <v>158</v>
      </c>
    </row>
    <row r="268" spans="9:17" x14ac:dyDescent="0.45">
      <c r="I268" t="s">
        <v>189</v>
      </c>
      <c r="J268" t="s">
        <v>160</v>
      </c>
      <c r="K268">
        <v>4.2688468103327812E-2</v>
      </c>
      <c r="L268" t="s">
        <v>158</v>
      </c>
      <c r="N268" t="s">
        <v>214</v>
      </c>
      <c r="O268" t="s">
        <v>160</v>
      </c>
      <c r="P268">
        <v>2.3886384420374621E-2</v>
      </c>
      <c r="Q268" t="s">
        <v>158</v>
      </c>
    </row>
    <row r="269" spans="9:17" x14ac:dyDescent="0.45">
      <c r="I269" t="s">
        <v>189</v>
      </c>
      <c r="J269" t="s">
        <v>161</v>
      </c>
      <c r="K269">
        <v>3.5632381076189761E-2</v>
      </c>
      <c r="L269" t="s">
        <v>158</v>
      </c>
      <c r="N269" t="s">
        <v>214</v>
      </c>
      <c r="O269" t="s">
        <v>161</v>
      </c>
      <c r="P269">
        <v>3.7973038231369237E-2</v>
      </c>
      <c r="Q269" t="s">
        <v>158</v>
      </c>
    </row>
    <row r="270" spans="9:17" x14ac:dyDescent="0.45">
      <c r="I270" t="s">
        <v>189</v>
      </c>
      <c r="J270" t="s">
        <v>162</v>
      </c>
      <c r="K270">
        <v>0</v>
      </c>
      <c r="L270" t="s">
        <v>158</v>
      </c>
      <c r="N270" t="s">
        <v>214</v>
      </c>
      <c r="O270" t="s">
        <v>162</v>
      </c>
      <c r="P270">
        <v>5.6277307039992862E-2</v>
      </c>
      <c r="Q270" t="s">
        <v>158</v>
      </c>
    </row>
    <row r="271" spans="9:17" x14ac:dyDescent="0.45">
      <c r="I271" t="s">
        <v>189</v>
      </c>
      <c r="J271" t="s">
        <v>163</v>
      </c>
      <c r="K271">
        <v>6.5856169829680414E-2</v>
      </c>
      <c r="L271" t="s">
        <v>158</v>
      </c>
      <c r="N271" t="s">
        <v>214</v>
      </c>
      <c r="O271" t="s">
        <v>163</v>
      </c>
      <c r="P271">
        <v>8.76358955045108E-2</v>
      </c>
      <c r="Q271" t="s">
        <v>158</v>
      </c>
    </row>
    <row r="272" spans="9:17" x14ac:dyDescent="0.45">
      <c r="I272" t="s">
        <v>189</v>
      </c>
      <c r="J272" t="s">
        <v>164</v>
      </c>
      <c r="K272">
        <v>0.18121866563078518</v>
      </c>
      <c r="L272" t="s">
        <v>158</v>
      </c>
      <c r="N272" t="s">
        <v>214</v>
      </c>
      <c r="O272" t="s">
        <v>164</v>
      </c>
      <c r="P272">
        <v>5.121227989853782E-2</v>
      </c>
      <c r="Q272" t="s">
        <v>158</v>
      </c>
    </row>
    <row r="273" spans="9:17" x14ac:dyDescent="0.45">
      <c r="I273" t="s">
        <v>189</v>
      </c>
      <c r="J273" t="s">
        <v>165</v>
      </c>
      <c r="K273">
        <v>0.18955719773878837</v>
      </c>
      <c r="L273" t="s">
        <v>158</v>
      </c>
      <c r="N273" t="s">
        <v>214</v>
      </c>
      <c r="O273" t="s">
        <v>165</v>
      </c>
      <c r="P273">
        <v>9.2623030854584065E-2</v>
      </c>
      <c r="Q273" t="s">
        <v>158</v>
      </c>
    </row>
    <row r="274" spans="9:17" x14ac:dyDescent="0.45">
      <c r="I274" t="s">
        <v>189</v>
      </c>
      <c r="J274" t="s">
        <v>166</v>
      </c>
      <c r="K274">
        <v>0.18031408942297145</v>
      </c>
      <c r="L274" t="s">
        <v>158</v>
      </c>
      <c r="N274" t="s">
        <v>214</v>
      </c>
      <c r="O274" t="s">
        <v>166</v>
      </c>
      <c r="P274">
        <v>0.11081512570251763</v>
      </c>
      <c r="Q274" t="s">
        <v>158</v>
      </c>
    </row>
    <row r="275" spans="9:17" x14ac:dyDescent="0.45">
      <c r="I275" t="s">
        <v>189</v>
      </c>
      <c r="J275" t="s">
        <v>167</v>
      </c>
      <c r="K275">
        <v>2.3344806735954477E-2</v>
      </c>
      <c r="L275" t="s">
        <v>158</v>
      </c>
      <c r="N275" t="s">
        <v>214</v>
      </c>
      <c r="O275" t="s">
        <v>167</v>
      </c>
      <c r="P275">
        <v>8.6653747334995132E-2</v>
      </c>
      <c r="Q275" t="s">
        <v>158</v>
      </c>
    </row>
    <row r="276" spans="9:17" x14ac:dyDescent="0.45">
      <c r="I276" t="s">
        <v>189</v>
      </c>
      <c r="J276" t="s">
        <v>168</v>
      </c>
      <c r="K276">
        <v>9.5210300217847352E-3</v>
      </c>
      <c r="L276" t="s">
        <v>158</v>
      </c>
      <c r="N276" t="s">
        <v>214</v>
      </c>
      <c r="O276" t="s">
        <v>168</v>
      </c>
      <c r="P276">
        <v>0.12336402753506172</v>
      </c>
      <c r="Q276" t="s">
        <v>158</v>
      </c>
    </row>
    <row r="277" spans="9:17" x14ac:dyDescent="0.45">
      <c r="I277" t="s">
        <v>189</v>
      </c>
      <c r="J277" t="s">
        <v>169</v>
      </c>
      <c r="K277">
        <v>7.5638367331438791E-2</v>
      </c>
      <c r="L277" t="s">
        <v>158</v>
      </c>
      <c r="N277" t="s">
        <v>214</v>
      </c>
      <c r="O277" t="s">
        <v>169</v>
      </c>
      <c r="P277">
        <v>4.4139908328426347E-2</v>
      </c>
      <c r="Q277" t="s">
        <v>158</v>
      </c>
    </row>
    <row r="278" spans="9:17" x14ac:dyDescent="0.45">
      <c r="I278" t="s">
        <v>189</v>
      </c>
      <c r="J278" t="s">
        <v>170</v>
      </c>
      <c r="K278">
        <v>9.1134048660950262E-2</v>
      </c>
      <c r="L278" t="s">
        <v>158</v>
      </c>
      <c r="N278" t="s">
        <v>214</v>
      </c>
      <c r="O278" t="s">
        <v>170</v>
      </c>
      <c r="P278">
        <v>3.9878847079796928E-2</v>
      </c>
      <c r="Q278" t="s">
        <v>158</v>
      </c>
    </row>
    <row r="279" spans="9:17" x14ac:dyDescent="0.45">
      <c r="I279" t="s">
        <v>189</v>
      </c>
      <c r="J279" t="s">
        <v>171</v>
      </c>
      <c r="K279">
        <v>7.1868826539351643E-2</v>
      </c>
      <c r="L279" t="s">
        <v>158</v>
      </c>
      <c r="N279" t="s">
        <v>214</v>
      </c>
      <c r="O279" t="s">
        <v>171</v>
      </c>
      <c r="P279">
        <v>5.0131327291192011E-2</v>
      </c>
      <c r="Q279" t="s">
        <v>158</v>
      </c>
    </row>
    <row r="280" spans="9:17" x14ac:dyDescent="0.45">
      <c r="I280" t="s">
        <v>189</v>
      </c>
      <c r="J280" t="s">
        <v>172</v>
      </c>
      <c r="K280">
        <v>1.0260039704055853E-3</v>
      </c>
      <c r="L280" t="s">
        <v>158</v>
      </c>
      <c r="N280" t="s">
        <v>214</v>
      </c>
      <c r="O280" t="s">
        <v>172</v>
      </c>
      <c r="P280">
        <v>9.4904458572177955E-2</v>
      </c>
      <c r="Q280" t="s">
        <v>158</v>
      </c>
    </row>
    <row r="281" spans="9:17" x14ac:dyDescent="0.45">
      <c r="I281" t="s">
        <v>190</v>
      </c>
      <c r="J281" t="s">
        <v>157</v>
      </c>
      <c r="K281">
        <v>6.8280619986913057E-4</v>
      </c>
      <c r="L281" t="s">
        <v>158</v>
      </c>
      <c r="N281" t="s">
        <v>215</v>
      </c>
      <c r="O281" t="s">
        <v>157</v>
      </c>
      <c r="P281">
        <v>5.0169382558029114E-2</v>
      </c>
      <c r="Q281" t="s">
        <v>158</v>
      </c>
    </row>
    <row r="282" spans="9:17" x14ac:dyDescent="0.45">
      <c r="I282" t="s">
        <v>190</v>
      </c>
      <c r="J282" t="s">
        <v>159</v>
      </c>
      <c r="K282">
        <v>3.1394117152422123E-2</v>
      </c>
      <c r="L282" t="s">
        <v>158</v>
      </c>
      <c r="N282" t="s">
        <v>215</v>
      </c>
      <c r="O282" t="s">
        <v>159</v>
      </c>
      <c r="P282">
        <v>2.0863072344217422E-2</v>
      </c>
      <c r="Q282" t="s">
        <v>158</v>
      </c>
    </row>
    <row r="283" spans="9:17" x14ac:dyDescent="0.45">
      <c r="I283" t="s">
        <v>190</v>
      </c>
      <c r="J283" t="s">
        <v>160</v>
      </c>
      <c r="K283">
        <v>4.5031318011211269E-2</v>
      </c>
      <c r="L283" t="s">
        <v>158</v>
      </c>
      <c r="N283" t="s">
        <v>215</v>
      </c>
      <c r="O283" t="s">
        <v>160</v>
      </c>
      <c r="P283">
        <v>1.4695211414220968E-2</v>
      </c>
      <c r="Q283" t="s">
        <v>158</v>
      </c>
    </row>
    <row r="284" spans="9:17" x14ac:dyDescent="0.45">
      <c r="I284" t="s">
        <v>190</v>
      </c>
      <c r="J284" t="s">
        <v>161</v>
      </c>
      <c r="K284">
        <v>4.0376136372664087E-2</v>
      </c>
      <c r="L284" t="s">
        <v>158</v>
      </c>
      <c r="N284" t="s">
        <v>215</v>
      </c>
      <c r="O284" t="s">
        <v>161</v>
      </c>
      <c r="P284">
        <v>1.4387309980698823E-2</v>
      </c>
      <c r="Q284" t="s">
        <v>158</v>
      </c>
    </row>
    <row r="285" spans="9:17" x14ac:dyDescent="0.45">
      <c r="I285" t="s">
        <v>190</v>
      </c>
      <c r="J285" t="s">
        <v>162</v>
      </c>
      <c r="K285">
        <v>0</v>
      </c>
      <c r="L285" t="s">
        <v>158</v>
      </c>
      <c r="N285" t="s">
        <v>215</v>
      </c>
      <c r="O285" t="s">
        <v>162</v>
      </c>
      <c r="P285">
        <v>3.3950713564873732E-2</v>
      </c>
      <c r="Q285" t="s">
        <v>158</v>
      </c>
    </row>
    <row r="286" spans="9:17" x14ac:dyDescent="0.45">
      <c r="I286" t="s">
        <v>190</v>
      </c>
      <c r="J286" t="s">
        <v>163</v>
      </c>
      <c r="K286">
        <v>5.6849450550430503E-2</v>
      </c>
      <c r="L286" t="s">
        <v>158</v>
      </c>
      <c r="N286" t="s">
        <v>215</v>
      </c>
      <c r="O286" t="s">
        <v>163</v>
      </c>
      <c r="P286">
        <v>0.12112841774798346</v>
      </c>
      <c r="Q286" t="s">
        <v>158</v>
      </c>
    </row>
    <row r="287" spans="9:17" x14ac:dyDescent="0.45">
      <c r="I287" t="s">
        <v>190</v>
      </c>
      <c r="J287" t="s">
        <v>164</v>
      </c>
      <c r="K287">
        <v>0.17185088851930205</v>
      </c>
      <c r="L287" t="s">
        <v>158</v>
      </c>
      <c r="N287" t="s">
        <v>215</v>
      </c>
      <c r="O287" t="s">
        <v>164</v>
      </c>
      <c r="P287">
        <v>3.584269104173729E-2</v>
      </c>
      <c r="Q287" t="s">
        <v>158</v>
      </c>
    </row>
    <row r="288" spans="9:17" x14ac:dyDescent="0.45">
      <c r="I288" t="s">
        <v>190</v>
      </c>
      <c r="J288" t="s">
        <v>165</v>
      </c>
      <c r="K288">
        <v>0.18857446552661589</v>
      </c>
      <c r="L288" t="s">
        <v>158</v>
      </c>
      <c r="N288" t="s">
        <v>215</v>
      </c>
      <c r="O288" t="s">
        <v>165</v>
      </c>
      <c r="P288">
        <v>6.8302331320938478E-2</v>
      </c>
      <c r="Q288" t="s">
        <v>158</v>
      </c>
    </row>
    <row r="289" spans="9:17" x14ac:dyDescent="0.45">
      <c r="I289" t="s">
        <v>190</v>
      </c>
      <c r="J289" t="s">
        <v>166</v>
      </c>
      <c r="K289">
        <v>0.19084346639882024</v>
      </c>
      <c r="L289" t="s">
        <v>158</v>
      </c>
      <c r="N289" t="s">
        <v>215</v>
      </c>
      <c r="O289" t="s">
        <v>166</v>
      </c>
      <c r="P289">
        <v>8.441677292257696E-2</v>
      </c>
      <c r="Q289" t="s">
        <v>158</v>
      </c>
    </row>
    <row r="290" spans="9:17" x14ac:dyDescent="0.45">
      <c r="I290" t="s">
        <v>190</v>
      </c>
      <c r="J290" t="s">
        <v>167</v>
      </c>
      <c r="K290">
        <v>2.691510961643984E-2</v>
      </c>
      <c r="L290" t="s">
        <v>158</v>
      </c>
      <c r="N290" t="s">
        <v>215</v>
      </c>
      <c r="O290" t="s">
        <v>167</v>
      </c>
      <c r="P290">
        <v>7.0460401941428066E-2</v>
      </c>
      <c r="Q290" t="s">
        <v>158</v>
      </c>
    </row>
    <row r="291" spans="9:17" x14ac:dyDescent="0.45">
      <c r="I291" t="s">
        <v>190</v>
      </c>
      <c r="J291" t="s">
        <v>168</v>
      </c>
      <c r="K291">
        <v>7.678649642052838E-3</v>
      </c>
      <c r="L291" t="s">
        <v>158</v>
      </c>
      <c r="N291" t="s">
        <v>215</v>
      </c>
      <c r="O291" t="s">
        <v>168</v>
      </c>
      <c r="P291">
        <v>0.19303838458511241</v>
      </c>
      <c r="Q291" t="s">
        <v>158</v>
      </c>
    </row>
    <row r="292" spans="9:17" x14ac:dyDescent="0.45">
      <c r="I292" t="s">
        <v>190</v>
      </c>
      <c r="J292" t="s">
        <v>169</v>
      </c>
      <c r="K292">
        <v>7.1369576741185797E-2</v>
      </c>
      <c r="L292" t="s">
        <v>158</v>
      </c>
      <c r="N292" t="s">
        <v>215</v>
      </c>
      <c r="O292" t="s">
        <v>169</v>
      </c>
      <c r="P292">
        <v>6.5609421831204731E-2</v>
      </c>
      <c r="Q292" t="s">
        <v>158</v>
      </c>
    </row>
    <row r="293" spans="9:17" x14ac:dyDescent="0.45">
      <c r="I293" t="s">
        <v>190</v>
      </c>
      <c r="J293" t="s">
        <v>170</v>
      </c>
      <c r="K293">
        <v>8.7744193177699201E-2</v>
      </c>
      <c r="L293" t="s">
        <v>158</v>
      </c>
      <c r="N293" t="s">
        <v>215</v>
      </c>
      <c r="O293" t="s">
        <v>170</v>
      </c>
      <c r="P293">
        <v>4.2044884127590498E-2</v>
      </c>
      <c r="Q293" t="s">
        <v>158</v>
      </c>
    </row>
    <row r="294" spans="9:17" x14ac:dyDescent="0.45">
      <c r="I294" t="s">
        <v>190</v>
      </c>
      <c r="J294" t="s">
        <v>171</v>
      </c>
      <c r="K294">
        <v>7.9541995704949867E-2</v>
      </c>
      <c r="L294" t="s">
        <v>158</v>
      </c>
      <c r="N294" t="s">
        <v>215</v>
      </c>
      <c r="O294" t="s">
        <v>171</v>
      </c>
      <c r="P294">
        <v>5.6533856757025658E-2</v>
      </c>
      <c r="Q294" t="s">
        <v>158</v>
      </c>
    </row>
    <row r="295" spans="9:17" x14ac:dyDescent="0.45">
      <c r="I295" t="s">
        <v>190</v>
      </c>
      <c r="J295" t="s">
        <v>172</v>
      </c>
      <c r="K295">
        <v>1.1478263861647449E-3</v>
      </c>
      <c r="L295" t="s">
        <v>158</v>
      </c>
      <c r="N295" t="s">
        <v>215</v>
      </c>
      <c r="O295" t="s">
        <v>172</v>
      </c>
      <c r="P295">
        <v>0.12855714786226385</v>
      </c>
      <c r="Q295" t="s">
        <v>158</v>
      </c>
    </row>
    <row r="296" spans="9:17" x14ac:dyDescent="0.45">
      <c r="I296" t="s">
        <v>191</v>
      </c>
      <c r="J296" t="s">
        <v>157</v>
      </c>
      <c r="K296">
        <v>6.5106718599135206E-4</v>
      </c>
      <c r="L296" t="s">
        <v>158</v>
      </c>
      <c r="N296" t="s">
        <v>216</v>
      </c>
      <c r="O296" t="s">
        <v>157</v>
      </c>
      <c r="P296">
        <v>5.8382138519578228E-2</v>
      </c>
      <c r="Q296" t="s">
        <v>158</v>
      </c>
    </row>
    <row r="297" spans="9:17" x14ac:dyDescent="0.45">
      <c r="I297" t="s">
        <v>191</v>
      </c>
      <c r="J297" t="s">
        <v>159</v>
      </c>
      <c r="K297">
        <v>2.6878245727086487E-2</v>
      </c>
      <c r="L297" t="s">
        <v>158</v>
      </c>
      <c r="N297" t="s">
        <v>216</v>
      </c>
      <c r="O297" t="s">
        <v>159</v>
      </c>
      <c r="P297">
        <v>2.3032718234825108E-2</v>
      </c>
      <c r="Q297" t="s">
        <v>158</v>
      </c>
    </row>
    <row r="298" spans="9:17" x14ac:dyDescent="0.45">
      <c r="I298" t="s">
        <v>191</v>
      </c>
      <c r="J298" t="s">
        <v>160</v>
      </c>
      <c r="K298">
        <v>4.2179795794513503E-2</v>
      </c>
      <c r="L298" t="s">
        <v>158</v>
      </c>
      <c r="N298" t="s">
        <v>216</v>
      </c>
      <c r="O298" t="s">
        <v>160</v>
      </c>
      <c r="P298">
        <v>2.2253037493003159E-2</v>
      </c>
      <c r="Q298" t="s">
        <v>158</v>
      </c>
    </row>
    <row r="299" spans="9:17" x14ac:dyDescent="0.45">
      <c r="I299" t="s">
        <v>191</v>
      </c>
      <c r="J299" t="s">
        <v>161</v>
      </c>
      <c r="K299">
        <v>3.7217898831933618E-2</v>
      </c>
      <c r="L299" t="s">
        <v>158</v>
      </c>
      <c r="N299" t="s">
        <v>216</v>
      </c>
      <c r="O299" t="s">
        <v>161</v>
      </c>
      <c r="P299">
        <v>3.5431056762303889E-2</v>
      </c>
      <c r="Q299" t="s">
        <v>158</v>
      </c>
    </row>
    <row r="300" spans="9:17" x14ac:dyDescent="0.45">
      <c r="I300" t="s">
        <v>191</v>
      </c>
      <c r="J300" t="s">
        <v>162</v>
      </c>
      <c r="K300">
        <v>0</v>
      </c>
      <c r="L300" t="s">
        <v>158</v>
      </c>
      <c r="N300" t="s">
        <v>216</v>
      </c>
      <c r="O300" t="s">
        <v>162</v>
      </c>
      <c r="P300">
        <v>5.3591720444312471E-2</v>
      </c>
      <c r="Q300" t="s">
        <v>158</v>
      </c>
    </row>
    <row r="301" spans="9:17" x14ac:dyDescent="0.45">
      <c r="I301" t="s">
        <v>191</v>
      </c>
      <c r="J301" t="s">
        <v>163</v>
      </c>
      <c r="K301">
        <v>5.9780644317326395E-2</v>
      </c>
      <c r="L301" t="s">
        <v>158</v>
      </c>
      <c r="N301" t="s">
        <v>216</v>
      </c>
      <c r="O301" t="s">
        <v>163</v>
      </c>
      <c r="P301">
        <v>8.805824975930937E-2</v>
      </c>
      <c r="Q301" t="s">
        <v>158</v>
      </c>
    </row>
    <row r="302" spans="9:17" x14ac:dyDescent="0.45">
      <c r="I302" t="s">
        <v>191</v>
      </c>
      <c r="J302" t="s">
        <v>164</v>
      </c>
      <c r="K302">
        <v>0.17131326483123335</v>
      </c>
      <c r="L302" t="s">
        <v>158</v>
      </c>
      <c r="N302" t="s">
        <v>216</v>
      </c>
      <c r="O302" t="s">
        <v>164</v>
      </c>
      <c r="P302">
        <v>3.3325919164687481E-2</v>
      </c>
      <c r="Q302" t="s">
        <v>158</v>
      </c>
    </row>
    <row r="303" spans="9:17" x14ac:dyDescent="0.45">
      <c r="I303" t="s">
        <v>191</v>
      </c>
      <c r="J303" t="s">
        <v>165</v>
      </c>
      <c r="K303">
        <v>0.19310649692506152</v>
      </c>
      <c r="L303" t="s">
        <v>158</v>
      </c>
      <c r="N303" t="s">
        <v>216</v>
      </c>
      <c r="O303" t="s">
        <v>165</v>
      </c>
      <c r="P303">
        <v>6.1613529471229292E-2</v>
      </c>
      <c r="Q303" t="s">
        <v>158</v>
      </c>
    </row>
    <row r="304" spans="9:17" x14ac:dyDescent="0.45">
      <c r="I304" t="s">
        <v>191</v>
      </c>
      <c r="J304" t="s">
        <v>166</v>
      </c>
      <c r="K304">
        <v>0.19797265501137121</v>
      </c>
      <c r="L304" t="s">
        <v>158</v>
      </c>
      <c r="N304" t="s">
        <v>216</v>
      </c>
      <c r="O304" t="s">
        <v>166</v>
      </c>
      <c r="P304">
        <v>9.2140539081078568E-2</v>
      </c>
      <c r="Q304" t="s">
        <v>158</v>
      </c>
    </row>
    <row r="305" spans="9:17" x14ac:dyDescent="0.45">
      <c r="I305" t="s">
        <v>191</v>
      </c>
      <c r="J305" t="s">
        <v>167</v>
      </c>
      <c r="K305">
        <v>2.9410714299412954E-2</v>
      </c>
      <c r="L305" t="s">
        <v>158</v>
      </c>
      <c r="N305" t="s">
        <v>216</v>
      </c>
      <c r="O305" t="s">
        <v>167</v>
      </c>
      <c r="P305">
        <v>8.1825219735725402E-2</v>
      </c>
      <c r="Q305" t="s">
        <v>158</v>
      </c>
    </row>
    <row r="306" spans="9:17" x14ac:dyDescent="0.45">
      <c r="I306" t="s">
        <v>191</v>
      </c>
      <c r="J306" t="s">
        <v>168</v>
      </c>
      <c r="K306">
        <v>7.2202426831307768E-3</v>
      </c>
      <c r="L306" t="s">
        <v>158</v>
      </c>
      <c r="N306" t="s">
        <v>216</v>
      </c>
      <c r="O306" t="s">
        <v>168</v>
      </c>
      <c r="P306">
        <v>0.14232425708720117</v>
      </c>
      <c r="Q306" t="s">
        <v>158</v>
      </c>
    </row>
    <row r="307" spans="9:17" x14ac:dyDescent="0.45">
      <c r="I307" t="s">
        <v>191</v>
      </c>
      <c r="J307" t="s">
        <v>169</v>
      </c>
      <c r="K307">
        <v>6.5246522880908056E-2</v>
      </c>
      <c r="L307" t="s">
        <v>158</v>
      </c>
      <c r="N307" t="s">
        <v>216</v>
      </c>
      <c r="O307" t="s">
        <v>169</v>
      </c>
      <c r="P307">
        <v>6.1343090535976655E-2</v>
      </c>
      <c r="Q307" t="s">
        <v>158</v>
      </c>
    </row>
    <row r="308" spans="9:17" x14ac:dyDescent="0.45">
      <c r="I308" t="s">
        <v>191</v>
      </c>
      <c r="J308" t="s">
        <v>170</v>
      </c>
      <c r="K308">
        <v>8.7576916799881471E-2</v>
      </c>
      <c r="L308" t="s">
        <v>158</v>
      </c>
      <c r="N308" t="s">
        <v>216</v>
      </c>
      <c r="O308" t="s">
        <v>170</v>
      </c>
      <c r="P308">
        <v>6.1463856585541522E-2</v>
      </c>
      <c r="Q308" t="s">
        <v>158</v>
      </c>
    </row>
    <row r="309" spans="9:17" x14ac:dyDescent="0.45">
      <c r="I309" t="s">
        <v>191</v>
      </c>
      <c r="J309" t="s">
        <v>171</v>
      </c>
      <c r="K309">
        <v>8.0051168131140646E-2</v>
      </c>
      <c r="L309" t="s">
        <v>158</v>
      </c>
      <c r="N309" t="s">
        <v>216</v>
      </c>
      <c r="O309" t="s">
        <v>171</v>
      </c>
      <c r="P309">
        <v>7.3787586603873398E-2</v>
      </c>
      <c r="Q309" t="s">
        <v>158</v>
      </c>
    </row>
    <row r="310" spans="9:17" x14ac:dyDescent="0.45">
      <c r="I310" t="s">
        <v>191</v>
      </c>
      <c r="J310" t="s">
        <v>172</v>
      </c>
      <c r="K310">
        <v>1.3943665808415918E-3</v>
      </c>
      <c r="L310" t="s">
        <v>158</v>
      </c>
      <c r="N310" t="s">
        <v>216</v>
      </c>
      <c r="O310" t="s">
        <v>172</v>
      </c>
      <c r="P310">
        <v>0.11142708052125087</v>
      </c>
      <c r="Q310" t="s">
        <v>158</v>
      </c>
    </row>
    <row r="311" spans="9:17" x14ac:dyDescent="0.45">
      <c r="I311" t="s">
        <v>192</v>
      </c>
      <c r="J311" t="s">
        <v>157</v>
      </c>
      <c r="K311">
        <v>3.9269070377359242E-4</v>
      </c>
      <c r="L311" t="s">
        <v>158</v>
      </c>
      <c r="N311" t="s">
        <v>217</v>
      </c>
      <c r="O311" t="s">
        <v>157</v>
      </c>
      <c r="P311">
        <v>5.9995362295183638E-2</v>
      </c>
      <c r="Q311" t="s">
        <v>158</v>
      </c>
    </row>
    <row r="312" spans="9:17" x14ac:dyDescent="0.45">
      <c r="I312" t="s">
        <v>192</v>
      </c>
      <c r="J312" t="s">
        <v>159</v>
      </c>
      <c r="K312">
        <v>2.4596401199817829E-2</v>
      </c>
      <c r="L312" t="s">
        <v>158</v>
      </c>
      <c r="N312" t="s">
        <v>217</v>
      </c>
      <c r="O312" t="s">
        <v>159</v>
      </c>
      <c r="P312">
        <v>2.3089874023040524E-2</v>
      </c>
      <c r="Q312" t="s">
        <v>158</v>
      </c>
    </row>
    <row r="313" spans="9:17" x14ac:dyDescent="0.45">
      <c r="I313" t="s">
        <v>192</v>
      </c>
      <c r="J313" t="s">
        <v>160</v>
      </c>
      <c r="K313">
        <v>3.9530529103895116E-2</v>
      </c>
      <c r="L313" t="s">
        <v>158</v>
      </c>
      <c r="N313" t="s">
        <v>217</v>
      </c>
      <c r="O313" t="s">
        <v>160</v>
      </c>
      <c r="P313">
        <v>2.3704263762813427E-2</v>
      </c>
      <c r="Q313" t="s">
        <v>158</v>
      </c>
    </row>
    <row r="314" spans="9:17" x14ac:dyDescent="0.45">
      <c r="I314" t="s">
        <v>192</v>
      </c>
      <c r="J314" t="s">
        <v>161</v>
      </c>
      <c r="K314">
        <v>3.3906261228445186E-2</v>
      </c>
      <c r="L314" t="s">
        <v>158</v>
      </c>
      <c r="N314" t="s">
        <v>217</v>
      </c>
      <c r="O314" t="s">
        <v>161</v>
      </c>
      <c r="P314">
        <v>4.073590109811473E-2</v>
      </c>
      <c r="Q314" t="s">
        <v>158</v>
      </c>
    </row>
    <row r="315" spans="9:17" x14ac:dyDescent="0.45">
      <c r="I315" t="s">
        <v>192</v>
      </c>
      <c r="J315" t="s">
        <v>162</v>
      </c>
      <c r="K315">
        <v>0</v>
      </c>
      <c r="L315" t="s">
        <v>158</v>
      </c>
      <c r="N315" t="s">
        <v>217</v>
      </c>
      <c r="O315" t="s">
        <v>162</v>
      </c>
      <c r="P315">
        <v>6.0185825420585502E-2</v>
      </c>
      <c r="Q315" t="s">
        <v>158</v>
      </c>
    </row>
    <row r="316" spans="9:17" x14ac:dyDescent="0.45">
      <c r="I316" t="s">
        <v>192</v>
      </c>
      <c r="J316" t="s">
        <v>163</v>
      </c>
      <c r="K316">
        <v>6.6223789475859787E-2</v>
      </c>
      <c r="L316" t="s">
        <v>158</v>
      </c>
      <c r="N316" t="s">
        <v>217</v>
      </c>
      <c r="O316" t="s">
        <v>163</v>
      </c>
      <c r="P316">
        <v>8.2830322406410167E-2</v>
      </c>
      <c r="Q316" t="s">
        <v>158</v>
      </c>
    </row>
    <row r="317" spans="9:17" x14ac:dyDescent="0.45">
      <c r="I317" t="s">
        <v>192</v>
      </c>
      <c r="J317" t="s">
        <v>164</v>
      </c>
      <c r="K317">
        <v>0.17408610193253177</v>
      </c>
      <c r="L317" t="s">
        <v>158</v>
      </c>
      <c r="N317" t="s">
        <v>217</v>
      </c>
      <c r="O317" t="s">
        <v>164</v>
      </c>
      <c r="P317">
        <v>3.1381189129681519E-2</v>
      </c>
      <c r="Q317" t="s">
        <v>158</v>
      </c>
    </row>
    <row r="318" spans="9:17" x14ac:dyDescent="0.45">
      <c r="I318" t="s">
        <v>192</v>
      </c>
      <c r="J318" t="s">
        <v>165</v>
      </c>
      <c r="K318">
        <v>0.1935529078539491</v>
      </c>
      <c r="L318" t="s">
        <v>158</v>
      </c>
      <c r="N318" t="s">
        <v>217</v>
      </c>
      <c r="O318" t="s">
        <v>165</v>
      </c>
      <c r="P318">
        <v>5.3369919465392851E-2</v>
      </c>
      <c r="Q318" t="s">
        <v>158</v>
      </c>
    </row>
    <row r="319" spans="9:17" x14ac:dyDescent="0.45">
      <c r="I319" t="s">
        <v>192</v>
      </c>
      <c r="J319" t="s">
        <v>166</v>
      </c>
      <c r="K319">
        <v>0.20275703418409682</v>
      </c>
      <c r="L319" t="s">
        <v>158</v>
      </c>
      <c r="N319" t="s">
        <v>217</v>
      </c>
      <c r="O319" t="s">
        <v>166</v>
      </c>
      <c r="P319">
        <v>8.3235625450217093E-2</v>
      </c>
      <c r="Q319" t="s">
        <v>158</v>
      </c>
    </row>
    <row r="320" spans="9:17" x14ac:dyDescent="0.45">
      <c r="I320" t="s">
        <v>192</v>
      </c>
      <c r="J320" t="s">
        <v>167</v>
      </c>
      <c r="K320">
        <v>3.1380236699378457E-2</v>
      </c>
      <c r="L320" t="s">
        <v>158</v>
      </c>
      <c r="N320" t="s">
        <v>217</v>
      </c>
      <c r="O320" t="s">
        <v>167</v>
      </c>
      <c r="P320">
        <v>8.0191044608571044E-2</v>
      </c>
      <c r="Q320" t="s">
        <v>158</v>
      </c>
    </row>
    <row r="321" spans="9:17" x14ac:dyDescent="0.45">
      <c r="I321" t="s">
        <v>192</v>
      </c>
      <c r="J321" t="s">
        <v>168</v>
      </c>
      <c r="K321">
        <v>7.1756694572528241E-3</v>
      </c>
      <c r="L321" t="s">
        <v>158</v>
      </c>
      <c r="N321" t="s">
        <v>217</v>
      </c>
      <c r="O321" t="s">
        <v>168</v>
      </c>
      <c r="P321">
        <v>0.14633106590642297</v>
      </c>
      <c r="Q321" t="s">
        <v>158</v>
      </c>
    </row>
    <row r="322" spans="9:17" x14ac:dyDescent="0.45">
      <c r="I322" t="s">
        <v>192</v>
      </c>
      <c r="J322" t="s">
        <v>169</v>
      </c>
      <c r="K322">
        <v>6.2672121569248382E-2</v>
      </c>
      <c r="L322" t="s">
        <v>158</v>
      </c>
      <c r="N322" t="s">
        <v>217</v>
      </c>
      <c r="O322" t="s">
        <v>169</v>
      </c>
      <c r="P322">
        <v>5.9938542535290566E-2</v>
      </c>
      <c r="Q322" t="s">
        <v>158</v>
      </c>
    </row>
    <row r="323" spans="9:17" x14ac:dyDescent="0.45">
      <c r="I323" t="s">
        <v>192</v>
      </c>
      <c r="J323" t="s">
        <v>170</v>
      </c>
      <c r="K323">
        <v>8.6065949563177646E-2</v>
      </c>
      <c r="L323" t="s">
        <v>158</v>
      </c>
      <c r="N323" t="s">
        <v>217</v>
      </c>
      <c r="O323" t="s">
        <v>170</v>
      </c>
      <c r="P323">
        <v>6.2435358837541317E-2</v>
      </c>
      <c r="Q323" t="s">
        <v>158</v>
      </c>
    </row>
    <row r="324" spans="9:17" x14ac:dyDescent="0.45">
      <c r="I324" t="s">
        <v>192</v>
      </c>
      <c r="J324" t="s">
        <v>171</v>
      </c>
      <c r="K324">
        <v>7.615825038588081E-2</v>
      </c>
      <c r="L324" t="s">
        <v>158</v>
      </c>
      <c r="N324" t="s">
        <v>217</v>
      </c>
      <c r="O324" t="s">
        <v>171</v>
      </c>
      <c r="P324">
        <v>8.1481069285757379E-2</v>
      </c>
      <c r="Q324" t="s">
        <v>158</v>
      </c>
    </row>
    <row r="325" spans="9:17" x14ac:dyDescent="0.45">
      <c r="I325" t="s">
        <v>192</v>
      </c>
      <c r="J325" t="s">
        <v>172</v>
      </c>
      <c r="K325">
        <v>1.5020566425333083E-3</v>
      </c>
      <c r="L325" t="s">
        <v>158</v>
      </c>
      <c r="N325" t="s">
        <v>217</v>
      </c>
      <c r="O325" t="s">
        <v>172</v>
      </c>
      <c r="P325">
        <v>0.11109463577485672</v>
      </c>
      <c r="Q325" t="s">
        <v>158</v>
      </c>
    </row>
    <row r="326" spans="9:17" x14ac:dyDescent="0.45">
      <c r="I326" t="s">
        <v>193</v>
      </c>
      <c r="J326" t="s">
        <v>157</v>
      </c>
      <c r="K326">
        <v>3.6612719770245841E-4</v>
      </c>
      <c r="L326" t="s">
        <v>158</v>
      </c>
      <c r="N326" t="s">
        <v>218</v>
      </c>
      <c r="O326" t="s">
        <v>157</v>
      </c>
      <c r="P326">
        <v>6.399495204433768E-2</v>
      </c>
      <c r="Q326" t="s">
        <v>158</v>
      </c>
    </row>
    <row r="327" spans="9:17" x14ac:dyDescent="0.45">
      <c r="I327" t="s">
        <v>193</v>
      </c>
      <c r="J327" t="s">
        <v>159</v>
      </c>
      <c r="K327">
        <v>2.3444678068338793E-2</v>
      </c>
      <c r="L327" t="s">
        <v>158</v>
      </c>
      <c r="N327" t="s">
        <v>218</v>
      </c>
      <c r="O327" t="s">
        <v>159</v>
      </c>
      <c r="P327">
        <v>2.4160376516510644E-2</v>
      </c>
      <c r="Q327" t="s">
        <v>158</v>
      </c>
    </row>
    <row r="328" spans="9:17" x14ac:dyDescent="0.45">
      <c r="I328" t="s">
        <v>193</v>
      </c>
      <c r="J328" t="s">
        <v>160</v>
      </c>
      <c r="K328">
        <v>3.6683703090250222E-2</v>
      </c>
      <c r="L328" t="s">
        <v>158</v>
      </c>
      <c r="N328" t="s">
        <v>218</v>
      </c>
      <c r="O328" t="s">
        <v>160</v>
      </c>
      <c r="P328">
        <v>2.4878657234825286E-2</v>
      </c>
      <c r="Q328" t="s">
        <v>158</v>
      </c>
    </row>
    <row r="329" spans="9:17" x14ac:dyDescent="0.45">
      <c r="I329" t="s">
        <v>193</v>
      </c>
      <c r="J329" t="s">
        <v>161</v>
      </c>
      <c r="K329">
        <v>3.0099704604539035E-2</v>
      </c>
      <c r="L329" t="s">
        <v>158</v>
      </c>
      <c r="N329" t="s">
        <v>218</v>
      </c>
      <c r="O329" t="s">
        <v>161</v>
      </c>
      <c r="P329">
        <v>3.9136469548880282E-2</v>
      </c>
      <c r="Q329" t="s">
        <v>158</v>
      </c>
    </row>
    <row r="330" spans="9:17" x14ac:dyDescent="0.45">
      <c r="I330" t="s">
        <v>193</v>
      </c>
      <c r="J330" t="s">
        <v>162</v>
      </c>
      <c r="K330">
        <v>0</v>
      </c>
      <c r="L330" t="s">
        <v>158</v>
      </c>
      <c r="N330" t="s">
        <v>218</v>
      </c>
      <c r="O330" t="s">
        <v>162</v>
      </c>
      <c r="P330">
        <v>6.0731986551107377E-2</v>
      </c>
      <c r="Q330" t="s">
        <v>158</v>
      </c>
    </row>
    <row r="331" spans="9:17" x14ac:dyDescent="0.45">
      <c r="I331" t="s">
        <v>193</v>
      </c>
      <c r="J331" t="s">
        <v>163</v>
      </c>
      <c r="K331">
        <v>7.33382735827382E-2</v>
      </c>
      <c r="L331" t="s">
        <v>158</v>
      </c>
      <c r="N331" t="s">
        <v>218</v>
      </c>
      <c r="O331" t="s">
        <v>163</v>
      </c>
      <c r="P331">
        <v>9.3696378840562908E-2</v>
      </c>
      <c r="Q331" t="s">
        <v>158</v>
      </c>
    </row>
    <row r="332" spans="9:17" x14ac:dyDescent="0.45">
      <c r="I332" t="s">
        <v>193</v>
      </c>
      <c r="J332" t="s">
        <v>164</v>
      </c>
      <c r="K332">
        <v>0.18077440864532165</v>
      </c>
      <c r="L332" t="s">
        <v>158</v>
      </c>
      <c r="N332" t="s">
        <v>218</v>
      </c>
      <c r="O332" t="s">
        <v>164</v>
      </c>
      <c r="P332">
        <v>3.3739529466408652E-2</v>
      </c>
      <c r="Q332" t="s">
        <v>158</v>
      </c>
    </row>
    <row r="333" spans="9:17" x14ac:dyDescent="0.45">
      <c r="I333" t="s">
        <v>193</v>
      </c>
      <c r="J333" t="s">
        <v>165</v>
      </c>
      <c r="K333">
        <v>0.1946070914471309</v>
      </c>
      <c r="L333" t="s">
        <v>158</v>
      </c>
      <c r="N333" t="s">
        <v>218</v>
      </c>
      <c r="O333" t="s">
        <v>165</v>
      </c>
      <c r="P333">
        <v>4.1266923532254314E-2</v>
      </c>
      <c r="Q333" t="s">
        <v>158</v>
      </c>
    </row>
    <row r="334" spans="9:17" x14ac:dyDescent="0.45">
      <c r="I334" t="s">
        <v>193</v>
      </c>
      <c r="J334" t="s">
        <v>166</v>
      </c>
      <c r="K334">
        <v>0.20292198971302403</v>
      </c>
      <c r="L334" t="s">
        <v>158</v>
      </c>
      <c r="N334" t="s">
        <v>218</v>
      </c>
      <c r="O334" t="s">
        <v>166</v>
      </c>
      <c r="P334">
        <v>6.6563794216828093E-2</v>
      </c>
      <c r="Q334" t="s">
        <v>158</v>
      </c>
    </row>
    <row r="335" spans="9:17" x14ac:dyDescent="0.45">
      <c r="I335" t="s">
        <v>193</v>
      </c>
      <c r="J335" t="s">
        <v>167</v>
      </c>
      <c r="K335">
        <v>3.2759823417537089E-2</v>
      </c>
      <c r="L335" t="s">
        <v>158</v>
      </c>
      <c r="N335" t="s">
        <v>218</v>
      </c>
      <c r="O335" t="s">
        <v>167</v>
      </c>
      <c r="P335">
        <v>8.5717118393274991E-2</v>
      </c>
      <c r="Q335" t="s">
        <v>158</v>
      </c>
    </row>
    <row r="336" spans="9:17" x14ac:dyDescent="0.45">
      <c r="I336" t="s">
        <v>193</v>
      </c>
      <c r="J336" t="s">
        <v>168</v>
      </c>
      <c r="K336">
        <v>7.4720405314754349E-3</v>
      </c>
      <c r="L336" t="s">
        <v>158</v>
      </c>
      <c r="N336" t="s">
        <v>218</v>
      </c>
      <c r="O336" t="s">
        <v>168</v>
      </c>
      <c r="P336">
        <v>0.15822196560148372</v>
      </c>
      <c r="Q336" t="s">
        <v>158</v>
      </c>
    </row>
    <row r="337" spans="9:17" x14ac:dyDescent="0.45">
      <c r="I337" t="s">
        <v>193</v>
      </c>
      <c r="J337" t="s">
        <v>169</v>
      </c>
      <c r="K337">
        <v>6.2779651361400901E-2</v>
      </c>
      <c r="L337" t="s">
        <v>158</v>
      </c>
      <c r="N337" t="s">
        <v>218</v>
      </c>
      <c r="O337" t="s">
        <v>169</v>
      </c>
      <c r="P337">
        <v>5.7356829746099146E-2</v>
      </c>
      <c r="Q337" t="s">
        <v>158</v>
      </c>
    </row>
    <row r="338" spans="9:17" x14ac:dyDescent="0.45">
      <c r="I338" t="s">
        <v>193</v>
      </c>
      <c r="J338" t="s">
        <v>170</v>
      </c>
      <c r="K338">
        <v>8.3156665628929885E-2</v>
      </c>
      <c r="L338" t="s">
        <v>158</v>
      </c>
      <c r="N338" t="s">
        <v>218</v>
      </c>
      <c r="O338" t="s">
        <v>170</v>
      </c>
      <c r="P338">
        <v>5.6213601866634814E-2</v>
      </c>
      <c r="Q338" t="s">
        <v>158</v>
      </c>
    </row>
    <row r="339" spans="9:17" x14ac:dyDescent="0.45">
      <c r="I339" t="s">
        <v>193</v>
      </c>
      <c r="J339" t="s">
        <v>171</v>
      </c>
      <c r="K339">
        <v>7.0112050297444953E-2</v>
      </c>
      <c r="L339" t="s">
        <v>158</v>
      </c>
      <c r="N339" t="s">
        <v>218</v>
      </c>
      <c r="O339" t="s">
        <v>171</v>
      </c>
      <c r="P339">
        <v>7.787927010253054E-2</v>
      </c>
      <c r="Q339" t="s">
        <v>158</v>
      </c>
    </row>
    <row r="340" spans="9:17" x14ac:dyDescent="0.45">
      <c r="I340" t="s">
        <v>193</v>
      </c>
      <c r="J340" t="s">
        <v>172</v>
      </c>
      <c r="K340">
        <v>1.4837924140119578E-3</v>
      </c>
      <c r="L340" t="s">
        <v>158</v>
      </c>
      <c r="N340" t="s">
        <v>218</v>
      </c>
      <c r="O340" t="s">
        <v>172</v>
      </c>
      <c r="P340">
        <v>0.11644214633812915</v>
      </c>
      <c r="Q340" t="s">
        <v>158</v>
      </c>
    </row>
    <row r="341" spans="9:17" x14ac:dyDescent="0.45">
      <c r="I341" t="s">
        <v>194</v>
      </c>
      <c r="J341" t="s">
        <v>157</v>
      </c>
      <c r="K341">
        <v>4.7708223160585492E-4</v>
      </c>
      <c r="L341" t="s">
        <v>158</v>
      </c>
      <c r="N341" t="s">
        <v>219</v>
      </c>
      <c r="O341" t="s">
        <v>157</v>
      </c>
      <c r="P341">
        <v>6.7167063741331398E-2</v>
      </c>
      <c r="Q341" t="s">
        <v>158</v>
      </c>
    </row>
    <row r="342" spans="9:17" x14ac:dyDescent="0.45">
      <c r="I342" t="s">
        <v>194</v>
      </c>
      <c r="J342" t="s">
        <v>159</v>
      </c>
      <c r="K342">
        <v>3.2802934012053281E-2</v>
      </c>
      <c r="L342" t="s">
        <v>158</v>
      </c>
      <c r="N342" t="s">
        <v>219</v>
      </c>
      <c r="O342" t="s">
        <v>159</v>
      </c>
      <c r="P342">
        <v>2.4258089107537101E-2</v>
      </c>
      <c r="Q342" t="s">
        <v>158</v>
      </c>
    </row>
    <row r="343" spans="9:17" x14ac:dyDescent="0.45">
      <c r="I343" t="s">
        <v>194</v>
      </c>
      <c r="J343" t="s">
        <v>160</v>
      </c>
      <c r="K343">
        <v>4.4781967594104868E-2</v>
      </c>
      <c r="L343" t="s">
        <v>158</v>
      </c>
      <c r="N343" t="s">
        <v>219</v>
      </c>
      <c r="O343" t="s">
        <v>160</v>
      </c>
      <c r="P343">
        <v>2.5452166077401819E-2</v>
      </c>
      <c r="Q343" t="s">
        <v>158</v>
      </c>
    </row>
    <row r="344" spans="9:17" x14ac:dyDescent="0.45">
      <c r="I344" t="s">
        <v>194</v>
      </c>
      <c r="J344" t="s">
        <v>161</v>
      </c>
      <c r="K344">
        <v>4.0092335632033863E-2</v>
      </c>
      <c r="L344" t="s">
        <v>158</v>
      </c>
      <c r="N344" t="s">
        <v>219</v>
      </c>
      <c r="O344" t="s">
        <v>161</v>
      </c>
      <c r="P344">
        <v>3.5066992867742432E-2</v>
      </c>
      <c r="Q344" t="s">
        <v>158</v>
      </c>
    </row>
    <row r="345" spans="9:17" x14ac:dyDescent="0.45">
      <c r="I345" t="s">
        <v>194</v>
      </c>
      <c r="J345" t="s">
        <v>162</v>
      </c>
      <c r="K345">
        <v>0</v>
      </c>
      <c r="L345" t="s">
        <v>158</v>
      </c>
      <c r="N345" t="s">
        <v>219</v>
      </c>
      <c r="O345" t="s">
        <v>162</v>
      </c>
      <c r="P345">
        <v>5.9252806741183724E-2</v>
      </c>
      <c r="Q345" t="s">
        <v>158</v>
      </c>
    </row>
    <row r="346" spans="9:17" x14ac:dyDescent="0.45">
      <c r="I346" t="s">
        <v>194</v>
      </c>
      <c r="J346" t="s">
        <v>163</v>
      </c>
      <c r="K346">
        <v>5.5897200476364053E-2</v>
      </c>
      <c r="L346" t="s">
        <v>158</v>
      </c>
      <c r="N346" t="s">
        <v>219</v>
      </c>
      <c r="O346" t="s">
        <v>163</v>
      </c>
      <c r="P346">
        <v>0.11450903769983149</v>
      </c>
      <c r="Q346" t="s">
        <v>158</v>
      </c>
    </row>
    <row r="347" spans="9:17" x14ac:dyDescent="0.45">
      <c r="I347" t="s">
        <v>194</v>
      </c>
      <c r="J347" t="s">
        <v>164</v>
      </c>
      <c r="K347">
        <v>0.17166069339936146</v>
      </c>
      <c r="L347" t="s">
        <v>158</v>
      </c>
      <c r="N347" t="s">
        <v>219</v>
      </c>
      <c r="O347" t="s">
        <v>164</v>
      </c>
      <c r="P347">
        <v>3.802789676738718E-2</v>
      </c>
      <c r="Q347" t="s">
        <v>158</v>
      </c>
    </row>
    <row r="348" spans="9:17" x14ac:dyDescent="0.45">
      <c r="I348" t="s">
        <v>194</v>
      </c>
      <c r="J348" t="s">
        <v>165</v>
      </c>
      <c r="K348">
        <v>0.18435040099167074</v>
      </c>
      <c r="L348" t="s">
        <v>158</v>
      </c>
      <c r="N348" t="s">
        <v>219</v>
      </c>
      <c r="O348" t="s">
        <v>165</v>
      </c>
      <c r="P348">
        <v>4.4015993410412797E-2</v>
      </c>
      <c r="Q348" t="s">
        <v>158</v>
      </c>
    </row>
    <row r="349" spans="9:17" x14ac:dyDescent="0.45">
      <c r="I349" t="s">
        <v>194</v>
      </c>
      <c r="J349" t="s">
        <v>166</v>
      </c>
      <c r="K349">
        <v>0.1917455670363987</v>
      </c>
      <c r="L349" t="s">
        <v>158</v>
      </c>
      <c r="N349" t="s">
        <v>219</v>
      </c>
      <c r="O349" t="s">
        <v>166</v>
      </c>
      <c r="P349">
        <v>6.3802318309558875E-2</v>
      </c>
      <c r="Q349" t="s">
        <v>158</v>
      </c>
    </row>
    <row r="350" spans="9:17" x14ac:dyDescent="0.45">
      <c r="I350" t="s">
        <v>194</v>
      </c>
      <c r="J350" t="s">
        <v>167</v>
      </c>
      <c r="K350">
        <v>2.7779383825921485E-2</v>
      </c>
      <c r="L350" t="s">
        <v>158</v>
      </c>
      <c r="N350" t="s">
        <v>219</v>
      </c>
      <c r="O350" t="s">
        <v>167</v>
      </c>
      <c r="P350">
        <v>0.100801015455457</v>
      </c>
      <c r="Q350" t="s">
        <v>158</v>
      </c>
    </row>
    <row r="351" spans="9:17" x14ac:dyDescent="0.45">
      <c r="I351" t="s">
        <v>194</v>
      </c>
      <c r="J351" t="s">
        <v>168</v>
      </c>
      <c r="K351">
        <v>8.5660469694680153E-3</v>
      </c>
      <c r="L351" t="s">
        <v>158</v>
      </c>
      <c r="N351" t="s">
        <v>219</v>
      </c>
      <c r="O351" t="s">
        <v>168</v>
      </c>
      <c r="P351">
        <v>0.14686595095743388</v>
      </c>
      <c r="Q351" t="s">
        <v>158</v>
      </c>
    </row>
    <row r="352" spans="9:17" x14ac:dyDescent="0.45">
      <c r="I352" t="s">
        <v>194</v>
      </c>
      <c r="J352" t="s">
        <v>169</v>
      </c>
      <c r="K352">
        <v>7.4220503971428903E-2</v>
      </c>
      <c r="L352" t="s">
        <v>158</v>
      </c>
      <c r="N352" t="s">
        <v>219</v>
      </c>
      <c r="O352" t="s">
        <v>169</v>
      </c>
      <c r="P352">
        <v>4.9929548558403751E-2</v>
      </c>
      <c r="Q352" t="s">
        <v>158</v>
      </c>
    </row>
    <row r="353" spans="9:17" x14ac:dyDescent="0.45">
      <c r="I353" t="s">
        <v>194</v>
      </c>
      <c r="J353" t="s">
        <v>170</v>
      </c>
      <c r="K353">
        <v>8.7820255007024464E-2</v>
      </c>
      <c r="L353" t="s">
        <v>158</v>
      </c>
      <c r="N353" t="s">
        <v>219</v>
      </c>
      <c r="O353" t="s">
        <v>170</v>
      </c>
      <c r="P353">
        <v>4.983066447208425E-2</v>
      </c>
      <c r="Q353" t="s">
        <v>158</v>
      </c>
    </row>
    <row r="354" spans="9:17" x14ac:dyDescent="0.45">
      <c r="I354" t="s">
        <v>194</v>
      </c>
      <c r="J354" t="s">
        <v>171</v>
      </c>
      <c r="K354">
        <v>7.8507018571863693E-2</v>
      </c>
      <c r="L354" t="s">
        <v>158</v>
      </c>
      <c r="N354" t="s">
        <v>219</v>
      </c>
      <c r="O354" t="s">
        <v>171</v>
      </c>
      <c r="P354">
        <v>7.078936869119018E-2</v>
      </c>
      <c r="Q354" t="s">
        <v>158</v>
      </c>
    </row>
    <row r="355" spans="9:17" x14ac:dyDescent="0.45">
      <c r="I355" t="s">
        <v>194</v>
      </c>
      <c r="J355" t="s">
        <v>172</v>
      </c>
      <c r="K355">
        <v>1.2986102805273218E-3</v>
      </c>
      <c r="L355" t="s">
        <v>158</v>
      </c>
      <c r="N355" t="s">
        <v>219</v>
      </c>
      <c r="O355" t="s">
        <v>172</v>
      </c>
      <c r="P355">
        <v>0.11023108714290958</v>
      </c>
      <c r="Q355" t="s">
        <v>158</v>
      </c>
    </row>
    <row r="356" spans="9:17" x14ac:dyDescent="0.45">
      <c r="I356" t="s">
        <v>195</v>
      </c>
      <c r="J356" t="s">
        <v>157</v>
      </c>
      <c r="K356">
        <v>8.163975527531132E-4</v>
      </c>
      <c r="L356" t="s">
        <v>158</v>
      </c>
      <c r="N356" t="s">
        <v>220</v>
      </c>
      <c r="O356" t="s">
        <v>157</v>
      </c>
      <c r="P356">
        <v>6.923187303396966E-2</v>
      </c>
      <c r="Q356" t="s">
        <v>158</v>
      </c>
    </row>
    <row r="357" spans="9:17" x14ac:dyDescent="0.45">
      <c r="I357" t="s">
        <v>195</v>
      </c>
      <c r="J357" t="s">
        <v>159</v>
      </c>
      <c r="K357">
        <v>3.1549848895608364E-2</v>
      </c>
      <c r="L357" t="s">
        <v>158</v>
      </c>
      <c r="N357" t="s">
        <v>220</v>
      </c>
      <c r="O357" t="s">
        <v>159</v>
      </c>
      <c r="P357">
        <v>2.5170383657985077E-2</v>
      </c>
      <c r="Q357" t="s">
        <v>158</v>
      </c>
    </row>
    <row r="358" spans="9:17" x14ac:dyDescent="0.45">
      <c r="I358" t="s">
        <v>195</v>
      </c>
      <c r="J358" t="s">
        <v>160</v>
      </c>
      <c r="K358">
        <v>4.3412093160740232E-2</v>
      </c>
      <c r="L358" t="s">
        <v>158</v>
      </c>
      <c r="N358" t="s">
        <v>220</v>
      </c>
      <c r="O358" t="s">
        <v>160</v>
      </c>
      <c r="P358">
        <v>1.9404414421394057E-2</v>
      </c>
      <c r="Q358" t="s">
        <v>158</v>
      </c>
    </row>
    <row r="359" spans="9:17" x14ac:dyDescent="0.45">
      <c r="I359" t="s">
        <v>195</v>
      </c>
      <c r="J359" t="s">
        <v>161</v>
      </c>
      <c r="K359">
        <v>3.832236397702251E-2</v>
      </c>
      <c r="L359" t="s">
        <v>158</v>
      </c>
      <c r="N359" t="s">
        <v>220</v>
      </c>
      <c r="O359" t="s">
        <v>161</v>
      </c>
      <c r="P359">
        <v>2.9020611441114959E-2</v>
      </c>
      <c r="Q359" t="s">
        <v>158</v>
      </c>
    </row>
    <row r="360" spans="9:17" x14ac:dyDescent="0.45">
      <c r="I360" t="s">
        <v>195</v>
      </c>
      <c r="J360" t="s">
        <v>162</v>
      </c>
      <c r="K360">
        <v>0</v>
      </c>
      <c r="L360" t="s">
        <v>158</v>
      </c>
      <c r="N360" t="s">
        <v>220</v>
      </c>
      <c r="O360" t="s">
        <v>162</v>
      </c>
      <c r="P360">
        <v>5.0626686627370861E-2</v>
      </c>
      <c r="Q360" t="s">
        <v>158</v>
      </c>
    </row>
    <row r="361" spans="9:17" x14ac:dyDescent="0.45">
      <c r="I361" t="s">
        <v>195</v>
      </c>
      <c r="J361" t="s">
        <v>163</v>
      </c>
      <c r="K361">
        <v>5.9671884968393096E-2</v>
      </c>
      <c r="L361" t="s">
        <v>158</v>
      </c>
      <c r="N361" t="s">
        <v>220</v>
      </c>
      <c r="O361" t="s">
        <v>163</v>
      </c>
      <c r="P361">
        <v>0.11962891432510532</v>
      </c>
      <c r="Q361" t="s">
        <v>158</v>
      </c>
    </row>
    <row r="362" spans="9:17" x14ac:dyDescent="0.45">
      <c r="I362" t="s">
        <v>195</v>
      </c>
      <c r="J362" t="s">
        <v>164</v>
      </c>
      <c r="K362">
        <v>0.1714341034722362</v>
      </c>
      <c r="L362" t="s">
        <v>158</v>
      </c>
      <c r="N362" t="s">
        <v>220</v>
      </c>
      <c r="O362" t="s">
        <v>164</v>
      </c>
      <c r="P362">
        <v>4.1724157036739942E-2</v>
      </c>
      <c r="Q362" t="s">
        <v>158</v>
      </c>
    </row>
    <row r="363" spans="9:17" x14ac:dyDescent="0.45">
      <c r="I363" t="s">
        <v>195</v>
      </c>
      <c r="J363" t="s">
        <v>165</v>
      </c>
      <c r="K363">
        <v>0.18627497523698516</v>
      </c>
      <c r="L363" t="s">
        <v>158</v>
      </c>
      <c r="N363" t="s">
        <v>220</v>
      </c>
      <c r="O363" t="s">
        <v>165</v>
      </c>
      <c r="P363">
        <v>5.1628490626393728E-2</v>
      </c>
      <c r="Q363" t="s">
        <v>158</v>
      </c>
    </row>
    <row r="364" spans="9:17" x14ac:dyDescent="0.45">
      <c r="I364" t="s">
        <v>195</v>
      </c>
      <c r="J364" t="s">
        <v>166</v>
      </c>
      <c r="K364">
        <v>0.19072495767348246</v>
      </c>
      <c r="L364" t="s">
        <v>158</v>
      </c>
      <c r="N364" t="s">
        <v>220</v>
      </c>
      <c r="O364" t="s">
        <v>166</v>
      </c>
      <c r="P364">
        <v>7.8264336697216164E-2</v>
      </c>
      <c r="Q364" t="s">
        <v>158</v>
      </c>
    </row>
    <row r="365" spans="9:17" x14ac:dyDescent="0.45">
      <c r="I365" t="s">
        <v>195</v>
      </c>
      <c r="J365" t="s">
        <v>167</v>
      </c>
      <c r="K365">
        <v>2.7854909876728413E-2</v>
      </c>
      <c r="L365" t="s">
        <v>158</v>
      </c>
      <c r="N365" t="s">
        <v>220</v>
      </c>
      <c r="O365" t="s">
        <v>167</v>
      </c>
      <c r="P365">
        <v>0.10005936953928234</v>
      </c>
      <c r="Q365" t="s">
        <v>158</v>
      </c>
    </row>
    <row r="366" spans="9:17" x14ac:dyDescent="0.45">
      <c r="I366" t="s">
        <v>195</v>
      </c>
      <c r="J366" t="s">
        <v>168</v>
      </c>
      <c r="K366">
        <v>8.5966364976077948E-3</v>
      </c>
      <c r="L366" t="s">
        <v>158</v>
      </c>
      <c r="N366" t="s">
        <v>220</v>
      </c>
      <c r="O366" t="s">
        <v>168</v>
      </c>
      <c r="P366">
        <v>0.14371585309846457</v>
      </c>
      <c r="Q366" t="s">
        <v>158</v>
      </c>
    </row>
    <row r="367" spans="9:17" x14ac:dyDescent="0.45">
      <c r="I367" t="s">
        <v>195</v>
      </c>
      <c r="J367" t="s">
        <v>169</v>
      </c>
      <c r="K367">
        <v>7.3524346675571395E-2</v>
      </c>
      <c r="L367" t="s">
        <v>158</v>
      </c>
      <c r="N367" t="s">
        <v>220</v>
      </c>
      <c r="O367" t="s">
        <v>169</v>
      </c>
      <c r="P367">
        <v>4.9517526157524659E-2</v>
      </c>
      <c r="Q367" t="s">
        <v>158</v>
      </c>
    </row>
    <row r="368" spans="9:17" x14ac:dyDescent="0.45">
      <c r="I368" t="s">
        <v>195</v>
      </c>
      <c r="J368" t="s">
        <v>170</v>
      </c>
      <c r="K368">
        <v>8.8313064392163035E-2</v>
      </c>
      <c r="L368" t="s">
        <v>158</v>
      </c>
      <c r="N368" t="s">
        <v>220</v>
      </c>
      <c r="O368" t="s">
        <v>170</v>
      </c>
      <c r="P368">
        <v>4.4635483249706877E-2</v>
      </c>
      <c r="Q368" t="s">
        <v>158</v>
      </c>
    </row>
    <row r="369" spans="9:17" x14ac:dyDescent="0.45">
      <c r="I369" t="s">
        <v>195</v>
      </c>
      <c r="J369" t="s">
        <v>171</v>
      </c>
      <c r="K369">
        <v>7.8213768181478932E-2</v>
      </c>
      <c r="L369" t="s">
        <v>158</v>
      </c>
      <c r="N369" t="s">
        <v>220</v>
      </c>
      <c r="O369" t="s">
        <v>171</v>
      </c>
      <c r="P369">
        <v>6.2846992294235321E-2</v>
      </c>
      <c r="Q369" t="s">
        <v>158</v>
      </c>
    </row>
    <row r="370" spans="9:17" x14ac:dyDescent="0.45">
      <c r="I370" t="s">
        <v>195</v>
      </c>
      <c r="J370" t="s">
        <v>172</v>
      </c>
      <c r="K370">
        <v>1.2906494390633185E-3</v>
      </c>
      <c r="L370" t="s">
        <v>158</v>
      </c>
      <c r="N370" t="s">
        <v>220</v>
      </c>
      <c r="O370" t="s">
        <v>172</v>
      </c>
      <c r="P370">
        <v>0.11452490779337747</v>
      </c>
      <c r="Q370" t="s">
        <v>158</v>
      </c>
    </row>
    <row r="371" spans="9:17" x14ac:dyDescent="0.45">
      <c r="I371" t="s">
        <v>196</v>
      </c>
      <c r="J371" t="s">
        <v>157</v>
      </c>
      <c r="K371">
        <v>7.6173878639434654E-4</v>
      </c>
      <c r="L371" t="s">
        <v>158</v>
      </c>
      <c r="N371" t="s">
        <v>221</v>
      </c>
      <c r="O371" t="s">
        <v>157</v>
      </c>
      <c r="P371">
        <v>6.4013302371926886E-2</v>
      </c>
      <c r="Q371" t="s">
        <v>158</v>
      </c>
    </row>
    <row r="372" spans="9:17" x14ac:dyDescent="0.45">
      <c r="I372" t="s">
        <v>196</v>
      </c>
      <c r="J372" t="s">
        <v>159</v>
      </c>
      <c r="K372">
        <v>2.6247612612416805E-2</v>
      </c>
      <c r="L372" t="s">
        <v>158</v>
      </c>
      <c r="N372" t="s">
        <v>221</v>
      </c>
      <c r="O372" t="s">
        <v>159</v>
      </c>
      <c r="P372">
        <v>2.4790958199585489E-2</v>
      </c>
      <c r="Q372" t="s">
        <v>158</v>
      </c>
    </row>
    <row r="373" spans="9:17" x14ac:dyDescent="0.45">
      <c r="I373" t="s">
        <v>196</v>
      </c>
      <c r="J373" t="s">
        <v>160</v>
      </c>
      <c r="K373">
        <v>3.9589368283527812E-2</v>
      </c>
      <c r="L373" t="s">
        <v>158</v>
      </c>
      <c r="N373" t="s">
        <v>221</v>
      </c>
      <c r="O373" t="s">
        <v>160</v>
      </c>
      <c r="P373">
        <v>2.2850521459267494E-2</v>
      </c>
      <c r="Q373" t="s">
        <v>158</v>
      </c>
    </row>
    <row r="374" spans="9:17" x14ac:dyDescent="0.45">
      <c r="I374" t="s">
        <v>196</v>
      </c>
      <c r="J374" t="s">
        <v>161</v>
      </c>
      <c r="K374">
        <v>3.4932210923478701E-2</v>
      </c>
      <c r="L374" t="s">
        <v>158</v>
      </c>
      <c r="N374" t="s">
        <v>221</v>
      </c>
      <c r="O374" t="s">
        <v>161</v>
      </c>
      <c r="P374">
        <v>3.5134767447028668E-2</v>
      </c>
      <c r="Q374" t="s">
        <v>158</v>
      </c>
    </row>
    <row r="375" spans="9:17" x14ac:dyDescent="0.45">
      <c r="I375" t="s">
        <v>196</v>
      </c>
      <c r="J375" t="s">
        <v>162</v>
      </c>
      <c r="K375">
        <v>0</v>
      </c>
      <c r="L375" t="s">
        <v>158</v>
      </c>
      <c r="N375" t="s">
        <v>221</v>
      </c>
      <c r="O375" t="s">
        <v>162</v>
      </c>
      <c r="P375">
        <v>5.7971659472417371E-2</v>
      </c>
      <c r="Q375" t="s">
        <v>158</v>
      </c>
    </row>
    <row r="376" spans="9:17" x14ac:dyDescent="0.45">
      <c r="I376" t="s">
        <v>196</v>
      </c>
      <c r="J376" t="s">
        <v>163</v>
      </c>
      <c r="K376">
        <v>6.7476912250711008E-2</v>
      </c>
      <c r="L376" t="s">
        <v>158</v>
      </c>
      <c r="N376" t="s">
        <v>221</v>
      </c>
      <c r="O376" t="s">
        <v>163</v>
      </c>
      <c r="P376">
        <v>9.7120987869109596E-2</v>
      </c>
      <c r="Q376" t="s">
        <v>158</v>
      </c>
    </row>
    <row r="377" spans="9:17" x14ac:dyDescent="0.45">
      <c r="I377" t="s">
        <v>196</v>
      </c>
      <c r="J377" t="s">
        <v>164</v>
      </c>
      <c r="K377">
        <v>0.17409349477255417</v>
      </c>
      <c r="L377" t="s">
        <v>158</v>
      </c>
      <c r="N377" t="s">
        <v>221</v>
      </c>
      <c r="O377" t="s">
        <v>164</v>
      </c>
      <c r="P377">
        <v>3.4509402140946228E-2</v>
      </c>
      <c r="Q377" t="s">
        <v>158</v>
      </c>
    </row>
    <row r="378" spans="9:17" x14ac:dyDescent="0.45">
      <c r="I378" t="s">
        <v>196</v>
      </c>
      <c r="J378" t="s">
        <v>165</v>
      </c>
      <c r="K378">
        <v>0.19021772407008233</v>
      </c>
      <c r="L378" t="s">
        <v>158</v>
      </c>
      <c r="N378" t="s">
        <v>221</v>
      </c>
      <c r="O378" t="s">
        <v>165</v>
      </c>
      <c r="P378">
        <v>5.0488735893400589E-2</v>
      </c>
      <c r="Q378" t="s">
        <v>158</v>
      </c>
    </row>
    <row r="379" spans="9:17" x14ac:dyDescent="0.45">
      <c r="I379" t="s">
        <v>196</v>
      </c>
      <c r="J379" t="s">
        <v>166</v>
      </c>
      <c r="K379">
        <v>0.19507587975810542</v>
      </c>
      <c r="L379" t="s">
        <v>158</v>
      </c>
      <c r="N379" t="s">
        <v>221</v>
      </c>
      <c r="O379" t="s">
        <v>166</v>
      </c>
      <c r="P379">
        <v>7.2702660280240389E-2</v>
      </c>
      <c r="Q379" t="s">
        <v>158</v>
      </c>
    </row>
    <row r="380" spans="9:17" x14ac:dyDescent="0.45">
      <c r="I380" t="s">
        <v>196</v>
      </c>
      <c r="J380" t="s">
        <v>167</v>
      </c>
      <c r="K380">
        <v>2.9074267922317883E-2</v>
      </c>
      <c r="L380" t="s">
        <v>158</v>
      </c>
      <c r="N380" t="s">
        <v>221</v>
      </c>
      <c r="O380" t="s">
        <v>167</v>
      </c>
      <c r="P380">
        <v>9.3386795606126727E-2</v>
      </c>
      <c r="Q380" t="s">
        <v>158</v>
      </c>
    </row>
    <row r="381" spans="9:17" x14ac:dyDescent="0.45">
      <c r="I381" t="s">
        <v>196</v>
      </c>
      <c r="J381" t="s">
        <v>168</v>
      </c>
      <c r="K381">
        <v>8.5028877728973457E-3</v>
      </c>
      <c r="L381" t="s">
        <v>158</v>
      </c>
      <c r="N381" t="s">
        <v>221</v>
      </c>
      <c r="O381" t="s">
        <v>168</v>
      </c>
      <c r="P381">
        <v>0.14790230166446619</v>
      </c>
      <c r="Q381" t="s">
        <v>158</v>
      </c>
    </row>
    <row r="382" spans="9:17" x14ac:dyDescent="0.45">
      <c r="I382" t="s">
        <v>196</v>
      </c>
      <c r="J382" t="s">
        <v>169</v>
      </c>
      <c r="K382">
        <v>6.9039362078155919E-2</v>
      </c>
      <c r="L382" t="s">
        <v>158</v>
      </c>
      <c r="N382" t="s">
        <v>221</v>
      </c>
      <c r="O382" t="s">
        <v>169</v>
      </c>
      <c r="P382">
        <v>5.7302368740072752E-2</v>
      </c>
      <c r="Q382" t="s">
        <v>158</v>
      </c>
    </row>
    <row r="383" spans="9:17" x14ac:dyDescent="0.45">
      <c r="I383" t="s">
        <v>196</v>
      </c>
      <c r="J383" t="s">
        <v>170</v>
      </c>
      <c r="K383">
        <v>8.7821681085411496E-2</v>
      </c>
      <c r="L383" t="s">
        <v>158</v>
      </c>
      <c r="N383" t="s">
        <v>221</v>
      </c>
      <c r="O383" t="s">
        <v>170</v>
      </c>
      <c r="P383">
        <v>5.4699610939033839E-2</v>
      </c>
      <c r="Q383" t="s">
        <v>158</v>
      </c>
    </row>
    <row r="384" spans="9:17" x14ac:dyDescent="0.45">
      <c r="I384" t="s">
        <v>196</v>
      </c>
      <c r="J384" t="s">
        <v>171</v>
      </c>
      <c r="K384">
        <v>7.5814026157740383E-2</v>
      </c>
      <c r="L384" t="s">
        <v>158</v>
      </c>
      <c r="N384" t="s">
        <v>221</v>
      </c>
      <c r="O384" t="s">
        <v>171</v>
      </c>
      <c r="P384">
        <v>7.0649149489194277E-2</v>
      </c>
      <c r="Q384" t="s">
        <v>158</v>
      </c>
    </row>
    <row r="385" spans="9:17" x14ac:dyDescent="0.45">
      <c r="I385" t="s">
        <v>196</v>
      </c>
      <c r="J385" t="s">
        <v>172</v>
      </c>
      <c r="K385">
        <v>1.35283352603894E-3</v>
      </c>
      <c r="L385" t="s">
        <v>158</v>
      </c>
      <c r="N385" t="s">
        <v>221</v>
      </c>
      <c r="O385" t="s">
        <v>172</v>
      </c>
      <c r="P385">
        <v>0.11647677842706275</v>
      </c>
      <c r="Q385" t="s">
        <v>158</v>
      </c>
    </row>
    <row r="386" spans="9:17" x14ac:dyDescent="0.45">
      <c r="N386" t="s">
        <v>222</v>
      </c>
      <c r="O386" t="s">
        <v>157</v>
      </c>
      <c r="P386">
        <v>7.1566137929477761E-2</v>
      </c>
      <c r="Q386" t="s">
        <v>158</v>
      </c>
    </row>
    <row r="387" spans="9:17" x14ac:dyDescent="0.45">
      <c r="N387" t="s">
        <v>222</v>
      </c>
      <c r="O387" t="s">
        <v>159</v>
      </c>
      <c r="P387">
        <v>2.4548980423313441E-2</v>
      </c>
      <c r="Q387" t="s">
        <v>158</v>
      </c>
    </row>
    <row r="388" spans="9:17" x14ac:dyDescent="0.45">
      <c r="N388" t="s">
        <v>222</v>
      </c>
      <c r="O388" t="s">
        <v>160</v>
      </c>
      <c r="P388">
        <v>2.6330607890805879E-2</v>
      </c>
      <c r="Q388" t="s">
        <v>158</v>
      </c>
    </row>
    <row r="389" spans="9:17" x14ac:dyDescent="0.45">
      <c r="N389" t="s">
        <v>222</v>
      </c>
      <c r="O389" t="s">
        <v>161</v>
      </c>
      <c r="P389">
        <v>4.6843592999017171E-2</v>
      </c>
      <c r="Q389" t="s">
        <v>158</v>
      </c>
    </row>
    <row r="390" spans="9:17" x14ac:dyDescent="0.45">
      <c r="N390" t="s">
        <v>222</v>
      </c>
      <c r="O390" t="s">
        <v>162</v>
      </c>
      <c r="P390">
        <v>7.1018025639291854E-2</v>
      </c>
      <c r="Q390" t="s">
        <v>158</v>
      </c>
    </row>
    <row r="391" spans="9:17" x14ac:dyDescent="0.45">
      <c r="N391" t="s">
        <v>222</v>
      </c>
      <c r="O391" t="s">
        <v>163</v>
      </c>
      <c r="P391">
        <v>8.9815782238856584E-2</v>
      </c>
      <c r="Q391" t="s">
        <v>158</v>
      </c>
    </row>
    <row r="392" spans="9:17" x14ac:dyDescent="0.45">
      <c r="N392" t="s">
        <v>222</v>
      </c>
      <c r="O392" t="s">
        <v>164</v>
      </c>
      <c r="P392">
        <v>3.3570856684831507E-2</v>
      </c>
      <c r="Q392" t="s">
        <v>158</v>
      </c>
    </row>
    <row r="393" spans="9:17" x14ac:dyDescent="0.45">
      <c r="N393" t="s">
        <v>222</v>
      </c>
      <c r="O393" t="s">
        <v>165</v>
      </c>
      <c r="P393">
        <v>5.0614966321108873E-2</v>
      </c>
      <c r="Q393" t="s">
        <v>158</v>
      </c>
    </row>
    <row r="394" spans="9:17" x14ac:dyDescent="0.45">
      <c r="N394" t="s">
        <v>222</v>
      </c>
      <c r="O394" t="s">
        <v>166</v>
      </c>
      <c r="P394">
        <v>7.6945453068180861E-2</v>
      </c>
      <c r="Q394" t="s">
        <v>158</v>
      </c>
    </row>
    <row r="395" spans="9:17" x14ac:dyDescent="0.45">
      <c r="N395" t="s">
        <v>222</v>
      </c>
      <c r="O395" t="s">
        <v>167</v>
      </c>
      <c r="P395">
        <v>9.5320369383658995E-2</v>
      </c>
      <c r="Q395" t="s">
        <v>158</v>
      </c>
    </row>
    <row r="396" spans="9:17" x14ac:dyDescent="0.45">
      <c r="N396" t="s">
        <v>222</v>
      </c>
      <c r="O396" t="s">
        <v>168</v>
      </c>
      <c r="P396">
        <v>0.12326866742190397</v>
      </c>
      <c r="Q396" t="s">
        <v>158</v>
      </c>
    </row>
    <row r="397" spans="9:17" x14ac:dyDescent="0.45">
      <c r="N397" t="s">
        <v>222</v>
      </c>
      <c r="O397" t="s">
        <v>169</v>
      </c>
      <c r="P397">
        <v>5.1631186407330699E-2</v>
      </c>
      <c r="Q397" t="s">
        <v>158</v>
      </c>
    </row>
    <row r="398" spans="9:17" x14ac:dyDescent="0.45">
      <c r="N398" t="s">
        <v>222</v>
      </c>
      <c r="O398" t="s">
        <v>170</v>
      </c>
      <c r="P398">
        <v>5.820122530507827E-2</v>
      </c>
      <c r="Q398" t="s">
        <v>158</v>
      </c>
    </row>
    <row r="399" spans="9:17" x14ac:dyDescent="0.45">
      <c r="N399" t="s">
        <v>222</v>
      </c>
      <c r="O399" t="s">
        <v>171</v>
      </c>
      <c r="P399">
        <v>7.9634057153592008E-2</v>
      </c>
      <c r="Q399" t="s">
        <v>158</v>
      </c>
    </row>
    <row r="400" spans="9:17" x14ac:dyDescent="0.45">
      <c r="N400" t="s">
        <v>222</v>
      </c>
      <c r="O400" t="s">
        <v>172</v>
      </c>
      <c r="P400">
        <v>0.10069009113343222</v>
      </c>
      <c r="Q400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0714-305C-44BC-B7C7-BCA58B46CB51}">
  <dimension ref="A9:AM36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111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223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229</v>
      </c>
      <c r="AK10" t="s">
        <v>134</v>
      </c>
      <c r="AL10" t="s">
        <v>230</v>
      </c>
      <c r="AM10" t="s">
        <v>231</v>
      </c>
    </row>
    <row r="11" spans="1:39" x14ac:dyDescent="0.45">
      <c r="A11" t="str">
        <f>IFERROR(IF(Veda!D5=A10,"ok","x"),"")</f>
        <v>x</v>
      </c>
      <c r="C11" t="s">
        <v>233</v>
      </c>
      <c r="D11" t="s">
        <v>146</v>
      </c>
      <c r="E11" t="s">
        <v>234</v>
      </c>
      <c r="F11" t="s">
        <v>233</v>
      </c>
      <c r="G11" t="s">
        <v>146</v>
      </c>
      <c r="I11" t="s">
        <v>156</v>
      </c>
      <c r="J11" t="s">
        <v>235</v>
      </c>
      <c r="K11">
        <v>0.99999999999983424</v>
      </c>
      <c r="L11" t="s">
        <v>158</v>
      </c>
      <c r="N11" t="s">
        <v>197</v>
      </c>
      <c r="O11" t="s">
        <v>235</v>
      </c>
      <c r="P11">
        <v>0.999999999999866</v>
      </c>
      <c r="Q11" t="s">
        <v>158</v>
      </c>
      <c r="X11">
        <v>1</v>
      </c>
      <c r="Y11">
        <v>1.0000000000000002</v>
      </c>
      <c r="Z11" t="s">
        <v>235</v>
      </c>
      <c r="AA11" t="s">
        <v>25</v>
      </c>
      <c r="AC11" t="s">
        <v>22</v>
      </c>
      <c r="AD11" t="s">
        <v>235</v>
      </c>
      <c r="AE11">
        <v>1</v>
      </c>
      <c r="AG11" t="s">
        <v>97</v>
      </c>
      <c r="AH11" t="s">
        <v>235</v>
      </c>
      <c r="AI11">
        <v>0.29211718079128235</v>
      </c>
      <c r="AK11" t="s">
        <v>233</v>
      </c>
      <c r="AL11">
        <v>1.2</v>
      </c>
      <c r="AM11" t="s">
        <v>232</v>
      </c>
    </row>
    <row r="12" spans="1:39" x14ac:dyDescent="0.45">
      <c r="I12" t="s">
        <v>173</v>
      </c>
      <c r="J12" t="s">
        <v>235</v>
      </c>
      <c r="K12">
        <v>0.99999999999983358</v>
      </c>
      <c r="L12" t="s">
        <v>158</v>
      </c>
      <c r="N12" t="s">
        <v>198</v>
      </c>
      <c r="O12" t="s">
        <v>235</v>
      </c>
      <c r="P12">
        <v>0.99999999999985978</v>
      </c>
      <c r="Q12" t="s">
        <v>158</v>
      </c>
      <c r="AC12" t="s">
        <v>19</v>
      </c>
      <c r="AD12" t="s">
        <v>235</v>
      </c>
      <c r="AE12">
        <v>1</v>
      </c>
    </row>
    <row r="13" spans="1:39" x14ac:dyDescent="0.45">
      <c r="I13" t="s">
        <v>174</v>
      </c>
      <c r="J13" t="s">
        <v>235</v>
      </c>
      <c r="K13">
        <v>0.99999999999984279</v>
      </c>
      <c r="L13" t="s">
        <v>158</v>
      </c>
      <c r="N13" t="s">
        <v>199</v>
      </c>
      <c r="O13" t="s">
        <v>235</v>
      </c>
      <c r="P13">
        <v>0.99999999999987377</v>
      </c>
      <c r="Q13" t="s">
        <v>158</v>
      </c>
    </row>
    <row r="14" spans="1:39" x14ac:dyDescent="0.45">
      <c r="I14" t="s">
        <v>175</v>
      </c>
      <c r="J14" t="s">
        <v>235</v>
      </c>
      <c r="K14">
        <v>0.99999999999982836</v>
      </c>
      <c r="L14" t="s">
        <v>158</v>
      </c>
      <c r="N14" t="s">
        <v>200</v>
      </c>
      <c r="O14" t="s">
        <v>235</v>
      </c>
      <c r="P14">
        <v>0.99999999999990385</v>
      </c>
      <c r="Q14" t="s">
        <v>158</v>
      </c>
    </row>
    <row r="15" spans="1:39" x14ac:dyDescent="0.45">
      <c r="I15" t="s">
        <v>176</v>
      </c>
      <c r="J15" t="s">
        <v>235</v>
      </c>
      <c r="K15">
        <v>0.99999999999982958</v>
      </c>
      <c r="L15" t="s">
        <v>158</v>
      </c>
      <c r="N15" t="s">
        <v>201</v>
      </c>
      <c r="O15" t="s">
        <v>235</v>
      </c>
      <c r="P15">
        <v>0.99999999999986977</v>
      </c>
      <c r="Q15" t="s">
        <v>158</v>
      </c>
    </row>
    <row r="16" spans="1:39" x14ac:dyDescent="0.45">
      <c r="I16" t="s">
        <v>177</v>
      </c>
      <c r="J16" t="s">
        <v>235</v>
      </c>
      <c r="K16">
        <v>0.99999999999982903</v>
      </c>
      <c r="L16" t="s">
        <v>158</v>
      </c>
      <c r="N16" t="s">
        <v>202</v>
      </c>
      <c r="O16" t="s">
        <v>235</v>
      </c>
      <c r="P16">
        <v>0.99999999999989064</v>
      </c>
      <c r="Q16" t="s">
        <v>158</v>
      </c>
    </row>
    <row r="17" spans="9:17" x14ac:dyDescent="0.45">
      <c r="I17" t="s">
        <v>178</v>
      </c>
      <c r="J17" t="s">
        <v>235</v>
      </c>
      <c r="K17">
        <v>0.99999999999983447</v>
      </c>
      <c r="L17" t="s">
        <v>158</v>
      </c>
      <c r="N17" t="s">
        <v>203</v>
      </c>
      <c r="O17" t="s">
        <v>235</v>
      </c>
      <c r="P17">
        <v>0.99999999999987221</v>
      </c>
      <c r="Q17" t="s">
        <v>158</v>
      </c>
    </row>
    <row r="18" spans="9:17" x14ac:dyDescent="0.45">
      <c r="I18" t="s">
        <v>179</v>
      </c>
      <c r="J18" t="s">
        <v>235</v>
      </c>
      <c r="K18">
        <v>0.99999999999983291</v>
      </c>
      <c r="L18" t="s">
        <v>158</v>
      </c>
      <c r="N18" t="s">
        <v>204</v>
      </c>
      <c r="O18" t="s">
        <v>235</v>
      </c>
      <c r="P18">
        <v>0.99999999999991784</v>
      </c>
      <c r="Q18" t="s">
        <v>158</v>
      </c>
    </row>
    <row r="19" spans="9:17" x14ac:dyDescent="0.45">
      <c r="I19" t="s">
        <v>180</v>
      </c>
      <c r="J19" t="s">
        <v>235</v>
      </c>
      <c r="K19">
        <v>0.99999999999983002</v>
      </c>
      <c r="L19" t="s">
        <v>158</v>
      </c>
      <c r="N19" t="s">
        <v>205</v>
      </c>
      <c r="O19" t="s">
        <v>235</v>
      </c>
      <c r="P19">
        <v>0.99999999999986933</v>
      </c>
      <c r="Q19" t="s">
        <v>158</v>
      </c>
    </row>
    <row r="20" spans="9:17" x14ac:dyDescent="0.45">
      <c r="I20" t="s">
        <v>181</v>
      </c>
      <c r="J20" t="s">
        <v>235</v>
      </c>
      <c r="K20">
        <v>0.99999999999984324</v>
      </c>
      <c r="L20" t="s">
        <v>158</v>
      </c>
      <c r="N20" t="s">
        <v>206</v>
      </c>
      <c r="O20" t="s">
        <v>235</v>
      </c>
      <c r="P20">
        <v>0.99999999999991995</v>
      </c>
      <c r="Q20" t="s">
        <v>158</v>
      </c>
    </row>
    <row r="21" spans="9:17" x14ac:dyDescent="0.45">
      <c r="I21" t="s">
        <v>182</v>
      </c>
      <c r="J21" t="s">
        <v>235</v>
      </c>
      <c r="K21">
        <v>0.99999999999983391</v>
      </c>
      <c r="L21" t="s">
        <v>158</v>
      </c>
      <c r="N21" t="s">
        <v>207</v>
      </c>
      <c r="O21" t="s">
        <v>235</v>
      </c>
      <c r="P21">
        <v>0.99999999999987332</v>
      </c>
      <c r="Q21" t="s">
        <v>158</v>
      </c>
    </row>
    <row r="22" spans="9:17" x14ac:dyDescent="0.45">
      <c r="I22" t="s">
        <v>183</v>
      </c>
      <c r="J22" t="s">
        <v>235</v>
      </c>
      <c r="K22">
        <v>0.99999999999983569</v>
      </c>
      <c r="L22" t="s">
        <v>158</v>
      </c>
      <c r="N22" t="s">
        <v>208</v>
      </c>
      <c r="O22" t="s">
        <v>235</v>
      </c>
      <c r="P22">
        <v>0.99999999999990064</v>
      </c>
      <c r="Q22" t="s">
        <v>158</v>
      </c>
    </row>
    <row r="23" spans="9:17" x14ac:dyDescent="0.45">
      <c r="I23" t="s">
        <v>184</v>
      </c>
      <c r="J23" t="s">
        <v>235</v>
      </c>
      <c r="K23">
        <v>0.99999999999982525</v>
      </c>
      <c r="L23" t="s">
        <v>158</v>
      </c>
      <c r="N23" t="s">
        <v>209</v>
      </c>
      <c r="O23" t="s">
        <v>235</v>
      </c>
      <c r="P23">
        <v>0.99999999999985534</v>
      </c>
      <c r="Q23" t="s">
        <v>158</v>
      </c>
    </row>
    <row r="24" spans="9:17" x14ac:dyDescent="0.45">
      <c r="I24" t="s">
        <v>185</v>
      </c>
      <c r="J24" t="s">
        <v>235</v>
      </c>
      <c r="K24">
        <v>0.99999999999983646</v>
      </c>
      <c r="L24" t="s">
        <v>158</v>
      </c>
      <c r="N24" t="s">
        <v>210</v>
      </c>
      <c r="O24" t="s">
        <v>235</v>
      </c>
      <c r="P24">
        <v>0.99999999999986489</v>
      </c>
      <c r="Q24" t="s">
        <v>158</v>
      </c>
    </row>
    <row r="25" spans="9:17" x14ac:dyDescent="0.45">
      <c r="I25" t="s">
        <v>186</v>
      </c>
      <c r="J25" t="s">
        <v>235</v>
      </c>
      <c r="K25">
        <v>0.99999999999983991</v>
      </c>
      <c r="L25" t="s">
        <v>158</v>
      </c>
      <c r="N25" t="s">
        <v>211</v>
      </c>
      <c r="O25" t="s">
        <v>235</v>
      </c>
      <c r="P25">
        <v>0.99999999999992673</v>
      </c>
      <c r="Q25" t="s">
        <v>158</v>
      </c>
    </row>
    <row r="26" spans="9:17" x14ac:dyDescent="0.45">
      <c r="I26" t="s">
        <v>187</v>
      </c>
      <c r="J26" t="s">
        <v>235</v>
      </c>
      <c r="K26">
        <v>0.99999999999982503</v>
      </c>
      <c r="L26" t="s">
        <v>158</v>
      </c>
      <c r="N26" t="s">
        <v>212</v>
      </c>
      <c r="O26" t="s">
        <v>235</v>
      </c>
      <c r="P26">
        <v>0.99999999999988953</v>
      </c>
      <c r="Q26" t="s">
        <v>158</v>
      </c>
    </row>
    <row r="27" spans="9:17" x14ac:dyDescent="0.45">
      <c r="I27" t="s">
        <v>188</v>
      </c>
      <c r="J27" t="s">
        <v>235</v>
      </c>
      <c r="K27">
        <v>0.99999999999982259</v>
      </c>
      <c r="L27" t="s">
        <v>158</v>
      </c>
      <c r="N27" t="s">
        <v>213</v>
      </c>
      <c r="O27" t="s">
        <v>235</v>
      </c>
      <c r="P27">
        <v>0.99999999999990097</v>
      </c>
      <c r="Q27" t="s">
        <v>158</v>
      </c>
    </row>
    <row r="28" spans="9:17" x14ac:dyDescent="0.45">
      <c r="I28" t="s">
        <v>189</v>
      </c>
      <c r="J28" t="s">
        <v>235</v>
      </c>
      <c r="K28">
        <v>0.9999999999998328</v>
      </c>
      <c r="L28" t="s">
        <v>158</v>
      </c>
      <c r="N28" t="s">
        <v>214</v>
      </c>
      <c r="O28" t="s">
        <v>235</v>
      </c>
      <c r="P28">
        <v>0.99999999999987599</v>
      </c>
      <c r="Q28" t="s">
        <v>158</v>
      </c>
    </row>
    <row r="29" spans="9:17" x14ac:dyDescent="0.45">
      <c r="I29" t="s">
        <v>190</v>
      </c>
      <c r="J29" t="s">
        <v>235</v>
      </c>
      <c r="K29">
        <v>0.99999999999982758</v>
      </c>
      <c r="L29" t="s">
        <v>158</v>
      </c>
      <c r="N29" t="s">
        <v>215</v>
      </c>
      <c r="O29" t="s">
        <v>235</v>
      </c>
      <c r="P29">
        <v>0.99999999999990141</v>
      </c>
      <c r="Q29" t="s">
        <v>158</v>
      </c>
    </row>
    <row r="30" spans="9:17" x14ac:dyDescent="0.45">
      <c r="I30" t="s">
        <v>191</v>
      </c>
      <c r="J30" t="s">
        <v>235</v>
      </c>
      <c r="K30">
        <v>0.99999999999983291</v>
      </c>
      <c r="L30" t="s">
        <v>158</v>
      </c>
      <c r="N30" t="s">
        <v>216</v>
      </c>
      <c r="O30" t="s">
        <v>235</v>
      </c>
      <c r="P30">
        <v>0.99999999999989664</v>
      </c>
      <c r="Q30" t="s">
        <v>158</v>
      </c>
    </row>
    <row r="31" spans="9:17" x14ac:dyDescent="0.45">
      <c r="I31" t="s">
        <v>192</v>
      </c>
      <c r="J31" t="s">
        <v>235</v>
      </c>
      <c r="K31">
        <v>0.99999999999984068</v>
      </c>
      <c r="L31" t="s">
        <v>158</v>
      </c>
      <c r="N31" t="s">
        <v>217</v>
      </c>
      <c r="O31" t="s">
        <v>235</v>
      </c>
      <c r="P31">
        <v>0.99999999999987943</v>
      </c>
      <c r="Q31" t="s">
        <v>158</v>
      </c>
    </row>
    <row r="32" spans="9:17" x14ac:dyDescent="0.45">
      <c r="I32" t="s">
        <v>193</v>
      </c>
      <c r="J32" t="s">
        <v>235</v>
      </c>
      <c r="K32">
        <v>0.99999999999984546</v>
      </c>
      <c r="L32" t="s">
        <v>158</v>
      </c>
      <c r="N32" t="s">
        <v>218</v>
      </c>
      <c r="O32" t="s">
        <v>235</v>
      </c>
      <c r="P32">
        <v>0.99999999999986755</v>
      </c>
      <c r="Q32" t="s">
        <v>158</v>
      </c>
    </row>
    <row r="33" spans="9:17" x14ac:dyDescent="0.45">
      <c r="I33" t="s">
        <v>194</v>
      </c>
      <c r="J33" t="s">
        <v>235</v>
      </c>
      <c r="K33">
        <v>0.99999999999982669</v>
      </c>
      <c r="L33" t="s">
        <v>158</v>
      </c>
      <c r="N33" t="s">
        <v>219</v>
      </c>
      <c r="O33" t="s">
        <v>235</v>
      </c>
      <c r="P33">
        <v>0.99999999999986544</v>
      </c>
      <c r="Q33" t="s">
        <v>158</v>
      </c>
    </row>
    <row r="34" spans="9:17" x14ac:dyDescent="0.45">
      <c r="I34" t="s">
        <v>195</v>
      </c>
      <c r="J34" t="s">
        <v>235</v>
      </c>
      <c r="K34">
        <v>0.99999999999983402</v>
      </c>
      <c r="L34" t="s">
        <v>158</v>
      </c>
      <c r="N34" t="s">
        <v>220</v>
      </c>
      <c r="O34" t="s">
        <v>235</v>
      </c>
      <c r="P34">
        <v>0.99999999999988098</v>
      </c>
      <c r="Q34" t="s">
        <v>158</v>
      </c>
    </row>
    <row r="35" spans="9:17" x14ac:dyDescent="0.45">
      <c r="I35" t="s">
        <v>196</v>
      </c>
      <c r="J35" t="s">
        <v>235</v>
      </c>
      <c r="K35">
        <v>0.99999999999983258</v>
      </c>
      <c r="L35" t="s">
        <v>158</v>
      </c>
      <c r="N35" t="s">
        <v>221</v>
      </c>
      <c r="O35" t="s">
        <v>235</v>
      </c>
      <c r="P35">
        <v>0.99999999999987921</v>
      </c>
      <c r="Q35" t="s">
        <v>158</v>
      </c>
    </row>
    <row r="36" spans="9:17" x14ac:dyDescent="0.45">
      <c r="N36" t="s">
        <v>222</v>
      </c>
      <c r="O36" t="s">
        <v>235</v>
      </c>
      <c r="P36">
        <v>0.9999999999998801</v>
      </c>
      <c r="Q36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5126-61DF-488A-816F-B74C643CE0A4}">
  <dimension ref="A9:AM322"/>
  <sheetViews>
    <sheetView tabSelected="1"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112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223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229</v>
      </c>
      <c r="AK10" t="s">
        <v>134</v>
      </c>
      <c r="AL10" t="s">
        <v>230</v>
      </c>
      <c r="AM10" t="s">
        <v>231</v>
      </c>
    </row>
    <row r="11" spans="1:39" x14ac:dyDescent="0.45">
      <c r="A11" t="str">
        <f>IFERROR(IF(Veda!D5=A10,"ok","x"),"")</f>
        <v>x</v>
      </c>
      <c r="C11" t="s">
        <v>236</v>
      </c>
      <c r="D11" t="s">
        <v>146</v>
      </c>
      <c r="E11" t="s">
        <v>225</v>
      </c>
      <c r="F11" t="s">
        <v>237</v>
      </c>
      <c r="G11" t="s">
        <v>146</v>
      </c>
      <c r="I11" t="s">
        <v>156</v>
      </c>
      <c r="J11" t="s">
        <v>242</v>
      </c>
      <c r="K11">
        <v>0.18164357435777004</v>
      </c>
      <c r="L11" t="s">
        <v>158</v>
      </c>
      <c r="N11" t="s">
        <v>197</v>
      </c>
      <c r="O11" t="s">
        <v>242</v>
      </c>
      <c r="P11">
        <v>0.17758428648904684</v>
      </c>
      <c r="Q11" t="s">
        <v>158</v>
      </c>
      <c r="X11">
        <v>0.11426940639269406</v>
      </c>
      <c r="Y11">
        <v>0.16087081189037786</v>
      </c>
      <c r="Z11" t="s">
        <v>242</v>
      </c>
      <c r="AA11" t="s">
        <v>25</v>
      </c>
      <c r="AC11" t="s">
        <v>22</v>
      </c>
      <c r="AD11" t="s">
        <v>242</v>
      </c>
      <c r="AE11">
        <v>0.12090138187557425</v>
      </c>
      <c r="AG11" t="s">
        <v>97</v>
      </c>
      <c r="AH11" t="s">
        <v>242</v>
      </c>
      <c r="AI11">
        <v>0.17617534240471389</v>
      </c>
      <c r="AK11" t="s">
        <v>236</v>
      </c>
      <c r="AL11">
        <v>0.27553730672996724</v>
      </c>
      <c r="AM11" t="s">
        <v>232</v>
      </c>
    </row>
    <row r="12" spans="1:39" x14ac:dyDescent="0.45">
      <c r="C12" t="s">
        <v>238</v>
      </c>
      <c r="E12" t="s">
        <v>227</v>
      </c>
      <c r="G12" t="s">
        <v>146</v>
      </c>
      <c r="I12" t="s">
        <v>156</v>
      </c>
      <c r="J12" t="s">
        <v>243</v>
      </c>
      <c r="K12">
        <v>0</v>
      </c>
      <c r="L12" t="s">
        <v>158</v>
      </c>
      <c r="N12" t="s">
        <v>197</v>
      </c>
      <c r="O12" t="s">
        <v>243</v>
      </c>
      <c r="P12">
        <v>0.14676725095079338</v>
      </c>
      <c r="Q12" t="s">
        <v>158</v>
      </c>
      <c r="X12">
        <v>0.11426940639269406</v>
      </c>
      <c r="Y12">
        <v>5.2547713165767528E-2</v>
      </c>
      <c r="Z12" t="s">
        <v>243</v>
      </c>
      <c r="AA12" t="s">
        <v>25</v>
      </c>
      <c r="AC12" t="s">
        <v>22</v>
      </c>
      <c r="AD12" t="s">
        <v>243</v>
      </c>
      <c r="AE12">
        <v>9.5242975452984727E-2</v>
      </c>
      <c r="AG12" t="s">
        <v>97</v>
      </c>
      <c r="AH12" t="s">
        <v>243</v>
      </c>
      <c r="AI12">
        <v>0.33306575146351802</v>
      </c>
      <c r="AK12" t="s">
        <v>239</v>
      </c>
      <c r="AL12">
        <v>0.39690767947648681</v>
      </c>
      <c r="AM12" t="s">
        <v>232</v>
      </c>
    </row>
    <row r="13" spans="1:39" x14ac:dyDescent="0.45">
      <c r="C13" t="s">
        <v>239</v>
      </c>
      <c r="E13" t="s">
        <v>240</v>
      </c>
      <c r="G13" t="s">
        <v>146</v>
      </c>
      <c r="I13" t="s">
        <v>156</v>
      </c>
      <c r="J13" t="s">
        <v>244</v>
      </c>
      <c r="K13">
        <v>7.1713750329501103E-3</v>
      </c>
      <c r="L13" t="s">
        <v>158</v>
      </c>
      <c r="N13" t="s">
        <v>197</v>
      </c>
      <c r="O13" t="s">
        <v>244</v>
      </c>
      <c r="P13">
        <v>2.8949025241711324E-2</v>
      </c>
      <c r="Q13" t="s">
        <v>158</v>
      </c>
      <c r="X13">
        <v>2.0776255707762557E-2</v>
      </c>
      <c r="Y13">
        <v>3.5896543437005365E-2</v>
      </c>
      <c r="Z13" t="s">
        <v>244</v>
      </c>
      <c r="AA13" t="s">
        <v>25</v>
      </c>
      <c r="AC13" t="s">
        <v>22</v>
      </c>
      <c r="AD13" t="s">
        <v>244</v>
      </c>
      <c r="AE13">
        <v>2.2069722995092467E-2</v>
      </c>
      <c r="AG13" t="s">
        <v>97</v>
      </c>
      <c r="AH13" t="s">
        <v>244</v>
      </c>
      <c r="AI13">
        <v>0.17286248685938022</v>
      </c>
      <c r="AK13" t="s">
        <v>241</v>
      </c>
      <c r="AL13">
        <v>0.25605953679348176</v>
      </c>
      <c r="AM13" t="s">
        <v>232</v>
      </c>
    </row>
    <row r="14" spans="1:39" x14ac:dyDescent="0.45">
      <c r="C14" t="s">
        <v>241</v>
      </c>
      <c r="I14" t="s">
        <v>156</v>
      </c>
      <c r="J14" t="s">
        <v>245</v>
      </c>
      <c r="K14">
        <v>0.25400815263444421</v>
      </c>
      <c r="L14" t="s">
        <v>158</v>
      </c>
      <c r="N14" t="s">
        <v>197</v>
      </c>
      <c r="O14" t="s">
        <v>245</v>
      </c>
      <c r="P14">
        <v>0.10877837337980402</v>
      </c>
      <c r="Q14" t="s">
        <v>158</v>
      </c>
      <c r="X14">
        <v>0.11552511415525114</v>
      </c>
      <c r="Y14">
        <v>0.16263862301005233</v>
      </c>
      <c r="Z14" t="s">
        <v>245</v>
      </c>
      <c r="AA14" t="s">
        <v>25</v>
      </c>
      <c r="AC14" t="s">
        <v>22</v>
      </c>
      <c r="AD14" t="s">
        <v>245</v>
      </c>
      <c r="AE14">
        <v>0.12744469596891173</v>
      </c>
      <c r="AG14" t="s">
        <v>97</v>
      </c>
      <c r="AH14" t="s">
        <v>245</v>
      </c>
      <c r="AI14">
        <v>0.14227252545542379</v>
      </c>
      <c r="AK14" t="s">
        <v>238</v>
      </c>
      <c r="AL14">
        <v>0.27149547700006416</v>
      </c>
      <c r="AM14" t="s">
        <v>232</v>
      </c>
    </row>
    <row r="15" spans="1:39" x14ac:dyDescent="0.45">
      <c r="I15" t="s">
        <v>156</v>
      </c>
      <c r="J15" t="s">
        <v>246</v>
      </c>
      <c r="K15">
        <v>2.2366277861703477E-3</v>
      </c>
      <c r="L15" t="s">
        <v>158</v>
      </c>
      <c r="N15" t="s">
        <v>197</v>
      </c>
      <c r="O15" t="s">
        <v>246</v>
      </c>
      <c r="P15">
        <v>9.0126685159544265E-2</v>
      </c>
      <c r="Q15" t="s">
        <v>158</v>
      </c>
      <c r="X15">
        <v>0.11552511415525114</v>
      </c>
      <c r="Y15">
        <v>5.3125160563193538E-2</v>
      </c>
      <c r="Z15" t="s">
        <v>246</v>
      </c>
      <c r="AA15" t="s">
        <v>25</v>
      </c>
      <c r="AC15" t="s">
        <v>22</v>
      </c>
      <c r="AD15" t="s">
        <v>246</v>
      </c>
      <c r="AE15">
        <v>0.10132255701296763</v>
      </c>
      <c r="AG15" t="s">
        <v>97</v>
      </c>
      <c r="AH15" t="s">
        <v>246</v>
      </c>
      <c r="AI15">
        <v>0.28994593786435274</v>
      </c>
    </row>
    <row r="16" spans="1:39" x14ac:dyDescent="0.45">
      <c r="I16" t="s">
        <v>156</v>
      </c>
      <c r="J16" t="s">
        <v>247</v>
      </c>
      <c r="K16">
        <v>2.1755091003102401E-2</v>
      </c>
      <c r="L16" t="s">
        <v>158</v>
      </c>
      <c r="N16" t="s">
        <v>197</v>
      </c>
      <c r="O16" t="s">
        <v>247</v>
      </c>
      <c r="P16">
        <v>2.006713679636505E-2</v>
      </c>
      <c r="Q16" t="s">
        <v>158</v>
      </c>
      <c r="X16">
        <v>2.1004566210045664E-2</v>
      </c>
      <c r="Y16">
        <v>3.6291010947302131E-2</v>
      </c>
      <c r="Z16" t="s">
        <v>247</v>
      </c>
      <c r="AA16" t="s">
        <v>25</v>
      </c>
      <c r="AC16" t="s">
        <v>22</v>
      </c>
      <c r="AD16" t="s">
        <v>247</v>
      </c>
      <c r="AE16">
        <v>2.3070200877549799E-2</v>
      </c>
      <c r="AG16" t="s">
        <v>97</v>
      </c>
      <c r="AH16" t="s">
        <v>247</v>
      </c>
      <c r="AI16">
        <v>0.14528556003353565</v>
      </c>
    </row>
    <row r="17" spans="9:35" x14ac:dyDescent="0.45">
      <c r="I17" t="s">
        <v>156</v>
      </c>
      <c r="J17" t="s">
        <v>248</v>
      </c>
      <c r="K17">
        <v>0.31909886132493381</v>
      </c>
      <c r="L17" t="s">
        <v>158</v>
      </c>
      <c r="N17" t="s">
        <v>197</v>
      </c>
      <c r="O17" t="s">
        <v>248</v>
      </c>
      <c r="P17">
        <v>6.7885575015011787E-2</v>
      </c>
      <c r="Q17" t="s">
        <v>158</v>
      </c>
      <c r="X17">
        <v>0.11552511415525114</v>
      </c>
      <c r="Y17">
        <v>0.16263862301005233</v>
      </c>
      <c r="Z17" t="s">
        <v>248</v>
      </c>
      <c r="AA17" t="s">
        <v>25</v>
      </c>
      <c r="AC17" t="s">
        <v>22</v>
      </c>
      <c r="AD17" t="s">
        <v>248</v>
      </c>
      <c r="AE17">
        <v>0.11289822530250294</v>
      </c>
      <c r="AG17" t="s">
        <v>97</v>
      </c>
      <c r="AH17" t="s">
        <v>248</v>
      </c>
      <c r="AI17">
        <v>0.12685347555621185</v>
      </c>
    </row>
    <row r="18" spans="9:35" x14ac:dyDescent="0.45">
      <c r="I18" t="s">
        <v>156</v>
      </c>
      <c r="J18" t="s">
        <v>249</v>
      </c>
      <c r="K18">
        <v>1.1865282995458533E-2</v>
      </c>
      <c r="L18" t="s">
        <v>158</v>
      </c>
      <c r="N18" t="s">
        <v>197</v>
      </c>
      <c r="O18" t="s">
        <v>249</v>
      </c>
      <c r="P18">
        <v>5.5965228822518816E-2</v>
      </c>
      <c r="Q18" t="s">
        <v>158</v>
      </c>
      <c r="X18">
        <v>0.11552511415525114</v>
      </c>
      <c r="Y18">
        <v>5.3125160563193538E-2</v>
      </c>
      <c r="Z18" t="s">
        <v>249</v>
      </c>
      <c r="AA18" t="s">
        <v>25</v>
      </c>
      <c r="AC18" t="s">
        <v>22</v>
      </c>
      <c r="AD18" t="s">
        <v>249</v>
      </c>
      <c r="AE18">
        <v>8.7639671683306802E-2</v>
      </c>
      <c r="AG18" t="s">
        <v>97</v>
      </c>
      <c r="AH18" t="s">
        <v>249</v>
      </c>
      <c r="AI18">
        <v>0.23017486315106495</v>
      </c>
    </row>
    <row r="19" spans="9:35" x14ac:dyDescent="0.45">
      <c r="I19" t="s">
        <v>156</v>
      </c>
      <c r="J19" t="s">
        <v>250</v>
      </c>
      <c r="K19">
        <v>3.3932433251124994E-2</v>
      </c>
      <c r="L19" t="s">
        <v>158</v>
      </c>
      <c r="N19" t="s">
        <v>197</v>
      </c>
      <c r="O19" t="s">
        <v>250</v>
      </c>
      <c r="P19">
        <v>1.6811605262095561E-2</v>
      </c>
      <c r="Q19" t="s">
        <v>158</v>
      </c>
      <c r="X19">
        <v>2.1004566210045664E-2</v>
      </c>
      <c r="Y19">
        <v>3.6291010947302131E-2</v>
      </c>
      <c r="Z19" t="s">
        <v>250</v>
      </c>
      <c r="AA19" t="s">
        <v>25</v>
      </c>
      <c r="AC19" t="s">
        <v>22</v>
      </c>
      <c r="AD19" t="s">
        <v>250</v>
      </c>
      <c r="AE19">
        <v>2.0015393677460164E-2</v>
      </c>
      <c r="AG19" t="s">
        <v>97</v>
      </c>
      <c r="AH19" t="s">
        <v>250</v>
      </c>
      <c r="AI19">
        <v>0.10493351197406975</v>
      </c>
    </row>
    <row r="20" spans="9:35" x14ac:dyDescent="0.45">
      <c r="I20" t="s">
        <v>156</v>
      </c>
      <c r="J20" t="s">
        <v>251</v>
      </c>
      <c r="K20">
        <v>0.16456470777222507</v>
      </c>
      <c r="L20" t="s">
        <v>158</v>
      </c>
      <c r="N20" t="s">
        <v>197</v>
      </c>
      <c r="O20" t="s">
        <v>251</v>
      </c>
      <c r="P20">
        <v>0.12026265553921607</v>
      </c>
      <c r="Q20" t="s">
        <v>158</v>
      </c>
      <c r="X20">
        <v>0.11301369863013698</v>
      </c>
      <c r="Y20">
        <v>0.15910300077070333</v>
      </c>
      <c r="Z20" t="s">
        <v>251</v>
      </c>
      <c r="AA20" t="s">
        <v>25</v>
      </c>
      <c r="AC20" t="s">
        <v>22</v>
      </c>
      <c r="AD20" t="s">
        <v>251</v>
      </c>
      <c r="AE20">
        <v>0.14393901433677572</v>
      </c>
      <c r="AG20" t="s">
        <v>97</v>
      </c>
      <c r="AH20" t="s">
        <v>251</v>
      </c>
      <c r="AI20">
        <v>8.8349265587104986E-2</v>
      </c>
    </row>
    <row r="21" spans="9:35" x14ac:dyDescent="0.45">
      <c r="I21" t="s">
        <v>156</v>
      </c>
      <c r="J21" t="s">
        <v>252</v>
      </c>
      <c r="K21">
        <v>0</v>
      </c>
      <c r="L21" t="s">
        <v>158</v>
      </c>
      <c r="N21" t="s">
        <v>197</v>
      </c>
      <c r="O21" t="s">
        <v>252</v>
      </c>
      <c r="P21">
        <v>0.13922390920812872</v>
      </c>
      <c r="Q21" t="s">
        <v>158</v>
      </c>
      <c r="X21">
        <v>0.11301369863013698</v>
      </c>
      <c r="Y21">
        <v>5.197026576834151E-2</v>
      </c>
      <c r="Z21" t="s">
        <v>252</v>
      </c>
      <c r="AA21" t="s">
        <v>25</v>
      </c>
      <c r="AC21" t="s">
        <v>22</v>
      </c>
      <c r="AD21" t="s">
        <v>252</v>
      </c>
      <c r="AE21">
        <v>0.11874698574208462</v>
      </c>
      <c r="AG21" t="s">
        <v>97</v>
      </c>
      <c r="AH21" t="s">
        <v>252</v>
      </c>
      <c r="AI21">
        <v>0.18964786719685711</v>
      </c>
    </row>
    <row r="22" spans="9:35" x14ac:dyDescent="0.45">
      <c r="I22" t="s">
        <v>156</v>
      </c>
      <c r="J22" t="s">
        <v>253</v>
      </c>
      <c r="K22">
        <v>3.7238938416547969E-3</v>
      </c>
      <c r="L22" t="s">
        <v>158</v>
      </c>
      <c r="N22" t="s">
        <v>197</v>
      </c>
      <c r="O22" t="s">
        <v>253</v>
      </c>
      <c r="P22">
        <v>2.75782681356301E-2</v>
      </c>
      <c r="Q22" t="s">
        <v>158</v>
      </c>
      <c r="X22">
        <v>2.0547945205479451E-2</v>
      </c>
      <c r="Y22">
        <v>3.5502075926708607E-2</v>
      </c>
      <c r="Z22" t="s">
        <v>253</v>
      </c>
      <c r="AA22" t="s">
        <v>25</v>
      </c>
      <c r="AC22" t="s">
        <v>22</v>
      </c>
      <c r="AD22" t="s">
        <v>253</v>
      </c>
      <c r="AE22">
        <v>2.6709175074789045E-2</v>
      </c>
      <c r="AG22" t="s">
        <v>97</v>
      </c>
      <c r="AH22" t="s">
        <v>253</v>
      </c>
      <c r="AI22">
        <v>5.7719826051751744E-2</v>
      </c>
    </row>
    <row r="23" spans="9:35" x14ac:dyDescent="0.45">
      <c r="I23" t="s">
        <v>173</v>
      </c>
      <c r="J23" t="s">
        <v>242</v>
      </c>
      <c r="K23">
        <v>0.1784343170739813</v>
      </c>
      <c r="L23" t="s">
        <v>158</v>
      </c>
      <c r="N23" t="s">
        <v>198</v>
      </c>
      <c r="O23" t="s">
        <v>242</v>
      </c>
      <c r="P23">
        <v>0.17722446981888937</v>
      </c>
      <c r="Q23" t="s">
        <v>158</v>
      </c>
      <c r="AC23" t="s">
        <v>19</v>
      </c>
      <c r="AD23" t="s">
        <v>242</v>
      </c>
      <c r="AE23">
        <v>0.11505209570526871</v>
      </c>
    </row>
    <row r="24" spans="9:35" x14ac:dyDescent="0.45">
      <c r="I24" t="s">
        <v>173</v>
      </c>
      <c r="J24" t="s">
        <v>243</v>
      </c>
      <c r="K24">
        <v>0</v>
      </c>
      <c r="L24" t="s">
        <v>158</v>
      </c>
      <c r="N24" t="s">
        <v>198</v>
      </c>
      <c r="O24" t="s">
        <v>243</v>
      </c>
      <c r="P24">
        <v>0.16195697981421123</v>
      </c>
      <c r="Q24" t="s">
        <v>158</v>
      </c>
      <c r="AC24" t="s">
        <v>19</v>
      </c>
      <c r="AD24" t="s">
        <v>243</v>
      </c>
      <c r="AE24">
        <v>0.11326317658802752</v>
      </c>
    </row>
    <row r="25" spans="9:35" x14ac:dyDescent="0.45">
      <c r="I25" t="s">
        <v>173</v>
      </c>
      <c r="J25" t="s">
        <v>244</v>
      </c>
      <c r="K25">
        <v>7.4580991366368582E-3</v>
      </c>
      <c r="L25" t="s">
        <v>158</v>
      </c>
      <c r="N25" t="s">
        <v>198</v>
      </c>
      <c r="O25" t="s">
        <v>244</v>
      </c>
      <c r="P25">
        <v>2.8470881515885445E-2</v>
      </c>
      <c r="Q25" t="s">
        <v>158</v>
      </c>
      <c r="AC25" t="s">
        <v>19</v>
      </c>
      <c r="AD25" t="s">
        <v>244</v>
      </c>
      <c r="AE25">
        <v>2.0924674113243509E-2</v>
      </c>
    </row>
    <row r="26" spans="9:35" x14ac:dyDescent="0.45">
      <c r="I26" t="s">
        <v>173</v>
      </c>
      <c r="J26" t="s">
        <v>245</v>
      </c>
      <c r="K26">
        <v>0.25084771498417779</v>
      </c>
      <c r="L26" t="s">
        <v>158</v>
      </c>
      <c r="N26" t="s">
        <v>198</v>
      </c>
      <c r="O26" t="s">
        <v>245</v>
      </c>
      <c r="P26">
        <v>8.9917686065943372E-2</v>
      </c>
      <c r="Q26" t="s">
        <v>158</v>
      </c>
      <c r="AC26" t="s">
        <v>19</v>
      </c>
      <c r="AD26" t="s">
        <v>245</v>
      </c>
      <c r="AE26">
        <v>0.11636242545027597</v>
      </c>
    </row>
    <row r="27" spans="9:35" x14ac:dyDescent="0.45">
      <c r="I27" t="s">
        <v>173</v>
      </c>
      <c r="J27" t="s">
        <v>246</v>
      </c>
      <c r="K27">
        <v>2.3971838204901691E-3</v>
      </c>
      <c r="L27" t="s">
        <v>158</v>
      </c>
      <c r="N27" t="s">
        <v>198</v>
      </c>
      <c r="O27" t="s">
        <v>246</v>
      </c>
      <c r="P27">
        <v>8.987936220941356E-2</v>
      </c>
      <c r="Q27" t="s">
        <v>158</v>
      </c>
      <c r="AC27" t="s">
        <v>19</v>
      </c>
      <c r="AD27" t="s">
        <v>246</v>
      </c>
      <c r="AE27">
        <v>0.11454117462932174</v>
      </c>
    </row>
    <row r="28" spans="9:35" x14ac:dyDescent="0.45">
      <c r="I28" t="s">
        <v>173</v>
      </c>
      <c r="J28" t="s">
        <v>247</v>
      </c>
      <c r="K28">
        <v>2.2187843986357279E-2</v>
      </c>
      <c r="L28" t="s">
        <v>158</v>
      </c>
      <c r="N28" t="s">
        <v>198</v>
      </c>
      <c r="O28" t="s">
        <v>247</v>
      </c>
      <c r="P28">
        <v>1.7415076628647341E-2</v>
      </c>
      <c r="Q28" t="s">
        <v>158</v>
      </c>
      <c r="AC28" t="s">
        <v>19</v>
      </c>
      <c r="AD28" t="s">
        <v>247</v>
      </c>
      <c r="AE28">
        <v>2.1149723663419471E-2</v>
      </c>
    </row>
    <row r="29" spans="9:35" x14ac:dyDescent="0.45">
      <c r="I29" t="s">
        <v>173</v>
      </c>
      <c r="J29" t="s">
        <v>248</v>
      </c>
      <c r="K29">
        <v>0.3341143370419109</v>
      </c>
      <c r="L29" t="s">
        <v>158</v>
      </c>
      <c r="N29" t="s">
        <v>198</v>
      </c>
      <c r="O29" t="s">
        <v>248</v>
      </c>
      <c r="P29">
        <v>5.2401818657857625E-2</v>
      </c>
      <c r="Q29" t="s">
        <v>158</v>
      </c>
      <c r="AC29" t="s">
        <v>19</v>
      </c>
      <c r="AD29" t="s">
        <v>248</v>
      </c>
      <c r="AE29">
        <v>0.11625089949760344</v>
      </c>
    </row>
    <row r="30" spans="9:35" x14ac:dyDescent="0.45">
      <c r="I30" t="s">
        <v>173</v>
      </c>
      <c r="J30" t="s">
        <v>249</v>
      </c>
      <c r="K30">
        <v>1.2671912964997575E-2</v>
      </c>
      <c r="L30" t="s">
        <v>158</v>
      </c>
      <c r="N30" t="s">
        <v>198</v>
      </c>
      <c r="O30" t="s">
        <v>249</v>
      </c>
      <c r="P30">
        <v>6.1192350290311927E-2</v>
      </c>
      <c r="Q30" t="s">
        <v>158</v>
      </c>
      <c r="AC30" t="s">
        <v>19</v>
      </c>
      <c r="AD30" t="s">
        <v>249</v>
      </c>
      <c r="AE30">
        <v>0.1144898583519047</v>
      </c>
    </row>
    <row r="31" spans="9:35" x14ac:dyDescent="0.45">
      <c r="I31" t="s">
        <v>173</v>
      </c>
      <c r="J31" t="s">
        <v>250</v>
      </c>
      <c r="K31">
        <v>3.7185781402294525E-2</v>
      </c>
      <c r="L31" t="s">
        <v>158</v>
      </c>
      <c r="N31" t="s">
        <v>198</v>
      </c>
      <c r="O31" t="s">
        <v>250</v>
      </c>
      <c r="P31">
        <v>1.3190829473518972E-2</v>
      </c>
      <c r="Q31" t="s">
        <v>158</v>
      </c>
      <c r="AC31" t="s">
        <v>19</v>
      </c>
      <c r="AD31" t="s">
        <v>250</v>
      </c>
      <c r="AE31">
        <v>2.1100861171254748E-2</v>
      </c>
    </row>
    <row r="32" spans="9:35" x14ac:dyDescent="0.45">
      <c r="I32" t="s">
        <v>173</v>
      </c>
      <c r="J32" t="s">
        <v>251</v>
      </c>
      <c r="K32">
        <v>0.15116071367234912</v>
      </c>
      <c r="L32" t="s">
        <v>158</v>
      </c>
      <c r="N32" t="s">
        <v>198</v>
      </c>
      <c r="O32" t="s">
        <v>251</v>
      </c>
      <c r="P32">
        <v>0.12675399355526698</v>
      </c>
      <c r="Q32" t="s">
        <v>158</v>
      </c>
      <c r="AC32" t="s">
        <v>19</v>
      </c>
      <c r="AD32" t="s">
        <v>251</v>
      </c>
      <c r="AE32">
        <v>0.1139343210030094</v>
      </c>
    </row>
    <row r="33" spans="9:31" x14ac:dyDescent="0.45">
      <c r="I33" t="s">
        <v>173</v>
      </c>
      <c r="J33" t="s">
        <v>252</v>
      </c>
      <c r="K33">
        <v>0</v>
      </c>
      <c r="L33" t="s">
        <v>158</v>
      </c>
      <c r="N33" t="s">
        <v>198</v>
      </c>
      <c r="O33" t="s">
        <v>252</v>
      </c>
      <c r="P33">
        <v>0.15250812614129133</v>
      </c>
      <c r="Q33" t="s">
        <v>158</v>
      </c>
      <c r="AC33" t="s">
        <v>19</v>
      </c>
      <c r="AD33" t="s">
        <v>252</v>
      </c>
      <c r="AE33">
        <v>0.11217791802096555</v>
      </c>
    </row>
    <row r="34" spans="9:31" x14ac:dyDescent="0.45">
      <c r="I34" t="s">
        <v>173</v>
      </c>
      <c r="J34" t="s">
        <v>253</v>
      </c>
      <c r="K34">
        <v>3.5420959166380266E-3</v>
      </c>
      <c r="L34" t="s">
        <v>158</v>
      </c>
      <c r="N34" t="s">
        <v>198</v>
      </c>
      <c r="O34" t="s">
        <v>253</v>
      </c>
      <c r="P34">
        <v>2.9088425828622623E-2</v>
      </c>
      <c r="Q34" t="s">
        <v>158</v>
      </c>
      <c r="AC34" t="s">
        <v>19</v>
      </c>
      <c r="AD34" t="s">
        <v>253</v>
      </c>
      <c r="AE34">
        <v>2.0752871805705189E-2</v>
      </c>
    </row>
    <row r="35" spans="9:31" x14ac:dyDescent="0.45">
      <c r="I35" t="s">
        <v>174</v>
      </c>
      <c r="J35" t="s">
        <v>242</v>
      </c>
      <c r="K35">
        <v>0.17450141673593278</v>
      </c>
      <c r="L35" t="s">
        <v>158</v>
      </c>
      <c r="N35" t="s">
        <v>199</v>
      </c>
      <c r="O35" t="s">
        <v>242</v>
      </c>
      <c r="P35">
        <v>0.15319617522775364</v>
      </c>
      <c r="Q35" t="s">
        <v>158</v>
      </c>
    </row>
    <row r="36" spans="9:31" x14ac:dyDescent="0.45">
      <c r="I36" t="s">
        <v>174</v>
      </c>
      <c r="J36" t="s">
        <v>243</v>
      </c>
      <c r="K36">
        <v>0</v>
      </c>
      <c r="L36" t="s">
        <v>158</v>
      </c>
      <c r="N36" t="s">
        <v>199</v>
      </c>
      <c r="O36" t="s">
        <v>243</v>
      </c>
      <c r="P36">
        <v>0.14544024033479511</v>
      </c>
      <c r="Q36" t="s">
        <v>158</v>
      </c>
    </row>
    <row r="37" spans="9:31" x14ac:dyDescent="0.45">
      <c r="I37" t="s">
        <v>174</v>
      </c>
      <c r="J37" t="s">
        <v>244</v>
      </c>
      <c r="K37">
        <v>6.6107151410121105E-3</v>
      </c>
      <c r="L37" t="s">
        <v>158</v>
      </c>
      <c r="N37" t="s">
        <v>199</v>
      </c>
      <c r="O37" t="s">
        <v>244</v>
      </c>
      <c r="P37">
        <v>2.9654868040593699E-2</v>
      </c>
      <c r="Q37" t="s">
        <v>158</v>
      </c>
    </row>
    <row r="38" spans="9:31" x14ac:dyDescent="0.45">
      <c r="I38" t="s">
        <v>174</v>
      </c>
      <c r="J38" t="s">
        <v>245</v>
      </c>
      <c r="K38">
        <v>0.2574544530246819</v>
      </c>
      <c r="L38" t="s">
        <v>158</v>
      </c>
      <c r="N38" t="s">
        <v>199</v>
      </c>
      <c r="O38" t="s">
        <v>245</v>
      </c>
      <c r="P38">
        <v>0.10046027262014623</v>
      </c>
      <c r="Q38" t="s">
        <v>158</v>
      </c>
    </row>
    <row r="39" spans="9:31" x14ac:dyDescent="0.45">
      <c r="I39" t="s">
        <v>174</v>
      </c>
      <c r="J39" t="s">
        <v>246</v>
      </c>
      <c r="K39">
        <v>3.112876981136983E-3</v>
      </c>
      <c r="L39" t="s">
        <v>158</v>
      </c>
      <c r="N39" t="s">
        <v>199</v>
      </c>
      <c r="O39" t="s">
        <v>246</v>
      </c>
      <c r="P39">
        <v>9.9610973489398236E-2</v>
      </c>
      <c r="Q39" t="s">
        <v>158</v>
      </c>
    </row>
    <row r="40" spans="9:31" x14ac:dyDescent="0.45">
      <c r="I40" t="s">
        <v>174</v>
      </c>
      <c r="J40" t="s">
        <v>247</v>
      </c>
      <c r="K40">
        <v>2.0726900475117216E-2</v>
      </c>
      <c r="L40" t="s">
        <v>158</v>
      </c>
      <c r="N40" t="s">
        <v>199</v>
      </c>
      <c r="O40" t="s">
        <v>247</v>
      </c>
      <c r="P40">
        <v>1.9152536945764187E-2</v>
      </c>
      <c r="Q40" t="s">
        <v>158</v>
      </c>
    </row>
    <row r="41" spans="9:31" x14ac:dyDescent="0.45">
      <c r="I41" t="s">
        <v>174</v>
      </c>
      <c r="J41" t="s">
        <v>248</v>
      </c>
      <c r="K41">
        <v>0.3487422441813991</v>
      </c>
      <c r="L41" t="s">
        <v>158</v>
      </c>
      <c r="N41" t="s">
        <v>199</v>
      </c>
      <c r="O41" t="s">
        <v>248</v>
      </c>
      <c r="P41">
        <v>5.4937860992523811E-2</v>
      </c>
      <c r="Q41" t="s">
        <v>158</v>
      </c>
    </row>
    <row r="42" spans="9:31" x14ac:dyDescent="0.45">
      <c r="I42" t="s">
        <v>174</v>
      </c>
      <c r="J42" t="s">
        <v>249</v>
      </c>
      <c r="K42">
        <v>1.4155945297263352E-2</v>
      </c>
      <c r="L42" t="s">
        <v>158</v>
      </c>
      <c r="N42" t="s">
        <v>199</v>
      </c>
      <c r="O42" t="s">
        <v>249</v>
      </c>
      <c r="P42">
        <v>5.8448150149931606E-2</v>
      </c>
      <c r="Q42" t="s">
        <v>158</v>
      </c>
    </row>
    <row r="43" spans="9:31" x14ac:dyDescent="0.45">
      <c r="I43" t="s">
        <v>174</v>
      </c>
      <c r="J43" t="s">
        <v>250</v>
      </c>
      <c r="K43">
        <v>3.7714254363953481E-2</v>
      </c>
      <c r="L43" t="s">
        <v>158</v>
      </c>
      <c r="N43" t="s">
        <v>199</v>
      </c>
      <c r="O43" t="s">
        <v>250</v>
      </c>
      <c r="P43">
        <v>1.247278123114564E-2</v>
      </c>
      <c r="Q43" t="s">
        <v>158</v>
      </c>
    </row>
    <row r="44" spans="9:31" x14ac:dyDescent="0.45">
      <c r="I44" t="s">
        <v>174</v>
      </c>
      <c r="J44" t="s">
        <v>251</v>
      </c>
      <c r="K44">
        <v>0.13431868724710777</v>
      </c>
      <c r="L44" t="s">
        <v>158</v>
      </c>
      <c r="N44" t="s">
        <v>199</v>
      </c>
      <c r="O44" t="s">
        <v>251</v>
      </c>
      <c r="P44">
        <v>0.13971396468633154</v>
      </c>
      <c r="Q44" t="s">
        <v>158</v>
      </c>
    </row>
    <row r="45" spans="9:31" x14ac:dyDescent="0.45">
      <c r="I45" t="s">
        <v>174</v>
      </c>
      <c r="J45" t="s">
        <v>252</v>
      </c>
      <c r="K45">
        <v>0</v>
      </c>
      <c r="L45" t="s">
        <v>158</v>
      </c>
      <c r="N45" t="s">
        <v>199</v>
      </c>
      <c r="O45" t="s">
        <v>252</v>
      </c>
      <c r="P45">
        <v>0.15799151786364674</v>
      </c>
      <c r="Q45" t="s">
        <v>158</v>
      </c>
    </row>
    <row r="46" spans="9:31" x14ac:dyDescent="0.45">
      <c r="I46" t="s">
        <v>174</v>
      </c>
      <c r="J46" t="s">
        <v>253</v>
      </c>
      <c r="K46">
        <v>2.6625065522380706E-3</v>
      </c>
      <c r="L46" t="s">
        <v>158</v>
      </c>
      <c r="N46" t="s">
        <v>199</v>
      </c>
      <c r="O46" t="s">
        <v>253</v>
      </c>
      <c r="P46">
        <v>2.8920658417843331E-2</v>
      </c>
      <c r="Q46" t="s">
        <v>158</v>
      </c>
    </row>
    <row r="47" spans="9:31" x14ac:dyDescent="0.45">
      <c r="I47" t="s">
        <v>175</v>
      </c>
      <c r="J47" t="s">
        <v>242</v>
      </c>
      <c r="K47">
        <v>0.17894553467275409</v>
      </c>
      <c r="L47" t="s">
        <v>158</v>
      </c>
      <c r="N47" t="s">
        <v>200</v>
      </c>
      <c r="O47" t="s">
        <v>242</v>
      </c>
      <c r="P47">
        <v>8.0000797970779927E-2</v>
      </c>
      <c r="Q47" t="s">
        <v>158</v>
      </c>
    </row>
    <row r="48" spans="9:31" x14ac:dyDescent="0.45">
      <c r="I48" t="s">
        <v>175</v>
      </c>
      <c r="J48" t="s">
        <v>243</v>
      </c>
      <c r="K48">
        <v>0</v>
      </c>
      <c r="L48" t="s">
        <v>158</v>
      </c>
      <c r="N48" t="s">
        <v>200</v>
      </c>
      <c r="O48" t="s">
        <v>243</v>
      </c>
      <c r="P48">
        <v>0.12548961295126435</v>
      </c>
      <c r="Q48" t="s">
        <v>158</v>
      </c>
    </row>
    <row r="49" spans="9:17" x14ac:dyDescent="0.45">
      <c r="I49" t="s">
        <v>175</v>
      </c>
      <c r="J49" t="s">
        <v>244</v>
      </c>
      <c r="K49">
        <v>6.724598687848843E-3</v>
      </c>
      <c r="L49" t="s">
        <v>158</v>
      </c>
      <c r="N49" t="s">
        <v>200</v>
      </c>
      <c r="O49" t="s">
        <v>244</v>
      </c>
      <c r="P49">
        <v>1.7348012362144373E-2</v>
      </c>
      <c r="Q49" t="s">
        <v>158</v>
      </c>
    </row>
    <row r="50" spans="9:17" x14ac:dyDescent="0.45">
      <c r="I50" t="s">
        <v>175</v>
      </c>
      <c r="J50" t="s">
        <v>245</v>
      </c>
      <c r="K50">
        <v>0.2727409478711551</v>
      </c>
      <c r="L50" t="s">
        <v>158</v>
      </c>
      <c r="N50" t="s">
        <v>200</v>
      </c>
      <c r="O50" t="s">
        <v>245</v>
      </c>
      <c r="P50">
        <v>8.7407821329606852E-2</v>
      </c>
      <c r="Q50" t="s">
        <v>158</v>
      </c>
    </row>
    <row r="51" spans="9:17" x14ac:dyDescent="0.45">
      <c r="I51" t="s">
        <v>175</v>
      </c>
      <c r="J51" t="s">
        <v>246</v>
      </c>
      <c r="K51">
        <v>2.9427837460803477E-3</v>
      </c>
      <c r="L51" t="s">
        <v>158</v>
      </c>
      <c r="N51" t="s">
        <v>200</v>
      </c>
      <c r="O51" t="s">
        <v>246</v>
      </c>
      <c r="P51">
        <v>0.10814548432801284</v>
      </c>
      <c r="Q51" t="s">
        <v>158</v>
      </c>
    </row>
    <row r="52" spans="9:17" x14ac:dyDescent="0.45">
      <c r="I52" t="s">
        <v>175</v>
      </c>
      <c r="J52" t="s">
        <v>247</v>
      </c>
      <c r="K52">
        <v>2.4772519421579455E-2</v>
      </c>
      <c r="L52" t="s">
        <v>158</v>
      </c>
      <c r="N52" t="s">
        <v>200</v>
      </c>
      <c r="O52" t="s">
        <v>247</v>
      </c>
      <c r="P52">
        <v>1.8515009464823744E-2</v>
      </c>
      <c r="Q52" t="s">
        <v>158</v>
      </c>
    </row>
    <row r="53" spans="9:17" x14ac:dyDescent="0.45">
      <c r="I53" t="s">
        <v>175</v>
      </c>
      <c r="J53" t="s">
        <v>248</v>
      </c>
      <c r="K53">
        <v>0.29860999538019362</v>
      </c>
      <c r="L53" t="s">
        <v>158</v>
      </c>
      <c r="N53" t="s">
        <v>200</v>
      </c>
      <c r="O53" t="s">
        <v>248</v>
      </c>
      <c r="P53">
        <v>4.823775164700702E-2</v>
      </c>
      <c r="Q53" t="s">
        <v>158</v>
      </c>
    </row>
    <row r="54" spans="9:17" x14ac:dyDescent="0.45">
      <c r="I54" t="s">
        <v>175</v>
      </c>
      <c r="J54" t="s">
        <v>249</v>
      </c>
      <c r="K54">
        <v>9.8487048761743707E-3</v>
      </c>
      <c r="L54" t="s">
        <v>158</v>
      </c>
      <c r="N54" t="s">
        <v>200</v>
      </c>
      <c r="O54" t="s">
        <v>249</v>
      </c>
      <c r="P54">
        <v>7.1270816659960198E-2</v>
      </c>
      <c r="Q54" t="s">
        <v>158</v>
      </c>
    </row>
    <row r="55" spans="9:17" x14ac:dyDescent="0.45">
      <c r="I55" t="s">
        <v>175</v>
      </c>
      <c r="J55" t="s">
        <v>250</v>
      </c>
      <c r="K55">
        <v>3.1600900189998053E-2</v>
      </c>
      <c r="L55" t="s">
        <v>158</v>
      </c>
      <c r="N55" t="s">
        <v>200</v>
      </c>
      <c r="O55" t="s">
        <v>250</v>
      </c>
      <c r="P55">
        <v>9.6025065296143561E-3</v>
      </c>
      <c r="Q55" t="s">
        <v>158</v>
      </c>
    </row>
    <row r="56" spans="9:17" x14ac:dyDescent="0.45">
      <c r="I56" t="s">
        <v>175</v>
      </c>
      <c r="J56" t="s">
        <v>251</v>
      </c>
      <c r="K56">
        <v>0.17120826609603731</v>
      </c>
      <c r="L56" t="s">
        <v>158</v>
      </c>
      <c r="N56" t="s">
        <v>200</v>
      </c>
      <c r="O56" t="s">
        <v>251</v>
      </c>
      <c r="P56">
        <v>0.18313133932911693</v>
      </c>
      <c r="Q56" t="s">
        <v>158</v>
      </c>
    </row>
    <row r="57" spans="9:17" x14ac:dyDescent="0.45">
      <c r="I57" t="s">
        <v>175</v>
      </c>
      <c r="J57" t="s">
        <v>252</v>
      </c>
      <c r="K57">
        <v>0</v>
      </c>
      <c r="L57" t="s">
        <v>158</v>
      </c>
      <c r="N57" t="s">
        <v>200</v>
      </c>
      <c r="O57" t="s">
        <v>252</v>
      </c>
      <c r="P57">
        <v>0.21194586563828841</v>
      </c>
      <c r="Q57" t="s">
        <v>158</v>
      </c>
    </row>
    <row r="58" spans="9:17" x14ac:dyDescent="0.45">
      <c r="I58" t="s">
        <v>175</v>
      </c>
      <c r="J58" t="s">
        <v>253</v>
      </c>
      <c r="K58">
        <v>2.6057490580071322E-3</v>
      </c>
      <c r="L58" t="s">
        <v>158</v>
      </c>
      <c r="N58" t="s">
        <v>200</v>
      </c>
      <c r="O58" t="s">
        <v>253</v>
      </c>
      <c r="P58">
        <v>3.8904981789284802E-2</v>
      </c>
      <c r="Q58" t="s">
        <v>158</v>
      </c>
    </row>
    <row r="59" spans="9:17" x14ac:dyDescent="0.45">
      <c r="I59" t="s">
        <v>176</v>
      </c>
      <c r="J59" t="s">
        <v>242</v>
      </c>
      <c r="K59">
        <v>0.18244805698661992</v>
      </c>
      <c r="L59" t="s">
        <v>158</v>
      </c>
      <c r="N59" t="s">
        <v>201</v>
      </c>
      <c r="O59" t="s">
        <v>242</v>
      </c>
      <c r="P59">
        <v>0.1094077406190013</v>
      </c>
      <c r="Q59" t="s">
        <v>158</v>
      </c>
    </row>
    <row r="60" spans="9:17" x14ac:dyDescent="0.45">
      <c r="I60" t="s">
        <v>176</v>
      </c>
      <c r="J60" t="s">
        <v>243</v>
      </c>
      <c r="K60">
        <v>0</v>
      </c>
      <c r="L60" t="s">
        <v>158</v>
      </c>
      <c r="N60" t="s">
        <v>201</v>
      </c>
      <c r="O60" t="s">
        <v>243</v>
      </c>
      <c r="P60">
        <v>0.12027542685152301</v>
      </c>
      <c r="Q60" t="s">
        <v>158</v>
      </c>
    </row>
    <row r="61" spans="9:17" x14ac:dyDescent="0.45">
      <c r="I61" t="s">
        <v>176</v>
      </c>
      <c r="J61" t="s">
        <v>244</v>
      </c>
      <c r="K61">
        <v>6.1540204768697039E-3</v>
      </c>
      <c r="L61" t="s">
        <v>158</v>
      </c>
      <c r="N61" t="s">
        <v>201</v>
      </c>
      <c r="O61" t="s">
        <v>244</v>
      </c>
      <c r="P61">
        <v>2.1045928923343605E-2</v>
      </c>
      <c r="Q61" t="s">
        <v>158</v>
      </c>
    </row>
    <row r="62" spans="9:17" x14ac:dyDescent="0.45">
      <c r="I62" t="s">
        <v>176</v>
      </c>
      <c r="J62" t="s">
        <v>245</v>
      </c>
      <c r="K62">
        <v>0.28281253297132886</v>
      </c>
      <c r="L62" t="s">
        <v>158</v>
      </c>
      <c r="N62" t="s">
        <v>201</v>
      </c>
      <c r="O62" t="s">
        <v>245</v>
      </c>
      <c r="P62">
        <v>0.11009209587715076</v>
      </c>
      <c r="Q62" t="s">
        <v>158</v>
      </c>
    </row>
    <row r="63" spans="9:17" x14ac:dyDescent="0.45">
      <c r="I63" t="s">
        <v>176</v>
      </c>
      <c r="J63" t="s">
        <v>246</v>
      </c>
      <c r="K63">
        <v>2.634082210901399E-3</v>
      </c>
      <c r="L63" t="s">
        <v>158</v>
      </c>
      <c r="N63" t="s">
        <v>201</v>
      </c>
      <c r="O63" t="s">
        <v>246</v>
      </c>
      <c r="P63">
        <v>0.10585189197692936</v>
      </c>
      <c r="Q63" t="s">
        <v>158</v>
      </c>
    </row>
    <row r="64" spans="9:17" x14ac:dyDescent="0.45">
      <c r="I64" t="s">
        <v>176</v>
      </c>
      <c r="J64" t="s">
        <v>247</v>
      </c>
      <c r="K64">
        <v>2.3792846856687831E-2</v>
      </c>
      <c r="L64" t="s">
        <v>158</v>
      </c>
      <c r="N64" t="s">
        <v>201</v>
      </c>
      <c r="O64" t="s">
        <v>247</v>
      </c>
      <c r="P64">
        <v>2.1051556272124159E-2</v>
      </c>
      <c r="Q64" t="s">
        <v>158</v>
      </c>
    </row>
    <row r="65" spans="9:17" x14ac:dyDescent="0.45">
      <c r="I65" t="s">
        <v>176</v>
      </c>
      <c r="J65" t="s">
        <v>248</v>
      </c>
      <c r="K65">
        <v>0.29119241526184009</v>
      </c>
      <c r="L65" t="s">
        <v>158</v>
      </c>
      <c r="N65" t="s">
        <v>201</v>
      </c>
      <c r="O65" t="s">
        <v>248</v>
      </c>
      <c r="P65">
        <v>6.7040067776819257E-2</v>
      </c>
      <c r="Q65" t="s">
        <v>158</v>
      </c>
    </row>
    <row r="66" spans="9:17" x14ac:dyDescent="0.45">
      <c r="I66" t="s">
        <v>176</v>
      </c>
      <c r="J66" t="s">
        <v>249</v>
      </c>
      <c r="K66">
        <v>9.3384489328947867E-3</v>
      </c>
      <c r="L66" t="s">
        <v>158</v>
      </c>
      <c r="N66" t="s">
        <v>201</v>
      </c>
      <c r="O66" t="s">
        <v>249</v>
      </c>
      <c r="P66">
        <v>5.8165112181981803E-2</v>
      </c>
      <c r="Q66" t="s">
        <v>158</v>
      </c>
    </row>
    <row r="67" spans="9:17" x14ac:dyDescent="0.45">
      <c r="I67" t="s">
        <v>176</v>
      </c>
      <c r="J67" t="s">
        <v>250</v>
      </c>
      <c r="K67">
        <v>2.9810173121944065E-2</v>
      </c>
      <c r="L67" t="s">
        <v>158</v>
      </c>
      <c r="N67" t="s">
        <v>201</v>
      </c>
      <c r="O67" t="s">
        <v>250</v>
      </c>
      <c r="P67">
        <v>1.2738076853164091E-2</v>
      </c>
      <c r="Q67" t="s">
        <v>158</v>
      </c>
    </row>
    <row r="68" spans="9:17" x14ac:dyDescent="0.45">
      <c r="I68" t="s">
        <v>176</v>
      </c>
      <c r="J68" t="s">
        <v>251</v>
      </c>
      <c r="K68">
        <v>0.16930589471810625</v>
      </c>
      <c r="L68" t="s">
        <v>158</v>
      </c>
      <c r="N68" t="s">
        <v>201</v>
      </c>
      <c r="O68" t="s">
        <v>251</v>
      </c>
      <c r="P68">
        <v>0.16362581407963578</v>
      </c>
      <c r="Q68" t="s">
        <v>158</v>
      </c>
    </row>
    <row r="69" spans="9:17" x14ac:dyDescent="0.45">
      <c r="I69" t="s">
        <v>176</v>
      </c>
      <c r="J69" t="s">
        <v>252</v>
      </c>
      <c r="K69">
        <v>0</v>
      </c>
      <c r="L69" t="s">
        <v>158</v>
      </c>
      <c r="N69" t="s">
        <v>201</v>
      </c>
      <c r="O69" t="s">
        <v>252</v>
      </c>
      <c r="P69">
        <v>0.17835100388747877</v>
      </c>
      <c r="Q69" t="s">
        <v>158</v>
      </c>
    </row>
    <row r="70" spans="9:17" x14ac:dyDescent="0.45">
      <c r="I70" t="s">
        <v>176</v>
      </c>
      <c r="J70" t="s">
        <v>253</v>
      </c>
      <c r="K70">
        <v>2.5115284626366962E-3</v>
      </c>
      <c r="L70" t="s">
        <v>158</v>
      </c>
      <c r="N70" t="s">
        <v>201</v>
      </c>
      <c r="O70" t="s">
        <v>253</v>
      </c>
      <c r="P70">
        <v>3.2355284700717878E-2</v>
      </c>
      <c r="Q70" t="s">
        <v>158</v>
      </c>
    </row>
    <row r="71" spans="9:17" x14ac:dyDescent="0.45">
      <c r="I71" t="s">
        <v>177</v>
      </c>
      <c r="J71" t="s">
        <v>242</v>
      </c>
      <c r="K71">
        <v>0.18334515099901741</v>
      </c>
      <c r="L71" t="s">
        <v>158</v>
      </c>
      <c r="N71" t="s">
        <v>202</v>
      </c>
      <c r="O71" t="s">
        <v>242</v>
      </c>
      <c r="P71">
        <v>0.17105674286392342</v>
      </c>
      <c r="Q71" t="s">
        <v>158</v>
      </c>
    </row>
    <row r="72" spans="9:17" x14ac:dyDescent="0.45">
      <c r="I72" t="s">
        <v>177</v>
      </c>
      <c r="J72" t="s">
        <v>243</v>
      </c>
      <c r="K72">
        <v>0</v>
      </c>
      <c r="L72" t="s">
        <v>158</v>
      </c>
      <c r="N72" t="s">
        <v>202</v>
      </c>
      <c r="O72" t="s">
        <v>243</v>
      </c>
      <c r="P72">
        <v>0.13677866044400236</v>
      </c>
      <c r="Q72" t="s">
        <v>158</v>
      </c>
    </row>
    <row r="73" spans="9:17" x14ac:dyDescent="0.45">
      <c r="I73" t="s">
        <v>177</v>
      </c>
      <c r="J73" t="s">
        <v>244</v>
      </c>
      <c r="K73">
        <v>6.3740173756637025E-3</v>
      </c>
      <c r="L73" t="s">
        <v>158</v>
      </c>
      <c r="N73" t="s">
        <v>202</v>
      </c>
      <c r="O73" t="s">
        <v>244</v>
      </c>
      <c r="P73">
        <v>2.7466782092042955E-2</v>
      </c>
      <c r="Q73" t="s">
        <v>158</v>
      </c>
    </row>
    <row r="74" spans="9:17" x14ac:dyDescent="0.45">
      <c r="I74" t="s">
        <v>177</v>
      </c>
      <c r="J74" t="s">
        <v>245</v>
      </c>
      <c r="K74">
        <v>0.26929726213469152</v>
      </c>
      <c r="L74" t="s">
        <v>158</v>
      </c>
      <c r="N74" t="s">
        <v>202</v>
      </c>
      <c r="O74" t="s">
        <v>245</v>
      </c>
      <c r="P74">
        <v>0.10791283933559954</v>
      </c>
      <c r="Q74" t="s">
        <v>158</v>
      </c>
    </row>
    <row r="75" spans="9:17" x14ac:dyDescent="0.45">
      <c r="I75" t="s">
        <v>177</v>
      </c>
      <c r="J75" t="s">
        <v>246</v>
      </c>
      <c r="K75">
        <v>2.6957457797481899E-3</v>
      </c>
      <c r="L75" t="s">
        <v>158</v>
      </c>
      <c r="N75" t="s">
        <v>202</v>
      </c>
      <c r="O75" t="s">
        <v>246</v>
      </c>
      <c r="P75">
        <v>9.4368344220235614E-2</v>
      </c>
      <c r="Q75" t="s">
        <v>158</v>
      </c>
    </row>
    <row r="76" spans="9:17" x14ac:dyDescent="0.45">
      <c r="I76" t="s">
        <v>177</v>
      </c>
      <c r="J76" t="s">
        <v>247</v>
      </c>
      <c r="K76">
        <v>2.1860324925376505E-2</v>
      </c>
      <c r="L76" t="s">
        <v>158</v>
      </c>
      <c r="N76" t="s">
        <v>202</v>
      </c>
      <c r="O76" t="s">
        <v>247</v>
      </c>
      <c r="P76">
        <v>2.0408832479754689E-2</v>
      </c>
      <c r="Q76" t="s">
        <v>158</v>
      </c>
    </row>
    <row r="77" spans="9:17" x14ac:dyDescent="0.45">
      <c r="I77" t="s">
        <v>177</v>
      </c>
      <c r="J77" t="s">
        <v>248</v>
      </c>
      <c r="K77">
        <v>0.31539772514992398</v>
      </c>
      <c r="L77" t="s">
        <v>158</v>
      </c>
      <c r="N77" t="s">
        <v>202</v>
      </c>
      <c r="O77" t="s">
        <v>248</v>
      </c>
      <c r="P77">
        <v>5.9686567086780509E-2</v>
      </c>
      <c r="Q77" t="s">
        <v>158</v>
      </c>
    </row>
    <row r="78" spans="9:17" x14ac:dyDescent="0.45">
      <c r="I78" t="s">
        <v>177</v>
      </c>
      <c r="J78" t="s">
        <v>249</v>
      </c>
      <c r="K78">
        <v>1.1294787246401998E-2</v>
      </c>
      <c r="L78" t="s">
        <v>158</v>
      </c>
      <c r="N78" t="s">
        <v>202</v>
      </c>
      <c r="O78" t="s">
        <v>249</v>
      </c>
      <c r="P78">
        <v>5.2222909110973721E-2</v>
      </c>
      <c r="Q78" t="s">
        <v>158</v>
      </c>
    </row>
    <row r="79" spans="9:17" x14ac:dyDescent="0.45">
      <c r="I79" t="s">
        <v>177</v>
      </c>
      <c r="J79" t="s">
        <v>250</v>
      </c>
      <c r="K79">
        <v>3.255860311053696E-2</v>
      </c>
      <c r="L79" t="s">
        <v>158</v>
      </c>
      <c r="N79" t="s">
        <v>202</v>
      </c>
      <c r="O79" t="s">
        <v>250</v>
      </c>
      <c r="P79">
        <v>9.7083497197910564E-3</v>
      </c>
      <c r="Q79" t="s">
        <v>158</v>
      </c>
    </row>
    <row r="80" spans="9:17" x14ac:dyDescent="0.45">
      <c r="I80" t="s">
        <v>177</v>
      </c>
      <c r="J80" t="s">
        <v>251</v>
      </c>
      <c r="K80">
        <v>0.15464076563056992</v>
      </c>
      <c r="L80" t="s">
        <v>158</v>
      </c>
      <c r="N80" t="s">
        <v>202</v>
      </c>
      <c r="O80" t="s">
        <v>251</v>
      </c>
      <c r="P80">
        <v>0.13502628623559285</v>
      </c>
      <c r="Q80" t="s">
        <v>158</v>
      </c>
    </row>
    <row r="81" spans="9:17" x14ac:dyDescent="0.45">
      <c r="I81" t="s">
        <v>177</v>
      </c>
      <c r="J81" t="s">
        <v>252</v>
      </c>
      <c r="K81">
        <v>0</v>
      </c>
      <c r="L81" t="s">
        <v>158</v>
      </c>
      <c r="N81" t="s">
        <v>202</v>
      </c>
      <c r="O81" t="s">
        <v>252</v>
      </c>
      <c r="P81">
        <v>0.15621629974360041</v>
      </c>
      <c r="Q81" t="s">
        <v>158</v>
      </c>
    </row>
    <row r="82" spans="9:17" x14ac:dyDescent="0.45">
      <c r="I82" t="s">
        <v>177</v>
      </c>
      <c r="J82" t="s">
        <v>253</v>
      </c>
      <c r="K82">
        <v>2.535617647898857E-3</v>
      </c>
      <c r="L82" t="s">
        <v>158</v>
      </c>
      <c r="N82" t="s">
        <v>202</v>
      </c>
      <c r="O82" t="s">
        <v>253</v>
      </c>
      <c r="P82">
        <v>2.9147386667593554E-2</v>
      </c>
      <c r="Q82" t="s">
        <v>158</v>
      </c>
    </row>
    <row r="83" spans="9:17" x14ac:dyDescent="0.45">
      <c r="I83" t="s">
        <v>178</v>
      </c>
      <c r="J83" t="s">
        <v>242</v>
      </c>
      <c r="K83">
        <v>0.17754867079551651</v>
      </c>
      <c r="L83" t="s">
        <v>158</v>
      </c>
      <c r="N83" t="s">
        <v>203</v>
      </c>
      <c r="O83" t="s">
        <v>242</v>
      </c>
      <c r="P83">
        <v>0.13413798813982009</v>
      </c>
      <c r="Q83" t="s">
        <v>158</v>
      </c>
    </row>
    <row r="84" spans="9:17" x14ac:dyDescent="0.45">
      <c r="I84" t="s">
        <v>178</v>
      </c>
      <c r="J84" t="s">
        <v>243</v>
      </c>
      <c r="K84">
        <v>0</v>
      </c>
      <c r="L84" t="s">
        <v>158</v>
      </c>
      <c r="N84" t="s">
        <v>203</v>
      </c>
      <c r="O84" t="s">
        <v>243</v>
      </c>
      <c r="P84">
        <v>0.13142105011189131</v>
      </c>
      <c r="Q84" t="s">
        <v>158</v>
      </c>
    </row>
    <row r="85" spans="9:17" x14ac:dyDescent="0.45">
      <c r="I85" t="s">
        <v>178</v>
      </c>
      <c r="J85" t="s">
        <v>244</v>
      </c>
      <c r="K85">
        <v>6.6952346607212282E-3</v>
      </c>
      <c r="L85" t="s">
        <v>158</v>
      </c>
      <c r="N85" t="s">
        <v>203</v>
      </c>
      <c r="O85" t="s">
        <v>244</v>
      </c>
      <c r="P85">
        <v>2.867987525871989E-2</v>
      </c>
      <c r="Q85" t="s">
        <v>158</v>
      </c>
    </row>
    <row r="86" spans="9:17" x14ac:dyDescent="0.45">
      <c r="I86" t="s">
        <v>178</v>
      </c>
      <c r="J86" t="s">
        <v>245</v>
      </c>
      <c r="K86">
        <v>0.26366823525321054</v>
      </c>
      <c r="L86" t="s">
        <v>158</v>
      </c>
      <c r="N86" t="s">
        <v>203</v>
      </c>
      <c r="O86" t="s">
        <v>245</v>
      </c>
      <c r="P86">
        <v>0.10518609698555444</v>
      </c>
      <c r="Q86" t="s">
        <v>158</v>
      </c>
    </row>
    <row r="87" spans="9:17" x14ac:dyDescent="0.45">
      <c r="I87" t="s">
        <v>178</v>
      </c>
      <c r="J87" t="s">
        <v>246</v>
      </c>
      <c r="K87">
        <v>3.1830796758480716E-3</v>
      </c>
      <c r="L87" t="s">
        <v>158</v>
      </c>
      <c r="N87" t="s">
        <v>203</v>
      </c>
      <c r="O87" t="s">
        <v>246</v>
      </c>
      <c r="P87">
        <v>0.11392935459958754</v>
      </c>
      <c r="Q87" t="s">
        <v>158</v>
      </c>
    </row>
    <row r="88" spans="9:17" x14ac:dyDescent="0.45">
      <c r="I88" t="s">
        <v>178</v>
      </c>
      <c r="J88" t="s">
        <v>247</v>
      </c>
      <c r="K88">
        <v>2.091119148097554E-2</v>
      </c>
      <c r="L88" t="s">
        <v>158</v>
      </c>
      <c r="N88" t="s">
        <v>203</v>
      </c>
      <c r="O88" t="s">
        <v>247</v>
      </c>
      <c r="P88">
        <v>2.3581882370392434E-2</v>
      </c>
      <c r="Q88" t="s">
        <v>158</v>
      </c>
    </row>
    <row r="89" spans="9:17" x14ac:dyDescent="0.45">
      <c r="I89" t="s">
        <v>178</v>
      </c>
      <c r="J89" t="s">
        <v>248</v>
      </c>
      <c r="K89">
        <v>0.33902027754925862</v>
      </c>
      <c r="L89" t="s">
        <v>158</v>
      </c>
      <c r="N89" t="s">
        <v>203</v>
      </c>
      <c r="O89" t="s">
        <v>248</v>
      </c>
      <c r="P89">
        <v>6.2617934023676006E-2</v>
      </c>
      <c r="Q89" t="s">
        <v>158</v>
      </c>
    </row>
    <row r="90" spans="9:17" x14ac:dyDescent="0.45">
      <c r="I90" t="s">
        <v>178</v>
      </c>
      <c r="J90" t="s">
        <v>249</v>
      </c>
      <c r="K90">
        <v>1.361795263983839E-2</v>
      </c>
      <c r="L90" t="s">
        <v>158</v>
      </c>
      <c r="N90" t="s">
        <v>203</v>
      </c>
      <c r="O90" t="s">
        <v>249</v>
      </c>
      <c r="P90">
        <v>7.4416808101746654E-2</v>
      </c>
      <c r="Q90" t="s">
        <v>158</v>
      </c>
    </row>
    <row r="91" spans="9:17" x14ac:dyDescent="0.45">
      <c r="I91" t="s">
        <v>178</v>
      </c>
      <c r="J91" t="s">
        <v>250</v>
      </c>
      <c r="K91">
        <v>3.6610835145015723E-2</v>
      </c>
      <c r="L91" t="s">
        <v>158</v>
      </c>
      <c r="N91" t="s">
        <v>203</v>
      </c>
      <c r="O91" t="s">
        <v>250</v>
      </c>
      <c r="P91">
        <v>1.1613515581858184E-2</v>
      </c>
      <c r="Q91" t="s">
        <v>158</v>
      </c>
    </row>
    <row r="92" spans="9:17" x14ac:dyDescent="0.45">
      <c r="I92" t="s">
        <v>178</v>
      </c>
      <c r="J92" t="s">
        <v>251</v>
      </c>
      <c r="K92">
        <v>0.13641354336220721</v>
      </c>
      <c r="L92" t="s">
        <v>158</v>
      </c>
      <c r="N92" t="s">
        <v>203</v>
      </c>
      <c r="O92" t="s">
        <v>251</v>
      </c>
      <c r="P92">
        <v>0.13160615912973325</v>
      </c>
      <c r="Q92" t="s">
        <v>158</v>
      </c>
    </row>
    <row r="93" spans="9:17" x14ac:dyDescent="0.45">
      <c r="I93" t="s">
        <v>178</v>
      </c>
      <c r="J93" t="s">
        <v>252</v>
      </c>
      <c r="K93">
        <v>0</v>
      </c>
      <c r="L93" t="s">
        <v>158</v>
      </c>
      <c r="N93" t="s">
        <v>203</v>
      </c>
      <c r="O93" t="s">
        <v>252</v>
      </c>
      <c r="P93">
        <v>0.15443109171349129</v>
      </c>
      <c r="Q93" t="s">
        <v>158</v>
      </c>
    </row>
    <row r="94" spans="9:17" x14ac:dyDescent="0.45">
      <c r="I94" t="s">
        <v>178</v>
      </c>
      <c r="J94" t="s">
        <v>253</v>
      </c>
      <c r="K94">
        <v>2.3309794372427047E-3</v>
      </c>
      <c r="L94" t="s">
        <v>158</v>
      </c>
      <c r="N94" t="s">
        <v>203</v>
      </c>
      <c r="O94" t="s">
        <v>253</v>
      </c>
      <c r="P94">
        <v>2.8378243983401139E-2</v>
      </c>
      <c r="Q94" t="s">
        <v>158</v>
      </c>
    </row>
    <row r="95" spans="9:17" x14ac:dyDescent="0.45">
      <c r="I95" t="s">
        <v>179</v>
      </c>
      <c r="J95" t="s">
        <v>242</v>
      </c>
      <c r="K95">
        <v>0.17497349418429897</v>
      </c>
      <c r="L95" t="s">
        <v>158</v>
      </c>
      <c r="N95" t="s">
        <v>204</v>
      </c>
      <c r="O95" t="s">
        <v>242</v>
      </c>
      <c r="P95">
        <v>8.5596023115163414E-2</v>
      </c>
      <c r="Q95" t="s">
        <v>158</v>
      </c>
    </row>
    <row r="96" spans="9:17" x14ac:dyDescent="0.45">
      <c r="I96" t="s">
        <v>179</v>
      </c>
      <c r="J96" t="s">
        <v>243</v>
      </c>
      <c r="K96">
        <v>0</v>
      </c>
      <c r="L96" t="s">
        <v>158</v>
      </c>
      <c r="N96" t="s">
        <v>204</v>
      </c>
      <c r="O96" t="s">
        <v>243</v>
      </c>
      <c r="P96">
        <v>0.12613080711909508</v>
      </c>
      <c r="Q96" t="s">
        <v>158</v>
      </c>
    </row>
    <row r="97" spans="9:17" x14ac:dyDescent="0.45">
      <c r="I97" t="s">
        <v>179</v>
      </c>
      <c r="J97" t="s">
        <v>244</v>
      </c>
      <c r="K97">
        <v>6.7116062973679265E-3</v>
      </c>
      <c r="L97" t="s">
        <v>158</v>
      </c>
      <c r="N97" t="s">
        <v>204</v>
      </c>
      <c r="O97" t="s">
        <v>244</v>
      </c>
      <c r="P97">
        <v>1.6357715209550299E-2</v>
      </c>
      <c r="Q97" t="s">
        <v>158</v>
      </c>
    </row>
    <row r="98" spans="9:17" x14ac:dyDescent="0.45">
      <c r="I98" t="s">
        <v>179</v>
      </c>
      <c r="J98" t="s">
        <v>245</v>
      </c>
      <c r="K98">
        <v>0.2599177290240291</v>
      </c>
      <c r="L98" t="s">
        <v>158</v>
      </c>
      <c r="N98" t="s">
        <v>204</v>
      </c>
      <c r="O98" t="s">
        <v>245</v>
      </c>
      <c r="P98">
        <v>0.10492271202553986</v>
      </c>
      <c r="Q98" t="s">
        <v>158</v>
      </c>
    </row>
    <row r="99" spans="9:17" x14ac:dyDescent="0.45">
      <c r="I99" t="s">
        <v>179</v>
      </c>
      <c r="J99" t="s">
        <v>246</v>
      </c>
      <c r="K99">
        <v>3.3231422390551865E-3</v>
      </c>
      <c r="L99" t="s">
        <v>158</v>
      </c>
      <c r="N99" t="s">
        <v>204</v>
      </c>
      <c r="O99" t="s">
        <v>246</v>
      </c>
      <c r="P99">
        <v>0.10850684352271867</v>
      </c>
      <c r="Q99" t="s">
        <v>158</v>
      </c>
    </row>
    <row r="100" spans="9:17" x14ac:dyDescent="0.45">
      <c r="I100" t="s">
        <v>179</v>
      </c>
      <c r="J100" t="s">
        <v>247</v>
      </c>
      <c r="K100">
        <v>2.1878154351761943E-2</v>
      </c>
      <c r="L100" t="s">
        <v>158</v>
      </c>
      <c r="N100" t="s">
        <v>204</v>
      </c>
      <c r="O100" t="s">
        <v>247</v>
      </c>
      <c r="P100">
        <v>2.0563898247433279E-2</v>
      </c>
      <c r="Q100" t="s">
        <v>158</v>
      </c>
    </row>
    <row r="101" spans="9:17" x14ac:dyDescent="0.45">
      <c r="I101" t="s">
        <v>179</v>
      </c>
      <c r="J101" t="s">
        <v>248</v>
      </c>
      <c r="K101">
        <v>0.31727641309001386</v>
      </c>
      <c r="L101" t="s">
        <v>158</v>
      </c>
      <c r="N101" t="s">
        <v>204</v>
      </c>
      <c r="O101" t="s">
        <v>248</v>
      </c>
      <c r="P101">
        <v>6.0853854279075394E-2</v>
      </c>
      <c r="Q101" t="s">
        <v>158</v>
      </c>
    </row>
    <row r="102" spans="9:17" x14ac:dyDescent="0.45">
      <c r="I102" t="s">
        <v>179</v>
      </c>
      <c r="J102" t="s">
        <v>249</v>
      </c>
      <c r="K102">
        <v>1.0687320539427548E-2</v>
      </c>
      <c r="L102" t="s">
        <v>158</v>
      </c>
      <c r="N102" t="s">
        <v>204</v>
      </c>
      <c r="O102" t="s">
        <v>249</v>
      </c>
      <c r="P102">
        <v>7.8792617048212832E-2</v>
      </c>
      <c r="Q102" t="s">
        <v>158</v>
      </c>
    </row>
    <row r="103" spans="9:17" x14ac:dyDescent="0.45">
      <c r="I103" t="s">
        <v>179</v>
      </c>
      <c r="J103" t="s">
        <v>250</v>
      </c>
      <c r="K103">
        <v>3.2334068959745423E-2</v>
      </c>
      <c r="L103" t="s">
        <v>158</v>
      </c>
      <c r="N103" t="s">
        <v>204</v>
      </c>
      <c r="O103" t="s">
        <v>250</v>
      </c>
      <c r="P103">
        <v>1.2226981887725013E-2</v>
      </c>
      <c r="Q103" t="s">
        <v>158</v>
      </c>
    </row>
    <row r="104" spans="9:17" x14ac:dyDescent="0.45">
      <c r="I104" t="s">
        <v>179</v>
      </c>
      <c r="J104" t="s">
        <v>251</v>
      </c>
      <c r="K104">
        <v>0.17026991411649664</v>
      </c>
      <c r="L104" t="s">
        <v>158</v>
      </c>
      <c r="N104" t="s">
        <v>204</v>
      </c>
      <c r="O104" t="s">
        <v>251</v>
      </c>
      <c r="P104">
        <v>0.16949721731788994</v>
      </c>
      <c r="Q104" t="s">
        <v>158</v>
      </c>
    </row>
    <row r="105" spans="9:17" x14ac:dyDescent="0.45">
      <c r="I105" t="s">
        <v>179</v>
      </c>
      <c r="J105" t="s">
        <v>252</v>
      </c>
      <c r="K105">
        <v>0</v>
      </c>
      <c r="L105" t="s">
        <v>158</v>
      </c>
      <c r="N105" t="s">
        <v>204</v>
      </c>
      <c r="O105" t="s">
        <v>252</v>
      </c>
      <c r="P105">
        <v>0.18441424673455931</v>
      </c>
      <c r="Q105" t="s">
        <v>158</v>
      </c>
    </row>
    <row r="106" spans="9:17" x14ac:dyDescent="0.45">
      <c r="I106" t="s">
        <v>179</v>
      </c>
      <c r="J106" t="s">
        <v>253</v>
      </c>
      <c r="K106">
        <v>2.6281571976363356E-3</v>
      </c>
      <c r="L106" t="s">
        <v>158</v>
      </c>
      <c r="N106" t="s">
        <v>204</v>
      </c>
      <c r="O106" t="s">
        <v>253</v>
      </c>
      <c r="P106">
        <v>3.2137083492954799E-2</v>
      </c>
      <c r="Q106" t="s">
        <v>158</v>
      </c>
    </row>
    <row r="107" spans="9:17" x14ac:dyDescent="0.45">
      <c r="I107" t="s">
        <v>180</v>
      </c>
      <c r="J107" t="s">
        <v>242</v>
      </c>
      <c r="K107">
        <v>0.18213605871455474</v>
      </c>
      <c r="L107" t="s">
        <v>158</v>
      </c>
      <c r="N107" t="s">
        <v>205</v>
      </c>
      <c r="O107" t="s">
        <v>242</v>
      </c>
      <c r="P107">
        <v>9.7205911956073796E-2</v>
      </c>
      <c r="Q107" t="s">
        <v>158</v>
      </c>
    </row>
    <row r="108" spans="9:17" x14ac:dyDescent="0.45">
      <c r="I108" t="s">
        <v>180</v>
      </c>
      <c r="J108" t="s">
        <v>243</v>
      </c>
      <c r="K108">
        <v>0</v>
      </c>
      <c r="L108" t="s">
        <v>158</v>
      </c>
      <c r="N108" t="s">
        <v>205</v>
      </c>
      <c r="O108" t="s">
        <v>243</v>
      </c>
      <c r="P108">
        <v>0.11766268316542851</v>
      </c>
      <c r="Q108" t="s">
        <v>158</v>
      </c>
    </row>
    <row r="109" spans="9:17" x14ac:dyDescent="0.45">
      <c r="I109" t="s">
        <v>180</v>
      </c>
      <c r="J109" t="s">
        <v>244</v>
      </c>
      <c r="K109">
        <v>6.1732407586088615E-3</v>
      </c>
      <c r="L109" t="s">
        <v>158</v>
      </c>
      <c r="N109" t="s">
        <v>205</v>
      </c>
      <c r="O109" t="s">
        <v>244</v>
      </c>
      <c r="P109">
        <v>1.8691820483401105E-2</v>
      </c>
      <c r="Q109" t="s">
        <v>158</v>
      </c>
    </row>
    <row r="110" spans="9:17" x14ac:dyDescent="0.45">
      <c r="I110" t="s">
        <v>180</v>
      </c>
      <c r="J110" t="s">
        <v>245</v>
      </c>
      <c r="K110">
        <v>0.27600244603509072</v>
      </c>
      <c r="L110" t="s">
        <v>158</v>
      </c>
      <c r="N110" t="s">
        <v>205</v>
      </c>
      <c r="O110" t="s">
        <v>245</v>
      </c>
      <c r="P110">
        <v>0.10467831860665651</v>
      </c>
      <c r="Q110" t="s">
        <v>158</v>
      </c>
    </row>
    <row r="111" spans="9:17" x14ac:dyDescent="0.45">
      <c r="I111" t="s">
        <v>180</v>
      </c>
      <c r="J111" t="s">
        <v>246</v>
      </c>
      <c r="K111">
        <v>2.7413892141763818E-3</v>
      </c>
      <c r="L111" t="s">
        <v>158</v>
      </c>
      <c r="N111" t="s">
        <v>205</v>
      </c>
      <c r="O111" t="s">
        <v>246</v>
      </c>
      <c r="P111">
        <v>9.101543413562703E-2</v>
      </c>
      <c r="Q111" t="s">
        <v>158</v>
      </c>
    </row>
    <row r="112" spans="9:17" x14ac:dyDescent="0.45">
      <c r="I112" t="s">
        <v>180</v>
      </c>
      <c r="J112" t="s">
        <v>247</v>
      </c>
      <c r="K112">
        <v>2.1520177313265613E-2</v>
      </c>
      <c r="L112" t="s">
        <v>158</v>
      </c>
      <c r="N112" t="s">
        <v>205</v>
      </c>
      <c r="O112" t="s">
        <v>247</v>
      </c>
      <c r="P112">
        <v>1.849640949755859E-2</v>
      </c>
      <c r="Q112" t="s">
        <v>158</v>
      </c>
    </row>
    <row r="113" spans="9:17" x14ac:dyDescent="0.45">
      <c r="I113" t="s">
        <v>180</v>
      </c>
      <c r="J113" t="s">
        <v>248</v>
      </c>
      <c r="K113">
        <v>0.30793512898169273</v>
      </c>
      <c r="L113" t="s">
        <v>158</v>
      </c>
      <c r="N113" t="s">
        <v>205</v>
      </c>
      <c r="O113" t="s">
        <v>248</v>
      </c>
      <c r="P113">
        <v>8.0464732296240418E-2</v>
      </c>
      <c r="Q113" t="s">
        <v>158</v>
      </c>
    </row>
    <row r="114" spans="9:17" x14ac:dyDescent="0.45">
      <c r="I114" t="s">
        <v>180</v>
      </c>
      <c r="J114" t="s">
        <v>249</v>
      </c>
      <c r="K114">
        <v>1.0633386155117773E-2</v>
      </c>
      <c r="L114" t="s">
        <v>158</v>
      </c>
      <c r="N114" t="s">
        <v>205</v>
      </c>
      <c r="O114" t="s">
        <v>249</v>
      </c>
      <c r="P114">
        <v>6.7563507960020155E-2</v>
      </c>
      <c r="Q114" t="s">
        <v>158</v>
      </c>
    </row>
    <row r="115" spans="9:17" x14ac:dyDescent="0.45">
      <c r="I115" t="s">
        <v>180</v>
      </c>
      <c r="J115" t="s">
        <v>250</v>
      </c>
      <c r="K115">
        <v>3.1273831282906728E-2</v>
      </c>
      <c r="L115" t="s">
        <v>158</v>
      </c>
      <c r="N115" t="s">
        <v>205</v>
      </c>
      <c r="O115" t="s">
        <v>250</v>
      </c>
      <c r="P115">
        <v>1.458491075023184E-2</v>
      </c>
      <c r="Q115" t="s">
        <v>158</v>
      </c>
    </row>
    <row r="116" spans="9:17" x14ac:dyDescent="0.45">
      <c r="I116" t="s">
        <v>180</v>
      </c>
      <c r="J116" t="s">
        <v>251</v>
      </c>
      <c r="K116">
        <v>0.15950946413107792</v>
      </c>
      <c r="L116" t="s">
        <v>158</v>
      </c>
      <c r="N116" t="s">
        <v>205</v>
      </c>
      <c r="O116" t="s">
        <v>251</v>
      </c>
      <c r="P116">
        <v>0.16815424607315227</v>
      </c>
      <c r="Q116" t="s">
        <v>158</v>
      </c>
    </row>
    <row r="117" spans="9:17" x14ac:dyDescent="0.45">
      <c r="I117" t="s">
        <v>180</v>
      </c>
      <c r="J117" t="s">
        <v>252</v>
      </c>
      <c r="K117">
        <v>0</v>
      </c>
      <c r="L117" t="s">
        <v>158</v>
      </c>
      <c r="N117" t="s">
        <v>205</v>
      </c>
      <c r="O117" t="s">
        <v>252</v>
      </c>
      <c r="P117">
        <v>0.18647466760036374</v>
      </c>
      <c r="Q117" t="s">
        <v>158</v>
      </c>
    </row>
    <row r="118" spans="9:17" x14ac:dyDescent="0.45">
      <c r="I118" t="s">
        <v>180</v>
      </c>
      <c r="J118" t="s">
        <v>253</v>
      </c>
      <c r="K118">
        <v>2.0748774133385762E-3</v>
      </c>
      <c r="L118" t="s">
        <v>158</v>
      </c>
      <c r="N118" t="s">
        <v>205</v>
      </c>
      <c r="O118" t="s">
        <v>253</v>
      </c>
      <c r="P118">
        <v>3.5007357475115311E-2</v>
      </c>
      <c r="Q118" t="s">
        <v>158</v>
      </c>
    </row>
    <row r="119" spans="9:17" x14ac:dyDescent="0.45">
      <c r="I119" t="s">
        <v>181</v>
      </c>
      <c r="J119" t="s">
        <v>242</v>
      </c>
      <c r="K119">
        <v>0.17995021630341831</v>
      </c>
      <c r="L119" t="s">
        <v>158</v>
      </c>
      <c r="N119" t="s">
        <v>206</v>
      </c>
      <c r="O119" t="s">
        <v>242</v>
      </c>
      <c r="P119">
        <v>0.10820361087763539</v>
      </c>
      <c r="Q119" t="s">
        <v>158</v>
      </c>
    </row>
    <row r="120" spans="9:17" x14ac:dyDescent="0.45">
      <c r="I120" t="s">
        <v>181</v>
      </c>
      <c r="J120" t="s">
        <v>243</v>
      </c>
      <c r="K120">
        <v>0</v>
      </c>
      <c r="L120" t="s">
        <v>158</v>
      </c>
      <c r="N120" t="s">
        <v>206</v>
      </c>
      <c r="O120" t="s">
        <v>243</v>
      </c>
      <c r="P120">
        <v>0.14148113053524836</v>
      </c>
      <c r="Q120" t="s">
        <v>158</v>
      </c>
    </row>
    <row r="121" spans="9:17" x14ac:dyDescent="0.45">
      <c r="I121" t="s">
        <v>181</v>
      </c>
      <c r="J121" t="s">
        <v>244</v>
      </c>
      <c r="K121">
        <v>6.558330303495544E-3</v>
      </c>
      <c r="L121" t="s">
        <v>158</v>
      </c>
      <c r="N121" t="s">
        <v>206</v>
      </c>
      <c r="O121" t="s">
        <v>244</v>
      </c>
      <c r="P121">
        <v>1.7885457050413368E-2</v>
      </c>
      <c r="Q121" t="s">
        <v>158</v>
      </c>
    </row>
    <row r="122" spans="9:17" x14ac:dyDescent="0.45">
      <c r="I122" t="s">
        <v>181</v>
      </c>
      <c r="J122" t="s">
        <v>245</v>
      </c>
      <c r="K122">
        <v>0.2669193368913057</v>
      </c>
      <c r="L122" t="s">
        <v>158</v>
      </c>
      <c r="N122" t="s">
        <v>206</v>
      </c>
      <c r="O122" t="s">
        <v>245</v>
      </c>
      <c r="P122">
        <v>0.11579531850656086</v>
      </c>
      <c r="Q122" t="s">
        <v>158</v>
      </c>
    </row>
    <row r="123" spans="9:17" x14ac:dyDescent="0.45">
      <c r="I123" t="s">
        <v>181</v>
      </c>
      <c r="J123" t="s">
        <v>246</v>
      </c>
      <c r="K123">
        <v>3.2455072428159933E-3</v>
      </c>
      <c r="L123" t="s">
        <v>158</v>
      </c>
      <c r="N123" t="s">
        <v>206</v>
      </c>
      <c r="O123" t="s">
        <v>246</v>
      </c>
      <c r="P123">
        <v>0.12984513162899855</v>
      </c>
      <c r="Q123" t="s">
        <v>158</v>
      </c>
    </row>
    <row r="124" spans="9:17" x14ac:dyDescent="0.45">
      <c r="I124" t="s">
        <v>181</v>
      </c>
      <c r="J124" t="s">
        <v>247</v>
      </c>
      <c r="K124">
        <v>2.0815108090007726E-2</v>
      </c>
      <c r="L124" t="s">
        <v>158</v>
      </c>
      <c r="N124" t="s">
        <v>206</v>
      </c>
      <c r="O124" t="s">
        <v>247</v>
      </c>
      <c r="P124">
        <v>2.2273772026426799E-2</v>
      </c>
      <c r="Q124" t="s">
        <v>158</v>
      </c>
    </row>
    <row r="125" spans="9:17" x14ac:dyDescent="0.45">
      <c r="I125" t="s">
        <v>181</v>
      </c>
      <c r="J125" t="s">
        <v>248</v>
      </c>
      <c r="K125">
        <v>0.33275696359914397</v>
      </c>
      <c r="L125" t="s">
        <v>158</v>
      </c>
      <c r="N125" t="s">
        <v>206</v>
      </c>
      <c r="O125" t="s">
        <v>248</v>
      </c>
      <c r="P125">
        <v>4.5213814702423291E-2</v>
      </c>
      <c r="Q125" t="s">
        <v>158</v>
      </c>
    </row>
    <row r="126" spans="9:17" x14ac:dyDescent="0.45">
      <c r="I126" t="s">
        <v>181</v>
      </c>
      <c r="J126" t="s">
        <v>249</v>
      </c>
      <c r="K126">
        <v>1.323806006278006E-2</v>
      </c>
      <c r="L126" t="s">
        <v>158</v>
      </c>
      <c r="N126" t="s">
        <v>206</v>
      </c>
      <c r="O126" t="s">
        <v>249</v>
      </c>
      <c r="P126">
        <v>3.7020823148344872E-2</v>
      </c>
      <c r="Q126" t="s">
        <v>158</v>
      </c>
    </row>
    <row r="127" spans="9:17" x14ac:dyDescent="0.45">
      <c r="I127" t="s">
        <v>181</v>
      </c>
      <c r="J127" t="s">
        <v>250</v>
      </c>
      <c r="K127">
        <v>3.5912746628942747E-2</v>
      </c>
      <c r="L127" t="s">
        <v>158</v>
      </c>
      <c r="N127" t="s">
        <v>206</v>
      </c>
      <c r="O127" t="s">
        <v>250</v>
      </c>
      <c r="P127">
        <v>6.0820200508399178E-3</v>
      </c>
      <c r="Q127" t="s">
        <v>158</v>
      </c>
    </row>
    <row r="128" spans="9:17" x14ac:dyDescent="0.45">
      <c r="I128" t="s">
        <v>181</v>
      </c>
      <c r="J128" t="s">
        <v>251</v>
      </c>
      <c r="K128">
        <v>0.13876096928937456</v>
      </c>
      <c r="L128" t="s">
        <v>158</v>
      </c>
      <c r="N128" t="s">
        <v>206</v>
      </c>
      <c r="O128" t="s">
        <v>251</v>
      </c>
      <c r="P128">
        <v>0.15311696511759731</v>
      </c>
      <c r="Q128" t="s">
        <v>158</v>
      </c>
    </row>
    <row r="129" spans="9:17" x14ac:dyDescent="0.45">
      <c r="I129" t="s">
        <v>181</v>
      </c>
      <c r="J129" t="s">
        <v>252</v>
      </c>
      <c r="K129">
        <v>0</v>
      </c>
      <c r="L129" t="s">
        <v>158</v>
      </c>
      <c r="N129" t="s">
        <v>206</v>
      </c>
      <c r="O129" t="s">
        <v>252</v>
      </c>
      <c r="P129">
        <v>0.19614561756117571</v>
      </c>
      <c r="Q129" t="s">
        <v>158</v>
      </c>
    </row>
    <row r="130" spans="9:17" x14ac:dyDescent="0.45">
      <c r="I130" t="s">
        <v>181</v>
      </c>
      <c r="J130" t="s">
        <v>253</v>
      </c>
      <c r="K130">
        <v>1.8427615885585398E-3</v>
      </c>
      <c r="L130" t="s">
        <v>158</v>
      </c>
      <c r="N130" t="s">
        <v>206</v>
      </c>
      <c r="O130" t="s">
        <v>253</v>
      </c>
      <c r="P130">
        <v>2.6936338794255436E-2</v>
      </c>
      <c r="Q130" t="s">
        <v>158</v>
      </c>
    </row>
    <row r="131" spans="9:17" x14ac:dyDescent="0.45">
      <c r="I131" t="s">
        <v>182</v>
      </c>
      <c r="J131" t="s">
        <v>242</v>
      </c>
      <c r="K131">
        <v>0.18444350969199805</v>
      </c>
      <c r="L131" t="s">
        <v>158</v>
      </c>
      <c r="N131" t="s">
        <v>207</v>
      </c>
      <c r="O131" t="s">
        <v>242</v>
      </c>
      <c r="P131">
        <v>0.1279851031672298</v>
      </c>
      <c r="Q131" t="s">
        <v>158</v>
      </c>
    </row>
    <row r="132" spans="9:17" x14ac:dyDescent="0.45">
      <c r="I132" t="s">
        <v>182</v>
      </c>
      <c r="J132" t="s">
        <v>243</v>
      </c>
      <c r="K132">
        <v>0</v>
      </c>
      <c r="L132" t="s">
        <v>158</v>
      </c>
      <c r="N132" t="s">
        <v>207</v>
      </c>
      <c r="O132" t="s">
        <v>243</v>
      </c>
      <c r="P132">
        <v>0.12460499202260024</v>
      </c>
      <c r="Q132" t="s">
        <v>158</v>
      </c>
    </row>
    <row r="133" spans="9:17" x14ac:dyDescent="0.45">
      <c r="I133" t="s">
        <v>182</v>
      </c>
      <c r="J133" t="s">
        <v>244</v>
      </c>
      <c r="K133">
        <v>6.2118857313584984E-3</v>
      </c>
      <c r="L133" t="s">
        <v>158</v>
      </c>
      <c r="N133" t="s">
        <v>207</v>
      </c>
      <c r="O133" t="s">
        <v>244</v>
      </c>
      <c r="P133">
        <v>2.6250931912101389E-2</v>
      </c>
      <c r="Q133" t="s">
        <v>158</v>
      </c>
    </row>
    <row r="134" spans="9:17" x14ac:dyDescent="0.45">
      <c r="I134" t="s">
        <v>182</v>
      </c>
      <c r="J134" t="s">
        <v>245</v>
      </c>
      <c r="K134">
        <v>0.25843766092036152</v>
      </c>
      <c r="L134" t="s">
        <v>158</v>
      </c>
      <c r="N134" t="s">
        <v>207</v>
      </c>
      <c r="O134" t="s">
        <v>245</v>
      </c>
      <c r="P134">
        <v>0.11418802308297318</v>
      </c>
      <c r="Q134" t="s">
        <v>158</v>
      </c>
    </row>
    <row r="135" spans="9:17" x14ac:dyDescent="0.45">
      <c r="I135" t="s">
        <v>182</v>
      </c>
      <c r="J135" t="s">
        <v>246</v>
      </c>
      <c r="K135">
        <v>3.5296053292258661E-3</v>
      </c>
      <c r="L135" t="s">
        <v>158</v>
      </c>
      <c r="N135" t="s">
        <v>207</v>
      </c>
      <c r="O135" t="s">
        <v>246</v>
      </c>
      <c r="P135">
        <v>0.11536991343231379</v>
      </c>
      <c r="Q135" t="s">
        <v>158</v>
      </c>
    </row>
    <row r="136" spans="9:17" x14ac:dyDescent="0.45">
      <c r="I136" t="s">
        <v>182</v>
      </c>
      <c r="J136" t="s">
        <v>247</v>
      </c>
      <c r="K136">
        <v>1.898919324349858E-2</v>
      </c>
      <c r="L136" t="s">
        <v>158</v>
      </c>
      <c r="N136" t="s">
        <v>207</v>
      </c>
      <c r="O136" t="s">
        <v>247</v>
      </c>
      <c r="P136">
        <v>2.5602592733112477E-2</v>
      </c>
      <c r="Q136" t="s">
        <v>158</v>
      </c>
    </row>
    <row r="137" spans="9:17" x14ac:dyDescent="0.45">
      <c r="I137" t="s">
        <v>182</v>
      </c>
      <c r="J137" t="s">
        <v>248</v>
      </c>
      <c r="K137">
        <v>0.31158705610534615</v>
      </c>
      <c r="L137" t="s">
        <v>158</v>
      </c>
      <c r="N137" t="s">
        <v>207</v>
      </c>
      <c r="O137" t="s">
        <v>248</v>
      </c>
      <c r="P137">
        <v>6.9064169635224854E-2</v>
      </c>
      <c r="Q137" t="s">
        <v>158</v>
      </c>
    </row>
    <row r="138" spans="9:17" x14ac:dyDescent="0.45">
      <c r="I138" t="s">
        <v>182</v>
      </c>
      <c r="J138" t="s">
        <v>249</v>
      </c>
      <c r="K138">
        <v>1.123532488053466E-2</v>
      </c>
      <c r="L138" t="s">
        <v>158</v>
      </c>
      <c r="N138" t="s">
        <v>207</v>
      </c>
      <c r="O138" t="s">
        <v>249</v>
      </c>
      <c r="P138">
        <v>7.2707902911460717E-2</v>
      </c>
      <c r="Q138" t="s">
        <v>158</v>
      </c>
    </row>
    <row r="139" spans="9:17" x14ac:dyDescent="0.45">
      <c r="I139" t="s">
        <v>182</v>
      </c>
      <c r="J139" t="s">
        <v>250</v>
      </c>
      <c r="K139">
        <v>2.8828564649720539E-2</v>
      </c>
      <c r="L139" t="s">
        <v>158</v>
      </c>
      <c r="N139" t="s">
        <v>207</v>
      </c>
      <c r="O139" t="s">
        <v>250</v>
      </c>
      <c r="P139">
        <v>1.4208051236059709E-2</v>
      </c>
      <c r="Q139" t="s">
        <v>158</v>
      </c>
    </row>
    <row r="140" spans="9:17" x14ac:dyDescent="0.45">
      <c r="I140" t="s">
        <v>182</v>
      </c>
      <c r="J140" t="s">
        <v>251</v>
      </c>
      <c r="K140">
        <v>0.17455909101557554</v>
      </c>
      <c r="L140" t="s">
        <v>158</v>
      </c>
      <c r="N140" t="s">
        <v>207</v>
      </c>
      <c r="O140" t="s">
        <v>251</v>
      </c>
      <c r="P140">
        <v>0.12571669296443574</v>
      </c>
      <c r="Q140" t="s">
        <v>158</v>
      </c>
    </row>
    <row r="141" spans="9:17" x14ac:dyDescent="0.45">
      <c r="I141" t="s">
        <v>182</v>
      </c>
      <c r="J141" t="s">
        <v>252</v>
      </c>
      <c r="K141">
        <v>0</v>
      </c>
      <c r="L141" t="s">
        <v>158</v>
      </c>
      <c r="N141" t="s">
        <v>207</v>
      </c>
      <c r="O141" t="s">
        <v>252</v>
      </c>
      <c r="P141">
        <v>0.15511440740475327</v>
      </c>
      <c r="Q141" t="s">
        <v>158</v>
      </c>
    </row>
    <row r="142" spans="9:17" x14ac:dyDescent="0.45">
      <c r="I142" t="s">
        <v>182</v>
      </c>
      <c r="J142" t="s">
        <v>253</v>
      </c>
      <c r="K142">
        <v>2.1781084322145474E-3</v>
      </c>
      <c r="L142" t="s">
        <v>158</v>
      </c>
      <c r="N142" t="s">
        <v>207</v>
      </c>
      <c r="O142" t="s">
        <v>253</v>
      </c>
      <c r="P142">
        <v>2.9187219497608198E-2</v>
      </c>
      <c r="Q142" t="s">
        <v>158</v>
      </c>
    </row>
    <row r="143" spans="9:17" x14ac:dyDescent="0.45">
      <c r="I143" t="s">
        <v>183</v>
      </c>
      <c r="J143" t="s">
        <v>242</v>
      </c>
      <c r="K143">
        <v>0.17408118138062284</v>
      </c>
      <c r="L143" t="s">
        <v>158</v>
      </c>
      <c r="N143" t="s">
        <v>208</v>
      </c>
      <c r="O143" t="s">
        <v>242</v>
      </c>
      <c r="P143">
        <v>9.5674311184931457E-2</v>
      </c>
      <c r="Q143" t="s">
        <v>158</v>
      </c>
    </row>
    <row r="144" spans="9:17" x14ac:dyDescent="0.45">
      <c r="I144" t="s">
        <v>183</v>
      </c>
      <c r="J144" t="s">
        <v>243</v>
      </c>
      <c r="K144">
        <v>0</v>
      </c>
      <c r="L144" t="s">
        <v>158</v>
      </c>
      <c r="N144" t="s">
        <v>208</v>
      </c>
      <c r="O144" t="s">
        <v>243</v>
      </c>
      <c r="P144">
        <v>0.13862249652013228</v>
      </c>
      <c r="Q144" t="s">
        <v>158</v>
      </c>
    </row>
    <row r="145" spans="9:17" x14ac:dyDescent="0.45">
      <c r="I145" t="s">
        <v>183</v>
      </c>
      <c r="J145" t="s">
        <v>244</v>
      </c>
      <c r="K145">
        <v>7.483675237901723E-3</v>
      </c>
      <c r="L145" t="s">
        <v>158</v>
      </c>
      <c r="N145" t="s">
        <v>208</v>
      </c>
      <c r="O145" t="s">
        <v>244</v>
      </c>
      <c r="P145">
        <v>1.7380168619316527E-2</v>
      </c>
      <c r="Q145" t="s">
        <v>158</v>
      </c>
    </row>
    <row r="146" spans="9:17" x14ac:dyDescent="0.45">
      <c r="I146" t="s">
        <v>183</v>
      </c>
      <c r="J146" t="s">
        <v>245</v>
      </c>
      <c r="K146">
        <v>0.2501229322300334</v>
      </c>
      <c r="L146" t="s">
        <v>158</v>
      </c>
      <c r="N146" t="s">
        <v>208</v>
      </c>
      <c r="O146" t="s">
        <v>245</v>
      </c>
      <c r="P146">
        <v>0.10481271074400787</v>
      </c>
      <c r="Q146" t="s">
        <v>158</v>
      </c>
    </row>
    <row r="147" spans="9:17" x14ac:dyDescent="0.45">
      <c r="I147" t="s">
        <v>183</v>
      </c>
      <c r="J147" t="s">
        <v>246</v>
      </c>
      <c r="K147">
        <v>2.596394514179695E-3</v>
      </c>
      <c r="L147" t="s">
        <v>158</v>
      </c>
      <c r="N147" t="s">
        <v>208</v>
      </c>
      <c r="O147" t="s">
        <v>246</v>
      </c>
      <c r="P147">
        <v>9.1017717110755264E-2</v>
      </c>
      <c r="Q147" t="s">
        <v>158</v>
      </c>
    </row>
    <row r="148" spans="9:17" x14ac:dyDescent="0.45">
      <c r="I148" t="s">
        <v>183</v>
      </c>
      <c r="J148" t="s">
        <v>247</v>
      </c>
      <c r="K148">
        <v>2.2605147336605874E-2</v>
      </c>
      <c r="L148" t="s">
        <v>158</v>
      </c>
      <c r="N148" t="s">
        <v>208</v>
      </c>
      <c r="O148" t="s">
        <v>247</v>
      </c>
      <c r="P148">
        <v>1.7711473036362543E-2</v>
      </c>
      <c r="Q148" t="s">
        <v>158</v>
      </c>
    </row>
    <row r="149" spans="9:17" x14ac:dyDescent="0.45">
      <c r="I149" t="s">
        <v>183</v>
      </c>
      <c r="J149" t="s">
        <v>248</v>
      </c>
      <c r="K149">
        <v>0.34622014646210048</v>
      </c>
      <c r="L149" t="s">
        <v>158</v>
      </c>
      <c r="N149" t="s">
        <v>208</v>
      </c>
      <c r="O149" t="s">
        <v>248</v>
      </c>
      <c r="P149">
        <v>7.2496995301358391E-2</v>
      </c>
      <c r="Q149" t="s">
        <v>158</v>
      </c>
    </row>
    <row r="150" spans="9:17" x14ac:dyDescent="0.45">
      <c r="I150" t="s">
        <v>183</v>
      </c>
      <c r="J150" t="s">
        <v>249</v>
      </c>
      <c r="K150">
        <v>1.3399984879881956E-2</v>
      </c>
      <c r="L150" t="s">
        <v>158</v>
      </c>
      <c r="N150" t="s">
        <v>208</v>
      </c>
      <c r="O150" t="s">
        <v>249</v>
      </c>
      <c r="P150">
        <v>7.2464696597391395E-2</v>
      </c>
      <c r="Q150" t="s">
        <v>158</v>
      </c>
    </row>
    <row r="151" spans="9:17" x14ac:dyDescent="0.45">
      <c r="I151" t="s">
        <v>183</v>
      </c>
      <c r="J151" t="s">
        <v>250</v>
      </c>
      <c r="K151">
        <v>3.939273300522271E-2</v>
      </c>
      <c r="L151" t="s">
        <v>158</v>
      </c>
      <c r="N151" t="s">
        <v>208</v>
      </c>
      <c r="O151" t="s">
        <v>250</v>
      </c>
      <c r="P151">
        <v>1.1726448018964804E-2</v>
      </c>
      <c r="Q151" t="s">
        <v>158</v>
      </c>
    </row>
    <row r="152" spans="9:17" x14ac:dyDescent="0.45">
      <c r="I152" t="s">
        <v>183</v>
      </c>
      <c r="J152" t="s">
        <v>251</v>
      </c>
      <c r="K152">
        <v>0.14089240293459465</v>
      </c>
      <c r="L152" t="s">
        <v>158</v>
      </c>
      <c r="N152" t="s">
        <v>208</v>
      </c>
      <c r="O152" t="s">
        <v>251</v>
      </c>
      <c r="P152">
        <v>0.16141051499678788</v>
      </c>
      <c r="Q152" t="s">
        <v>158</v>
      </c>
    </row>
    <row r="153" spans="9:17" x14ac:dyDescent="0.45">
      <c r="I153" t="s">
        <v>183</v>
      </c>
      <c r="J153" t="s">
        <v>252</v>
      </c>
      <c r="K153">
        <v>0</v>
      </c>
      <c r="L153" t="s">
        <v>158</v>
      </c>
      <c r="N153" t="s">
        <v>208</v>
      </c>
      <c r="O153" t="s">
        <v>252</v>
      </c>
      <c r="P153">
        <v>0.18352551534339315</v>
      </c>
      <c r="Q153" t="s">
        <v>158</v>
      </c>
    </row>
    <row r="154" spans="9:17" x14ac:dyDescent="0.45">
      <c r="I154" t="s">
        <v>183</v>
      </c>
      <c r="J154" t="s">
        <v>253</v>
      </c>
      <c r="K154">
        <v>3.2054020186923493E-3</v>
      </c>
      <c r="L154" t="s">
        <v>158</v>
      </c>
      <c r="N154" t="s">
        <v>208</v>
      </c>
      <c r="O154" t="s">
        <v>253</v>
      </c>
      <c r="P154">
        <v>3.3156952526499035E-2</v>
      </c>
      <c r="Q154" t="s">
        <v>158</v>
      </c>
    </row>
    <row r="155" spans="9:17" x14ac:dyDescent="0.45">
      <c r="I155" t="s">
        <v>184</v>
      </c>
      <c r="J155" t="s">
        <v>242</v>
      </c>
      <c r="K155">
        <v>0.18760794145912496</v>
      </c>
      <c r="L155" t="s">
        <v>158</v>
      </c>
      <c r="N155" t="s">
        <v>209</v>
      </c>
      <c r="O155" t="s">
        <v>242</v>
      </c>
      <c r="P155">
        <v>0.15310290472618704</v>
      </c>
      <c r="Q155" t="s">
        <v>158</v>
      </c>
    </row>
    <row r="156" spans="9:17" x14ac:dyDescent="0.45">
      <c r="I156" t="s">
        <v>184</v>
      </c>
      <c r="J156" t="s">
        <v>243</v>
      </c>
      <c r="K156">
        <v>0</v>
      </c>
      <c r="L156" t="s">
        <v>158</v>
      </c>
      <c r="N156" t="s">
        <v>209</v>
      </c>
      <c r="O156" t="s">
        <v>243</v>
      </c>
      <c r="P156">
        <v>0.1649952338945469</v>
      </c>
      <c r="Q156" t="s">
        <v>158</v>
      </c>
    </row>
    <row r="157" spans="9:17" x14ac:dyDescent="0.45">
      <c r="I157" t="s">
        <v>184</v>
      </c>
      <c r="J157" t="s">
        <v>244</v>
      </c>
      <c r="K157">
        <v>6.1280789369738495E-3</v>
      </c>
      <c r="L157" t="s">
        <v>158</v>
      </c>
      <c r="N157" t="s">
        <v>209</v>
      </c>
      <c r="O157" t="s">
        <v>244</v>
      </c>
      <c r="P157">
        <v>2.6866856488466165E-2</v>
      </c>
      <c r="Q157" t="s">
        <v>158</v>
      </c>
    </row>
    <row r="158" spans="9:17" x14ac:dyDescent="0.45">
      <c r="I158" t="s">
        <v>184</v>
      </c>
      <c r="J158" t="s">
        <v>245</v>
      </c>
      <c r="K158">
        <v>0.27848835885041001</v>
      </c>
      <c r="L158" t="s">
        <v>158</v>
      </c>
      <c r="N158" t="s">
        <v>209</v>
      </c>
      <c r="O158" t="s">
        <v>245</v>
      </c>
      <c r="P158">
        <v>8.5738511532719469E-2</v>
      </c>
      <c r="Q158" t="s">
        <v>158</v>
      </c>
    </row>
    <row r="159" spans="9:17" x14ac:dyDescent="0.45">
      <c r="I159" t="s">
        <v>184</v>
      </c>
      <c r="J159" t="s">
        <v>246</v>
      </c>
      <c r="K159">
        <v>2.8200344288596031E-3</v>
      </c>
      <c r="L159" t="s">
        <v>158</v>
      </c>
      <c r="N159" t="s">
        <v>209</v>
      </c>
      <c r="O159" t="s">
        <v>246</v>
      </c>
      <c r="P159">
        <v>9.7254862978571305E-2</v>
      </c>
      <c r="Q159" t="s">
        <v>158</v>
      </c>
    </row>
    <row r="160" spans="9:17" x14ac:dyDescent="0.45">
      <c r="I160" t="s">
        <v>184</v>
      </c>
      <c r="J160" t="s">
        <v>247</v>
      </c>
      <c r="K160">
        <v>2.0811935236183604E-2</v>
      </c>
      <c r="L160" t="s">
        <v>158</v>
      </c>
      <c r="N160" t="s">
        <v>209</v>
      </c>
      <c r="O160" t="s">
        <v>247</v>
      </c>
      <c r="P160">
        <v>1.6197028091050537E-2</v>
      </c>
      <c r="Q160" t="s">
        <v>158</v>
      </c>
    </row>
    <row r="161" spans="9:17" x14ac:dyDescent="0.45">
      <c r="I161" t="s">
        <v>184</v>
      </c>
      <c r="J161" t="s">
        <v>248</v>
      </c>
      <c r="K161">
        <v>0.29274527185420185</v>
      </c>
      <c r="L161" t="s">
        <v>158</v>
      </c>
      <c r="N161" t="s">
        <v>209</v>
      </c>
      <c r="O161" t="s">
        <v>248</v>
      </c>
      <c r="P161">
        <v>5.0633814374807184E-2</v>
      </c>
      <c r="Q161" t="s">
        <v>158</v>
      </c>
    </row>
    <row r="162" spans="9:17" x14ac:dyDescent="0.45">
      <c r="I162" t="s">
        <v>184</v>
      </c>
      <c r="J162" t="s">
        <v>249</v>
      </c>
      <c r="K162">
        <v>9.2427706998589789E-3</v>
      </c>
      <c r="L162" t="s">
        <v>158</v>
      </c>
      <c r="N162" t="s">
        <v>209</v>
      </c>
      <c r="O162" t="s">
        <v>249</v>
      </c>
      <c r="P162">
        <v>6.5226718803491318E-2</v>
      </c>
      <c r="Q162" t="s">
        <v>158</v>
      </c>
    </row>
    <row r="163" spans="9:17" x14ac:dyDescent="0.45">
      <c r="I163" t="s">
        <v>184</v>
      </c>
      <c r="J163" t="s">
        <v>250</v>
      </c>
      <c r="K163">
        <v>2.7382664668275724E-2</v>
      </c>
      <c r="L163" t="s">
        <v>158</v>
      </c>
      <c r="N163" t="s">
        <v>209</v>
      </c>
      <c r="O163" t="s">
        <v>250</v>
      </c>
      <c r="P163">
        <v>1.228173867570817E-2</v>
      </c>
      <c r="Q163" t="s">
        <v>158</v>
      </c>
    </row>
    <row r="164" spans="9:17" x14ac:dyDescent="0.45">
      <c r="I164" t="s">
        <v>184</v>
      </c>
      <c r="J164" t="s">
        <v>251</v>
      </c>
      <c r="K164">
        <v>0.17267385433370783</v>
      </c>
      <c r="L164" t="s">
        <v>158</v>
      </c>
      <c r="N164" t="s">
        <v>209</v>
      </c>
      <c r="O164" t="s">
        <v>251</v>
      </c>
      <c r="P164">
        <v>0.13571956278300487</v>
      </c>
      <c r="Q164" t="s">
        <v>158</v>
      </c>
    </row>
    <row r="165" spans="9:17" x14ac:dyDescent="0.45">
      <c r="I165" t="s">
        <v>184</v>
      </c>
      <c r="J165" t="s">
        <v>252</v>
      </c>
      <c r="K165">
        <v>0</v>
      </c>
      <c r="L165" t="s">
        <v>158</v>
      </c>
      <c r="N165" t="s">
        <v>209</v>
      </c>
      <c r="O165" t="s">
        <v>252</v>
      </c>
      <c r="P165">
        <v>0.1625459004740186</v>
      </c>
      <c r="Q165" t="s">
        <v>158</v>
      </c>
    </row>
    <row r="166" spans="9:17" x14ac:dyDescent="0.45">
      <c r="I166" t="s">
        <v>184</v>
      </c>
      <c r="J166" t="s">
        <v>253</v>
      </c>
      <c r="K166">
        <v>2.0990895322288996E-3</v>
      </c>
      <c r="L166" t="s">
        <v>158</v>
      </c>
      <c r="N166" t="s">
        <v>209</v>
      </c>
      <c r="O166" t="s">
        <v>253</v>
      </c>
      <c r="P166">
        <v>2.9436867177283742E-2</v>
      </c>
      <c r="Q166" t="s">
        <v>158</v>
      </c>
    </row>
    <row r="167" spans="9:17" x14ac:dyDescent="0.45">
      <c r="I167" t="s">
        <v>185</v>
      </c>
      <c r="J167" t="s">
        <v>242</v>
      </c>
      <c r="K167">
        <v>0.18522595213239335</v>
      </c>
      <c r="L167" t="s">
        <v>158</v>
      </c>
      <c r="N167" t="s">
        <v>210</v>
      </c>
      <c r="O167" t="s">
        <v>242</v>
      </c>
      <c r="P167">
        <v>9.8007535115374023E-2</v>
      </c>
      <c r="Q167" t="s">
        <v>158</v>
      </c>
    </row>
    <row r="168" spans="9:17" x14ac:dyDescent="0.45">
      <c r="I168" t="s">
        <v>185</v>
      </c>
      <c r="J168" t="s">
        <v>243</v>
      </c>
      <c r="K168">
        <v>0</v>
      </c>
      <c r="L168" t="s">
        <v>158</v>
      </c>
      <c r="N168" t="s">
        <v>210</v>
      </c>
      <c r="O168" t="s">
        <v>243</v>
      </c>
      <c r="P168">
        <v>0.1088255393910782</v>
      </c>
      <c r="Q168" t="s">
        <v>158</v>
      </c>
    </row>
    <row r="169" spans="9:17" x14ac:dyDescent="0.45">
      <c r="I169" t="s">
        <v>185</v>
      </c>
      <c r="J169" t="s">
        <v>244</v>
      </c>
      <c r="K169">
        <v>6.1465613280468102E-3</v>
      </c>
      <c r="L169" t="s">
        <v>158</v>
      </c>
      <c r="N169" t="s">
        <v>210</v>
      </c>
      <c r="O169" t="s">
        <v>244</v>
      </c>
      <c r="P169">
        <v>1.8592039475461671E-2</v>
      </c>
      <c r="Q169" t="s">
        <v>158</v>
      </c>
    </row>
    <row r="170" spans="9:17" x14ac:dyDescent="0.45">
      <c r="I170" t="s">
        <v>185</v>
      </c>
      <c r="J170" t="s">
        <v>245</v>
      </c>
      <c r="K170">
        <v>0.27259900047073599</v>
      </c>
      <c r="L170" t="s">
        <v>158</v>
      </c>
      <c r="N170" t="s">
        <v>210</v>
      </c>
      <c r="O170" t="s">
        <v>245</v>
      </c>
      <c r="P170">
        <v>0.12262641883803059</v>
      </c>
      <c r="Q170" t="s">
        <v>158</v>
      </c>
    </row>
    <row r="171" spans="9:17" x14ac:dyDescent="0.45">
      <c r="I171" t="s">
        <v>185</v>
      </c>
      <c r="J171" t="s">
        <v>246</v>
      </c>
      <c r="K171">
        <v>2.7962533856088867E-3</v>
      </c>
      <c r="L171" t="s">
        <v>158</v>
      </c>
      <c r="N171" t="s">
        <v>210</v>
      </c>
      <c r="O171" t="s">
        <v>246</v>
      </c>
      <c r="P171">
        <v>8.9243343214493634E-2</v>
      </c>
      <c r="Q171" t="s">
        <v>158</v>
      </c>
    </row>
    <row r="172" spans="9:17" x14ac:dyDescent="0.45">
      <c r="I172" t="s">
        <v>185</v>
      </c>
      <c r="J172" t="s">
        <v>247</v>
      </c>
      <c r="K172">
        <v>1.9839331038009785E-2</v>
      </c>
      <c r="L172" t="s">
        <v>158</v>
      </c>
      <c r="N172" t="s">
        <v>210</v>
      </c>
      <c r="O172" t="s">
        <v>247</v>
      </c>
      <c r="P172">
        <v>2.0799168366276415E-2</v>
      </c>
      <c r="Q172" t="s">
        <v>158</v>
      </c>
    </row>
    <row r="173" spans="9:17" x14ac:dyDescent="0.45">
      <c r="I173" t="s">
        <v>185</v>
      </c>
      <c r="J173" t="s">
        <v>248</v>
      </c>
      <c r="K173">
        <v>0.30652286405373735</v>
      </c>
      <c r="L173" t="s">
        <v>158</v>
      </c>
      <c r="N173" t="s">
        <v>210</v>
      </c>
      <c r="O173" t="s">
        <v>248</v>
      </c>
      <c r="P173">
        <v>0.10041091314396582</v>
      </c>
      <c r="Q173" t="s">
        <v>158</v>
      </c>
    </row>
    <row r="174" spans="9:17" x14ac:dyDescent="0.45">
      <c r="I174" t="s">
        <v>185</v>
      </c>
      <c r="J174" t="s">
        <v>249</v>
      </c>
      <c r="K174">
        <v>1.037347738643884E-2</v>
      </c>
      <c r="L174" t="s">
        <v>158</v>
      </c>
      <c r="N174" t="s">
        <v>210</v>
      </c>
      <c r="O174" t="s">
        <v>249</v>
      </c>
      <c r="P174">
        <v>6.4715540207814587E-2</v>
      </c>
      <c r="Q174" t="s">
        <v>158</v>
      </c>
    </row>
    <row r="175" spans="9:17" x14ac:dyDescent="0.45">
      <c r="I175" t="s">
        <v>185</v>
      </c>
      <c r="J175" t="s">
        <v>250</v>
      </c>
      <c r="K175">
        <v>3.0310130738499787E-2</v>
      </c>
      <c r="L175" t="s">
        <v>158</v>
      </c>
      <c r="N175" t="s">
        <v>210</v>
      </c>
      <c r="O175" t="s">
        <v>250</v>
      </c>
      <c r="P175">
        <v>1.6551773098234149E-2</v>
      </c>
      <c r="Q175" t="s">
        <v>158</v>
      </c>
    </row>
    <row r="176" spans="9:17" x14ac:dyDescent="0.45">
      <c r="I176" t="s">
        <v>185</v>
      </c>
      <c r="J176" t="s">
        <v>251</v>
      </c>
      <c r="K176">
        <v>0.16429011950114505</v>
      </c>
      <c r="L176" t="s">
        <v>158</v>
      </c>
      <c r="N176" t="s">
        <v>210</v>
      </c>
      <c r="O176" t="s">
        <v>251</v>
      </c>
      <c r="P176">
        <v>0.15621281301301906</v>
      </c>
      <c r="Q176" t="s">
        <v>158</v>
      </c>
    </row>
    <row r="177" spans="9:17" x14ac:dyDescent="0.45">
      <c r="I177" t="s">
        <v>185</v>
      </c>
      <c r="J177" t="s">
        <v>252</v>
      </c>
      <c r="K177">
        <v>0</v>
      </c>
      <c r="L177" t="s">
        <v>158</v>
      </c>
      <c r="N177" t="s">
        <v>210</v>
      </c>
      <c r="O177" t="s">
        <v>252</v>
      </c>
      <c r="P177">
        <v>0.17048867557575828</v>
      </c>
      <c r="Q177" t="s">
        <v>158</v>
      </c>
    </row>
    <row r="178" spans="9:17" x14ac:dyDescent="0.45">
      <c r="I178" t="s">
        <v>185</v>
      </c>
      <c r="J178" t="s">
        <v>253</v>
      </c>
      <c r="K178">
        <v>1.8963099652206355E-3</v>
      </c>
      <c r="L178" t="s">
        <v>158</v>
      </c>
      <c r="N178" t="s">
        <v>210</v>
      </c>
      <c r="O178" t="s">
        <v>253</v>
      </c>
      <c r="P178">
        <v>3.352624056035846E-2</v>
      </c>
      <c r="Q178" t="s">
        <v>158</v>
      </c>
    </row>
    <row r="179" spans="9:17" x14ac:dyDescent="0.45">
      <c r="I179" t="s">
        <v>186</v>
      </c>
      <c r="J179" t="s">
        <v>242</v>
      </c>
      <c r="K179">
        <v>0.18236893094247461</v>
      </c>
      <c r="L179" t="s">
        <v>158</v>
      </c>
      <c r="N179" t="s">
        <v>211</v>
      </c>
      <c r="O179" t="s">
        <v>242</v>
      </c>
      <c r="P179">
        <v>9.6240642923775918E-2</v>
      </c>
      <c r="Q179" t="s">
        <v>158</v>
      </c>
    </row>
    <row r="180" spans="9:17" x14ac:dyDescent="0.45">
      <c r="I180" t="s">
        <v>186</v>
      </c>
      <c r="J180" t="s">
        <v>243</v>
      </c>
      <c r="K180">
        <v>0</v>
      </c>
      <c r="L180" t="s">
        <v>158</v>
      </c>
      <c r="N180" t="s">
        <v>211</v>
      </c>
      <c r="O180" t="s">
        <v>243</v>
      </c>
      <c r="P180">
        <v>0.15083583774362486</v>
      </c>
      <c r="Q180" t="s">
        <v>158</v>
      </c>
    </row>
    <row r="181" spans="9:17" x14ac:dyDescent="0.45">
      <c r="I181" t="s">
        <v>186</v>
      </c>
      <c r="J181" t="s">
        <v>244</v>
      </c>
      <c r="K181">
        <v>6.061289012781159E-3</v>
      </c>
      <c r="L181" t="s">
        <v>158</v>
      </c>
      <c r="N181" t="s">
        <v>211</v>
      </c>
      <c r="O181" t="s">
        <v>244</v>
      </c>
      <c r="P181">
        <v>1.4590595771928252E-2</v>
      </c>
      <c r="Q181" t="s">
        <v>158</v>
      </c>
    </row>
    <row r="182" spans="9:17" x14ac:dyDescent="0.45">
      <c r="I182" t="s">
        <v>186</v>
      </c>
      <c r="J182" t="s">
        <v>245</v>
      </c>
      <c r="K182">
        <v>0.26663995318766548</v>
      </c>
      <c r="L182" t="s">
        <v>158</v>
      </c>
      <c r="N182" t="s">
        <v>211</v>
      </c>
      <c r="O182" t="s">
        <v>245</v>
      </c>
      <c r="P182">
        <v>0.12476658369178202</v>
      </c>
      <c r="Q182" t="s">
        <v>158</v>
      </c>
    </row>
    <row r="183" spans="9:17" x14ac:dyDescent="0.45">
      <c r="I183" t="s">
        <v>186</v>
      </c>
      <c r="J183" t="s">
        <v>246</v>
      </c>
      <c r="K183">
        <v>3.3336558393886619E-3</v>
      </c>
      <c r="L183" t="s">
        <v>158</v>
      </c>
      <c r="N183" t="s">
        <v>211</v>
      </c>
      <c r="O183" t="s">
        <v>246</v>
      </c>
      <c r="P183">
        <v>0.13303265167013303</v>
      </c>
      <c r="Q183" t="s">
        <v>158</v>
      </c>
    </row>
    <row r="184" spans="9:17" x14ac:dyDescent="0.45">
      <c r="I184" t="s">
        <v>186</v>
      </c>
      <c r="J184" t="s">
        <v>247</v>
      </c>
      <c r="K184">
        <v>1.8744084141465799E-2</v>
      </c>
      <c r="L184" t="s">
        <v>158</v>
      </c>
      <c r="N184" t="s">
        <v>211</v>
      </c>
      <c r="O184" t="s">
        <v>247</v>
      </c>
      <c r="P184">
        <v>1.811665733960614E-2</v>
      </c>
      <c r="Q184" t="s">
        <v>158</v>
      </c>
    </row>
    <row r="185" spans="9:17" x14ac:dyDescent="0.45">
      <c r="I185" t="s">
        <v>186</v>
      </c>
      <c r="J185" t="s">
        <v>248</v>
      </c>
      <c r="K185">
        <v>0.32797179469718729</v>
      </c>
      <c r="L185" t="s">
        <v>158</v>
      </c>
      <c r="N185" t="s">
        <v>211</v>
      </c>
      <c r="O185" t="s">
        <v>248</v>
      </c>
      <c r="P185">
        <v>4.5451076232734353E-2</v>
      </c>
      <c r="Q185" t="s">
        <v>158</v>
      </c>
    </row>
    <row r="186" spans="9:17" x14ac:dyDescent="0.45">
      <c r="I186" t="s">
        <v>186</v>
      </c>
      <c r="J186" t="s">
        <v>249</v>
      </c>
      <c r="K186">
        <v>1.2925642833865898E-2</v>
      </c>
      <c r="L186" t="s">
        <v>158</v>
      </c>
      <c r="N186" t="s">
        <v>211</v>
      </c>
      <c r="O186" t="s">
        <v>249</v>
      </c>
      <c r="P186">
        <v>2.3118977872609081E-2</v>
      </c>
      <c r="Q186" t="s">
        <v>158</v>
      </c>
    </row>
    <row r="187" spans="9:17" x14ac:dyDescent="0.45">
      <c r="I187" t="s">
        <v>186</v>
      </c>
      <c r="J187" t="s">
        <v>250</v>
      </c>
      <c r="K187">
        <v>3.4001641620268891E-2</v>
      </c>
      <c r="L187" t="s">
        <v>158</v>
      </c>
      <c r="N187" t="s">
        <v>211</v>
      </c>
      <c r="O187" t="s">
        <v>250</v>
      </c>
      <c r="P187">
        <v>3.8513337535333414E-3</v>
      </c>
      <c r="Q187" t="s">
        <v>158</v>
      </c>
    </row>
    <row r="188" spans="9:17" x14ac:dyDescent="0.45">
      <c r="I188" t="s">
        <v>186</v>
      </c>
      <c r="J188" t="s">
        <v>251</v>
      </c>
      <c r="K188">
        <v>0.14636418914480015</v>
      </c>
      <c r="L188" t="s">
        <v>158</v>
      </c>
      <c r="N188" t="s">
        <v>211</v>
      </c>
      <c r="O188" t="s">
        <v>251</v>
      </c>
      <c r="P188">
        <v>0.16179178870808078</v>
      </c>
      <c r="Q188" t="s">
        <v>158</v>
      </c>
    </row>
    <row r="189" spans="9:17" x14ac:dyDescent="0.45">
      <c r="I189" t="s">
        <v>186</v>
      </c>
      <c r="J189" t="s">
        <v>252</v>
      </c>
      <c r="K189">
        <v>0</v>
      </c>
      <c r="L189" t="s">
        <v>158</v>
      </c>
      <c r="N189" t="s">
        <v>211</v>
      </c>
      <c r="O189" t="s">
        <v>252</v>
      </c>
      <c r="P189">
        <v>0.20234638870531999</v>
      </c>
      <c r="Q189" t="s">
        <v>158</v>
      </c>
    </row>
    <row r="190" spans="9:17" x14ac:dyDescent="0.45">
      <c r="I190" t="s">
        <v>186</v>
      </c>
      <c r="J190" t="s">
        <v>253</v>
      </c>
      <c r="K190">
        <v>1.5888185799419255E-3</v>
      </c>
      <c r="L190" t="s">
        <v>158</v>
      </c>
      <c r="N190" t="s">
        <v>211</v>
      </c>
      <c r="O190" t="s">
        <v>253</v>
      </c>
      <c r="P190">
        <v>2.5857465586798939E-2</v>
      </c>
      <c r="Q190" t="s">
        <v>158</v>
      </c>
    </row>
    <row r="191" spans="9:17" x14ac:dyDescent="0.45">
      <c r="I191" t="s">
        <v>187</v>
      </c>
      <c r="J191" t="s">
        <v>242</v>
      </c>
      <c r="K191">
        <v>0.19065706468309015</v>
      </c>
      <c r="L191" t="s">
        <v>158</v>
      </c>
      <c r="N191" t="s">
        <v>212</v>
      </c>
      <c r="O191" t="s">
        <v>242</v>
      </c>
      <c r="P191">
        <v>0.11747329427133546</v>
      </c>
      <c r="Q191" t="s">
        <v>158</v>
      </c>
    </row>
    <row r="192" spans="9:17" x14ac:dyDescent="0.45">
      <c r="I192" t="s">
        <v>187</v>
      </c>
      <c r="J192" t="s">
        <v>243</v>
      </c>
      <c r="K192">
        <v>0</v>
      </c>
      <c r="L192" t="s">
        <v>158</v>
      </c>
      <c r="N192" t="s">
        <v>212</v>
      </c>
      <c r="O192" t="s">
        <v>243</v>
      </c>
      <c r="P192">
        <v>0.12007537247820034</v>
      </c>
      <c r="Q192" t="s">
        <v>158</v>
      </c>
    </row>
    <row r="193" spans="9:17" x14ac:dyDescent="0.45">
      <c r="I193" t="s">
        <v>187</v>
      </c>
      <c r="J193" t="s">
        <v>244</v>
      </c>
      <c r="K193">
        <v>5.5077577879865053E-3</v>
      </c>
      <c r="L193" t="s">
        <v>158</v>
      </c>
      <c r="N193" t="s">
        <v>212</v>
      </c>
      <c r="O193" t="s">
        <v>244</v>
      </c>
      <c r="P193">
        <v>2.2127428843951944E-2</v>
      </c>
      <c r="Q193" t="s">
        <v>158</v>
      </c>
    </row>
    <row r="194" spans="9:17" x14ac:dyDescent="0.45">
      <c r="I194" t="s">
        <v>187</v>
      </c>
      <c r="J194" t="s">
        <v>245</v>
      </c>
      <c r="K194">
        <v>0.26064140670816133</v>
      </c>
      <c r="L194" t="s">
        <v>158</v>
      </c>
      <c r="N194" t="s">
        <v>212</v>
      </c>
      <c r="O194" t="s">
        <v>245</v>
      </c>
      <c r="P194">
        <v>0.1208259854090495</v>
      </c>
      <c r="Q194" t="s">
        <v>158</v>
      </c>
    </row>
    <row r="195" spans="9:17" x14ac:dyDescent="0.45">
      <c r="I195" t="s">
        <v>187</v>
      </c>
      <c r="J195" t="s">
        <v>246</v>
      </c>
      <c r="K195">
        <v>3.262594662444948E-3</v>
      </c>
      <c r="L195" t="s">
        <v>158</v>
      </c>
      <c r="N195" t="s">
        <v>212</v>
      </c>
      <c r="O195" t="s">
        <v>246</v>
      </c>
      <c r="P195">
        <v>0.10217453201061913</v>
      </c>
      <c r="Q195" t="s">
        <v>158</v>
      </c>
    </row>
    <row r="196" spans="9:17" x14ac:dyDescent="0.45">
      <c r="I196" t="s">
        <v>187</v>
      </c>
      <c r="J196" t="s">
        <v>247</v>
      </c>
      <c r="K196">
        <v>1.765728082869587E-2</v>
      </c>
      <c r="L196" t="s">
        <v>158</v>
      </c>
      <c r="N196" t="s">
        <v>212</v>
      </c>
      <c r="O196" t="s">
        <v>247</v>
      </c>
      <c r="P196">
        <v>2.36299126298571E-2</v>
      </c>
      <c r="Q196" t="s">
        <v>158</v>
      </c>
    </row>
    <row r="197" spans="9:17" x14ac:dyDescent="0.45">
      <c r="I197" t="s">
        <v>187</v>
      </c>
      <c r="J197" t="s">
        <v>248</v>
      </c>
      <c r="K197">
        <v>0.30431713129806326</v>
      </c>
      <c r="L197" t="s">
        <v>158</v>
      </c>
      <c r="N197" t="s">
        <v>212</v>
      </c>
      <c r="O197" t="s">
        <v>248</v>
      </c>
      <c r="P197">
        <v>7.1919423886066688E-2</v>
      </c>
      <c r="Q197" t="s">
        <v>158</v>
      </c>
    </row>
    <row r="198" spans="9:17" x14ac:dyDescent="0.45">
      <c r="I198" t="s">
        <v>187</v>
      </c>
      <c r="J198" t="s">
        <v>249</v>
      </c>
      <c r="K198">
        <v>1.1478348393501323E-2</v>
      </c>
      <c r="L198" t="s">
        <v>158</v>
      </c>
      <c r="N198" t="s">
        <v>212</v>
      </c>
      <c r="O198" t="s">
        <v>249</v>
      </c>
      <c r="P198">
        <v>6.3085430820711733E-2</v>
      </c>
      <c r="Q198" t="s">
        <v>158</v>
      </c>
    </row>
    <row r="199" spans="9:17" x14ac:dyDescent="0.45">
      <c r="I199" t="s">
        <v>187</v>
      </c>
      <c r="J199" t="s">
        <v>250</v>
      </c>
      <c r="K199">
        <v>2.6606333022854672E-2</v>
      </c>
      <c r="L199" t="s">
        <v>158</v>
      </c>
      <c r="N199" t="s">
        <v>212</v>
      </c>
      <c r="O199" t="s">
        <v>250</v>
      </c>
      <c r="P199">
        <v>1.6766664468395195E-2</v>
      </c>
      <c r="Q199" t="s">
        <v>158</v>
      </c>
    </row>
    <row r="200" spans="9:17" x14ac:dyDescent="0.45">
      <c r="I200" t="s">
        <v>187</v>
      </c>
      <c r="J200" t="s">
        <v>251</v>
      </c>
      <c r="K200">
        <v>0.17787467100704207</v>
      </c>
      <c r="L200" t="s">
        <v>158</v>
      </c>
      <c r="N200" t="s">
        <v>212</v>
      </c>
      <c r="O200" t="s">
        <v>251</v>
      </c>
      <c r="P200">
        <v>0.13507892228723609</v>
      </c>
      <c r="Q200" t="s">
        <v>158</v>
      </c>
    </row>
    <row r="201" spans="9:17" x14ac:dyDescent="0.45">
      <c r="I201" t="s">
        <v>187</v>
      </c>
      <c r="J201" t="s">
        <v>252</v>
      </c>
      <c r="K201">
        <v>0</v>
      </c>
      <c r="L201" t="s">
        <v>158</v>
      </c>
      <c r="N201" t="s">
        <v>212</v>
      </c>
      <c r="O201" t="s">
        <v>252</v>
      </c>
      <c r="P201">
        <v>0.17543417898961824</v>
      </c>
      <c r="Q201" t="s">
        <v>158</v>
      </c>
    </row>
    <row r="202" spans="9:17" x14ac:dyDescent="0.45">
      <c r="I202" t="s">
        <v>187</v>
      </c>
      <c r="J202" t="s">
        <v>253</v>
      </c>
      <c r="K202">
        <v>1.99741160798489E-3</v>
      </c>
      <c r="L202" t="s">
        <v>158</v>
      </c>
      <c r="N202" t="s">
        <v>212</v>
      </c>
      <c r="O202" t="s">
        <v>253</v>
      </c>
      <c r="P202">
        <v>3.1408853904848093E-2</v>
      </c>
      <c r="Q202" t="s">
        <v>158</v>
      </c>
    </row>
    <row r="203" spans="9:17" x14ac:dyDescent="0.45">
      <c r="I203" t="s">
        <v>188</v>
      </c>
      <c r="J203" t="s">
        <v>242</v>
      </c>
      <c r="K203">
        <v>0.19359136123733584</v>
      </c>
      <c r="L203" t="s">
        <v>158</v>
      </c>
      <c r="N203" t="s">
        <v>213</v>
      </c>
      <c r="O203" t="s">
        <v>242</v>
      </c>
      <c r="P203">
        <v>0.10065354726953769</v>
      </c>
      <c r="Q203" t="s">
        <v>158</v>
      </c>
    </row>
    <row r="204" spans="9:17" x14ac:dyDescent="0.45">
      <c r="I204" t="s">
        <v>188</v>
      </c>
      <c r="J204" t="s">
        <v>243</v>
      </c>
      <c r="K204">
        <v>0</v>
      </c>
      <c r="L204" t="s">
        <v>158</v>
      </c>
      <c r="N204" t="s">
        <v>213</v>
      </c>
      <c r="O204" t="s">
        <v>243</v>
      </c>
      <c r="P204">
        <v>0.14009052144536879</v>
      </c>
      <c r="Q204" t="s">
        <v>158</v>
      </c>
    </row>
    <row r="205" spans="9:17" x14ac:dyDescent="0.45">
      <c r="I205" t="s">
        <v>188</v>
      </c>
      <c r="J205" t="s">
        <v>244</v>
      </c>
      <c r="K205">
        <v>5.6935896160188772E-3</v>
      </c>
      <c r="L205" t="s">
        <v>158</v>
      </c>
      <c r="N205" t="s">
        <v>213</v>
      </c>
      <c r="O205" t="s">
        <v>244</v>
      </c>
      <c r="P205">
        <v>1.5719697605970164E-2</v>
      </c>
      <c r="Q205" t="s">
        <v>158</v>
      </c>
    </row>
    <row r="206" spans="9:17" x14ac:dyDescent="0.45">
      <c r="I206" t="s">
        <v>188</v>
      </c>
      <c r="J206" t="s">
        <v>245</v>
      </c>
      <c r="K206">
        <v>0.28074918850620029</v>
      </c>
      <c r="L206" t="s">
        <v>158</v>
      </c>
      <c r="N206" t="s">
        <v>213</v>
      </c>
      <c r="O206" t="s">
        <v>245</v>
      </c>
      <c r="P206">
        <v>0.10781668188384408</v>
      </c>
      <c r="Q206" t="s">
        <v>158</v>
      </c>
    </row>
    <row r="207" spans="9:17" x14ac:dyDescent="0.45">
      <c r="I207" t="s">
        <v>188</v>
      </c>
      <c r="J207" t="s">
        <v>246</v>
      </c>
      <c r="K207">
        <v>2.7140126013610816E-3</v>
      </c>
      <c r="L207" t="s">
        <v>158</v>
      </c>
      <c r="N207" t="s">
        <v>213</v>
      </c>
      <c r="O207" t="s">
        <v>246</v>
      </c>
      <c r="P207">
        <v>7.6370892439745139E-2</v>
      </c>
      <c r="Q207" t="s">
        <v>158</v>
      </c>
    </row>
    <row r="208" spans="9:17" x14ac:dyDescent="0.45">
      <c r="I208" t="s">
        <v>188</v>
      </c>
      <c r="J208" t="s">
        <v>247</v>
      </c>
      <c r="K208">
        <v>2.0473965025274442E-2</v>
      </c>
      <c r="L208" t="s">
        <v>158</v>
      </c>
      <c r="N208" t="s">
        <v>213</v>
      </c>
      <c r="O208" t="s">
        <v>247</v>
      </c>
      <c r="P208">
        <v>1.3846955280203216E-2</v>
      </c>
      <c r="Q208" t="s">
        <v>158</v>
      </c>
    </row>
    <row r="209" spans="9:17" x14ac:dyDescent="0.45">
      <c r="I209" t="s">
        <v>188</v>
      </c>
      <c r="J209" t="s">
        <v>248</v>
      </c>
      <c r="K209">
        <v>0.28867333874684298</v>
      </c>
      <c r="L209" t="s">
        <v>158</v>
      </c>
      <c r="N209" t="s">
        <v>213</v>
      </c>
      <c r="O209" t="s">
        <v>248</v>
      </c>
      <c r="P209">
        <v>9.435636696758895E-2</v>
      </c>
      <c r="Q209" t="s">
        <v>158</v>
      </c>
    </row>
    <row r="210" spans="9:17" x14ac:dyDescent="0.45">
      <c r="I210" t="s">
        <v>188</v>
      </c>
      <c r="J210" t="s">
        <v>249</v>
      </c>
      <c r="K210">
        <v>9.4947672962954494E-3</v>
      </c>
      <c r="L210" t="s">
        <v>158</v>
      </c>
      <c r="N210" t="s">
        <v>213</v>
      </c>
      <c r="O210" t="s">
        <v>249</v>
      </c>
      <c r="P210">
        <v>6.5657486324963057E-2</v>
      </c>
      <c r="Q210" t="s">
        <v>158</v>
      </c>
    </row>
    <row r="211" spans="9:17" x14ac:dyDescent="0.45">
      <c r="I211" t="s">
        <v>188</v>
      </c>
      <c r="J211" t="s">
        <v>250</v>
      </c>
      <c r="K211">
        <v>2.6113001857955356E-2</v>
      </c>
      <c r="L211" t="s">
        <v>158</v>
      </c>
      <c r="N211" t="s">
        <v>213</v>
      </c>
      <c r="O211" t="s">
        <v>250</v>
      </c>
      <c r="P211">
        <v>9.7427440827432803E-3</v>
      </c>
      <c r="Q211" t="s">
        <v>158</v>
      </c>
    </row>
    <row r="212" spans="9:17" x14ac:dyDescent="0.45">
      <c r="I212" t="s">
        <v>188</v>
      </c>
      <c r="J212" t="s">
        <v>251</v>
      </c>
      <c r="K212">
        <v>0.17044865751236724</v>
      </c>
      <c r="L212" t="s">
        <v>158</v>
      </c>
      <c r="N212" t="s">
        <v>213</v>
      </c>
      <c r="O212" t="s">
        <v>251</v>
      </c>
      <c r="P212">
        <v>0.15701914182805632</v>
      </c>
      <c r="Q212" t="s">
        <v>158</v>
      </c>
    </row>
    <row r="213" spans="9:17" x14ac:dyDescent="0.45">
      <c r="I213" t="s">
        <v>188</v>
      </c>
      <c r="J213" t="s">
        <v>252</v>
      </c>
      <c r="K213">
        <v>0</v>
      </c>
      <c r="L213" t="s">
        <v>158</v>
      </c>
      <c r="N213" t="s">
        <v>213</v>
      </c>
      <c r="O213" t="s">
        <v>252</v>
      </c>
      <c r="P213">
        <v>0.18503576408381958</v>
      </c>
      <c r="Q213" t="s">
        <v>158</v>
      </c>
    </row>
    <row r="214" spans="9:17" x14ac:dyDescent="0.45">
      <c r="I214" t="s">
        <v>188</v>
      </c>
      <c r="J214" t="s">
        <v>253</v>
      </c>
      <c r="K214">
        <v>2.0481176001710994E-3</v>
      </c>
      <c r="L214" t="s">
        <v>158</v>
      </c>
      <c r="N214" t="s">
        <v>213</v>
      </c>
      <c r="O214" t="s">
        <v>253</v>
      </c>
      <c r="P214">
        <v>3.369020078806069E-2</v>
      </c>
      <c r="Q214" t="s">
        <v>158</v>
      </c>
    </row>
    <row r="215" spans="9:17" x14ac:dyDescent="0.45">
      <c r="I215" t="s">
        <v>189</v>
      </c>
      <c r="J215" t="s">
        <v>242</v>
      </c>
      <c r="K215">
        <v>0.18912855970712764</v>
      </c>
      <c r="L215" t="s">
        <v>158</v>
      </c>
      <c r="N215" t="s">
        <v>214</v>
      </c>
      <c r="O215" t="s">
        <v>242</v>
      </c>
      <c r="P215">
        <v>9.4745165877721929E-2</v>
      </c>
      <c r="Q215" t="s">
        <v>158</v>
      </c>
    </row>
    <row r="216" spans="9:17" x14ac:dyDescent="0.45">
      <c r="I216" t="s">
        <v>189</v>
      </c>
      <c r="J216" t="s">
        <v>243</v>
      </c>
      <c r="K216">
        <v>0</v>
      </c>
      <c r="L216" t="s">
        <v>158</v>
      </c>
      <c r="N216" t="s">
        <v>214</v>
      </c>
      <c r="O216" t="s">
        <v>243</v>
      </c>
      <c r="P216">
        <v>0.10738938009175608</v>
      </c>
      <c r="Q216" t="s">
        <v>158</v>
      </c>
    </row>
    <row r="217" spans="9:17" x14ac:dyDescent="0.45">
      <c r="I217" t="s">
        <v>189</v>
      </c>
      <c r="J217" t="s">
        <v>244</v>
      </c>
      <c r="K217">
        <v>5.6697710086645089E-3</v>
      </c>
      <c r="L217" t="s">
        <v>158</v>
      </c>
      <c r="N217" t="s">
        <v>214</v>
      </c>
      <c r="O217" t="s">
        <v>244</v>
      </c>
      <c r="P217">
        <v>1.7319727740474838E-2</v>
      </c>
      <c r="Q217" t="s">
        <v>158</v>
      </c>
    </row>
    <row r="218" spans="9:17" x14ac:dyDescent="0.45">
      <c r="I218" t="s">
        <v>189</v>
      </c>
      <c r="J218" t="s">
        <v>245</v>
      </c>
      <c r="K218">
        <v>0.28126090954574606</v>
      </c>
      <c r="L218" t="s">
        <v>158</v>
      </c>
      <c r="N218" t="s">
        <v>214</v>
      </c>
      <c r="O218" t="s">
        <v>245</v>
      </c>
      <c r="P218">
        <v>0.12655404777519028</v>
      </c>
      <c r="Q218" t="s">
        <v>158</v>
      </c>
    </row>
    <row r="219" spans="9:17" x14ac:dyDescent="0.45">
      <c r="I219" t="s">
        <v>189</v>
      </c>
      <c r="J219" t="s">
        <v>246</v>
      </c>
      <c r="K219">
        <v>2.825104545502177E-3</v>
      </c>
      <c r="L219" t="s">
        <v>158</v>
      </c>
      <c r="N219" t="s">
        <v>214</v>
      </c>
      <c r="O219" t="s">
        <v>246</v>
      </c>
      <c r="P219">
        <v>8.7443566850016974E-2</v>
      </c>
      <c r="Q219" t="s">
        <v>158</v>
      </c>
    </row>
    <row r="220" spans="9:17" x14ac:dyDescent="0.45">
      <c r="I220" t="s">
        <v>189</v>
      </c>
      <c r="J220" t="s">
        <v>247</v>
      </c>
      <c r="K220">
        <v>2.001753887773575E-2</v>
      </c>
      <c r="L220" t="s">
        <v>158</v>
      </c>
      <c r="N220" t="s">
        <v>214</v>
      </c>
      <c r="O220" t="s">
        <v>247</v>
      </c>
      <c r="P220">
        <v>1.9895970956326212E-2</v>
      </c>
      <c r="Q220" t="s">
        <v>158</v>
      </c>
    </row>
    <row r="221" spans="9:17" x14ac:dyDescent="0.45">
      <c r="I221" t="s">
        <v>189</v>
      </c>
      <c r="J221" t="s">
        <v>248</v>
      </c>
      <c r="K221">
        <v>0.29780632513746347</v>
      </c>
      <c r="L221" t="s">
        <v>158</v>
      </c>
      <c r="N221" t="s">
        <v>214</v>
      </c>
      <c r="O221" t="s">
        <v>248</v>
      </c>
      <c r="P221">
        <v>0.12861665185409718</v>
      </c>
      <c r="Q221" t="s">
        <v>158</v>
      </c>
    </row>
    <row r="222" spans="9:17" x14ac:dyDescent="0.45">
      <c r="I222" t="s">
        <v>189</v>
      </c>
      <c r="J222" t="s">
        <v>249</v>
      </c>
      <c r="K222">
        <v>1.0302386616848848E-2</v>
      </c>
      <c r="L222" t="s">
        <v>158</v>
      </c>
      <c r="N222" t="s">
        <v>214</v>
      </c>
      <c r="O222" t="s">
        <v>249</v>
      </c>
      <c r="P222">
        <v>5.0001129694923263E-2</v>
      </c>
      <c r="Q222" t="s">
        <v>158</v>
      </c>
    </row>
    <row r="223" spans="9:17" x14ac:dyDescent="0.45">
      <c r="I223" t="s">
        <v>189</v>
      </c>
      <c r="J223" t="s">
        <v>250</v>
      </c>
      <c r="K223">
        <v>2.8078664634883583E-2</v>
      </c>
      <c r="L223" t="s">
        <v>158</v>
      </c>
      <c r="N223" t="s">
        <v>214</v>
      </c>
      <c r="O223" t="s">
        <v>250</v>
      </c>
      <c r="P223">
        <v>1.6428712164591529E-2</v>
      </c>
      <c r="Q223" t="s">
        <v>158</v>
      </c>
    </row>
    <row r="224" spans="9:17" x14ac:dyDescent="0.45">
      <c r="I224" t="s">
        <v>189</v>
      </c>
      <c r="J224" t="s">
        <v>251</v>
      </c>
      <c r="K224">
        <v>0.16312379374317981</v>
      </c>
      <c r="L224" t="s">
        <v>158</v>
      </c>
      <c r="N224" t="s">
        <v>214</v>
      </c>
      <c r="O224" t="s">
        <v>251</v>
      </c>
      <c r="P224">
        <v>0.15594820073970245</v>
      </c>
      <c r="Q224" t="s">
        <v>158</v>
      </c>
    </row>
    <row r="225" spans="9:17" x14ac:dyDescent="0.45">
      <c r="I225" t="s">
        <v>189</v>
      </c>
      <c r="J225" t="s">
        <v>252</v>
      </c>
      <c r="K225">
        <v>0</v>
      </c>
      <c r="L225" t="s">
        <v>158</v>
      </c>
      <c r="N225" t="s">
        <v>214</v>
      </c>
      <c r="O225" t="s">
        <v>252</v>
      </c>
      <c r="P225">
        <v>0.16453726284945377</v>
      </c>
      <c r="Q225" t="s">
        <v>158</v>
      </c>
    </row>
    <row r="226" spans="9:17" x14ac:dyDescent="0.45">
      <c r="I226" t="s">
        <v>189</v>
      </c>
      <c r="J226" t="s">
        <v>253</v>
      </c>
      <c r="K226">
        <v>1.7869461826809717E-3</v>
      </c>
      <c r="L226" t="s">
        <v>158</v>
      </c>
      <c r="N226" t="s">
        <v>214</v>
      </c>
      <c r="O226" t="s">
        <v>253</v>
      </c>
      <c r="P226">
        <v>3.1120183405621473E-2</v>
      </c>
      <c r="Q226" t="s">
        <v>158</v>
      </c>
    </row>
    <row r="227" spans="9:17" x14ac:dyDescent="0.45">
      <c r="I227" t="s">
        <v>190</v>
      </c>
      <c r="J227" t="s">
        <v>242</v>
      </c>
      <c r="K227">
        <v>0.18436109252460664</v>
      </c>
      <c r="L227" t="s">
        <v>158</v>
      </c>
      <c r="N227" t="s">
        <v>215</v>
      </c>
      <c r="O227" t="s">
        <v>242</v>
      </c>
      <c r="P227">
        <v>9.3126716362670198E-2</v>
      </c>
      <c r="Q227" t="s">
        <v>158</v>
      </c>
    </row>
    <row r="228" spans="9:17" x14ac:dyDescent="0.45">
      <c r="I228" t="s">
        <v>190</v>
      </c>
      <c r="J228" t="s">
        <v>243</v>
      </c>
      <c r="K228">
        <v>0</v>
      </c>
      <c r="L228" t="s">
        <v>158</v>
      </c>
      <c r="N228" t="s">
        <v>215</v>
      </c>
      <c r="O228" t="s">
        <v>243</v>
      </c>
      <c r="P228">
        <v>0.14475432114485115</v>
      </c>
      <c r="Q228" t="s">
        <v>158</v>
      </c>
    </row>
    <row r="229" spans="9:17" x14ac:dyDescent="0.45">
      <c r="I229" t="s">
        <v>190</v>
      </c>
      <c r="J229" t="s">
        <v>244</v>
      </c>
      <c r="K229">
        <v>6.3518413776074752E-3</v>
      </c>
      <c r="L229" t="s">
        <v>158</v>
      </c>
      <c r="N229" t="s">
        <v>215</v>
      </c>
      <c r="O229" t="s">
        <v>244</v>
      </c>
      <c r="P229">
        <v>1.3972018650990573E-2</v>
      </c>
      <c r="Q229" t="s">
        <v>158</v>
      </c>
    </row>
    <row r="230" spans="9:17" x14ac:dyDescent="0.45">
      <c r="I230" t="s">
        <v>190</v>
      </c>
      <c r="J230" t="s">
        <v>245</v>
      </c>
      <c r="K230">
        <v>0.2742481750895594</v>
      </c>
      <c r="L230" t="s">
        <v>158</v>
      </c>
      <c r="N230" t="s">
        <v>215</v>
      </c>
      <c r="O230" t="s">
        <v>245</v>
      </c>
      <c r="P230">
        <v>0.13394906251801292</v>
      </c>
      <c r="Q230" t="s">
        <v>158</v>
      </c>
    </row>
    <row r="231" spans="9:17" x14ac:dyDescent="0.45">
      <c r="I231" t="s">
        <v>190</v>
      </c>
      <c r="J231" t="s">
        <v>246</v>
      </c>
      <c r="K231">
        <v>2.082966852758977E-3</v>
      </c>
      <c r="L231" t="s">
        <v>158</v>
      </c>
      <c r="N231" t="s">
        <v>215</v>
      </c>
      <c r="O231" t="s">
        <v>246</v>
      </c>
      <c r="P231">
        <v>0.13219769796191053</v>
      </c>
      <c r="Q231" t="s">
        <v>158</v>
      </c>
    </row>
    <row r="232" spans="9:17" x14ac:dyDescent="0.45">
      <c r="I232" t="s">
        <v>190</v>
      </c>
      <c r="J232" t="s">
        <v>247</v>
      </c>
      <c r="K232">
        <v>2.3982498620648295E-2</v>
      </c>
      <c r="L232" t="s">
        <v>158</v>
      </c>
      <c r="N232" t="s">
        <v>215</v>
      </c>
      <c r="O232" t="s">
        <v>247</v>
      </c>
      <c r="P232">
        <v>1.6651808712356608E-2</v>
      </c>
      <c r="Q232" t="s">
        <v>158</v>
      </c>
    </row>
    <row r="233" spans="9:17" x14ac:dyDescent="0.45">
      <c r="I233" t="s">
        <v>190</v>
      </c>
      <c r="J233" t="s">
        <v>248</v>
      </c>
      <c r="K233">
        <v>0.29433306577753704</v>
      </c>
      <c r="L233" t="s">
        <v>158</v>
      </c>
      <c r="N233" t="s">
        <v>215</v>
      </c>
      <c r="O233" t="s">
        <v>248</v>
      </c>
      <c r="P233">
        <v>7.0243454228699112E-2</v>
      </c>
      <c r="Q233" t="s">
        <v>158</v>
      </c>
    </row>
    <row r="234" spans="9:17" x14ac:dyDescent="0.45">
      <c r="I234" t="s">
        <v>190</v>
      </c>
      <c r="J234" t="s">
        <v>249</v>
      </c>
      <c r="K234">
        <v>1.0399084338581652E-2</v>
      </c>
      <c r="L234" t="s">
        <v>158</v>
      </c>
      <c r="N234" t="s">
        <v>215</v>
      </c>
      <c r="O234" t="s">
        <v>249</v>
      </c>
      <c r="P234">
        <v>2.1451124131102801E-2</v>
      </c>
      <c r="Q234" t="s">
        <v>158</v>
      </c>
    </row>
    <row r="235" spans="9:17" x14ac:dyDescent="0.45">
      <c r="I235" t="s">
        <v>190</v>
      </c>
      <c r="J235" t="s">
        <v>250</v>
      </c>
      <c r="K235">
        <v>2.9987589932523154E-2</v>
      </c>
      <c r="L235" t="s">
        <v>158</v>
      </c>
      <c r="N235" t="s">
        <v>215</v>
      </c>
      <c r="O235" t="s">
        <v>250</v>
      </c>
      <c r="P235">
        <v>5.6574674225822576E-3</v>
      </c>
      <c r="Q235" t="s">
        <v>158</v>
      </c>
    </row>
    <row r="236" spans="9:17" x14ac:dyDescent="0.45">
      <c r="I236" t="s">
        <v>190</v>
      </c>
      <c r="J236" t="s">
        <v>251</v>
      </c>
      <c r="K236">
        <v>0.17098153846317093</v>
      </c>
      <c r="L236" t="s">
        <v>158</v>
      </c>
      <c r="N236" t="s">
        <v>215</v>
      </c>
      <c r="O236" t="s">
        <v>251</v>
      </c>
      <c r="P236">
        <v>0.16089567299371363</v>
      </c>
      <c r="Q236" t="s">
        <v>158</v>
      </c>
    </row>
    <row r="237" spans="9:17" x14ac:dyDescent="0.45">
      <c r="I237" t="s">
        <v>190</v>
      </c>
      <c r="J237" t="s">
        <v>252</v>
      </c>
      <c r="K237">
        <v>0</v>
      </c>
      <c r="L237" t="s">
        <v>158</v>
      </c>
      <c r="N237" t="s">
        <v>215</v>
      </c>
      <c r="O237" t="s">
        <v>252</v>
      </c>
      <c r="P237">
        <v>0.1826879994344735</v>
      </c>
      <c r="Q237" t="s">
        <v>158</v>
      </c>
    </row>
    <row r="238" spans="9:17" x14ac:dyDescent="0.45">
      <c r="I238" t="s">
        <v>190</v>
      </c>
      <c r="J238" t="s">
        <v>253</v>
      </c>
      <c r="K238">
        <v>3.2721470228339938E-3</v>
      </c>
      <c r="L238" t="s">
        <v>158</v>
      </c>
      <c r="N238" t="s">
        <v>215</v>
      </c>
      <c r="O238" t="s">
        <v>253</v>
      </c>
      <c r="P238">
        <v>2.4412656438538145E-2</v>
      </c>
      <c r="Q238" t="s">
        <v>158</v>
      </c>
    </row>
    <row r="239" spans="9:17" x14ac:dyDescent="0.45">
      <c r="I239" t="s">
        <v>191</v>
      </c>
      <c r="J239" t="s">
        <v>242</v>
      </c>
      <c r="K239">
        <v>0.18214614329914416</v>
      </c>
      <c r="L239" t="s">
        <v>158</v>
      </c>
      <c r="N239" t="s">
        <v>216</v>
      </c>
      <c r="O239" t="s">
        <v>242</v>
      </c>
      <c r="P239">
        <v>0.16161330985651023</v>
      </c>
      <c r="Q239" t="s">
        <v>158</v>
      </c>
    </row>
    <row r="240" spans="9:17" x14ac:dyDescent="0.45">
      <c r="I240" t="s">
        <v>191</v>
      </c>
      <c r="J240" t="s">
        <v>243</v>
      </c>
      <c r="K240">
        <v>0</v>
      </c>
      <c r="L240" t="s">
        <v>158</v>
      </c>
      <c r="N240" t="s">
        <v>216</v>
      </c>
      <c r="O240" t="s">
        <v>243</v>
      </c>
      <c r="P240">
        <v>0.1319734558669082</v>
      </c>
      <c r="Q240" t="s">
        <v>158</v>
      </c>
    </row>
    <row r="241" spans="9:17" x14ac:dyDescent="0.45">
      <c r="I241" t="s">
        <v>191</v>
      </c>
      <c r="J241" t="s">
        <v>244</v>
      </c>
      <c r="K241">
        <v>6.9125751437096178E-3</v>
      </c>
      <c r="L241" t="s">
        <v>158</v>
      </c>
      <c r="N241" t="s">
        <v>216</v>
      </c>
      <c r="O241" t="s">
        <v>244</v>
      </c>
      <c r="P241">
        <v>2.4890868122611452E-2</v>
      </c>
      <c r="Q241" t="s">
        <v>158</v>
      </c>
    </row>
    <row r="242" spans="9:17" x14ac:dyDescent="0.45">
      <c r="I242" t="s">
        <v>191</v>
      </c>
      <c r="J242" t="s">
        <v>245</v>
      </c>
      <c r="K242">
        <v>0.26062578296538208</v>
      </c>
      <c r="L242" t="s">
        <v>158</v>
      </c>
      <c r="N242" t="s">
        <v>216</v>
      </c>
      <c r="O242" t="s">
        <v>245</v>
      </c>
      <c r="P242">
        <v>0.12571163238940369</v>
      </c>
      <c r="Q242" t="s">
        <v>158</v>
      </c>
    </row>
    <row r="243" spans="9:17" x14ac:dyDescent="0.45">
      <c r="I243" t="s">
        <v>191</v>
      </c>
      <c r="J243" t="s">
        <v>246</v>
      </c>
      <c r="K243">
        <v>2.5273860019197551E-3</v>
      </c>
      <c r="L243" t="s">
        <v>158</v>
      </c>
      <c r="N243" t="s">
        <v>216</v>
      </c>
      <c r="O243" t="s">
        <v>246</v>
      </c>
      <c r="P243">
        <v>0.10946329423037753</v>
      </c>
      <c r="Q243" t="s">
        <v>158</v>
      </c>
    </row>
    <row r="244" spans="9:17" x14ac:dyDescent="0.45">
      <c r="I244" t="s">
        <v>191</v>
      </c>
      <c r="J244" t="s">
        <v>247</v>
      </c>
      <c r="K244">
        <v>2.2768034943822121E-2</v>
      </c>
      <c r="L244" t="s">
        <v>158</v>
      </c>
      <c r="N244" t="s">
        <v>216</v>
      </c>
      <c r="O244" t="s">
        <v>247</v>
      </c>
      <c r="P244">
        <v>1.9692166307119219E-2</v>
      </c>
      <c r="Q244" t="s">
        <v>158</v>
      </c>
    </row>
    <row r="245" spans="9:17" x14ac:dyDescent="0.45">
      <c r="I245" t="s">
        <v>191</v>
      </c>
      <c r="J245" t="s">
        <v>248</v>
      </c>
      <c r="K245">
        <v>0.31925207868364541</v>
      </c>
      <c r="L245" t="s">
        <v>158</v>
      </c>
      <c r="N245" t="s">
        <v>216</v>
      </c>
      <c r="O245" t="s">
        <v>248</v>
      </c>
      <c r="P245">
        <v>6.5624424461086975E-2</v>
      </c>
      <c r="Q245" t="s">
        <v>158</v>
      </c>
    </row>
    <row r="246" spans="9:17" x14ac:dyDescent="0.45">
      <c r="I246" t="s">
        <v>191</v>
      </c>
      <c r="J246" t="s">
        <v>249</v>
      </c>
      <c r="K246">
        <v>1.1596327823312892E-2</v>
      </c>
      <c r="L246" t="s">
        <v>158</v>
      </c>
      <c r="N246" t="s">
        <v>216</v>
      </c>
      <c r="O246" t="s">
        <v>249</v>
      </c>
      <c r="P246">
        <v>2.5279701034681881E-2</v>
      </c>
      <c r="Q246" t="s">
        <v>158</v>
      </c>
    </row>
    <row r="247" spans="9:17" x14ac:dyDescent="0.45">
      <c r="I247" t="s">
        <v>191</v>
      </c>
      <c r="J247" t="s">
        <v>250</v>
      </c>
      <c r="K247">
        <v>3.4814164966323113E-2</v>
      </c>
      <c r="L247" t="s">
        <v>158</v>
      </c>
      <c r="N247" t="s">
        <v>216</v>
      </c>
      <c r="O247" t="s">
        <v>250</v>
      </c>
      <c r="P247">
        <v>1.1192238789360823E-2</v>
      </c>
      <c r="Q247" t="s">
        <v>158</v>
      </c>
    </row>
    <row r="248" spans="9:17" x14ac:dyDescent="0.45">
      <c r="I248" t="s">
        <v>191</v>
      </c>
      <c r="J248" t="s">
        <v>251</v>
      </c>
      <c r="K248">
        <v>0.15610736846111309</v>
      </c>
      <c r="L248" t="s">
        <v>158</v>
      </c>
      <c r="N248" t="s">
        <v>216</v>
      </c>
      <c r="O248" t="s">
        <v>251</v>
      </c>
      <c r="P248">
        <v>0.14218780124564068</v>
      </c>
      <c r="Q248" t="s">
        <v>158</v>
      </c>
    </row>
    <row r="249" spans="9:17" x14ac:dyDescent="0.45">
      <c r="I249" t="s">
        <v>191</v>
      </c>
      <c r="J249" t="s">
        <v>252</v>
      </c>
      <c r="K249">
        <v>0</v>
      </c>
      <c r="L249" t="s">
        <v>158</v>
      </c>
      <c r="N249" t="s">
        <v>216</v>
      </c>
      <c r="O249" t="s">
        <v>252</v>
      </c>
      <c r="P249">
        <v>0.15698538454674135</v>
      </c>
      <c r="Q249" t="s">
        <v>158</v>
      </c>
    </row>
    <row r="250" spans="9:17" x14ac:dyDescent="0.45">
      <c r="I250" t="s">
        <v>191</v>
      </c>
      <c r="J250" t="s">
        <v>253</v>
      </c>
      <c r="K250">
        <v>3.2501377114606367E-3</v>
      </c>
      <c r="L250" t="s">
        <v>158</v>
      </c>
      <c r="N250" t="s">
        <v>216</v>
      </c>
      <c r="O250" t="s">
        <v>253</v>
      </c>
      <c r="P250">
        <v>2.5385723149454528E-2</v>
      </c>
      <c r="Q250" t="s">
        <v>158</v>
      </c>
    </row>
    <row r="251" spans="9:17" x14ac:dyDescent="0.45">
      <c r="I251" t="s">
        <v>192</v>
      </c>
      <c r="J251" t="s">
        <v>242</v>
      </c>
      <c r="K251">
        <v>0.17737873202994694</v>
      </c>
      <c r="L251" t="s">
        <v>158</v>
      </c>
      <c r="N251" t="s">
        <v>217</v>
      </c>
      <c r="O251" t="s">
        <v>242</v>
      </c>
      <c r="P251">
        <v>0.18617144393683302</v>
      </c>
      <c r="Q251" t="s">
        <v>158</v>
      </c>
    </row>
    <row r="252" spans="9:17" x14ac:dyDescent="0.45">
      <c r="I252" t="s">
        <v>192</v>
      </c>
      <c r="J252" t="s">
        <v>243</v>
      </c>
      <c r="K252">
        <v>0</v>
      </c>
      <c r="L252" t="s">
        <v>158</v>
      </c>
      <c r="N252" t="s">
        <v>217</v>
      </c>
      <c r="O252" t="s">
        <v>243</v>
      </c>
      <c r="P252">
        <v>0.14583291886425254</v>
      </c>
      <c r="Q252" t="s">
        <v>158</v>
      </c>
    </row>
    <row r="253" spans="9:17" x14ac:dyDescent="0.45">
      <c r="I253" t="s">
        <v>192</v>
      </c>
      <c r="J253" t="s">
        <v>244</v>
      </c>
      <c r="K253">
        <v>6.9708010713728829E-3</v>
      </c>
      <c r="L253" t="s">
        <v>158</v>
      </c>
      <c r="N253" t="s">
        <v>217</v>
      </c>
      <c r="O253" t="s">
        <v>244</v>
      </c>
      <c r="P253">
        <v>2.8897619055252906E-2</v>
      </c>
      <c r="Q253" t="s">
        <v>158</v>
      </c>
    </row>
    <row r="254" spans="9:17" x14ac:dyDescent="0.45">
      <c r="I254" t="s">
        <v>192</v>
      </c>
      <c r="J254" t="s">
        <v>245</v>
      </c>
      <c r="K254">
        <v>0.2527772148044472</v>
      </c>
      <c r="L254" t="s">
        <v>158</v>
      </c>
      <c r="N254" t="s">
        <v>217</v>
      </c>
      <c r="O254" t="s">
        <v>245</v>
      </c>
      <c r="P254">
        <v>0.10682464452310314</v>
      </c>
      <c r="Q254" t="s">
        <v>158</v>
      </c>
    </row>
    <row r="255" spans="9:17" x14ac:dyDescent="0.45">
      <c r="I255" t="s">
        <v>192</v>
      </c>
      <c r="J255" t="s">
        <v>246</v>
      </c>
      <c r="K255">
        <v>2.7981939565597629E-3</v>
      </c>
      <c r="L255" t="s">
        <v>158</v>
      </c>
      <c r="N255" t="s">
        <v>217</v>
      </c>
      <c r="O255" t="s">
        <v>246</v>
      </c>
      <c r="P255">
        <v>8.6766379370390265E-2</v>
      </c>
      <c r="Q255" t="s">
        <v>158</v>
      </c>
    </row>
    <row r="256" spans="9:17" x14ac:dyDescent="0.45">
      <c r="I256" t="s">
        <v>192</v>
      </c>
      <c r="J256" t="s">
        <v>247</v>
      </c>
      <c r="K256">
        <v>2.2446153004371756E-2</v>
      </c>
      <c r="L256" t="s">
        <v>158</v>
      </c>
      <c r="N256" t="s">
        <v>217</v>
      </c>
      <c r="O256" t="s">
        <v>247</v>
      </c>
      <c r="P256">
        <v>1.6989254686486273E-2</v>
      </c>
      <c r="Q256" t="s">
        <v>158</v>
      </c>
    </row>
    <row r="257" spans="9:17" x14ac:dyDescent="0.45">
      <c r="I257" t="s">
        <v>192</v>
      </c>
      <c r="J257" t="s">
        <v>248</v>
      </c>
      <c r="K257">
        <v>0.33884344360217861</v>
      </c>
      <c r="L257" t="s">
        <v>158</v>
      </c>
      <c r="N257" t="s">
        <v>217</v>
      </c>
      <c r="O257" t="s">
        <v>248</v>
      </c>
      <c r="P257">
        <v>6.3904458537554956E-2</v>
      </c>
      <c r="Q257" t="s">
        <v>158</v>
      </c>
    </row>
    <row r="258" spans="9:17" x14ac:dyDescent="0.45">
      <c r="I258" t="s">
        <v>192</v>
      </c>
      <c r="J258" t="s">
        <v>249</v>
      </c>
      <c r="K258">
        <v>1.3013989849189738E-2</v>
      </c>
      <c r="L258" t="s">
        <v>158</v>
      </c>
      <c r="N258" t="s">
        <v>217</v>
      </c>
      <c r="O258" t="s">
        <v>249</v>
      </c>
      <c r="P258">
        <v>4.3072906429781142E-2</v>
      </c>
      <c r="Q258" t="s">
        <v>158</v>
      </c>
    </row>
    <row r="259" spans="9:17" x14ac:dyDescent="0.45">
      <c r="I259" t="s">
        <v>192</v>
      </c>
      <c r="J259" t="s">
        <v>250</v>
      </c>
      <c r="K259">
        <v>3.8121074929068903E-2</v>
      </c>
      <c r="L259" t="s">
        <v>158</v>
      </c>
      <c r="N259" t="s">
        <v>217</v>
      </c>
      <c r="O259" t="s">
        <v>250</v>
      </c>
      <c r="P259">
        <v>1.3450457512956898E-2</v>
      </c>
      <c r="Q259" t="s">
        <v>158</v>
      </c>
    </row>
    <row r="260" spans="9:17" x14ac:dyDescent="0.45">
      <c r="I260" t="s">
        <v>192</v>
      </c>
      <c r="J260" t="s">
        <v>251</v>
      </c>
      <c r="K260">
        <v>0.14460525944297889</v>
      </c>
      <c r="L260" t="s">
        <v>158</v>
      </c>
      <c r="N260" t="s">
        <v>217</v>
      </c>
      <c r="O260" t="s">
        <v>251</v>
      </c>
      <c r="P260">
        <v>0.13137660584009558</v>
      </c>
      <c r="Q260" t="s">
        <v>158</v>
      </c>
    </row>
    <row r="261" spans="9:17" x14ac:dyDescent="0.45">
      <c r="I261" t="s">
        <v>192</v>
      </c>
      <c r="J261" t="s">
        <v>252</v>
      </c>
      <c r="K261">
        <v>0</v>
      </c>
      <c r="L261" t="s">
        <v>158</v>
      </c>
      <c r="N261" t="s">
        <v>217</v>
      </c>
      <c r="O261" t="s">
        <v>252</v>
      </c>
      <c r="P261">
        <v>0.14873039862037976</v>
      </c>
      <c r="Q261" t="s">
        <v>158</v>
      </c>
    </row>
    <row r="262" spans="9:17" x14ac:dyDescent="0.45">
      <c r="I262" t="s">
        <v>192</v>
      </c>
      <c r="J262" t="s">
        <v>253</v>
      </c>
      <c r="K262">
        <v>3.0451373097259938E-3</v>
      </c>
      <c r="L262" t="s">
        <v>158</v>
      </c>
      <c r="N262" t="s">
        <v>217</v>
      </c>
      <c r="O262" t="s">
        <v>253</v>
      </c>
      <c r="P262">
        <v>2.7982912622792983E-2</v>
      </c>
      <c r="Q262" t="s">
        <v>158</v>
      </c>
    </row>
    <row r="263" spans="9:17" x14ac:dyDescent="0.45">
      <c r="I263" t="s">
        <v>193</v>
      </c>
      <c r="J263" t="s">
        <v>242</v>
      </c>
      <c r="K263">
        <v>0.17215142868029734</v>
      </c>
      <c r="L263" t="s">
        <v>158</v>
      </c>
      <c r="N263" t="s">
        <v>218</v>
      </c>
      <c r="O263" t="s">
        <v>242</v>
      </c>
      <c r="P263">
        <v>0.17197765335947532</v>
      </c>
      <c r="Q263" t="s">
        <v>158</v>
      </c>
    </row>
    <row r="264" spans="9:17" x14ac:dyDescent="0.45">
      <c r="I264" t="s">
        <v>193</v>
      </c>
      <c r="J264" t="s">
        <v>243</v>
      </c>
      <c r="K264">
        <v>0</v>
      </c>
      <c r="L264" t="s">
        <v>158</v>
      </c>
      <c r="N264" t="s">
        <v>218</v>
      </c>
      <c r="O264" t="s">
        <v>243</v>
      </c>
      <c r="P264">
        <v>0.15664804216210168</v>
      </c>
      <c r="Q264" t="s">
        <v>158</v>
      </c>
    </row>
    <row r="265" spans="9:17" x14ac:dyDescent="0.45">
      <c r="I265" t="s">
        <v>193</v>
      </c>
      <c r="J265" t="s">
        <v>244</v>
      </c>
      <c r="K265">
        <v>6.7778702240066024E-3</v>
      </c>
      <c r="L265" t="s">
        <v>158</v>
      </c>
      <c r="N265" t="s">
        <v>218</v>
      </c>
      <c r="O265" t="s">
        <v>244</v>
      </c>
      <c r="P265">
        <v>2.8722389362655032E-2</v>
      </c>
      <c r="Q265" t="s">
        <v>158</v>
      </c>
    </row>
    <row r="266" spans="9:17" x14ac:dyDescent="0.45">
      <c r="I266" t="s">
        <v>193</v>
      </c>
      <c r="J266" t="s">
        <v>245</v>
      </c>
      <c r="K266">
        <v>0.25103820494665197</v>
      </c>
      <c r="L266" t="s">
        <v>158</v>
      </c>
      <c r="N266" t="s">
        <v>218</v>
      </c>
      <c r="O266" t="s">
        <v>245</v>
      </c>
      <c r="P266">
        <v>9.2129267684344915E-2</v>
      </c>
      <c r="Q266" t="s">
        <v>158</v>
      </c>
    </row>
    <row r="267" spans="9:17" x14ac:dyDescent="0.45">
      <c r="I267" t="s">
        <v>193</v>
      </c>
      <c r="J267" t="s">
        <v>246</v>
      </c>
      <c r="K267">
        <v>2.9946419075939828E-3</v>
      </c>
      <c r="L267" t="s">
        <v>158</v>
      </c>
      <c r="N267" t="s">
        <v>218</v>
      </c>
      <c r="O267" t="s">
        <v>246</v>
      </c>
      <c r="P267">
        <v>8.8599185678043174E-2</v>
      </c>
      <c r="Q267" t="s">
        <v>158</v>
      </c>
    </row>
    <row r="268" spans="9:17" x14ac:dyDescent="0.45">
      <c r="I268" t="s">
        <v>193</v>
      </c>
      <c r="J268" t="s">
        <v>247</v>
      </c>
      <c r="K268">
        <v>2.2000120588929268E-2</v>
      </c>
      <c r="L268" t="s">
        <v>158</v>
      </c>
      <c r="N268" t="s">
        <v>218</v>
      </c>
      <c r="O268" t="s">
        <v>247</v>
      </c>
      <c r="P268">
        <v>1.6841999016983616E-2</v>
      </c>
      <c r="Q268" t="s">
        <v>158</v>
      </c>
    </row>
    <row r="269" spans="9:17" x14ac:dyDescent="0.45">
      <c r="I269" t="s">
        <v>193</v>
      </c>
      <c r="J269" t="s">
        <v>248</v>
      </c>
      <c r="K269">
        <v>0.35436856207819711</v>
      </c>
      <c r="L269" t="s">
        <v>158</v>
      </c>
      <c r="N269" t="s">
        <v>218</v>
      </c>
      <c r="O269" t="s">
        <v>248</v>
      </c>
      <c r="P269">
        <v>5.6149977901815432E-2</v>
      </c>
      <c r="Q269" t="s">
        <v>158</v>
      </c>
    </row>
    <row r="270" spans="9:17" x14ac:dyDescent="0.45">
      <c r="I270" t="s">
        <v>193</v>
      </c>
      <c r="J270" t="s">
        <v>249</v>
      </c>
      <c r="K270">
        <v>1.4526263617416027E-2</v>
      </c>
      <c r="L270" t="s">
        <v>158</v>
      </c>
      <c r="N270" t="s">
        <v>218</v>
      </c>
      <c r="O270" t="s">
        <v>249</v>
      </c>
      <c r="P270">
        <v>5.4651244433579403E-2</v>
      </c>
      <c r="Q270" t="s">
        <v>158</v>
      </c>
    </row>
    <row r="271" spans="9:17" x14ac:dyDescent="0.45">
      <c r="I271" t="s">
        <v>193</v>
      </c>
      <c r="J271" t="s">
        <v>250</v>
      </c>
      <c r="K271">
        <v>3.9473793666963464E-2</v>
      </c>
      <c r="L271" t="s">
        <v>158</v>
      </c>
      <c r="N271" t="s">
        <v>218</v>
      </c>
      <c r="O271" t="s">
        <v>250</v>
      </c>
      <c r="P271">
        <v>1.2612069734562409E-2</v>
      </c>
      <c r="Q271" t="s">
        <v>158</v>
      </c>
    </row>
    <row r="272" spans="9:17" x14ac:dyDescent="0.45">
      <c r="I272" t="s">
        <v>193</v>
      </c>
      <c r="J272" t="s">
        <v>251</v>
      </c>
      <c r="K272">
        <v>0.13404157675201617</v>
      </c>
      <c r="L272" t="s">
        <v>158</v>
      </c>
      <c r="N272" t="s">
        <v>218</v>
      </c>
      <c r="O272" t="s">
        <v>251</v>
      </c>
      <c r="P272">
        <v>0.13613854887715987</v>
      </c>
      <c r="Q272" t="s">
        <v>158</v>
      </c>
    </row>
    <row r="273" spans="9:17" x14ac:dyDescent="0.45">
      <c r="I273" t="s">
        <v>193</v>
      </c>
      <c r="J273" t="s">
        <v>252</v>
      </c>
      <c r="K273">
        <v>0</v>
      </c>
      <c r="L273" t="s">
        <v>158</v>
      </c>
      <c r="N273" t="s">
        <v>218</v>
      </c>
      <c r="O273" t="s">
        <v>252</v>
      </c>
      <c r="P273">
        <v>0.15670361975891958</v>
      </c>
      <c r="Q273" t="s">
        <v>158</v>
      </c>
    </row>
    <row r="274" spans="9:17" x14ac:dyDescent="0.45">
      <c r="I274" t="s">
        <v>193</v>
      </c>
      <c r="J274" t="s">
        <v>253</v>
      </c>
      <c r="K274">
        <v>2.6275375377735432E-3</v>
      </c>
      <c r="L274" t="s">
        <v>158</v>
      </c>
      <c r="N274" t="s">
        <v>218</v>
      </c>
      <c r="O274" t="s">
        <v>253</v>
      </c>
      <c r="P274">
        <v>2.8826002030227185E-2</v>
      </c>
      <c r="Q274" t="s">
        <v>158</v>
      </c>
    </row>
    <row r="275" spans="9:17" x14ac:dyDescent="0.45">
      <c r="I275" t="s">
        <v>194</v>
      </c>
      <c r="J275" t="s">
        <v>242</v>
      </c>
      <c r="K275">
        <v>0.18737875817386973</v>
      </c>
      <c r="L275" t="s">
        <v>158</v>
      </c>
      <c r="N275" t="s">
        <v>219</v>
      </c>
      <c r="O275" t="s">
        <v>242</v>
      </c>
      <c r="P275">
        <v>0.14560249601450678</v>
      </c>
      <c r="Q275" t="s">
        <v>158</v>
      </c>
    </row>
    <row r="276" spans="9:17" x14ac:dyDescent="0.45">
      <c r="I276" t="s">
        <v>194</v>
      </c>
      <c r="J276" t="s">
        <v>243</v>
      </c>
      <c r="K276">
        <v>0</v>
      </c>
      <c r="L276" t="s">
        <v>158</v>
      </c>
      <c r="N276" t="s">
        <v>219</v>
      </c>
      <c r="O276" t="s">
        <v>243</v>
      </c>
      <c r="P276">
        <v>0.15183642763873068</v>
      </c>
      <c r="Q276" t="s">
        <v>158</v>
      </c>
    </row>
    <row r="277" spans="9:17" x14ac:dyDescent="0.45">
      <c r="I277" t="s">
        <v>194</v>
      </c>
      <c r="J277" t="s">
        <v>244</v>
      </c>
      <c r="K277">
        <v>6.4626145020302977E-3</v>
      </c>
      <c r="L277" t="s">
        <v>158</v>
      </c>
      <c r="N277" t="s">
        <v>219</v>
      </c>
      <c r="O277" t="s">
        <v>244</v>
      </c>
      <c r="P277">
        <v>2.747246253336243E-2</v>
      </c>
      <c r="Q277" t="s">
        <v>158</v>
      </c>
    </row>
    <row r="278" spans="9:17" x14ac:dyDescent="0.45">
      <c r="I278" t="s">
        <v>194</v>
      </c>
      <c r="J278" t="s">
        <v>245</v>
      </c>
      <c r="K278">
        <v>0.28173764951601121</v>
      </c>
      <c r="L278" t="s">
        <v>158</v>
      </c>
      <c r="N278" t="s">
        <v>219</v>
      </c>
      <c r="O278" t="s">
        <v>245</v>
      </c>
      <c r="P278">
        <v>9.6089957220870131E-2</v>
      </c>
      <c r="Q278" t="s">
        <v>158</v>
      </c>
    </row>
    <row r="279" spans="9:17" x14ac:dyDescent="0.45">
      <c r="I279" t="s">
        <v>194</v>
      </c>
      <c r="J279" t="s">
        <v>246</v>
      </c>
      <c r="K279">
        <v>2.5268009899025432E-3</v>
      </c>
      <c r="L279" t="s">
        <v>158</v>
      </c>
      <c r="N279" t="s">
        <v>219</v>
      </c>
      <c r="O279" t="s">
        <v>246</v>
      </c>
      <c r="P279">
        <v>0.1025064288427372</v>
      </c>
      <c r="Q279" t="s">
        <v>158</v>
      </c>
    </row>
    <row r="280" spans="9:17" x14ac:dyDescent="0.45">
      <c r="I280" t="s">
        <v>194</v>
      </c>
      <c r="J280" t="s">
        <v>247</v>
      </c>
      <c r="K280">
        <v>2.5939709923869968E-2</v>
      </c>
      <c r="L280" t="s">
        <v>158</v>
      </c>
      <c r="N280" t="s">
        <v>219</v>
      </c>
      <c r="O280" t="s">
        <v>247</v>
      </c>
      <c r="P280">
        <v>1.8575657631542997E-2</v>
      </c>
      <c r="Q280" t="s">
        <v>158</v>
      </c>
    </row>
    <row r="281" spans="9:17" x14ac:dyDescent="0.45">
      <c r="I281" t="s">
        <v>194</v>
      </c>
      <c r="J281" t="s">
        <v>248</v>
      </c>
      <c r="K281">
        <v>0.28202869045688223</v>
      </c>
      <c r="L281" t="s">
        <v>158</v>
      </c>
      <c r="N281" t="s">
        <v>219</v>
      </c>
      <c r="O281" t="s">
        <v>248</v>
      </c>
      <c r="P281">
        <v>5.9207513301357415E-2</v>
      </c>
      <c r="Q281" t="s">
        <v>158</v>
      </c>
    </row>
    <row r="282" spans="9:17" x14ac:dyDescent="0.45">
      <c r="I282" t="s">
        <v>194</v>
      </c>
      <c r="J282" t="s">
        <v>249</v>
      </c>
      <c r="K282">
        <v>9.6100672688424291E-3</v>
      </c>
      <c r="L282" t="s">
        <v>158</v>
      </c>
      <c r="N282" t="s">
        <v>219</v>
      </c>
      <c r="O282" t="s">
        <v>249</v>
      </c>
      <c r="P282">
        <v>7.2149053952063086E-2</v>
      </c>
      <c r="Q282" t="s">
        <v>158</v>
      </c>
    </row>
    <row r="283" spans="9:17" x14ac:dyDescent="0.45">
      <c r="I283" t="s">
        <v>194</v>
      </c>
      <c r="J283" t="s">
        <v>250</v>
      </c>
      <c r="K283">
        <v>2.9590327574208021E-2</v>
      </c>
      <c r="L283" t="s">
        <v>158</v>
      </c>
      <c r="N283" t="s">
        <v>219</v>
      </c>
      <c r="O283" t="s">
        <v>250</v>
      </c>
      <c r="P283">
        <v>1.2627650694076519E-2</v>
      </c>
      <c r="Q283" t="s">
        <v>158</v>
      </c>
    </row>
    <row r="284" spans="9:17" x14ac:dyDescent="0.45">
      <c r="I284" t="s">
        <v>194</v>
      </c>
      <c r="J284" t="s">
        <v>251</v>
      </c>
      <c r="K284">
        <v>0.17204658510716703</v>
      </c>
      <c r="L284" t="s">
        <v>158</v>
      </c>
      <c r="N284" t="s">
        <v>219</v>
      </c>
      <c r="O284" t="s">
        <v>251</v>
      </c>
      <c r="P284">
        <v>0.1349960062254264</v>
      </c>
      <c r="Q284" t="s">
        <v>158</v>
      </c>
    </row>
    <row r="285" spans="9:17" x14ac:dyDescent="0.45">
      <c r="I285" t="s">
        <v>194</v>
      </c>
      <c r="J285" t="s">
        <v>252</v>
      </c>
      <c r="K285">
        <v>0</v>
      </c>
      <c r="L285" t="s">
        <v>158</v>
      </c>
      <c r="N285" t="s">
        <v>219</v>
      </c>
      <c r="O285" t="s">
        <v>252</v>
      </c>
      <c r="P285">
        <v>0.15099939937223375</v>
      </c>
      <c r="Q285" t="s">
        <v>158</v>
      </c>
    </row>
    <row r="286" spans="9:17" x14ac:dyDescent="0.45">
      <c r="I286" t="s">
        <v>194</v>
      </c>
      <c r="J286" t="s">
        <v>253</v>
      </c>
      <c r="K286">
        <v>2.6787964870432319E-3</v>
      </c>
      <c r="L286" t="s">
        <v>158</v>
      </c>
      <c r="N286" t="s">
        <v>219</v>
      </c>
      <c r="O286" t="s">
        <v>253</v>
      </c>
      <c r="P286">
        <v>2.7936946572958036E-2</v>
      </c>
      <c r="Q286" t="s">
        <v>158</v>
      </c>
    </row>
    <row r="287" spans="9:17" x14ac:dyDescent="0.45">
      <c r="I287" t="s">
        <v>195</v>
      </c>
      <c r="J287" t="s">
        <v>242</v>
      </c>
      <c r="K287">
        <v>0.18801583276232628</v>
      </c>
      <c r="L287" t="s">
        <v>158</v>
      </c>
      <c r="N287" t="s">
        <v>220</v>
      </c>
      <c r="O287" t="s">
        <v>242</v>
      </c>
      <c r="P287">
        <v>9.2353572568244294E-2</v>
      </c>
      <c r="Q287" t="s">
        <v>158</v>
      </c>
    </row>
    <row r="288" spans="9:17" x14ac:dyDescent="0.45">
      <c r="I288" t="s">
        <v>195</v>
      </c>
      <c r="J288" t="s">
        <v>243</v>
      </c>
      <c r="K288">
        <v>0</v>
      </c>
      <c r="L288" t="s">
        <v>158</v>
      </c>
      <c r="N288" t="s">
        <v>220</v>
      </c>
      <c r="O288" t="s">
        <v>243</v>
      </c>
      <c r="P288">
        <v>0.11811133974589007</v>
      </c>
      <c r="Q288" t="s">
        <v>158</v>
      </c>
    </row>
    <row r="289" spans="9:17" x14ac:dyDescent="0.45">
      <c r="I289" t="s">
        <v>195</v>
      </c>
      <c r="J289" t="s">
        <v>244</v>
      </c>
      <c r="K289">
        <v>6.4248903767615238E-3</v>
      </c>
      <c r="L289" t="s">
        <v>158</v>
      </c>
      <c r="N289" t="s">
        <v>220</v>
      </c>
      <c r="O289" t="s">
        <v>244</v>
      </c>
      <c r="P289">
        <v>1.9652895957617829E-2</v>
      </c>
      <c r="Q289" t="s">
        <v>158</v>
      </c>
    </row>
    <row r="290" spans="9:17" x14ac:dyDescent="0.45">
      <c r="I290" t="s">
        <v>195</v>
      </c>
      <c r="J290" t="s">
        <v>245</v>
      </c>
      <c r="K290">
        <v>0.27170633567281738</v>
      </c>
      <c r="L290" t="s">
        <v>158</v>
      </c>
      <c r="N290" t="s">
        <v>220</v>
      </c>
      <c r="O290" t="s">
        <v>245</v>
      </c>
      <c r="P290">
        <v>0.12231704736230141</v>
      </c>
      <c r="Q290" t="s">
        <v>158</v>
      </c>
    </row>
    <row r="291" spans="9:17" x14ac:dyDescent="0.45">
      <c r="I291" t="s">
        <v>195</v>
      </c>
      <c r="J291" t="s">
        <v>246</v>
      </c>
      <c r="K291">
        <v>2.7544602474289088E-3</v>
      </c>
      <c r="L291" t="s">
        <v>158</v>
      </c>
      <c r="N291" t="s">
        <v>220</v>
      </c>
      <c r="O291" t="s">
        <v>246</v>
      </c>
      <c r="P291">
        <v>0.13444452314389385</v>
      </c>
      <c r="Q291" t="s">
        <v>158</v>
      </c>
    </row>
    <row r="292" spans="9:17" x14ac:dyDescent="0.45">
      <c r="I292" t="s">
        <v>195</v>
      </c>
      <c r="J292" t="s">
        <v>247</v>
      </c>
      <c r="K292">
        <v>2.3732522842959309E-2</v>
      </c>
      <c r="L292" t="s">
        <v>158</v>
      </c>
      <c r="N292" t="s">
        <v>220</v>
      </c>
      <c r="O292" t="s">
        <v>247</v>
      </c>
      <c r="P292">
        <v>2.3026825214869515E-2</v>
      </c>
      <c r="Q292" t="s">
        <v>158</v>
      </c>
    </row>
    <row r="293" spans="9:17" x14ac:dyDescent="0.45">
      <c r="I293" t="s">
        <v>195</v>
      </c>
      <c r="J293" t="s">
        <v>248</v>
      </c>
      <c r="K293">
        <v>0.29615897421470028</v>
      </c>
      <c r="L293" t="s">
        <v>158</v>
      </c>
      <c r="N293" t="s">
        <v>220</v>
      </c>
      <c r="O293" t="s">
        <v>248</v>
      </c>
      <c r="P293">
        <v>6.0684560340008367E-2</v>
      </c>
      <c r="Q293" t="s">
        <v>158</v>
      </c>
    </row>
    <row r="294" spans="9:17" x14ac:dyDescent="0.45">
      <c r="I294" t="s">
        <v>195</v>
      </c>
      <c r="J294" t="s">
        <v>249</v>
      </c>
      <c r="K294">
        <v>1.0149275715039522E-2</v>
      </c>
      <c r="L294" t="s">
        <v>158</v>
      </c>
      <c r="N294" t="s">
        <v>220</v>
      </c>
      <c r="O294" t="s">
        <v>249</v>
      </c>
      <c r="P294">
        <v>4.0119690140959959E-2</v>
      </c>
      <c r="Q294" t="s">
        <v>158</v>
      </c>
    </row>
    <row r="295" spans="9:17" x14ac:dyDescent="0.45">
      <c r="I295" t="s">
        <v>195</v>
      </c>
      <c r="J295" t="s">
        <v>250</v>
      </c>
      <c r="K295">
        <v>3.1459262534879948E-2</v>
      </c>
      <c r="L295" t="s">
        <v>158</v>
      </c>
      <c r="N295" t="s">
        <v>220</v>
      </c>
      <c r="O295" t="s">
        <v>250</v>
      </c>
      <c r="P295">
        <v>1.0712622022704392E-2</v>
      </c>
      <c r="Q295" t="s">
        <v>158</v>
      </c>
    </row>
    <row r="296" spans="9:17" x14ac:dyDescent="0.45">
      <c r="I296" t="s">
        <v>195</v>
      </c>
      <c r="J296" t="s">
        <v>251</v>
      </c>
      <c r="K296">
        <v>0.16686598044589115</v>
      </c>
      <c r="L296" t="s">
        <v>158</v>
      </c>
      <c r="N296" t="s">
        <v>220</v>
      </c>
      <c r="O296" t="s">
        <v>251</v>
      </c>
      <c r="P296">
        <v>0.16605006017233839</v>
      </c>
      <c r="Q296" t="s">
        <v>158</v>
      </c>
    </row>
    <row r="297" spans="9:17" x14ac:dyDescent="0.45">
      <c r="I297" t="s">
        <v>195</v>
      </c>
      <c r="J297" t="s">
        <v>252</v>
      </c>
      <c r="K297">
        <v>0</v>
      </c>
      <c r="L297" t="s">
        <v>158</v>
      </c>
      <c r="N297" t="s">
        <v>220</v>
      </c>
      <c r="O297" t="s">
        <v>252</v>
      </c>
      <c r="P297">
        <v>0.18453183524787381</v>
      </c>
      <c r="Q297" t="s">
        <v>158</v>
      </c>
    </row>
    <row r="298" spans="9:17" x14ac:dyDescent="0.45">
      <c r="I298" t="s">
        <v>195</v>
      </c>
      <c r="J298" t="s">
        <v>253</v>
      </c>
      <c r="K298">
        <v>2.7324651870297232E-3</v>
      </c>
      <c r="L298" t="s">
        <v>158</v>
      </c>
      <c r="N298" t="s">
        <v>220</v>
      </c>
      <c r="O298" t="s">
        <v>253</v>
      </c>
      <c r="P298">
        <v>2.7995028083179139E-2</v>
      </c>
      <c r="Q298" t="s">
        <v>158</v>
      </c>
    </row>
    <row r="299" spans="9:17" x14ac:dyDescent="0.45">
      <c r="I299" t="s">
        <v>196</v>
      </c>
      <c r="J299" t="s">
        <v>242</v>
      </c>
      <c r="K299">
        <v>0.18386735705463289</v>
      </c>
      <c r="L299" t="s">
        <v>158</v>
      </c>
      <c r="N299" t="s">
        <v>221</v>
      </c>
      <c r="O299" t="s">
        <v>242</v>
      </c>
      <c r="P299">
        <v>0.14854011840941783</v>
      </c>
      <c r="Q299" t="s">
        <v>158</v>
      </c>
    </row>
    <row r="300" spans="9:17" x14ac:dyDescent="0.45">
      <c r="I300" t="s">
        <v>196</v>
      </c>
      <c r="J300" t="s">
        <v>243</v>
      </c>
      <c r="K300">
        <v>0</v>
      </c>
      <c r="L300" t="s">
        <v>158</v>
      </c>
      <c r="N300" t="s">
        <v>221</v>
      </c>
      <c r="O300" t="s">
        <v>243</v>
      </c>
      <c r="P300">
        <v>0.13921334691375414</v>
      </c>
      <c r="Q300" t="s">
        <v>158</v>
      </c>
    </row>
    <row r="301" spans="9:17" x14ac:dyDescent="0.45">
      <c r="I301" t="s">
        <v>196</v>
      </c>
      <c r="J301" t="s">
        <v>244</v>
      </c>
      <c r="K301">
        <v>6.5497345393968291E-3</v>
      </c>
      <c r="L301" t="s">
        <v>158</v>
      </c>
      <c r="N301" t="s">
        <v>221</v>
      </c>
      <c r="O301" t="s">
        <v>244</v>
      </c>
      <c r="P301">
        <v>2.5216219226804282E-2</v>
      </c>
      <c r="Q301" t="s">
        <v>158</v>
      </c>
    </row>
    <row r="302" spans="9:17" x14ac:dyDescent="0.45">
      <c r="I302" t="s">
        <v>196</v>
      </c>
      <c r="J302" t="s">
        <v>245</v>
      </c>
      <c r="K302">
        <v>0.25830124765960649</v>
      </c>
      <c r="L302" t="s">
        <v>158</v>
      </c>
      <c r="N302" t="s">
        <v>221</v>
      </c>
      <c r="O302" t="s">
        <v>245</v>
      </c>
      <c r="P302">
        <v>0.11259410310501977</v>
      </c>
      <c r="Q302" t="s">
        <v>158</v>
      </c>
    </row>
    <row r="303" spans="9:17" x14ac:dyDescent="0.45">
      <c r="I303" t="s">
        <v>196</v>
      </c>
      <c r="J303" t="s">
        <v>246</v>
      </c>
      <c r="K303">
        <v>2.8941255965280947E-3</v>
      </c>
      <c r="L303" t="s">
        <v>158</v>
      </c>
      <c r="N303" t="s">
        <v>221</v>
      </c>
      <c r="O303" t="s">
        <v>246</v>
      </c>
      <c r="P303">
        <v>0.11587907796173866</v>
      </c>
      <c r="Q303" t="s">
        <v>158</v>
      </c>
    </row>
    <row r="304" spans="9:17" x14ac:dyDescent="0.45">
      <c r="I304" t="s">
        <v>196</v>
      </c>
      <c r="J304" t="s">
        <v>247</v>
      </c>
      <c r="K304">
        <v>2.1592429012303523E-2</v>
      </c>
      <c r="L304" t="s">
        <v>158</v>
      </c>
      <c r="N304" t="s">
        <v>221</v>
      </c>
      <c r="O304" t="s">
        <v>247</v>
      </c>
      <c r="P304">
        <v>2.0827274627388637E-2</v>
      </c>
      <c r="Q304" t="s">
        <v>158</v>
      </c>
    </row>
    <row r="305" spans="9:17" x14ac:dyDescent="0.45">
      <c r="I305" t="s">
        <v>196</v>
      </c>
      <c r="J305" t="s">
        <v>248</v>
      </c>
      <c r="K305">
        <v>0.3261252819676197</v>
      </c>
      <c r="L305" t="s">
        <v>158</v>
      </c>
      <c r="N305" t="s">
        <v>221</v>
      </c>
      <c r="O305" t="s">
        <v>248</v>
      </c>
      <c r="P305">
        <v>5.289030631223833E-2</v>
      </c>
      <c r="Q305" t="s">
        <v>158</v>
      </c>
    </row>
    <row r="306" spans="9:17" x14ac:dyDescent="0.45">
      <c r="I306" t="s">
        <v>196</v>
      </c>
      <c r="J306" t="s">
        <v>249</v>
      </c>
      <c r="K306">
        <v>1.2180416445194797E-2</v>
      </c>
      <c r="L306" t="s">
        <v>158</v>
      </c>
      <c r="N306" t="s">
        <v>221</v>
      </c>
      <c r="O306" t="s">
        <v>249</v>
      </c>
      <c r="P306">
        <v>3.903861696854783E-2</v>
      </c>
      <c r="Q306" t="s">
        <v>158</v>
      </c>
    </row>
    <row r="307" spans="9:17" x14ac:dyDescent="0.45">
      <c r="I307" t="s">
        <v>196</v>
      </c>
      <c r="J307" t="s">
        <v>250</v>
      </c>
      <c r="K307">
        <v>3.4844778092518174E-2</v>
      </c>
      <c r="L307" t="s">
        <v>158</v>
      </c>
      <c r="N307" t="s">
        <v>221</v>
      </c>
      <c r="O307" t="s">
        <v>250</v>
      </c>
      <c r="P307">
        <v>6.9792028148903014E-3</v>
      </c>
      <c r="Q307" t="s">
        <v>158</v>
      </c>
    </row>
    <row r="308" spans="9:17" x14ac:dyDescent="0.45">
      <c r="I308" t="s">
        <v>196</v>
      </c>
      <c r="J308" t="s">
        <v>251</v>
      </c>
      <c r="K308">
        <v>0.15069934352050185</v>
      </c>
      <c r="L308" t="s">
        <v>158</v>
      </c>
      <c r="N308" t="s">
        <v>221</v>
      </c>
      <c r="O308" t="s">
        <v>251</v>
      </c>
      <c r="P308">
        <v>0.14444369503303231</v>
      </c>
      <c r="Q308" t="s">
        <v>158</v>
      </c>
    </row>
    <row r="309" spans="9:17" x14ac:dyDescent="0.45">
      <c r="I309" t="s">
        <v>196</v>
      </c>
      <c r="J309" t="s">
        <v>252</v>
      </c>
      <c r="K309">
        <v>0</v>
      </c>
      <c r="L309" t="s">
        <v>158</v>
      </c>
      <c r="N309" t="s">
        <v>221</v>
      </c>
      <c r="O309" t="s">
        <v>252</v>
      </c>
      <c r="P309">
        <v>0.16859534143898036</v>
      </c>
      <c r="Q309" t="s">
        <v>158</v>
      </c>
    </row>
    <row r="310" spans="9:17" x14ac:dyDescent="0.45">
      <c r="I310" t="s">
        <v>196</v>
      </c>
      <c r="J310" t="s">
        <v>253</v>
      </c>
      <c r="K310">
        <v>2.9452861115301654E-3</v>
      </c>
      <c r="L310" t="s">
        <v>158</v>
      </c>
      <c r="N310" t="s">
        <v>221</v>
      </c>
      <c r="O310" t="s">
        <v>253</v>
      </c>
      <c r="P310">
        <v>2.5782697188066753E-2</v>
      </c>
      <c r="Q310" t="s">
        <v>158</v>
      </c>
    </row>
    <row r="311" spans="9:17" x14ac:dyDescent="0.45">
      <c r="N311" t="s">
        <v>222</v>
      </c>
      <c r="O311" t="s">
        <v>242</v>
      </c>
      <c r="P311">
        <v>0.17789374216543949</v>
      </c>
      <c r="Q311" t="s">
        <v>158</v>
      </c>
    </row>
    <row r="312" spans="9:17" x14ac:dyDescent="0.45">
      <c r="N312" t="s">
        <v>222</v>
      </c>
      <c r="O312" t="s">
        <v>243</v>
      </c>
      <c r="P312">
        <v>0.13559516255389917</v>
      </c>
      <c r="Q312" t="s">
        <v>158</v>
      </c>
    </row>
    <row r="313" spans="9:17" x14ac:dyDescent="0.45">
      <c r="N313" t="s">
        <v>222</v>
      </c>
      <c r="O313" t="s">
        <v>244</v>
      </c>
      <c r="P313">
        <v>3.093798575224737E-2</v>
      </c>
      <c r="Q313" t="s">
        <v>158</v>
      </c>
    </row>
    <row r="314" spans="9:17" x14ac:dyDescent="0.45">
      <c r="N314" t="s">
        <v>222</v>
      </c>
      <c r="O314" t="s">
        <v>245</v>
      </c>
      <c r="P314">
        <v>0.10804336510315614</v>
      </c>
      <c r="Q314" t="s">
        <v>158</v>
      </c>
    </row>
    <row r="315" spans="9:17" x14ac:dyDescent="0.45">
      <c r="N315" t="s">
        <v>222</v>
      </c>
      <c r="O315" t="s">
        <v>246</v>
      </c>
      <c r="P315">
        <v>9.8438408975804387E-2</v>
      </c>
      <c r="Q315" t="s">
        <v>158</v>
      </c>
    </row>
    <row r="316" spans="9:17" x14ac:dyDescent="0.45">
      <c r="N316" t="s">
        <v>222</v>
      </c>
      <c r="O316" t="s">
        <v>247</v>
      </c>
      <c r="P316">
        <v>2.0331304390753289E-2</v>
      </c>
      <c r="Q316" t="s">
        <v>158</v>
      </c>
    </row>
    <row r="317" spans="9:17" x14ac:dyDescent="0.45">
      <c r="N317" t="s">
        <v>222</v>
      </c>
      <c r="O317" t="s">
        <v>248</v>
      </c>
      <c r="P317">
        <v>5.6472736457882138E-2</v>
      </c>
      <c r="Q317" t="s">
        <v>158</v>
      </c>
    </row>
    <row r="318" spans="9:17" x14ac:dyDescent="0.45">
      <c r="N318" t="s">
        <v>222</v>
      </c>
      <c r="O318" t="s">
        <v>249</v>
      </c>
      <c r="P318">
        <v>5.3509174370584722E-2</v>
      </c>
      <c r="Q318" t="s">
        <v>158</v>
      </c>
    </row>
    <row r="319" spans="9:17" x14ac:dyDescent="0.45">
      <c r="N319" t="s">
        <v>222</v>
      </c>
      <c r="O319" t="s">
        <v>250</v>
      </c>
      <c r="P319">
        <v>9.4724383984561514E-3</v>
      </c>
      <c r="Q319" t="s">
        <v>158</v>
      </c>
    </row>
    <row r="320" spans="9:17" x14ac:dyDescent="0.45">
      <c r="N320" t="s">
        <v>222</v>
      </c>
      <c r="O320" t="s">
        <v>251</v>
      </c>
      <c r="P320">
        <v>0.12771809198609455</v>
      </c>
      <c r="Q320" t="s">
        <v>158</v>
      </c>
    </row>
    <row r="321" spans="14:17" x14ac:dyDescent="0.45">
      <c r="N321" t="s">
        <v>222</v>
      </c>
      <c r="O321" t="s">
        <v>252</v>
      </c>
      <c r="P321">
        <v>0.15185865053709222</v>
      </c>
      <c r="Q321" t="s">
        <v>158</v>
      </c>
    </row>
    <row r="322" spans="14:17" x14ac:dyDescent="0.45">
      <c r="N322" t="s">
        <v>222</v>
      </c>
      <c r="O322" t="s">
        <v>253</v>
      </c>
      <c r="P322">
        <v>2.9728939308470492E-2</v>
      </c>
      <c r="Q32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Veda</vt:lpstr>
      <vt:lpstr>fuel_prices</vt:lpstr>
      <vt:lpstr>iea_data</vt:lpstr>
      <vt:lpstr>ar6_r10</vt:lpstr>
      <vt:lpstr>ev_charging_uc</vt:lpstr>
      <vt:lpstr>ts12_clu</vt:lpstr>
      <vt:lpstr>ts_annual</vt:lpstr>
      <vt:lpstr>ts_12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2025-09-06T18:33:11Z</dcterms:modified>
</cp:coreProperties>
</file>