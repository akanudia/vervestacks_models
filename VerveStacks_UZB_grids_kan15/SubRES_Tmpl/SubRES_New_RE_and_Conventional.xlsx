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ZB_grids_kan15\SubRES_Tmpl\"/>
    </mc:Choice>
  </mc:AlternateContent>
  <xr:revisionPtr revIDLastSave="0" documentId="13_ncr:1_{D86E29A7-5FC5-4691-AD1E-4CAAAEC891C5}" xr6:coauthVersionLast="47" xr6:coauthVersionMax="47" xr10:uidLastSave="{00000000-0000-0000-0000-000000000000}"/>
  <bookViews>
    <workbookView xWindow="-98" yWindow="-98" windowWidth="28996" windowHeight="15675" activeTab="5" xr2:uid="{00000000-000D-0000-FFFF-FFFF00000000}"/>
  </bookViews>
  <sheets>
    <sheet name="misc" sheetId="7" r:id="rId1"/>
    <sheet name="EV Battery" sheetId="10" r:id="rId2"/>
    <sheet name="H2 prod" sheetId="11" r:id="rId3"/>
    <sheet name="solar" sheetId="12" r:id="rId4"/>
    <sheet name="wind" sheetId="13" r:id="rId5"/>
    <sheet name="conventional" sheetId="14" r:id="rId6"/>
  </sheets>
  <externalReferences>
    <externalReference r:id="rId7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K29" i="7"/>
  <c r="L28" i="7"/>
  <c r="J25" i="7"/>
  <c r="J27" i="7"/>
  <c r="J26" i="7"/>
  <c r="J24" i="7"/>
  <c r="J21" i="7"/>
  <c r="O27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9" i="7" l="1"/>
  <c r="J28" i="7"/>
  <c r="S5" i="10"/>
  <c r="O26" i="7"/>
  <c r="O25" i="7"/>
  <c r="O20" i="7"/>
  <c r="O24" i="7"/>
  <c r="O22" i="7"/>
  <c r="O21" i="7"/>
  <c r="O19" i="7"/>
  <c r="O18" i="7"/>
  <c r="O23" i="7"/>
  <c r="J18" i="7"/>
  <c r="J15" i="7"/>
  <c r="J14" i="7"/>
  <c r="J13" i="7"/>
</calcChain>
</file>

<file path=xl/sharedStrings.xml><?xml version="1.0" encoding="utf-8"?>
<sst xmlns="http://schemas.openxmlformats.org/spreadsheetml/2006/main" count="1963" uniqueCount="487">
  <si>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</si>
  <si>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</si>
  <si>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</si>
  <si>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</si>
  <si>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</si>
  <si>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</si>
  <si>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</si>
  <si>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</si>
  <si>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</si>
  <si>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</si>
  <si>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</si>
  <si>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</si>
  <si>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</si>
  <si>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</si>
  <si>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</si>
  <si>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</si>
  <si>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</si>
  <si>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</si>
  <si>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ELC</t>
  </si>
  <si>
    <t>DMD</t>
  </si>
  <si>
    <t>TWh</t>
  </si>
  <si>
    <t>elc_buildings,elc_industry,elc_transport</t>
  </si>
  <si>
    <t>~FI_Comm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</si>
  <si>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</si>
  <si>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</si>
  <si>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</si>
  <si>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</si>
  <si>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</si>
  <si>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</si>
  <si>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</si>
  <si>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</si>
  <si>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</si>
  <si>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</si>
  <si>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</si>
  <si>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</si>
  <si>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</si>
  <si>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</si>
  <si>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</si>
  <si>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</si>
  <si>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</si>
  <si>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</si>
  <si>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</si>
  <si>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</si>
  <si>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</si>
  <si>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</si>
  <si>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</si>
  <si>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AuxStoOUT</t>
  </si>
  <si>
    <t>Aux commodity for storage discharging</t>
  </si>
  <si>
    <t>Tact</t>
  </si>
  <si>
    <t>Tcap</t>
  </si>
  <si>
    <t>CommGrp</t>
  </si>
  <si>
    <t>Comm-OUT-A</t>
  </si>
  <si>
    <t>LIFE</t>
  </si>
  <si>
    <t>FLO_FUNC</t>
  </si>
  <si>
    <t>ACT</t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</si>
  <si>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</si>
  <si>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</si>
  <si>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</si>
  <si>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</si>
  <si>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</si>
  <si>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</si>
  <si>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</si>
  <si>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</si>
  <si>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</si>
  <si>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</si>
  <si>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</si>
  <si>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</si>
  <si>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</si>
  <si>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</si>
  <si>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</si>
  <si>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</si>
  <si>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</si>
  <si>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</si>
  <si>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</si>
  <si>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</si>
  <si>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</si>
  <si>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</si>
  <si>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</si>
  <si>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</si>
  <si>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</si>
  <si>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</si>
  <si>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</si>
  <si>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</si>
  <si>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</si>
  <si>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</si>
  <si>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</si>
  <si>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</si>
  <si>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</si>
  <si>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</si>
  <si>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</si>
  <si>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</si>
  <si>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</si>
  <si>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</si>
  <si>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</si>
  <si>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</si>
  <si>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</si>
  <si>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</si>
  <si>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</si>
  <si>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</si>
  <si>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</si>
  <si>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</si>
  <si>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</si>
  <si>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</si>
  <si>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</si>
  <si>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</si>
  <si>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</si>
  <si>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</si>
  <si>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</si>
  <si>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</si>
  <si>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</si>
  <si>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</si>
  <si>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</si>
  <si>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</si>
  <si>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</si>
  <si>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</si>
  <si>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</si>
  <si>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</si>
  <si>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</si>
  <si>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</si>
  <si>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</si>
  <si>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</si>
  <si>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</si>
  <si>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</si>
  <si>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</si>
  <si>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</si>
  <si>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</si>
  <si>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</si>
  <si>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</si>
  <si>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</si>
  <si>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</si>
  <si>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</si>
  <si>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</si>
  <si>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</si>
  <si>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~FI_T: USD25~FX~ACT_BND</t>
  </si>
  <si>
    <t>h2_demand</t>
  </si>
  <si>
    <t>Heat demand</t>
  </si>
  <si>
    <t>het_buildings,het_industry</t>
  </si>
  <si>
    <t>PJ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</si>
  <si>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</si>
  <si>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</si>
  <si>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</si>
  <si>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</si>
  <si>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</si>
  <si>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</si>
  <si>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</si>
  <si>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</si>
  <si>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</si>
  <si>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e_spv_UZB_001</t>
  </si>
  <si>
    <t>solar resource near Bukhara (cluster 1)</t>
  </si>
  <si>
    <t>annual</t>
  </si>
  <si>
    <t>no</t>
  </si>
  <si>
    <t>e_spv_UZB_002</t>
  </si>
  <si>
    <t>solar resource near Navoiy (cluster 2)</t>
  </si>
  <si>
    <t>e_spv_UZB_003</t>
  </si>
  <si>
    <t>solar resource near Andijon (cluster 3)</t>
  </si>
  <si>
    <t>e_spv_UZB_004</t>
  </si>
  <si>
    <t>solar resource near Bukhara (cluster 4)</t>
  </si>
  <si>
    <t>e_spv_UZB_005</t>
  </si>
  <si>
    <t>solar resource near Beruniy (cluster 5)</t>
  </si>
  <si>
    <t>e_spv_UZB_006</t>
  </si>
  <si>
    <t>solar resource near Namangan (cluster 6)</t>
  </si>
  <si>
    <t>e_spv_UZB_007</t>
  </si>
  <si>
    <t>solar resource near Jizzax (cluster 7)</t>
  </si>
  <si>
    <t>e_spv_UZB_008</t>
  </si>
  <si>
    <t>solar resource near Bekobod (cluster 8)</t>
  </si>
  <si>
    <t>e_spv_UZB_009</t>
  </si>
  <si>
    <t>solar resource near Tashkent (cluster 9)</t>
  </si>
  <si>
    <t>e_spv_UZB_010</t>
  </si>
  <si>
    <t>solar resource near Qarshi (cluster 10)</t>
  </si>
  <si>
    <t>e_spv_UZB_011</t>
  </si>
  <si>
    <t>solar resource near Qarshi (cluster 11)</t>
  </si>
  <si>
    <t>e_spv_UZB_012</t>
  </si>
  <si>
    <t>solar resource near Qarshi (cluster 12)</t>
  </si>
  <si>
    <t>e_spv_UZB_013</t>
  </si>
  <si>
    <t>solar resource near Nukus (cluster 13)</t>
  </si>
  <si>
    <t>e_spv_UZB_014</t>
  </si>
  <si>
    <t>solar resource near Nukus (cluster 14)</t>
  </si>
  <si>
    <t>e_spv_UZB_015</t>
  </si>
  <si>
    <t>solar resource near Nukus (cluster 15)</t>
  </si>
  <si>
    <t>e_spv_UZB_016</t>
  </si>
  <si>
    <t>solar resource near Nukus (cluster 16)</t>
  </si>
  <si>
    <t>e_spv_UZB_017</t>
  </si>
  <si>
    <t>solar resource near Nukus (cluster 17)</t>
  </si>
  <si>
    <t>e_spv_UZB_018</t>
  </si>
  <si>
    <t>solar resource near Zarafshon Shahri (cluster 18)</t>
  </si>
  <si>
    <t>e_spv_UZB_019</t>
  </si>
  <si>
    <t>solar resource near Zarafshon Shahri (cluster 19)</t>
  </si>
  <si>
    <t>e_spv_UZB_020</t>
  </si>
  <si>
    <t>solar resource near Zarafshon Shahri (cluster 20)</t>
  </si>
  <si>
    <t>e_spv_UZB_021</t>
  </si>
  <si>
    <t>solar resource near Zarafshon Shahri (cluster 21)</t>
  </si>
  <si>
    <t>e_spv_UZB_022</t>
  </si>
  <si>
    <t>solar resource near Samarkand (cluster 22)</t>
  </si>
  <si>
    <t>e_spv_UZB_023</t>
  </si>
  <si>
    <t>solar resource near Termiz (cluster 23)</t>
  </si>
  <si>
    <t>e_spv_UZB_024</t>
  </si>
  <si>
    <t>solar resource near Denov (cluster 24)</t>
  </si>
  <si>
    <t>e_spv_UZB_025</t>
  </si>
  <si>
    <t>solar resource near Bukhara (cluster 25)</t>
  </si>
  <si>
    <t>e_spv_UZB_026</t>
  </si>
  <si>
    <t>solar resource near Bukhara (cluster 26)</t>
  </si>
  <si>
    <t>~fi_t</t>
  </si>
  <si>
    <t>comm-out</t>
  </si>
  <si>
    <t>cap_bnd</t>
  </si>
  <si>
    <t>af~fx</t>
  </si>
  <si>
    <t>elc_spv_UZB_001</t>
  </si>
  <si>
    <t>elc_spv_UZB_002</t>
  </si>
  <si>
    <t>elc_spv_UZB_003</t>
  </si>
  <si>
    <t>elc_spv_UZB_004</t>
  </si>
  <si>
    <t>elc_spv_UZB_005</t>
  </si>
  <si>
    <t>elc_spv_UZB_006</t>
  </si>
  <si>
    <t>elc_spv_UZB_007</t>
  </si>
  <si>
    <t>elc_spv_UZB_008</t>
  </si>
  <si>
    <t>elc_spv_UZB_009</t>
  </si>
  <si>
    <t>elc_spv_UZB_010</t>
  </si>
  <si>
    <t>elc_spv_UZB_011</t>
  </si>
  <si>
    <t>elc_spv_UZB_012</t>
  </si>
  <si>
    <t>elc_spv_UZB_013</t>
  </si>
  <si>
    <t>elc_spv_UZB_014</t>
  </si>
  <si>
    <t>elc_spv_UZB_015</t>
  </si>
  <si>
    <t>elc_spv_UZB_016</t>
  </si>
  <si>
    <t>elc_spv_UZB_017</t>
  </si>
  <si>
    <t>elc_spv_UZB_018</t>
  </si>
  <si>
    <t>elc_spv_UZB_019</t>
  </si>
  <si>
    <t>elc_spv_UZB_020</t>
  </si>
  <si>
    <t>elc_spv_UZB_021</t>
  </si>
  <si>
    <t>elc_spv_UZB_022</t>
  </si>
  <si>
    <t>elc_spv_UZB_023</t>
  </si>
  <si>
    <t>elc_spv_UZB_024</t>
  </si>
  <si>
    <t>elc_spv_UZB_025</t>
  </si>
  <si>
    <t>elc_spv_UZB_026</t>
  </si>
  <si>
    <t>primarycg</t>
  </si>
  <si>
    <t>pre</t>
  </si>
  <si>
    <t>distr_solelc_spv_UZB_003</t>
  </si>
  <si>
    <t>connecting solar to buses in cluster 3</t>
  </si>
  <si>
    <t>NRGI</t>
  </si>
  <si>
    <t>daynite</t>
  </si>
  <si>
    <t>distr_solelc_spv_UZB_004</t>
  </si>
  <si>
    <t>connecting solar to buses in cluster 4</t>
  </si>
  <si>
    <t>distr_solelc_spv_UZB_009</t>
  </si>
  <si>
    <t>connecting solar to buses in cluster 9</t>
  </si>
  <si>
    <t>distr_solelc_spv_UZB_018</t>
  </si>
  <si>
    <t>connecting solar to buses in cluster 18</t>
  </si>
  <si>
    <t>distr_solelc_spv_UZB_023</t>
  </si>
  <si>
    <t>connecting solar to buses in cluster 23</t>
  </si>
  <si>
    <t>distr_solelc_spv_UZB_025</t>
  </si>
  <si>
    <t>connecting solar to buses in cluster 25</t>
  </si>
  <si>
    <t>distr_solelc_spv_UZB_015</t>
  </si>
  <si>
    <t>connecting solar to buses in cluster 15</t>
  </si>
  <si>
    <t>distr_solelc_spv_UZB_013</t>
  </si>
  <si>
    <t>connecting solar to buses in cluster 13</t>
  </si>
  <si>
    <t>distr_solelc_spv_UZB_008</t>
  </si>
  <si>
    <t>connecting solar to buses in cluster 8</t>
  </si>
  <si>
    <t>distr_solelc_spv_UZB_011</t>
  </si>
  <si>
    <t>connecting solar to buses in cluster 11</t>
  </si>
  <si>
    <t>distr_solelc_spv_UZB_024</t>
  </si>
  <si>
    <t>connecting solar to buses in cluster 24</t>
  </si>
  <si>
    <t>distr_solelc_spv_UZB_019</t>
  </si>
  <si>
    <t>connecting solar to buses in cluster 19</t>
  </si>
  <si>
    <t>distr_solelc_spv_UZB_020</t>
  </si>
  <si>
    <t>connecting solar to buses in cluster 20</t>
  </si>
  <si>
    <t>distr_solelc_spv_UZB_007</t>
  </si>
  <si>
    <t>connecting solar to buses in cluster 7</t>
  </si>
  <si>
    <t>distr_solelc_spv_UZB_016</t>
  </si>
  <si>
    <t>connecting solar to buses in cluster 16</t>
  </si>
  <si>
    <t>distr_solelc_spv_UZB_026</t>
  </si>
  <si>
    <t>connecting solar to buses in cluster 26</t>
  </si>
  <si>
    <t>distr_solelc_spv_UZB_012</t>
  </si>
  <si>
    <t>connecting solar to buses in cluster 12</t>
  </si>
  <si>
    <t>distr_solelc_spv_UZB_006</t>
  </si>
  <si>
    <t>connecting solar to buses in cluster 6</t>
  </si>
  <si>
    <t>distr_solelc_spv_UZB_001</t>
  </si>
  <si>
    <t>connecting solar to buses in cluster 1</t>
  </si>
  <si>
    <t>distr_solelc_spv_UZB_021</t>
  </si>
  <si>
    <t>connecting solar to buses in cluster 21</t>
  </si>
  <si>
    <t>distr_solelc_spv_UZB_022</t>
  </si>
  <si>
    <t>connecting solar to buses in cluster 22</t>
  </si>
  <si>
    <t>distr_solelc_spv_UZB_005</t>
  </si>
  <si>
    <t>connecting solar to buses in cluster 5</t>
  </si>
  <si>
    <t>distr_solelc_spv_UZB_017</t>
  </si>
  <si>
    <t>connecting solar to buses in cluster 17</t>
  </si>
  <si>
    <t>distr_solelc_spv_UZB_002</t>
  </si>
  <si>
    <t>connecting solar to buses in cluster 2</t>
  </si>
  <si>
    <t>distr_solelc_spv_UZB_010</t>
  </si>
  <si>
    <t>connecting solar to buses in cluster 10</t>
  </si>
  <si>
    <t>distr_solelc_spv_UZB_014</t>
  </si>
  <si>
    <t>connecting solar to buses in cluster 14</t>
  </si>
  <si>
    <t>comm-in</t>
  </si>
  <si>
    <t>ncap_cost~USD22</t>
  </si>
  <si>
    <t>e_Andijon_UZB</t>
  </si>
  <si>
    <t>e_Druzhba_UZB</t>
  </si>
  <si>
    <t>e_Tashkent_UZB</t>
  </si>
  <si>
    <t>e_ZarafshonShahri_UZB</t>
  </si>
  <si>
    <t>e_Termiz_UZB</t>
  </si>
  <si>
    <t>e_Bukhara_UZB</t>
  </si>
  <si>
    <t>e_Nukus_UZB</t>
  </si>
  <si>
    <t>e_Bekobod_UZB</t>
  </si>
  <si>
    <t>e_Qarshi_UZB</t>
  </si>
  <si>
    <t>e_Denov_UZB</t>
  </si>
  <si>
    <t>e_BeshkentShahri_UZB</t>
  </si>
  <si>
    <t>e_Namangan_UZB</t>
  </si>
  <si>
    <t>e_Navoiy_UZB</t>
  </si>
  <si>
    <t>e_Samarkand_UZB</t>
  </si>
  <si>
    <t>e_Guzor_UZB</t>
  </si>
  <si>
    <t>distr_wonelc_won_UZB_020</t>
  </si>
  <si>
    <t>connecting wind onshore to buses in cluster 20</t>
  </si>
  <si>
    <t>distr_wonelc_won_UZB_011</t>
  </si>
  <si>
    <t>connecting wind onshore to buses in cluster 11</t>
  </si>
  <si>
    <t>distr_wonelc_won_UZB_009</t>
  </si>
  <si>
    <t>connecting wind onshore to buses in cluster 9</t>
  </si>
  <si>
    <t>distr_wonelc_won_UZB_004</t>
  </si>
  <si>
    <t>connecting wind onshore to buses in cluster 4</t>
  </si>
  <si>
    <t>distr_wonelc_won_UZB_008</t>
  </si>
  <si>
    <t>connecting wind onshore to buses in cluster 8</t>
  </si>
  <si>
    <t>distr_wonelc_won_UZB_018</t>
  </si>
  <si>
    <t>connecting wind onshore to buses in cluster 18</t>
  </si>
  <si>
    <t>distr_wonelc_won_UZB_002</t>
  </si>
  <si>
    <t>connecting wind onshore to buses in cluster 2</t>
  </si>
  <si>
    <t>distr_wonelc_won_UZB_019</t>
  </si>
  <si>
    <t>connecting wind onshore to buses in cluster 19</t>
  </si>
  <si>
    <t>distr_wonelc_won_UZB_012</t>
  </si>
  <si>
    <t>connecting wind onshore to buses in cluster 12</t>
  </si>
  <si>
    <t>distr_wonelc_won_UZB_015</t>
  </si>
  <si>
    <t>connecting wind onshore to buses in cluster 15</t>
  </si>
  <si>
    <t>distr_wonelc_won_UZB_023</t>
  </si>
  <si>
    <t>connecting wind onshore to buses in cluster 23</t>
  </si>
  <si>
    <t>distr_wonelc_won_UZB_006</t>
  </si>
  <si>
    <t>connecting wind onshore to buses in cluster 6</t>
  </si>
  <si>
    <t>distr_wonelc_won_UZB_014</t>
  </si>
  <si>
    <t>connecting wind onshore to buses in cluster 14</t>
  </si>
  <si>
    <t>distr_wonelc_won_UZB_001</t>
  </si>
  <si>
    <t>connecting wind onshore to buses in cluster 1</t>
  </si>
  <si>
    <t>distr_wonelc_won_UZB_013</t>
  </si>
  <si>
    <t>connecting wind onshore to buses in cluster 13</t>
  </si>
  <si>
    <t>distr_wonelc_won_UZB_005</t>
  </si>
  <si>
    <t>connecting wind onshore to buses in cluster 5</t>
  </si>
  <si>
    <t>distr_wonelc_won_UZB_017</t>
  </si>
  <si>
    <t>connecting wind onshore to buses in cluster 17</t>
  </si>
  <si>
    <t>distr_wonelc_won_UZB_007</t>
  </si>
  <si>
    <t>connecting wind onshore to buses in cluster 7</t>
  </si>
  <si>
    <t>distr_wonelc_won_UZB_021</t>
  </si>
  <si>
    <t>connecting wind onshore to buses in cluster 21</t>
  </si>
  <si>
    <t>distr_wonelc_won_UZB_010</t>
  </si>
  <si>
    <t>connecting wind onshore to buses in cluster 10</t>
  </si>
  <si>
    <t>distr_wonelc_won_UZB_003</t>
  </si>
  <si>
    <t>connecting wind onshore to buses in cluster 3</t>
  </si>
  <si>
    <t>distr_wonelc_won_UZB_016</t>
  </si>
  <si>
    <t>connecting wind onshore to buses in cluster 16</t>
  </si>
  <si>
    <t>distr_wonelc_won_UZB_022</t>
  </si>
  <si>
    <t>connecting wind onshore to buses in cluster 22</t>
  </si>
  <si>
    <t>elc_won_UZB_020</t>
  </si>
  <si>
    <t>elc_won_UZB_011</t>
  </si>
  <si>
    <t>elc_won_UZB_009</t>
  </si>
  <si>
    <t>elc_won_UZB_004</t>
  </si>
  <si>
    <t>elc_won_UZB_008</t>
  </si>
  <si>
    <t>elc_won_UZB_018</t>
  </si>
  <si>
    <t>elc_won_UZB_002</t>
  </si>
  <si>
    <t>elc_won_UZB_019</t>
  </si>
  <si>
    <t>elc_won_UZB_012</t>
  </si>
  <si>
    <t>elc_won_UZB_015</t>
  </si>
  <si>
    <t>elc_won_UZB_023</t>
  </si>
  <si>
    <t>elc_won_UZB_006</t>
  </si>
  <si>
    <t>elc_won_UZB_014</t>
  </si>
  <si>
    <t>elc_won_UZB_001</t>
  </si>
  <si>
    <t>elc_won_UZB_013</t>
  </si>
  <si>
    <t>elc_won_UZB_005</t>
  </si>
  <si>
    <t>elc_won_UZB_017</t>
  </si>
  <si>
    <t>elc_won_UZB_007</t>
  </si>
  <si>
    <t>elc_won_UZB_021</t>
  </si>
  <si>
    <t>elc_won_UZB_010</t>
  </si>
  <si>
    <t>elc_won_UZB_003</t>
  </si>
  <si>
    <t>elc_won_UZB_016</t>
  </si>
  <si>
    <t>elc_won_UZB_022</t>
  </si>
  <si>
    <t>e_won_UZB_001</t>
  </si>
  <si>
    <t>wind onshore resource near Jizzax (cluster 1)</t>
  </si>
  <si>
    <t>e_won_UZB_002</t>
  </si>
  <si>
    <t>wind onshore resource near Navoiy (cluster 2)</t>
  </si>
  <si>
    <t>e_won_UZB_003</t>
  </si>
  <si>
    <t>wind onshore resource near Bukhara (cluster 3)</t>
  </si>
  <si>
    <t>e_won_UZB_004</t>
  </si>
  <si>
    <t>wind onshore resource near Beruniy (cluster 4)</t>
  </si>
  <si>
    <t>e_won_UZB_005</t>
  </si>
  <si>
    <t>wind onshore resource near Guliston (cluster 5)</t>
  </si>
  <si>
    <t>e_won_UZB_006</t>
  </si>
  <si>
    <t>wind onshore resource near Tashkent (cluster 6)</t>
  </si>
  <si>
    <t>e_won_UZB_007</t>
  </si>
  <si>
    <t>wind onshore resource near Qarshi (cluster 7)</t>
  </si>
  <si>
    <t>e_won_UZB_008</t>
  </si>
  <si>
    <t>wind onshore resource near Qarshi (cluster 8)</t>
  </si>
  <si>
    <t>e_won_UZB_009</t>
  </si>
  <si>
    <t>wind onshore resource near Qarshi (cluster 9)</t>
  </si>
  <si>
    <t>e_won_UZB_010</t>
  </si>
  <si>
    <t>wind onshore resource near Nukus (cluster 10)</t>
  </si>
  <si>
    <t>e_won_UZB_011</t>
  </si>
  <si>
    <t>wind onshore resource near Nukus (cluster 11)</t>
  </si>
  <si>
    <t>e_won_UZB_012</t>
  </si>
  <si>
    <t>wind onshore resource near Nukus (cluster 12)</t>
  </si>
  <si>
    <t>e_won_UZB_013</t>
  </si>
  <si>
    <t>wind onshore resource near Nukus (cluster 13)</t>
  </si>
  <si>
    <t>e_won_UZB_014</t>
  </si>
  <si>
    <t>wind onshore resource near Nukus (cluster 14)</t>
  </si>
  <si>
    <t>e_won_UZB_015</t>
  </si>
  <si>
    <t>wind onshore resource near Nukus (cluster 15)</t>
  </si>
  <si>
    <t>e_won_UZB_016</t>
  </si>
  <si>
    <t>wind onshore resource near Zarafshon Shahri (cluster 16)</t>
  </si>
  <si>
    <t>e_won_UZB_017</t>
  </si>
  <si>
    <t>wind onshore resource near Zarafshon Shahri (cluster 17)</t>
  </si>
  <si>
    <t>e_won_UZB_018</t>
  </si>
  <si>
    <t>wind onshore resource near Zarafshon Shahri (cluster 18)</t>
  </si>
  <si>
    <t>e_won_UZB_019</t>
  </si>
  <si>
    <t>wind onshore resource near Zarafshon Shahri (cluster 19)</t>
  </si>
  <si>
    <t>e_won_UZB_020</t>
  </si>
  <si>
    <t>wind onshore resource near Samarkand (cluster 20)</t>
  </si>
  <si>
    <t>e_won_UZB_021</t>
  </si>
  <si>
    <t>wind onshore resource near Termiz (cluster 21)</t>
  </si>
  <si>
    <t>e_won_UZB_022</t>
  </si>
  <si>
    <t>wind onshore resource near Bukhara (cluster 22)</t>
  </si>
  <si>
    <t>e_won_UZB_023</t>
  </si>
  <si>
    <t>wind onshore resource near Bukhara (cluster 23)</t>
  </si>
  <si>
    <t>~fi_t: UP</t>
  </si>
  <si>
    <t>attribute</t>
  </si>
  <si>
    <t>other_indexes</t>
  </si>
  <si>
    <t>time_slice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</si>
  <si>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</si>
  <si>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</si>
  <si>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</si>
  <si>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</si>
  <si>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</si>
  <si>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</si>
  <si>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</si>
  <si>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en_chp_gas_cc_ext</t>
  </si>
  <si>
    <t>HET</t>
  </si>
  <si>
    <t>ncap_chpr</t>
  </si>
  <si>
    <t>ncap_ceh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</si>
  <si>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</si>
  <si>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</si>
  <si>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</si>
  <si>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</si>
  <si>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</si>
  <si>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</si>
  <si>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en_nuclear</t>
  </si>
  <si>
    <t>en_nuclear_smr</t>
  </si>
  <si>
    <t>en_biomass</t>
  </si>
  <si>
    <t>ncap_af</t>
  </si>
  <si>
    <t>en_chp_biomass_chips_ext</t>
  </si>
  <si>
    <t>en_biomass_ccs</t>
  </si>
  <si>
    <t>en_chp_gas_cc_ext_ccs</t>
  </si>
  <si>
    <t>en_chp_biomass_pellets_ext_ccs</t>
  </si>
  <si>
    <t>en_hop_gas_boiler</t>
  </si>
  <si>
    <t>en_hop_biomass_chips</t>
  </si>
  <si>
    <t>en_hop_electric_boiler</t>
  </si>
  <si>
    <t>en_hp_air_10mw</t>
  </si>
  <si>
    <t>en_battery_4h</t>
  </si>
  <si>
    <t>stg_eff</t>
  </si>
  <si>
    <t>ncap_afc</t>
  </si>
  <si>
    <t>prc_capact</t>
  </si>
  <si>
    <t>ncap_pkcnt</t>
  </si>
  <si>
    <t>ANNUAL</t>
  </si>
  <si>
    <t>en_battery_8h</t>
  </si>
  <si>
    <t>HET,CO2Cap</t>
  </si>
  <si>
    <t>pcg</t>
  </si>
  <si>
    <t>Natural gas CCGT, electricity-only. Derived from DEA el&amp;dh 05 CHP condensing mode (3% cost reduction for no heat equipment), regionalized with IEA CCGT ratios</t>
  </si>
  <si>
    <t>yes</t>
  </si>
  <si>
    <t>Natural gas open-cycle combustion turbine. IEA GEC</t>
  </si>
  <si>
    <t>CHP</t>
  </si>
  <si>
    <t>Gas combined cycle CHP, steam extraction (large). DEA el&amp;dh 05</t>
  </si>
  <si>
    <t>Natural gas CCGT with post-combustion CCS. IEA GEC</t>
  </si>
  <si>
    <t>Coal subcritical steam cycle. IEA GEC</t>
  </si>
  <si>
    <t>Coal supercritical steam cycle. IEA GEC</t>
  </si>
  <si>
    <t>Coal ultra-supercritical steam cycle. IEA GEC</t>
  </si>
  <si>
    <t>Coal integrated gasification combined cycle. IEA GEC</t>
  </si>
  <si>
    <t>Nuclear large reactor (Gen III/III+). IEA GEC</t>
  </si>
  <si>
    <t>Nuclear small modular reactor. ATB</t>
  </si>
  <si>
    <t>Biomass dedicated large-scale. IEA GEC</t>
  </si>
  <si>
    <t>Wood-chips CHP, steam extraction (large). DEA el&amp;dh 09a</t>
  </si>
  <si>
    <t>Biomass with carbon capture and storage (BECCS). IEA GEC</t>
  </si>
  <si>
    <t>Gas combined cycle CHP with post-combustion CCS. Synthetic (DEA 05 + GEC gas CCS)</t>
  </si>
  <si>
    <t>Wood-pellets CHP, steam extraction, with post-combustion capture. DEA el&amp;dh 09b + CCTS 401.a. Reboiler heat credited to DH</t>
  </si>
  <si>
    <t>HPL</t>
  </si>
  <si>
    <t>Natural gas DH boiler (medium). DEA el&amp;dh 44. Heat capacity basis</t>
  </si>
  <si>
    <t>season</t>
  </si>
  <si>
    <t>Wood-chips DH boiler (large). DEA el&amp;dh 09a. Heat capacity basis</t>
  </si>
  <si>
    <t>Electric DH boiler (large). DEA el&amp;dh 41. Heat capacity basis; region-uniform</t>
  </si>
  <si>
    <t>Utility heat pump, air source, 10 MW, 70/35C DH. DEA el&amp;dh 40. heat_efficiency = COP; component split preserved</t>
  </si>
  <si>
    <t>Utility-scale Li-ion battery, 4-hour duration. ATB</t>
  </si>
  <si>
    <t>Utility-scale Li-ion battery, 8-hour duration. ATB</t>
  </si>
  <si>
    <t>e_Bekobod_UZB,e_Druzhba_UZB,e_Nukus_UZB,e_Tashkent_UZB,e_Termiz_UZB,e_UZ103-220_UZB,e_UZ105-220_UZB,e_UZ106-220_UZB,e_UZ107-500_UZB,e_UZ109-220_UZB,e_UZ111-220_UZB,e_UZ112-220_UZB,e_UZ113-220_UZB,e_UZ114-220_UZB,e_UZ115-220_UZB,e_UZ116-220_UZB,e_UZ117-220_UZB,e_UZ118-220_UZB,e_UZ119-220_UZB,e_UZ120-220_UZB,e_UZ121-220_UZB,e_UZ123-220_UZB,e_UZ124-220_UZB,e_UZ125-220_UZB,e_UZ126-220_UZB,e_UZ127-220_UZB,e_UZ128-220_UZB,e_UZ129-220_UZB,e_UZ130-220_UZB,e_UZ132-220_UZB,e_UZ142-220_UZB,e_UZ145-220_UZB,e_UZ147-220_UZB,e_UZ148-220_UZB,e_UZ15-220_UZB,e_UZ152-220_UZB,e_UZ153-220_UZB,e_UZ154-220_UZB,e_UZ155-500_UZB,e_UZ156-220_UZB,e_UZ157-500_UZB,e_UZ159-220_UZB,e_UZ16-220_UZB,e_UZ160-220_UZB,e_UZ161-220_UZB,e_UZ162-220_UZB,e_UZ163-220_UZB,e_UZ164-220_UZB,e_UZ165-220_UZB,e_UZ166-220_UZB,e_UZ167-500_UZB,e_UZ168-220_UZB,e_UZ169-220_UZB,e_UZ17-220_UZB,e_UZ170-220_UZB,e_UZ171-220_UZB,e_UZ172-220_UZB,e_UZ173-220_UZB,e_UZ174-220_UZB,e_UZ175-220_UZB,e_UZ177-220_UZB,e_UZ18-220_UZB,e_UZ19-220_UZB,e_UZ20-220_UZB,e_UZ21-220_UZB,e_UZ217-220_UZB,e_UZ22-220_UZB,e_UZ222-220_UZB,e_UZ227-220_UZB,e_UZ23-220_UZB,e_UZ230-220_UZB,e_UZ25-220_UZB,e_UZ26-220_UZB,e_UZ265-220_UZB,e_UZ27-220_UZB,e_UZ28-220_UZB,e_UZ281-220_UZB,e_UZ29-220_UZB,e_UZ30-220_UZB,e_UZ31-220_UZB,e_UZ317-220_UZB,e_UZ318-220_UZB,e_UZ319-220_UZB,e_UZ32-220_UZB,e_UZ33-220_UZB,e_UZ336-220_UZB,e_UZ337-220_UZB,e_UZ337-500_UZB,e_UZ339-380_UZB,e_UZ34-220_UZB,e_UZ340-220_UZB,e_UZ35-220_UZB,e_UZ49-220_UZB,e_UZ51-220_UZB,e_UZ52-220_UZB,e_UZ53-220_UZB,e_UZ53-500_UZB,e_UZ55-220_UZB,e_UZ55-500_UZB,e_UZ56-220_UZB,e_UZ59-500_UZB,e_UZ62-220_UZB,e_UZ65-220_UZB,e_UZ66-220_UZB,e_UZ73-220_UZB,e_UZ74-220_UZB,e_UZ78-220_UZB,e_UZ86-220_UZB,e_UZ97-220_UZB,e_UZ98-220_UZB,e_w1084204423-220_UZB,e_w1102363917-220_UZB,e_w1268818385-500_UZB,e_w1375665907-220_UZB,e_w1375665907-500_UZB,e_w240225498-220_UZB,e_w256948065-220_UZB,e_w330009477-220_UZB,e_w342686783-220_UZB,e_w367756308-220_UZB,e_w48295777-220_UZB,e_w48295777-500_UZB,e_w515643051-220_UZB,e_w534099901-220_U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</si>
</sst>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Te\x\t"/>
    <numFmt numFmtId="165" formatCode="_-* #,##0.00_-;\-* #,##0.00_-;_-* &quot;-&quot;??_-;_-@_-"/>
    <numFmt numFmtId="166" formatCode="0.0"/>
    <numFmt numFmtId="167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1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7" fillId="16" borderId="0" applyNumberFormat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0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4" fillId="5" borderId="0" xfId="0" applyFont="1" applyFill="1" applyAlignment="1">
      <alignment horizontal="center" vertical="center"/>
    </xf>
    <xf numFmtId="0" fontId="12" fillId="2" borderId="0" xfId="18" applyBorder="1" applyAlignment="1">
      <alignment horizontal="left" vertical="center"/>
    </xf>
    <xf numFmtId="0" fontId="14" fillId="5" borderId="0" xfId="0" applyFont="1" applyFill="1" applyAlignment="1">
      <alignment horizontal="left" vertical="center" wrapText="1"/>
    </xf>
    <xf numFmtId="0" fontId="14" fillId="5" borderId="7" xfId="0" applyFont="1" applyFill="1" applyBorder="1" applyAlignment="1">
      <alignment horizontal="left" vertical="center" wrapText="1"/>
    </xf>
    <xf numFmtId="0" fontId="14" fillId="5" borderId="8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left" vertical="center" wrapText="1"/>
    </xf>
    <xf numFmtId="0" fontId="14" fillId="5" borderId="10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vertical="center"/>
    </xf>
    <xf numFmtId="166" fontId="15" fillId="6" borderId="7" xfId="0" applyNumberFormat="1" applyFont="1" applyFill="1" applyBorder="1" applyAlignment="1">
      <alignment vertical="center"/>
    </xf>
    <xf numFmtId="166" fontId="15" fillId="6" borderId="0" xfId="0" applyNumberFormat="1" applyFont="1" applyFill="1" applyAlignment="1">
      <alignment vertical="center"/>
    </xf>
    <xf numFmtId="166" fontId="15" fillId="6" borderId="8" xfId="0" applyNumberFormat="1" applyFont="1" applyFill="1" applyBorder="1" applyAlignment="1">
      <alignment vertical="center"/>
    </xf>
    <xf numFmtId="2" fontId="15" fillId="6" borderId="0" xfId="0" applyNumberFormat="1" applyFont="1" applyFill="1" applyAlignment="1">
      <alignment vertical="center"/>
    </xf>
    <xf numFmtId="2" fontId="15" fillId="6" borderId="9" xfId="0" applyNumberFormat="1" applyFont="1" applyFill="1" applyBorder="1" applyAlignment="1">
      <alignment vertical="center"/>
    </xf>
    <xf numFmtId="2" fontId="15" fillId="6" borderId="10" xfId="0" applyNumberFormat="1" applyFont="1" applyFill="1" applyBorder="1" applyAlignment="1">
      <alignment vertical="center"/>
    </xf>
    <xf numFmtId="0" fontId="15" fillId="6" borderId="11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5" fillId="7" borderId="0" xfId="0" applyFont="1" applyFill="1" applyAlignment="1">
      <alignment vertical="center"/>
    </xf>
    <xf numFmtId="166" fontId="15" fillId="7" borderId="7" xfId="0" applyNumberFormat="1" applyFont="1" applyFill="1" applyBorder="1" applyAlignment="1">
      <alignment vertical="center"/>
    </xf>
    <xf numFmtId="166" fontId="15" fillId="7" borderId="0" xfId="0" applyNumberFormat="1" applyFont="1" applyFill="1" applyAlignment="1">
      <alignment vertical="center"/>
    </xf>
    <xf numFmtId="166" fontId="15" fillId="7" borderId="8" xfId="0" applyNumberFormat="1" applyFont="1" applyFill="1" applyBorder="1" applyAlignment="1">
      <alignment vertical="center"/>
    </xf>
    <xf numFmtId="2" fontId="15" fillId="7" borderId="0" xfId="0" applyNumberFormat="1" applyFont="1" applyFill="1" applyAlignment="1">
      <alignment vertical="center"/>
    </xf>
    <xf numFmtId="2" fontId="15" fillId="7" borderId="9" xfId="0" applyNumberFormat="1" applyFont="1" applyFill="1" applyBorder="1" applyAlignment="1">
      <alignment vertical="center"/>
    </xf>
    <xf numFmtId="2" fontId="15" fillId="7" borderId="10" xfId="0" applyNumberFormat="1" applyFont="1" applyFill="1" applyBorder="1" applyAlignment="1">
      <alignment vertical="center"/>
    </xf>
    <xf numFmtId="0" fontId="15" fillId="7" borderId="11" xfId="0" applyFont="1" applyFill="1" applyBorder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1" fontId="15" fillId="7" borderId="0" xfId="0" applyNumberFormat="1" applyFont="1" applyFill="1" applyAlignment="1">
      <alignment vertical="center"/>
    </xf>
    <xf numFmtId="1" fontId="15" fillId="6" borderId="0" xfId="0" applyNumberFormat="1" applyFont="1" applyFill="1" applyAlignment="1">
      <alignment vertical="center"/>
    </xf>
    <xf numFmtId="0" fontId="16" fillId="8" borderId="0" xfId="0" applyFont="1" applyFill="1" applyAlignment="1">
      <alignment vertical="center"/>
    </xf>
    <xf numFmtId="166" fontId="16" fillId="8" borderId="7" xfId="0" applyNumberFormat="1" applyFont="1" applyFill="1" applyBorder="1" applyAlignment="1">
      <alignment vertical="center"/>
    </xf>
    <xf numFmtId="166" fontId="16" fillId="8" borderId="0" xfId="0" applyNumberFormat="1" applyFont="1" applyFill="1" applyAlignment="1">
      <alignment vertical="center"/>
    </xf>
    <xf numFmtId="166" fontId="16" fillId="8" borderId="8" xfId="0" applyNumberFormat="1" applyFont="1" applyFill="1" applyBorder="1" applyAlignment="1">
      <alignment vertical="center"/>
    </xf>
    <xf numFmtId="167" fontId="16" fillId="8" borderId="7" xfId="0" applyNumberFormat="1" applyFont="1" applyFill="1" applyBorder="1" applyAlignment="1">
      <alignment vertical="center"/>
    </xf>
    <xf numFmtId="167" fontId="16" fillId="8" borderId="0" xfId="0" applyNumberFormat="1" applyFont="1" applyFill="1" applyAlignment="1">
      <alignment vertical="center"/>
    </xf>
    <xf numFmtId="167" fontId="16" fillId="8" borderId="9" xfId="0" applyNumberFormat="1" applyFont="1" applyFill="1" applyBorder="1" applyAlignment="1">
      <alignment vertical="center"/>
    </xf>
    <xf numFmtId="167" fontId="16" fillId="8" borderId="10" xfId="0" applyNumberFormat="1" applyFont="1" applyFill="1" applyBorder="1" applyAlignment="1">
      <alignment vertical="center"/>
    </xf>
    <xf numFmtId="0" fontId="16" fillId="8" borderId="11" xfId="0" applyFont="1" applyFill="1" applyBorder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15" fillId="9" borderId="0" xfId="0" applyFont="1" applyFill="1" applyAlignment="1">
      <alignment vertical="center"/>
    </xf>
    <xf numFmtId="166" fontId="15" fillId="9" borderId="7" xfId="0" applyNumberFormat="1" applyFont="1" applyFill="1" applyBorder="1" applyAlignment="1">
      <alignment vertical="center"/>
    </xf>
    <xf numFmtId="166" fontId="15" fillId="9" borderId="0" xfId="0" applyNumberFormat="1" applyFont="1" applyFill="1" applyAlignment="1">
      <alignment vertical="center"/>
    </xf>
    <xf numFmtId="166" fontId="15" fillId="9" borderId="8" xfId="0" applyNumberFormat="1" applyFont="1" applyFill="1" applyBorder="1" applyAlignment="1">
      <alignment vertical="center"/>
    </xf>
    <xf numFmtId="167" fontId="15" fillId="9" borderId="7" xfId="0" applyNumberFormat="1" applyFont="1" applyFill="1" applyBorder="1" applyAlignment="1">
      <alignment vertical="center"/>
    </xf>
    <xf numFmtId="167" fontId="15" fillId="9" borderId="0" xfId="0" applyNumberFormat="1" applyFont="1" applyFill="1" applyAlignment="1">
      <alignment vertical="center"/>
    </xf>
    <xf numFmtId="167" fontId="15" fillId="9" borderId="9" xfId="0" applyNumberFormat="1" applyFont="1" applyFill="1" applyBorder="1" applyAlignment="1">
      <alignment vertical="center"/>
    </xf>
    <xf numFmtId="167" fontId="15" fillId="9" borderId="10" xfId="0" applyNumberFormat="1" applyFont="1" applyFill="1" applyBorder="1" applyAlignment="1">
      <alignment vertical="center"/>
    </xf>
    <xf numFmtId="0" fontId="15" fillId="9" borderId="11" xfId="0" applyFont="1" applyFill="1" applyBorder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15" fillId="10" borderId="0" xfId="0" applyFont="1" applyFill="1" applyAlignment="1">
      <alignment vertical="center"/>
    </xf>
    <xf numFmtId="166" fontId="15" fillId="10" borderId="7" xfId="0" applyNumberFormat="1" applyFont="1" applyFill="1" applyBorder="1" applyAlignment="1">
      <alignment vertical="center"/>
    </xf>
    <xf numFmtId="166" fontId="15" fillId="10" borderId="0" xfId="0" applyNumberFormat="1" applyFont="1" applyFill="1" applyAlignment="1">
      <alignment vertical="center"/>
    </xf>
    <xf numFmtId="166" fontId="15" fillId="10" borderId="8" xfId="0" applyNumberFormat="1" applyFont="1" applyFill="1" applyBorder="1" applyAlignment="1">
      <alignment vertical="center"/>
    </xf>
    <xf numFmtId="167" fontId="15" fillId="10" borderId="7" xfId="0" applyNumberFormat="1" applyFont="1" applyFill="1" applyBorder="1" applyAlignment="1">
      <alignment vertical="center"/>
    </xf>
    <xf numFmtId="167" fontId="15" fillId="10" borderId="0" xfId="0" applyNumberFormat="1" applyFont="1" applyFill="1" applyAlignment="1">
      <alignment vertical="center"/>
    </xf>
    <xf numFmtId="167" fontId="15" fillId="10" borderId="9" xfId="0" applyNumberFormat="1" applyFont="1" applyFill="1" applyBorder="1" applyAlignment="1">
      <alignment vertical="center"/>
    </xf>
    <xf numFmtId="167" fontId="15" fillId="10" borderId="10" xfId="0" applyNumberFormat="1" applyFont="1" applyFill="1" applyBorder="1" applyAlignment="1">
      <alignment vertical="center"/>
    </xf>
    <xf numFmtId="0" fontId="15" fillId="10" borderId="11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5" fillId="11" borderId="3" xfId="0" applyFont="1" applyFill="1" applyBorder="1" applyAlignment="1">
      <alignment vertical="center"/>
    </xf>
    <xf numFmtId="166" fontId="15" fillId="11" borderId="4" xfId="0" applyNumberFormat="1" applyFont="1" applyFill="1" applyBorder="1" applyAlignment="1">
      <alignment vertical="center"/>
    </xf>
    <xf numFmtId="166" fontId="15" fillId="11" borderId="3" xfId="0" applyNumberFormat="1" applyFont="1" applyFill="1" applyBorder="1" applyAlignment="1">
      <alignment vertical="center"/>
    </xf>
    <xf numFmtId="166" fontId="15" fillId="11" borderId="5" xfId="0" applyNumberFormat="1" applyFont="1" applyFill="1" applyBorder="1" applyAlignment="1">
      <alignment vertical="center"/>
    </xf>
    <xf numFmtId="167" fontId="16" fillId="11" borderId="4" xfId="0" applyNumberFormat="1" applyFont="1" applyFill="1" applyBorder="1" applyAlignment="1">
      <alignment vertical="center"/>
    </xf>
    <xf numFmtId="167" fontId="16" fillId="11" borderId="3" xfId="0" applyNumberFormat="1" applyFont="1" applyFill="1" applyBorder="1" applyAlignment="1">
      <alignment vertical="center"/>
    </xf>
    <xf numFmtId="167" fontId="16" fillId="11" borderId="12" xfId="0" applyNumberFormat="1" applyFont="1" applyFill="1" applyBorder="1" applyAlignment="1">
      <alignment vertical="center"/>
    </xf>
    <xf numFmtId="167" fontId="16" fillId="11" borderId="13" xfId="0" applyNumberFormat="1" applyFont="1" applyFill="1" applyBorder="1" applyAlignment="1">
      <alignment vertical="center"/>
    </xf>
    <xf numFmtId="0" fontId="15" fillId="11" borderId="6" xfId="0" applyFont="1" applyFill="1" applyBorder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15" fillId="12" borderId="0" xfId="0" applyFont="1" applyFill="1" applyAlignment="1">
      <alignment vertical="center"/>
    </xf>
    <xf numFmtId="0" fontId="15" fillId="13" borderId="0" xfId="0" applyFont="1" applyFill="1" applyAlignment="1">
      <alignment vertical="center"/>
    </xf>
    <xf numFmtId="166" fontId="15" fillId="13" borderId="7" xfId="0" applyNumberFormat="1" applyFont="1" applyFill="1" applyBorder="1" applyAlignment="1">
      <alignment vertical="center"/>
    </xf>
    <xf numFmtId="166" fontId="15" fillId="13" borderId="0" xfId="0" applyNumberFormat="1" applyFont="1" applyFill="1" applyAlignment="1">
      <alignment vertical="center"/>
    </xf>
    <xf numFmtId="166" fontId="15" fillId="13" borderId="8" xfId="0" applyNumberFormat="1" applyFont="1" applyFill="1" applyBorder="1" applyAlignment="1">
      <alignment vertical="center"/>
    </xf>
    <xf numFmtId="167" fontId="16" fillId="13" borderId="7" xfId="0" applyNumberFormat="1" applyFont="1" applyFill="1" applyBorder="1" applyAlignment="1">
      <alignment vertical="center"/>
    </xf>
    <xf numFmtId="167" fontId="16" fillId="13" borderId="0" xfId="0" applyNumberFormat="1" applyFont="1" applyFill="1" applyAlignment="1">
      <alignment vertical="center"/>
    </xf>
    <xf numFmtId="167" fontId="16" fillId="13" borderId="9" xfId="0" applyNumberFormat="1" applyFont="1" applyFill="1" applyBorder="1" applyAlignment="1">
      <alignment vertical="center"/>
    </xf>
    <xf numFmtId="167" fontId="16" fillId="13" borderId="10" xfId="0" applyNumberFormat="1" applyFont="1" applyFill="1" applyBorder="1" applyAlignment="1">
      <alignment vertical="center"/>
    </xf>
    <xf numFmtId="0" fontId="15" fillId="12" borderId="11" xfId="0" applyFont="1" applyFill="1" applyBorder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5" fillId="11" borderId="14" xfId="0" applyFont="1" applyFill="1" applyBorder="1" applyAlignment="1">
      <alignment vertical="center"/>
    </xf>
    <xf numFmtId="166" fontId="15" fillId="11" borderId="15" xfId="0" applyNumberFormat="1" applyFont="1" applyFill="1" applyBorder="1" applyAlignment="1">
      <alignment vertical="center"/>
    </xf>
    <xf numFmtId="166" fontId="15" fillId="11" borderId="14" xfId="0" applyNumberFormat="1" applyFont="1" applyFill="1" applyBorder="1" applyAlignment="1">
      <alignment vertical="center"/>
    </xf>
    <xf numFmtId="166" fontId="15" fillId="11" borderId="16" xfId="0" applyNumberFormat="1" applyFont="1" applyFill="1" applyBorder="1" applyAlignment="1">
      <alignment vertical="center"/>
    </xf>
    <xf numFmtId="167" fontId="16" fillId="11" borderId="15" xfId="0" applyNumberFormat="1" applyFont="1" applyFill="1" applyBorder="1" applyAlignment="1">
      <alignment vertical="center"/>
    </xf>
    <xf numFmtId="167" fontId="16" fillId="11" borderId="14" xfId="0" applyNumberFormat="1" applyFont="1" applyFill="1" applyBorder="1" applyAlignment="1">
      <alignment vertical="center"/>
    </xf>
    <xf numFmtId="167" fontId="16" fillId="11" borderId="17" xfId="0" applyNumberFormat="1" applyFont="1" applyFill="1" applyBorder="1" applyAlignment="1">
      <alignment vertical="center"/>
    </xf>
    <xf numFmtId="167" fontId="16" fillId="11" borderId="18" xfId="0" applyNumberFormat="1" applyFont="1" applyFill="1" applyBorder="1" applyAlignment="1">
      <alignment vertical="center"/>
    </xf>
    <xf numFmtId="0" fontId="15" fillId="11" borderId="19" xfId="0" applyFont="1" applyFill="1" applyBorder="1" applyAlignment="1">
      <alignment horizontal="left" vertical="center"/>
    </xf>
    <xf numFmtId="1" fontId="15" fillId="14" borderId="0" xfId="0" applyNumberFormat="1" applyFont="1" applyFill="1" applyAlignment="1">
      <alignment vertical="center"/>
    </xf>
    <xf numFmtId="166" fontId="15" fillId="14" borderId="7" xfId="0" applyNumberFormat="1" applyFont="1" applyFill="1" applyBorder="1" applyAlignment="1">
      <alignment vertical="center"/>
    </xf>
    <xf numFmtId="166" fontId="15" fillId="14" borderId="0" xfId="0" applyNumberFormat="1" applyFont="1" applyFill="1" applyAlignment="1">
      <alignment vertical="center"/>
    </xf>
    <xf numFmtId="166" fontId="15" fillId="14" borderId="8" xfId="0" applyNumberFormat="1" applyFont="1" applyFill="1" applyBorder="1" applyAlignment="1">
      <alignment vertical="center"/>
    </xf>
    <xf numFmtId="167" fontId="15" fillId="14" borderId="7" xfId="0" applyNumberFormat="1" applyFont="1" applyFill="1" applyBorder="1" applyAlignment="1">
      <alignment vertical="center"/>
    </xf>
    <xf numFmtId="167" fontId="15" fillId="14" borderId="0" xfId="0" applyNumberFormat="1" applyFont="1" applyFill="1" applyAlignment="1">
      <alignment vertical="center"/>
    </xf>
    <xf numFmtId="167" fontId="15" fillId="14" borderId="9" xfId="0" applyNumberFormat="1" applyFont="1" applyFill="1" applyBorder="1" applyAlignment="1">
      <alignment vertical="center"/>
    </xf>
    <xf numFmtId="167" fontId="15" fillId="14" borderId="10" xfId="0" applyNumberFormat="1" applyFont="1" applyFill="1" applyBorder="1" applyAlignment="1">
      <alignment vertical="center"/>
    </xf>
    <xf numFmtId="0" fontId="15" fillId="14" borderId="11" xfId="0" applyFont="1" applyFill="1" applyBorder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1" fontId="15" fillId="15" borderId="0" xfId="0" applyNumberFormat="1" applyFont="1" applyFill="1" applyAlignment="1">
      <alignment vertical="center"/>
    </xf>
    <xf numFmtId="166" fontId="15" fillId="15" borderId="7" xfId="0" applyNumberFormat="1" applyFont="1" applyFill="1" applyBorder="1" applyAlignment="1">
      <alignment vertical="center"/>
    </xf>
    <xf numFmtId="166" fontId="15" fillId="15" borderId="0" xfId="0" applyNumberFormat="1" applyFont="1" applyFill="1" applyAlignment="1">
      <alignment vertical="center"/>
    </xf>
    <xf numFmtId="166" fontId="15" fillId="15" borderId="8" xfId="0" applyNumberFormat="1" applyFont="1" applyFill="1" applyBorder="1" applyAlignment="1">
      <alignment vertical="center"/>
    </xf>
    <xf numFmtId="167" fontId="15" fillId="15" borderId="7" xfId="0" applyNumberFormat="1" applyFont="1" applyFill="1" applyBorder="1" applyAlignment="1">
      <alignment vertical="center"/>
    </xf>
    <xf numFmtId="167" fontId="15" fillId="15" borderId="0" xfId="0" applyNumberFormat="1" applyFont="1" applyFill="1" applyAlignment="1">
      <alignment vertical="center"/>
    </xf>
    <xf numFmtId="167" fontId="15" fillId="15" borderId="9" xfId="0" applyNumberFormat="1" applyFont="1" applyFill="1" applyBorder="1" applyAlignment="1">
      <alignment vertical="center"/>
    </xf>
    <xf numFmtId="167" fontId="15" fillId="15" borderId="10" xfId="0" applyNumberFormat="1" applyFont="1" applyFill="1" applyBorder="1" applyAlignment="1">
      <alignment vertical="center"/>
    </xf>
    <xf numFmtId="0" fontId="15" fillId="15" borderId="11" xfId="0" applyFont="1" applyFill="1" applyBorder="1" applyAlignment="1">
      <alignment horizontal="left" vertical="center"/>
    </xf>
    <xf numFmtId="0" fontId="15" fillId="15" borderId="0" xfId="0" applyFont="1" applyFill="1" applyAlignment="1">
      <alignment horizontal="left" vertical="center"/>
    </xf>
    <xf numFmtId="0" fontId="15" fillId="14" borderId="14" xfId="0" applyFont="1" applyFill="1" applyBorder="1" applyAlignment="1">
      <alignment vertical="center"/>
    </xf>
    <xf numFmtId="166" fontId="15" fillId="14" borderId="15" xfId="0" applyNumberFormat="1" applyFont="1" applyFill="1" applyBorder="1" applyAlignment="1">
      <alignment vertical="center"/>
    </xf>
    <xf numFmtId="166" fontId="15" fillId="14" borderId="14" xfId="0" applyNumberFormat="1" applyFont="1" applyFill="1" applyBorder="1" applyAlignment="1">
      <alignment vertical="center"/>
    </xf>
    <xf numFmtId="166" fontId="15" fillId="14" borderId="16" xfId="0" applyNumberFormat="1" applyFont="1" applyFill="1" applyBorder="1" applyAlignment="1">
      <alignment vertical="center"/>
    </xf>
    <xf numFmtId="167" fontId="15" fillId="14" borderId="15" xfId="0" applyNumberFormat="1" applyFont="1" applyFill="1" applyBorder="1" applyAlignment="1">
      <alignment vertical="center"/>
    </xf>
    <xf numFmtId="167" fontId="15" fillId="14" borderId="14" xfId="0" applyNumberFormat="1" applyFont="1" applyFill="1" applyBorder="1" applyAlignment="1">
      <alignment vertical="center"/>
    </xf>
    <xf numFmtId="167" fontId="15" fillId="14" borderId="17" xfId="0" applyNumberFormat="1" applyFont="1" applyFill="1" applyBorder="1" applyAlignment="1">
      <alignment vertical="center"/>
    </xf>
    <xf numFmtId="167" fontId="15" fillId="14" borderId="18" xfId="0" applyNumberFormat="1" applyFont="1" applyFill="1" applyBorder="1" applyAlignment="1">
      <alignment vertical="center"/>
    </xf>
    <xf numFmtId="0" fontId="15" fillId="14" borderId="19" xfId="0" applyFont="1" applyFill="1" applyBorder="1" applyAlignment="1">
      <alignment horizontal="left" vertical="center"/>
    </xf>
    <xf numFmtId="0" fontId="11" fillId="0" borderId="2" xfId="16"/>
    <xf numFmtId="0" fontId="2" fillId="0" borderId="0" xfId="17"/>
    <xf numFmtId="1" fontId="0" fillId="0" borderId="0" xfId="0" applyNumberFormat="1"/>
    <xf numFmtId="1" fontId="13" fillId="0" borderId="0" xfId="0" applyNumberFormat="1" applyFont="1"/>
    <xf numFmtId="0" fontId="17" fillId="16" borderId="0" xfId="19"/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9"/>
  <sheetViews>
    <sheetView workbookViewId="0"/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29" t="s">
        <v>0</v>
      </c>
      <c r="L11" s="129" t="s">
        <v>133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28</v>
      </c>
      <c r="P12" s="2">
        <v>2022</v>
      </c>
      <c r="Q12" s="2">
        <v>0</v>
      </c>
      <c r="R12" s="2" t="s">
        <v>71</v>
      </c>
      <c r="S12" s="2" t="s">
        <v>74</v>
      </c>
    </row>
    <row r="13" spans="2:22">
      <c r="B13" s="1" t="s">
        <v>17</v>
      </c>
      <c r="C13" s="1" t="s">
        <v>13</v>
      </c>
      <c r="E13" s="1" t="s">
        <v>20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20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19</v>
      </c>
      <c r="C15" t="s">
        <v>73</v>
      </c>
      <c r="D15" s="1" t="s">
        <v>75</v>
      </c>
      <c r="E15" s="1" t="s">
        <v>20</v>
      </c>
      <c r="F15" t="s">
        <v>10</v>
      </c>
      <c r="G15" s="1"/>
      <c r="H15" s="1"/>
      <c r="I15" s="1"/>
      <c r="J15" s="1" t="str">
        <f>C15</f>
        <v>e_demand</v>
      </c>
      <c r="K15" s="1"/>
      <c r="L15" t="s">
        <v>21</v>
      </c>
      <c r="M15" s="1">
        <v>1</v>
      </c>
      <c r="N15" s="1">
        <v>8.76</v>
      </c>
      <c r="O15" s="1"/>
      <c r="P15" s="1"/>
      <c r="Q15" s="1"/>
      <c r="V15" t="s">
        <v>70</v>
      </c>
    </row>
    <row r="16" spans="2:22">
      <c r="B16" t="s">
        <v>19</v>
      </c>
      <c r="C16" t="s">
        <v>134</v>
      </c>
      <c r="D16" s="1" t="s">
        <v>117</v>
      </c>
      <c r="E16" s="1" t="s">
        <v>20</v>
      </c>
      <c r="F16" t="s">
        <v>10</v>
      </c>
      <c r="G16" s="1"/>
      <c r="H16" s="1"/>
      <c r="I16" s="1"/>
      <c r="J16" s="1" t="str">
        <f>C16</f>
        <v>h2_demand</v>
      </c>
      <c r="K16" s="1" t="s">
        <v>33</v>
      </c>
      <c r="L16" t="s">
        <v>118</v>
      </c>
      <c r="M16" s="1">
        <v>1</v>
      </c>
      <c r="N16" s="1">
        <v>8.76</v>
      </c>
      <c r="O16" s="1"/>
      <c r="P16" s="1"/>
      <c r="Q16" s="1"/>
    </row>
    <row r="17" spans="2:22">
      <c r="B17" t="s">
        <v>19</v>
      </c>
      <c r="C17" t="s">
        <v>116</v>
      </c>
      <c r="D17" t="s">
        <v>135</v>
      </c>
      <c r="E17" s="1" t="s">
        <v>20</v>
      </c>
      <c r="F17" t="s">
        <v>10</v>
      </c>
      <c r="G17" s="1"/>
      <c r="H17" s="1"/>
      <c r="I17" s="1"/>
      <c r="J17" t="str">
        <f>C17</f>
        <v>h_demand</v>
      </c>
      <c r="K17" s="1"/>
      <c r="L17" t="s">
        <v>136</v>
      </c>
      <c r="M17" s="1">
        <v>1</v>
      </c>
      <c r="N17" s="1">
        <v>8.76</v>
      </c>
      <c r="O17" s="1"/>
      <c r="P17" s="1"/>
      <c r="Q17" s="1"/>
    </row>
    <row r="18" spans="2:22">
      <c r="B18" t="s">
        <v>27</v>
      </c>
      <c r="C18" t="s">
        <v>68</v>
      </c>
      <c r="D18" s="1"/>
      <c r="E18" s="1" t="s">
        <v>20</v>
      </c>
      <c r="F18" t="s">
        <v>10</v>
      </c>
      <c r="G18" t="s">
        <v>14</v>
      </c>
      <c r="H18" s="1"/>
      <c r="I18" s="1"/>
      <c r="J18" s="1" t="str">
        <f>C20</f>
        <v>fossil_supply</v>
      </c>
      <c r="K18" s="1"/>
      <c r="L18" s="1" t="s">
        <v>30</v>
      </c>
      <c r="M18" s="1"/>
      <c r="N18" s="1"/>
      <c r="O18" s="1">
        <f t="shared" ref="O18:O22" si="0">V18*3.6</f>
        <v>7.2</v>
      </c>
      <c r="P18" s="1"/>
      <c r="V18" s="1">
        <v>2</v>
      </c>
    </row>
    <row r="19" spans="2:22">
      <c r="B19" t="s">
        <v>67</v>
      </c>
      <c r="C19" t="s">
        <v>69</v>
      </c>
      <c r="D19" s="1"/>
      <c r="E19" s="1" t="s">
        <v>20</v>
      </c>
      <c r="F19" t="s">
        <v>10</v>
      </c>
      <c r="G19" t="s">
        <v>14</v>
      </c>
      <c r="H19" s="1"/>
      <c r="I19" s="1"/>
      <c r="K19" s="1"/>
      <c r="L19" s="1" t="s">
        <v>31</v>
      </c>
      <c r="M19" s="1"/>
      <c r="N19" s="1"/>
      <c r="O19" s="1">
        <f t="shared" si="0"/>
        <v>18</v>
      </c>
      <c r="P19" s="1"/>
      <c r="V19" s="1">
        <v>5</v>
      </c>
    </row>
    <row r="20" spans="2:22">
      <c r="B20" s="1" t="s">
        <v>27</v>
      </c>
      <c r="C20" s="1" t="s">
        <v>121</v>
      </c>
      <c r="D20" s="1" t="s">
        <v>76</v>
      </c>
      <c r="E20" s="1" t="s">
        <v>20</v>
      </c>
      <c r="F20" t="s">
        <v>10</v>
      </c>
      <c r="G20" s="1"/>
      <c r="H20" s="1"/>
      <c r="I20" s="1"/>
      <c r="K20" s="1"/>
      <c r="L20" s="1" t="s">
        <v>35</v>
      </c>
      <c r="M20" s="1"/>
      <c r="N20" s="1"/>
      <c r="O20" s="1">
        <f>V20*3.6</f>
        <v>36</v>
      </c>
      <c r="P20" s="1"/>
      <c r="V20">
        <v>10</v>
      </c>
    </row>
    <row r="21" spans="2:22">
      <c r="B21" s="1" t="s">
        <v>27</v>
      </c>
      <c r="C21" s="1" t="s">
        <v>123</v>
      </c>
      <c r="D21" s="1" t="s">
        <v>122</v>
      </c>
      <c r="E21" s="1" t="s">
        <v>20</v>
      </c>
      <c r="F21" t="s">
        <v>10</v>
      </c>
      <c r="G21" s="1"/>
      <c r="H21" s="1"/>
      <c r="I21" s="1"/>
      <c r="J21" s="1" t="str">
        <f>C21</f>
        <v>renewable</v>
      </c>
      <c r="K21" s="1"/>
      <c r="L21" s="1" t="s">
        <v>32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27</v>
      </c>
      <c r="C22" s="1" t="s">
        <v>124</v>
      </c>
      <c r="D22" s="1" t="s">
        <v>125</v>
      </c>
      <c r="E22" s="1" t="s">
        <v>20</v>
      </c>
      <c r="F22" t="s">
        <v>10</v>
      </c>
      <c r="G22" s="1"/>
      <c r="H22" s="1"/>
      <c r="I22" s="1"/>
      <c r="K22" s="1"/>
      <c r="L22" s="1" t="s">
        <v>26</v>
      </c>
      <c r="M22" s="1"/>
      <c r="N22" s="1"/>
      <c r="O22" s="1">
        <f t="shared" si="0"/>
        <v>0.36000000000000004</v>
      </c>
      <c r="P22" s="1"/>
      <c r="V22">
        <v>0.1</v>
      </c>
    </row>
    <row r="23" spans="2:22">
      <c r="B23" s="1" t="s">
        <v>27</v>
      </c>
      <c r="C23" s="1" t="s">
        <v>126</v>
      </c>
      <c r="D23" s="1" t="s">
        <v>129</v>
      </c>
      <c r="E23" s="1" t="s">
        <v>20</v>
      </c>
      <c r="F23" t="s">
        <v>10</v>
      </c>
      <c r="G23" s="1"/>
      <c r="H23" s="1"/>
      <c r="I23" s="1"/>
      <c r="L23" s="1" t="s">
        <v>29</v>
      </c>
      <c r="M23" s="1"/>
      <c r="N23" s="1"/>
      <c r="O23" s="1">
        <f>V23*3.6</f>
        <v>25.2</v>
      </c>
      <c r="P23" s="1"/>
      <c r="V23" s="1">
        <v>7</v>
      </c>
    </row>
    <row r="24" spans="2:22">
      <c r="B24" s="1" t="s">
        <v>27</v>
      </c>
      <c r="C24" t="s">
        <v>127</v>
      </c>
      <c r="D24" t="s">
        <v>130</v>
      </c>
      <c r="E24" s="1" t="s">
        <v>20</v>
      </c>
      <c r="F24" t="s">
        <v>10</v>
      </c>
      <c r="G24" s="1"/>
      <c r="H24" s="1"/>
      <c r="I24" s="1"/>
      <c r="J24" s="1" t="str">
        <f>C22</f>
        <v>nuclear_fuel</v>
      </c>
      <c r="K24" s="1"/>
      <c r="L24" s="1" t="s">
        <v>34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 t="s">
        <v>27</v>
      </c>
      <c r="C25" t="s">
        <v>128</v>
      </c>
      <c r="D25" t="s">
        <v>131</v>
      </c>
      <c r="E25" s="1" t="s">
        <v>20</v>
      </c>
      <c r="F25" t="s">
        <v>10</v>
      </c>
      <c r="G25" s="1"/>
      <c r="H25" s="1"/>
      <c r="I25" s="1"/>
      <c r="J25" s="1" t="str">
        <f>C23</f>
        <v>solar_potential</v>
      </c>
      <c r="K25" s="1"/>
      <c r="L25" s="1" t="s">
        <v>25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winon_potential</v>
      </c>
      <c r="K26" s="1"/>
      <c r="L26" s="1" t="s">
        <v>119</v>
      </c>
      <c r="M26" s="1"/>
      <c r="N26" s="1"/>
      <c r="O26" s="1">
        <f>V26*3.6</f>
        <v>0.36000000000000004</v>
      </c>
      <c r="P26" s="1"/>
      <c r="V26">
        <v>0.1</v>
      </c>
    </row>
    <row r="27" spans="2:22">
      <c r="B27" s="1"/>
      <c r="C27" s="1"/>
      <c r="D27" s="1"/>
      <c r="E27" s="1"/>
      <c r="F27" s="1"/>
      <c r="G27" s="1"/>
      <c r="H27" s="1"/>
      <c r="I27" s="1"/>
      <c r="J27" s="1" t="str">
        <f>C25</f>
        <v>winoff_potential</v>
      </c>
      <c r="K27" s="1"/>
      <c r="L27" s="1" t="s">
        <v>120</v>
      </c>
      <c r="M27" s="1"/>
      <c r="N27" s="1"/>
      <c r="O27" s="1">
        <f t="shared" ref="O27" si="1">V27*3.6</f>
        <v>0.36000000000000004</v>
      </c>
      <c r="P27" s="1"/>
      <c r="V27">
        <v>0.1</v>
      </c>
    </row>
    <row r="28" spans="2:22">
      <c r="J28" t="str">
        <f>C18</f>
        <v>Trd_electricity import</v>
      </c>
      <c r="L28" t="str">
        <f>$V$29</f>
        <v>ELC</v>
      </c>
      <c r="P28">
        <v>0</v>
      </c>
      <c r="Q28">
        <v>3</v>
      </c>
      <c r="R28">
        <v>1000</v>
      </c>
      <c r="S28">
        <v>50</v>
      </c>
      <c r="V28" t="s">
        <v>486</v>
      </c>
    </row>
    <row r="29" spans="2:22">
      <c r="J29" t="str">
        <f>C19</f>
        <v>Trd_electricity export</v>
      </c>
      <c r="K29" t="str">
        <f>$V$29</f>
        <v>ELC</v>
      </c>
      <c r="P29">
        <v>0</v>
      </c>
      <c r="Q29">
        <v>3</v>
      </c>
      <c r="R29">
        <v>1000</v>
      </c>
      <c r="S29">
        <v>50</v>
      </c>
      <c r="V29" s="13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14"/>
  <sheetViews>
    <sheetView workbookViewId="0">
      <selection activeCell="M21" sqref="M21"/>
    </sheetView>
  </sheetViews>
  <sheetFormatPr defaultRowHeight="14.25"/>
  <cols>
    <col min="2" max="2" width="9.19921875" bestFit="1" customWidth="1"/>
    <col min="3" max="3" width="10.46484375" bestFit="1" customWidth="1"/>
    <col min="4" max="4" width="31.86328125" bestFit="1" customWidth="1"/>
    <col min="5" max="5" width="11.59765625" bestFit="1" customWidth="1"/>
    <col min="6" max="6" width="8.6640625" bestFit="1" customWidth="1"/>
    <col min="7" max="7" width="9.59765625" bestFit="1" customWidth="1"/>
    <col min="8" max="8" width="9" bestFit="1" customWidth="1"/>
    <col min="9" max="9" width="5.19921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9.19921875" bestFit="1" customWidth="1"/>
    <col min="20" max="20" width="37.9296875" bestFit="1" customWidth="1"/>
    <col min="21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9"/>
      <c r="C3" s="9"/>
      <c r="D3" s="9"/>
      <c r="E3" s="9"/>
      <c r="F3" s="9"/>
      <c r="G3" s="9"/>
      <c r="H3" s="9" t="s">
        <v>55</v>
      </c>
      <c r="I3" s="9"/>
      <c r="J3" s="9"/>
      <c r="K3" s="9"/>
      <c r="L3" s="9"/>
      <c r="M3" s="9"/>
      <c r="N3" s="9"/>
      <c r="O3" s="9"/>
      <c r="P3" s="9"/>
      <c r="Q3" s="9"/>
      <c r="R3" s="9" t="s">
        <v>0</v>
      </c>
      <c r="S3" s="9"/>
      <c r="T3" s="9"/>
      <c r="U3" s="9"/>
      <c r="V3" s="9"/>
      <c r="W3" s="9"/>
      <c r="X3" s="9"/>
      <c r="Y3" s="9"/>
    </row>
    <row r="4" spans="2:25">
      <c r="B4" s="9" t="s">
        <v>1</v>
      </c>
      <c r="C4" t="s">
        <v>2</v>
      </c>
      <c r="D4" t="s">
        <v>3</v>
      </c>
      <c r="E4" t="s">
        <v>51</v>
      </c>
      <c r="F4" t="s">
        <v>50</v>
      </c>
      <c r="G4" t="s">
        <v>56</v>
      </c>
      <c r="H4" t="s">
        <v>57</v>
      </c>
      <c r="I4">
        <v>2030</v>
      </c>
      <c r="J4">
        <v>0</v>
      </c>
      <c r="K4" s="9" t="s">
        <v>58</v>
      </c>
      <c r="L4" s="9" t="s">
        <v>59</v>
      </c>
      <c r="M4" s="9" t="s">
        <v>52</v>
      </c>
      <c r="N4" s="9" t="s">
        <v>71</v>
      </c>
      <c r="O4" s="9" t="s">
        <v>60</v>
      </c>
      <c r="P4" s="9" t="s">
        <v>61</v>
      </c>
      <c r="Q4" s="9"/>
      <c r="R4" s="9" t="s">
        <v>6</v>
      </c>
      <c r="S4" s="9" t="s">
        <v>1</v>
      </c>
      <c r="T4" s="9" t="s">
        <v>7</v>
      </c>
      <c r="U4" s="9" t="s">
        <v>48</v>
      </c>
      <c r="V4" s="9" t="s">
        <v>49</v>
      </c>
      <c r="W4" s="9" t="s">
        <v>11</v>
      </c>
      <c r="X4" s="9" t="s">
        <v>62</v>
      </c>
      <c r="Y4" s="9" t="s">
        <v>63</v>
      </c>
    </row>
    <row r="5" spans="2:25">
      <c r="B5" t="s">
        <v>72</v>
      </c>
      <c r="C5" t="s">
        <v>18</v>
      </c>
      <c r="F5" t="s">
        <v>24</v>
      </c>
      <c r="K5" s="9">
        <v>0.90249999999999997</v>
      </c>
      <c r="L5" s="11">
        <f>24/6</f>
        <v>4</v>
      </c>
      <c r="M5" s="9">
        <v>10</v>
      </c>
      <c r="N5" s="9">
        <v>150</v>
      </c>
      <c r="O5" s="11">
        <v>1</v>
      </c>
      <c r="P5" s="9">
        <v>1</v>
      </c>
      <c r="Q5" s="9"/>
      <c r="R5" s="9" t="s">
        <v>66</v>
      </c>
      <c r="S5" s="9" t="str">
        <f>B5</f>
        <v>ev_battery</v>
      </c>
      <c r="T5" s="9" t="s">
        <v>64</v>
      </c>
      <c r="U5" s="9" t="s">
        <v>20</v>
      </c>
      <c r="V5" s="9" t="s">
        <v>20</v>
      </c>
      <c r="W5" s="9" t="s">
        <v>14</v>
      </c>
      <c r="X5" s="9"/>
      <c r="Y5" s="9"/>
    </row>
    <row r="6" spans="2:25">
      <c r="B6" s="9"/>
      <c r="F6" t="s">
        <v>54</v>
      </c>
      <c r="K6" s="9"/>
      <c r="L6" s="10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2:25">
      <c r="B7" s="9"/>
      <c r="D7" t="s">
        <v>65</v>
      </c>
      <c r="E7" t="s">
        <v>44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2:25" ht="17.649999999999999">
      <c r="B8" s="6"/>
      <c r="E8" s="12"/>
      <c r="F8" t="s">
        <v>132</v>
      </c>
      <c r="G8" t="str">
        <f>E7</f>
        <v>AuxStoIN</v>
      </c>
      <c r="H8" t="s">
        <v>53</v>
      </c>
      <c r="I8">
        <v>1</v>
      </c>
      <c r="J8">
        <v>3</v>
      </c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8"/>
      <c r="X8" s="8"/>
      <c r="Y8" s="8"/>
    </row>
    <row r="11" spans="2:25">
      <c r="B11" s="3" t="s">
        <v>22</v>
      </c>
      <c r="C11" s="3"/>
      <c r="D11" s="3"/>
      <c r="E11" s="3"/>
      <c r="F11" s="3"/>
      <c r="G11" s="3"/>
      <c r="H11" s="3"/>
      <c r="I11" s="3"/>
    </row>
    <row r="12" spans="2:25">
      <c r="B12" s="3" t="s">
        <v>36</v>
      </c>
      <c r="C12" s="3" t="s">
        <v>37</v>
      </c>
      <c r="D12" s="3" t="s">
        <v>38</v>
      </c>
      <c r="E12" s="3" t="s">
        <v>23</v>
      </c>
      <c r="F12" s="3" t="s">
        <v>39</v>
      </c>
      <c r="G12" s="3" t="s">
        <v>40</v>
      </c>
      <c r="H12" s="3" t="s">
        <v>41</v>
      </c>
      <c r="I12" s="3" t="s">
        <v>42</v>
      </c>
    </row>
    <row r="13" spans="2:25">
      <c r="B13" s="3" t="s">
        <v>43</v>
      </c>
      <c r="C13" s="3" t="s">
        <v>44</v>
      </c>
      <c r="D13" s="3" t="s">
        <v>45</v>
      </c>
      <c r="E13" s="3" t="s">
        <v>137</v>
      </c>
      <c r="F13" s="3"/>
      <c r="G13" s="5" t="s">
        <v>14</v>
      </c>
      <c r="H13" s="3"/>
      <c r="I13" s="3"/>
    </row>
    <row r="14" spans="2:25">
      <c r="C14" s="3" t="s">
        <v>46</v>
      </c>
      <c r="D14" s="3" t="s">
        <v>47</v>
      </c>
      <c r="E14" s="3" t="s">
        <v>137</v>
      </c>
      <c r="F14" s="3"/>
      <c r="G14" s="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77</v>
      </c>
      <c r="C1" s="134" t="s">
        <v>78</v>
      </c>
      <c r="D1" s="134"/>
      <c r="E1" s="134"/>
      <c r="F1" s="135" t="s">
        <v>79</v>
      </c>
      <c r="G1" s="134"/>
      <c r="H1" s="136"/>
      <c r="I1" s="134" t="s">
        <v>80</v>
      </c>
      <c r="J1" s="134"/>
      <c r="K1" s="134"/>
      <c r="L1" s="134"/>
      <c r="M1" s="134"/>
      <c r="N1" s="134"/>
      <c r="O1" s="137" t="s">
        <v>81</v>
      </c>
      <c r="P1" s="13"/>
      <c r="Q1" s="13"/>
      <c r="R1" s="13"/>
    </row>
    <row r="2" spans="1:18">
      <c r="C2" s="14" t="s">
        <v>71</v>
      </c>
      <c r="D2" s="14" t="s">
        <v>71</v>
      </c>
      <c r="E2" s="14" t="s">
        <v>71</v>
      </c>
      <c r="F2" s="14" t="s">
        <v>82</v>
      </c>
      <c r="G2" s="14" t="s">
        <v>82</v>
      </c>
      <c r="H2" s="14" t="s">
        <v>82</v>
      </c>
      <c r="I2" s="14" t="s">
        <v>83</v>
      </c>
      <c r="J2" s="14" t="s">
        <v>115</v>
      </c>
      <c r="K2" s="14" t="str">
        <f>I2</f>
        <v>input~GASNGA</v>
      </c>
      <c r="L2" s="14" t="s">
        <v>115</v>
      </c>
      <c r="M2" s="14" t="str">
        <f>K2</f>
        <v>input~GASNGA</v>
      </c>
      <c r="N2" s="14" t="s">
        <v>115</v>
      </c>
      <c r="O2" s="138"/>
      <c r="P2" s="13"/>
      <c r="Q2" s="13"/>
      <c r="R2" s="13"/>
    </row>
    <row r="3" spans="1:18">
      <c r="C3" s="14">
        <v>2020</v>
      </c>
      <c r="D3" s="14">
        <v>2030</v>
      </c>
      <c r="E3" s="14">
        <v>2050</v>
      </c>
      <c r="F3" s="14">
        <f>C3</f>
        <v>2020</v>
      </c>
      <c r="G3" s="14">
        <f t="shared" ref="G3:H3" si="0">D3</f>
        <v>2030</v>
      </c>
      <c r="H3" s="14">
        <f t="shared" si="0"/>
        <v>2050</v>
      </c>
      <c r="I3" s="14">
        <v>2015</v>
      </c>
      <c r="J3" s="14">
        <v>2015</v>
      </c>
      <c r="K3" s="14">
        <v>2030</v>
      </c>
      <c r="L3" s="14">
        <v>2030</v>
      </c>
      <c r="M3" s="14">
        <v>2050</v>
      </c>
      <c r="N3" s="14">
        <v>2050</v>
      </c>
      <c r="O3" s="138"/>
      <c r="P3" s="13"/>
      <c r="Q3" s="13"/>
      <c r="R3" s="13"/>
    </row>
    <row r="4" spans="1:18" ht="26.25">
      <c r="C4" s="15">
        <v>2020</v>
      </c>
      <c r="D4" s="15">
        <v>2030</v>
      </c>
      <c r="E4" s="15" t="s">
        <v>84</v>
      </c>
      <c r="F4" s="16">
        <v>2015</v>
      </c>
      <c r="G4" s="15">
        <v>2030</v>
      </c>
      <c r="H4" s="17" t="s">
        <v>84</v>
      </c>
      <c r="I4" s="15" t="s">
        <v>85</v>
      </c>
      <c r="J4" s="15" t="s">
        <v>86</v>
      </c>
      <c r="K4" s="18" t="s">
        <v>87</v>
      </c>
      <c r="L4" s="19" t="s">
        <v>88</v>
      </c>
      <c r="M4" s="15" t="s">
        <v>89</v>
      </c>
      <c r="N4" s="15" t="s">
        <v>90</v>
      </c>
      <c r="O4" s="139"/>
      <c r="P4" s="13"/>
      <c r="Q4" s="13"/>
      <c r="R4" s="13"/>
    </row>
    <row r="5" spans="1:18">
      <c r="C5" s="20">
        <v>550</v>
      </c>
      <c r="D5" s="20">
        <v>500</v>
      </c>
      <c r="E5" s="20">
        <v>450</v>
      </c>
      <c r="F5" s="21">
        <v>22</v>
      </c>
      <c r="G5" s="22">
        <v>20</v>
      </c>
      <c r="H5" s="23">
        <v>18</v>
      </c>
      <c r="I5" s="24">
        <v>1.33</v>
      </c>
      <c r="J5" s="24">
        <v>9.4E-2</v>
      </c>
      <c r="K5" s="25">
        <v>1.3</v>
      </c>
      <c r="L5" s="26">
        <v>9.4E-2</v>
      </c>
      <c r="M5" s="24">
        <v>1.28</v>
      </c>
      <c r="N5" s="24">
        <v>9.4E-2</v>
      </c>
      <c r="O5" s="27" t="s">
        <v>91</v>
      </c>
      <c r="P5" s="28"/>
      <c r="Q5" s="28"/>
      <c r="R5" s="28"/>
    </row>
    <row r="6" spans="1:18">
      <c r="C6" s="29">
        <v>900</v>
      </c>
      <c r="D6" s="29">
        <v>850</v>
      </c>
      <c r="E6" s="29">
        <v>800</v>
      </c>
      <c r="F6" s="30">
        <v>36</v>
      </c>
      <c r="G6" s="31">
        <v>34</v>
      </c>
      <c r="H6" s="32">
        <v>32</v>
      </c>
      <c r="I6" s="33">
        <v>1.33</v>
      </c>
      <c r="J6" s="33">
        <v>1.0940000000000001</v>
      </c>
      <c r="K6" s="34">
        <v>1.3</v>
      </c>
      <c r="L6" s="35">
        <v>1.0940000000000001</v>
      </c>
      <c r="M6" s="33">
        <v>1.28</v>
      </c>
      <c r="N6" s="33">
        <v>1.0940000000000001</v>
      </c>
      <c r="O6" s="36" t="s">
        <v>92</v>
      </c>
      <c r="P6" s="37"/>
      <c r="Q6" s="37"/>
      <c r="R6" s="37"/>
    </row>
    <row r="7" spans="1:18">
      <c r="C7" s="20">
        <v>1978</v>
      </c>
      <c r="D7" s="20">
        <v>1598</v>
      </c>
      <c r="E7" s="20">
        <v>1450</v>
      </c>
      <c r="F7" s="21">
        <v>57</v>
      </c>
      <c r="G7" s="22">
        <v>31</v>
      </c>
      <c r="H7" s="23">
        <v>28</v>
      </c>
      <c r="I7" s="24">
        <v>1.53</v>
      </c>
      <c r="J7" s="24">
        <v>9.4E-2</v>
      </c>
      <c r="K7" s="25">
        <v>1.47</v>
      </c>
      <c r="L7" s="26">
        <v>9.4E-2</v>
      </c>
      <c r="M7" s="24">
        <v>1.43</v>
      </c>
      <c r="N7" s="24">
        <v>9.4E-2</v>
      </c>
      <c r="O7" s="27" t="s">
        <v>93</v>
      </c>
      <c r="P7" s="28"/>
      <c r="Q7" s="28"/>
      <c r="R7" s="28"/>
    </row>
    <row r="8" spans="1:18">
      <c r="C8" s="38">
        <v>1609.9999999999998</v>
      </c>
      <c r="D8" s="38">
        <v>740</v>
      </c>
      <c r="E8" s="38">
        <v>200</v>
      </c>
      <c r="F8" s="30">
        <v>49.000000000000007</v>
      </c>
      <c r="G8" s="31">
        <v>15</v>
      </c>
      <c r="H8" s="32">
        <v>10</v>
      </c>
      <c r="I8" s="33">
        <v>0</v>
      </c>
      <c r="J8" s="33">
        <v>1.39</v>
      </c>
      <c r="K8" s="34">
        <v>0</v>
      </c>
      <c r="L8" s="35">
        <v>1.19</v>
      </c>
      <c r="M8" s="33">
        <v>0</v>
      </c>
      <c r="N8" s="33">
        <v>1.17</v>
      </c>
      <c r="O8" s="36" t="s">
        <v>94</v>
      </c>
      <c r="P8" s="37"/>
      <c r="Q8" s="37"/>
      <c r="R8" s="37"/>
    </row>
    <row r="9" spans="1:18">
      <c r="C9" s="39">
        <v>2530</v>
      </c>
      <c r="D9" s="39">
        <v>1175</v>
      </c>
      <c r="E9" s="39">
        <v>350</v>
      </c>
      <c r="F9" s="21">
        <v>77.000000000000014</v>
      </c>
      <c r="G9" s="22">
        <v>34</v>
      </c>
      <c r="H9" s="23">
        <v>18</v>
      </c>
      <c r="I9" s="24">
        <v>0</v>
      </c>
      <c r="J9" s="24">
        <v>1.5</v>
      </c>
      <c r="K9" s="25">
        <v>0</v>
      </c>
      <c r="L9" s="26">
        <v>1.25</v>
      </c>
      <c r="M9" s="24">
        <v>0</v>
      </c>
      <c r="N9" s="24">
        <v>1.19</v>
      </c>
      <c r="O9" s="27" t="s">
        <v>95</v>
      </c>
      <c r="P9" s="28"/>
      <c r="Q9" s="28"/>
      <c r="R9" s="28"/>
    </row>
    <row r="10" spans="1:18">
      <c r="C10" s="38">
        <v>1265</v>
      </c>
      <c r="D10" s="38">
        <v>600</v>
      </c>
      <c r="E10" s="38">
        <v>180</v>
      </c>
      <c r="F10" s="30">
        <v>28</v>
      </c>
      <c r="G10" s="31">
        <v>14</v>
      </c>
      <c r="H10" s="32">
        <v>9</v>
      </c>
      <c r="I10" s="33">
        <v>0</v>
      </c>
      <c r="J10" s="33">
        <v>1.3952</v>
      </c>
      <c r="K10" s="34">
        <v>0</v>
      </c>
      <c r="L10" s="35">
        <v>1.268</v>
      </c>
      <c r="M10" s="33">
        <v>0</v>
      </c>
      <c r="N10" s="33">
        <v>1.18</v>
      </c>
      <c r="O10" s="36" t="s">
        <v>96</v>
      </c>
      <c r="P10" s="37"/>
      <c r="Q10" s="37"/>
      <c r="R10" s="37"/>
    </row>
    <row r="11" spans="1:18">
      <c r="C11" s="39">
        <v>1897.4999999999998</v>
      </c>
      <c r="D11" s="39">
        <v>715</v>
      </c>
      <c r="E11" s="39">
        <v>300</v>
      </c>
      <c r="F11" s="21">
        <v>41</v>
      </c>
      <c r="G11" s="22">
        <v>17</v>
      </c>
      <c r="H11" s="23">
        <v>15</v>
      </c>
      <c r="I11" s="24">
        <v>0</v>
      </c>
      <c r="J11" s="24">
        <v>1.3952</v>
      </c>
      <c r="K11" s="25">
        <v>0</v>
      </c>
      <c r="L11" s="26">
        <v>1.268</v>
      </c>
      <c r="M11" s="24">
        <v>0</v>
      </c>
      <c r="N11" s="24">
        <v>1.2</v>
      </c>
      <c r="O11" s="27" t="s">
        <v>97</v>
      </c>
      <c r="P11" s="28"/>
      <c r="Q11" s="28"/>
      <c r="R11" s="28"/>
    </row>
    <row r="12" spans="1:18">
      <c r="C12" s="38">
        <v>3332.088235294118</v>
      </c>
      <c r="D12" s="38">
        <v>1421.3921568627452</v>
      </c>
      <c r="E12" s="38">
        <v>600</v>
      </c>
      <c r="F12" s="30">
        <v>55.825000000000003</v>
      </c>
      <c r="G12" s="31">
        <v>36.18</v>
      </c>
      <c r="H12" s="32">
        <v>39</v>
      </c>
      <c r="I12" s="33">
        <v>1.996667038759689</v>
      </c>
      <c r="J12" s="33">
        <v>0.83711999999999998</v>
      </c>
      <c r="K12" s="34">
        <v>1.4556272790939169</v>
      </c>
      <c r="L12" s="35">
        <v>0.76080000000000003</v>
      </c>
      <c r="M12" s="33">
        <v>0.33333333333333337</v>
      </c>
      <c r="N12" s="33">
        <v>0.70799999999999996</v>
      </c>
      <c r="O12" s="36" t="s">
        <v>98</v>
      </c>
      <c r="P12" s="37"/>
      <c r="Q12" s="37"/>
      <c r="R12" s="37"/>
    </row>
    <row r="13" spans="1:18">
      <c r="C13" s="39">
        <v>5331.3411764705888</v>
      </c>
      <c r="D13" s="39">
        <v>2920.8941176470589</v>
      </c>
      <c r="E13" s="39">
        <v>1100</v>
      </c>
      <c r="F13" s="21">
        <v>94.902500000000003</v>
      </c>
      <c r="G13" s="22">
        <v>63.314999999999998</v>
      </c>
      <c r="H13" s="23">
        <v>48.75</v>
      </c>
      <c r="I13" s="24">
        <v>1.996667038759689</v>
      </c>
      <c r="J13" s="24">
        <v>0.83711999999999998</v>
      </c>
      <c r="K13" s="25">
        <v>1.4556272790939169</v>
      </c>
      <c r="L13" s="26">
        <v>0.76080000000000003</v>
      </c>
      <c r="M13" s="24">
        <v>0.33333333333333337</v>
      </c>
      <c r="N13" s="24">
        <v>0.72</v>
      </c>
      <c r="O13" s="27" t="s">
        <v>99</v>
      </c>
      <c r="P13" s="28"/>
      <c r="Q13" s="28"/>
      <c r="R13" s="28"/>
    </row>
    <row r="14" spans="1:18">
      <c r="C14" s="40">
        <v>1200</v>
      </c>
      <c r="D14" s="40">
        <v>733</v>
      </c>
      <c r="E14" s="40">
        <v>263</v>
      </c>
      <c r="F14" s="41">
        <v>42</v>
      </c>
      <c r="G14" s="42">
        <v>22</v>
      </c>
      <c r="H14" s="43">
        <v>9</v>
      </c>
      <c r="I14" s="44">
        <v>0</v>
      </c>
      <c r="J14" s="45">
        <v>0.01</v>
      </c>
      <c r="K14" s="46">
        <v>0</v>
      </c>
      <c r="L14" s="47">
        <v>0.01</v>
      </c>
      <c r="M14" s="45">
        <v>0</v>
      </c>
      <c r="N14" s="45">
        <v>0.01</v>
      </c>
      <c r="O14" s="48" t="s">
        <v>100</v>
      </c>
      <c r="P14" s="49"/>
      <c r="Q14" s="49"/>
      <c r="R14" s="49"/>
    </row>
    <row r="15" spans="1:18">
      <c r="C15" s="50">
        <v>450</v>
      </c>
      <c r="D15" s="50">
        <v>450</v>
      </c>
      <c r="E15" s="50">
        <v>450</v>
      </c>
      <c r="F15" s="51">
        <v>18</v>
      </c>
      <c r="G15" s="52">
        <v>18</v>
      </c>
      <c r="H15" s="53">
        <v>18</v>
      </c>
      <c r="I15" s="54">
        <v>0.26582278481012644</v>
      </c>
      <c r="J15" s="55">
        <v>0.06</v>
      </c>
      <c r="K15" s="56">
        <v>0.26582278481012644</v>
      </c>
      <c r="L15" s="57">
        <v>0.06</v>
      </c>
      <c r="M15" s="55">
        <v>0.26582278481012644</v>
      </c>
      <c r="N15" s="55">
        <v>0.06</v>
      </c>
      <c r="O15" s="58" t="s">
        <v>101</v>
      </c>
      <c r="P15" s="59"/>
      <c r="Q15" s="59"/>
      <c r="R15" s="59"/>
    </row>
    <row r="16" spans="1:18">
      <c r="C16" s="60">
        <v>200</v>
      </c>
      <c r="D16" s="60">
        <v>200</v>
      </c>
      <c r="E16" s="60">
        <v>200</v>
      </c>
      <c r="F16" s="61">
        <v>20</v>
      </c>
      <c r="G16" s="62">
        <v>20</v>
      </c>
      <c r="H16" s="63">
        <v>20</v>
      </c>
      <c r="I16" s="64">
        <v>1.2999999999999999E-2</v>
      </c>
      <c r="J16" s="65">
        <v>3.5999999999999997E-2</v>
      </c>
      <c r="K16" s="66">
        <v>1.2999999999999999E-2</v>
      </c>
      <c r="L16" s="67">
        <v>3.5999999999999997E-2</v>
      </c>
      <c r="M16" s="65">
        <v>1.2999999999999999E-2</v>
      </c>
      <c r="N16" s="65">
        <v>3.5999999999999997E-2</v>
      </c>
      <c r="O16" s="68" t="s">
        <v>102</v>
      </c>
      <c r="P16" s="69"/>
      <c r="Q16" s="69"/>
      <c r="R16" s="69"/>
    </row>
    <row r="17" spans="1:26">
      <c r="C17" s="50">
        <v>175</v>
      </c>
      <c r="D17" s="50">
        <v>175</v>
      </c>
      <c r="E17" s="50">
        <v>175</v>
      </c>
      <c r="F17" s="51">
        <v>5</v>
      </c>
      <c r="G17" s="52">
        <v>5</v>
      </c>
      <c r="H17" s="53">
        <v>5</v>
      </c>
      <c r="I17" s="54">
        <v>1.4E-2</v>
      </c>
      <c r="J17" s="55">
        <v>0</v>
      </c>
      <c r="K17" s="56">
        <v>1.4E-2</v>
      </c>
      <c r="L17" s="57">
        <v>0</v>
      </c>
      <c r="M17" s="55">
        <v>1.4E-2</v>
      </c>
      <c r="N17" s="55">
        <v>0</v>
      </c>
      <c r="O17" s="58" t="s">
        <v>103</v>
      </c>
      <c r="P17" s="59"/>
      <c r="Q17" s="59"/>
      <c r="R17" s="59"/>
    </row>
    <row r="18" spans="1:26">
      <c r="C18" s="70">
        <v>1000</v>
      </c>
      <c r="D18" s="70">
        <v>720</v>
      </c>
      <c r="E18" s="70">
        <v>364</v>
      </c>
      <c r="F18" s="71">
        <v>50</v>
      </c>
      <c r="G18" s="72">
        <v>31</v>
      </c>
      <c r="H18" s="73">
        <v>18</v>
      </c>
      <c r="I18" s="74">
        <v>0.2389</v>
      </c>
      <c r="J18" s="75">
        <v>3.056E-2</v>
      </c>
      <c r="K18" s="76">
        <v>0.2389</v>
      </c>
      <c r="L18" s="77">
        <v>3.056E-2</v>
      </c>
      <c r="M18" s="75">
        <v>0.2389</v>
      </c>
      <c r="N18" s="75">
        <v>3.056E-2</v>
      </c>
      <c r="O18" s="78" t="s">
        <v>104</v>
      </c>
      <c r="P18" s="79"/>
      <c r="Q18" s="79"/>
      <c r="R18" s="79"/>
    </row>
    <row r="19" spans="1:26">
      <c r="C19" s="80">
        <v>1556</v>
      </c>
      <c r="D19" s="80">
        <v>1143</v>
      </c>
      <c r="E19" s="81">
        <v>673</v>
      </c>
      <c r="F19" s="82">
        <v>54</v>
      </c>
      <c r="G19" s="83">
        <v>40</v>
      </c>
      <c r="H19" s="84">
        <v>24</v>
      </c>
      <c r="I19" s="85">
        <v>3.5000000000000003E-2</v>
      </c>
      <c r="J19" s="86">
        <v>0.02</v>
      </c>
      <c r="K19" s="87">
        <v>3.5000000000000003E-2</v>
      </c>
      <c r="L19" s="88">
        <v>0.02</v>
      </c>
      <c r="M19" s="86">
        <v>3.5000000000000003E-2</v>
      </c>
      <c r="N19" s="86">
        <v>0.02</v>
      </c>
      <c r="O19" s="89" t="s">
        <v>105</v>
      </c>
      <c r="P19" s="90"/>
      <c r="Q19" s="90"/>
      <c r="R19" s="90"/>
    </row>
    <row r="20" spans="1:26">
      <c r="C20" s="91">
        <v>2332</v>
      </c>
      <c r="D20" s="91">
        <v>1511</v>
      </c>
      <c r="E20" s="91">
        <v>965</v>
      </c>
      <c r="F20" s="92">
        <v>163</v>
      </c>
      <c r="G20" s="93">
        <v>106</v>
      </c>
      <c r="H20" s="94">
        <v>68</v>
      </c>
      <c r="I20" s="95">
        <v>0.46326666666666666</v>
      </c>
      <c r="J20" s="96">
        <v>1.9188104089219331</v>
      </c>
      <c r="K20" s="97">
        <v>0.39244195142277988</v>
      </c>
      <c r="L20" s="98">
        <v>1.6009812088633062</v>
      </c>
      <c r="M20" s="96">
        <v>0.37890902062421039</v>
      </c>
      <c r="N20" s="96">
        <v>1.5694083453910281</v>
      </c>
      <c r="O20" s="99" t="s">
        <v>106</v>
      </c>
      <c r="P20" s="79"/>
      <c r="Q20" s="79"/>
      <c r="R20" s="79"/>
    </row>
    <row r="21" spans="1:26">
      <c r="C21" s="100">
        <v>769.8768197088466</v>
      </c>
      <c r="D21" s="100">
        <v>648.04446103438272</v>
      </c>
      <c r="E21" s="100">
        <v>518.29059243801294</v>
      </c>
      <c r="F21" s="101">
        <v>26.945688689809632</v>
      </c>
      <c r="G21" s="102">
        <v>22.681556136203398</v>
      </c>
      <c r="H21" s="103">
        <v>18.140170735330454</v>
      </c>
      <c r="I21" s="104">
        <v>2.7777777777777777</v>
      </c>
      <c r="J21" s="105">
        <v>2.2222222222222223</v>
      </c>
      <c r="K21" s="106">
        <v>1.6666666666666665</v>
      </c>
      <c r="L21" s="107">
        <v>1.3888888888888888</v>
      </c>
      <c r="M21" s="105">
        <v>1.1388888888888888</v>
      </c>
      <c r="N21" s="105">
        <v>0.3</v>
      </c>
      <c r="O21" s="108" t="s">
        <v>107</v>
      </c>
      <c r="P21" s="109"/>
      <c r="Q21" s="109"/>
      <c r="R21" s="109"/>
    </row>
    <row r="22" spans="1:26">
      <c r="C22" s="110">
        <v>1259.7984322508398</v>
      </c>
      <c r="D22" s="110">
        <v>894.30135622744808</v>
      </c>
      <c r="E22" s="110">
        <v>495</v>
      </c>
      <c r="F22" s="111">
        <v>44.092945128779398</v>
      </c>
      <c r="G22" s="112">
        <v>31.300547467960687</v>
      </c>
      <c r="H22" s="113">
        <v>17.325000000000003</v>
      </c>
      <c r="I22" s="114">
        <v>2</v>
      </c>
      <c r="J22" s="115">
        <v>0.3</v>
      </c>
      <c r="K22" s="116">
        <v>1.8055555555555556</v>
      </c>
      <c r="L22" s="117">
        <v>0.3</v>
      </c>
      <c r="M22" s="115">
        <v>1.5</v>
      </c>
      <c r="N22" s="115">
        <v>0.3</v>
      </c>
      <c r="O22" s="118" t="s">
        <v>108</v>
      </c>
      <c r="P22" s="119"/>
      <c r="Q22" s="119"/>
      <c r="R22" s="119"/>
    </row>
    <row r="23" spans="1:26">
      <c r="C23" s="120">
        <v>174</v>
      </c>
      <c r="D23" s="120">
        <v>174</v>
      </c>
      <c r="E23" s="120">
        <v>174</v>
      </c>
      <c r="F23" s="121">
        <v>3</v>
      </c>
      <c r="G23" s="122">
        <v>3</v>
      </c>
      <c r="H23" s="123">
        <v>3</v>
      </c>
      <c r="I23" s="124">
        <v>0</v>
      </c>
      <c r="J23" s="125">
        <v>0.20588235294117646</v>
      </c>
      <c r="K23" s="126">
        <v>0</v>
      </c>
      <c r="L23" s="127">
        <v>0.20588235294117646</v>
      </c>
      <c r="M23" s="125">
        <v>0</v>
      </c>
      <c r="N23" s="125">
        <v>0.20588235294117646</v>
      </c>
      <c r="O23" s="128" t="s">
        <v>109</v>
      </c>
      <c r="P23" s="109"/>
      <c r="Q23" s="109"/>
      <c r="R23" s="109"/>
    </row>
    <row r="26" spans="1:26" ht="17.25" thickBot="1">
      <c r="C26" s="129" t="s">
        <v>110</v>
      </c>
      <c r="T26" s="129" t="s">
        <v>0</v>
      </c>
    </row>
    <row r="27" spans="1:26" ht="14.65" thickTop="1">
      <c r="A27" s="130" t="s">
        <v>3</v>
      </c>
      <c r="B27" s="130" t="s">
        <v>2</v>
      </c>
      <c r="C27" s="130" t="str">
        <f>C2&amp;"~"&amp;C3</f>
        <v>invcost~2020</v>
      </c>
      <c r="D27" s="130" t="str">
        <f t="shared" ref="D27:N27" si="1">D2&amp;"~"&amp;D3</f>
        <v>invcost~2030</v>
      </c>
      <c r="E27" s="130" t="str">
        <f t="shared" si="1"/>
        <v>invcost~2050</v>
      </c>
      <c r="F27" s="130" t="str">
        <f t="shared" si="1"/>
        <v>fixom~2020</v>
      </c>
      <c r="G27" s="130" t="str">
        <f t="shared" si="1"/>
        <v>fixom~2030</v>
      </c>
      <c r="H27" s="130" t="str">
        <f t="shared" si="1"/>
        <v>fixom~2050</v>
      </c>
      <c r="I27" s="130" t="str">
        <f t="shared" si="1"/>
        <v>input~GASNGA~2015</v>
      </c>
      <c r="J27" s="130" t="s">
        <v>115</v>
      </c>
      <c r="K27" s="130" t="str">
        <f t="shared" si="1"/>
        <v>input~GASNGA~2030</v>
      </c>
      <c r="L27" s="130" t="str">
        <f t="shared" si="1"/>
        <v>efficiency~2030</v>
      </c>
      <c r="M27" s="130" t="str">
        <f t="shared" si="1"/>
        <v>input~GASNGA~2050</v>
      </c>
      <c r="N27" s="130" t="str">
        <f t="shared" si="1"/>
        <v>efficiency~2050</v>
      </c>
      <c r="O27" s="130" t="s">
        <v>1</v>
      </c>
      <c r="P27" s="130" t="s">
        <v>52</v>
      </c>
      <c r="Q27" s="130" t="s">
        <v>111</v>
      </c>
      <c r="T27" s="130" t="s">
        <v>6</v>
      </c>
      <c r="U27" s="130" t="s">
        <v>1</v>
      </c>
      <c r="V27" s="130" t="s">
        <v>7</v>
      </c>
      <c r="W27" s="130" t="s">
        <v>49</v>
      </c>
      <c r="X27" s="130" t="s">
        <v>48</v>
      </c>
      <c r="Y27" s="130" t="s">
        <v>11</v>
      </c>
      <c r="Z27" s="130" t="s">
        <v>63</v>
      </c>
    </row>
    <row r="28" spans="1:26">
      <c r="A28" t="s">
        <v>33</v>
      </c>
      <c r="B28" t="s">
        <v>15</v>
      </c>
      <c r="C28" s="131">
        <f>C8</f>
        <v>1609.9999999999998</v>
      </c>
      <c r="D28" s="131">
        <f>D8</f>
        <v>740</v>
      </c>
      <c r="E28" s="132">
        <v>450</v>
      </c>
      <c r="F28" s="131">
        <f>F8</f>
        <v>49.000000000000007</v>
      </c>
      <c r="G28" s="131">
        <f>G8</f>
        <v>15</v>
      </c>
      <c r="H28" s="131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113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20</v>
      </c>
      <c r="Y28" t="s">
        <v>14</v>
      </c>
      <c r="Z28" t="s">
        <v>112</v>
      </c>
    </row>
    <row r="29" spans="1:26">
      <c r="A29" t="s">
        <v>33</v>
      </c>
      <c r="B29" t="s">
        <v>15</v>
      </c>
      <c r="C29" s="131">
        <f>C10</f>
        <v>1265</v>
      </c>
      <c r="D29" s="131">
        <f>D10</f>
        <v>600</v>
      </c>
      <c r="E29" s="132">
        <v>350</v>
      </c>
      <c r="F29" s="131">
        <f>F10</f>
        <v>28</v>
      </c>
      <c r="G29" s="131">
        <f>G10</f>
        <v>14</v>
      </c>
      <c r="H29" s="131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114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20</v>
      </c>
      <c r="Y29" t="s">
        <v>14</v>
      </c>
      <c r="Z29" t="s">
        <v>112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71C6-6543-4ECE-AEEB-29E06071836A}">
  <dimension ref="B9:AP36"/>
  <sheetViews>
    <sheetView workbookViewId="0"/>
  </sheetViews>
  <sheetFormatPr defaultRowHeight="14.25"/>
  <sheetData>
    <row r="9" spans="2:42">
      <c r="B9" t="s">
        <v>138</v>
      </c>
      <c r="J9" t="s">
        <v>201</v>
      </c>
      <c r="O9" t="s">
        <v>138</v>
      </c>
      <c r="X9" t="s">
        <v>201</v>
      </c>
      <c r="AD9" t="s">
        <v>138</v>
      </c>
      <c r="AL9" t="s">
        <v>201</v>
      </c>
    </row>
    <row r="10" spans="2:42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202</v>
      </c>
      <c r="L10" t="s">
        <v>203</v>
      </c>
      <c r="M10" t="s">
        <v>204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231</v>
      </c>
      <c r="U10" t="s">
        <v>144</v>
      </c>
      <c r="V10" t="s">
        <v>145</v>
      </c>
      <c r="X10" t="s">
        <v>140</v>
      </c>
      <c r="Y10" t="s">
        <v>287</v>
      </c>
      <c r="Z10" t="s">
        <v>202</v>
      </c>
      <c r="AA10" t="s">
        <v>115</v>
      </c>
      <c r="AB10" t="s">
        <v>288</v>
      </c>
      <c r="AD10" t="s">
        <v>139</v>
      </c>
      <c r="AE10" t="s">
        <v>140</v>
      </c>
      <c r="AF10" t="s">
        <v>141</v>
      </c>
      <c r="AG10" t="s">
        <v>142</v>
      </c>
      <c r="AH10" t="s">
        <v>143</v>
      </c>
      <c r="AI10" t="s">
        <v>144</v>
      </c>
      <c r="AJ10" t="s">
        <v>145</v>
      </c>
      <c r="AL10" t="s">
        <v>140</v>
      </c>
      <c r="AM10" t="s">
        <v>287</v>
      </c>
      <c r="AN10" t="s">
        <v>202</v>
      </c>
      <c r="AO10" t="s">
        <v>115</v>
      </c>
      <c r="AP10" t="s">
        <v>288</v>
      </c>
    </row>
    <row r="11" spans="2:42">
      <c r="B11" t="s">
        <v>146</v>
      </c>
      <c r="C11" t="s">
        <v>147</v>
      </c>
      <c r="D11" t="s">
        <v>148</v>
      </c>
      <c r="E11" t="s">
        <v>10</v>
      </c>
      <c r="F11" t="s">
        <v>20</v>
      </c>
      <c r="G11" t="s">
        <v>149</v>
      </c>
      <c r="H11" t="s">
        <v>150</v>
      </c>
      <c r="J11" t="s">
        <v>147</v>
      </c>
      <c r="K11" t="s">
        <v>205</v>
      </c>
      <c r="L11">
        <v>9.1291447095102196</v>
      </c>
      <c r="M11">
        <v>0.18530062612454559</v>
      </c>
      <c r="O11" t="s">
        <v>232</v>
      </c>
      <c r="P11" t="s">
        <v>233</v>
      </c>
      <c r="Q11" t="s">
        <v>234</v>
      </c>
      <c r="R11" t="s">
        <v>10</v>
      </c>
      <c r="S11" t="s">
        <v>20</v>
      </c>
      <c r="T11" t="s">
        <v>235</v>
      </c>
      <c r="U11" t="s">
        <v>236</v>
      </c>
      <c r="V11" t="s">
        <v>150</v>
      </c>
      <c r="X11" t="s">
        <v>233</v>
      </c>
      <c r="Y11" t="s">
        <v>207</v>
      </c>
      <c r="Z11" t="s">
        <v>289</v>
      </c>
      <c r="AA11">
        <v>0.99740969578877137</v>
      </c>
      <c r="AB11">
        <v>22.232802456527729</v>
      </c>
      <c r="AD11" t="s">
        <v>232</v>
      </c>
      <c r="AE11" t="s">
        <v>304</v>
      </c>
      <c r="AF11" t="s">
        <v>305</v>
      </c>
      <c r="AG11" t="s">
        <v>10</v>
      </c>
      <c r="AH11" t="s">
        <v>20</v>
      </c>
      <c r="AI11" t="s">
        <v>236</v>
      </c>
      <c r="AJ11" t="s">
        <v>150</v>
      </c>
      <c r="AL11" t="s">
        <v>304</v>
      </c>
      <c r="AM11" t="s">
        <v>350</v>
      </c>
      <c r="AN11" t="s">
        <v>302</v>
      </c>
      <c r="AO11">
        <v>0.99533262102489828</v>
      </c>
      <c r="AP11">
        <v>55.643470245911224</v>
      </c>
    </row>
    <row r="12" spans="2:42">
      <c r="B12" t="s">
        <v>146</v>
      </c>
      <c r="C12" t="s">
        <v>151</v>
      </c>
      <c r="D12" t="s">
        <v>152</v>
      </c>
      <c r="E12" t="s">
        <v>10</v>
      </c>
      <c r="F12" t="s">
        <v>20</v>
      </c>
      <c r="G12" t="s">
        <v>149</v>
      </c>
      <c r="H12" t="s">
        <v>150</v>
      </c>
      <c r="J12" t="s">
        <v>151</v>
      </c>
      <c r="K12" t="s">
        <v>206</v>
      </c>
      <c r="L12">
        <v>25.984634067470726</v>
      </c>
      <c r="M12">
        <v>0.18103264179820946</v>
      </c>
      <c r="O12" t="s">
        <v>232</v>
      </c>
      <c r="P12" t="s">
        <v>237</v>
      </c>
      <c r="Q12" t="s">
        <v>238</v>
      </c>
      <c r="R12" t="s">
        <v>10</v>
      </c>
      <c r="S12" t="s">
        <v>20</v>
      </c>
      <c r="T12" t="s">
        <v>235</v>
      </c>
      <c r="U12" t="s">
        <v>236</v>
      </c>
      <c r="V12" t="s">
        <v>150</v>
      </c>
      <c r="X12" t="s">
        <v>237</v>
      </c>
      <c r="Y12" t="s">
        <v>208</v>
      </c>
      <c r="Z12" t="s">
        <v>290</v>
      </c>
      <c r="AA12">
        <v>0.99421942886742376</v>
      </c>
      <c r="AB12">
        <v>68.507017555362793</v>
      </c>
      <c r="AD12" t="s">
        <v>232</v>
      </c>
      <c r="AE12" t="s">
        <v>306</v>
      </c>
      <c r="AF12" t="s">
        <v>307</v>
      </c>
      <c r="AG12" t="s">
        <v>10</v>
      </c>
      <c r="AH12" t="s">
        <v>20</v>
      </c>
      <c r="AI12" t="s">
        <v>236</v>
      </c>
      <c r="AJ12" t="s">
        <v>150</v>
      </c>
      <c r="AL12" t="s">
        <v>306</v>
      </c>
      <c r="AM12" t="s">
        <v>351</v>
      </c>
      <c r="AN12" t="s">
        <v>295</v>
      </c>
      <c r="AO12">
        <v>0.98849164675315393</v>
      </c>
      <c r="AP12">
        <v>193.63783372428196</v>
      </c>
    </row>
    <row r="13" spans="2:42">
      <c r="B13" t="s">
        <v>146</v>
      </c>
      <c r="C13" t="s">
        <v>153</v>
      </c>
      <c r="D13" t="s">
        <v>154</v>
      </c>
      <c r="E13" t="s">
        <v>10</v>
      </c>
      <c r="F13" t="s">
        <v>20</v>
      </c>
      <c r="G13" t="s">
        <v>149</v>
      </c>
      <c r="H13" t="s">
        <v>150</v>
      </c>
      <c r="J13" t="s">
        <v>153</v>
      </c>
      <c r="K13" t="s">
        <v>207</v>
      </c>
      <c r="L13">
        <v>16.788263355676079</v>
      </c>
      <c r="M13">
        <v>0.17730641777041217</v>
      </c>
      <c r="O13" t="s">
        <v>232</v>
      </c>
      <c r="P13" t="s">
        <v>239</v>
      </c>
      <c r="Q13" t="s">
        <v>240</v>
      </c>
      <c r="R13" t="s">
        <v>10</v>
      </c>
      <c r="S13" t="s">
        <v>20</v>
      </c>
      <c r="T13" t="s">
        <v>235</v>
      </c>
      <c r="U13" t="s">
        <v>236</v>
      </c>
      <c r="V13" t="s">
        <v>150</v>
      </c>
      <c r="X13" t="s">
        <v>239</v>
      </c>
      <c r="Y13" t="s">
        <v>213</v>
      </c>
      <c r="Z13" t="s">
        <v>291</v>
      </c>
      <c r="AA13">
        <v>0.99558408503515095</v>
      </c>
      <c r="AB13">
        <v>32.408841762315092</v>
      </c>
      <c r="AD13" t="s">
        <v>232</v>
      </c>
      <c r="AE13" t="s">
        <v>308</v>
      </c>
      <c r="AF13" t="s">
        <v>309</v>
      </c>
      <c r="AG13" t="s">
        <v>10</v>
      </c>
      <c r="AH13" t="s">
        <v>20</v>
      </c>
      <c r="AI13" t="s">
        <v>236</v>
      </c>
      <c r="AJ13" t="s">
        <v>150</v>
      </c>
      <c r="AL13" t="s">
        <v>308</v>
      </c>
      <c r="AM13" t="s">
        <v>352</v>
      </c>
      <c r="AN13" t="s">
        <v>299</v>
      </c>
      <c r="AO13">
        <v>0.99645771184810483</v>
      </c>
      <c r="AP13">
        <v>32.882484422008979</v>
      </c>
    </row>
    <row r="14" spans="2:42">
      <c r="B14" t="s">
        <v>146</v>
      </c>
      <c r="C14" t="s">
        <v>155</v>
      </c>
      <c r="D14" t="s">
        <v>156</v>
      </c>
      <c r="E14" t="s">
        <v>10</v>
      </c>
      <c r="F14" t="s">
        <v>20</v>
      </c>
      <c r="G14" t="s">
        <v>149</v>
      </c>
      <c r="H14" t="s">
        <v>150</v>
      </c>
      <c r="J14" t="s">
        <v>155</v>
      </c>
      <c r="K14" t="s">
        <v>208</v>
      </c>
      <c r="L14">
        <v>23.246633933986693</v>
      </c>
      <c r="M14">
        <v>0.18851628445944069</v>
      </c>
      <c r="O14" t="s">
        <v>232</v>
      </c>
      <c r="P14" t="s">
        <v>241</v>
      </c>
      <c r="Q14" t="s">
        <v>242</v>
      </c>
      <c r="R14" t="s">
        <v>10</v>
      </c>
      <c r="S14" t="s">
        <v>20</v>
      </c>
      <c r="T14" t="s">
        <v>235</v>
      </c>
      <c r="U14" t="s">
        <v>236</v>
      </c>
      <c r="V14" t="s">
        <v>150</v>
      </c>
      <c r="X14" t="s">
        <v>241</v>
      </c>
      <c r="Y14" t="s">
        <v>222</v>
      </c>
      <c r="Z14" t="s">
        <v>292</v>
      </c>
      <c r="AA14">
        <v>0.99359385075910645</v>
      </c>
      <c r="AB14">
        <v>79.655777902014904</v>
      </c>
      <c r="AD14" t="s">
        <v>232</v>
      </c>
      <c r="AE14" t="s">
        <v>310</v>
      </c>
      <c r="AF14" t="s">
        <v>311</v>
      </c>
      <c r="AG14" t="s">
        <v>10</v>
      </c>
      <c r="AH14" t="s">
        <v>20</v>
      </c>
      <c r="AI14" t="s">
        <v>236</v>
      </c>
      <c r="AJ14" t="s">
        <v>150</v>
      </c>
      <c r="AL14" t="s">
        <v>310</v>
      </c>
      <c r="AM14" t="s">
        <v>353</v>
      </c>
      <c r="AN14" t="s">
        <v>290</v>
      </c>
      <c r="AO14">
        <v>0.99459971359982058</v>
      </c>
      <c r="AP14">
        <v>55.397912760263836</v>
      </c>
    </row>
    <row r="15" spans="2:42">
      <c r="B15" t="s">
        <v>146</v>
      </c>
      <c r="C15" t="s">
        <v>157</v>
      </c>
      <c r="D15" t="s">
        <v>158</v>
      </c>
      <c r="E15" t="s">
        <v>10</v>
      </c>
      <c r="F15" t="s">
        <v>20</v>
      </c>
      <c r="G15" t="s">
        <v>149</v>
      </c>
      <c r="H15" t="s">
        <v>150</v>
      </c>
      <c r="J15" t="s">
        <v>157</v>
      </c>
      <c r="K15" t="s">
        <v>209</v>
      </c>
      <c r="L15">
        <v>48.650806183878728</v>
      </c>
      <c r="M15">
        <v>0.13598767204790518</v>
      </c>
      <c r="O15" t="s">
        <v>232</v>
      </c>
      <c r="P15" t="s">
        <v>243</v>
      </c>
      <c r="Q15" t="s">
        <v>244</v>
      </c>
      <c r="R15" t="s">
        <v>10</v>
      </c>
      <c r="S15" t="s">
        <v>20</v>
      </c>
      <c r="T15" t="s">
        <v>235</v>
      </c>
      <c r="U15" t="s">
        <v>236</v>
      </c>
      <c r="V15" t="s">
        <v>150</v>
      </c>
      <c r="X15" t="s">
        <v>243</v>
      </c>
      <c r="Y15" t="s">
        <v>227</v>
      </c>
      <c r="Z15" t="s">
        <v>293</v>
      </c>
      <c r="AA15">
        <v>0.99725396946371203</v>
      </c>
      <c r="AB15">
        <v>39.444454813786322</v>
      </c>
      <c r="AD15" t="s">
        <v>232</v>
      </c>
      <c r="AE15" t="s">
        <v>312</v>
      </c>
      <c r="AF15" t="s">
        <v>313</v>
      </c>
      <c r="AG15" t="s">
        <v>10</v>
      </c>
      <c r="AH15" t="s">
        <v>20</v>
      </c>
      <c r="AI15" t="s">
        <v>236</v>
      </c>
      <c r="AJ15" t="s">
        <v>150</v>
      </c>
      <c r="AL15" t="s">
        <v>312</v>
      </c>
      <c r="AM15" t="s">
        <v>354</v>
      </c>
      <c r="AN15" t="s">
        <v>297</v>
      </c>
      <c r="AO15">
        <v>0.99661559581486781</v>
      </c>
      <c r="AP15">
        <v>30.379612756542521</v>
      </c>
    </row>
    <row r="16" spans="2:42">
      <c r="B16" t="s">
        <v>146</v>
      </c>
      <c r="C16" t="s">
        <v>159</v>
      </c>
      <c r="D16" t="s">
        <v>160</v>
      </c>
      <c r="E16" t="s">
        <v>10</v>
      </c>
      <c r="F16" t="s">
        <v>20</v>
      </c>
      <c r="G16" t="s">
        <v>149</v>
      </c>
      <c r="H16" t="s">
        <v>150</v>
      </c>
      <c r="J16" t="s">
        <v>159</v>
      </c>
      <c r="K16" t="s">
        <v>210</v>
      </c>
      <c r="L16">
        <v>24.959305218513371</v>
      </c>
      <c r="M16">
        <v>0.17796955186068333</v>
      </c>
      <c r="O16" t="s">
        <v>232</v>
      </c>
      <c r="P16" t="s">
        <v>245</v>
      </c>
      <c r="Q16" t="s">
        <v>246</v>
      </c>
      <c r="R16" t="s">
        <v>10</v>
      </c>
      <c r="S16" t="s">
        <v>20</v>
      </c>
      <c r="T16" t="s">
        <v>235</v>
      </c>
      <c r="U16" t="s">
        <v>236</v>
      </c>
      <c r="V16" t="s">
        <v>150</v>
      </c>
      <c r="X16" t="s">
        <v>245</v>
      </c>
      <c r="Y16" t="s">
        <v>229</v>
      </c>
      <c r="Z16" t="s">
        <v>294</v>
      </c>
      <c r="AA16">
        <v>0.99442651185824926</v>
      </c>
      <c r="AB16">
        <v>46.840522221104273</v>
      </c>
      <c r="AD16" t="s">
        <v>232</v>
      </c>
      <c r="AE16" t="s">
        <v>314</v>
      </c>
      <c r="AF16" t="s">
        <v>315</v>
      </c>
      <c r="AG16" t="s">
        <v>10</v>
      </c>
      <c r="AH16" t="s">
        <v>20</v>
      </c>
      <c r="AI16" t="s">
        <v>236</v>
      </c>
      <c r="AJ16" t="s">
        <v>150</v>
      </c>
      <c r="AL16" t="s">
        <v>314</v>
      </c>
      <c r="AM16" t="s">
        <v>355</v>
      </c>
      <c r="AN16" t="s">
        <v>292</v>
      </c>
      <c r="AO16">
        <v>0.98959180427949245</v>
      </c>
      <c r="AP16">
        <v>171.20639084469656</v>
      </c>
    </row>
    <row r="17" spans="2:42">
      <c r="B17" t="s">
        <v>146</v>
      </c>
      <c r="C17" t="s">
        <v>161</v>
      </c>
      <c r="D17" t="s">
        <v>162</v>
      </c>
      <c r="E17" t="s">
        <v>10</v>
      </c>
      <c r="F17" t="s">
        <v>20</v>
      </c>
      <c r="G17" t="s">
        <v>149</v>
      </c>
      <c r="H17" t="s">
        <v>150</v>
      </c>
      <c r="J17" t="s">
        <v>161</v>
      </c>
      <c r="K17" t="s">
        <v>211</v>
      </c>
      <c r="L17">
        <v>15.193801138689729</v>
      </c>
      <c r="M17">
        <v>0.12670489451613462</v>
      </c>
      <c r="O17" t="s">
        <v>232</v>
      </c>
      <c r="P17" t="s">
        <v>247</v>
      </c>
      <c r="Q17" t="s">
        <v>248</v>
      </c>
      <c r="R17" t="s">
        <v>10</v>
      </c>
      <c r="S17" t="s">
        <v>20</v>
      </c>
      <c r="T17" t="s">
        <v>235</v>
      </c>
      <c r="U17" t="s">
        <v>236</v>
      </c>
      <c r="V17" t="s">
        <v>150</v>
      </c>
      <c r="X17" t="s">
        <v>247</v>
      </c>
      <c r="Y17" t="s">
        <v>219</v>
      </c>
      <c r="Z17" t="s">
        <v>295</v>
      </c>
      <c r="AA17">
        <v>0.98818259224771055</v>
      </c>
      <c r="AB17">
        <v>163.27988843511031</v>
      </c>
      <c r="AD17" t="s">
        <v>232</v>
      </c>
      <c r="AE17" t="s">
        <v>316</v>
      </c>
      <c r="AF17" t="s">
        <v>317</v>
      </c>
      <c r="AG17" t="s">
        <v>10</v>
      </c>
      <c r="AH17" t="s">
        <v>20</v>
      </c>
      <c r="AI17" t="s">
        <v>236</v>
      </c>
      <c r="AJ17" t="s">
        <v>150</v>
      </c>
      <c r="AL17" t="s">
        <v>316</v>
      </c>
      <c r="AM17" t="s">
        <v>356</v>
      </c>
      <c r="AN17" t="s">
        <v>301</v>
      </c>
      <c r="AO17">
        <v>0.99586307656879591</v>
      </c>
      <c r="AP17">
        <v>32.989733772109844</v>
      </c>
    </row>
    <row r="18" spans="2:42">
      <c r="B18" t="s">
        <v>146</v>
      </c>
      <c r="C18" t="s">
        <v>163</v>
      </c>
      <c r="D18" t="s">
        <v>164</v>
      </c>
      <c r="E18" t="s">
        <v>10</v>
      </c>
      <c r="F18" t="s">
        <v>20</v>
      </c>
      <c r="G18" t="s">
        <v>149</v>
      </c>
      <c r="H18" t="s">
        <v>150</v>
      </c>
      <c r="J18" t="s">
        <v>163</v>
      </c>
      <c r="K18" t="s">
        <v>212</v>
      </c>
      <c r="L18">
        <v>18.28771371803418</v>
      </c>
      <c r="M18">
        <v>0.17819451948599879</v>
      </c>
      <c r="O18" t="s">
        <v>232</v>
      </c>
      <c r="P18" t="s">
        <v>249</v>
      </c>
      <c r="Q18" t="s">
        <v>250</v>
      </c>
      <c r="R18" t="s">
        <v>10</v>
      </c>
      <c r="S18" t="s">
        <v>20</v>
      </c>
      <c r="T18" t="s">
        <v>235</v>
      </c>
      <c r="U18" t="s">
        <v>236</v>
      </c>
      <c r="V18" t="s">
        <v>150</v>
      </c>
      <c r="X18" t="s">
        <v>249</v>
      </c>
      <c r="Y18" t="s">
        <v>217</v>
      </c>
      <c r="Z18" t="s">
        <v>295</v>
      </c>
      <c r="AA18">
        <v>0.99495486998555394</v>
      </c>
      <c r="AB18">
        <v>55.790178312258959</v>
      </c>
      <c r="AD18" t="s">
        <v>232</v>
      </c>
      <c r="AE18" t="s">
        <v>318</v>
      </c>
      <c r="AF18" t="s">
        <v>319</v>
      </c>
      <c r="AG18" t="s">
        <v>10</v>
      </c>
      <c r="AH18" t="s">
        <v>20</v>
      </c>
      <c r="AI18" t="s">
        <v>236</v>
      </c>
      <c r="AJ18" t="s">
        <v>150</v>
      </c>
      <c r="AL18" t="s">
        <v>318</v>
      </c>
      <c r="AM18" t="s">
        <v>357</v>
      </c>
      <c r="AN18" t="s">
        <v>292</v>
      </c>
      <c r="AO18">
        <v>0.99238765464473333</v>
      </c>
      <c r="AP18">
        <v>99.827429558911234</v>
      </c>
    </row>
    <row r="19" spans="2:42">
      <c r="B19" t="s">
        <v>146</v>
      </c>
      <c r="C19" t="s">
        <v>165</v>
      </c>
      <c r="D19" t="s">
        <v>166</v>
      </c>
      <c r="E19" t="s">
        <v>10</v>
      </c>
      <c r="F19" t="s">
        <v>20</v>
      </c>
      <c r="G19" t="s">
        <v>149</v>
      </c>
      <c r="H19" t="s">
        <v>150</v>
      </c>
      <c r="J19" t="s">
        <v>165</v>
      </c>
      <c r="K19" t="s">
        <v>213</v>
      </c>
      <c r="L19">
        <v>20.578812251790076</v>
      </c>
      <c r="M19">
        <v>0.15117847527931394</v>
      </c>
      <c r="O19" t="s">
        <v>232</v>
      </c>
      <c r="P19" t="s">
        <v>251</v>
      </c>
      <c r="Q19" t="s">
        <v>252</v>
      </c>
      <c r="R19" t="s">
        <v>10</v>
      </c>
      <c r="S19" t="s">
        <v>20</v>
      </c>
      <c r="T19" t="s">
        <v>235</v>
      </c>
      <c r="U19" t="s">
        <v>236</v>
      </c>
      <c r="V19" t="s">
        <v>150</v>
      </c>
      <c r="X19" t="s">
        <v>251</v>
      </c>
      <c r="Y19" t="s">
        <v>212</v>
      </c>
      <c r="Z19" t="s">
        <v>296</v>
      </c>
      <c r="AA19">
        <v>0.99714948449220475</v>
      </c>
      <c r="AB19">
        <v>19.270241185740602</v>
      </c>
      <c r="AD19" t="s">
        <v>232</v>
      </c>
      <c r="AE19" t="s">
        <v>320</v>
      </c>
      <c r="AF19" t="s">
        <v>321</v>
      </c>
      <c r="AG19" t="s">
        <v>10</v>
      </c>
      <c r="AH19" t="s">
        <v>20</v>
      </c>
      <c r="AI19" t="s">
        <v>236</v>
      </c>
      <c r="AJ19" t="s">
        <v>150</v>
      </c>
      <c r="AL19" t="s">
        <v>320</v>
      </c>
      <c r="AM19" t="s">
        <v>358</v>
      </c>
      <c r="AN19" t="s">
        <v>295</v>
      </c>
      <c r="AO19">
        <v>0.98599669066064011</v>
      </c>
      <c r="AP19">
        <v>179.1356014534291</v>
      </c>
    </row>
    <row r="20" spans="2:42">
      <c r="B20" t="s">
        <v>146</v>
      </c>
      <c r="C20" t="s">
        <v>167</v>
      </c>
      <c r="D20" t="s">
        <v>168</v>
      </c>
      <c r="E20" t="s">
        <v>10</v>
      </c>
      <c r="F20" t="s">
        <v>20</v>
      </c>
      <c r="G20" t="s">
        <v>149</v>
      </c>
      <c r="H20" t="s">
        <v>150</v>
      </c>
      <c r="J20" t="s">
        <v>167</v>
      </c>
      <c r="K20" t="s">
        <v>214</v>
      </c>
      <c r="L20">
        <v>8.7085077686862817</v>
      </c>
      <c r="M20">
        <v>0.18855572736262247</v>
      </c>
      <c r="O20" t="s">
        <v>232</v>
      </c>
      <c r="P20" t="s">
        <v>253</v>
      </c>
      <c r="Q20" t="s">
        <v>254</v>
      </c>
      <c r="R20" t="s">
        <v>10</v>
      </c>
      <c r="S20" t="s">
        <v>20</v>
      </c>
      <c r="T20" t="s">
        <v>235</v>
      </c>
      <c r="U20" t="s">
        <v>236</v>
      </c>
      <c r="V20" t="s">
        <v>150</v>
      </c>
      <c r="X20" t="s">
        <v>253</v>
      </c>
      <c r="Y20" t="s">
        <v>215</v>
      </c>
      <c r="Z20" t="s">
        <v>297</v>
      </c>
      <c r="AA20">
        <v>0.99730727100006022</v>
      </c>
      <c r="AB20">
        <v>30.379612756542521</v>
      </c>
      <c r="AD20" t="s">
        <v>232</v>
      </c>
      <c r="AE20" t="s">
        <v>322</v>
      </c>
      <c r="AF20" t="s">
        <v>323</v>
      </c>
      <c r="AG20" t="s">
        <v>10</v>
      </c>
      <c r="AH20" t="s">
        <v>20</v>
      </c>
      <c r="AI20" t="s">
        <v>236</v>
      </c>
      <c r="AJ20" t="s">
        <v>150</v>
      </c>
      <c r="AL20" t="s">
        <v>322</v>
      </c>
      <c r="AM20" t="s">
        <v>359</v>
      </c>
      <c r="AN20" t="s">
        <v>295</v>
      </c>
      <c r="AO20">
        <v>0.98116028570890745</v>
      </c>
      <c r="AP20">
        <v>236.7122916988269</v>
      </c>
    </row>
    <row r="21" spans="2:42">
      <c r="B21" t="s">
        <v>146</v>
      </c>
      <c r="C21" t="s">
        <v>169</v>
      </c>
      <c r="D21" t="s">
        <v>170</v>
      </c>
      <c r="E21" t="s">
        <v>10</v>
      </c>
      <c r="F21" t="s">
        <v>20</v>
      </c>
      <c r="G21" t="s">
        <v>149</v>
      </c>
      <c r="H21" t="s">
        <v>150</v>
      </c>
      <c r="J21" t="s">
        <v>169</v>
      </c>
      <c r="K21" t="s">
        <v>215</v>
      </c>
      <c r="L21">
        <v>13.890954959139121</v>
      </c>
      <c r="M21">
        <v>0.13081794104385644</v>
      </c>
      <c r="O21" t="s">
        <v>232</v>
      </c>
      <c r="P21" t="s">
        <v>255</v>
      </c>
      <c r="Q21" t="s">
        <v>256</v>
      </c>
      <c r="R21" t="s">
        <v>10</v>
      </c>
      <c r="S21" t="s">
        <v>20</v>
      </c>
      <c r="T21" t="s">
        <v>235</v>
      </c>
      <c r="U21" t="s">
        <v>236</v>
      </c>
      <c r="V21" t="s">
        <v>150</v>
      </c>
      <c r="X21" t="s">
        <v>255</v>
      </c>
      <c r="Y21" t="s">
        <v>228</v>
      </c>
      <c r="Z21" t="s">
        <v>298</v>
      </c>
      <c r="AA21">
        <v>0.99686420457588842</v>
      </c>
      <c r="AB21">
        <v>36.221844288496001</v>
      </c>
      <c r="AD21" t="s">
        <v>232</v>
      </c>
      <c r="AE21" t="s">
        <v>324</v>
      </c>
      <c r="AF21" t="s">
        <v>325</v>
      </c>
      <c r="AG21" t="s">
        <v>10</v>
      </c>
      <c r="AH21" t="s">
        <v>20</v>
      </c>
      <c r="AI21" t="s">
        <v>236</v>
      </c>
      <c r="AJ21" t="s">
        <v>150</v>
      </c>
      <c r="AL21" t="s">
        <v>324</v>
      </c>
      <c r="AM21" t="s">
        <v>360</v>
      </c>
      <c r="AN21" t="s">
        <v>294</v>
      </c>
      <c r="AO21">
        <v>0.99597513010967187</v>
      </c>
      <c r="AP21">
        <v>19.835166435097744</v>
      </c>
    </row>
    <row r="22" spans="2:42">
      <c r="B22" t="s">
        <v>146</v>
      </c>
      <c r="C22" t="s">
        <v>171</v>
      </c>
      <c r="D22" t="s">
        <v>172</v>
      </c>
      <c r="E22" t="s">
        <v>10</v>
      </c>
      <c r="F22" t="s">
        <v>20</v>
      </c>
      <c r="G22" t="s">
        <v>149</v>
      </c>
      <c r="H22" t="s">
        <v>150</v>
      </c>
      <c r="J22" t="s">
        <v>171</v>
      </c>
      <c r="K22" t="s">
        <v>216</v>
      </c>
      <c r="L22">
        <v>11.176114929710323</v>
      </c>
      <c r="M22">
        <v>0.18954867013696169</v>
      </c>
      <c r="O22" t="s">
        <v>232</v>
      </c>
      <c r="P22" t="s">
        <v>257</v>
      </c>
      <c r="Q22" t="s">
        <v>258</v>
      </c>
      <c r="R22" t="s">
        <v>10</v>
      </c>
      <c r="S22" t="s">
        <v>20</v>
      </c>
      <c r="T22" t="s">
        <v>235</v>
      </c>
      <c r="U22" t="s">
        <v>236</v>
      </c>
      <c r="V22" t="s">
        <v>150</v>
      </c>
      <c r="X22" t="s">
        <v>257</v>
      </c>
      <c r="Y22" t="s">
        <v>223</v>
      </c>
      <c r="Z22" t="s">
        <v>292</v>
      </c>
      <c r="AA22">
        <v>0.98707940759302537</v>
      </c>
      <c r="AB22">
        <v>209.47770881406512</v>
      </c>
      <c r="AD22" t="s">
        <v>232</v>
      </c>
      <c r="AE22" t="s">
        <v>326</v>
      </c>
      <c r="AF22" t="s">
        <v>327</v>
      </c>
      <c r="AG22" t="s">
        <v>10</v>
      </c>
      <c r="AH22" t="s">
        <v>20</v>
      </c>
      <c r="AI22" t="s">
        <v>236</v>
      </c>
      <c r="AJ22" t="s">
        <v>150</v>
      </c>
      <c r="AL22" t="s">
        <v>326</v>
      </c>
      <c r="AM22" t="s">
        <v>361</v>
      </c>
      <c r="AN22" t="s">
        <v>291</v>
      </c>
      <c r="AO22">
        <v>0.99107804030291347</v>
      </c>
      <c r="AP22">
        <v>97.57057765989417</v>
      </c>
    </row>
    <row r="23" spans="2:42">
      <c r="B23" t="s">
        <v>146</v>
      </c>
      <c r="C23" t="s">
        <v>173</v>
      </c>
      <c r="D23" t="s">
        <v>174</v>
      </c>
      <c r="E23" t="s">
        <v>10</v>
      </c>
      <c r="F23" t="s">
        <v>20</v>
      </c>
      <c r="G23" t="s">
        <v>149</v>
      </c>
      <c r="H23" t="s">
        <v>150</v>
      </c>
      <c r="J23" t="s">
        <v>173</v>
      </c>
      <c r="K23" t="s">
        <v>217</v>
      </c>
      <c r="L23">
        <v>28.923919405147089</v>
      </c>
      <c r="M23">
        <v>0.12542623626500973</v>
      </c>
      <c r="O23" t="s">
        <v>232</v>
      </c>
      <c r="P23" t="s">
        <v>259</v>
      </c>
      <c r="Q23" t="s">
        <v>260</v>
      </c>
      <c r="R23" t="s">
        <v>10</v>
      </c>
      <c r="S23" t="s">
        <v>20</v>
      </c>
      <c r="T23" t="s">
        <v>235</v>
      </c>
      <c r="U23" t="s">
        <v>236</v>
      </c>
      <c r="V23" t="s">
        <v>150</v>
      </c>
      <c r="X23" t="s">
        <v>259</v>
      </c>
      <c r="Y23" t="s">
        <v>224</v>
      </c>
      <c r="Z23" t="s">
        <v>292</v>
      </c>
      <c r="AA23">
        <v>0.9874890856882762</v>
      </c>
      <c r="AB23">
        <v>167.01041102415843</v>
      </c>
      <c r="AD23" t="s">
        <v>232</v>
      </c>
      <c r="AE23" t="s">
        <v>328</v>
      </c>
      <c r="AF23" t="s">
        <v>329</v>
      </c>
      <c r="AG23" t="s">
        <v>10</v>
      </c>
      <c r="AH23" t="s">
        <v>20</v>
      </c>
      <c r="AI23" t="s">
        <v>236</v>
      </c>
      <c r="AJ23" t="s">
        <v>150</v>
      </c>
      <c r="AL23" t="s">
        <v>328</v>
      </c>
      <c r="AM23" t="s">
        <v>362</v>
      </c>
      <c r="AN23" t="s">
        <v>295</v>
      </c>
      <c r="AO23">
        <v>0.98000283232188701</v>
      </c>
      <c r="AP23">
        <v>236.4899183136541</v>
      </c>
    </row>
    <row r="24" spans="2:42">
      <c r="B24" t="s">
        <v>146</v>
      </c>
      <c r="C24" t="s">
        <v>175</v>
      </c>
      <c r="D24" t="s">
        <v>176</v>
      </c>
      <c r="E24" t="s">
        <v>10</v>
      </c>
      <c r="F24" t="s">
        <v>20</v>
      </c>
      <c r="G24" t="s">
        <v>149</v>
      </c>
      <c r="H24" t="s">
        <v>150</v>
      </c>
      <c r="J24" t="s">
        <v>175</v>
      </c>
      <c r="K24" t="s">
        <v>218</v>
      </c>
      <c r="L24">
        <v>64.508616882835923</v>
      </c>
      <c r="M24">
        <v>0.1235677330205439</v>
      </c>
      <c r="O24" t="s">
        <v>232</v>
      </c>
      <c r="P24" t="s">
        <v>261</v>
      </c>
      <c r="Q24" t="s">
        <v>262</v>
      </c>
      <c r="R24" t="s">
        <v>10</v>
      </c>
      <c r="S24" t="s">
        <v>20</v>
      </c>
      <c r="T24" t="s">
        <v>235</v>
      </c>
      <c r="U24" t="s">
        <v>236</v>
      </c>
      <c r="V24" t="s">
        <v>150</v>
      </c>
      <c r="X24" t="s">
        <v>261</v>
      </c>
      <c r="Y24" t="s">
        <v>211</v>
      </c>
      <c r="Z24" t="s">
        <v>296</v>
      </c>
      <c r="AA24">
        <v>0.99463308182243737</v>
      </c>
      <c r="AB24">
        <v>45.592831205113754</v>
      </c>
      <c r="AD24" t="s">
        <v>232</v>
      </c>
      <c r="AE24" t="s">
        <v>330</v>
      </c>
      <c r="AF24" t="s">
        <v>331</v>
      </c>
      <c r="AG24" t="s">
        <v>10</v>
      </c>
      <c r="AH24" t="s">
        <v>20</v>
      </c>
      <c r="AI24" t="s">
        <v>236</v>
      </c>
      <c r="AJ24" t="s">
        <v>150</v>
      </c>
      <c r="AL24" t="s">
        <v>330</v>
      </c>
      <c r="AM24" t="s">
        <v>363</v>
      </c>
      <c r="AN24" t="s">
        <v>301</v>
      </c>
      <c r="AO24">
        <v>0.99099089541293395</v>
      </c>
      <c r="AP24">
        <v>57.597216108722129</v>
      </c>
    </row>
    <row r="25" spans="2:42">
      <c r="B25" t="s">
        <v>146</v>
      </c>
      <c r="C25" t="s">
        <v>177</v>
      </c>
      <c r="D25" t="s">
        <v>178</v>
      </c>
      <c r="E25" t="s">
        <v>10</v>
      </c>
      <c r="F25" t="s">
        <v>20</v>
      </c>
      <c r="G25" t="s">
        <v>149</v>
      </c>
      <c r="H25" t="s">
        <v>150</v>
      </c>
      <c r="J25" t="s">
        <v>177</v>
      </c>
      <c r="K25" t="s">
        <v>219</v>
      </c>
      <c r="L25">
        <v>47.958572095951183</v>
      </c>
      <c r="M25">
        <v>0.17947500988950371</v>
      </c>
      <c r="O25" t="s">
        <v>232</v>
      </c>
      <c r="P25" t="s">
        <v>263</v>
      </c>
      <c r="Q25" t="s">
        <v>264</v>
      </c>
      <c r="R25" t="s">
        <v>10</v>
      </c>
      <c r="S25" t="s">
        <v>20</v>
      </c>
      <c r="T25" t="s">
        <v>235</v>
      </c>
      <c r="U25" t="s">
        <v>236</v>
      </c>
      <c r="V25" t="s">
        <v>150</v>
      </c>
      <c r="X25" t="s">
        <v>263</v>
      </c>
      <c r="Y25" t="s">
        <v>220</v>
      </c>
      <c r="Z25" t="s">
        <v>295</v>
      </c>
      <c r="AA25">
        <v>0.97981003879732587</v>
      </c>
      <c r="AB25">
        <v>250.06771666808109</v>
      </c>
      <c r="AD25" t="s">
        <v>232</v>
      </c>
      <c r="AE25" t="s">
        <v>332</v>
      </c>
      <c r="AF25" t="s">
        <v>333</v>
      </c>
      <c r="AG25" t="s">
        <v>10</v>
      </c>
      <c r="AH25" t="s">
        <v>20</v>
      </c>
      <c r="AI25" t="s">
        <v>236</v>
      </c>
      <c r="AJ25" t="s">
        <v>150</v>
      </c>
      <c r="AL25" t="s">
        <v>332</v>
      </c>
      <c r="AM25" t="s">
        <v>364</v>
      </c>
      <c r="AN25" t="s">
        <v>295</v>
      </c>
      <c r="AO25">
        <v>0.9885344001200852</v>
      </c>
      <c r="AP25">
        <v>89.909676092483778</v>
      </c>
    </row>
    <row r="26" spans="2:42">
      <c r="B26" t="s">
        <v>146</v>
      </c>
      <c r="C26" t="s">
        <v>179</v>
      </c>
      <c r="D26" t="s">
        <v>180</v>
      </c>
      <c r="E26" t="s">
        <v>10</v>
      </c>
      <c r="F26" t="s">
        <v>20</v>
      </c>
      <c r="G26" t="s">
        <v>149</v>
      </c>
      <c r="H26" t="s">
        <v>150</v>
      </c>
      <c r="J26" t="s">
        <v>179</v>
      </c>
      <c r="K26" t="s">
        <v>220</v>
      </c>
      <c r="L26">
        <v>27.973178380089422</v>
      </c>
      <c r="M26">
        <v>0.1675365334616111</v>
      </c>
      <c r="O26" t="s">
        <v>232</v>
      </c>
      <c r="P26" t="s">
        <v>265</v>
      </c>
      <c r="Q26" t="s">
        <v>266</v>
      </c>
      <c r="R26" t="s">
        <v>10</v>
      </c>
      <c r="S26" t="s">
        <v>20</v>
      </c>
      <c r="T26" t="s">
        <v>235</v>
      </c>
      <c r="U26" t="s">
        <v>236</v>
      </c>
      <c r="V26" t="s">
        <v>150</v>
      </c>
      <c r="X26" t="s">
        <v>265</v>
      </c>
      <c r="Y26" t="s">
        <v>230</v>
      </c>
      <c r="Z26" t="s">
        <v>294</v>
      </c>
      <c r="AA26">
        <v>0.99651747016421222</v>
      </c>
      <c r="AB26">
        <v>24.589897856155424</v>
      </c>
      <c r="AD26" t="s">
        <v>232</v>
      </c>
      <c r="AE26" t="s">
        <v>334</v>
      </c>
      <c r="AF26" t="s">
        <v>335</v>
      </c>
      <c r="AG26" t="s">
        <v>10</v>
      </c>
      <c r="AH26" t="s">
        <v>20</v>
      </c>
      <c r="AI26" t="s">
        <v>236</v>
      </c>
      <c r="AJ26" t="s">
        <v>150</v>
      </c>
      <c r="AL26" t="s">
        <v>334</v>
      </c>
      <c r="AM26" t="s">
        <v>365</v>
      </c>
      <c r="AN26" t="s">
        <v>296</v>
      </c>
      <c r="AO26">
        <v>0.9950545353200021</v>
      </c>
      <c r="AP26">
        <v>47.806816980272153</v>
      </c>
    </row>
    <row r="27" spans="2:42">
      <c r="B27" t="s">
        <v>146</v>
      </c>
      <c r="C27" t="s">
        <v>181</v>
      </c>
      <c r="D27" t="s">
        <v>182</v>
      </c>
      <c r="E27" t="s">
        <v>10</v>
      </c>
      <c r="F27" t="s">
        <v>20</v>
      </c>
      <c r="G27" t="s">
        <v>149</v>
      </c>
      <c r="H27" t="s">
        <v>150</v>
      </c>
      <c r="J27" t="s">
        <v>181</v>
      </c>
      <c r="K27" t="s">
        <v>221</v>
      </c>
      <c r="L27">
        <v>68.241825585370137</v>
      </c>
      <c r="M27">
        <v>0.12141384568780039</v>
      </c>
      <c r="O27" t="s">
        <v>232</v>
      </c>
      <c r="P27" t="s">
        <v>267</v>
      </c>
      <c r="Q27" t="s">
        <v>268</v>
      </c>
      <c r="R27" t="s">
        <v>10</v>
      </c>
      <c r="S27" t="s">
        <v>20</v>
      </c>
      <c r="T27" t="s">
        <v>235</v>
      </c>
      <c r="U27" t="s">
        <v>236</v>
      </c>
      <c r="V27" t="s">
        <v>150</v>
      </c>
      <c r="X27" t="s">
        <v>267</v>
      </c>
      <c r="Y27" t="s">
        <v>216</v>
      </c>
      <c r="Z27" t="s">
        <v>299</v>
      </c>
      <c r="AA27">
        <v>0.99680934868439053</v>
      </c>
      <c r="AB27">
        <v>32.882484422008979</v>
      </c>
      <c r="AD27" t="s">
        <v>232</v>
      </c>
      <c r="AE27" t="s">
        <v>336</v>
      </c>
      <c r="AF27" t="s">
        <v>337</v>
      </c>
      <c r="AG27" t="s">
        <v>10</v>
      </c>
      <c r="AH27" t="s">
        <v>20</v>
      </c>
      <c r="AI27" t="s">
        <v>236</v>
      </c>
      <c r="AJ27" t="s">
        <v>150</v>
      </c>
      <c r="AL27" t="s">
        <v>336</v>
      </c>
      <c r="AM27" t="s">
        <v>366</v>
      </c>
      <c r="AN27" t="s">
        <v>292</v>
      </c>
      <c r="AO27">
        <v>0.99507839343447024</v>
      </c>
      <c r="AP27">
        <v>39.734195094094147</v>
      </c>
    </row>
    <row r="28" spans="2:42">
      <c r="B28" t="s">
        <v>146</v>
      </c>
      <c r="C28" t="s">
        <v>183</v>
      </c>
      <c r="D28" t="s">
        <v>184</v>
      </c>
      <c r="E28" t="s">
        <v>10</v>
      </c>
      <c r="F28" t="s">
        <v>20</v>
      </c>
      <c r="G28" t="s">
        <v>149</v>
      </c>
      <c r="H28" t="s">
        <v>150</v>
      </c>
      <c r="J28" t="s">
        <v>183</v>
      </c>
      <c r="K28" t="s">
        <v>222</v>
      </c>
      <c r="L28">
        <v>58.886454232250259</v>
      </c>
      <c r="M28">
        <v>0.12966635636224122</v>
      </c>
      <c r="O28" t="s">
        <v>232</v>
      </c>
      <c r="P28" t="s">
        <v>269</v>
      </c>
      <c r="Q28" t="s">
        <v>270</v>
      </c>
      <c r="R28" t="s">
        <v>10</v>
      </c>
      <c r="S28" t="s">
        <v>20</v>
      </c>
      <c r="T28" t="s">
        <v>235</v>
      </c>
      <c r="U28" t="s">
        <v>236</v>
      </c>
      <c r="V28" t="s">
        <v>150</v>
      </c>
      <c r="X28" t="s">
        <v>269</v>
      </c>
      <c r="Y28" t="s">
        <v>210</v>
      </c>
      <c r="Z28" t="s">
        <v>300</v>
      </c>
      <c r="AA28">
        <v>0.99620842217046068</v>
      </c>
      <c r="AB28">
        <v>46.073081693183958</v>
      </c>
      <c r="AD28" t="s">
        <v>232</v>
      </c>
      <c r="AE28" t="s">
        <v>338</v>
      </c>
      <c r="AF28" t="s">
        <v>339</v>
      </c>
      <c r="AG28" t="s">
        <v>10</v>
      </c>
      <c r="AH28" t="s">
        <v>20</v>
      </c>
      <c r="AI28" t="s">
        <v>236</v>
      </c>
      <c r="AJ28" t="s">
        <v>150</v>
      </c>
      <c r="AL28" t="s">
        <v>338</v>
      </c>
      <c r="AM28" t="s">
        <v>367</v>
      </c>
      <c r="AN28" t="s">
        <v>303</v>
      </c>
      <c r="AO28">
        <v>0.99813280159000806</v>
      </c>
      <c r="AP28">
        <v>4.9862526586665217</v>
      </c>
    </row>
    <row r="29" spans="2:42">
      <c r="B29" t="s">
        <v>146</v>
      </c>
      <c r="C29" t="s">
        <v>185</v>
      </c>
      <c r="D29" t="s">
        <v>186</v>
      </c>
      <c r="E29" t="s">
        <v>10</v>
      </c>
      <c r="F29" t="s">
        <v>20</v>
      </c>
      <c r="G29" t="s">
        <v>149</v>
      </c>
      <c r="H29" t="s">
        <v>150</v>
      </c>
      <c r="J29" t="s">
        <v>185</v>
      </c>
      <c r="K29" t="s">
        <v>223</v>
      </c>
      <c r="L29">
        <v>32.592095338221633</v>
      </c>
      <c r="M29">
        <v>0.18074902786138169</v>
      </c>
      <c r="O29" t="s">
        <v>232</v>
      </c>
      <c r="P29" t="s">
        <v>271</v>
      </c>
      <c r="Q29" t="s">
        <v>272</v>
      </c>
      <c r="R29" t="s">
        <v>10</v>
      </c>
      <c r="S29" t="s">
        <v>20</v>
      </c>
      <c r="T29" t="s">
        <v>235</v>
      </c>
      <c r="U29" t="s">
        <v>236</v>
      </c>
      <c r="V29" t="s">
        <v>150</v>
      </c>
      <c r="X29" t="s">
        <v>271</v>
      </c>
      <c r="Y29" t="s">
        <v>205</v>
      </c>
      <c r="Z29" t="s">
        <v>301</v>
      </c>
      <c r="AA29">
        <v>0.99541032471511048</v>
      </c>
      <c r="AB29">
        <v>30.447662679312035</v>
      </c>
      <c r="AD29" t="s">
        <v>232</v>
      </c>
      <c r="AE29" t="s">
        <v>340</v>
      </c>
      <c r="AF29" t="s">
        <v>341</v>
      </c>
      <c r="AG29" t="s">
        <v>10</v>
      </c>
      <c r="AH29" t="s">
        <v>20</v>
      </c>
      <c r="AI29" t="s">
        <v>236</v>
      </c>
      <c r="AJ29" t="s">
        <v>150</v>
      </c>
      <c r="AL29" t="s">
        <v>340</v>
      </c>
      <c r="AM29" t="s">
        <v>368</v>
      </c>
      <c r="AN29" t="s">
        <v>293</v>
      </c>
      <c r="AO29">
        <v>0.99646421008232766</v>
      </c>
      <c r="AP29">
        <v>39.444454813786322</v>
      </c>
    </row>
    <row r="30" spans="2:42">
      <c r="B30" t="s">
        <v>146</v>
      </c>
      <c r="C30" t="s">
        <v>187</v>
      </c>
      <c r="D30" t="s">
        <v>188</v>
      </c>
      <c r="E30" t="s">
        <v>10</v>
      </c>
      <c r="F30" t="s">
        <v>20</v>
      </c>
      <c r="G30" t="s">
        <v>149</v>
      </c>
      <c r="H30" t="s">
        <v>150</v>
      </c>
      <c r="J30" t="s">
        <v>187</v>
      </c>
      <c r="K30" t="s">
        <v>224</v>
      </c>
      <c r="L30">
        <v>32.697125237255477</v>
      </c>
      <c r="M30">
        <v>0.1802947571223546</v>
      </c>
      <c r="O30" t="s">
        <v>232</v>
      </c>
      <c r="P30" t="s">
        <v>273</v>
      </c>
      <c r="Q30" t="s">
        <v>274</v>
      </c>
      <c r="R30" t="s">
        <v>10</v>
      </c>
      <c r="S30" t="s">
        <v>20</v>
      </c>
      <c r="T30" t="s">
        <v>235</v>
      </c>
      <c r="U30" t="s">
        <v>236</v>
      </c>
      <c r="V30" t="s">
        <v>150</v>
      </c>
      <c r="X30" t="s">
        <v>273</v>
      </c>
      <c r="Y30" t="s">
        <v>225</v>
      </c>
      <c r="Z30" t="s">
        <v>292</v>
      </c>
      <c r="AA30">
        <v>0.99410292804687739</v>
      </c>
      <c r="AB30">
        <v>60.413338593981713</v>
      </c>
      <c r="AD30" t="s">
        <v>232</v>
      </c>
      <c r="AE30" t="s">
        <v>342</v>
      </c>
      <c r="AF30" t="s">
        <v>343</v>
      </c>
      <c r="AG30" t="s">
        <v>10</v>
      </c>
      <c r="AH30" t="s">
        <v>20</v>
      </c>
      <c r="AI30" t="s">
        <v>236</v>
      </c>
      <c r="AJ30" t="s">
        <v>150</v>
      </c>
      <c r="AL30" t="s">
        <v>342</v>
      </c>
      <c r="AM30" t="s">
        <v>369</v>
      </c>
      <c r="AN30" t="s">
        <v>295</v>
      </c>
      <c r="AO30">
        <v>0.99528538841747116</v>
      </c>
      <c r="AP30">
        <v>52.857889470741327</v>
      </c>
    </row>
    <row r="31" spans="2:42">
      <c r="B31" t="s">
        <v>146</v>
      </c>
      <c r="C31" t="s">
        <v>189</v>
      </c>
      <c r="D31" t="s">
        <v>190</v>
      </c>
      <c r="E31" t="s">
        <v>10</v>
      </c>
      <c r="F31" t="s">
        <v>20</v>
      </c>
      <c r="G31" t="s">
        <v>149</v>
      </c>
      <c r="H31" t="s">
        <v>150</v>
      </c>
      <c r="J31" t="s">
        <v>189</v>
      </c>
      <c r="K31" t="s">
        <v>225</v>
      </c>
      <c r="L31">
        <v>38.28780532020135</v>
      </c>
      <c r="M31">
        <v>0.12831492597393013</v>
      </c>
      <c r="O31" t="s">
        <v>232</v>
      </c>
      <c r="P31" t="s">
        <v>275</v>
      </c>
      <c r="Q31" t="s">
        <v>276</v>
      </c>
      <c r="R31" t="s">
        <v>10</v>
      </c>
      <c r="S31" t="s">
        <v>20</v>
      </c>
      <c r="T31" t="s">
        <v>235</v>
      </c>
      <c r="U31" t="s">
        <v>236</v>
      </c>
      <c r="V31" t="s">
        <v>150</v>
      </c>
      <c r="X31" t="s">
        <v>275</v>
      </c>
      <c r="Y31" t="s">
        <v>226</v>
      </c>
      <c r="Z31" t="s">
        <v>302</v>
      </c>
      <c r="AA31">
        <v>0.99541056340593537</v>
      </c>
      <c r="AB31">
        <v>42.334113814968923</v>
      </c>
      <c r="AD31" t="s">
        <v>232</v>
      </c>
      <c r="AE31" t="s">
        <v>344</v>
      </c>
      <c r="AF31" t="s">
        <v>345</v>
      </c>
      <c r="AG31" t="s">
        <v>10</v>
      </c>
      <c r="AH31" t="s">
        <v>20</v>
      </c>
      <c r="AI31" t="s">
        <v>236</v>
      </c>
      <c r="AJ31" t="s">
        <v>150</v>
      </c>
      <c r="AL31" t="s">
        <v>344</v>
      </c>
      <c r="AM31" t="s">
        <v>370</v>
      </c>
      <c r="AN31" t="s">
        <v>290</v>
      </c>
      <c r="AO31">
        <v>0.99420933125715982</v>
      </c>
      <c r="AP31">
        <v>68.507017555362793</v>
      </c>
    </row>
    <row r="32" spans="2:42">
      <c r="B32" t="s">
        <v>146</v>
      </c>
      <c r="C32" t="s">
        <v>191</v>
      </c>
      <c r="D32" t="s">
        <v>192</v>
      </c>
      <c r="E32" t="s">
        <v>10</v>
      </c>
      <c r="F32" t="s">
        <v>20</v>
      </c>
      <c r="G32" t="s">
        <v>149</v>
      </c>
      <c r="H32" t="s">
        <v>150</v>
      </c>
      <c r="J32" t="s">
        <v>191</v>
      </c>
      <c r="K32" t="s">
        <v>226</v>
      </c>
      <c r="L32">
        <v>22.340105875824701</v>
      </c>
      <c r="M32">
        <v>0.18377753610606634</v>
      </c>
      <c r="O32" t="s">
        <v>232</v>
      </c>
      <c r="P32" t="s">
        <v>277</v>
      </c>
      <c r="Q32" t="s">
        <v>278</v>
      </c>
      <c r="R32" t="s">
        <v>10</v>
      </c>
      <c r="S32" t="s">
        <v>20</v>
      </c>
      <c r="T32" t="s">
        <v>235</v>
      </c>
      <c r="U32" t="s">
        <v>236</v>
      </c>
      <c r="V32" t="s">
        <v>150</v>
      </c>
      <c r="X32" t="s">
        <v>277</v>
      </c>
      <c r="Y32" t="s">
        <v>209</v>
      </c>
      <c r="Z32" t="s">
        <v>290</v>
      </c>
      <c r="AA32">
        <v>0.99462759208841123</v>
      </c>
      <c r="AB32">
        <v>55.397912760263836</v>
      </c>
      <c r="AD32" t="s">
        <v>232</v>
      </c>
      <c r="AE32" t="s">
        <v>346</v>
      </c>
      <c r="AF32" t="s">
        <v>347</v>
      </c>
      <c r="AG32" t="s">
        <v>10</v>
      </c>
      <c r="AH32" t="s">
        <v>20</v>
      </c>
      <c r="AI32" t="s">
        <v>236</v>
      </c>
      <c r="AJ32" t="s">
        <v>150</v>
      </c>
      <c r="AL32" t="s">
        <v>346</v>
      </c>
      <c r="AM32" t="s">
        <v>371</v>
      </c>
      <c r="AN32" t="s">
        <v>292</v>
      </c>
      <c r="AO32">
        <v>0.98789229629876341</v>
      </c>
      <c r="AP32">
        <v>167.49834100111656</v>
      </c>
    </row>
    <row r="33" spans="2:42">
      <c r="B33" t="s">
        <v>146</v>
      </c>
      <c r="C33" t="s">
        <v>193</v>
      </c>
      <c r="D33" t="s">
        <v>194</v>
      </c>
      <c r="E33" t="s">
        <v>10</v>
      </c>
      <c r="F33" t="s">
        <v>20</v>
      </c>
      <c r="G33" t="s">
        <v>149</v>
      </c>
      <c r="H33" t="s">
        <v>150</v>
      </c>
      <c r="J33" t="s">
        <v>193</v>
      </c>
      <c r="K33" t="s">
        <v>227</v>
      </c>
      <c r="L33">
        <v>8.7002019075618016</v>
      </c>
      <c r="M33">
        <v>0.19002584100960571</v>
      </c>
      <c r="O33" t="s">
        <v>232</v>
      </c>
      <c r="P33" t="s">
        <v>279</v>
      </c>
      <c r="Q33" t="s">
        <v>280</v>
      </c>
      <c r="R33" t="s">
        <v>10</v>
      </c>
      <c r="S33" t="s">
        <v>20</v>
      </c>
      <c r="T33" t="s">
        <v>235</v>
      </c>
      <c r="U33" t="s">
        <v>236</v>
      </c>
      <c r="V33" t="s">
        <v>150</v>
      </c>
      <c r="X33" t="s">
        <v>279</v>
      </c>
      <c r="Y33" t="s">
        <v>221</v>
      </c>
      <c r="Z33" t="s">
        <v>295</v>
      </c>
      <c r="AA33">
        <v>0.98627266925285662</v>
      </c>
      <c r="AB33">
        <v>124.40245534922683</v>
      </c>
      <c r="AD33" t="s">
        <v>232</v>
      </c>
      <c r="AE33" t="s">
        <v>348</v>
      </c>
      <c r="AF33" t="s">
        <v>349</v>
      </c>
      <c r="AG33" t="s">
        <v>10</v>
      </c>
      <c r="AH33" t="s">
        <v>20</v>
      </c>
      <c r="AI33" t="s">
        <v>236</v>
      </c>
      <c r="AJ33" t="s">
        <v>150</v>
      </c>
      <c r="AL33" t="s">
        <v>348</v>
      </c>
      <c r="AM33" t="s">
        <v>372</v>
      </c>
      <c r="AN33" t="s">
        <v>294</v>
      </c>
      <c r="AO33">
        <v>0.99513983210165879</v>
      </c>
      <c r="AP33">
        <v>44.249573268028108</v>
      </c>
    </row>
    <row r="34" spans="2:42">
      <c r="B34" t="s">
        <v>146</v>
      </c>
      <c r="C34" t="s">
        <v>195</v>
      </c>
      <c r="D34" t="s">
        <v>196</v>
      </c>
      <c r="E34" t="s">
        <v>10</v>
      </c>
      <c r="F34" t="s">
        <v>20</v>
      </c>
      <c r="G34" t="s">
        <v>149</v>
      </c>
      <c r="H34" t="s">
        <v>150</v>
      </c>
      <c r="J34" t="s">
        <v>195</v>
      </c>
      <c r="K34" t="s">
        <v>228</v>
      </c>
      <c r="L34">
        <v>9.7249285523056397</v>
      </c>
      <c r="M34">
        <v>0.13232586866113116</v>
      </c>
      <c r="O34" t="s">
        <v>232</v>
      </c>
      <c r="P34" t="s">
        <v>281</v>
      </c>
      <c r="Q34" t="s">
        <v>282</v>
      </c>
      <c r="R34" t="s">
        <v>10</v>
      </c>
      <c r="S34" t="s">
        <v>20</v>
      </c>
      <c r="T34" t="s">
        <v>235</v>
      </c>
      <c r="U34" t="s">
        <v>236</v>
      </c>
      <c r="V34" t="s">
        <v>150</v>
      </c>
      <c r="X34" t="s">
        <v>281</v>
      </c>
      <c r="Y34" t="s">
        <v>206</v>
      </c>
      <c r="Z34" t="s">
        <v>301</v>
      </c>
      <c r="AA34">
        <v>0.99387687085500998</v>
      </c>
      <c r="AB34">
        <v>44.868245132242109</v>
      </c>
    </row>
    <row r="35" spans="2:42">
      <c r="B35" t="s">
        <v>146</v>
      </c>
      <c r="C35" t="s">
        <v>197</v>
      </c>
      <c r="D35" t="s">
        <v>198</v>
      </c>
      <c r="E35" t="s">
        <v>10</v>
      </c>
      <c r="F35" t="s">
        <v>20</v>
      </c>
      <c r="G35" t="s">
        <v>149</v>
      </c>
      <c r="H35" t="s">
        <v>150</v>
      </c>
      <c r="J35" t="s">
        <v>197</v>
      </c>
      <c r="K35" t="s">
        <v>229</v>
      </c>
      <c r="L35">
        <v>20.334799564610226</v>
      </c>
      <c r="M35">
        <v>0.189720641448689</v>
      </c>
      <c r="O35" t="s">
        <v>232</v>
      </c>
      <c r="P35" t="s">
        <v>283</v>
      </c>
      <c r="Q35" t="s">
        <v>284</v>
      </c>
      <c r="R35" t="s">
        <v>10</v>
      </c>
      <c r="S35" t="s">
        <v>20</v>
      </c>
      <c r="T35" t="s">
        <v>235</v>
      </c>
      <c r="U35" t="s">
        <v>236</v>
      </c>
      <c r="V35" t="s">
        <v>150</v>
      </c>
      <c r="X35" t="s">
        <v>283</v>
      </c>
      <c r="Y35" t="s">
        <v>214</v>
      </c>
      <c r="Z35" t="s">
        <v>303</v>
      </c>
      <c r="AA35">
        <v>0.99746948827313053</v>
      </c>
      <c r="AB35">
        <v>27.711344775916295</v>
      </c>
    </row>
    <row r="36" spans="2:42">
      <c r="B36" t="s">
        <v>146</v>
      </c>
      <c r="C36" t="s">
        <v>199</v>
      </c>
      <c r="D36" t="s">
        <v>200</v>
      </c>
      <c r="E36" t="s">
        <v>10</v>
      </c>
      <c r="F36" t="s">
        <v>20</v>
      </c>
      <c r="G36" t="s">
        <v>149</v>
      </c>
      <c r="H36" t="s">
        <v>150</v>
      </c>
      <c r="J36" t="s">
        <v>199</v>
      </c>
      <c r="K36" t="s">
        <v>230</v>
      </c>
      <c r="L36">
        <v>21.887989083040161</v>
      </c>
      <c r="M36">
        <v>0.18483293373727921</v>
      </c>
      <c r="O36" t="s">
        <v>232</v>
      </c>
      <c r="P36" t="s">
        <v>285</v>
      </c>
      <c r="Q36" t="s">
        <v>286</v>
      </c>
      <c r="R36" t="s">
        <v>10</v>
      </c>
      <c r="S36" t="s">
        <v>20</v>
      </c>
      <c r="T36" t="s">
        <v>235</v>
      </c>
      <c r="U36" t="s">
        <v>236</v>
      </c>
      <c r="V36" t="s">
        <v>150</v>
      </c>
      <c r="X36" t="s">
        <v>285</v>
      </c>
      <c r="Y36" t="s">
        <v>218</v>
      </c>
      <c r="Z36" t="s">
        <v>295</v>
      </c>
      <c r="AA36">
        <v>0.98988844794701147</v>
      </c>
      <c r="AB36">
        <v>168.98719170580645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CD21-BD0E-452B-BA2B-107A92AB0A0E}">
  <dimension ref="B9:M33"/>
  <sheetViews>
    <sheetView workbookViewId="0"/>
  </sheetViews>
  <sheetFormatPr defaultRowHeight="14.25"/>
  <sheetData>
    <row r="9" spans="2:13">
      <c r="B9" t="s">
        <v>138</v>
      </c>
      <c r="J9" t="s">
        <v>201</v>
      </c>
    </row>
    <row r="10" spans="2:13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202</v>
      </c>
      <c r="L10" t="s">
        <v>203</v>
      </c>
      <c r="M10" t="s">
        <v>204</v>
      </c>
    </row>
    <row r="11" spans="2:13">
      <c r="B11" t="s">
        <v>146</v>
      </c>
      <c r="C11" t="s">
        <v>373</v>
      </c>
      <c r="D11" t="s">
        <v>374</v>
      </c>
      <c r="E11" t="s">
        <v>10</v>
      </c>
      <c r="F11" t="s">
        <v>20</v>
      </c>
      <c r="G11" t="s">
        <v>149</v>
      </c>
      <c r="H11" t="s">
        <v>150</v>
      </c>
      <c r="J11" t="s">
        <v>373</v>
      </c>
      <c r="K11" t="s">
        <v>363</v>
      </c>
      <c r="L11">
        <v>4.7268083204849543</v>
      </c>
      <c r="M11">
        <v>0.2070421604174566</v>
      </c>
    </row>
    <row r="12" spans="2:13">
      <c r="B12" t="s">
        <v>146</v>
      </c>
      <c r="C12" t="s">
        <v>375</v>
      </c>
      <c r="D12" t="s">
        <v>376</v>
      </c>
      <c r="E12" t="s">
        <v>10</v>
      </c>
      <c r="F12" t="s">
        <v>20</v>
      </c>
      <c r="G12" t="s">
        <v>149</v>
      </c>
      <c r="H12" t="s">
        <v>150</v>
      </c>
      <c r="J12" t="s">
        <v>375</v>
      </c>
      <c r="K12" t="s">
        <v>356</v>
      </c>
      <c r="L12">
        <v>11.440345325444774</v>
      </c>
      <c r="M12">
        <v>0.27772136051586532</v>
      </c>
    </row>
    <row r="13" spans="2:13">
      <c r="B13" t="s">
        <v>146</v>
      </c>
      <c r="C13" t="s">
        <v>377</v>
      </c>
      <c r="D13" t="s">
        <v>378</v>
      </c>
      <c r="E13" t="s">
        <v>10</v>
      </c>
      <c r="F13" t="s">
        <v>20</v>
      </c>
      <c r="G13" t="s">
        <v>149</v>
      </c>
      <c r="H13" t="s">
        <v>150</v>
      </c>
      <c r="J13" t="s">
        <v>377</v>
      </c>
      <c r="K13" t="s">
        <v>370</v>
      </c>
      <c r="L13">
        <v>16.147155115189477</v>
      </c>
      <c r="M13">
        <v>0.3304888796754718</v>
      </c>
    </row>
    <row r="14" spans="2:13">
      <c r="B14" t="s">
        <v>146</v>
      </c>
      <c r="C14" t="s">
        <v>379</v>
      </c>
      <c r="D14" t="s">
        <v>380</v>
      </c>
      <c r="E14" t="s">
        <v>10</v>
      </c>
      <c r="F14" t="s">
        <v>20</v>
      </c>
      <c r="G14" t="s">
        <v>149</v>
      </c>
      <c r="H14" t="s">
        <v>150</v>
      </c>
      <c r="J14" t="s">
        <v>379</v>
      </c>
      <c r="K14" t="s">
        <v>353</v>
      </c>
      <c r="L14">
        <v>34.230544040902842</v>
      </c>
      <c r="M14">
        <v>0.31552419226638517</v>
      </c>
    </row>
    <row r="15" spans="2:13">
      <c r="B15" t="s">
        <v>146</v>
      </c>
      <c r="C15" t="s">
        <v>381</v>
      </c>
      <c r="D15" t="s">
        <v>382</v>
      </c>
      <c r="E15" t="s">
        <v>10</v>
      </c>
      <c r="F15" t="s">
        <v>20</v>
      </c>
      <c r="G15" t="s">
        <v>149</v>
      </c>
      <c r="H15" t="s">
        <v>150</v>
      </c>
      <c r="J15" t="s">
        <v>381</v>
      </c>
      <c r="K15" t="s">
        <v>365</v>
      </c>
      <c r="L15">
        <v>0.16637845637511234</v>
      </c>
      <c r="M15">
        <v>0.1059357736483296</v>
      </c>
    </row>
    <row r="16" spans="2:13">
      <c r="B16" t="s">
        <v>146</v>
      </c>
      <c r="C16" t="s">
        <v>383</v>
      </c>
      <c r="D16" t="s">
        <v>384</v>
      </c>
      <c r="E16" t="s">
        <v>10</v>
      </c>
      <c r="F16" t="s">
        <v>20</v>
      </c>
      <c r="G16" t="s">
        <v>149</v>
      </c>
      <c r="H16" t="s">
        <v>150</v>
      </c>
      <c r="J16" t="s">
        <v>383</v>
      </c>
      <c r="K16" t="s">
        <v>361</v>
      </c>
      <c r="L16">
        <v>0.95674268310369837</v>
      </c>
      <c r="M16">
        <v>0.15319238603115079</v>
      </c>
    </row>
    <row r="17" spans="2:13">
      <c r="B17" t="s">
        <v>146</v>
      </c>
      <c r="C17" t="s">
        <v>385</v>
      </c>
      <c r="D17" t="s">
        <v>386</v>
      </c>
      <c r="E17" t="s">
        <v>10</v>
      </c>
      <c r="F17" t="s">
        <v>20</v>
      </c>
      <c r="G17" t="s">
        <v>149</v>
      </c>
      <c r="H17" t="s">
        <v>150</v>
      </c>
      <c r="J17" t="s">
        <v>385</v>
      </c>
      <c r="K17" t="s">
        <v>367</v>
      </c>
      <c r="L17">
        <v>0.71635206157396158</v>
      </c>
      <c r="M17">
        <v>0.1520863324403762</v>
      </c>
    </row>
    <row r="18" spans="2:13">
      <c r="B18" t="s">
        <v>146</v>
      </c>
      <c r="C18" t="s">
        <v>387</v>
      </c>
      <c r="D18" t="s">
        <v>388</v>
      </c>
      <c r="E18" t="s">
        <v>10</v>
      </c>
      <c r="F18" t="s">
        <v>20</v>
      </c>
      <c r="G18" t="s">
        <v>149</v>
      </c>
      <c r="H18" t="s">
        <v>150</v>
      </c>
      <c r="J18" t="s">
        <v>387</v>
      </c>
      <c r="K18" t="s">
        <v>354</v>
      </c>
      <c r="L18">
        <v>3.8364939532296782</v>
      </c>
      <c r="M18">
        <v>0.21935608064690129</v>
      </c>
    </row>
    <row r="19" spans="2:13">
      <c r="B19" t="s">
        <v>146</v>
      </c>
      <c r="C19" t="s">
        <v>389</v>
      </c>
      <c r="D19" t="s">
        <v>390</v>
      </c>
      <c r="E19" t="s">
        <v>10</v>
      </c>
      <c r="F19" t="s">
        <v>20</v>
      </c>
      <c r="G19" t="s">
        <v>149</v>
      </c>
      <c r="H19" t="s">
        <v>150</v>
      </c>
      <c r="J19" t="s">
        <v>389</v>
      </c>
      <c r="K19" t="s">
        <v>352</v>
      </c>
      <c r="L19">
        <v>4.6750393337108811</v>
      </c>
      <c r="M19">
        <v>0.25742188723607429</v>
      </c>
    </row>
    <row r="20" spans="2:13">
      <c r="B20" t="s">
        <v>146</v>
      </c>
      <c r="C20" t="s">
        <v>391</v>
      </c>
      <c r="D20" t="s">
        <v>392</v>
      </c>
      <c r="E20" t="s">
        <v>10</v>
      </c>
      <c r="F20" t="s">
        <v>20</v>
      </c>
      <c r="G20" t="s">
        <v>149</v>
      </c>
      <c r="H20" t="s">
        <v>150</v>
      </c>
      <c r="J20" t="s">
        <v>391</v>
      </c>
      <c r="K20" t="s">
        <v>369</v>
      </c>
      <c r="L20">
        <v>32.154491626418718</v>
      </c>
      <c r="M20">
        <v>0.27613129179346979</v>
      </c>
    </row>
    <row r="21" spans="2:13">
      <c r="B21" t="s">
        <v>146</v>
      </c>
      <c r="C21" t="s">
        <v>393</v>
      </c>
      <c r="D21" t="s">
        <v>394</v>
      </c>
      <c r="E21" t="s">
        <v>10</v>
      </c>
      <c r="F21" t="s">
        <v>20</v>
      </c>
      <c r="G21" t="s">
        <v>149</v>
      </c>
      <c r="H21" t="s">
        <v>150</v>
      </c>
      <c r="J21" t="s">
        <v>393</v>
      </c>
      <c r="K21" t="s">
        <v>351</v>
      </c>
      <c r="L21">
        <v>40.600199794755959</v>
      </c>
      <c r="M21">
        <v>0.36202205326851039</v>
      </c>
    </row>
    <row r="22" spans="2:13">
      <c r="B22" t="s">
        <v>146</v>
      </c>
      <c r="C22" t="s">
        <v>395</v>
      </c>
      <c r="D22" t="s">
        <v>396</v>
      </c>
      <c r="E22" t="s">
        <v>10</v>
      </c>
      <c r="F22" t="s">
        <v>20</v>
      </c>
      <c r="G22" t="s">
        <v>149</v>
      </c>
      <c r="H22" t="s">
        <v>150</v>
      </c>
      <c r="J22" t="s">
        <v>395</v>
      </c>
      <c r="K22" t="s">
        <v>358</v>
      </c>
      <c r="L22">
        <v>47.313990231137197</v>
      </c>
      <c r="M22">
        <v>0.37547236906170278</v>
      </c>
    </row>
    <row r="23" spans="2:13">
      <c r="B23" t="s">
        <v>146</v>
      </c>
      <c r="C23" t="s">
        <v>397</v>
      </c>
      <c r="D23" t="s">
        <v>398</v>
      </c>
      <c r="E23" t="s">
        <v>10</v>
      </c>
      <c r="F23" t="s">
        <v>20</v>
      </c>
      <c r="G23" t="s">
        <v>149</v>
      </c>
      <c r="H23" t="s">
        <v>150</v>
      </c>
      <c r="J23" t="s">
        <v>397</v>
      </c>
      <c r="K23" t="s">
        <v>364</v>
      </c>
      <c r="L23">
        <v>36.628915042698111</v>
      </c>
      <c r="M23">
        <v>0.36963628156901429</v>
      </c>
    </row>
    <row r="24" spans="2:13">
      <c r="B24" t="s">
        <v>146</v>
      </c>
      <c r="C24" t="s">
        <v>399</v>
      </c>
      <c r="D24" t="s">
        <v>400</v>
      </c>
      <c r="E24" t="s">
        <v>10</v>
      </c>
      <c r="F24" t="s">
        <v>20</v>
      </c>
      <c r="G24" t="s">
        <v>149</v>
      </c>
      <c r="H24" t="s">
        <v>150</v>
      </c>
      <c r="J24" t="s">
        <v>399</v>
      </c>
      <c r="K24" t="s">
        <v>362</v>
      </c>
      <c r="L24">
        <v>23.798400159780527</v>
      </c>
      <c r="M24">
        <v>0.42890324795482249</v>
      </c>
    </row>
    <row r="25" spans="2:13">
      <c r="B25" t="s">
        <v>146</v>
      </c>
      <c r="C25" t="s">
        <v>401</v>
      </c>
      <c r="D25" t="s">
        <v>402</v>
      </c>
      <c r="E25" t="s">
        <v>10</v>
      </c>
      <c r="F25" t="s">
        <v>20</v>
      </c>
      <c r="G25" t="s">
        <v>149</v>
      </c>
      <c r="H25" t="s">
        <v>150</v>
      </c>
      <c r="J25" t="s">
        <v>401</v>
      </c>
      <c r="K25" t="s">
        <v>359</v>
      </c>
      <c r="L25">
        <v>15.163650073738904</v>
      </c>
      <c r="M25">
        <v>0.4178586249344054</v>
      </c>
    </row>
    <row r="26" spans="2:13">
      <c r="B26" t="s">
        <v>146</v>
      </c>
      <c r="C26" t="s">
        <v>403</v>
      </c>
      <c r="D26" t="s">
        <v>404</v>
      </c>
      <c r="E26" t="s">
        <v>10</v>
      </c>
      <c r="F26" t="s">
        <v>20</v>
      </c>
      <c r="G26" t="s">
        <v>149</v>
      </c>
      <c r="H26" t="s">
        <v>150</v>
      </c>
      <c r="J26" t="s">
        <v>403</v>
      </c>
      <c r="K26" t="s">
        <v>371</v>
      </c>
      <c r="L26">
        <v>39.116969059897073</v>
      </c>
      <c r="M26">
        <v>0.33604157085205111</v>
      </c>
    </row>
    <row r="27" spans="2:13">
      <c r="B27" t="s">
        <v>146</v>
      </c>
      <c r="C27" t="s">
        <v>405</v>
      </c>
      <c r="D27" t="s">
        <v>406</v>
      </c>
      <c r="E27" t="s">
        <v>10</v>
      </c>
      <c r="F27" t="s">
        <v>20</v>
      </c>
      <c r="G27" t="s">
        <v>149</v>
      </c>
      <c r="H27" t="s">
        <v>150</v>
      </c>
      <c r="J27" t="s">
        <v>405</v>
      </c>
      <c r="K27" t="s">
        <v>366</v>
      </c>
      <c r="L27">
        <v>35.560457304383078</v>
      </c>
      <c r="M27">
        <v>0.3154424544371402</v>
      </c>
    </row>
    <row r="28" spans="2:13">
      <c r="B28" t="s">
        <v>146</v>
      </c>
      <c r="C28" t="s">
        <v>407</v>
      </c>
      <c r="D28" t="s">
        <v>408</v>
      </c>
      <c r="E28" t="s">
        <v>10</v>
      </c>
      <c r="F28" t="s">
        <v>20</v>
      </c>
      <c r="G28" t="s">
        <v>149</v>
      </c>
      <c r="H28" t="s">
        <v>150</v>
      </c>
      <c r="J28" t="s">
        <v>407</v>
      </c>
      <c r="K28" t="s">
        <v>355</v>
      </c>
      <c r="L28">
        <v>18.161490571397067</v>
      </c>
      <c r="M28">
        <v>0.31891536585715041</v>
      </c>
    </row>
    <row r="29" spans="2:13">
      <c r="B29" t="s">
        <v>146</v>
      </c>
      <c r="C29" t="s">
        <v>409</v>
      </c>
      <c r="D29" t="s">
        <v>410</v>
      </c>
      <c r="E29" t="s">
        <v>10</v>
      </c>
      <c r="F29" t="s">
        <v>20</v>
      </c>
      <c r="G29" t="s">
        <v>149</v>
      </c>
      <c r="H29" t="s">
        <v>150</v>
      </c>
      <c r="J29" t="s">
        <v>409</v>
      </c>
      <c r="K29" t="s">
        <v>357</v>
      </c>
      <c r="L29">
        <v>11.686482627817888</v>
      </c>
      <c r="M29">
        <v>0.30485669298318469</v>
      </c>
    </row>
    <row r="30" spans="2:13">
      <c r="B30" t="s">
        <v>146</v>
      </c>
      <c r="C30" t="s">
        <v>411</v>
      </c>
      <c r="D30" t="s">
        <v>412</v>
      </c>
      <c r="E30" t="s">
        <v>10</v>
      </c>
      <c r="F30" t="s">
        <v>20</v>
      </c>
      <c r="G30" t="s">
        <v>149</v>
      </c>
      <c r="H30" t="s">
        <v>150</v>
      </c>
      <c r="J30" t="s">
        <v>411</v>
      </c>
      <c r="K30" t="s">
        <v>350</v>
      </c>
      <c r="L30">
        <v>4.1930377798443201</v>
      </c>
      <c r="M30">
        <v>0.1208692402060193</v>
      </c>
    </row>
    <row r="31" spans="2:13">
      <c r="B31" t="s">
        <v>146</v>
      </c>
      <c r="C31" t="s">
        <v>413</v>
      </c>
      <c r="D31" t="s">
        <v>414</v>
      </c>
      <c r="E31" t="s">
        <v>10</v>
      </c>
      <c r="F31" t="s">
        <v>20</v>
      </c>
      <c r="G31" t="s">
        <v>149</v>
      </c>
      <c r="H31" t="s">
        <v>150</v>
      </c>
      <c r="J31" t="s">
        <v>413</v>
      </c>
      <c r="K31" t="s">
        <v>368</v>
      </c>
      <c r="L31">
        <v>2.3332937378027507</v>
      </c>
      <c r="M31">
        <v>0.11448404019228579</v>
      </c>
    </row>
    <row r="32" spans="2:13">
      <c r="B32" t="s">
        <v>146</v>
      </c>
      <c r="C32" t="s">
        <v>415</v>
      </c>
      <c r="D32" t="s">
        <v>416</v>
      </c>
      <c r="E32" t="s">
        <v>10</v>
      </c>
      <c r="F32" t="s">
        <v>20</v>
      </c>
      <c r="G32" t="s">
        <v>149</v>
      </c>
      <c r="H32" t="s">
        <v>150</v>
      </c>
      <c r="J32" t="s">
        <v>415</v>
      </c>
      <c r="K32" t="s">
        <v>372</v>
      </c>
      <c r="L32">
        <v>19.78452593009527</v>
      </c>
      <c r="M32">
        <v>0.33434497197997898</v>
      </c>
    </row>
    <row r="33" spans="2:13">
      <c r="B33" t="s">
        <v>146</v>
      </c>
      <c r="C33" t="s">
        <v>417</v>
      </c>
      <c r="D33" t="s">
        <v>418</v>
      </c>
      <c r="E33" t="s">
        <v>10</v>
      </c>
      <c r="F33" t="s">
        <v>20</v>
      </c>
      <c r="G33" t="s">
        <v>149</v>
      </c>
      <c r="H33" t="s">
        <v>150</v>
      </c>
      <c r="J33" t="s">
        <v>417</v>
      </c>
      <c r="K33" t="s">
        <v>360</v>
      </c>
      <c r="L33">
        <v>8.4055753674903677</v>
      </c>
      <c r="M33">
        <v>0.29321397863286869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9B069-363A-48AC-81C5-96B70AFE1D41}">
  <dimension ref="B9:Y159"/>
  <sheetViews>
    <sheetView tabSelected="1" workbookViewId="0"/>
  </sheetViews>
  <sheetFormatPr defaultRowHeight="14.25"/>
  <sheetData>
    <row r="9" spans="2:25">
      <c r="B9" t="s">
        <v>419</v>
      </c>
      <c r="R9" t="s">
        <v>138</v>
      </c>
    </row>
    <row r="10" spans="2:25">
      <c r="B10" t="s">
        <v>140</v>
      </c>
      <c r="C10" t="s">
        <v>287</v>
      </c>
      <c r="D10" t="s">
        <v>202</v>
      </c>
      <c r="E10">
        <v>2020</v>
      </c>
      <c r="F10">
        <v>2022</v>
      </c>
      <c r="G10">
        <v>2024</v>
      </c>
      <c r="H10">
        <v>2025</v>
      </c>
      <c r="I10">
        <v>2030</v>
      </c>
      <c r="J10">
        <v>2035</v>
      </c>
      <c r="K10">
        <v>2040</v>
      </c>
      <c r="L10">
        <v>2045</v>
      </c>
      <c r="M10">
        <v>2050</v>
      </c>
      <c r="N10" t="s">
        <v>420</v>
      </c>
      <c r="O10" t="s">
        <v>421</v>
      </c>
      <c r="P10" t="s">
        <v>422</v>
      </c>
      <c r="R10" t="s">
        <v>139</v>
      </c>
      <c r="S10" t="s">
        <v>140</v>
      </c>
      <c r="T10" t="s">
        <v>141</v>
      </c>
      <c r="U10" t="s">
        <v>142</v>
      </c>
      <c r="V10" t="s">
        <v>143</v>
      </c>
      <c r="W10" t="s">
        <v>144</v>
      </c>
      <c r="X10" t="s">
        <v>145</v>
      </c>
      <c r="Y10" t="s">
        <v>460</v>
      </c>
    </row>
    <row r="11" spans="2:25">
      <c r="B11" t="s">
        <v>423</v>
      </c>
      <c r="C11" t="s">
        <v>31</v>
      </c>
      <c r="D11" t="s">
        <v>18</v>
      </c>
      <c r="E11">
        <v>750.9</v>
      </c>
      <c r="I11">
        <v>708.2</v>
      </c>
      <c r="M11">
        <v>682.6</v>
      </c>
      <c r="N11" t="s">
        <v>424</v>
      </c>
      <c r="R11" t="s">
        <v>146</v>
      </c>
      <c r="S11" t="s">
        <v>423</v>
      </c>
      <c r="T11" t="s">
        <v>461</v>
      </c>
      <c r="U11" t="s">
        <v>10</v>
      </c>
      <c r="V11" t="s">
        <v>20</v>
      </c>
      <c r="W11" t="s">
        <v>236</v>
      </c>
      <c r="X11" t="s">
        <v>462</v>
      </c>
    </row>
    <row r="12" spans="2:25">
      <c r="B12" t="s">
        <v>423</v>
      </c>
      <c r="C12" t="s">
        <v>31</v>
      </c>
      <c r="D12" t="s">
        <v>18</v>
      </c>
      <c r="E12">
        <v>25.8</v>
      </c>
      <c r="I12">
        <v>24.5</v>
      </c>
      <c r="M12">
        <v>22.9</v>
      </c>
      <c r="N12" t="s">
        <v>425</v>
      </c>
      <c r="R12" t="s">
        <v>146</v>
      </c>
      <c r="S12" t="s">
        <v>429</v>
      </c>
      <c r="T12" t="s">
        <v>463</v>
      </c>
      <c r="U12" t="s">
        <v>10</v>
      </c>
      <c r="V12" t="s">
        <v>20</v>
      </c>
      <c r="W12" t="s">
        <v>236</v>
      </c>
      <c r="X12" t="s">
        <v>462</v>
      </c>
    </row>
    <row r="13" spans="2:25">
      <c r="B13" t="s">
        <v>423</v>
      </c>
      <c r="C13" t="s">
        <v>31</v>
      </c>
      <c r="D13" t="s">
        <v>18</v>
      </c>
      <c r="E13">
        <v>3.96</v>
      </c>
      <c r="I13">
        <v>3.6</v>
      </c>
      <c r="M13">
        <v>3.6</v>
      </c>
      <c r="N13" t="s">
        <v>426</v>
      </c>
      <c r="R13" t="s">
        <v>464</v>
      </c>
      <c r="S13" t="s">
        <v>430</v>
      </c>
      <c r="T13" t="s">
        <v>465</v>
      </c>
      <c r="U13" t="s">
        <v>10</v>
      </c>
      <c r="V13" t="s">
        <v>20</v>
      </c>
      <c r="W13" t="s">
        <v>236</v>
      </c>
      <c r="X13" t="s">
        <v>462</v>
      </c>
    </row>
    <row r="14" spans="2:25">
      <c r="B14" t="s">
        <v>423</v>
      </c>
      <c r="C14" t="s">
        <v>31</v>
      </c>
      <c r="D14" t="s">
        <v>18</v>
      </c>
      <c r="E14">
        <v>0.56000000000000005</v>
      </c>
      <c r="I14">
        <v>0.57999999999999996</v>
      </c>
      <c r="M14">
        <v>0.6</v>
      </c>
      <c r="N14" t="s">
        <v>115</v>
      </c>
      <c r="R14" t="s">
        <v>146</v>
      </c>
      <c r="S14" t="s">
        <v>434</v>
      </c>
      <c r="T14" t="s">
        <v>466</v>
      </c>
      <c r="U14" t="s">
        <v>10</v>
      </c>
      <c r="V14" t="s">
        <v>20</v>
      </c>
      <c r="W14" t="s">
        <v>236</v>
      </c>
      <c r="X14" t="s">
        <v>462</v>
      </c>
    </row>
    <row r="15" spans="2:25">
      <c r="B15" t="s">
        <v>423</v>
      </c>
      <c r="C15" t="s">
        <v>31</v>
      </c>
      <c r="D15" t="s">
        <v>18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 t="s">
        <v>427</v>
      </c>
      <c r="R15" t="s">
        <v>146</v>
      </c>
      <c r="S15" t="s">
        <v>436</v>
      </c>
      <c r="T15" t="s">
        <v>467</v>
      </c>
      <c r="U15" t="s">
        <v>10</v>
      </c>
      <c r="V15" t="s">
        <v>20</v>
      </c>
      <c r="W15" t="s">
        <v>236</v>
      </c>
      <c r="X15" t="s">
        <v>462</v>
      </c>
    </row>
    <row r="16" spans="2:25">
      <c r="B16" t="s">
        <v>423</v>
      </c>
      <c r="C16" t="s">
        <v>31</v>
      </c>
      <c r="D16" t="s">
        <v>18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 t="s">
        <v>428</v>
      </c>
      <c r="R16" t="s">
        <v>146</v>
      </c>
      <c r="S16" t="s">
        <v>437</v>
      </c>
      <c r="T16" t="s">
        <v>468</v>
      </c>
      <c r="U16" t="s">
        <v>10</v>
      </c>
      <c r="V16" t="s">
        <v>20</v>
      </c>
      <c r="W16" t="s">
        <v>236</v>
      </c>
      <c r="X16" t="s">
        <v>462</v>
      </c>
    </row>
    <row r="17" spans="2:25">
      <c r="B17" t="s">
        <v>429</v>
      </c>
      <c r="C17" t="s">
        <v>31</v>
      </c>
      <c r="D17" t="s">
        <v>18</v>
      </c>
      <c r="G17">
        <v>423.4</v>
      </c>
      <c r="J17">
        <v>423.4</v>
      </c>
      <c r="M17">
        <v>423.4</v>
      </c>
      <c r="N17" t="s">
        <v>424</v>
      </c>
      <c r="R17" t="s">
        <v>146</v>
      </c>
      <c r="S17" t="s">
        <v>438</v>
      </c>
      <c r="T17" t="s">
        <v>469</v>
      </c>
      <c r="U17" t="s">
        <v>10</v>
      </c>
      <c r="V17" t="s">
        <v>20</v>
      </c>
      <c r="W17" t="s">
        <v>236</v>
      </c>
      <c r="X17" t="s">
        <v>462</v>
      </c>
    </row>
    <row r="18" spans="2:25">
      <c r="B18" t="s">
        <v>429</v>
      </c>
      <c r="C18" t="s">
        <v>31</v>
      </c>
      <c r="D18" t="s">
        <v>18</v>
      </c>
      <c r="G18">
        <v>23.5</v>
      </c>
      <c r="J18">
        <v>23.5</v>
      </c>
      <c r="M18">
        <v>23.5</v>
      </c>
      <c r="N18" t="s">
        <v>425</v>
      </c>
      <c r="R18" t="s">
        <v>146</v>
      </c>
      <c r="S18" t="s">
        <v>439</v>
      </c>
      <c r="T18" t="s">
        <v>470</v>
      </c>
      <c r="U18" t="s">
        <v>10</v>
      </c>
      <c r="V18" t="s">
        <v>20</v>
      </c>
      <c r="W18" t="s">
        <v>236</v>
      </c>
      <c r="X18" t="s">
        <v>462</v>
      </c>
    </row>
    <row r="19" spans="2:25">
      <c r="B19" t="s">
        <v>429</v>
      </c>
      <c r="C19" t="s">
        <v>31</v>
      </c>
      <c r="D19" t="s">
        <v>18</v>
      </c>
      <c r="G19">
        <v>6.9408000000000003</v>
      </c>
      <c r="J19">
        <v>6.9408000000000003</v>
      </c>
      <c r="M19">
        <v>6.9408000000000003</v>
      </c>
      <c r="N19" t="s">
        <v>426</v>
      </c>
      <c r="R19" t="s">
        <v>146</v>
      </c>
      <c r="S19" t="s">
        <v>440</v>
      </c>
      <c r="T19" t="s">
        <v>471</v>
      </c>
      <c r="U19" t="s">
        <v>10</v>
      </c>
      <c r="V19" t="s">
        <v>20</v>
      </c>
      <c r="W19" t="s">
        <v>236</v>
      </c>
      <c r="X19" t="s">
        <v>462</v>
      </c>
    </row>
    <row r="20" spans="2:25">
      <c r="B20" t="s">
        <v>429</v>
      </c>
      <c r="C20" t="s">
        <v>31</v>
      </c>
      <c r="D20" t="s">
        <v>18</v>
      </c>
      <c r="G20">
        <v>0.39</v>
      </c>
      <c r="J20">
        <v>0.41</v>
      </c>
      <c r="M20">
        <v>0.41</v>
      </c>
      <c r="N20" t="s">
        <v>115</v>
      </c>
      <c r="R20" t="s">
        <v>146</v>
      </c>
      <c r="S20" t="s">
        <v>441</v>
      </c>
      <c r="T20" t="s">
        <v>472</v>
      </c>
      <c r="U20" t="s">
        <v>10</v>
      </c>
      <c r="V20" t="s">
        <v>20</v>
      </c>
      <c r="W20" t="s">
        <v>236</v>
      </c>
      <c r="X20" t="s">
        <v>462</v>
      </c>
    </row>
    <row r="21" spans="2:25">
      <c r="B21" t="s">
        <v>429</v>
      </c>
      <c r="C21" t="s">
        <v>31</v>
      </c>
      <c r="D21" t="s">
        <v>18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>
        <v>30</v>
      </c>
      <c r="N21" t="s">
        <v>427</v>
      </c>
      <c r="R21" t="s">
        <v>146</v>
      </c>
      <c r="S21" t="s">
        <v>442</v>
      </c>
      <c r="T21" t="s">
        <v>473</v>
      </c>
      <c r="U21" t="s">
        <v>10</v>
      </c>
      <c r="V21" t="s">
        <v>20</v>
      </c>
      <c r="W21" t="s">
        <v>236</v>
      </c>
      <c r="X21" t="s">
        <v>462</v>
      </c>
    </row>
    <row r="22" spans="2:25">
      <c r="B22" t="s">
        <v>429</v>
      </c>
      <c r="C22" t="s">
        <v>31</v>
      </c>
      <c r="D22" t="s">
        <v>18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 t="s">
        <v>428</v>
      </c>
      <c r="R22" t="s">
        <v>464</v>
      </c>
      <c r="S22" t="s">
        <v>444</v>
      </c>
      <c r="T22" t="s">
        <v>474</v>
      </c>
      <c r="U22" t="s">
        <v>10</v>
      </c>
      <c r="V22" t="s">
        <v>20</v>
      </c>
      <c r="W22" t="s">
        <v>236</v>
      </c>
      <c r="X22" t="s">
        <v>462</v>
      </c>
    </row>
    <row r="23" spans="2:25">
      <c r="B23" t="s">
        <v>430</v>
      </c>
      <c r="C23" t="s">
        <v>31</v>
      </c>
      <c r="D23" t="s">
        <v>431</v>
      </c>
      <c r="E23">
        <v>774.1</v>
      </c>
      <c r="I23">
        <v>730.1</v>
      </c>
      <c r="M23">
        <v>703.7</v>
      </c>
      <c r="N23" t="s">
        <v>424</v>
      </c>
      <c r="R23" t="s">
        <v>146</v>
      </c>
      <c r="S23" t="s">
        <v>445</v>
      </c>
      <c r="T23" t="s">
        <v>475</v>
      </c>
      <c r="U23" t="s">
        <v>10</v>
      </c>
      <c r="V23" t="s">
        <v>20</v>
      </c>
      <c r="W23" t="s">
        <v>236</v>
      </c>
      <c r="X23" t="s">
        <v>462</v>
      </c>
    </row>
    <row r="24" spans="2:25">
      <c r="B24" t="s">
        <v>430</v>
      </c>
      <c r="C24" t="s">
        <v>31</v>
      </c>
      <c r="D24" t="s">
        <v>431</v>
      </c>
      <c r="E24">
        <v>25.8</v>
      </c>
      <c r="I24">
        <v>24.5</v>
      </c>
      <c r="M24">
        <v>22.9</v>
      </c>
      <c r="N24" t="s">
        <v>425</v>
      </c>
      <c r="R24" t="s">
        <v>464</v>
      </c>
      <c r="S24" t="s">
        <v>446</v>
      </c>
      <c r="T24" t="s">
        <v>476</v>
      </c>
      <c r="U24" t="s">
        <v>10</v>
      </c>
      <c r="V24" t="s">
        <v>20</v>
      </c>
      <c r="W24" t="s">
        <v>236</v>
      </c>
      <c r="X24" t="s">
        <v>462</v>
      </c>
    </row>
    <row r="25" spans="2:25">
      <c r="B25" t="s">
        <v>430</v>
      </c>
      <c r="C25" t="s">
        <v>31</v>
      </c>
      <c r="D25" t="s">
        <v>431</v>
      </c>
      <c r="E25">
        <v>3.96</v>
      </c>
      <c r="I25">
        <v>3.6</v>
      </c>
      <c r="M25">
        <v>3.6</v>
      </c>
      <c r="N25" t="s">
        <v>426</v>
      </c>
      <c r="R25" t="s">
        <v>464</v>
      </c>
      <c r="S25" t="s">
        <v>447</v>
      </c>
      <c r="T25" t="s">
        <v>477</v>
      </c>
      <c r="U25" t="s">
        <v>10</v>
      </c>
      <c r="V25" t="s">
        <v>20</v>
      </c>
      <c r="W25" t="s">
        <v>236</v>
      </c>
      <c r="X25" t="s">
        <v>462</v>
      </c>
    </row>
    <row r="26" spans="2:25">
      <c r="B26" t="s">
        <v>430</v>
      </c>
      <c r="C26" t="s">
        <v>31</v>
      </c>
      <c r="D26" t="s">
        <v>431</v>
      </c>
      <c r="E26">
        <v>0.56000000000000005</v>
      </c>
      <c r="I26">
        <v>0.57999999999999996</v>
      </c>
      <c r="M26">
        <v>0.6</v>
      </c>
      <c r="N26" t="s">
        <v>115</v>
      </c>
      <c r="R26" t="s">
        <v>478</v>
      </c>
      <c r="S26" t="s">
        <v>448</v>
      </c>
      <c r="T26" t="s">
        <v>479</v>
      </c>
      <c r="U26" t="s">
        <v>10</v>
      </c>
      <c r="V26" t="s">
        <v>20</v>
      </c>
      <c r="W26" t="s">
        <v>480</v>
      </c>
      <c r="X26" t="s">
        <v>462</v>
      </c>
    </row>
    <row r="27" spans="2:25">
      <c r="B27" t="s">
        <v>430</v>
      </c>
      <c r="C27" t="s">
        <v>31</v>
      </c>
      <c r="D27" t="s">
        <v>431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>
        <v>25</v>
      </c>
      <c r="N27" t="s">
        <v>427</v>
      </c>
      <c r="R27" t="s">
        <v>478</v>
      </c>
      <c r="S27" t="s">
        <v>449</v>
      </c>
      <c r="T27" t="s">
        <v>481</v>
      </c>
      <c r="U27" t="s">
        <v>10</v>
      </c>
      <c r="V27" t="s">
        <v>20</v>
      </c>
      <c r="W27" t="s">
        <v>480</v>
      </c>
      <c r="X27" t="s">
        <v>462</v>
      </c>
    </row>
    <row r="28" spans="2:25">
      <c r="B28" t="s">
        <v>430</v>
      </c>
      <c r="C28" t="s">
        <v>31</v>
      </c>
      <c r="D28" t="s">
        <v>431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 t="s">
        <v>428</v>
      </c>
      <c r="R28" t="s">
        <v>478</v>
      </c>
      <c r="S28" t="s">
        <v>450</v>
      </c>
      <c r="T28" t="s">
        <v>482</v>
      </c>
      <c r="U28" t="s">
        <v>10</v>
      </c>
      <c r="V28" t="s">
        <v>20</v>
      </c>
      <c r="W28" t="s">
        <v>480</v>
      </c>
      <c r="X28" t="s">
        <v>462</v>
      </c>
    </row>
    <row r="29" spans="2:25">
      <c r="B29" t="s">
        <v>430</v>
      </c>
      <c r="C29" t="s">
        <v>31</v>
      </c>
      <c r="D29" t="s">
        <v>431</v>
      </c>
      <c r="E29">
        <v>0.55559999999999998</v>
      </c>
      <c r="I29">
        <v>0.5</v>
      </c>
      <c r="M29">
        <v>0.45450000000000002</v>
      </c>
      <c r="N29" t="s">
        <v>432</v>
      </c>
      <c r="R29" t="s">
        <v>478</v>
      </c>
      <c r="S29" t="s">
        <v>451</v>
      </c>
      <c r="T29" t="s">
        <v>483</v>
      </c>
      <c r="U29" t="s">
        <v>10</v>
      </c>
      <c r="V29" t="s">
        <v>20</v>
      </c>
      <c r="W29" t="s">
        <v>480</v>
      </c>
      <c r="X29" t="s">
        <v>462</v>
      </c>
    </row>
    <row r="30" spans="2:25">
      <c r="B30" t="s">
        <v>430</v>
      </c>
      <c r="C30" t="s">
        <v>31</v>
      </c>
      <c r="D30" t="s">
        <v>431</v>
      </c>
      <c r="E30">
        <v>0.15</v>
      </c>
      <c r="I30">
        <v>0.15</v>
      </c>
      <c r="M30">
        <v>0.15</v>
      </c>
      <c r="N30" t="s">
        <v>433</v>
      </c>
      <c r="R30" t="s">
        <v>66</v>
      </c>
      <c r="S30" t="s">
        <v>452</v>
      </c>
      <c r="T30" t="s">
        <v>484</v>
      </c>
      <c r="U30" t="s">
        <v>10</v>
      </c>
      <c r="V30" t="s">
        <v>20</v>
      </c>
      <c r="W30" t="s">
        <v>236</v>
      </c>
      <c r="X30" t="s">
        <v>462</v>
      </c>
      <c r="Y30" t="s">
        <v>235</v>
      </c>
    </row>
    <row r="31" spans="2:25">
      <c r="B31" t="s">
        <v>434</v>
      </c>
      <c r="C31" t="s">
        <v>31</v>
      </c>
      <c r="D31" t="s">
        <v>435</v>
      </c>
      <c r="G31">
        <v>2493.5</v>
      </c>
      <c r="J31">
        <v>2305.4</v>
      </c>
      <c r="M31">
        <v>2070.1</v>
      </c>
      <c r="N31" t="s">
        <v>424</v>
      </c>
      <c r="R31" t="s">
        <v>66</v>
      </c>
      <c r="S31" t="s">
        <v>458</v>
      </c>
      <c r="T31" t="s">
        <v>485</v>
      </c>
      <c r="U31" t="s">
        <v>10</v>
      </c>
      <c r="V31" t="s">
        <v>20</v>
      </c>
      <c r="W31" t="s">
        <v>236</v>
      </c>
      <c r="X31" t="s">
        <v>462</v>
      </c>
      <c r="Y31" t="s">
        <v>235</v>
      </c>
    </row>
    <row r="32" spans="2:25">
      <c r="B32" t="s">
        <v>434</v>
      </c>
      <c r="C32" t="s">
        <v>31</v>
      </c>
      <c r="D32" t="s">
        <v>435</v>
      </c>
      <c r="G32">
        <v>89.4</v>
      </c>
      <c r="J32">
        <v>80</v>
      </c>
      <c r="M32">
        <v>70.599999999999994</v>
      </c>
      <c r="N32" t="s">
        <v>425</v>
      </c>
      <c r="R32" t="s">
        <v>464</v>
      </c>
      <c r="S32" t="s">
        <v>446</v>
      </c>
      <c r="T32" t="s">
        <v>476</v>
      </c>
      <c r="U32" t="s">
        <v>10</v>
      </c>
      <c r="V32" t="s">
        <v>20</v>
      </c>
      <c r="W32" t="s">
        <v>236</v>
      </c>
      <c r="X32" t="s">
        <v>462</v>
      </c>
    </row>
    <row r="33" spans="2:14">
      <c r="B33" t="s">
        <v>434</v>
      </c>
      <c r="C33" t="s">
        <v>31</v>
      </c>
      <c r="D33" t="s">
        <v>435</v>
      </c>
      <c r="G33">
        <v>4.6584000000000003</v>
      </c>
      <c r="J33">
        <v>3.9815999999999998</v>
      </c>
      <c r="M33">
        <v>3.5604</v>
      </c>
      <c r="N33" t="s">
        <v>426</v>
      </c>
    </row>
    <row r="34" spans="2:14">
      <c r="B34" t="s">
        <v>434</v>
      </c>
      <c r="C34" t="s">
        <v>31</v>
      </c>
      <c r="D34" t="s">
        <v>435</v>
      </c>
      <c r="G34">
        <v>0.5</v>
      </c>
      <c r="J34">
        <v>0.52</v>
      </c>
      <c r="M34">
        <v>0.52</v>
      </c>
      <c r="N34" t="s">
        <v>115</v>
      </c>
    </row>
    <row r="35" spans="2:14">
      <c r="B35" t="s">
        <v>434</v>
      </c>
      <c r="C35" t="s">
        <v>31</v>
      </c>
      <c r="D35" t="s">
        <v>435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>
        <v>30</v>
      </c>
      <c r="N35" t="s">
        <v>427</v>
      </c>
    </row>
    <row r="36" spans="2:14">
      <c r="B36" t="s">
        <v>434</v>
      </c>
      <c r="C36" t="s">
        <v>31</v>
      </c>
      <c r="D36" t="s">
        <v>435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 t="s">
        <v>428</v>
      </c>
    </row>
    <row r="37" spans="2:14">
      <c r="B37" t="s">
        <v>436</v>
      </c>
      <c r="C37" t="s">
        <v>30</v>
      </c>
      <c r="D37" t="s">
        <v>18</v>
      </c>
      <c r="G37">
        <v>1599.6</v>
      </c>
      <c r="J37">
        <v>1599.6</v>
      </c>
      <c r="M37">
        <v>1599.6</v>
      </c>
      <c r="N37" t="s">
        <v>424</v>
      </c>
    </row>
    <row r="38" spans="2:14">
      <c r="B38" t="s">
        <v>436</v>
      </c>
      <c r="C38" t="s">
        <v>30</v>
      </c>
      <c r="D38" t="s">
        <v>18</v>
      </c>
      <c r="G38">
        <v>47</v>
      </c>
      <c r="J38">
        <v>47</v>
      </c>
      <c r="M38">
        <v>47</v>
      </c>
      <c r="N38" t="s">
        <v>425</v>
      </c>
    </row>
    <row r="39" spans="2:14">
      <c r="B39" t="s">
        <v>436</v>
      </c>
      <c r="C39" t="s">
        <v>30</v>
      </c>
      <c r="D39" t="s">
        <v>18</v>
      </c>
      <c r="G39">
        <v>8.4995999999999992</v>
      </c>
      <c r="J39">
        <v>8.4995999999999992</v>
      </c>
      <c r="M39">
        <v>8.4995999999999992</v>
      </c>
      <c r="N39" t="s">
        <v>426</v>
      </c>
    </row>
    <row r="40" spans="2:14">
      <c r="B40" t="s">
        <v>436</v>
      </c>
      <c r="C40" t="s">
        <v>30</v>
      </c>
      <c r="D40" t="s">
        <v>18</v>
      </c>
      <c r="G40">
        <v>0.39</v>
      </c>
      <c r="J40">
        <v>0.39</v>
      </c>
      <c r="M40">
        <v>0.39</v>
      </c>
      <c r="N40" t="s">
        <v>115</v>
      </c>
    </row>
    <row r="41" spans="2:14">
      <c r="B41" t="s">
        <v>436</v>
      </c>
      <c r="C41" t="s">
        <v>30</v>
      </c>
      <c r="D41" t="s">
        <v>18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>
        <v>40</v>
      </c>
      <c r="N41" t="s">
        <v>427</v>
      </c>
    </row>
    <row r="42" spans="2:14">
      <c r="B42" t="s">
        <v>436</v>
      </c>
      <c r="C42" t="s">
        <v>30</v>
      </c>
      <c r="D42" t="s">
        <v>18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 t="s">
        <v>428</v>
      </c>
    </row>
    <row r="43" spans="2:14">
      <c r="B43" t="s">
        <v>437</v>
      </c>
      <c r="C43" t="s">
        <v>30</v>
      </c>
      <c r="D43" t="s">
        <v>18</v>
      </c>
      <c r="G43">
        <v>1881.9</v>
      </c>
      <c r="J43">
        <v>1881.9</v>
      </c>
      <c r="M43">
        <v>1881.9</v>
      </c>
      <c r="N43" t="s">
        <v>424</v>
      </c>
    </row>
    <row r="44" spans="2:14">
      <c r="B44" t="s">
        <v>437</v>
      </c>
      <c r="C44" t="s">
        <v>30</v>
      </c>
      <c r="D44" t="s">
        <v>18</v>
      </c>
      <c r="G44">
        <v>65.900000000000006</v>
      </c>
      <c r="J44">
        <v>65.900000000000006</v>
      </c>
      <c r="M44">
        <v>65.900000000000006</v>
      </c>
      <c r="N44" t="s">
        <v>425</v>
      </c>
    </row>
    <row r="45" spans="2:14">
      <c r="B45" t="s">
        <v>437</v>
      </c>
      <c r="C45" t="s">
        <v>30</v>
      </c>
      <c r="D45" t="s">
        <v>18</v>
      </c>
      <c r="G45">
        <v>9.18</v>
      </c>
      <c r="J45">
        <v>8.7911999999999999</v>
      </c>
      <c r="M45">
        <v>8.3412000000000006</v>
      </c>
      <c r="N45" t="s">
        <v>426</v>
      </c>
    </row>
    <row r="46" spans="2:14">
      <c r="B46" t="s">
        <v>437</v>
      </c>
      <c r="C46" t="s">
        <v>30</v>
      </c>
      <c r="D46" t="s">
        <v>18</v>
      </c>
      <c r="G46">
        <v>0.43</v>
      </c>
      <c r="J46">
        <v>0.43</v>
      </c>
      <c r="M46">
        <v>0.43</v>
      </c>
      <c r="N46" t="s">
        <v>115</v>
      </c>
    </row>
    <row r="47" spans="2:14">
      <c r="B47" t="s">
        <v>437</v>
      </c>
      <c r="C47" t="s">
        <v>30</v>
      </c>
      <c r="D47" t="s">
        <v>18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>
        <v>40</v>
      </c>
      <c r="N47" t="s">
        <v>427</v>
      </c>
    </row>
    <row r="48" spans="2:14">
      <c r="B48" t="s">
        <v>437</v>
      </c>
      <c r="C48" t="s">
        <v>30</v>
      </c>
      <c r="D48" t="s">
        <v>18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 t="s">
        <v>428</v>
      </c>
    </row>
    <row r="49" spans="2:14">
      <c r="B49" t="s">
        <v>438</v>
      </c>
      <c r="C49" t="s">
        <v>30</v>
      </c>
      <c r="D49" t="s">
        <v>18</v>
      </c>
      <c r="G49">
        <v>2070.1</v>
      </c>
      <c r="J49">
        <v>2070.1</v>
      </c>
      <c r="M49">
        <v>2070.1</v>
      </c>
      <c r="N49" t="s">
        <v>424</v>
      </c>
    </row>
    <row r="50" spans="2:14">
      <c r="B50" t="s">
        <v>438</v>
      </c>
      <c r="C50" t="s">
        <v>30</v>
      </c>
      <c r="D50" t="s">
        <v>18</v>
      </c>
      <c r="G50">
        <v>61.2</v>
      </c>
      <c r="J50">
        <v>61.2</v>
      </c>
      <c r="M50">
        <v>61.2</v>
      </c>
      <c r="N50" t="s">
        <v>425</v>
      </c>
    </row>
    <row r="51" spans="2:14">
      <c r="B51" t="s">
        <v>438</v>
      </c>
      <c r="C51" t="s">
        <v>30</v>
      </c>
      <c r="D51" t="s">
        <v>18</v>
      </c>
      <c r="G51">
        <v>9.5004000000000008</v>
      </c>
      <c r="J51">
        <v>9.5004000000000008</v>
      </c>
      <c r="M51">
        <v>9.5004000000000008</v>
      </c>
      <c r="N51" t="s">
        <v>426</v>
      </c>
    </row>
    <row r="52" spans="2:14">
      <c r="B52" t="s">
        <v>438</v>
      </c>
      <c r="C52" t="s">
        <v>30</v>
      </c>
      <c r="D52" t="s">
        <v>18</v>
      </c>
      <c r="G52">
        <v>0.46</v>
      </c>
      <c r="J52">
        <v>0.47</v>
      </c>
      <c r="M52">
        <v>0.48</v>
      </c>
      <c r="N52" t="s">
        <v>115</v>
      </c>
    </row>
    <row r="53" spans="2:14">
      <c r="B53" t="s">
        <v>438</v>
      </c>
      <c r="C53" t="s">
        <v>30</v>
      </c>
      <c r="D53" t="s">
        <v>18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>
        <v>40</v>
      </c>
      <c r="N53" t="s">
        <v>427</v>
      </c>
    </row>
    <row r="54" spans="2:14">
      <c r="B54" t="s">
        <v>438</v>
      </c>
      <c r="C54" t="s">
        <v>30</v>
      </c>
      <c r="D54" t="s">
        <v>18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 t="s">
        <v>428</v>
      </c>
    </row>
    <row r="55" spans="2:14">
      <c r="B55" t="s">
        <v>439</v>
      </c>
      <c r="C55" t="s">
        <v>30</v>
      </c>
      <c r="D55" t="s">
        <v>18</v>
      </c>
      <c r="G55">
        <v>2352.4</v>
      </c>
      <c r="J55">
        <v>2164.1999999999998</v>
      </c>
      <c r="M55">
        <v>2164.1999999999998</v>
      </c>
      <c r="N55" t="s">
        <v>424</v>
      </c>
    </row>
    <row r="56" spans="2:14">
      <c r="B56" t="s">
        <v>439</v>
      </c>
      <c r="C56" t="s">
        <v>30</v>
      </c>
      <c r="D56" t="s">
        <v>18</v>
      </c>
      <c r="G56">
        <v>84.7</v>
      </c>
      <c r="J56">
        <v>75.3</v>
      </c>
      <c r="M56">
        <v>75.3</v>
      </c>
      <c r="N56" t="s">
        <v>425</v>
      </c>
    </row>
    <row r="57" spans="2:14">
      <c r="B57" t="s">
        <v>439</v>
      </c>
      <c r="C57" t="s">
        <v>30</v>
      </c>
      <c r="D57" t="s">
        <v>18</v>
      </c>
      <c r="G57">
        <v>0.46</v>
      </c>
      <c r="J57">
        <v>0.49</v>
      </c>
      <c r="M57">
        <v>0.5</v>
      </c>
      <c r="N57" t="s">
        <v>115</v>
      </c>
    </row>
    <row r="58" spans="2:14">
      <c r="B58" t="s">
        <v>439</v>
      </c>
      <c r="C58" t="s">
        <v>30</v>
      </c>
      <c r="D58" t="s">
        <v>18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>
        <v>40</v>
      </c>
      <c r="N58" t="s">
        <v>427</v>
      </c>
    </row>
    <row r="59" spans="2:14">
      <c r="B59" t="s">
        <v>439</v>
      </c>
      <c r="C59" t="s">
        <v>30</v>
      </c>
      <c r="D59" t="s">
        <v>18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 t="s">
        <v>428</v>
      </c>
    </row>
    <row r="60" spans="2:14">
      <c r="B60" t="s">
        <v>440</v>
      </c>
      <c r="C60" t="s">
        <v>34</v>
      </c>
      <c r="D60" t="s">
        <v>18</v>
      </c>
      <c r="G60">
        <v>3575.7</v>
      </c>
      <c r="J60">
        <v>3575.7</v>
      </c>
      <c r="M60">
        <v>3575.7</v>
      </c>
      <c r="N60" t="s">
        <v>424</v>
      </c>
    </row>
    <row r="61" spans="2:14">
      <c r="B61" t="s">
        <v>440</v>
      </c>
      <c r="C61" t="s">
        <v>34</v>
      </c>
      <c r="D61" t="s">
        <v>18</v>
      </c>
      <c r="G61">
        <v>150.6</v>
      </c>
      <c r="J61">
        <v>150.6</v>
      </c>
      <c r="M61">
        <v>150.6</v>
      </c>
      <c r="N61" t="s">
        <v>425</v>
      </c>
    </row>
    <row r="62" spans="2:14">
      <c r="B62" t="s">
        <v>440</v>
      </c>
      <c r="C62" t="s">
        <v>34</v>
      </c>
      <c r="D62" t="s">
        <v>18</v>
      </c>
      <c r="J62">
        <v>2.8008000000000002</v>
      </c>
      <c r="M62">
        <v>2.8008000000000002</v>
      </c>
      <c r="N62" t="s">
        <v>426</v>
      </c>
    </row>
    <row r="63" spans="2:14">
      <c r="B63" t="s">
        <v>440</v>
      </c>
      <c r="C63" t="s">
        <v>34</v>
      </c>
      <c r="D63" t="s">
        <v>18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>
        <v>60</v>
      </c>
      <c r="N63" t="s">
        <v>427</v>
      </c>
    </row>
    <row r="64" spans="2:14">
      <c r="B64" t="s">
        <v>440</v>
      </c>
      <c r="C64" t="s">
        <v>34</v>
      </c>
      <c r="D64" t="s">
        <v>18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 t="s">
        <v>428</v>
      </c>
    </row>
    <row r="65" spans="2:14">
      <c r="B65" t="s">
        <v>441</v>
      </c>
      <c r="C65" t="s">
        <v>34</v>
      </c>
      <c r="D65" t="s">
        <v>18</v>
      </c>
      <c r="I65">
        <v>7802.1</v>
      </c>
      <c r="J65">
        <v>6357.3</v>
      </c>
      <c r="K65">
        <v>5382.3</v>
      </c>
      <c r="L65">
        <v>4627.7</v>
      </c>
      <c r="M65">
        <v>4124.8</v>
      </c>
      <c r="N65" t="s">
        <v>424</v>
      </c>
    </row>
    <row r="66" spans="2:14">
      <c r="B66" t="s">
        <v>441</v>
      </c>
      <c r="C66" t="s">
        <v>34</v>
      </c>
      <c r="D66" t="s">
        <v>18</v>
      </c>
      <c r="I66">
        <v>110</v>
      </c>
      <c r="J66">
        <v>110</v>
      </c>
      <c r="K66">
        <v>114.8</v>
      </c>
      <c r="L66">
        <v>114.8</v>
      </c>
      <c r="M66">
        <v>114.8</v>
      </c>
      <c r="N66" t="s">
        <v>425</v>
      </c>
    </row>
    <row r="67" spans="2:14">
      <c r="B67" t="s">
        <v>441</v>
      </c>
      <c r="C67" t="s">
        <v>34</v>
      </c>
      <c r="D67" t="s">
        <v>18</v>
      </c>
      <c r="I67">
        <v>2.5992000000000002</v>
      </c>
      <c r="J67">
        <v>2.5992000000000002</v>
      </c>
      <c r="K67">
        <v>2.5992000000000002</v>
      </c>
      <c r="L67">
        <v>2.5992000000000002</v>
      </c>
      <c r="M67">
        <v>2.5992000000000002</v>
      </c>
      <c r="N67" t="s">
        <v>426</v>
      </c>
    </row>
    <row r="68" spans="2:14">
      <c r="B68" t="s">
        <v>441</v>
      </c>
      <c r="C68" t="s">
        <v>34</v>
      </c>
      <c r="D68" t="s">
        <v>18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>
        <v>40</v>
      </c>
      <c r="N68" t="s">
        <v>427</v>
      </c>
    </row>
    <row r="69" spans="2:14">
      <c r="B69" t="s">
        <v>441</v>
      </c>
      <c r="C69" t="s">
        <v>34</v>
      </c>
      <c r="D69" t="s">
        <v>18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 t="s">
        <v>428</v>
      </c>
    </row>
    <row r="70" spans="2:14">
      <c r="B70" t="s">
        <v>442</v>
      </c>
      <c r="C70" t="s">
        <v>29</v>
      </c>
      <c r="D70" t="s">
        <v>18</v>
      </c>
      <c r="G70">
        <v>2117.1999999999998</v>
      </c>
      <c r="J70">
        <v>2070.1</v>
      </c>
      <c r="M70">
        <v>2023.1</v>
      </c>
      <c r="N70" t="s">
        <v>424</v>
      </c>
    </row>
    <row r="71" spans="2:14">
      <c r="B71" t="s">
        <v>442</v>
      </c>
      <c r="C71" t="s">
        <v>29</v>
      </c>
      <c r="D71" t="s">
        <v>18</v>
      </c>
      <c r="G71">
        <v>75.3</v>
      </c>
      <c r="J71">
        <v>70.599999999999994</v>
      </c>
      <c r="M71">
        <v>70.599999999999994</v>
      </c>
      <c r="N71" t="s">
        <v>425</v>
      </c>
    </row>
    <row r="72" spans="2:14">
      <c r="B72" t="s">
        <v>442</v>
      </c>
      <c r="C72" t="s">
        <v>29</v>
      </c>
      <c r="D72" t="s">
        <v>18</v>
      </c>
      <c r="G72">
        <v>5.2451999999999996</v>
      </c>
      <c r="J72">
        <v>5.2451999999999996</v>
      </c>
      <c r="M72">
        <v>5.2451999999999996</v>
      </c>
      <c r="N72" t="s">
        <v>426</v>
      </c>
    </row>
    <row r="73" spans="2:14">
      <c r="B73" t="s">
        <v>442</v>
      </c>
      <c r="C73" t="s">
        <v>29</v>
      </c>
      <c r="D73" t="s">
        <v>18</v>
      </c>
      <c r="G73">
        <v>0.35</v>
      </c>
      <c r="J73">
        <v>0.35</v>
      </c>
      <c r="M73">
        <v>0.35</v>
      </c>
      <c r="N73" t="s">
        <v>115</v>
      </c>
    </row>
    <row r="74" spans="2:14">
      <c r="B74" t="s">
        <v>442</v>
      </c>
      <c r="C74" t="s">
        <v>29</v>
      </c>
      <c r="D74" t="s">
        <v>18</v>
      </c>
      <c r="G74">
        <v>0.5</v>
      </c>
      <c r="J74">
        <v>0.5</v>
      </c>
      <c r="M74">
        <v>0.5</v>
      </c>
      <c r="N74" t="s">
        <v>443</v>
      </c>
    </row>
    <row r="75" spans="2:14">
      <c r="B75" t="s">
        <v>442</v>
      </c>
      <c r="C75" t="s">
        <v>29</v>
      </c>
      <c r="D75" t="s">
        <v>18</v>
      </c>
      <c r="E75">
        <v>45</v>
      </c>
      <c r="F75">
        <v>45</v>
      </c>
      <c r="G75">
        <v>45</v>
      </c>
      <c r="H75">
        <v>45</v>
      </c>
      <c r="I75">
        <v>45</v>
      </c>
      <c r="J75">
        <v>45</v>
      </c>
      <c r="K75">
        <v>45</v>
      </c>
      <c r="L75">
        <v>45</v>
      </c>
      <c r="M75">
        <v>45</v>
      </c>
      <c r="N75" t="s">
        <v>427</v>
      </c>
    </row>
    <row r="76" spans="2:14">
      <c r="B76" t="s">
        <v>442</v>
      </c>
      <c r="C76" t="s">
        <v>29</v>
      </c>
      <c r="D76" t="s">
        <v>18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 t="s">
        <v>428</v>
      </c>
    </row>
    <row r="77" spans="2:14">
      <c r="B77" t="s">
        <v>444</v>
      </c>
      <c r="C77" t="s">
        <v>29</v>
      </c>
      <c r="D77" t="s">
        <v>431</v>
      </c>
      <c r="E77">
        <v>2565.6</v>
      </c>
      <c r="I77">
        <v>2460.6</v>
      </c>
      <c r="M77">
        <v>2321.1</v>
      </c>
      <c r="N77" t="s">
        <v>424</v>
      </c>
    </row>
    <row r="78" spans="2:14">
      <c r="B78" t="s">
        <v>444</v>
      </c>
      <c r="C78" t="s">
        <v>29</v>
      </c>
      <c r="D78" t="s">
        <v>431</v>
      </c>
      <c r="E78">
        <v>70.8</v>
      </c>
      <c r="I78">
        <v>65.599999999999994</v>
      </c>
      <c r="M78">
        <v>62.6</v>
      </c>
      <c r="N78" t="s">
        <v>425</v>
      </c>
    </row>
    <row r="79" spans="2:14">
      <c r="B79" t="s">
        <v>444</v>
      </c>
      <c r="C79" t="s">
        <v>29</v>
      </c>
      <c r="D79" t="s">
        <v>431</v>
      </c>
      <c r="E79">
        <v>2.52</v>
      </c>
      <c r="I79">
        <v>2.52</v>
      </c>
      <c r="M79">
        <v>2.88</v>
      </c>
      <c r="N79" t="s">
        <v>426</v>
      </c>
    </row>
    <row r="80" spans="2:14">
      <c r="B80" t="s">
        <v>444</v>
      </c>
      <c r="C80" t="s">
        <v>29</v>
      </c>
      <c r="D80" t="s">
        <v>431</v>
      </c>
      <c r="E80">
        <v>0.40899999999999997</v>
      </c>
      <c r="I80">
        <v>0.41</v>
      </c>
      <c r="M80">
        <v>0.39400000000000002</v>
      </c>
      <c r="N80" t="s">
        <v>115</v>
      </c>
    </row>
    <row r="81" spans="2:14">
      <c r="B81" t="s">
        <v>444</v>
      </c>
      <c r="C81" t="s">
        <v>29</v>
      </c>
      <c r="D81" t="s">
        <v>431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25</v>
      </c>
      <c r="K81">
        <v>25</v>
      </c>
      <c r="L81">
        <v>25</v>
      </c>
      <c r="M81">
        <v>25</v>
      </c>
      <c r="N81" t="s">
        <v>427</v>
      </c>
    </row>
    <row r="82" spans="2:14">
      <c r="B82" t="s">
        <v>444</v>
      </c>
      <c r="C82" t="s">
        <v>29</v>
      </c>
      <c r="D82" t="s">
        <v>431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 t="s">
        <v>428</v>
      </c>
    </row>
    <row r="83" spans="2:14">
      <c r="B83" t="s">
        <v>444</v>
      </c>
      <c r="C83" t="s">
        <v>29</v>
      </c>
      <c r="D83" t="s">
        <v>431</v>
      </c>
      <c r="E83">
        <v>1.8237000000000001</v>
      </c>
      <c r="I83">
        <v>1.8137000000000001</v>
      </c>
      <c r="M83">
        <v>1.9169</v>
      </c>
      <c r="N83" t="s">
        <v>432</v>
      </c>
    </row>
    <row r="84" spans="2:14">
      <c r="B84" t="s">
        <v>444</v>
      </c>
      <c r="C84" t="s">
        <v>29</v>
      </c>
      <c r="D84" t="s">
        <v>431</v>
      </c>
      <c r="E84">
        <v>0.14000000000000001</v>
      </c>
      <c r="I84">
        <v>0.14000000000000001</v>
      </c>
      <c r="M84">
        <v>0.13</v>
      </c>
      <c r="N84" t="s">
        <v>433</v>
      </c>
    </row>
    <row r="85" spans="2:14">
      <c r="B85" t="s">
        <v>445</v>
      </c>
      <c r="C85" t="s">
        <v>29</v>
      </c>
      <c r="D85" t="s">
        <v>435</v>
      </c>
      <c r="G85">
        <v>4893</v>
      </c>
      <c r="J85">
        <v>4657.8</v>
      </c>
      <c r="M85">
        <v>4469.6000000000004</v>
      </c>
      <c r="N85" t="s">
        <v>424</v>
      </c>
    </row>
    <row r="86" spans="2:14">
      <c r="B86" t="s">
        <v>445</v>
      </c>
      <c r="C86" t="s">
        <v>29</v>
      </c>
      <c r="D86" t="s">
        <v>435</v>
      </c>
      <c r="G86">
        <v>169.4</v>
      </c>
      <c r="J86">
        <v>164.7</v>
      </c>
      <c r="M86">
        <v>155.30000000000001</v>
      </c>
      <c r="N86" t="s">
        <v>425</v>
      </c>
    </row>
    <row r="87" spans="2:14">
      <c r="B87" t="s">
        <v>445</v>
      </c>
      <c r="C87" t="s">
        <v>29</v>
      </c>
      <c r="D87" t="s">
        <v>435</v>
      </c>
      <c r="G87">
        <v>8.4995999999999992</v>
      </c>
      <c r="J87">
        <v>8.4995999999999992</v>
      </c>
      <c r="M87">
        <v>8.4995999999999992</v>
      </c>
      <c r="N87" t="s">
        <v>426</v>
      </c>
    </row>
    <row r="88" spans="2:14">
      <c r="B88" t="s">
        <v>445</v>
      </c>
      <c r="C88" t="s">
        <v>29</v>
      </c>
      <c r="D88" t="s">
        <v>435</v>
      </c>
      <c r="G88">
        <v>0.3</v>
      </c>
      <c r="J88">
        <v>0.3</v>
      </c>
      <c r="M88">
        <v>0.3</v>
      </c>
      <c r="N88" t="s">
        <v>115</v>
      </c>
    </row>
    <row r="89" spans="2:14">
      <c r="B89" t="s">
        <v>445</v>
      </c>
      <c r="C89" t="s">
        <v>29</v>
      </c>
      <c r="D89" t="s">
        <v>435</v>
      </c>
      <c r="G89">
        <v>0.5</v>
      </c>
      <c r="J89">
        <v>0.5</v>
      </c>
      <c r="M89">
        <v>0.5</v>
      </c>
      <c r="N89" t="s">
        <v>443</v>
      </c>
    </row>
    <row r="90" spans="2:14">
      <c r="B90" t="s">
        <v>445</v>
      </c>
      <c r="C90" t="s">
        <v>29</v>
      </c>
      <c r="D90" t="s">
        <v>435</v>
      </c>
      <c r="E90">
        <v>30</v>
      </c>
      <c r="F90">
        <v>30</v>
      </c>
      <c r="G90">
        <v>30</v>
      </c>
      <c r="H90">
        <v>30</v>
      </c>
      <c r="I90">
        <v>30</v>
      </c>
      <c r="J90">
        <v>30</v>
      </c>
      <c r="K90">
        <v>30</v>
      </c>
      <c r="L90">
        <v>30</v>
      </c>
      <c r="M90">
        <v>30</v>
      </c>
      <c r="N90" t="s">
        <v>427</v>
      </c>
    </row>
    <row r="91" spans="2:14">
      <c r="B91" t="s">
        <v>445</v>
      </c>
      <c r="C91" t="s">
        <v>29</v>
      </c>
      <c r="D91" t="s">
        <v>435</v>
      </c>
      <c r="E91">
        <v>3</v>
      </c>
      <c r="F91">
        <v>3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 t="s">
        <v>428</v>
      </c>
    </row>
    <row r="92" spans="2:14">
      <c r="B92" t="s">
        <v>446</v>
      </c>
      <c r="C92" t="s">
        <v>31</v>
      </c>
      <c r="D92" t="s">
        <v>431</v>
      </c>
      <c r="E92">
        <v>2205.1999999999998</v>
      </c>
      <c r="I92">
        <v>1498.3</v>
      </c>
      <c r="M92">
        <v>1348.8</v>
      </c>
      <c r="N92" t="s">
        <v>424</v>
      </c>
    </row>
    <row r="93" spans="2:14">
      <c r="B93" t="s">
        <v>446</v>
      </c>
      <c r="C93" t="s">
        <v>31</v>
      </c>
      <c r="D93" t="s">
        <v>431</v>
      </c>
      <c r="E93">
        <v>67.7</v>
      </c>
      <c r="I93">
        <v>47.8</v>
      </c>
      <c r="M93">
        <v>43.2</v>
      </c>
      <c r="N93" t="s">
        <v>425</v>
      </c>
    </row>
    <row r="94" spans="2:14">
      <c r="B94" t="s">
        <v>446</v>
      </c>
      <c r="C94" t="s">
        <v>31</v>
      </c>
      <c r="D94" t="s">
        <v>431</v>
      </c>
      <c r="E94">
        <v>4.68</v>
      </c>
      <c r="I94">
        <v>4.68</v>
      </c>
      <c r="M94">
        <v>4.32</v>
      </c>
      <c r="N94" t="s">
        <v>426</v>
      </c>
    </row>
    <row r="95" spans="2:14">
      <c r="B95" t="s">
        <v>446</v>
      </c>
      <c r="C95" t="s">
        <v>31</v>
      </c>
      <c r="D95" t="s">
        <v>431</v>
      </c>
      <c r="E95">
        <v>0.53200000000000003</v>
      </c>
      <c r="I95">
        <v>0.55600000000000005</v>
      </c>
      <c r="M95">
        <v>0.57699999999999996</v>
      </c>
      <c r="N95" t="s">
        <v>115</v>
      </c>
    </row>
    <row r="96" spans="2:14">
      <c r="B96" t="s">
        <v>446</v>
      </c>
      <c r="C96" t="s">
        <v>31</v>
      </c>
      <c r="D96" t="s">
        <v>431</v>
      </c>
      <c r="E96">
        <v>25</v>
      </c>
      <c r="F96">
        <v>25</v>
      </c>
      <c r="G96">
        <v>25</v>
      </c>
      <c r="H96">
        <v>25</v>
      </c>
      <c r="I96">
        <v>25</v>
      </c>
      <c r="J96">
        <v>25</v>
      </c>
      <c r="K96">
        <v>25</v>
      </c>
      <c r="L96">
        <v>25</v>
      </c>
      <c r="M96">
        <v>25</v>
      </c>
      <c r="N96" t="s">
        <v>427</v>
      </c>
    </row>
    <row r="97" spans="2:14">
      <c r="B97" t="s">
        <v>446</v>
      </c>
      <c r="C97" t="s">
        <v>31</v>
      </c>
      <c r="D97" t="s">
        <v>431</v>
      </c>
      <c r="E97">
        <v>4</v>
      </c>
      <c r="F97">
        <v>4</v>
      </c>
      <c r="G97">
        <v>4</v>
      </c>
      <c r="H97">
        <v>4</v>
      </c>
      <c r="I97">
        <v>4</v>
      </c>
      <c r="J97">
        <v>4</v>
      </c>
      <c r="K97">
        <v>4</v>
      </c>
      <c r="L97">
        <v>4</v>
      </c>
      <c r="M97">
        <v>4</v>
      </c>
      <c r="N97" t="s">
        <v>428</v>
      </c>
    </row>
    <row r="98" spans="2:14">
      <c r="B98" t="s">
        <v>446</v>
      </c>
      <c r="C98" t="s">
        <v>31</v>
      </c>
      <c r="D98" t="s">
        <v>431</v>
      </c>
      <c r="E98">
        <v>0.55559999999999998</v>
      </c>
      <c r="I98">
        <v>0.5</v>
      </c>
      <c r="M98">
        <v>0.45450000000000002</v>
      </c>
      <c r="N98" t="s">
        <v>432</v>
      </c>
    </row>
    <row r="99" spans="2:14">
      <c r="B99" t="s">
        <v>446</v>
      </c>
      <c r="C99" t="s">
        <v>31</v>
      </c>
      <c r="D99" t="s">
        <v>431</v>
      </c>
      <c r="E99">
        <v>0.15</v>
      </c>
      <c r="I99">
        <v>0.15</v>
      </c>
      <c r="M99">
        <v>0.15</v>
      </c>
      <c r="N99" t="s">
        <v>433</v>
      </c>
    </row>
    <row r="100" spans="2:14">
      <c r="B100" t="s">
        <v>447</v>
      </c>
      <c r="C100" t="s">
        <v>29</v>
      </c>
      <c r="D100" t="s">
        <v>431</v>
      </c>
      <c r="E100">
        <v>10741.9</v>
      </c>
      <c r="I100">
        <v>6909.5</v>
      </c>
      <c r="M100">
        <v>5809</v>
      </c>
      <c r="N100" t="s">
        <v>424</v>
      </c>
    </row>
    <row r="101" spans="2:14">
      <c r="B101" t="s">
        <v>447</v>
      </c>
      <c r="C101" t="s">
        <v>29</v>
      </c>
      <c r="D101" t="s">
        <v>431</v>
      </c>
      <c r="E101">
        <v>313.5</v>
      </c>
      <c r="I101">
        <v>193.8</v>
      </c>
      <c r="M101">
        <v>162.1</v>
      </c>
      <c r="N101" t="s">
        <v>425</v>
      </c>
    </row>
    <row r="102" spans="2:14">
      <c r="B102" t="s">
        <v>447</v>
      </c>
      <c r="C102" t="s">
        <v>29</v>
      </c>
      <c r="D102" t="s">
        <v>431</v>
      </c>
      <c r="E102">
        <v>3.6</v>
      </c>
      <c r="I102">
        <v>3.6</v>
      </c>
      <c r="M102">
        <v>3.6</v>
      </c>
      <c r="N102" t="s">
        <v>426</v>
      </c>
    </row>
    <row r="103" spans="2:14">
      <c r="B103" t="s">
        <v>447</v>
      </c>
      <c r="C103" t="s">
        <v>29</v>
      </c>
      <c r="D103" t="s">
        <v>431</v>
      </c>
      <c r="E103">
        <v>0.37</v>
      </c>
      <c r="I103">
        <v>0.379</v>
      </c>
      <c r="M103">
        <v>0.38600000000000001</v>
      </c>
      <c r="N103" t="s">
        <v>115</v>
      </c>
    </row>
    <row r="104" spans="2:14">
      <c r="B104" t="s">
        <v>447</v>
      </c>
      <c r="C104" t="s">
        <v>29</v>
      </c>
      <c r="D104" t="s">
        <v>431</v>
      </c>
      <c r="E104">
        <v>25</v>
      </c>
      <c r="F104">
        <v>25</v>
      </c>
      <c r="G104">
        <v>25</v>
      </c>
      <c r="H104">
        <v>25</v>
      </c>
      <c r="I104">
        <v>25</v>
      </c>
      <c r="J104">
        <v>25</v>
      </c>
      <c r="K104">
        <v>25</v>
      </c>
      <c r="L104">
        <v>25</v>
      </c>
      <c r="M104">
        <v>25</v>
      </c>
      <c r="N104" t="s">
        <v>427</v>
      </c>
    </row>
    <row r="105" spans="2:14">
      <c r="B105" t="s">
        <v>447</v>
      </c>
      <c r="C105" t="s">
        <v>29</v>
      </c>
      <c r="D105" t="s">
        <v>431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 t="s">
        <v>428</v>
      </c>
    </row>
    <row r="106" spans="2:14">
      <c r="B106" t="s">
        <v>447</v>
      </c>
      <c r="C106" t="s">
        <v>29</v>
      </c>
      <c r="D106" t="s">
        <v>431</v>
      </c>
      <c r="E106">
        <v>1.6949000000000001</v>
      </c>
      <c r="I106">
        <v>1.6949000000000001</v>
      </c>
      <c r="M106">
        <v>1.9231</v>
      </c>
      <c r="N106" t="s">
        <v>432</v>
      </c>
    </row>
    <row r="107" spans="2:14">
      <c r="B107" t="s">
        <v>447</v>
      </c>
      <c r="C107" t="s">
        <v>29</v>
      </c>
      <c r="D107" t="s">
        <v>431</v>
      </c>
      <c r="E107">
        <v>0.17</v>
      </c>
      <c r="I107">
        <v>0.17</v>
      </c>
      <c r="M107">
        <v>0.15</v>
      </c>
      <c r="N107" t="s">
        <v>433</v>
      </c>
    </row>
    <row r="108" spans="2:14">
      <c r="B108" t="s">
        <v>448</v>
      </c>
      <c r="C108" t="s">
        <v>31</v>
      </c>
      <c r="D108" t="s">
        <v>431</v>
      </c>
      <c r="E108">
        <v>52.8</v>
      </c>
      <c r="I108">
        <v>44</v>
      </c>
      <c r="M108">
        <v>44</v>
      </c>
      <c r="N108" t="s">
        <v>424</v>
      </c>
    </row>
    <row r="109" spans="2:14">
      <c r="B109" t="s">
        <v>448</v>
      </c>
      <c r="C109" t="s">
        <v>31</v>
      </c>
      <c r="D109" t="s">
        <v>431</v>
      </c>
      <c r="E109">
        <v>1.7</v>
      </c>
      <c r="I109">
        <v>1.7</v>
      </c>
      <c r="M109">
        <v>1.5</v>
      </c>
      <c r="N109" t="s">
        <v>425</v>
      </c>
    </row>
    <row r="110" spans="2:14">
      <c r="B110" t="s">
        <v>448</v>
      </c>
      <c r="C110" t="s">
        <v>31</v>
      </c>
      <c r="D110" t="s">
        <v>431</v>
      </c>
      <c r="E110">
        <v>0.72</v>
      </c>
      <c r="I110">
        <v>0.72</v>
      </c>
      <c r="M110">
        <v>0.72</v>
      </c>
      <c r="N110" t="s">
        <v>426</v>
      </c>
    </row>
    <row r="111" spans="2:14">
      <c r="B111" t="s">
        <v>448</v>
      </c>
      <c r="C111" t="s">
        <v>31</v>
      </c>
      <c r="D111" t="s">
        <v>431</v>
      </c>
      <c r="E111">
        <v>1.03</v>
      </c>
      <c r="I111">
        <v>1.04</v>
      </c>
      <c r="M111">
        <v>1.04</v>
      </c>
      <c r="N111" t="s">
        <v>115</v>
      </c>
    </row>
    <row r="112" spans="2:14">
      <c r="B112" t="s">
        <v>448</v>
      </c>
      <c r="C112" t="s">
        <v>31</v>
      </c>
      <c r="D112" t="s">
        <v>431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>
        <v>25</v>
      </c>
      <c r="L112">
        <v>25</v>
      </c>
      <c r="M112">
        <v>25</v>
      </c>
      <c r="N112" t="s">
        <v>427</v>
      </c>
    </row>
    <row r="113" spans="2:14">
      <c r="B113" t="s">
        <v>448</v>
      </c>
      <c r="C113" t="s">
        <v>31</v>
      </c>
      <c r="D113" t="s">
        <v>431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 t="s">
        <v>428</v>
      </c>
    </row>
    <row r="114" spans="2:14">
      <c r="B114" t="s">
        <v>449</v>
      </c>
      <c r="C114" t="s">
        <v>29</v>
      </c>
      <c r="D114" t="s">
        <v>431</v>
      </c>
      <c r="E114">
        <v>451.5</v>
      </c>
      <c r="I114">
        <v>430.6</v>
      </c>
      <c r="M114">
        <v>403.7</v>
      </c>
      <c r="N114" t="s">
        <v>424</v>
      </c>
    </row>
    <row r="115" spans="2:14">
      <c r="B115" t="s">
        <v>449</v>
      </c>
      <c r="C115" t="s">
        <v>29</v>
      </c>
      <c r="D115" t="s">
        <v>431</v>
      </c>
      <c r="E115">
        <v>35.5</v>
      </c>
      <c r="I115">
        <v>34.1</v>
      </c>
      <c r="M115">
        <v>31.7</v>
      </c>
      <c r="N115" t="s">
        <v>425</v>
      </c>
    </row>
    <row r="116" spans="2:14">
      <c r="B116" t="s">
        <v>449</v>
      </c>
      <c r="C116" t="s">
        <v>29</v>
      </c>
      <c r="D116" t="s">
        <v>431</v>
      </c>
      <c r="E116">
        <v>1.08</v>
      </c>
      <c r="I116">
        <v>1.08</v>
      </c>
      <c r="M116">
        <v>1.08</v>
      </c>
      <c r="N116" t="s">
        <v>426</v>
      </c>
    </row>
    <row r="117" spans="2:14">
      <c r="B117" t="s">
        <v>449</v>
      </c>
      <c r="C117" t="s">
        <v>29</v>
      </c>
      <c r="D117" t="s">
        <v>431</v>
      </c>
      <c r="E117">
        <v>1.149</v>
      </c>
      <c r="I117">
        <v>1.149</v>
      </c>
      <c r="M117">
        <v>1.149</v>
      </c>
      <c r="N117" t="s">
        <v>115</v>
      </c>
    </row>
    <row r="118" spans="2:14">
      <c r="B118" t="s">
        <v>449</v>
      </c>
      <c r="C118" t="s">
        <v>29</v>
      </c>
      <c r="D118" t="s">
        <v>431</v>
      </c>
      <c r="E118">
        <v>25</v>
      </c>
      <c r="F118">
        <v>25</v>
      </c>
      <c r="G118">
        <v>25</v>
      </c>
      <c r="H118">
        <v>25</v>
      </c>
      <c r="I118">
        <v>25</v>
      </c>
      <c r="J118">
        <v>25</v>
      </c>
      <c r="K118">
        <v>25</v>
      </c>
      <c r="L118">
        <v>25</v>
      </c>
      <c r="M118">
        <v>25</v>
      </c>
      <c r="N118" t="s">
        <v>427</v>
      </c>
    </row>
    <row r="119" spans="2:14">
      <c r="B119" t="s">
        <v>449</v>
      </c>
      <c r="C119" t="s">
        <v>29</v>
      </c>
      <c r="D119" t="s">
        <v>431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 t="s">
        <v>428</v>
      </c>
    </row>
    <row r="120" spans="2:14">
      <c r="B120" t="s">
        <v>450</v>
      </c>
      <c r="D120" t="s">
        <v>431</v>
      </c>
      <c r="H120">
        <v>72.400000000000006</v>
      </c>
      <c r="I120">
        <v>72.400000000000006</v>
      </c>
      <c r="J120">
        <v>72.400000000000006</v>
      </c>
      <c r="K120">
        <v>72.400000000000006</v>
      </c>
      <c r="M120">
        <v>72.400000000000006</v>
      </c>
      <c r="N120" t="s">
        <v>424</v>
      </c>
    </row>
    <row r="121" spans="2:14">
      <c r="B121" t="s">
        <v>450</v>
      </c>
      <c r="D121" t="s">
        <v>431</v>
      </c>
      <c r="H121">
        <v>1.2</v>
      </c>
      <c r="I121">
        <v>1.2</v>
      </c>
      <c r="J121">
        <v>1.2</v>
      </c>
      <c r="K121">
        <v>1.2</v>
      </c>
      <c r="M121">
        <v>1.2</v>
      </c>
      <c r="N121" t="s">
        <v>425</v>
      </c>
    </row>
    <row r="122" spans="2:14">
      <c r="B122" t="s">
        <v>450</v>
      </c>
      <c r="D122" t="s">
        <v>431</v>
      </c>
      <c r="H122">
        <v>0.72</v>
      </c>
      <c r="I122">
        <v>0.72</v>
      </c>
      <c r="J122">
        <v>0.72</v>
      </c>
      <c r="K122">
        <v>0.72</v>
      </c>
      <c r="M122">
        <v>0.72</v>
      </c>
      <c r="N122" t="s">
        <v>426</v>
      </c>
    </row>
    <row r="123" spans="2:14">
      <c r="B123" t="s">
        <v>450</v>
      </c>
      <c r="D123" t="s">
        <v>431</v>
      </c>
      <c r="H123">
        <v>0.99</v>
      </c>
      <c r="I123">
        <v>0.99</v>
      </c>
      <c r="J123">
        <v>0.99</v>
      </c>
      <c r="K123">
        <v>0.99</v>
      </c>
      <c r="M123">
        <v>0.99</v>
      </c>
      <c r="N123" t="s">
        <v>115</v>
      </c>
    </row>
    <row r="124" spans="2:14">
      <c r="B124" t="s">
        <v>450</v>
      </c>
      <c r="D124" t="s">
        <v>431</v>
      </c>
      <c r="E124">
        <v>20</v>
      </c>
      <c r="F124">
        <v>20</v>
      </c>
      <c r="G124">
        <v>20</v>
      </c>
      <c r="H124">
        <v>20</v>
      </c>
      <c r="I124">
        <v>20</v>
      </c>
      <c r="J124">
        <v>20</v>
      </c>
      <c r="K124">
        <v>20</v>
      </c>
      <c r="L124">
        <v>20</v>
      </c>
      <c r="M124">
        <v>20</v>
      </c>
      <c r="N124" t="s">
        <v>427</v>
      </c>
    </row>
    <row r="125" spans="2:14">
      <c r="B125" t="s">
        <v>450</v>
      </c>
      <c r="D125" t="s">
        <v>431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 t="s">
        <v>428</v>
      </c>
    </row>
    <row r="126" spans="2:14">
      <c r="B126" t="s">
        <v>451</v>
      </c>
      <c r="D126" t="s">
        <v>431</v>
      </c>
      <c r="H126">
        <v>1054.7</v>
      </c>
      <c r="I126">
        <v>1028.3</v>
      </c>
      <c r="J126">
        <v>1002</v>
      </c>
      <c r="K126">
        <v>976.9</v>
      </c>
      <c r="M126">
        <v>951.9</v>
      </c>
      <c r="N126" t="s">
        <v>424</v>
      </c>
    </row>
    <row r="127" spans="2:14">
      <c r="B127" t="s">
        <v>451</v>
      </c>
      <c r="D127" t="s">
        <v>431</v>
      </c>
      <c r="H127">
        <v>2.2000000000000002</v>
      </c>
      <c r="I127">
        <v>2.1</v>
      </c>
      <c r="J127">
        <v>2.1</v>
      </c>
      <c r="K127">
        <v>2</v>
      </c>
      <c r="M127">
        <v>2</v>
      </c>
      <c r="N127" t="s">
        <v>425</v>
      </c>
    </row>
    <row r="128" spans="2:14">
      <c r="B128" t="s">
        <v>451</v>
      </c>
      <c r="D128" t="s">
        <v>431</v>
      </c>
      <c r="H128">
        <v>0.72</v>
      </c>
      <c r="I128">
        <v>0.72</v>
      </c>
      <c r="J128">
        <v>0.72</v>
      </c>
      <c r="K128">
        <v>0.72</v>
      </c>
      <c r="M128">
        <v>0.72</v>
      </c>
      <c r="N128" t="s">
        <v>426</v>
      </c>
    </row>
    <row r="129" spans="2:16">
      <c r="B129" t="s">
        <v>451</v>
      </c>
      <c r="D129" t="s">
        <v>431</v>
      </c>
      <c r="H129">
        <v>2.8</v>
      </c>
      <c r="I129">
        <v>2.8</v>
      </c>
      <c r="J129">
        <v>2.8</v>
      </c>
      <c r="K129">
        <v>2.8</v>
      </c>
      <c r="M129">
        <v>2.9169999999999998</v>
      </c>
      <c r="N129" t="s">
        <v>115</v>
      </c>
    </row>
    <row r="130" spans="2:16">
      <c r="B130" t="s">
        <v>451</v>
      </c>
      <c r="D130" t="s">
        <v>431</v>
      </c>
      <c r="E130">
        <v>25</v>
      </c>
      <c r="F130">
        <v>25</v>
      </c>
      <c r="G130">
        <v>25</v>
      </c>
      <c r="H130">
        <v>25</v>
      </c>
      <c r="I130">
        <v>25</v>
      </c>
      <c r="J130">
        <v>25</v>
      </c>
      <c r="K130">
        <v>25</v>
      </c>
      <c r="L130">
        <v>25</v>
      </c>
      <c r="M130">
        <v>25</v>
      </c>
      <c r="N130" t="s">
        <v>427</v>
      </c>
    </row>
    <row r="131" spans="2:16">
      <c r="B131" t="s">
        <v>451</v>
      </c>
      <c r="D131" t="s">
        <v>431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 t="s">
        <v>428</v>
      </c>
    </row>
    <row r="132" spans="2:16">
      <c r="B132" t="s">
        <v>452</v>
      </c>
      <c r="F132">
        <v>2100.8000000000002</v>
      </c>
      <c r="H132">
        <v>1390.7</v>
      </c>
      <c r="I132">
        <v>1117.5999999999999</v>
      </c>
      <c r="J132">
        <v>1028.7</v>
      </c>
      <c r="K132">
        <v>939.8</v>
      </c>
      <c r="L132">
        <v>850.9</v>
      </c>
      <c r="M132">
        <v>762</v>
      </c>
      <c r="N132" t="s">
        <v>424</v>
      </c>
    </row>
    <row r="133" spans="2:16">
      <c r="B133" t="s">
        <v>452</v>
      </c>
      <c r="F133">
        <v>48.2</v>
      </c>
      <c r="H133">
        <v>31</v>
      </c>
      <c r="I133">
        <v>24.5</v>
      </c>
      <c r="J133">
        <v>22.3</v>
      </c>
      <c r="K133">
        <v>20.2</v>
      </c>
      <c r="L133">
        <v>18</v>
      </c>
      <c r="M133">
        <v>15.9</v>
      </c>
      <c r="N133" t="s">
        <v>425</v>
      </c>
    </row>
    <row r="134" spans="2:16">
      <c r="B134" t="s">
        <v>452</v>
      </c>
      <c r="F134">
        <v>0.50039999999999996</v>
      </c>
      <c r="H134">
        <v>0.50039999999999996</v>
      </c>
      <c r="I134">
        <v>0.50039999999999996</v>
      </c>
      <c r="J134">
        <v>0.50039999999999996</v>
      </c>
      <c r="K134">
        <v>0.50039999999999996</v>
      </c>
      <c r="L134">
        <v>0.50039999999999996</v>
      </c>
      <c r="M134">
        <v>0.50039999999999996</v>
      </c>
      <c r="N134" t="s">
        <v>426</v>
      </c>
    </row>
    <row r="135" spans="2:16">
      <c r="B135" t="s">
        <v>452</v>
      </c>
      <c r="F135">
        <v>0.86</v>
      </c>
      <c r="H135">
        <v>0.86</v>
      </c>
      <c r="I135">
        <v>0.86</v>
      </c>
      <c r="J135">
        <v>0.86</v>
      </c>
      <c r="K135">
        <v>0.86</v>
      </c>
      <c r="L135">
        <v>0.86</v>
      </c>
      <c r="M135">
        <v>0.86</v>
      </c>
      <c r="N135" t="s">
        <v>453</v>
      </c>
    </row>
    <row r="136" spans="2:16">
      <c r="B136" t="s">
        <v>452</v>
      </c>
      <c r="E136">
        <v>20</v>
      </c>
      <c r="F136">
        <v>20</v>
      </c>
      <c r="G136">
        <v>20</v>
      </c>
      <c r="H136">
        <v>20</v>
      </c>
      <c r="I136">
        <v>20</v>
      </c>
      <c r="J136">
        <v>20</v>
      </c>
      <c r="K136">
        <v>20</v>
      </c>
      <c r="L136">
        <v>20</v>
      </c>
      <c r="M136">
        <v>20</v>
      </c>
      <c r="N136" t="s">
        <v>427</v>
      </c>
    </row>
    <row r="137" spans="2:16">
      <c r="B137" t="s">
        <v>452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 t="s">
        <v>428</v>
      </c>
    </row>
    <row r="138" spans="2:16">
      <c r="B138" t="s">
        <v>452</v>
      </c>
      <c r="E138">
        <v>0.16666700000000001</v>
      </c>
      <c r="F138">
        <v>0.16666700000000001</v>
      </c>
      <c r="G138">
        <v>0.16666700000000001</v>
      </c>
      <c r="H138">
        <v>0.16666700000000001</v>
      </c>
      <c r="I138">
        <v>0.16666700000000001</v>
      </c>
      <c r="J138">
        <v>0.16666700000000001</v>
      </c>
      <c r="K138">
        <v>0.16666700000000001</v>
      </c>
      <c r="L138">
        <v>0.16666700000000001</v>
      </c>
      <c r="M138">
        <v>0.16666700000000001</v>
      </c>
      <c r="N138" t="s">
        <v>454</v>
      </c>
      <c r="O138" t="s">
        <v>54</v>
      </c>
      <c r="P138" t="s">
        <v>14</v>
      </c>
    </row>
    <row r="139" spans="2:16">
      <c r="B139" t="s">
        <v>452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 t="s">
        <v>454</v>
      </c>
      <c r="O139" t="s">
        <v>24</v>
      </c>
      <c r="P139" t="s">
        <v>14</v>
      </c>
    </row>
    <row r="140" spans="2:16">
      <c r="B140" t="s">
        <v>452</v>
      </c>
      <c r="E140">
        <v>8.76</v>
      </c>
      <c r="F140">
        <v>8.76</v>
      </c>
      <c r="G140">
        <v>8.76</v>
      </c>
      <c r="H140">
        <v>8.76</v>
      </c>
      <c r="I140">
        <v>8.76</v>
      </c>
      <c r="J140">
        <v>8.76</v>
      </c>
      <c r="K140">
        <v>8.76</v>
      </c>
      <c r="L140">
        <v>8.76</v>
      </c>
      <c r="M140">
        <v>8.76</v>
      </c>
      <c r="N140" t="s">
        <v>455</v>
      </c>
    </row>
    <row r="141" spans="2:16">
      <c r="B141" t="s">
        <v>452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 t="s">
        <v>456</v>
      </c>
      <c r="P141" t="s">
        <v>457</v>
      </c>
    </row>
    <row r="142" spans="2:16">
      <c r="B142" t="s">
        <v>458</v>
      </c>
      <c r="F142">
        <v>3721.6</v>
      </c>
      <c r="H142">
        <v>2436.3000000000002</v>
      </c>
      <c r="I142">
        <v>1940.6</v>
      </c>
      <c r="J142">
        <v>1780.6</v>
      </c>
      <c r="K142">
        <v>1617.6</v>
      </c>
      <c r="L142">
        <v>1457.5</v>
      </c>
      <c r="M142">
        <v>1297.5</v>
      </c>
      <c r="N142" t="s">
        <v>424</v>
      </c>
    </row>
    <row r="143" spans="2:16">
      <c r="B143" t="s">
        <v>458</v>
      </c>
      <c r="F143">
        <v>87.3</v>
      </c>
      <c r="H143">
        <v>56.3</v>
      </c>
      <c r="I143">
        <v>44.3</v>
      </c>
      <c r="J143">
        <v>40.4</v>
      </c>
      <c r="K143">
        <v>36.5</v>
      </c>
      <c r="L143">
        <v>32.700000000000003</v>
      </c>
      <c r="M143">
        <v>28.8</v>
      </c>
      <c r="N143" t="s">
        <v>425</v>
      </c>
    </row>
    <row r="144" spans="2:16">
      <c r="B144" t="s">
        <v>458</v>
      </c>
      <c r="F144">
        <v>0.50039999999999996</v>
      </c>
      <c r="H144">
        <v>0.50039999999999996</v>
      </c>
      <c r="I144">
        <v>0.50039999999999996</v>
      </c>
      <c r="J144">
        <v>0.50039999999999996</v>
      </c>
      <c r="K144">
        <v>0.50039999999999996</v>
      </c>
      <c r="L144">
        <v>0.50039999999999996</v>
      </c>
      <c r="M144">
        <v>0.50039999999999996</v>
      </c>
      <c r="N144" t="s">
        <v>426</v>
      </c>
    </row>
    <row r="145" spans="2:16">
      <c r="B145" t="s">
        <v>458</v>
      </c>
      <c r="F145">
        <v>0.86</v>
      </c>
      <c r="H145">
        <v>0.86</v>
      </c>
      <c r="I145">
        <v>0.86</v>
      </c>
      <c r="J145">
        <v>0.86</v>
      </c>
      <c r="K145">
        <v>0.86</v>
      </c>
      <c r="L145">
        <v>0.86</v>
      </c>
      <c r="M145">
        <v>0.86</v>
      </c>
      <c r="N145" t="s">
        <v>453</v>
      </c>
    </row>
    <row r="146" spans="2:16">
      <c r="B146" t="s">
        <v>458</v>
      </c>
      <c r="E146">
        <v>20</v>
      </c>
      <c r="F146">
        <v>20</v>
      </c>
      <c r="G146">
        <v>20</v>
      </c>
      <c r="H146">
        <v>20</v>
      </c>
      <c r="I146">
        <v>20</v>
      </c>
      <c r="J146">
        <v>20</v>
      </c>
      <c r="K146">
        <v>20</v>
      </c>
      <c r="L146">
        <v>20</v>
      </c>
      <c r="M146">
        <v>20</v>
      </c>
      <c r="N146" t="s">
        <v>427</v>
      </c>
    </row>
    <row r="147" spans="2:16">
      <c r="B147" t="s">
        <v>458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 t="s">
        <v>428</v>
      </c>
    </row>
    <row r="148" spans="2:16">
      <c r="B148" t="s">
        <v>458</v>
      </c>
      <c r="E148">
        <v>0.33333299999999999</v>
      </c>
      <c r="F148">
        <v>0.33333299999999999</v>
      </c>
      <c r="G148">
        <v>0.33333299999999999</v>
      </c>
      <c r="H148">
        <v>0.33333299999999999</v>
      </c>
      <c r="I148">
        <v>0.33333299999999999</v>
      </c>
      <c r="J148">
        <v>0.33333299999999999</v>
      </c>
      <c r="K148">
        <v>0.33333299999999999</v>
      </c>
      <c r="L148">
        <v>0.33333299999999999</v>
      </c>
      <c r="M148">
        <v>0.33333299999999999</v>
      </c>
      <c r="N148" t="s">
        <v>454</v>
      </c>
      <c r="O148" t="s">
        <v>54</v>
      </c>
      <c r="P148" t="s">
        <v>14</v>
      </c>
    </row>
    <row r="149" spans="2:16">
      <c r="B149" t="s">
        <v>458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 t="s">
        <v>454</v>
      </c>
      <c r="O149" t="s">
        <v>24</v>
      </c>
      <c r="P149" t="s">
        <v>14</v>
      </c>
    </row>
    <row r="150" spans="2:16">
      <c r="B150" t="s">
        <v>458</v>
      </c>
      <c r="E150">
        <v>8.76</v>
      </c>
      <c r="F150">
        <v>8.76</v>
      </c>
      <c r="G150">
        <v>8.76</v>
      </c>
      <c r="H150">
        <v>8.76</v>
      </c>
      <c r="I150">
        <v>8.76</v>
      </c>
      <c r="J150">
        <v>8.76</v>
      </c>
      <c r="K150">
        <v>8.76</v>
      </c>
      <c r="L150">
        <v>8.76</v>
      </c>
      <c r="M150">
        <v>8.76</v>
      </c>
      <c r="N150" t="s">
        <v>455</v>
      </c>
    </row>
    <row r="151" spans="2:16">
      <c r="B151" t="s">
        <v>458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 t="s">
        <v>456</v>
      </c>
      <c r="P151" t="s">
        <v>457</v>
      </c>
    </row>
    <row r="152" spans="2:16">
      <c r="B152" t="s">
        <v>446</v>
      </c>
      <c r="C152" t="s">
        <v>31</v>
      </c>
      <c r="D152" t="s">
        <v>459</v>
      </c>
      <c r="E152">
        <v>0.52</v>
      </c>
      <c r="F152">
        <v>0.52</v>
      </c>
      <c r="G152">
        <v>0.52</v>
      </c>
      <c r="H152">
        <v>0.52</v>
      </c>
      <c r="I152">
        <v>0.52</v>
      </c>
      <c r="J152">
        <v>0.52</v>
      </c>
      <c r="K152">
        <v>0.52</v>
      </c>
      <c r="L152">
        <v>0.52</v>
      </c>
      <c r="M152">
        <v>0.52</v>
      </c>
      <c r="N152" t="s">
        <v>115</v>
      </c>
    </row>
    <row r="153" spans="2:16">
      <c r="B153" t="s">
        <v>446</v>
      </c>
      <c r="C153" t="s">
        <v>31</v>
      </c>
      <c r="D153" t="s">
        <v>459</v>
      </c>
      <c r="E153">
        <v>2917</v>
      </c>
      <c r="F153">
        <v>2917</v>
      </c>
      <c r="G153">
        <v>2917</v>
      </c>
      <c r="H153">
        <v>2917</v>
      </c>
      <c r="I153">
        <v>2917</v>
      </c>
      <c r="J153">
        <v>2917</v>
      </c>
      <c r="K153">
        <v>2917</v>
      </c>
      <c r="L153">
        <v>2917</v>
      </c>
      <c r="M153">
        <v>2917</v>
      </c>
      <c r="N153" t="s">
        <v>424</v>
      </c>
    </row>
    <row r="154" spans="2:16">
      <c r="B154" t="s">
        <v>446</v>
      </c>
      <c r="C154" t="s">
        <v>31</v>
      </c>
      <c r="D154" t="s">
        <v>459</v>
      </c>
      <c r="E154">
        <v>70.599999999999994</v>
      </c>
      <c r="F154">
        <v>70.599999999999994</v>
      </c>
      <c r="G154">
        <v>70.599999999999994</v>
      </c>
      <c r="H154">
        <v>70.599999999999994</v>
      </c>
      <c r="I154">
        <v>70.599999999999994</v>
      </c>
      <c r="J154">
        <v>70.599999999999994</v>
      </c>
      <c r="K154">
        <v>70.599999999999994</v>
      </c>
      <c r="L154">
        <v>70.599999999999994</v>
      </c>
      <c r="M154">
        <v>70.599999999999994</v>
      </c>
      <c r="N154" t="s">
        <v>425</v>
      </c>
    </row>
    <row r="155" spans="2:16">
      <c r="B155" t="s">
        <v>446</v>
      </c>
      <c r="C155" t="s">
        <v>31</v>
      </c>
      <c r="D155" t="s">
        <v>459</v>
      </c>
      <c r="E155">
        <v>4.68</v>
      </c>
      <c r="F155">
        <v>4.68</v>
      </c>
      <c r="G155">
        <v>4.68</v>
      </c>
      <c r="H155">
        <v>4.68</v>
      </c>
      <c r="I155">
        <v>4.68</v>
      </c>
      <c r="J155">
        <v>4.68</v>
      </c>
      <c r="K155">
        <v>4.68</v>
      </c>
      <c r="L155">
        <v>4.68</v>
      </c>
      <c r="M155">
        <v>4.68</v>
      </c>
      <c r="N155" t="s">
        <v>426</v>
      </c>
    </row>
    <row r="156" spans="2:16">
      <c r="B156" t="s">
        <v>446</v>
      </c>
      <c r="C156" t="s">
        <v>31</v>
      </c>
      <c r="D156" t="s">
        <v>459</v>
      </c>
      <c r="E156">
        <v>0.55559999999999998</v>
      </c>
      <c r="F156">
        <v>0.55559999999999998</v>
      </c>
      <c r="G156">
        <v>0.55559999999999998</v>
      </c>
      <c r="H156">
        <v>0.55559999999999998</v>
      </c>
      <c r="I156">
        <v>0.55559999999999998</v>
      </c>
      <c r="J156">
        <v>0.55559999999999998</v>
      </c>
      <c r="K156">
        <v>0.55559999999999998</v>
      </c>
      <c r="L156">
        <v>0.55559999999999998</v>
      </c>
      <c r="M156">
        <v>0.55559999999999998</v>
      </c>
      <c r="N156" t="s">
        <v>432</v>
      </c>
    </row>
    <row r="157" spans="2:16">
      <c r="B157" t="s">
        <v>446</v>
      </c>
      <c r="C157" t="s">
        <v>31</v>
      </c>
      <c r="D157" t="s">
        <v>459</v>
      </c>
      <c r="E157">
        <v>0.15</v>
      </c>
      <c r="F157">
        <v>0.15</v>
      </c>
      <c r="G157">
        <v>0.15</v>
      </c>
      <c r="H157">
        <v>0.15</v>
      </c>
      <c r="I157">
        <v>0.15</v>
      </c>
      <c r="J157">
        <v>0.15</v>
      </c>
      <c r="K157">
        <v>0.15</v>
      </c>
      <c r="L157">
        <v>0.15</v>
      </c>
      <c r="M157">
        <v>0.15</v>
      </c>
      <c r="N157" t="s">
        <v>433</v>
      </c>
    </row>
    <row r="158" spans="2:16">
      <c r="B158" t="s">
        <v>446</v>
      </c>
      <c r="C158" t="s">
        <v>31</v>
      </c>
      <c r="D158" t="s">
        <v>459</v>
      </c>
      <c r="E158">
        <v>25</v>
      </c>
      <c r="F158">
        <v>25</v>
      </c>
      <c r="G158">
        <v>25</v>
      </c>
      <c r="H158">
        <v>25</v>
      </c>
      <c r="I158">
        <v>25</v>
      </c>
      <c r="J158">
        <v>25</v>
      </c>
      <c r="K158">
        <v>25</v>
      </c>
      <c r="L158">
        <v>25</v>
      </c>
      <c r="M158">
        <v>25</v>
      </c>
      <c r="N158" t="s">
        <v>427</v>
      </c>
    </row>
    <row r="159" spans="2:16">
      <c r="B159" t="s">
        <v>446</v>
      </c>
      <c r="C159" t="s">
        <v>31</v>
      </c>
      <c r="D159" t="s">
        <v>459</v>
      </c>
      <c r="E159">
        <v>4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4</v>
      </c>
      <c r="N159" t="s">
        <v>428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misc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2019-05-06T14:41:57Z</cp:lastPrinted>
  <dcterms:created xsi:type="dcterms:W3CDTF">2016-08-02T11:07:23Z</dcterms:created>
  <dcterms:modified xsi:type="dcterms:W3CDTF">2026-10-13T12:51:07Z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